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9"/>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<sst xmlns="http://schemas.openxmlformats.org/spreadsheetml/2006/main" count="2644" uniqueCount="1091">
  <si>
    <t xml:space="preserve">THE LANDRY FAMILY EQUITY INVESTMENT OPERATING SYSTEM — 
STOCK SCORING &amp; PORTFOLIO RISK WORKBOOK</t>
  </si>
  <si>
    <t xml:space="preserve">Companion workbook to Landry System v1.05. Aligned to: Version 1.05 (51 numbered Hard Rules, Parts 1–12, and the Part 6 Stop-Review Ladder).</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</si>
  <si>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</si>
  <si>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</si>
  <si>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</si>
  <si>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</si>
  <si>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</si>
  <si>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</si>
  <si>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</si>
  <si>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</si>
  <si>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filter it, never sort it (its rows mirror Scoring by formula).</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</si>
  <si>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</si>
  <si>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</si>
  <si>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</si>
  <si>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</si>
  <si>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v1.05)</t>
  </si>
  <si>
    <t xml:space="preserve">Rules 1–4 (Part 3) — Tier 1 floor of 3.0, mandatory review of any Tier 1 score of 1, automatic Avoid if</t>
  </si>
  <si>
    <t xml:space="preserve">two or more Tier 1 indicators score 2.0 or below, Strong Buy capped when two or more are Low Confidence.</t>
  </si>
  <si>
    <t xml:space="preserve">Rule 5 (Part 3) — Relative Strength or Technical Trend scored 1: documented review before a Buy is relied on.</t>
  </si>
  <si>
    <t xml:space="preserve">Rule 16 (Part 5) — No sector above 25% of portfolio, measured at market value on direct holdings (v1.05).</t>
  </si>
  <si>
    <t xml:space="preserve">Rule 34 (Part 6) — Early Partial Trim: Probationary Hold, indicator reconfirmed unimproved: trim a third, up to 3x.</t>
  </si>
  <si>
    <t xml:space="preserve">Stop-Review Ladder (Part 6, v1.05) — 20% below cost + weak relative strength or under the 200-day average: no adds,</t>
  </si>
  <si>
    <t xml:space="preserve">re-underwrite in 10 trading days; 30% below + deterioration found: trim a third; 40% + 8 weeks under: Exit Review.</t>
  </si>
  <si>
    <t xml:space="preserve">Rule 38 (Part 7) — Correlation Cap: no position may carry pairwise correlation above 0.70 with more than one other holding.</t>
  </si>
  <si>
    <t xml:space="preserve">Rule 39 (Part 7) — Portfolio drawdown response levels apply automatically; only a documented Tier 1 re-score restores normal sizing.</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</si>
  <si>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</si>
  <si>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</si>
  <si>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</si>
  <si>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</si>
  <si>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</si>
  <si>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</si>
  <si>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</si>
  <si>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</si>
  <si>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</si>
  <si>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</si>
  <si>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</si>
  <si>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</si>
  <si>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</si>
  <si>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</si>
  <si>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</si>
  <si>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</si>
  <si>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</si>
  <si>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</si>
  <si>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</si>
  <si>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</si>
  <si>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</si>
  <si>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</si>
  <si>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</si>
  <si>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</si>
  <si>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</si>
  <si>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</si>
  <si>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</si>
  <si>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</si>
  <si>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</si>
  <si>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</si>
  <si>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</si>
  <si>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</si>
  <si>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</si>
  <si>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</si>
  <si>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</si>
  <si>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</si>
  <si>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</si>
  <si>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</si>
  <si>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</si>
  <si>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</si>
  <si>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</si>
  <si>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</si>
  <si>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</si>
  <si>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</si>
  <si>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</si>
  <si>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</si>
  <si>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</si>
  <si>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</si>
  <si>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</si>
  <si>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</si>
  <si>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</si>
  <si>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</si>
  <si>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</si>
  <si>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</si>
  <si>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</si>
  <si>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</si>
  <si>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</si>
  <si>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</si>
  <si>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</si>
  <si>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</si>
  <si>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</si>
  <si>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</si>
  <si>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</si>
  <si>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</si>
  <si>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</si>
  <si>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</si>
  <si>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</si>
  <si>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</si>
  <si>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</si>
  <si>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</si>
  <si>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</si>
  <si>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</si>
  <si>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</si>
  <si>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</si>
  <si>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</si>
  <si>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</si>
  <si>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</si>
  <si>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</si>
  <si>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</si>
  <si>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</si>
  <si>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</si>
  <si>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</si>
  <si>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</si>
  <si>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</si>
  <si>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</si>
  <si>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</si>
  <si>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</si>
  <si>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</si>
  <si>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</si>
  <si>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</si>
  <si>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</si>
  <si>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</si>
  <si>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</si>
  <si>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</si>
  <si>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</si>
  <si>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</si>
  <si>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</si>
  <si>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</si>
  <si>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</si>
  <si>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</si>
  <si>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10/10/26: $15,713.12, estimate (site read + download, 10/10/26) until the monthly statement reconciles it. Made of the account shows $669.69 + $43.43 of cash not yet swept in + a PENDING transfer of $15,000.00 (10/9, announced by Alan, not yet posted at Fidelity). Booked by `landry accounts`.</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</si>
  <si>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</si>
  <si>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</si>
  <si>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</si>
  <si>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</si>
  <si>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</si>
  <si>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</si>
  <si>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</si>
  <si>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</si>
  <si>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</si>
  <si>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</si>
  <si>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</si>
  <si>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</si>
  <si>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</si>
  <si>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</si>
  <si>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</si>
  <si>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</si>
  <si>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NEW to this account since 8/5/26 (already held in Self-Directed) -- cash/dry powder per Alan 9/7/26, not a scored Landry position. 10/6/26: sold 30 sh at $153.54 ($4,606.10) to fund DCA-CATCHUP-2. One tax lot (Alan), so the remaining 70 sh keep the same per-share basis; the sale realized about $197.</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</si>
  <si>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</si>
  <si>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</si>
  <si>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</si>
  <si>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</si>
  <si>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</si>
  <si>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</si>
  <si>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VEEV</t>
  </si>
  <si>
    <t xml:space="preserve">Veeva Systems Class A</t>
  </si>
  <si>
    <t xml:space="preserve">DCA-CATCHUP-2, 10/7/26: 100 sh at $283.25 ($28,325.00). Composite 81.6 STRONG BUY (Moat 4); Entry Checklist row 51, Implied-Return row 52; Journal rows 100-104.</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</si>
  <si>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</si>
  <si>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</si>
  <si>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</si>
  <si>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</si>
  <si>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</si>
  <si>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</si>
  <si>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10/7/26: $27,966.40, confirmed by Alan from the Chase page (Vanguard Money Market Reserves, Federal Portfolio) = the 9/30 statement's $36,854.47 + about $111.93 of October dividend - $9,000 redeemed to the core sweep. Journal rows 104-105.</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</si>
  <si>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</si>
  <si>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</si>
  <si>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</si>
  <si>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</si>
  <si>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</si>
  <si>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</si>
  <si>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</si>
  <si>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</si>
  <si>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</si>
  <si>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</si>
  <si>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</si>
  <si>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</si>
  <si>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</si>
  <si>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</si>
  <si>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</si>
  <si>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</si>
  <si>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</si>
  <si>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</si>
  <si>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</si>
  <si>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</si>
  <si>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</si>
  <si>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</si>
  <si>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</si>
  <si>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</si>
  <si>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</si>
  <si>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</si>
  <si>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</si>
  <si>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</si>
  <si>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</si>
  <si>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</si>
  <si>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</si>
  <si>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</si>
  <si>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10/10/26: $427.26, estimate (site read + download, 10/10/26) until the monthly statement reconciles it. Booked by `landry accounts`.</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</si>
  <si>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</si>
  <si>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</si>
  <si>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</si>
  <si>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</si>
  <si>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</si>
  <si>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</si>
  <si>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</si>
  <si>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</si>
  <si>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</si>
  <si>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</si>
  <si>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</si>
  <si>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</si>
  <si>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</si>
  <si>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</si>
  <si>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</si>
  <si>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</si>
  <si>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</si>
  <si>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</si>
  <si>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</si>
  <si>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</si>
  <si>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</si>
  <si>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</si>
  <si>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</si>
  <si>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</si>
  <si>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</si>
  <si>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</si>
  <si>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</si>
  <si>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</si>
  <si>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</si>
  <si>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</si>
  <si>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</si>
  <si>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</si>
  <si>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</si>
  <si>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</si>
  <si>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</si>
  <si>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</si>
  <si>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</si>
  <si>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</si>
  <si>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</si>
  <si>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</si>
  <si>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</si>
  <si>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</si>
  <si>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</si>
  <si>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</si>
  <si>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</si>
  <si>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</si>
  <si>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</si>
  <si>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</si>
  <si>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</si>
  <si>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</si>
  <si>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</si>
  <si>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</si>
  <si>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</si>
  <si>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</si>
  <si>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</si>
  <si>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</si>
  <si>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</si>
  <si>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</si>
  <si>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</si>
  <si>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</si>
  <si>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</si>
  <si>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</si>
  <si>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</si>
  <si>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</si>
  <si>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</si>
  <si>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</si>
  <si>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</si>
  <si>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</si>
  <si>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</si>
  <si>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</si>
  <si>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</si>
  <si>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</si>
  <si>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</si>
  <si>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</si>
  <si>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</si>
  <si>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</si>
  <si>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</si>
  <si>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</si>
  <si>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</si>
  <si>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</si>
  <si>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</si>
  <si>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</si>
  <si>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</si>
  <si>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</si>
  <si>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</si>
  <si>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</si>
  <si>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</si>
  <si>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</si>
  <si>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</si>
  <si>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</si>
  <si>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</si>
  <si>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</si>
  <si>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</si>
  <si>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</si>
  <si>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</si>
  <si>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</si>
  <si>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</si>
  <si>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</si>
  <si>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</si>
  <si>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2026-09-16: Schwenger Thomas D. (Pres. &amp; Chief Customer Officer) sold $265,200, 5% of holding (+1 more in last 30d)</t>
  </si>
  <si>
    <t xml:space="preserve">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</si>
  <si>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</si>
  <si>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</si>
  <si>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</si>
  <si>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</si>
  <si>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</si>
  <si>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</si>
  <si>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</si>
  <si>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</si>
  <si>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</si>
  <si>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</si>
  <si>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</si>
  <si>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</si>
  <si>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</si>
  <si>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</si>
  <si>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Do not sort this tab: Dashboard, Entry Checklist and Implied-Return read it by row.</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</si>
  <si>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</si>
  <si>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</si>
  <si>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</si>
  <si>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</si>
  <si>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</si>
  <si>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</si>
  <si>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DO NOT SORT
Company</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</si>
  <si>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</si>
  <si>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</si>
  <si>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</si>
  <si>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</si>
  <si>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</si>
  <si>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</si>
  <si>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</si>
  <si>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</si>
  <si>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</si>
  <si>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</si>
  <si>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</si>
  <si>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</si>
  <si>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</si>
  <si>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</si>
  <si>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</si>
  <si>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</si>
  <si>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</si>
  <si>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</si>
  <si>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</si>
  <si>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</si>
  <si>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</si>
  <si>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</si>
  <si>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</si>
  <si>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</si>
  <si>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</si>
  <si>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</si>
  <si>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</si>
  <si>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</si>
  <si>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</si>
  <si>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</si>
  <si>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</si>
  <si>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</si>
  <si>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</si>
  <si>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</si>
  <si>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</si>
  <si>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</si>
  <si>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</si>
  <si>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</si>
  <si>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</si>
  <si>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</si>
  <si>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</si>
  <si>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</si>
  <si>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</si>
  <si>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</si>
  <si>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</si>
  <si>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</si>
  <si>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</si>
  <si>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</si>
  <si>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</si>
  <si>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</si>
  <si>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</si>
  <si>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</si>
  <si>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</si>
  <si>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</si>
  <si>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</si>
  <si>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</si>
  <si>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</si>
  <si>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</si>
  <si>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</si>
  <si>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</si>
  <si>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</si>
  <si>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</si>
  <si>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</si>
  <si>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</si>
  <si>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</si>
  <si>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</si>
  <si>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</si>
  <si>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</si>
  <si>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</si>
  <si>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</si>
  <si>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</si>
  <si>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</si>
  <si>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</si>
  <si>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</si>
  <si>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</si>
  <si>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</si>
  <si>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</si>
  <si>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</si>
  <si>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</si>
  <si>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</si>
  <si>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</si>
  <si>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</si>
  <si>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</si>
  <si>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</si>
  <si>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</si>
  <si>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</si>
  <si>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</si>
  <si>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</si>
  <si>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</si>
  <si>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</si>
  <si>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</si>
  <si>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</si>
  <si>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</si>
  <si>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</si>
  <si>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</si>
  <si>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</si>
  <si>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</si>
  <si>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</si>
  <si>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</si>
  <si>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</si>
  <si>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</si>
  <si>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</si>
  <si>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</si>
  <si>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</si>
  <si>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</si>
  <si>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</si>
  <si>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</si>
  <si>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</si>
  <si>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</si>
  <si>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</si>
  <si>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</si>
  <si>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</si>
  <si>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</si>
  <si>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</si>
  <si>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</si>
  <si>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</si>
  <si>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</si>
  <si>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</si>
  <si>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</si>
  <si>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</si>
  <si>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</si>
  <si>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</si>
  <si>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</si>
  <si>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</si>
  <si>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</si>
  <si>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</si>
  <si>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</si>
  <si>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</si>
  <si>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</si>
  <si>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</si>
  <si>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</si>
  <si>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</si>
  <si>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</si>
  <si>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</si>
  <si>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</si>
  <si>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</si>
  <si>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</si>
  <si>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</si>
  <si>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</si>
  <si>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</si>
  <si>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</si>
  <si>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</si>
  <si>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</si>
  <si>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</si>
  <si>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</si>
  <si>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</si>
  <si>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</si>
  <si>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</si>
  <si>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</si>
  <si>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</si>
  <si>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</si>
  <si>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</si>
  <si>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</si>
  <si>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</si>
  <si>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</si>
  <si>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</si>
  <si>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</si>
  <si>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</si>
  <si>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</si>
  <si>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</si>
  <si>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</si>
  <si>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</si>
  <si>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</si>
  <si>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</si>
  <si>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</si>
  <si>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</si>
  <si>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</si>
  <si>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</si>
  <si>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</si>
  <si>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</si>
  <si>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</si>
  <si>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 xml:space="preserve">Weekly catch-up 10/10/26 (landry accounts): positions at the 10/9 closes plus cash = $713,945.21 (estimate: site read + downloads 10/10, including a PENDING $15,000 transfer into Fidelity 3711 announced by Alan and not yet posted), plus $40,019.99 net external withdrawals since the 9/4 peak (35,019.99 + the 10/9 $20,000 out of Chase 3693 - the pending $15,000 in). The same value results if the pending transfer is left out of both. See Journal ACCOUNTS-CATCHUP-10-10.</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</si>
  <si>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</si>
  <si>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</si>
  <si>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</si>
  <si>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</si>
  <si>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</si>
  <si>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</si>
  <si>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</si>
  <si>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</si>
  <si>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</si>
  <si>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</si>
  <si>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</si>
  <si>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</si>
  <si>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</si>
  <si>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</si>
  <si>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</si>
  <si>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</si>
  <si>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</si>
  <si>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</si>
  <si>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</si>
  <si>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</si>
  <si>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</si>
  <si>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</si>
  <si>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 share</t>
  </si>
  <si>
    <t xml:space="preserve">Implied
Annual Return</t>
  </si>
  <si>
    <t xml:space="preserve">Tag (L/P/U)</t>
  </si>
  <si>
    <t xml:space="preserve">Base &gt;10%?</t>
  </si>
  <si>
    <t xml:space="preserve">Bear ≥0%?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</si>
  <si>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</si>
  <si>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</si>
  <si>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</si>
  <si>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</si>
  <si>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</si>
  <si>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</si>
  <si>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</si>
  <si>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</si>
  <si>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</si>
  <si>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</si>
  <si>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</si>
  <si>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</si>
  <si>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</si>
  <si>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</si>
  <si>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</si>
  <si>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</si>
  <si>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</si>
  <si>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</si>
  <si>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</si>
  <si>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</si>
  <si>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</si>
  <si>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</si>
  <si>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</si>
  <si>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</si>
  <si>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</si>
  <si>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</si>
  <si>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</si>
  <si>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</si>
  <si>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</si>
  <si>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</si>
  <si>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</si>
  <si>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</si>
  <si>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</si>
  <si>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</si>
  <si>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</si>
  <si>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</si>
  <si>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</si>
  <si>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</si>
  <si>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</si>
  <si>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</si>
  <si>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</si>
  <si>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</si>
  <si>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</si>
  <si>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</si>
  <si>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</si>
  <si>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</si>
  <si>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</si>
  <si>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</si>
  <si>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</si>
  <si>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</si>
  <si>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</si>
  <si>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</si>
  <si>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</si>
  <si>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</si>
  <si>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</si>
  <si>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</si>
  <si>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</si>
  <si>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</si>
  <si>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</si>
  <si>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</si>
  <si>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</si>
  <si>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</si>
  <si>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</si>
  <si>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</si>
  <si>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</si>
  <si>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</si>
  <si>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</si>
  <si>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</si>
  <si>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</si>
  <si>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</si>
  <si>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</si>
  <si>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</si>
  <si>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</si>
  <si>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</si>
  <si>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</si>
  <si>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</si>
  <si>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</si>
  <si>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</si>
  <si>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Exited</t>
  </si>
  <si>
    <t xml:space="preserve">Fund emptied at the 10/1 settlement of the 9/30 GE / NFLX buys (Fidelity history)</t>
  </si>
  <si>
    <t xml:space="preserve">Schwab Cash Features</t>
  </si>
  <si>
    <t xml:space="preserve">Vanguard Fed Money Mkt</t>
  </si>
  <si>
    <t xml:space="preserve">Pacer US Cash Cows ETF</t>
  </si>
  <si>
    <t xml:space="preserve">Consolidated into AVUV</t>
  </si>
  <si>
    <t xml:space="preserve">Rule 3 Avoid</t>
  </si>
  <si>
    <t xml:space="preserve">Rule 3 Avoid (2nd pass)</t>
  </si>
  <si>
    <t xml:space="preserve">Vanguard Info Tech ETF</t>
  </si>
  <si>
    <t xml:space="preserve">Worst correlation offender</t>
  </si>
  <si>
    <t xml:space="preserve">Sold at Fidelity to fund DCA-CATCHUP-2 (draw from SPMO first)</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</si>
  <si>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</si>
  <si>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</si>
  <si>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</si>
  <si>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</si>
  <si>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</si>
  <si>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</si>
  <si>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</si>
  <si>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</si>
  <si>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</si>
  <si>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</si>
  <si>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</si>
  <si>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</si>
  <si>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</si>
  <si>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</si>
  <si>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</si>
  <si>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</si>
  <si>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</si>
  <si>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</si>
  <si>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</si>
  <si>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</si>
  <si>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</si>
  <si>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</si>
  <si>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</si>
  <si>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</si>
  <si>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</si>
  <si>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</si>
  <si>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</si>
  <si>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</si>
  <si>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</si>
  <si>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</si>
  <si>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</si>
  <si>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</si>
  <si>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</si>
  <si>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</si>
  <si>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</si>
  <si>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</si>
  <si>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</si>
  <si>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</si>
  <si>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</si>
  <si>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</si>
  <si>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</si>
  <si>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</si>
  <si>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</si>
  <si>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</si>
  <si>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</si>
  <si>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</si>
  <si>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</si>
  <si>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</si>
  <si>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</si>
  <si>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</si>
  <si>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</si>
  <si>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</si>
  <si>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</si>
  <si>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</si>
  <si>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</si>
  <si>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</si>
  <si>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</si>
  <si>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</si>
  <si>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</si>
  <si>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</si>
  <si>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</si>
  <si>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</si>
  <si>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</si>
  <si>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</si>
  <si>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</si>
  <si>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</si>
  <si>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</si>
  <si>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</si>
  <si>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</si>
  <si>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</si>
  <si>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</si>
  <si>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</si>
  <si>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</si>
  <si>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</si>
  <si>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</si>
  <si>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</si>
  <si>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</si>
  <si>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</si>
  <si>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</si>
  <si>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</si>
  <si>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</si>
  <si>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</si>
  <si>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</si>
  <si>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</si>
  <si>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</si>
  <si>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</si>
  <si>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</si>
  <si>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</si>
  <si>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</si>
  <si>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</si>
  <si>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</si>
  <si>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</si>
  <si>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</si>
  <si>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</si>
  <si>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</si>
  <si>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</si>
  <si>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</si>
  <si>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</si>
  <si>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</si>
  <si>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</si>
  <si>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</si>
  <si>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</si>
  <si>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</si>
  <si>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</si>
  <si>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</si>
  <si>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</si>
  <si>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</si>
  <si>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</si>
  <si>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</si>
  <si>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</si>
  <si>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</si>
  <si>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</si>
  <si>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</si>
  <si>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</si>
  <si>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</si>
  <si>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</si>
  <si>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</si>
  <si>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</si>
  <si>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</si>
  <si>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</si>
  <si>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</si>
  <si>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</si>
  <si>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</si>
  <si>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</si>
  <si>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</si>
  <si>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</si>
  <si>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</si>
  <si>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</si>
  <si>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</si>
  <si>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</si>
  <si>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</si>
  <si>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</si>
  <si>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</si>
  <si>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</si>
  <si>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</si>
  <si>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</si>
  <si>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</si>
  <si>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</si>
  <si>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</si>
  <si>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</si>
  <si>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</si>
  <si>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</si>
  <si>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</si>
  <si>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</si>
  <si>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</si>
  <si>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</si>
  <si>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</si>
  <si>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</si>
  <si>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</si>
  <si>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</si>
  <si>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</si>
  <si>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</si>
  <si>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</si>
  <si>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</si>
  <si>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</si>
  <si>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</si>
  <si>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</si>
  <si>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</si>
  <si>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</si>
  <si>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</si>
  <si>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</si>
  <si>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</si>
  <si>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</si>
  <si>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</si>
  <si>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</si>
  <si>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</si>
  <si>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</si>
  <si>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</si>
  <si>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</si>
  <si>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</si>
  <si>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</si>
  <si>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</si>
  <si>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</si>
  <si>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</si>
  <si>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</si>
  <si>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</si>
  <si>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</si>
  <si>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</si>
  <si>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</si>
  <si>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</si>
  <si>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</si>
  <si>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</si>
  <si>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</si>
  <si>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</si>
  <si>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</si>
  <si>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</si>
  <si>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</si>
  <si>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</si>
  <si>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</si>
  <si>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</si>
  <si>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</si>
  <si>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</si>
  <si>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</si>
  <si>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</si>
  <si>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</si>
  <si>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</si>
  <si>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</si>
  <si>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</si>
  <si>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</si>
  <si>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</si>
  <si>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</si>
  <si>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</si>
  <si>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</si>
  <si>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</si>
  <si>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</si>
  <si>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</si>
  <si>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</si>
  <si>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</si>
  <si>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</si>
  <si>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</si>
  <si>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</si>
  <si>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</si>
  <si>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</si>
  <si>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</si>
  <si>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</si>
  <si>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</si>
  <si>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</si>
  <si>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DCA-CATCHUP-2-EXECUTED</t>
  </si>
  <si>
    <t xml:space="preserve">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</si>
  <si>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 xml:space="preserve">DCA-CATCHUP-2-CONFIRMED</t>
  </si>
  <si>
    <t xml:space="preserve">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</si>
  <si>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 xml:space="preserve">SECTOR-REVIEW-DECISIONS</t>
  </si>
  <si>
    <t xml:space="preserve">Sector-history review (Alan, 10/7/26) on the S&amp;P sector-return workbook Taylor committed (docs/S&amp;P Sector and Subsector Total Returns 2011-2031_UPDATED(static).xlsx); read-only analysis, nothing written to the workbook. FINDINGS (11 GICS sector rows, 2011-25): only Information Technology (20.7% a year vs the S&amp;P's 14.1%) and Consumer Discretionary (14.7%) beat the S&amp;P over 15 years, and the S&amp;P beat an equal-weighted basket of the sectors in 10 of 15 years, so 'beats the S&amp;P' is mostly a mega-cap effect; year-to-year sector rank correlation averages -0.03 (leadership rotates); in the four weak S&amp;P years (2011, 2015, 2018, 2022) Health Care beat the S&amp;P every time (+10.8 points on average) and Utilities and Staples in 3 of 4; the file's 2027-31 forecast column is the S&amp;P's 5.2% plus 25% of each sector's 15-year gap to the S&amp;P (rebuilt for all 11 sectors), so it adds no information. THE BOOK (10/7 marks): direct stocks are 48% of the portfolio, ETFs 45%, cash 7%; Technology is 27.5% of the portfolio at market (20.9% at cost, row 99) and there is no direct stock exposure in Consumer Cyclical, Consumer Defensive, Energy, Basic Materials or Utilities; through the ETFs the book is as tech-heavy as the S&amp;P (42% of equity vs 40%) with Energy 8 points overweight; the seven semiconductor / AI-hardware names are 21% of invested weight but 40% of portfolio variance; 36-month weekly correlations with the book are lowest for PG .10, ABT .11, YUM .21, KGS .29, DPZ .35, COST .38 and highest for ETN .67 and APH .70. DECISIONS (Alan): (1) Open Items #19's method (rank sectors by 30-year gains vs the S&amp;P) -- revision PENDING FURTHER REVIEW; the proposal was open spot x low correlation to the book x System quality and cap room, with long-run sector return as a tiebreak only. (2) The 25% sector cap is measured at MARKET value, so Technology (27.5%) is over it and takes no new names; the CRWD sale due 11/3 brings it to about 23.8% (rulebook wording: Open Items #39). (3) The screening slate and pace to DCA-CATCHUP-3 on 10/22 'works' (Open Items #37). (4) The sector-driver study (macro, political and global drivers of sector returns) waits until after 10/22 (Open Items #36). Also added: #38, refresh the stale Sector Exposure Reference on CANDIDATES LIST.xlsx.</t>
  </si>
  <si>
    <t xml:space="preserve">ADBE-REVIEW-FACTS</t>
  </si>
  <si>
    <t xml:space="preserve">ADBE (Alan, 10/7/26, end of day): "ADBE proving to be a very big dog ... down now &gt;20% ... something is very not right with that company." FACTS at the 10/7 close of $232.77: 65 sh in JT ULTRA, 2.1% of the portfolio, cost basis $19,163.84 ($294.83 a share), -21.0% on cost (the 45 legacy shares cost about $307: -24%; the 8/7 System lot of 20 sh at $266.38: -12.6%); -35.3% from the 52-week high ($359.91) and -58% from the 12/6/24 high ($552.96); 6-month return -2.7% against the S&amp;P's +15.6% (Relative Strength -18.3 points, so the indicator scores 1); under its 200-day average. A further 50% fall would cost about 1.1% of the portfolio. It is not alone: since 12/31/25 Intuit -55%, Oracle -26% and Autodesk -21% against the software ETF +4%, while our CRWD, PLTR and VEEV are up. WHAT MOVED: CEO succession announced 9/3 after the close (Chakravarthy CEO on 12/1, Narayen to executive chair; the head of Digital Media is also leaving; the CFO left in June), the stock -6.7% on 9/4; Q3 on 9/10 per the 8-K: revenue $6.76B +13%, a record $2.52B of operating cash flow, $2.23B of buybacks in the quarter, Q4 revenue guide $6.80-6.85B (a hair under consensus), FY ending-ARR growth target 10.2%; per press coverage and NOT in the 8-K: net new ARR down about 38%, cRPO growth down to 9%, a free-tier pivot that holds back price increases, and a Morgan Stanley Underweight at $240. At $232.77 the stock trades near 10x trailing free cash flow (yfinance, before the Part 10 stock-comp deduction), so the market is pricing a structural-decline case; nothing in the fundamentals is new since the 9/30 deep dive (row 66), only the price (-3%). WHAT THE RULES SAY: the rulebook has no price stop-loss. Part 6 Hold Through treats a "short-term price decline of 20-30% with no change in Tier 1/2 fundamentals", an earnings miss, analyst downgrades and negative press as noise (ADBE's slide is neither short-term nor within 20-30%: 21 months and -58% from the 2024 high, though only -21% on our cost), and no Part 6 sell trigger is met (revenue growing 13%, FCF Yield 5, ROIC above WACC, Moat not "absent"). The rubric gap: Revenue Visibility scores the SHARE of next-12-month revenue that is recurring (over 80% = 5), not the trend in net new ARR or RPO, and Technical Trend 1 is defined as "timing delay only -- not a sell signal"; Management Quality is already 3 (the rubric defaults a new CEO to 3). OWED under the rules: the Rule 5 review of Relative Strength = 1 (scored 1 at the 9/13 and 9/30 rechecks; "not written up as such", row 99), the Holding Monitor rows for ADBE / VRTX / PLD, and the Moat / Management re-check set for the 12/9 earnings (Open Items #14). Rule 5's outcomes are reaffirmed, resized or referred to Part 6, so a trim through a documented Rule 5 review is not an override of Hold Through; a sale outside it would be a discretionary override of Hold Through and Part 3 (Core Hold / Add), as with the 10/5 decision on the legacy lots (row 99). Tax is no factor either way (Rule 44; Alan's carryforward losses). Evidence on stop-loss designs and the options: row 108. NO DECISION on ADBE recorded; Open Items #40.</t>
  </si>
  <si>
    <t xml:space="preserve">STOP-LOSS-EVIDENCE-OPTIONS</t>
  </si>
  <si>
    <t xml:space="preserve">Stop-loss evidence and options (10/7/26, for the ADBE question in row 107; analysis only, no decision). TEST: 110 stocks from the scored and candidate lists (including our rejected names), daily total returns 2011-2026, an entry every 21 trading days (17,298 entries), 12-month holds, exit to cash after a stop with no re-entry. It is survivorship-biased and ran through a long bull market, which understates what stops protect. RESULTS: buy-and-hold averaged +22.1% (median +15.1%), with a 5th percentile of -35.5%, a worst case of -95% and 6.8% of entries ending down 30% or more. Plain stops (-15% to -30% from entry, trailing -20% to -30% from the peak, a close under the 200-day average) cut the 5th percentile to between -16% and -33% and the worst case to about -50% to -86% (gaps), but cost 3 to 14 points of average return, fired in 17% to 84% of entries and whip-sawed about 48% of the time (holding would have ended 10+ points better) against about 20% saved (10+ points worse). A stop confirmed by price AND trend (-20% from entry with 6-month Relative Strength at or below -20 points and a close under the 200-day average) cost 2.6 points, cut the 5th percentile to -26% and the worst case to -58%, fired in 22% of entries and whip-sawed 40% vs 25% saved; halving the position once at -25% cost 1.7 points (5th percentile -31%, worst -61%). AFTER A DEEP FALL (a 30%+ drop from the 52-week high with weak Relative Strength and a close under the 200-day average; 557 events): median 12-month return +17% (-1.2 points vs the S&amp;P), 33% still down at 12 months, 49% fell a further 15%+ within 6 months against 29% for all entries (2023-26 events: median -15.6 points vs the S&amp;P) -- a deep fall marks further-downside risk, not a reliable exit signal. WHICH HOLDINGS TRIP A CAUTIOUS TRIGGER TODAY: ADBE is the only one 20% below cost; adding "at least 35% below the 52-week high with Relative Strength 1 and under the 200-day average" also flags VRT and NFLX (KLAC, 35% off its high but +28% on cost with positive Relative Strength, would not). OPTIONS (none decided): A, keep Hold Through as is: finish ADBE's Rule 5 review and Holding Monitor rows, Moat re-check on 12/9. B, add a price-triggered RE-UNDERWRITE ladder with trend confirmation: 20%+ below cost with Relative Strength 1 or under the 200-day average forces a re-underwrite within 10 trading days (fresh Tier 1 reread including leading indicators, the Rule 5 review in the Journal, no additions meanwhile, repeated every 90 days); 30%+ below cost with the re-underwrite finding leading-indicator deterioration or a Tier 1/2 score cut trims one third (as Rule 34 does for Probationary Holds), a second confirmation another third; 40%+ below cost with Relative Strength 1 and under the 200-day average for 8 weeks goes to Exit Review (sell within 30 days unless a documented 90-day plan exists). C, a mechanical price stop: not supported by the test. Related gaps: a leading-indicator qualifier for ARR / backlog names (cap Revenue Visibility at 4, or the classification at Buy, while net new ARR or RPO growth is decelerating), and a cluster-level drawdown review for the AI / semiconductor names, which carry 40% of portfolio variance (Rule 38's 20% cluster cap). Any new Hard Rule needs a v1.05 revision with the numbering cascade (CLAUDE.md). Open Items #40.</t>
  </si>
  <si>
    <t xml:space="preserve">STOP-REVIEW-LADDER-ADOPTED</t>
  </si>
  <si>
    <t xml:space="preserve">Alan, 10/8/26: ADOPTED the price-triggered re-underwrite ladder (option B of row 108) as standing policy for held stocks, in place of a mechanical stop-loss -- a controlled, rule-driven response. Hold Through still means a price decline alone never forces a sale; the ladder makes price force the leading-indicator work and limits what may be done meanwhile. DEFINITIONS (measured at each weekly close from the position's cost basis in Current Positions and prices in Market Data / Price History): RUNG 1 -- a holding 20% or more below its cost basis AND (Relative Strength vs SPY scored 1, i.e. behind the S&amp;P by more than 15% over 6-12 months, OR the price under its 200-day average): no additions of any kind (DCA included) and a documented re-underwrite within 10 trading days -- a fresh Tier 1 reread, the leading indicators for the business model (subscription: net new ARR, RPO / cRPO growth, retention; others: backlog, bookings, volume, estimate revisions), and the Rule 5 review concluded in the Journal as reaffirmed, resized or referred; a reaffirmation lasts 90 days and is then repeated. RUNG 2 -- 30% or more below cost AND the re-underwrite finds deterioration in a leading indicator or cuts a Tier 1/2 score: trim one third of the shares (as Rule 34 does for a Probationary Hold); a second confirmation at the next review trims another third. RUNG 3 (backstop) -- 40% or more below cost with Relative Strength 1 and the price under its 200-day average for 8 consecutive weeks: Exit Review (sell within 30 days unless a documented 90-day remediation plan with a credible path back exists). COMPANIONS still to design: (a) a leading-indicator qualifier for ARR / backlog names (Revenue Visibility capped at 4, or the classification at Buy, while net new ARR or RPO growth is decelerating); (b) a cluster-level drawdown review for the AI / semiconductor names (40% of portfolio variance; Rule 38's 20% cluster cap). STATUS: adopted as policy today. The rulebook text (v1.05, mind the numbering cascade) and an automatic check in the weekly run are Open Items #41 and #42; until the check exists Claude applies the ladder by hand at each tranche prep and whenever asked.</t>
  </si>
  <si>
    <t xml:space="preserve">ADBE-RULE5-REVIEW</t>
  </si>
  <si>
    <t xml:space="preserve">Rule 5 review of ADBE (Relative Strength has scored 1 since the 9/13 recheck; "not written up as such", row 99), concluded 10/8/26 under the ladder adopted today (row 109). CONCLUSION: REAFFIRMED, additions frozen, re-underwrite repeats at the 12/9 earnings or in 90 days (1/6/27), whichever comes first. (Alan, 10/8: "adopt the ladder"; his 10/7 lean was reaffirm with adds frozen. Recorded as reaffirmed on that basis -- say so if you read it differently.) BASIS: a fresh Tier 1 quant reread on 10/8 (landry.sec_ttm, TTM to 8/28/26: FCF after stock comp $8.52B, FCF yield 9.4% -&gt; 5, margin 32.8% -&gt; 5, revenue CAGR 10.9% -&gt; 4) is unchanged from 9/30, composite 85.8 STRONG BUY. The leading indicators were checked against primary sources (9/10 call transcript, 10-Q, SEC XBRL), which confirm what row 107 logged as press-reported: total ending ARR $27.5B, +11.2% (about +9% excluding Semrush); net new ARR -36% to -37% y/y (an analyst's figure that management did not dispute, attributing it to steering traffic into the freemium funnel); RPO $22.16B, +8.4% (Q2 +13.1%) and cRPO +9%; the FY ending-ARR growth guide of 10.2% reiterated, with Q4 net new ARR above Q3's (about $0.78B implied, my derivation). Chart context: 21% below cost, 35% below the 52-week high, 6-month Relative Strength -18.3 points, under the 200-day average, inside an application-software repricing (Intuit -55% YTD, Oracle -26%, Autodesk -21%). WEIGHED: the ARR / RPO trend forecasts slower revenue growth next year (36 software names: RPO growth 4.6 points under revenue growth implies about -5 points, i.e. 7-9% growth) but not returns; at 10.7x FCF after stock comp (9.4% yield) the price already implies roughly zero perpetual growth at a 10% hurdle; Moat 4-&gt;3, Revenue Visibility 5-&gt;4 and Revenue Growth Consistency 4-&gt;3 together would still leave the composite at 77.8 (BUY). No Part 6 sell trigger is met. LADDER POSITION: rung 1 (the only holding 20% below cost); rung 2 does not apply (21% below cost, not 30%). Management Quality stays 3 (new-CEO default; the CEO changes 12/1 and the Digital Media president is leaving). TRIPWIRES for 12/9: Q4 net new ARR at or above about $0.75B; FY27 ending-ARR growth guide at or above about 8% organic; RPO growth near 8% or better with the usual Q4 step-up; evidence that freemium users convert to paid. Two misses -&gt; re-score Moat and Revenue Visibility, and trim a third under rung 2 if the price is then 30% or more below cost with deterioration found. The Holding Monitor rows for ADBE / VRTX / PLD are still to be added (Open Items #40). Rows 107-108 stand as the record of the evidence; this row supersedes row 107's "press-reported" wording.</t>
  </si>
  <si>
    <t xml:space="preserve">SCREEN-SLATE-REVISED</t>
  </si>
  <si>
    <t xml:space="preserve">Alan, 10/8/26: APPROVED the revised screening slate for DCA-CATCHUP-3 (Open Items #37 and #43). WHY: the first-wave names, run through the System's own quant (SEC trailing-12-month filings), Rule 14 and the leverage cap, were mostly out -- COST at 49.7x P/FCF with a 2.0% yield and a 2.8% FCF margin; YUM, DPZ and KGS at about 16x, 9.6x and 10x Debt/FCF; ABT's revenue growth consistency scores 2 (quant Tier 1 2.7); AGI, GEV and HWM at 53x, 72x and 65x P/FCF. An S&amp;P 500 screen of 322 non-technology, non-financial names (quant Tier 1 average at least 3.4, no indicator at 1, P/FCF at most 50x, Debt/FCF at most 5x) passes 67, 45 of them new to us; none is a Utility (capex makes FCF negative), so Utilities needs the Part 10 adapted screen. ORDER (approved): 10/8-10/10 PG, SJM, CHD (Staples; 36-month weekly correlation to the book .10, .06, .04; 6-month relative strength above -15); 10/13-10/15 DXCM, GILD, and EXPE or ETSY; 10/16-10/20 CL, VRSK and the Utilities adapted screen; 10/20-10/21 Rules 9-14 gates, Implied-Return rows, the correlation check, the Fidelity scan and the pack. PARKED: COST, YUM, DPZ, KGS, AGI, GEV, HWM and the names in downtrends (relative strength 1: HSY, DECK, LULU, ZTS, BSX and others) until a Rule 5 review is written; CMG stays in play but needs one (relative strength -19). ABT keeps its 10/13 re-look (Open Items #34), low priority. SAME DECISION: build the stop-review ladder's check first (Open Items #42, python -m landry stops).</t>
  </si>
  <si>
    <t xml:space="preserve">STOPS-CHECK-BUILT</t>
  </si>
  <si>
    <t xml:space="preserve">Built the stop-review ladder's check (Alan, 10/8/26: "stops check" first; Open Items #42, policy row 109). python -m landry stops [--live] prints, for every held scored stock, the loss against its cost basis (Current Positions, all accounts), the drop from the 52-week high, 6-month Relative Strength vs SPY, the price against its 200-day average (the last 40 weekly closes) and the rung (1: 20% below cost AND (RS 1 OR under the average): no additions, re-underwrite within 10 trading days; 2: 30% below + deterioration found: trim a third; 3: 40% below + RS 1 + 8 weeks under: Exit Review); exit status 2 means a holding needs attention. It only reports. A re-underwrite is recorded with python -m landry stops record TICKER --conclusion reaffirmed|resized|referred --journal-row N --next DATE into landry_stops.json (ADBE: reaffirmed 10/8, next check 12/9, additions frozen); a current review keeps additions frozen for 90 days or until its next check. landry audit fails stop_review_ladder when a holding is on a rung with no current review, and landry weekly prints a Ladder line, so the Saturday report says NEEDS ATTENTION. Today (weekly prices through 10/2) nothing is on a rung: ADBE is 19.4% below cost (approaching); with today's closes (--live) it is 20.2% below, under its 40-week average for 5 weeks, on rung 1 with its review current. 23 new tests (767 pass). SAME PASS: Alan's REVIEW copy of the workbook (format edits made in Excel) was NOT promoted -- its Scoring tab had been sorted by Tier 1 average, which left 48 of 49 Entry Checklist rows showing another ticker beside the inputs typed for VEEV, SLB, GE and the rest, and the Dashboard's first rows blank. Ported instead the mechanical edits (gridlines off on Current Positions, Entry Checklist and the Scratchpad; Entry Checklist frozen at C3 and Returns (Calc) at B3; filter buttons on the Dashboard table; Performance Tracking font sizes; 24 column widths), added the audit check scoring_row_order (the typed Implied-Return tickers must sit one row below their Scoring row; it fails on the REVIEW copy) and a do-not-sort note in Scoring A1. The Dashboard filter buttons are fine for filtering, never for sorting. The audit's page_setup check flags the gridlines change until it is committed.</t>
  </si>
  <si>
    <t xml:space="preserve">RULEBOOK-V1-05</t>
  </si>
  <si>
    <t xml:space="preserve">Rulebook v1.05 (Alan, 10/8/26: "revise / update LANDRY SYSTEM 1-05_FINAL" and "update Rules summary list 1.05"; Open Items #39 and #41). LANDRY_SYSTEM_v1-05_FINAL.docx replaces v1-04 (git history is the archive). CHANGES: (1) a new Part 6 block, Hard Rules: Stop-Review Ladder, after Hold Through -- rungs 1-3 exactly as adopted in row 109, a "not a price stop" bullet and a record bullet -- built as an UN-NUMBERED block, like Hold Through, on purpose: a numbered rule inserted in Part 6 would have renumbered Rules 38-51 (Correlation Cap would become 41) and every citation in the workbook, code, tests and notes, the cascade Alan wanted to avoid on 10/1; (2) Hold Through's first condition now reads "...this is noise, unless a Stop-Review Ladder rung (below) has been reached"; (3) Rule 16 (sector cap) now says it is measured at market value on direct holdings, ETFs not looked through (Alan, 10/7: market); (4) Revision History v1.05 entry (Part 9 Change Control: evidence, expected benefit, unintended consequences, effective date 10/8, ADBE on rung 1), title page and version strings; (5) Part 12 and the Appendix's embedded copy of the workbook instructions no longer call the Dashboard "sortable" and carry the new rule reference. The numbered Hard Rule count stays 51 and no rule number moved (only Rule 16's text changed; checked against the register). The docx passes the docx skill's schema validation and renders cleanly (ladder block on one page with its heading). NOT in v1.05, still to design: the leading-indicator qualifier for ARR / backlog names and the cluster-level drawdown review (Open Items #44). The printable Hard Rules list is v1.05 (docs/, six pages now: the quick reference gained the ladder). The workbook's Instructions tab (stale at v1.03 since 10/1) now says v1.05, 51 numbered Hard Rules and carries a rule reference with Rules 1-5, 16, 34, the ladder, 38, 39 and the bands. SAME DAY: the REVIEW copy of the workbook was deleted at Alan's word (its Scoring tab had been sorted; row 112 has the account); Scoring B2 now reads DO NOT SORT in red bold above "Company", with the A1 note, and the audit's scoring_row_order check guards the order.</t>
  </si>
  <si>
    <t xml:space="preserve">SCREEN-WAVE1-RULE12</t>
  </si>
  <si>
    <t xml:space="preserve">Screening restarted 10/8/26 (Alan: "resume screening?"; slate in Open Items #37, Journal row 111). Fresh `landry draft` quant rereads on the fiscal-year basis, SEC trailing-12-month data as the second opinion; everything below is a PROPOSAL in landry_scores.json, nothing approved. WAVE 1 (Staples): PG 4 / 3 / 4 (yield 4.2%, revenue CAGR 2.0% CV 0.63, margin 16.8%) with RELATIVE STRENGTH 1 (blended -16.4%) and TECHNICAL TREND 1 (under the 200-week average, monthly MACD negative, Supertrend bearish), so a Rule 5 review would be needed; earnings 10/22. SJM 5 / 2 / 3 (yield 8.9%, CAGR 2.0% CV 2.17, margin 12.5%), ROIC 1.5% vs WACC 5.1%, Debt/FCF 6.2x on FY26 FCF (over 5x caps the composite at 65); the screen's 4.1 used trailing FCF of $1.56B, which is a timing artifact (Q1 FY26 operating cash flow was -$11M against +$426M in Q1 FY27; FY26 FCF is $1.13B). CHD 4 / 3 / 4, relative strength 2, earnings 10/30. THE GATE THAT BINDS is Rule 12 (Part 4: Base implied 5-year return above 10%, Bear 0% or higher). The terminal multiple may not exceed today's P/FCF or the 5-year median, so Base is about per-share FCF growth plus the dividend yield WHATEVER THE PRICE (a lower price lowers the allowed multiple with it): PG needs 7.7% a year (consensus EPS +1.3% FY27, +6.0% FY28; Base about 8.0% at 5.5%), SJM 6.9% (about 8.2% at 5%), CHD 9.0% (consensus about 7%, Base about 8.1%), and the same pre-check puts CL (needs 8.1%), JNJ (8.3%) and CMG at 7.5%-8.2% Base, as COST was (8.5%, calculator row 20). Bear passes (+0.5% to +1.6%). So no Staples name from this screen can enter at any price; the ordering by sector fit and correlation never tested Rule 12. PRE-CHECK ON THE 67 PASSERS in #43 (2-year consensus EPS CAGR capped at 15% plus the dividend yield, flat multiple; screening-level, NOT the formal Base): clear or narrow passes include DXCM, EXPE, MCK, VRSK, PAYX, ADP, BR, SYK, TJX, GD, STE, CTAS, RL and GILD (narrow: its 2026 EPS carries an acquired-R&amp;D charge); fails include PG, SJM, CHD, CL, JNJ, CMG, BKR, SLB, CPRT, ZTS. MNST is the one Staples name that clears (consensus EPS growth about 16%, correlation .14) but sits at 43.6x P/FCF against the 50x ceiling and its 5-year median multiple must be checked. WAVE 2 quant rereads: DXCM 4 / 5 / 4 (quant 4.3; RS 4, trend 4; earnings 10/29; max correlation .41 VFLO); GILD 4 / 2 / 5 (3.6; revenue consistency is its one low score; trailing FCF $12.0B is flattered by a weak H1 2025, FY25 FCF is $8.6B; earnings 10/29; correlation .56 VRTX); EXPE 5 / 3 / 4 (4.1; volume 2; earnings 11/4; correlation .62 VEEV). None triggers Rule 5. PROPOSED, NOT YET DECIDED: drop the Staples-first wave (each name fails a Hard Rule before any judgment work), make the Rule 12 pre-check the first gate for every new candidate, and take DXCM, then EXPE, then MCK / VRSK through judgment scoring, GILD only with a documented 8%+ per-share FCF growth case. The 10/7 look-through gaps are Consumer Cyclical (-4.6), Communication (-4.0) and Financials (-3.5); Staples is not an active bet there. How to get Staples ballast, if wanted, is Open Items #45.</t>
  </si>
  <si>
    <t xml:space="preserve">SCREEN-REORDER-ETF-STRATEGY</t>
  </si>
  <si>
    <t xml:space="preserve">Alan, 10/8/26, on the screening findings in row 114: (1) "yea, drop staples and proceed" -- the Staples-first wave (PG, SJM, CHD, CL) is dropped from the slate, the Rule 12 pre-check (Base about per-share FCF growth plus dividend yield, flat multiple) is the first gate for every new candidate before any judgment work, and screening proceeds with DXCM, then EXPE, then MCK / VRSK / PAYX; GILD only with a documented 8%+ per-share FCF growth case; MNST only if its 5-year median multiple leaves room under the 50x ceiling. (2) "we'll pick up on ETF strategy consideration since that's a genuine need/consideration we should incorporate in our strategy and rules" and "Let's consider [the Staples-ballast question] as part of overall ETF strategy": ETF strategy is now a wanted addition to the strategy and the rulebook, not a someday item. Open Items #7 (formal ETF treatment) is REOPENED and carries the scope: how ETFs count as positions (dry powder vs scored vs a separate sleeve; the 5-15% cash band and the 25% sector cap; look-through, #39), Rule 38 for the ETF cluster (#13, #25), ETFs as the source of defensive ballast now that Rule 12 screens out low-growth defensive single names, and how ETFs are selected. #45 is folded into #7. It is picked up after the DCA-CATCHUP-3 screening, not before; until then the tactical dry-powder treatment and the SPMO-first funding order stay in force. CORRECTION found while doing this: the 9/13 edit that closed #11 (recheck of DPZ, PG and GE; see rows 53-54) wrote its Done mark and note into #7 instead, so the ETF policy item had read Done since 9/13 and #11 had stayed open. #7 is reopened with its original pointer (row 37) and #11 now carries the close-out; CLAUDE.md and the ETF memory had it right (still open).</t>
  </si>
  <si>
    <t xml:space="preserve">DXCM-SCORING-PROPOSAL</t>
  </si>
  <si>
    <t xml:space="preserve">DXCM (Dexcom) first pass, judgment scoring and Rules 9-14, 10/8/26: PROPOSALS ONLY, awaiting Alan (order set in rows 114-115; Open Items #37). QUANT (fiscal-year basis, `landry draft`): FCF yield and trend 4 (yield 2.9%, trend expanding), revenue growth consistency 5 (CAGR 17.0%, CV 0.32), FCF margin trend 4 (19.7% expanding; 25.0% trailing), valuation 4, analyst consensus 5, technical trend 4, volume 4, relative strength 4 (blended +12.9%), ROIC vs WACC 5 (low confidence; 26.4% vs 10.3%). JUDGMENTS proposed with evidence in landry_scores.json (source manual, pending): competitive moat 3 (medium), revenue visibility 4 (medium), management quality 3 (medium). Moat 3 because fewer than two of the four tests are positive: pricing power is negative (the 10-K expects falling prices; from 1/1/2028 Medicare CGM payment resets at the 75th percentile of about ten winning bids), gross margin is mildly positive (63.4% in Q2 2026), switching cost has no disclosed persistency figure and Tandem now also integrates Libre, and US share is about 44.7% against Abbott's 48.5%. Management 3 is the new-CEO default (Jake Leach since 1/1/2025) with accretive buybacks ($500M at about $65 in 2025, $600M at about $70 in H1 2026, new $1B program) set against an unclosed FDA warning letter (3/2025), 2025 out-of-box failures, a Class I receiver recall, securities and G6/G7 class actions and an Elliott settlement (5/14/2026). COMPOSITE 78.4 BUY with valuation scored 3 (P/FCF 29x on FY26E against Abbott 25x, PEG 1.35; the draft's 4 rests on a 5-year average inflated by 2021), 80.0 STRONG BUY with the draft's 4 -- a knife-edge that sets initial size (3% vs 5%); plausible range 71.8-86.6, never below 65; Tier 1 average 4.00. RULES: Rule 5 not triggered (RS 4, trend 4). Rule 9: price $84.30 is under the 200-week average of $92.04 and has not been above it in 52 weeks, so first purchase is HALF size with a 90-day technical review; Rule 10: monthly MACD -2.4 against a -6.6 signal, turning up. Rule 11: earnings 10/29, CMS ruling on non-insulin Type 2 coverage expected before year-end (upside), Medicare competitive-bidding registration late fall 2026, FDA letter, so entry after the 10/29 print unless the thesis includes it. Rules 12-13 on FY26E FCF of about $1.1B ($2.91 a share, 28.9x; H1 2026 FCF after stock comp was $551M): Base 12% a year gives +12.0% (Likely), Bear 6% a year at a 23.4x terminal (0.81 of Base) gives +1.6% (Possible), Bull 17% at 31.8x gives +19.3% (Possible); a stress of 3% growth at 20x gives -4.3% and is not part of the rule. Rule 14: 28.9x passes. Maximum correlation 0.41 (VFLO). Net cash ($1.95B against $1.25B of converts). Beta 1.48 takes 1% off the full-position maximum. SIZE at about $712K: Buy half-size 1.5% (about $10.7K), Strong Buy half-size 2.5% (about $17.8K). CONTEXT: Q2 2026 revenue $1.308B (+13%, 12% organic), non-GAAP operating margin 25.1%, 2026 guide $5.18-5.25B, long-range plan above 10% a year through 2030 with 29-30% operating margin; insiders only sold (Sayer $8.3M in nine months), no purchases. RE-CHECK HOOKS: FDA letter closure, a persistency figure, the CMS Type 2 ruling, the bidding outcome, the 10/29 print.</t>
  </si>
  <si>
    <t xml:space="preserve">DXCM-SCORES-APPROVED</t>
  </si>
  <si>
    <t xml:space="preserve">Alan, 10/8/26, on the DXCM first pass (row 116): "3-4-3-3" -- APPROVED competitive moat 3, revenue visibility 4, management quality 3 (all medium confidence) and valuation multiples 3, an analyst override of the draft's 4 recorded in landry_scores.json (original 4, final 3; the note is in the adaptation field). The eight quant drafts (FCF yield and trend 4, revenue growth consistency 5, FCF margin trend 4, analyst consensus 5, technical trend 4, volume 4, relative strength 4, ROIC vs WACC 5) remain PENDING because they were not individually put to him; the Scoring-tab row cannot be exported until all twelve are approved. With valuation at 3 the composite is 78.4 (BUY, Tier 1 average 4.00), so the initial-size ceiling is 3% of the portfolio and Rule 9 halves the first purchase to about 1.5% (~$10.7K at $712K). TIMING (Alan: "11/6"): enter after the 10/29 print on 11/6/26, a Friday; DCA-CATCHUP-4 is on file for Monday 11/9 because the 7th is a Saturday, so the prep for DXCM must be finished by 11/6 and the tranche date is Alan's to move. PRE-TRADE CHECKS to run in the 11/6 prep, per the standing DCA steps: a fresh `landry draft DXCM` after the print (this record will be 29 days old); the re-check hooks (FDA warning letter status, any persistency figure, the CMS Type 2 ruling, competitive-bidding registration, the print itself); the Fidelity info-tab scan; the Entry Checklist and Implied-Return rows (Scoring row plus a Dashboard row insertion, to be opened in Excel once); the Correlation Matrix check. SAME PASS: quant rereads of PAYX and CTAS, the only Rule 12 pass-list names with no earnings print before 10/22 (next prints 12/18 and 12/17), so the only candidates that could fund the 10/22 tranche without print risk. PAYX: FCF yield 5, revenue growth consistency 3, margin 5 (quant 4.1) but TECHNICAL TREND 1 and relative strength 2 (12-month -35.9%), analyst consensus 1 (2 of 19 buy-equivalent), correlation 0.64 with ADBE: a Rule 5 review is required and it has the ADBE pattern of a high yield the market distrusts. CTAS: 4 / 3 / 4 (quant 3.7), trend 5, relative strength 2 (-8.0%), P/FCF about 46x against the 50x ceiling, consensus EPS growth +12.1% / +11.2%, correlation 0.48 with PLD. CAPACITY NOTE: after DXCM and EXPE are held for 11/6, the 10/22 tranche (about $40-50K plus the ~$20K carry) has at most CTAS clean, so the rest waits for the 11/6 names or other uses; half-size first buys (about $10.7K each) mean a full tranche needs about six names.</t>
  </si>
  <si>
    <t xml:space="preserve">CTAS-UNIFIRST-BINARY-EVENT</t>
  </si>
  <si>
    <t xml:space="preserve">Qualifies row 117's remark that CTAS has no earnings print before 10/22: it does not clear Rule 11 either. Cintas signed a merger agreement for UniFirst on 3/10/26 (about $5.5B: $155.00 cash plus 0.7720 Cintas shares per UniFirst share, roughly 3-4% dilution and a rise in debt from $2.4B). The FTC issued a Second Request on 6/11/26; both companies certified substantial compliance on 10/2/26 and agreed not to close before 12/11/26 unless the FTC closes its probe first; the Canadian Competition Bureau has a supplementary request outstanding (answered 9/29); the parties still expect to close before year-end, and press reports a $350M reverse termination fee. Press accounts say the FTC is looking at local concentration (Nashville, Atlanta, Miami, Los Angeles) and that Cintas and UniFirst together would hold about half of US garment rental (a 2021 Baird estimate). That is a binary event the 10/22 purchase would sit under, and the thesis would have to include it: if the deal is blocked or forced into divestitures the case changes, and if it closes the combined company carries integration risk and more leverage. Cintas Q1 FY27 itself was clean (revenue $3.01B +10.9%, organic 8.9%, EPS $1.39 adjusted, guide raised to $12.15-12.27B and EPS $5.45-5.54), but on the System's numbers it is also expensive at about 46x P/FCF (FY basis) with Rule 12 passing narrowly (Base about 11.8% at 11% growth, Bear about +2.2%, Bull about 17%). PARKED until the FTC rules (earliest after 12/11), i.e. not a CATCHUP-3 or -4 candidate; revisit for CATCHUP-7 (12/22) or later. PAYX stays parked: Rule 5 (technical trend 1) and a 2-of-19 buy consensus. RESULT FOR THE 10/22 TRANCHE (CATCHUP-3, about $40-50K plus the ~$20K carry): no name on the Rule 12 pass list is clean on both the Rule 5 and Rule 11 tests: the rest print 10/28-11/5 (ADP and GD 10/28; SYK, DXCM, GILD 10/29; BR 11/3; MCK, EXPE, STE, ETSY 11/4; VRSK, RL, MNST 11/5; TJX 11/18). Part 5 says not to force positions to reach a target, so the choices for Alan are: hold the tranche as dry powder and deploy it on 11/6 with the post-print names; accept one or two prints inside an explicit thesis; or add to an existing Core Hold / Add position within the caps. Not decided.</t>
  </si>
  <si>
    <t xml:space="preserve">EXPE-SCORING-PROPOSAL</t>
  </si>
  <si>
    <t xml:space="preserve">EXPE (Expedia Group) first pass, judgment scoring and Rules 9-14, 10/8/26: PROPOSALS ONLY, awaiting Alan (next name in the order of rows 114-115; Open Items #37). KEY FINDING: the quant drafts' free cash flow is flattered by customer-prepayment float. Deferred merchant bookings rose $1.86B in FY2025 (balance $8.5B to $10.4B, +22% against gross bookings +8%) and net working capital supplied about $1.19B of the $3.88B operating cash flow; the trailing figure (after stock comp $4.05B, a 12.5% yield) adds roughly another $1B of float growth ($15.4B at 6/30/26). Part 10 says to adjust FCF for material working-capital timing: normalized FCF after SBC is about $2.0B for FY2025 and about $2.4B for FY2026E (adjusted EBITDA margin +150-175bp on revenue +9-10%), i.e. a yield near 7% and 12.3x P/FCF at $258.86 (10/7 close), not 8.3% / 12.5% and 7.7x. So two overrides are proposed at approval: FCF yield and trend 5 to 4 (yield level 5, trend only modestly expanding once float is stripped) and FCF margin trend 4 to 3 (normalized margin about 13-14%, flat). Other quant drafts stand: revenue growth consistency 3 (CAGR 8.1%, CV 0.18), valuation 5 (PEG 0.68, P/FCF under its 5-year average), analyst consensus 3 (45% buy; Morgan Stanley moved to Underweight at $235 on 9/16), technical trend 5, volume 2, relative strength 3 (blended +1.3%), ROIC vs WACC 5 (low confidence). JUDGMENTS pending in landry_scores.json with evidence: competitive moat 3, revenue visibility 2 (travel is transactional; only the B2B third of bookings rests on partner agreements), management 3 (new-CEO default: Ariane Gorin since 5/2024, new CFO Derek Andersen in 2026; Diller's Class B holds about a third of the votes; buybacks $1.7B in 2025 and $900M in H1 2026; insiders only sold) -- all medium. COMPOSITE 68.2 BUY at a Tier 1 average of 3.14, only just over the 3.0 floor; with the drafts' FCF numbers 74.2; plausible range 61.6-79.2, and a harsh combination (moat 2, visibility 1, valuation 4) gives 61.6 WATCH LIST with Tier 1 at 2.79, so this is a marginal Buy. RULES: Rule 5 not triggered (RS 3, trend 5); Rule 9 price above the 200-week average ($169.81) so standard size; Rule 10 monthly MACD positive; Rule 11 earnings 11/4, so entry on 11/6 is after the print, and AI-agent disintermediation is the live narrative risk (Meta's Muse agent launched 9/8, Morgan Stanley Underweight 9/16, stock down 24% from its 8/24 high of $338.64; Expedia is integrating with Muse as merchant of record); Rules 12-13 on normalized FY26E FCF of $2.4B ($20.96 a share): Base 11% a year gives +11.5% (Likely), Bear 5.5% at 10.0x (0.81 of Base's terminal) +1.9% (Possible), Bull 16% at 13.6x +18.7% (Possible); a stress of 3% growth at 9x gives -2.5% and is not part of the rule; Rule 14 passes at 12.3x. Maximum correlation 0.62 with VEEV (under 0.70); debt $5.5B is about 2.3x normalized FCF. SIZE at Buy: standard initial up to 3% (about $21K at $712K). It fills the look-through underweight in Consumer Cyclical (-4.6). CONTEXT: Q2 2026 gross bookings $33.9B (+12%), revenue $4.3B (+14%, about 4 points FX), adjusted EBITDA $1.12B (25.9%), B2C bookings +8% and B2B +21%; Q3 guide bookings +5-7% and EBITDA margin 32.5-32.8%; FY2026 guide revenue $16.05-16.22B. RE-CHECK HOOKS: the 11/4 print (bookings growth, B2C user trend, margin), any AI-agent booking data, the Muse hotel launch, CarTrawler integration.</t>
  </si>
  <si>
    <t xml:space="preserve">DXCM-EXPE-APPROVED</t>
  </si>
  <si>
    <t xml:space="preserve">Alan, 10/8/26: "approve EXPE" and "DXCM approve quant". DXCM is now COMPLETE in landry_scores.json: all twelve indicators approved by Alan (moat 3, visibility 4, management 3 and valuation 3 as approved in row 117; the eight quant drafts as drafted: FCF yield and trend 4, revenue growth consistency 5, FCF margin trend 4, analyst consensus 5, technical trend 4, volume 4, relative strength 4, ROIC vs WACC 5 at low confidence); the composite from the approved set is 78.4 BUY, as proposed. EXPE has FIVE of twelve approved: competitive moat 3, revenue visibility 2, management 3 (all medium, as drafted), and two analyst overrides of the draft recorded in the store with their Part 10 working-capital rationale -- FCF yield and trend 5 to 4 and FCF margin trend 4 to 3 (row 119). EXPE's other seven quant drafts (revenue growth consistency 3, valuation 5, analyst consensus 3, technical trend 5, volume 2, relative strength 3, ROIC vs WACC 5) remain PENDING because "approve EXPE" was put to him for the five items; with them as drafted the EXPE composite is 68.2 BUY (Tier 1 average 3.14). Neither name has been added to the Scoring tab: that needs a Scoring row each plus Dashboard row insertions (the Dashboard has no spare row left), Entry Checklist and Implied-Return rows, and an open in real Excel afterward, planned for the 11/6 prep so that one pass covers DXCM and EXPE. TIMING stays as set: DXCM entry 11/6 at half size (row 117); EXPE is a candidate for the same date, after its 11/4 print, at up to 3% -- not yet decided. OPEN PROCESS QUESTION for Alan: whether "approve &lt;ticker&gt;" should from now on also cover that ticker's mechanical quant drafts, so each name needs one reply instead of two.</t>
  </si>
  <si>
    <t xml:space="preserve">SCREEN-GATE-TABLE</t>
  </si>
  <si>
    <t xml:space="preserve">Gate check on the next names, 10/8/26 (read-only: fiscal-year quant drafts, the Rule 5 flags, Rule 12 pre-check at consensus growth, earnings dates and maximum pairwise correlation to the holdings; nothing written to the score store except the VRSK and MCK `landry draft` proposals). WHAT IT SHOWS: of 20 names tested after DXCM and EXPE (these 18 plus PAYX and CTAS), nine carry a Rule 5 flag (relative strength or technical trend at 1): VRSK (RS 1 at -31% blended, 12-month -50%, trend 1), PAYX (trend 1, RS 2, consensus 1), PODD, STE and SYK (RS 1 and trend 1), BR, GD, TJX, IDXX (RS 1); two exceed 0.70 correlation with a holding (ADP 0.74 and BR 0.77, both with VEEV); ROST's two-year growth is a recovery (+32.8%, then +2.1%) so its Base fails on the second year; UNH (prints 10/13) is a recovery story with quant 3.11 and litigation risk; MCK's FCF margin trend is 2 (1.3%) with working-capital-driven FCF and SBC not reported. UNFLAGGED and passing the Rule 12 pre-check: GILD (Base about 11.9%, messy 2026 EPS, prints 10/29), INCY (13.4%, 10/29), EW (15% capped, 41x P/FCF, 11/4), RL (13.2%, 36.8x, correlation 0.60 with ASML, 11/5), MNST (15% capped, 47x P/FCF near the 50x ceiling, correlation 0.38, 11/5), HAL (11.0%, energy services, 10/20). By sector the unflagged names are mostly Health Care (already about 3.9 points overweight on the 10/7 look-through) or Energy (about 7.9 overweight); the diversifying fits are RL (Consumer Cyclical) and MNST (Consumer Defensive, the one Staples name that clears Rule 12). OBSERVATION: the Rule 5-flagged group, plus EXPE (0.62 with VEEV), is largely the same AI-disruption-fear cohort the book already holds through ADBE, VEEV and CRWD (software, data, services, travel), so more of it concentrates one factor even though no rule is breached. IMPLICATION for the 11/6 pack and the DCA pace: after DXCM (half size) and EXPE (up to 3%) the single-name pipeline is thin -- about $32K of a $40-50K tranche plus the ~$20K carry (and the 10/22 tranche if held) -- so either the plan relaxes in pace, more Rule 5 reviews are done, or the ETF strategy (Open Items #7) has to supply part of the deployment. Not decided.</t>
  </si>
  <si>
    <t xml:space="preserve">SEC-TTM-FISCAL-YEAR-FIX</t>
  </si>
  <si>
    <t xml:space="preserve">Bug found and fixed in landry/sec_ttm.py while scoring RL (10/8/26). `_fiscal_year_ending_before` took the LATEST fiscal year on file instead of the year that ends the day before the year to date begins, so when the newest 10-K lacked a line item the trailing figure silently borrowed an older year: RL's FY2026 capex is absent from the SEC facts, so trailing capex was FY2025's $216M + this year's $53M - last year's $187M = $82M against about $296M, and trailing FCF read $1.12B (5.1% yield) against about $0.9B (4.1%). The function now requires the year to end within 12 days of the year-to-date start, so a missing year makes the newest window incomplete and the tool refuses ("supply the figure by hand"); the single-ticker command prints that as a message rather than a traceback. A regression test pins it (tests/test_landry_sec_ttm.py, 28 pass). CHECKS: `--holdings` reproduces the 10/5 comparison for MU, AVGO, PLTR, VRTX, ADBE, ANET, CRWD, KLAC, VRT, V and NFLX unchanged (VRT still the one REVIEW, ANET the knife-edge), and VEEV (bought 10/7, not in the 10/5 run) now lists as BY HAND for lack of a capex fact like GE, NVDA, PLD, ASML and TSM; of the 67 S&amp;P 500 screen passers (Open Items #43) only RL had been fed by a contaminated SEC figure -- ten others (ABNB, APP, ADP, EME, GE, HAL, HONA, INCY, IR, MCK) were already on the yfinance basis and would now be refused by the SEC path. RECHECKED IN FULL the same day (Alan: "bug effects on previous screens?"): the whole SEC stage of the 10/8 screen was re-run with the fix on all 322 names. 215 of the 219 names computed before give IDENTICAL figures (newest-window FCF and revenue, window count and all three Tier 1 quant scores); four were affected: APD (FCF -$1.85B, scores 1/1/1), LNT (a utility, FCF about zero) and LHX (quant 3.89 on SEC data, but Debt/FCF 6.8x) fail the screen on either basis, and RL passes on either basis -- only its P/FCF was wrong (19.3x in the screen against about 24x normalized, 37x on FY2026), still under the 50x ceiling. So no pass/fail flips and the 67-name pass list (Open Items #43) stands. The other 103 names never produced an SEC figure, so the bug could not have touched them. The names analyzed by hand on 10/8 (PG, SJM, CHD, DXCM, GILD, EXPE, PAYX, CTAS, MNST) reproduce exactly.</t>
  </si>
  <si>
    <t xml:space="preserve">RL-SCORING-PROPOSAL</t>
  </si>
  <si>
    <t xml:space="preserve">RL (Ralph Lauren) first pass, judgment scoring and Rules 9-14, 10/8/26: PROPOSALS ONLY, awaiting Alan (Alan: "Let's do RL, MNST then move on to ETFs"). QUANT (fiscal-year basis): FCF yield and trend 4, revenue growth consistency 3 (CAGR 8.0%, CV 0.60), FCF margin trend 3, valuation 3, analyst consensus 4 (17 of 19 buy), technical trend 5, volume 2, relative strength 2 (blended -10.9%, 6-month -19.4%), ROIC vs WACC 5 (low confidence). CASH FLOW: the reported FY2026 FCF (about $0.6B after SBC) carried an investment year of capex (about $430M against $216M), and the SEC trailing figure was wrong (row above); normalized FY27E FCF after SBC is about $0.9B with capex at the guided 4-5% of revenue, i.e. 4.1% on $21.9B and about 24x. The shares are 37.7M Class A plus 21.9M Class B = 59.6M; the 37.7M on the Yahoo summary is Class A only. JUDGMENTS pending with evidence in landry_scores.json: competitive moat 4 (pricing power, gross margin 73.7% and share gains clear three of the four tests), revenue visibility 2 (transactional; about 28% wholesale order books and 2% licensing), management 4 (Louvet since 2017, about $1.3B a year of buybacks, dividend +9.6%; held back by the Lauren-controlled vote, $100M of founder sales and the COO change) -- all medium. COMPOSITE 69.4 BUY at a Tier 1 average of 3.36; range 60.8-76.0, and a combined miss (moat 3, FCF yield 3, valuation 2) falls to 60.8 WATCH LIST. RULES: Rule 5 clear (RS 2, trend 5); Rule 9 standard size (price $361.14 against a 200-week average of $224.15); Rule 11 earnings 11/5, so entry 11/6 is the day after the print; Rules 12-13 on $15.10 a share of normalized FCF at 23.9x: Base 10% a year gives +10.8% (it needs 9.1%) -- a THIN pass --, Bear 5% at 0.81x +1.9%, Bull 14% +16.9%, stress 3% at 17x -2.4%; Rule 14 passes. Maximum correlation 0.60 (ASML). SIZE at Buy: up to 3% (about $21K). Fills Consumer Cyclical (-4.6 look-through). CONTEXT: Q1 FY27 revenue +14.0% (Asia +24%, China +40%, North America +13% with wholesale +22% including about 15 points from one resumed luxury account, Europe +7% with comparable stores +1%), average unit retail +15%, 1.5M new consumers, EPS $4.28; FY27 guide +5-6% constant currency with margin +60-80bp. RE-CHECK HOOKS: the 11/5 print (guide, Europe, tariff refunds), wholesale normalization, capex discipline.</t>
  </si>
  <si>
    <t xml:space="preserve">MNST-SCORING-PROPOSAL</t>
  </si>
  <si>
    <t xml:space="preserve">MNST (Monster Beverage) first pass, judgment scoring and Rules 9-14, 10/8/26: PROPOSALS ONLY, awaiting Alan. QUANT (fiscal-year basis): FCF yield and trend 4 (yield 2.3%, trend expanding), revenue growth consistency 3 (CAGR 9.5%, CV 0.36), FCF margin trend 4 (21.9%), valuation 4 (a 3 is recommended: P/FCF about 43x against a 5-year median of about 39-42x that I rebuilt from prices and SEC FCF, PEG 2.3; the draft's 74%-of-average rests on a 64x proxy inflated by the depressed 2022 FCF), analyst consensus 3, technical trend 5, volume 3, relative strength 3, ROIC vs WACC 5 (low confidence). Cash flow is clean: operating cash flow tracks net income (H1 2026 $1,114M against net income $1,154M), capex is light, TTM FCF after SBC is $1.96B. The stock split two-for-one on 8/11/26, so there are 1.96B shares and the price is about $43. JUDGMENTS pending with evidence in landry_scores.json: competitive moat 4 (all four tests clear: price increases with volume, 56% gross margin, Coca-Cola bottler distribution, +70bp US value share), revenue visibility 3 (repeat-purchase habit on distributor agreements, no volume commitments), management 4 (founder-led since 1990, no debt, $4.2B of cash and investments, opportunistic buybacks; held back by succession in the founders' mid-70s, the Americas CEO leaving for Coca-Cola North America on 11/30, and insider sales) -- all medium. COMPOSITE 73.8 BUY at a Tier 1 average of 3.64; 75.4 with the draft's valuation 4; range 67.2-80.4. RULES: Rule 5 clear (RS 3, trend 5); Rule 9 standard size ($42.88 against a 200-week average of $31.19); Rule 11 earnings 11/5; Rules 12-13 on $1.00 a share of FCF at 42.8x with the terminal multiple capped at the 5-year median (about 40x): Base 13% a year gives +11.5% (it needs 11.5%) -- a THIN pass that depends on 12%+ growth for five years --, Bear 6.5% at 32.4x +0.7%, Bull 18% +18.6%, stress 5% at 30x -2.2%; Rule 14 passes at 42.8x against the 50x ceiling. Maximum correlation 0.38 (PLD). SIZE at Buy: up to 3% (about $21K). The one Staples-type name that clears Rule 12. CONTEXT: Q2 2026 net sales $2.54B (+20.2%, 17.9% constant currency), US and Canada +11.5% against a +7.1% category, international +34.6% to 46% of sales at lower gross margins (EMEA 38.8%, Asia Pacific 41.4%, Latin America 46.2%), gross margin 55.9%, aluminum and tariff costs rising modestly through 2026, selective US price increases planned for Q4, an investor meeting 12/1/26. RE-CHECK HOOKS: the 11/5 print (US growth, gross margin), the Americas leadership, international margin dilution.</t>
  </si>
  <si>
    <t xml:space="preserve">QUANT-APPROVED</t>
  </si>
  <si>
    <t xml:space="preserve">Alan, 10/8/26: "Approve quant" -- every pending mechanical draft for EXPE (7), RL (9) and MNST (8) approved as drafted, by Alan, source quant_draft, in landry_scores.json. (The judgment scores and the overrides were approved earlier the same day: DXCM row 117, EXPE row 120, RL and MNST in the session after row 124.) All four names are now COMPLETE at 12 of 12 indicators, and the composites from the approved sets are exactly the proposals: DXCM 78.4 BUY (Tier 1 4.00), EXPE 68.2 BUY (3.14), RL 69.4 BUY (3.36), MNST 73.8 BUY (3.64). The approved overrides on record: DXCM valuation 4 to 3; EXPE FCF yield and trend 5 to 4 and FCF margin trend 4 to 3 (float-flattered FCF, row 119); MNST valuation 4 to 3. NOT DONE, planned for the 11/6 prep so one pass covers all four: the Scoring-tab rows (Company / Sector / Industry by hand), the Dashboard row insertions (the Dashboard has no spare row left; row surgery, to be opened in real Excel once), the Entry Checklist and Implied-Return rows, and a fresh `landry draft` for each name after its print (DXCM 10/29, EXPE 11/4, RL and MNST 11/5; the 10/8 scores will be 29 days old on 11/6). Entry dates and sizes are still Alan's to decide on 11/6; the Rule 9 / sizing notes in rows 116-124 stand (DXCM half size and EXPE, RL and MNST at standard size up to 3% each at Buy; Rule 12 passes are thin for RL and MNST).</t>
  </si>
  <si>
    <t xml:space="preserve">ETF-REPORT-BUILT</t>
  </si>
  <si>
    <t xml:space="preserve">ETF REPORT built 10/8/26 (Alan: "Turn it into an ETF Report, and we'll pick up the discussion tomorrow"). `python -m landry etf [--docx [PATH]] [--pdf]` (landry/etf_report.py, 13 tests) reads the workbook and prints, or writes docs/Landry ETF Report &lt;date&gt;.docx (+ PDF, three Letter pages): the sleeve, average-linkage groups at 0.70, Fama-French five-factor plus momentum loadings, sector look-through and overlap, risk contributions, candidate diversifiers, the rules the sleeve touches and the open design questions. It is read-only (yfinance prices and fund facts, Kenneth French's monthly factor files) and takes the ETF list from the Performance Tracking ledger's Type column. THE 10/8 RESULTS: ten ETFs, $321.5K = 45.1% of $712.6K (direct stocks 48.0%, cash and other 6.9%), weighted cost 0.35% (about $1.1K a year); JT ULTRA ETFs $154.6K with -$7.9K unrealized, Chase $166.9K with +$19.0K. Two groups that are each one bet and each over Rule 38's 20% cluster cap: AVUV + VFLO + VYM + DVY + SCHD + JEPI = 22.6% (average correlation 0.81, 14.1% of variance) and JEPQ + HELO + SPMO + the direct NVDA = 22.3% (0.80, 27.1%); KLAC + ASML is 4.7% (0.78). MLPI (7.2%, 94% energy) adds -0.5% of variance but has only 42 weeks of history. Direct stocks are 48.0% of weight and 74.5% of variance, the sleeve 45.1% and 25.5%; portfolio volatility 15.6% against SPY's 14.3%, beta 1.03, about 9.5 effective independent bets. Look-through of invested equity: Technology 42.1% against SPY's 40.5% (direct Technology is 27.5% of the portfolio against the 25% cap, 39.2% looked through), Energy +7.9 points, Health Care +3.9, Consumer Cyclical -4.6, Communication -4.0, Financials -3.5, Staples -1.6; NVDA is effectively 8.0% and semiconductors at least 20.0% of the portfolio. There are no bonds and no international: moving 7% of the portfolio into T-bills, bonds, Staples, gold, Utilities or Health Care cuts volatility by 0.7-1.2 points, while equal-weight, quality, Financials, international and Discretionary give 0.1-0.4 (a three-year bull-market window; bond and defensive correlations can flip). Part 5's cash band reads 6.9% if the ETFs are invested equity and 52.0% if they count as cash, which is how the workbook's Cash / Cash Equivalents aggregate counts them. SIX DESIGN QUESTIONS stay OPEN for the discussion on 10/9 (Open Items #7): the role of the sleeve (reservoir, permanent core, both), classification for the cash band and the sector cap, which exposures ETFs should supply, selection rules, caps and funding order, and scoring. ALAN'S REFERENCE: he saved docs/ETF Strategy Review_v1.docx (a generic core-and-satellite framework: asset allocation first, a broad core of US, international and bond ETFs with 0-20% tilts, selection by cost, tracking difference, liquidity and premium to NAV, account placement, rebalancing at about a 5-point drift, no technical indicators for the core) and docs/BEST SOURCE FOR FCF TICKER LISTING.docx; both are untracked and stay uncommitted unless he says so.</t>
  </si>
  <si>
    <t xml:space="preserve">ETF-POLICY-DIRECTION</t>
  </si>
  <si>
    <t xml:space="preserve">ETF STRATEGY DIRECTION, Alan, 10/9/26 (Open Items #7; design basis: docs/Landry ETF Report 2026-10-08, docs/ETF Strategy Review_v1.docx, Journal rows 115 and 126). Direction agreed in discussion; rulebook text is NOT written yet (a later version; numbered or un-numbered block to be chosen then).
CONTEXT (Alan): this portfolio is about one third of his total wealth and his highest-risk bucket, inclined to higher return / higher risk but within modest downside bounds. Single stocks remain the return engine; the ETF sleeve is not a core-and-satellite core.
DECISIONS
1. CEILING: ETFs are at most about 40% of the portfolio. A ceiling, not a target; lower if no stocks qualify under the current rules. The sleeve was 45.1% on 10/8.
2. CASH RESERVE: 10-15% of the portfolio, held ONLY in cash-like funds (money market, T-bill, ultra-short), and it IS the Part 5 cash band (not additive to it). Purpose: supplemental funding in a serious drawdown, worst-case withdrawal about $50K a year, 1-2 years, never more than about $50K a year. Bonds, staples or gold are not the reserve.
3. SATELLITE: about 25-30% of the portfolio: sector FILLERS (sectors the direct book does not cover, low correlation to it; threshold of about 0.5 proposed) plus a small capped speculative / shorter-term momentum slice ("nothing wild"). Overlap with direct holdings is limited in favour of fillers (the direct stocks are expected to beat what an ETF can do); no new ETF in a sector already at its cap (Technology direct is about 27.5% against 25%); look-through checked at purchase. Rule 16 stays direct-holdings only at market value (Alan, 10/7); look-through is a reported monitor.
4. SCREEN: a trend / relative-strength floor used as a FILTER (RS vs SPY above zero, price above the 40-week average), never to pick last year's leaders (the 10/7 sector study found rank persistence near zero); RANKING by structural indicators: cost, liquidity and size, marginal diversification, down-capture, overlap. Rule 9 and 10 staging and the stop-review ladder apply.
5. COVERED-CALL / INCOME ETFs (JEPI, JEPQ, HELO, MLPI): interim holdings, no firm view; kept long term only if they earn a place under the final strategy.
6. FREEZE: no NEW ETF purchases until the policy is settled. Sales of ETFs to fund stock buys and the cash reserve remain allowed.
7. RESERVE BUILD: funded by ETF SALES FIRST, SPMO first and then the over-cap clusters in order of correlation to the direct book (Rule 38 clusters at 22.6% and 22.3% on 10/8). Sizes and timing are Alan's decision, tranche by tranche.
RESERVE ARITHMETIC (workbook prices, 10/9/26, total_portfolio_value): portfolio $712.6K; cash $49.0K (6.9%). The 10-15% band is $71K-$107K; two years at $50K needs $100K (about 14%); the 10% floor covers about 1.4 years. Build needed about $22K-$58K (about $37K at 12%). To align: the Drawdown Log's cash floors (generate.py) and the 10/22 and 11/6 tranche plans.
STILL OPEN: per-ETF cap and exact speculative-slice size; the cost / size / spread gate values; whether bond or staples ETFs have a defensive slice inside the satellite; the filler candidate list and its screen; the light ETF scorecard definition; rulebook wording; how the freeze interacts with the DCA-CATCHUP-3 (10/22) funding. Analysis support only; Alan decides names and sizes.</t>
  </si>
  <si>
    <t xml:space="preserve">ACCOUNTS-CATCHUP-10-10</t>
  </si>
  <si>
    <t xml:space="preserve">ACCOUNT CATCH-UP and the new `landry accounts` command, 10/10/26 (Alan: "use the totals that I've posted", then "book as pending and enter Drawdown txns ... Build it").
Inputs: Alan's update sheet (docs/LANDRY SYSTEM UPDATES_10-10-26.pdf), the month-to-date exports (docs/CHA3693_transactions_MTD_10-10-26.csv, docs/FID3711_Accounts_History_MTD_10-10-26.csv, the latter gitignored) and a read of both sites through Alan's signed-in Chrome on 10/10 (Fidelity Activity &amp; Orders and Positions for 3711; Chase Summary and Transactions for 3693). Every October amount on the sites matched the exports.
Booked on Current Positions (all ESTIMATES until the October statements):
- Chase QACDS 20,408.02 -&gt; 427.26: the 10/9 $20,000 ACH push to Alan's personal account, less the $19.24 VFLO dividend of the same day. Chase's own Cash &amp; sweep figure is $427.26. VMFXX unchanged at 27,966.40.
- Fidelity FZDXX 648.04 -&gt; 15,713.12 = the account's 669.69 (the 10/7 figure plus the TSM dividend net of foreign tax, 27.41 - 5.76) + 43.43 VFLO dividend not yet swept in + a PENDING $15,000 transfer from personal into 3711 dated 10/9. Fidelity showed no such deposit on 10/10, posted or pending; Alan: transfers often take 2-3 days to appear, book it as pending. It is parked on FZDXX because FZFXX's row is at zero with a closed Performance Tracking lot. Alan, 10/10: FZFXX is the account's default money fund and FZDXX (a slightly higher rate) will be used less going forward, so the deposit will most likely land in FZFXX; when it does, move it and reopen that lot in the same pass.
- Ties: Fidelity 3711 total $400,337.60 at the broker = the workbook to the cent before the pending amount; Chase 3693 $298,607.58 vs the workbook's $298,607.61. Portfolio total $713,945.21.
External flows: net withdrawals since the 9/4 peak go from $35,019.99 to $40,019.99 (+ $20,000 out of Chase, - the pending $15,000 in). Drawdown Log entry for 10/9: $753,965.20 = 713,945.21 + 40,019.99, a new running peak, Normal. The value is the same whether or not the pending transfer is counted, since it is in both the cash and the flow ledger.
New tooling: `python -m landry accounts check|apply|pending|flows` (landry/accounts.py, tests/test_landry_accounts.py, state in landry_accounts.json, procedure in docs/ops/accounts.md). It walks the cash (booked cash + new transactions must equal what the account shows, to the cent, or nothing is written for that account), books the cash rows with an estimate-labelled note, keeps the external-flow ledger the Drawdown Log is net of, and reports what it does not do: buys, sales and reinvestments (position rows and lots) and a money fund crossing zero. Standing arrangement (Alan, 10/10): he will try to be signed in to Chase and Fidelity in Chrome on Saturday mornings so the weekly routine can read both accounts itself; when the sessions are not live the routine reports that and the catch-up runs later on "read the accts". Claude only reads Positions / Balances / Transactions for 3711 and 3693, never signs in and never uses Trade, Transfer or Pay. During the 10/10 test a mis-click opened the Alan Lisa Checking summary page for a moment; nothing was read from it.</t>
  </si>
  <si>
    <t xml:space="preserve">QTR-REVIEW-1-RESULTS</t>
  </si>
  <si>
    <t xml:space="preserve">QTR-REVIEW-1 (due 9/30/26) worked 10/10/26 at Alan's direction ("on to Reviews overdue"). Step 1 (quarter-end Drawdown Log value from the statements) was done 10/4 (row 81 / QTR-REVIEW-1,STATEMENTS).
Done 10/10:
- Correlation Matrix: `landry prices status` clean (161 weeks through 10/9, 27 tickers, 0 weeks behind), then `landry prices rebuild`: 321 cells restated for dividends, largest change 0.2%, nothing newly filled. Rule 38 after the rebuild: 11 positions over the 0.70 cap, unchanged from 10/4 -- the same three groups (NVDA and AVGO through SPMO / JEPQ; the ETF sleeve AVUV / DVY / SCHD / VFLO / VYM with JEPI and HELO; KLAC / ASML). No new decision: Open Items #13 and #25 stand, tied to the ETF policy work (#7).
- Watch List Tracker: one entry, CRWD, Exit Review since 10/4, no credible remediation plan, sell within 30 days (by 11/3, Open Items #30). No deadline passed. Fidelity shows an open order to sell 40 CRWD at a $285.60 limit, good 'til canceled, placed 10/8, not filled (Market Data close 10/9: $275.04).
- Trailing-12-month check (`python -m landry.sec_ttm --holdings`): same findings as the first run on 10/5 (row 94, Open Items #32). REVIEW: VRT, BUY 76.8 -&gt; STRONG BUY 82.8. KNIFE-EDGE: ANET, STRONG BUY 81.0 -&gt; BUY 78.0 on five windows only. CRWD stays AVOID 63.4 on both bases, so the Exit Review is not changed by the trailing view. No Rule 1 or Rule 3 trip differs between the bases. By hand, not checked by the tool: NVDA, PLD, ASML, TSM, GE, VEEV; V's windows are a quarter stale. Policy unchanged: fiscal-year scores stay the record; the re-run after Q3 10-Qs (FUND-REFRESH-1, 10/25) decides VRT.
- Audit: 71 of 73, the two standing Scoring-provenance findings only. The rebuild's recalc also cleared the NVDA price Excel had cached at $193.54 in the 10/10 commit (b145f38); portfolio total reads $713,945.21 again.
Still open on QTR-REVIEW-1: the Fidelity info-tab scan of the held positions, and Alan's confirmation that no conversational scoring is unlogged (score drafts are pending approval for several tickers; none were finalized in conversation today).</t>
  </si>
  <si>
    <t xml:space="preserve">QTR-REVIEW-1-FIDELITY-SCAN</t>
  </si>
  <si>
    <t xml:space="preserve">QTR-REVIEW-1 Fidelity info-tab scan, all 17 held scored stocks, read 10/10/26 from Fidelity's research "View All" page per stock (Alan's signed-in Chrome, read-only; data as of the 10/9 close). Third use of the scan (after ADBE 9/30 and the 10/7 tranche). Context only: no score, rule status or position changed by this entry.
Earnings dates (Fidelity; c = confirmed, u = unconfirmed): ASML 10/14 u; PLD 10/15 c; TSM 10/15 u; GE 10/20 c; NFLX 10/20 c; VRT 10/20 u (10/21 was carried before); V 10/27 c; KLAC 10/28 c; PLTR 11/2 u; VRTX 11/2 c; ANET 11/3 c; NVDA 11/17 u; VEEV 11/18 u; CRWD 11/30 u; ADBE 12/9 c; AVGO 12/9 u; MU 12/15 u. Six holdings report before FUND-REFRESH-1 (10/25).
Per stock: price performance 1mo / 3mo / 6mo / 1yr / 2yr / 5yr; trailing P/E vs industry average (5-yr average P/E); Equity Summary Score (LSEG StarMine, 0-10) and the independent-firm split.
- ADBE: -5.8 / +9.7 / +1.2 / -30.5 / -51.2 / -58.0. P/E 13.5 vs 52.0 (5-yr 36.3). ESS 6.5 Neutral; 4 Buy, 3 Neutral, 1 Sell. Same picture as 9/30: a quarter of the industry multiple, EPS growth +11.7% vs industry +47.2%, split panel, multi-year decline; the last 3 months are the first positive stretch.
- ANET: +11.2 / +19.7 / +49.4 / +37.7 / +116.6 / +832.2. P/E 68.4 vs 65.2 (5-yr 40.5). ESS 9.3 Very Bullish; 5 Buy/Outperform, 3 Neutral.
- ASML: multi-period block not shown by Fidelity (52 weeks +81.6% vs industry +85.3%). P/E 52.9 vs 31.8 (5-yr 40.3). ESS 9.3 Very Bullish; 4 Buy/Outperform, 2 Neutral. Missed consensus in 2 of the last 4 quarters (the two older ones).
- AVGO: -1.9 / -7.0 / +3.1 / +4.6 / +100.0 / +633.5. P/E 46.2 vs 31.8 (5-yr 55.1). ESS 2.8 Bearish; 3 Buy/Outperform, 3 Neutral, 1 Sell.
- CRWD: +31.0 / +43.9 / +157.9 / +115.7 / +275.5 / +349.0. P/E about 5,500 vs 52.0; forward 219. ESS 5.9 Neutral; 3 Buy, 1 Neutral, 3 Sell/Underperform. Price strength is the opposite of the fundamental read behind the Exit Review (AVOID 63.4); the Exit Review stands (Rule 3).
- GE: -8.0 / -13.4 / +0.1 / +1.9 / +64.4 / +372.9. P/E 36.3 vs 35.6 (5-yr 49.1). ESS 3.1; 2 Buy, 5 Neutral, 1 Sell.
- KLAC: +3.5 / -11.6 / +17.0 / +84.1 / +149.5 / +499.7. P/E 53.3 vs 31.8 (5-yr 28.8, so nearly twice its own average). ESS 3.0 Bearish; 3 Buy/Outperform, 4 Neutral, 1 Sell.
- MU: +2.9 / +8.5 / +153.0 / +423.6 / +903.5 / +1,367.5. P/E 13.9 vs 31.8 (5-yr 25.3); forward 5.9. ESS 9.5 Very Bullish; 5 Buy/Outperform, 2 Neutral.
- NFLX: -8.4 / -7.0 / -29.3 / -42.1 / -2.6 / +11.1. P/E 22.1 vs 32.8 (5-yr 39.1). ESS 6.1 Neutral; 3 Buy/Outperform, 4 Neutral, 1 Sell. The weakest one-year price record among the holdings; reports 10/20.
- NVDA: +1.6 / +12.3 / +25.9 / +21.2 / +72.5 / +1,000.7. P/E 29.0 vs 31.8 (5-yr 60.7). ESS 9.6 Very Bullish; 5 Buy/Outperform, 3 Neutral.
- PLD: multi-period block not shown. P/E 28.8 vs 35.1 (5-yr 32.2). ESS 1.1 Bearish, the lowest held; 2 Buy, 2 Neutral, 2 Sell. Reports 10/15.
- PLTR: +22.8 / +58.1 / +48.5 / +13.9 / +404.3 / +789.6. P/E 178.7 vs 52.0. ESS 8.9 Bullish; 3 Buy, 3 Neutral, 1 Underperform.
- TSM: multi-period block not shown. P/E 34.5 vs 31.8 (5-yr 23.5). ESS 9.9 Very Bullish; 5 Buy/Outperform, 1 Neutral.
- V: +4.6 / +10.9 / +24.8 / +9.7 / +40.2 / +67.4. P/E 32.8 vs 19.1 (5-yr 31.1). ESS 7.1 Bullish; 3 Buy, 5 Neutral.
- VEEV: +11.8 / +57.4 / +77.8 / -1.9 / +44.9 / +3.4. P/E 48.7 (5-yr 60.7). ESS 7.9 Bullish; 3 Buy/Outperform, 4 Neutral.
- VRT: -16.5 / -23.6 / -13.6 / +45.1 / +127.3 / +982.4. P/E 54.9 vs 49.0 (5-yr 60.9). ESS 5.1 Neutral; 2 Buy/Outperform, 3 Neutral, 1 Sell (GLJ reiterated Sell, $188 target, 10/9). The sharpest 3-month fall among the holdings, into earnings 10/20; 30 shares bought 10/7 at $262.56, close $242.78.
- VRTX: -3.6 / +2.3 / +14.9 / +21.1 / +11.1 / +185.1. P/E 29.7 (5-yr 25.8). ESS 6.9 Neutral; 3 Buy, 5 Neutral. Missed consensus in 2 of the last 4 quarters, including the latest.
Worth carrying into FUND-REFRESH-1: PLD (ESS 1.1, two Sells, reports 10/15); VRT (-23.6% in 3 months against a trailing view that scores it higher); NFLX (-42% in a year); AVGO, KLAC and GE (ESS 2.8-3.1 despite Buy-or-better Landry scores). Nothing here trips a Hard Rule on its own; Rule 5 is decided by the Scoring tab's Relative Strength and Technical Trend scores, which the Tier 1 reread at FUND-REFRESH-1 refreshes.
Method note: one "View All" page per ticker holds every tab's content; a small read-only page script pulls the fields above (about 800 characters per stock), which makes a 17-stock scan cheap enough to keep inclusive.</t>
  </si>
  <si>
    <t xml:space="preserve">FIDELITY-VS-LANDRY-SCORE</t>
  </si>
  <si>
    <t xml:space="preserve">Alan (10/10/26), after the QTR-REVIEW-1 scan: "We're seeing significant divergence between our Strategy and Fidelity's Summary Score... correlations... we might track for insights and/or improvements." Read and decision.
Read (17 holdings, Fidelity data as of 10/9, `landry fidscan report`): rank correlation of Fidelity's Equity Summary Score with the Landry composite is +0.28, which at 17 names is not distinguishable from zero. The Fidelity score tracks its own 3-month price change at +0.66 (14 names with a price block); the Landry composite's link to 3-month price is -0.04. The Fidelity score is an accuracy-weighted blend of up to seven independent firms, and the heaviest-weighted firm for most holdings is Trading Central, a technical-analysis shop. So the divergence is mostly by design: theirs is a short-horizon price and sentiment measure, ours is 70% multi-year fundamentals.
Largest disagreements (rank gap of a third of the list or more). Landry higher: GE (84.2 vs 3.1), ADBE (85.8 vs 6.5), NFLX (83.8 vs 6.1), PLD (76.0 vs 1.1). Fidelity higher: MU (67.8 vs 9.5), VRTX (70.6 vs 6.9).
Decided (Alan: "build it, and add the MU Open Item"):
1. The Fidelity score is context and a disagreement flag only. It is NOT a Scoring input: it would double-count momentum already scored, and one snapshot cannot justify a weight.
2. Track it. `landry fidscan add` stores every scan (quarterly review, fundamental refresh, each tranche) with that day's Landry composite and Market Data price; `landry fidscan report` shows the gaps and, from the second scan on, the price change since each earlier scan for the Landry-higher and Fidelity-higher groups. The question to answer after three or four snapshots: when the two disagree sharply, which was right over the next 3 to 6 months. First snapshot stored today (as of 10/9).
3. Open Items #46: recheck MU's Valuation Multiples score of 1 (Fidelity shows trailing P/E 13.9 against a 5-year average of 25.3, forward 5.9), at FUND-REFRESH-1.
Noted, not acted on: the Analyst Consensus indicator barely separates the holdings (all score 3 to 5; AVGO and KLAC score 5 while Fidelity's panel has them at 2.8 and 3.0). It carries 2% weight; whether the independent-firm split is a better input is a later question for the tracking data.</t>
  </si>
  <si>
    <t xml:space="preserve">RS-WEIGHT-QUESTION</t>
  </si>
  <si>
    <t xml:space="preserve">Alan (10/10/26): is price trend / momentum under-weighted, is Relative Strength (3%) getting enough weight, "particularly when RS shows consistent down (or up) trend, and especially as RS trend compounds period-to-period?" Alan: "build the test, add the Open Item, and commit." No weight or rule changed by this entry.
Where momentum sits today: Relative Strength vs SPY 3%, Technical Trend 2%, Volume &amp; Accumulation 1% (6% of the composite; Relative Strength going from 5 to 1 moves a composite 2.4 points). Relative Strength is one snapshot, the mean of the 6- and 12-month gap vs SPY, with no memory of direction or of how many periods it has run. Outside the composite: Rule 5 (review only at a score of 1), the stop-review ladder, and the tranche-prep step that deprioritizes new price weakness.
Test built: `python -m landry rs-test` (landry/rs_test.py). Run 10/10/26 on 84 scored and candidate names, quarterly readings 10/2015 to 10/2026, 3,364 readings. Signal = the rubric's own blended gap; outcome = total-return gap vs SPY over the next 26 and 52 weeks; "persistent" = same sign three or more quarterly readings in a row and further that way than the last reading. Comparisons are within a date, averaged over non-overlapping dates.
Results:
- The signal's rank correlation with the later gap is small and positive: +0.09 over 26 weeks (t 2.4, positive on 68% of 22 dates), +0.11 over 52 weeks (t 1.7, 11 dates).
- By score, pooled: the median name scored 1 lagged SPY by 3.9% over the next 26 weeks and 5.6% over 52 (beat SPY 43% and 45% of the time); the median name scored 5 led by 2.3% and 5.4% (beat SPY 55% and 57%). Means are distorted by a few large rebounds among the laggards (score 1 mean +10.5% over 52 weeks against a median of -5.6%).
- Leaders (4-5) minus laggards (1-2), same date: +3.8% over 26 weeks (t 1.8), +7.8% over 52 (t 0.8). All of it comes from the second half of the period (+7.3%, t 2.2 over 26 weeks); the first half was slightly negative (-2.7%).
- Persistence: persistent-down names had the worst medians (-4.2% over 26 weeks, -6.4% over 52; beat SPY 43%) and persistent-up the best (+3.3%, +5.6%; beat SPY 57-59%). But against other names of the same sign the difference is not distinguishable from zero (down: -0.8%, t -0.3; up: +2.9%, t 0.9). Persistent up minus persistent down: +5.2% over 26 weeks (t 1.4), +16.0% over 52 (t 1.5, positive on 8 of 10 dates).
Read: the direction supports Alan's instinct, the size is modest and regime-dependent, and persistence adds a little over the plain level without being statistically established. Limits: today's lists only, so delisted failures are missing (flatters the laggards); mostly one bull market. This supports a trend-aware review gate more than a larger composite weight. Options for decision are on the new Open Item.</t>
  </si>
  <si>
    <t xml:space="preserve">RS-TREND-POLICY</t>
  </si>
  <si>
    <t xml:space="preserve">Alan (10/10/26) on Open Items #47: "go with a, b and d." Standing policy from today. The 3% Relative Strength weight is NOT changed (option c not taken; the test does not support it yet). Evidence: Journal RS-WEIGHT-QUESTION, `python -m landry rs-test`.
Definition. The Relative Strength trend is the rubric's own blended gap vs SPY (mean of the 26- and 52-week total-return gap) read now and every 13 weeks back. PERSISTENT = the same sign for three or more quarterly readings in a row AND further that way than the previous reading (down and widening, or up and rising).
(a) Rule 5 extended to persistence. A HELD position whose Relative Strength is persistent down with a score of 2 or lower: no additions (DCA included) and a written re-underwrite in the Journal within 10 trading days (fresh Tier 1 reread, the leading indicators, the Rule 5 review concluded as reaffirmed / resized / referred), repeated every 90 days while the state lasts. It is a review trigger, never a sale on price alone. A CANDIDATE in that state needs the Rule 5 review before a Buy / Strong Buy is relied on. The score floor is Claude's addition, checked against the test: persistent-down with a score of 3 was 10 of 423 cases and was not weak afterwards, so the floor loses nothing and keeps a small drift from tripping a review.
(b) Tie-breaker. Among tranche candidates that already pass every gate, a persistent-up Relative Strength trend is preferred. It never substitutes for a gate.
(d) Recorded at each scoring. `landry draft` now writes the 3-month gap, the streak and the quarter-on-quarter move into the Relative Strength rationale in the score store. `python -m landry rs-trend [TICKERS]` reports it for the held scored stocks and any candidates; `landry weekly` prints an "RS trend" line; the open tranche-prep steps (DCA-CATCHUP-3 to -8) now call for it.
First reading, 10/10/26 (17 held scored stocks): one name on the review, NFLX (gap -55 points; readings -55, -45, -18, -27; four quarters down and widening; score 1). Re-underwrite due by 10/23/26; NFLX reports 10/20, so the review should follow the report. No additions to NFLX meanwhile. ADBE has been down for eight readings but is narrowing (-28 from -52), so it is not persistent; it stays on the stop-review ladder's rung 1 as before. Persistent up: NVDA. AVGO, GE, PLD and VRT turned negative only this quarter (streak 1).
Rulebook: proposed wording for Rule 5, to go in at the v1.06 revision by amending the rule in place (no rule number moves): "...The same review is required when Relative Strength vs. SPY is persistently down: the blended 6- and 12-month gap negative at three or more consecutive quarterly readings and wider than at the previous reading, with a Relative Strength score of 2 or lower. For a position already held, no additions are made (DCA included) until the review is written, within 10 trading days, and it is repeated every 90 days while the condition lasts. This is a review trigger, not a sale on price alone." Not yet in LANDRY_SYSTEM_v1-05_FINAL.docx: Alan to say whether v1.06 is issued now or with the Open Items #44 companions.</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</si>
  <si>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</si>
  <si>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</si>
  <si>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</si>
  <si>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</si>
  <si>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</si>
  <si>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</si>
  <si>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</si>
  <si>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</si>
  <si>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</si>
  <si>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</si>
  <si>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</si>
  <si>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</si>
  <si>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</si>
  <si>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Alan 10/10/26: nothing outstanding on scoring.</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</si>
  <si>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</si>
  <si>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</si>
  <si>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</si>
  <si>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</si>
  <si>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</si>
  <si>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 After the scan, store it with `python -m landry fidscan add` and read `landry fidscan report` (Fidelity score vs Landry composite, and how past disagreements turned out); re-run `python -m landry rs-test` and compare with the 10/10/26 result (Journal RS-WEIGHT-QUESTION) before any change to the Relative Strength weight or the persistence review (added 10/10/26).</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</si>
  <si>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</si>
  <si>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</si>
  <si>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</si>
  <si>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</si>
  <si>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</si>
  <si>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</si>
  <si>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</si>
  <si>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</si>
  <si>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</si>
  <si>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</si>
  <si>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</si>
  <si>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 Also run `python -m landry rs-trend &lt;TICKERS&gt;` (added 10/10/26, Open Items #47): among candidates that pass every gate, a PERSISTENT-UP Relative Strength trend is the tie-breaker; a persistent-down candidate needs the Rule 5 review first; no additions to a held name on the persistent-down review.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</si>
  <si>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</si>
  <si>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</si>
  <si>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</si>
  <si>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</si>
  <si>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</si>
  <si>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</si>
  <si>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</si>
  <si>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</si>
  <si>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</si>
  <si>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</si>
  <si>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</si>
  <si>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</si>
  <si>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</si>
  <si>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</si>
  <si>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</si>
  <si>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</si>
  <si>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 REOPENED 10/8/26 (Journal row 115): a 9/13 edit meant to close #11 had marked this item Done by mistake (now corrected). Alan, 10/8/26: ETF strategy is 'a genuine need/consideration we should incorporate in our strategy and rules' -- picked up after the DCA-CATCHUP-3 screening, not before. SCOPE: (1) how ETFs count as positions -- dry powder vs scored vs a separate sleeve, size ranges and caps, how the 5-15% cash band and the 25% sector cap treat them, whether sector exposure is measured by look-through (#39); (2) Rule 38 for ETFs (#13, #25: the AVUV / DVY / SCHD / VFLO / VYM Value cluster at 0.73-0.89 and 20.8% of the portfolio, plus JEPI / HELO); (3) ETFs as the source of DEFENSIVE BALLAST: Rule 12's Base &gt;10% test is about per-share FCF growth plus dividend yield whatever the price, so it screens out low-growth defensive single names (PG needs 7.7% a year, SJM 6.9%, CHD 9.0%, CL 8.1%, JNJ 8.3%; COST failed at 8.5%) -- Staples and other defensives, which the sector review wants as weak-year ballast and which are not an active bet in the 10/7 look-through, would have to come from ETFs unless Rule 12 is adapted (Journal row 114; former #45); (4) how ETFs are selected (quality and cost criteria, overlap with direct holdings, factor tilts); (5) whether ETFs ever get Part 12-style scoring. Until then the tactical treatment stands: dry powder, rolled into the Cash / Cash Equivalents aggregate, SPMO drawn first for funding. 10/8/26: the read-only inventory is done and is now a command, `python -m landry etf [--docx] [--pdf]` (Journal row 126; docs/Landry ETF Report 2026-10-08.docx): the sleeve is 45.1% of the portfolio; two groups each over Rule 38's 20% cluster cap (value / dividend / FCF + JEPI 22.6%; JEPQ + HELO + SPMO + NVDA 22.3%); no bonds or international; Staples / bond / gold / utility ETFs cut volatility most. The six design questions above are the agenda; discussion resumes 10/9. Alan's reference: docs/ETF Strategy Review_v1.docx (core-and-satellite framework; untracked). 10/9/26: direction agreed with Alan (ceiling about 40%, cash-like reserve 10-15% = the Part 5 band, satellite 25-30% of fillers plus a small capped speculative slice, trend filter + structural ranking, covered-call ETFs interim, new ETF buys frozen, reserve built by ETF sales first, SPMO first); see Journal row 127. Open: caps, gate values, filler list, scorecard, rulebook text.</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</si>
  <si>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</si>
  <si>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</si>
  <si>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</si>
  <si>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</si>
  <si>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</si>
  <si>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 DPZ and PG both showed real deterioration (parked, same as LIN/ET); GE improved and was advanced to full Tier 2/3 (Composite 84.2, STRONG BUY). See Journal row 54.</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</si>
  <si>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</si>
  <si>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</si>
  <si>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</si>
  <si>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</si>
  <si>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 TRIPWIRES 10/8/26 (Journal row 110): Q4 net new ARR at or above about $0.75B; FY27 ending-ARR growth guide at or above about 8% organic; RPO growth near 8% or better with the usual Q4 step-up; evidence that freemium users convert to paid. Two misses -&gt; re-score Moat and Revenue Visibility (and rung 2 of the stop-review ladder if the price is then 30% or more below cost with deterioration found).</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</si>
  <si>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</si>
  <si>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</si>
  <si>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</si>
  <si>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</si>
  <si>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</si>
  <si>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</si>
  <si>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</si>
  <si>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</si>
  <si>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</si>
  <si>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 UPDATE 10/7/26: the sector-history review (Journal row 106) found that ranking sectors by gains vs the S&amp;P would point at Technology and Consumer Discretionary, where the book is already over the cap or highly correlated; revising the method is PENDING FURTHER REVIEW (Alan). Proposal on the table: open spot x low correlation to the book x System quality and cap room, with long-run sector return as a tiebreak only. The sector-driver study is #36.</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</si>
  <si>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</si>
  <si>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</si>
  <si>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</si>
  <si>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</si>
  <si>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</si>
  <si>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</si>
  <si>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</si>
  <si>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</si>
  <si>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</si>
  <si>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</si>
  <si>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</si>
  <si>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</si>
  <si>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</si>
  <si>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</si>
  <si>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</si>
  <si>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</si>
  <si>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</si>
  <si>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</si>
  <si>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</si>
  <si>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</si>
  <si>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</si>
  <si>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</si>
  <si>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</si>
  <si>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</si>
  <si>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</si>
  <si>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</si>
  <si>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</si>
  <si>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</si>
  <si>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</si>
  <si>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</si>
  <si>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</si>
  <si>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</si>
  <si>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Sector-driver study: which macro, political, international and global factors drive each sector's returns, and how the book and each candidate are exposed to them. BUILD AFTER 10/22/26 (Alan, 10/7).</t>
  </si>
  <si>
    <t xml:space="preserve">Design (Journal row 106): (1) confirm what Part 7's overlay already assumes -- regime tables with block-bootstrap intervals for curve inversion, tightening, credit spreads and the 200-week MA; (2) explore about 15-20 drivers (growth, inflation, real rates, curve, credit, oil, copper, USD, EM / global, policy uncertainty, election cycle) with ridge / elastic net, a 1999-2012 vs 2013-2026 stability test and false-discovery control; (3) map the book's and each candidate's weekly returns on ETF-proxy factors and favor names that offset the largest exposures. Data checked reachable 10/7: SPDR sector ETFs from Dec 1998 (XLRE 2015, XLC 2018), Ken French 12-industry portfolios from 1926 (the 30+ year view #19 wants), FRED CSVs without a key (ISM is not there and HY OAS only goes back 3 years -- use CFNAI and Baa-10y). About four independent macro regimes in the sample, so the output is hypotheses and tiebreakers, never gates. Target landry/sector_drivers.py + python -m landry sectors, no workbook writes.</t>
  </si>
  <si>
    <t xml:space="preserve">Even-pace screening to DCA-CATCHUP-3 (10/22/26): the slate and pace were accepted ('works', Alan 10/7).</t>
  </si>
  <si>
    <t xml:space="preserve">About 2 quant rereads (landry draft) a day plus 1 name a day through judgment scoring and Rules 9-14, 10/8-10/21. Order: 10/8-10/10 PG, COST (fresh reread -- its 8/11 score is stale -- and a Rule 14 P/FCF check), YUM; 10/13-10/15 ABT re-look (due 10/13, #34), DPZ or CMG (one restaurant), KGS (check its 32.7x FCF-growth figure, likely a small-base artifact); 10/16-10/20 first screens of AGI, GEV, HWM and AZN / BSX once earnings are through; 10/20-10/21 Rules 9-14 gates, Implied-Return rows, correlation check (Rule 38), Fidelity info-tab scan, entry pack. Basis: 36-month weekly correlation to the book (PG .10, ABT .11, YUM .21, KGS .29, DPZ .35, COST .38) and no direct exposure in Consumer Defensive / Cyclical, Energy, Materials or Utilities. Technology stays closed while over the 25% cap (market basis, #39). NBIX stays paused (#33). See Journal row 106. REVISION APPROVED 10/8/26 (Alan; Journal row 111): the System's own quant and rules, run on SEC trailing-12-month data for the first-wave names, leave only PG and CMG clean -- COST sits at 49.7x P/FCF (Rule 14 ceiling 50x) with a 2.0% yield and 2.8% FCF margin; YUM, DPZ and KGS carry 16x, 9.6x and about 10x Debt/FCF (5x caps the classification at Buy); ABT's revenue growth consistency scores 2 (quant Tier 1 2.7); AGI, GEV and HWM are 53x, 72x and 65x P/FCF (Rule 14). Replacement order, from the S&amp;P 500 screen in #43: Staples first (PG, SJM, CHD, CL), then Health Care (DXCM, GILD, JNJ) and Consumer Discretionary with Relative Strength above -15 (EXPE, ETSY), then Industrials (VRSK, PAYX) -- see #43 for the numbers and the Rule 5 flags. DECIDED 10/8/26 (Alan, 'yea, drop staples and proceed'; Journal rows 114-115): the Staples-first wave (PG, SJM, CHD, CL) is dropped -- each fails Rule 12's Base &gt;10% test at consensus growth (the ETF side is #7); the Rule 12 pre-check (Base about per-share FCF growth + dividend yield at a flat multiple) now runs FIRST for every new candidate, before any judgment work. Quant rereads are done for PG, SJM, CHD, DXCM, GILD and EXPE. NEW ORDER: DXCM (judgment scoring and Rules 9-14 first), EXPE, then MCK / VRSK / PAYX; GILD only with a documented 8%+ per-share FCF growth case; MNST only if its 5-year median multiple leaves room under the 50x ceiling; ETSY / TJX / RL / ADP / BR as later fits. Earnings 10/22-11/4 mean entries land after the prints (Rule 11). DXCM FIRST PASS 10/8/26 (Journal row 116): judgment proposals pending (moat 3, visibility 4, management 3); composite 78.4 BUY (80.0 if valuation scores 4); Rules 12-13 pass (Base +12.0%, Bear +1.6%, Bull +19.3%); Rule 9 half-size first purchase (under the 200-week average); earnings 10/29, so entry after the print. APPROVED 10/8/26 (Alan, 3-4-3-3: moat 3, visibility 4, management 3, valuation 3; Journal row 117): entry on 11/6/26 after the 10/29 print, half size; the eight quant drafts are still pending his OK, and the pre-trade checks are listed in row 117. 10/22 TRANCHE (Journal row 118): NO clean candidate -- PAYX is Rule 5 flagged (trend 1, RS 2, consensus 1 of 19) and CTAS carries the pending $5.5B UniFirst deal (FTC Second Request, no close before 12/11/26), so both are parked; every other pass-list name prints 10/28-11/5; EXPE (prints 11/4) goes to the 11/6 pack with DXCM. Alan to decide: hold the tranche for 11/6, accept a print inside an explicit thesis, or add within caps to a Core Hold / Add position. EXPE FIRST PASS 10/8/26 (Journal row 119): its FCF is mostly customer-prepayment float (normalized ~$2.4B FY26E, not $4.05B), so overrides proposed (FCF yield 5 to 4, FCF margin 4 to 3); judgments pending (moat 3, visibility 2, management 3); composite 68.2 BUY, Tier 1 3.14 -- marginal; Rules 12-13 pass (Base +11.5%, Bear +1.9%, Bull +18.7%); standard size (above the 200-week average); earnings 11/4, entry 11/6 after the print. APPROVED 10/8/26 (Alan, 'approve EXPE'; Journal row 120): moat 3, visibility 2, management 3 and the two FCF overrides (yield 4, margin 3); EXPE's other seven quant drafts still pending. DXCM is now 12 of 12 approved (composite 78.4). Scoring-tab rows, Dashboard row insertions, Entry Checklist / Implied-Return rows for both are planned for the 11/6 prep (one pass, then open in Excel). Next in the order: MCK, VRSK. RL AND MNST FIRST PASSES 10/8/26 (Journal rows 123-124; Alan: 'Let's do RL, MNST then move on to ETFs'): proposals pending, nothing approved. RL: moat 4, visibility 2, management 4; composite 69.4 BUY; Rules 12-13 THIN pass (Base +10.8%, needs 9.1%); standard size; earnings 11/5. MNST: moat 4, visibility 3, management 4 (valuation 3 recommended over the draft's 4); composite 73.8 BUY; Rules 12-13 THIN pass (Base +11.5% at the 40x median cap, needs 11.5% growth); standard size; earnings 11/5. Also found and fixed a landry.sec_ttm bug (Journal row 122): it affected 4 of 219 SEC-screened names, no pass/fail flipped. Single-name screening is now paused for the ETF strategy (Open Items #7), per Alan. APPROVED 10/8/26 (Alan): RL moat 4 / visibility 2 / management 4 and MNST moat 4 / visibility 3 / management 4 + MNST valuation 3 (override); 'Approve quant' then logged every pending mechanical draft (Journal row 125): DXCM, EXPE, RL and MNST are all 12 of 12 (composites 78.4, 68.2, 69.4, 73.8, all BUY). Still to do at the 11/6 prep: Scoring rows, Dashboard row insertions (open in Excel), Entry Checklist / Implied-Return rows, fresh drafts after the prints.</t>
  </si>
  <si>
    <t xml:space="preserve">CANDIDATES LIST.xlsx: refresh the Sector Exposure Reference (Screen_Candidates N2:O13, stale as of 8/30/26) and the Sector Cap Headroom column to current weights.</t>
  </si>
  <si>
    <t xml:space="preserve">Direct-stock weights of the combined portfolio at the 10/7 marks, market basis: Technology 27.5%, Healthcare 8.6%, Industrials 4.3%, Communication Services 2.8%, Financial Services 2.5%, Real Estate 2.3%, all other sectors 0%. Needs the file closed in Excel (Alan had it open 10/7); refresh at each tranche review.</t>
  </si>
  <si>
    <t xml:space="preserve">Rulebook (next revision, v1.05): state in Part 5 that the 25% sector cap is measured at market value on direct holdings. Alan ruled 'market' on 10/7/26.</t>
  </si>
  <si>
    <t xml:space="preserve">Technology is 27.5% of the portfolio at market (20.9% at cost, Journal row 99), over the cap, so it takes no new names; the CRWD sale due 11/3 brings it to about 23.8%. Part 5 says only 'of portfolio' (the position cap is at cost; the sector cap's basis was never stated). Still open for the same revision: whether ETFs count by look-through (Technology is about 39% of the portfolio that way; see #7, ETF treatment) and whether a passive breach through appreciation forces a trim (Part 6 lists sector-cap trims as discretionary). Mind the rule-numbering cascade when inserting a rule (CLAUDE.md). See Journal row 106. DONE 10/8/26: Rule 16 now states the basis (market value, direct holdings, ETFs not looked through) in LANDRY_SYSTEM_v1-05_FINAL.docx (Journal row 113). The ETF look-through question stays open (#7).</t>
  </si>
  <si>
    <t xml:space="preserve">ADBE and stop-loss policy (Alan, 10/7/26): ADBE is 21% below cost and 35% below its 52-week high; decide what the System does with a falling holding.</t>
  </si>
  <si>
    <t xml:space="preserve">Under the rules as written ADBE is a hold: Hold Through covers it and no Part 6 sell trigger is met (Journal row 107). OWED: (1) the Rule 5 review of Relative Strength = 1, concluding reaffirmed / resized / referred and written in the Journal (a 'resized' conclusion trims without overriding Hold Through); (2) Holding Monitor rows for ADBE, VRTX and PLD; (3) the Moat / Management re-check for 12/9 earnings (#14). PROPOSED, not decided: no additions to ADBE, DCA included, until the Rule 5 review is done. POLICY QUESTION: keep Hold Through as is, or add a price-triggered re-underwrite ladder with trend confirmation (evidence and options in Journal row 108); a new Hard Rule needs a v1.05 revision with the numbering cascade. Related: a leading-indicator qualifier for ARR / backlog names, and a cluster-level drawdown review for the AI / semiconductor names (40% of portfolio variance). STATUS 10/7 evening (Alan): revisit the Rule 5 review on 10/8; the likely conclusion is reaffirm with adds frozen, but nothing is decided -- he wants to digest the evidence first. The policy question (keep Hold Through or adopt the re-underwrite ladder) is open. RESOLVED 10/8/26 (Alan): the re-underwrite ladder was ADOPTED as standing policy (Journal row 109) and the ADBE Rule 5 review was concluded REAFFIRMED with additions frozen (row 110; rung 1 of the ladder). The Holding Monitor rows for ADBE / VRTX / PLD move to #42; the rulebook text is #41.</t>
  </si>
  <si>
    <t xml:space="preserve">Rulebook v1.05: write the adopted stop-review ladder (Journal row 109) into Part 6, with the leading-indicator qualifier for ARR / backlog names and the cluster-level drawdown review for the AI / semiconductor names; state in Part 5 that the 25% sector cap is measured at market value (#39).</t>
  </si>
  <si>
    <t xml:space="preserve">Alan adopted the ladder as policy on 10/8/26 and wants the response controlled and rule-driven, so it needs rulebook text: rung 1 (20% below cost with Relative Strength 1 or under the 200-day average: no additions, re-underwrite within 10 trading days, Rule 5 review in the Journal, repeat every 90 days), rung 2 (30% below cost with deterioration found: trim a third, a second confirmation another third), rung 3 (40% below cost, Relative Strength 1 and under the 200-day average for 8 weeks: Exit Review). Part 6 Hold Through needs a matching qualifier ('no deterioration in the documented leading indicators and no rung reached'). Mind the global rule-numbering cascade (CLAUDE.md): render the docx before and after and map old to new numbers by rule text; consider un-numbered sub-provisions or the decimal scheme Alan raised on 10/1. Also bump Instructions A3 / A19 (still v1.03) and the Hard Rules list (python -m landry rules-list; its test will fail on the new count). DONE 10/8/26 for the ladder and the sector-cap basis: LANDRY_SYSTEM_v1-05_FINAL.docx adds the Part 6 Stop-Review Ladder as an UN-NUMBERED block (no rule number moved; the count stays 51), Hold Through's qualifier, the v1.05 revision-history entry and the Appendix / Part 12 'filter, never sort' wording; Hard Rules list v1.05 and the Instructions tab updated (Journal row 113). The two companions (leading-indicator qualifier, cluster-level drawdown review) are #44.</t>
  </si>
  <si>
    <t xml:space="preserve">Build the ladder check: python -m landry stops (status in the weekly report and at each tranche prep), plus the Holding Monitor rows for ADBE, VRTX and PLD.</t>
  </si>
  <si>
    <t xml:space="preserve">Read-only status of every held stock: cost basis and quantity from Current Positions, price from Market Data, 6-month Relative Strength vs SPY and the 200-day average from Price History's weekly closes (40-week proxy); rung 0-3 per Journal row 109, a one-line reason, and the days since the last re-underwrite. Today only ADBE is on rung 1 (21% below cost); a '35% below the 52-week high with Relative Strength 1 and under the 200-day average' view would also list VRT and NFLX. Needs tests like the other landry checks; report only (it never trims or sells). Due before the 10/22 DCA prep. The Holding Monitor rows are owed since Journal row 99 (Part 6 sell triggers were never formally run for the three). PROGRESS 10/8/26: the CHECK is BUILT (Journal row 112): python -m landry stops [--live] / stops record, landry_stops.json (ADBE reaffirmed 10/8, next check 12/9), the audit check stop_review_ladder and a Ladder line in the weekly report; 23 new tests. STILL OWED: the Holding Monitor rows for ADBE, VRTX and PLD, and a first live run at the 10/22 DCA prep.</t>
  </si>
  <si>
    <t xml:space="preserve">Candidate pool: sector-targeted FCF screen of the S&amp;P 500 (322 non-technology, non-financial names) on the System's own Tier 1 quant rubric, run 10/8/26 (Alan: do we need additional FCF-driven candidates for a better fill / fit?). Answer: yes.</t>
  </si>
  <si>
    <t xml:space="preserve">DATA: SEC trailing-12-month filings for 219 names (the System's TTM basis, FCF after stock comp), Yahoo fiscal-year drafts for 63 more; 40 had neither (MO, PM, NEM, NEE, SO, XOM among them). FILTER: quant Tier 1 average (FCF Yield &amp; Trend 20%, Revenue Growth Consistency 15%, FCF Margin Trend 10%) of at least 3.4, no indicator at 1, at most one at 2, P/FCF at or under 50x (Rule 14), Debt/FCF at or under 5x. RESULT: 67 pass (Industrials 22, Health Care 15, Consumer Discretionary 14, Staples 6, Energy 5, Communication Services 3, Materials 2, Utilities 0 -- utility capex makes FCF negative, so Utilities needs the Part 10 adaptation (sector-relative FCF, rate-base growth, coverage)). CAPACITY: the six remaining tranches plus the 10/7 carry are about $260-320K, roughly 10-12 new positions, against a clean first-wave pool of two (PG, CMG). BEST FITS not yet held or scored (quant Tier 1; FCF yield; 36-month weekly correlation to the book; 6-month Relative Strength vs SPY): SJM 4.1, 12.4%, .06, +16; HSY 4.1, 6.6%, -.03, -37 (RS 1); CHD 3.7, 4.5%, .04, -13; CL 3.7, 5.3%, .07, -12; EXPE 4.7, 12.8%, .43, 0; DECK 4.4, 9.7%, .38, -40 (RS 1); LULU 3.9, 12.4%, .29, -59 (RS 1); DXCM 4.6, 3.9%, .27, +13; GILD 4.0, 6.7%, .16, -11; JNJ 3.7, 3.4%, .03, -9; UNH 4.0, 6.8%, .03, +8 (litigation watch); ZTS 4.1 (RS -54); VRSK 3.9, 4.8%, .17, -12; PAYX 3.9, 5.3%, .27; ETSY 3.4, 5.8%, +25 (Yahoo basis). CAUTION: most of the highest-yield names are in persistent downtrends (RS 1: HSY, DECK, LULU, APTV, ALB, TPR, ZTS, PODD, SYK, BKNG, the gas producers, BSX at -47 and 60% off its high) -- the ADBE pattern: a high FCF yield can be the market's distrust, so those need the Rule 5 review before any Buy classification is relied on and enter at 50% size under Rules 9-10. FOLLOW-UPS: (a) the Utilities adapted screen; (b) a commodity-adapted view for Energy and Materials (the book already holds about 11% Energy through ETFs); (c) re-run the missing 40 names and the SBC-less ones when Yahoo stops rate-limiting; (d) fold the chosen names into the slate (#37). No workbook change beyond this record; the full ranked list can be saved as an xlsx for review.</t>
  </si>
  <si>
    <t xml:space="preserve">Rulebook companions for a later revision (v1.06): a leading-indicator qualifier for ARR / backlog names and a cluster-level drawdown review for the AI / semiconductor names.</t>
  </si>
  <si>
    <t xml:space="preserve">Both were proposed with the Stop-Review Ladder (Journal rows 108-110) and left out of v1.05 because they are not designed or approved. (1) Qualifier: Revenue Visibility scores the SHARE of next-12-month revenue that is recurring, not the trend in net new ARR or RPO, so ADBE kept a 5 and Strong Buy while its leading indicators softened; the idea is to cap Revenue Visibility at 4, or the classification at Buy, while net new ARR or RPO growth is decelerating (needs a definition of 'decelerating' and a data source). (2) Cluster review: the seven semiconductor / AI-hardware names are 21% of invested weight but 40% of portfolio variance (Journal row 106); Rule 38's 20% cluster cap is measured on weight and fires only above 0.70 pairwise correlation -- a drawdown trigger for the cluster as a whole is the missing piece. Mind the numbering cascade if either becomes a numbered rule (CLAUDE.md).</t>
  </si>
  <si>
    <t xml:space="preserve">Rule 12's Base &gt;10% test screens out low-growth defensive single names (Staples: PG, SJM, CHD, CL; also JNJ, CMG and COST) at any price. Decide how Staples ballast, if wanted, is obtained.</t>
  </si>
  <si>
    <t xml:space="preserve">Found 10/8/26 (Journal row 114). Base implied return = [(Yr-5 FCF/sh x terminal multiple + dividends) / price]^(1/5) - 1, and the terminal multiple may not exceed the lower of today's P/FCF and the 5-year median, so Base is about per-share FCF growth plus dividend yield whatever the price (a lower price lowers the allowed multiple with it). Growth needed for a 10% Base: PG 7.7% a year (consensus EPS +1.3% FY27, +6.0% FY28), SJM 6.9%, CHD 9.0% (consensus about 7%), CL 8.1%, JNJ 8.3%; COST recorded 8.5% (calculator row 20). OPTIONS: (a) take Staples exposure through the ETFs already held (SCHD / DVY / VYM) and keep the single-name slate to names that clear Rule 12; (b) a written structural-change case per name (the rule allows one for the terminal multiple); (c) a Part 9 change to Rule 12 for low-beta defensives -- a rulebook change, and the 10% hurdle is what keeps the System choosing index-beating expected returns, so not proposed lightly; (d) accept that defensive ballast comes from cash and the dividend ETFs. The 10/7 look-through showed Staples is not an active bet; the underweights are Consumer Cyclical (-4.6), Communication (-4.0) and Financials (-3.5). FOLDED into #7 (ETF strategy) 10/8/26 at Alan's direction ('consider this as part of overall ETF strategy'); Journal row 115.</t>
  </si>
  <si>
    <t xml:space="preserve">MU Valuation Multiples score (1) recheck: Fidelity's scan shows MU at a trailing P/E of 13.9 against a 5-year average of 25.3 and a forward P/E of 5.9, while the Scoring tab (scored 9/13/26) gives Valuation = 1, the main reason MU's composite is 67.8 against Fidelity's Equity Summary Score of 9.5. Check whether price-to-free-cash-flow against its own 5-year average misreads a cyclical at a turn; decide at FUND-REFRESH-1 (10/25).</t>
  </si>
  <si>
    <t xml:space="preserve">Raised 10/10/26 from the QTR-REVIEW-1 Fidelity scan (Journal QTR-REVIEW-1-FIDELITY-SCAN, FIDELITY-VS-LANDRY-SCORE). A fresh landry draft MU comes first; any score change still needs propose + approve.</t>
  </si>
  <si>
    <t xml:space="preserve">Relative Strength: weight and trend persistence. Is 3% enough, and should a persistent trend (same sign three or more quarterly readings in a row and widening) act as a gate? Options: (a) extend Rule 5 so persistent-down Relative Strength, not only a score of 1, freezes adds and forces a re-underwrite; (b) use persistent-up as the tie-breaker among gate-passing tranche candidates; (c) raise the composite weight (a rulebook change that restates every composite); (d) record the 3/6/12-month gaps and the streak at each scoring so the trend is visible. Alan to decide.</t>
  </si>
  <si>
    <t xml:space="preserve">Raised 10/10/26 (Journal RS-WEIGHT-QUESTION). Evidence: python -m landry rs-test, 84 names, 2015-2026. Leaders minus laggards +3.8% over 26 weeks (t 1.8), all from the second half of the period; persistent-down names beat SPY 43% of the time with a median of -4.2% over 26 weeks, but not distinguishably worse than other laggards. Claude's lean: (a), (b) and (d) are supported; (c) is not yet. Re-run rs-test when the candidate list grows; the Fidelity tracking (landry fidscan) is a second line of evidence. DECIDED 10/10/26 (Alan: go with a, b and d; Journal RS-TREND-POLICY): persistent-down review under Rule 5, persistent-up tie-breaker, trend recorded at each scoring; weight stays 3%. Built: landry rs-trend, the draft rationale, the weekly RS trend line, tranche-prep steps. Left open only for the rulebook text (v1.06, with Open Items #44). Alan 10/10/26: hold v1.06 for the Open Items #44 companions; the Rule 5 wording in Journal RS-TREND-POLICY goes in then.</t>
  </si>
  <si>
    <t xml:space="preserve">NFLX: Rule 5 persistence re-underwrite due by 10/23/26. Relative Strength persistent down (gap -55 points, four quarterly readings down and widening, score 1). No additions meanwhile. Fresh landry draft NFLX, leading indicators, review written in the Journal as reaffirmed / resized / referred; NFLX reports Q3 on 10/20, review after the report. Repeat every 90 days while it lasts.</t>
  </si>
  <si>
    <t xml:space="preserve">Raised 10/10/26 by the first landry rs-trend reading (Journal RS-TREND-POLICY).</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</si>
  <si>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</si>
  <si>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</si>
  <si>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</si>
  <si>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</si>
  <si>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</si>
  <si>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</si>
  <si>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</si>
  <si>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</si>
  <si>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</si>
  <si>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</si>
  <si>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</si>
  <si>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</si>
  <si>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</si>
  <si>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</si>
  <si>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</si>
  <si>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</si>
  <si>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</si>
  <si>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</si>
  <si>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</si>
  <si>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</si>
  <si>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</si>
  <si>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</si>
  <si>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</si>
  <si>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</si>
  <si>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</si>
  <si>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</si>
  <si>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</si>
  <si>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</si>
  <si>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</si>
  <si>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</si>
  <si>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</si>
  <si>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</si>
  <si>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</si>
  <si>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</si>
  <si>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</si>
  <si>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</si>
  <si>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</si>
  <si>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</si>
  <si>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</si>
  <si>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</si>
  <si>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</si>
  <si>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</si>
  <si>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</si>
  <si>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</si>
  <si>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</si>
  <si>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</si>
  <si>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</si>
  <si>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</si>
  <si>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</si>
  <si>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</si>
  <si>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</si>
  <si>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</si>
  <si>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</si>
  <si>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</si>
  <si>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</si>
  <si>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</si>
  <si>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</si>
  <si>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</si>
  <si>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</si>
  <si>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</si>
  <si>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</si>
  <si>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</si>
  <si>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</si>
  <si>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</si>
  <si>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</si>
  <si>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</si>
  <si>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</si>
  <si>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</si>
  <si>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</si>
  <si>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</si>
  <si>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</si>
  <si>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</si>
  <si>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</si>
  <si>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</si>
  <si>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</si>
  <si>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</si>
  <si>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</si>
  <si>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</si>
  <si>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</si>
  <si>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</si>
  <si>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</si>
  <si>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A4:F52 as of 2026-10-10 (48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</si>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</sst>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i val="true"/>
      <sz val="9"/>
      <color rgb="FFC00000"/>
      <name val="Arial Narrow"/>
      <family val="0"/>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10"/>
      <color rgb="FFFF0000"/>
      <name val="Arial Narrow"/>
      <family val="0"/>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006100"/>
      <name val="Arial Narrow"/>
      <family val="2"/>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5">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FFF2CC"/>
        <bgColor rgb="FFFCE4D6"/>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20" fillId="0" borderId="3" xfId="0" applyFont="true" applyBorder="true" applyAlignment="true" applyProtection="false">
      <alignment horizontal="right" vertical="center" textRotation="0" wrapText="true" indent="0" shrinkToFit="false"/>
      <protection locked="true" hidden="false"/>
    </xf>
    <xf numFmtId="172" fontId="30"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3"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4" fontId="39" fillId="0" borderId="1" xfId="0" applyFont="true" applyBorder="true" applyAlignment="true" applyProtection="false">
      <alignment horizontal="center" vertical="center" textRotation="0" wrapText="false" indent="0" shrinkToFit="false"/>
      <protection locked="true" hidden="false"/>
    </xf>
    <xf numFmtId="16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left" vertical="center" textRotation="0" wrapText="false" indent="0" shrinkToFit="false"/>
      <protection locked="true" hidden="false"/>
    </xf>
    <xf numFmtId="172" fontId="32" fillId="0" borderId="6" xfId="0" applyFont="true" applyBorder="true" applyAlignment="true" applyProtection="false">
      <alignment horizontal="center" vertical="center" textRotation="0" wrapText="false" indent="0" shrinkToFit="false"/>
      <protection locked="true" hidden="false"/>
    </xf>
    <xf numFmtId="165" fontId="32" fillId="0" borderId="6" xfId="0" applyFont="true" applyBorder="true" applyAlignment="true" applyProtection="false">
      <alignment horizontal="center" vertical="center" textRotation="0" wrapText="false" indent="0" shrinkToFit="false"/>
      <protection locked="true" hidden="false"/>
    </xf>
    <xf numFmtId="17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center" vertical="center" textRotation="0" wrapText="false" indent="0" shrinkToFit="false"/>
      <protection locked="true" hidden="false"/>
    </xf>
    <xf numFmtId="164" fontId="39" fillId="0" borderId="7" xfId="0" applyFont="true" applyBorder="true" applyAlignment="true" applyProtection="false">
      <alignment horizontal="center" vertical="bottom" textRotation="0" wrapText="false" indent="0" shrinkToFit="false"/>
      <protection locked="true" hidden="false"/>
    </xf>
    <xf numFmtId="164" fontId="32" fillId="0" borderId="7" xfId="0" applyFont="true" applyBorder="true" applyAlignment="true" applyProtection="false">
      <alignment horizontal="general" vertical="bottom" textRotation="0" wrapText="false" indent="0" shrinkToFit="false"/>
      <protection locked="true" hidden="false"/>
    </xf>
    <xf numFmtId="164" fontId="32" fillId="0" borderId="7" xfId="0" applyFont="true" applyBorder="true" applyAlignment="true" applyProtection="false">
      <alignment horizontal="left" vertical="bottom" textRotation="0" wrapText="false" indent="0" shrinkToFit="false"/>
      <protection locked="true" hidden="false"/>
    </xf>
    <xf numFmtId="172" fontId="32" fillId="0" borderId="8" xfId="0" applyFont="true" applyBorder="true" applyAlignment="true" applyProtection="false">
      <alignment horizontal="center" vertical="center" textRotation="0" wrapText="false" indent="0" shrinkToFit="false"/>
      <protection locked="true" hidden="false"/>
    </xf>
    <xf numFmtId="165" fontId="32" fillId="0" borderId="9" xfId="0" applyFont="true" applyBorder="true" applyAlignment="true" applyProtection="false">
      <alignment horizontal="center" vertical="center" textRotation="0" wrapText="false" indent="0" shrinkToFit="false"/>
      <protection locked="true" hidden="false"/>
    </xf>
    <xf numFmtId="174" fontId="39" fillId="0" borderId="9" xfId="0" applyFont="true" applyBorder="true" applyAlignment="true" applyProtection="false">
      <alignment horizontal="center" vertical="center" textRotation="0" wrapText="false" indent="0" shrinkToFit="false"/>
      <protection locked="true" hidden="false"/>
    </xf>
    <xf numFmtId="164" fontId="32" fillId="0" borderId="9"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44" fillId="8"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5" fillId="7" borderId="1" xfId="0" applyFont="true" applyBorder="true" applyAlignment="true" applyProtection="false">
      <alignment horizontal="center" vertical="center" textRotation="0" wrapText="true" indent="0" shrinkToFit="false"/>
      <protection locked="true" hidden="false"/>
    </xf>
    <xf numFmtId="164" fontId="46" fillId="5" borderId="1" xfId="0" applyFont="true" applyBorder="true" applyAlignment="true" applyProtection="false">
      <alignment horizontal="left" vertical="center" textRotation="0" wrapText="false" indent="0" shrinkToFit="false"/>
      <protection locked="true" hidden="false"/>
    </xf>
    <xf numFmtId="172" fontId="46" fillId="5" borderId="1" xfId="0" applyFont="true" applyBorder="true" applyAlignment="true" applyProtection="false">
      <alignment horizontal="center" vertical="center" textRotation="0" wrapText="false" indent="0" shrinkToFit="false"/>
      <protection locked="true" hidden="false"/>
    </xf>
    <xf numFmtId="164" fontId="46" fillId="5" borderId="1" xfId="0" applyFont="true" applyBorder="true" applyAlignment="true" applyProtection="false">
      <alignment horizontal="center" vertical="center" textRotation="0" wrapText="false" indent="0" shrinkToFit="false"/>
      <protection locked="true" hidden="false"/>
    </xf>
    <xf numFmtId="175"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6" fillId="5" borderId="1" xfId="0" applyFont="true" applyBorder="true" applyAlignment="true" applyProtection="false">
      <alignment horizontal="center" vertical="center" textRotation="0" wrapText="false" indent="0" shrinkToFit="false"/>
      <protection locked="true" hidden="false"/>
    </xf>
    <xf numFmtId="176" fontId="39" fillId="0" borderId="1" xfId="0" applyFont="true" applyBorder="true" applyAlignment="true" applyProtection="false">
      <alignment horizontal="center" vertical="center" textRotation="0" wrapText="false" indent="0" shrinkToFit="false"/>
      <protection locked="true" hidden="false"/>
    </xf>
    <xf numFmtId="165" fontId="46"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6" fillId="5" borderId="1" xfId="0" applyFont="true" applyBorder="true" applyAlignment="true" applyProtection="false">
      <alignment horizontal="center" vertical="center" textRotation="0" wrapText="false" indent="0" shrinkToFit="false"/>
      <protection locked="true" hidden="false"/>
    </xf>
    <xf numFmtId="177" fontId="46" fillId="5" borderId="1" xfId="0" applyFont="true" applyBorder="true" applyAlignment="true" applyProtection="false">
      <alignment horizontal="center" vertical="center" textRotation="0" wrapText="false" indent="0" shrinkToFit="false"/>
      <protection locked="true" hidden="false"/>
    </xf>
    <xf numFmtId="174" fontId="46"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50"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7" fontId="50" fillId="0" borderId="0" xfId="0" applyFont="true" applyBorder="false" applyAlignment="true" applyProtection="false">
      <alignment horizontal="general" vertical="bottom" textRotation="0" wrapText="false" indent="0" shrinkToFit="false"/>
      <protection locked="true" hidden="false"/>
    </xf>
    <xf numFmtId="171" fontId="51" fillId="0" borderId="1" xfId="0" applyFont="true" applyBorder="true" applyAlignment="true" applyProtection="false">
      <alignment horizontal="center" vertical="center" textRotation="0" wrapText="false" indent="0" shrinkToFit="false"/>
      <protection locked="true" hidden="false"/>
    </xf>
    <xf numFmtId="171" fontId="5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6" fillId="9"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7" fillId="5" borderId="1" xfId="0" applyFont="true" applyBorder="true" applyAlignment="true" applyProtection="false">
      <alignment horizontal="center" vertical="center" textRotation="0" wrapText="false" indent="0" shrinkToFit="false"/>
      <protection locked="true" hidden="false"/>
    </xf>
    <xf numFmtId="177" fontId="57" fillId="5" borderId="1" xfId="0" applyFont="true" applyBorder="true" applyAlignment="true" applyProtection="false">
      <alignment horizontal="center" vertical="center" textRotation="0" wrapText="false" indent="0" shrinkToFit="false"/>
      <protection locked="true" hidden="false"/>
    </xf>
    <xf numFmtId="177" fontId="58" fillId="0"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9" fillId="0" borderId="1" xfId="0" applyFont="true" applyBorder="true" applyAlignment="true" applyProtection="false">
      <alignment horizontal="center" vertical="center" textRotation="0" wrapText="false" indent="0" shrinkToFit="false"/>
      <protection locked="true" hidden="false"/>
    </xf>
    <xf numFmtId="164"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72" fontId="39"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64" fontId="43" fillId="11"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left" vertical="center" textRotation="0" wrapText="false" indent="0" shrinkToFit="false"/>
      <protection locked="true" hidden="false"/>
    </xf>
    <xf numFmtId="170" fontId="62" fillId="5" borderId="1" xfId="0" applyFont="true" applyBorder="true" applyAlignment="true" applyProtection="false">
      <alignment horizontal="center" vertical="center" textRotation="0" wrapText="false" indent="0" shrinkToFit="false"/>
      <protection locked="true" hidden="false"/>
    </xf>
    <xf numFmtId="179" fontId="62" fillId="5" borderId="1" xfId="0" applyFont="true" applyBorder="true" applyAlignment="true" applyProtection="false">
      <alignment horizontal="center" vertical="center" textRotation="0" wrapText="false" indent="0" shrinkToFit="false"/>
      <protection locked="true" hidden="false"/>
    </xf>
    <xf numFmtId="167" fontId="63" fillId="0"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4" fontId="62"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8" fillId="11" borderId="1" xfId="0" applyFont="true" applyBorder="true" applyAlignment="true" applyProtection="false">
      <alignment horizontal="center" vertical="center" textRotation="0" wrapText="true" indent="0" shrinkToFit="false"/>
      <protection locked="true" hidden="false"/>
    </xf>
    <xf numFmtId="164" fontId="64"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fals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7" fillId="0" borderId="1" xfId="0" applyFont="true" applyBorder="true" applyAlignment="true" applyProtection="false">
      <alignment horizontal="center" vertical="center" textRotation="0" wrapText="false" indent="0" shrinkToFit="false"/>
      <protection locked="true" hidden="false"/>
    </xf>
    <xf numFmtId="177" fontId="47" fillId="0" borderId="1" xfId="0" applyFont="true" applyBorder="true" applyAlignment="true" applyProtection="false">
      <alignment horizontal="center" vertical="center" textRotation="0" wrapText="false" indent="0" shrinkToFit="false"/>
      <protection locked="true" hidden="false"/>
    </xf>
    <xf numFmtId="180" fontId="47" fillId="0" borderId="1" xfId="0" applyFont="true" applyBorder="true" applyAlignment="true" applyProtection="false">
      <alignment horizontal="center" vertical="center" textRotation="0" wrapText="false" indent="0" shrinkToFit="false"/>
      <protection locked="true" hidden="false"/>
    </xf>
    <xf numFmtId="164" fontId="65" fillId="12" borderId="1" xfId="0" applyFont="true" applyBorder="true" applyAlignment="true" applyProtection="false">
      <alignment horizontal="center" vertical="center" textRotation="0" wrapText="false" indent="0" shrinkToFit="false"/>
      <protection locked="true" hidden="false"/>
    </xf>
    <xf numFmtId="164" fontId="66" fillId="3" borderId="0" xfId="0" applyFont="true" applyBorder="false" applyAlignment="true" applyProtection="false">
      <alignment horizontal="left" vertical="center" textRotation="0" wrapText="false" indent="0" shrinkToFit="false"/>
      <protection locked="true" hidden="false"/>
    </xf>
    <xf numFmtId="164" fontId="66" fillId="3" borderId="0" xfId="0" applyFont="true" applyBorder="fals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bottom" textRotation="0" wrapText="false" indent="0" shrinkToFit="false"/>
      <protection locked="true" hidden="false"/>
    </xf>
    <xf numFmtId="164" fontId="68" fillId="13" borderId="3" xfId="0" applyFont="true" applyBorder="true" applyAlignment="true" applyProtection="false">
      <alignment horizontal="left" vertical="center" textRotation="0" wrapText="false" indent="0" shrinkToFit="false"/>
      <protection locked="true" hidden="false"/>
    </xf>
    <xf numFmtId="180" fontId="68" fillId="13" borderId="3" xfId="0" applyFont="true" applyBorder="true" applyAlignment="true" applyProtection="false">
      <alignment horizontal="center" vertical="center" textRotation="0" wrapText="false" indent="0" shrinkToFit="false"/>
      <protection locked="true" hidden="false"/>
    </xf>
    <xf numFmtId="181" fontId="68" fillId="13" borderId="3"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left" vertical="center" textRotation="0" wrapText="false" indent="0" shrinkToFit="false"/>
      <protection locked="true" hidden="false"/>
    </xf>
    <xf numFmtId="164" fontId="70" fillId="5" borderId="3" xfId="0" applyFont="true" applyBorder="true" applyAlignment="true" applyProtection="false">
      <alignment horizontal="left" vertical="center" textRotation="0" wrapText="false" indent="0" shrinkToFit="false"/>
      <protection locked="true" hidden="false"/>
    </xf>
    <xf numFmtId="180" fontId="70" fillId="5" borderId="3" xfId="0" applyFont="true" applyBorder="true" applyAlignment="true" applyProtection="false">
      <alignment horizontal="center" vertical="center" textRotation="0" wrapText="false" indent="0" shrinkToFit="false"/>
      <protection locked="true" hidden="false"/>
    </xf>
    <xf numFmtId="181" fontId="70" fillId="5" borderId="3" xfId="0" applyFont="true" applyBorder="true" applyAlignment="true" applyProtection="false">
      <alignment horizontal="center" vertical="center" textRotation="0" wrapText="false" indent="0" shrinkToFit="false"/>
      <protection locked="true" hidden="false"/>
    </xf>
    <xf numFmtId="164" fontId="68" fillId="0" borderId="3" xfId="0" applyFont="true" applyBorder="true" applyAlignment="true" applyProtection="false">
      <alignment horizontal="left" vertical="center" textRotation="0" wrapText="false" indent="0" shrinkToFit="false"/>
      <protection locked="true" hidden="false"/>
    </xf>
    <xf numFmtId="172" fontId="30" fillId="5" borderId="3" xfId="0" applyFont="true" applyBorder="true" applyAlignment="true" applyProtection="false">
      <alignment horizontal="center" vertical="center" textRotation="0" wrapText="false" indent="0" shrinkToFit="false"/>
      <protection locked="true" hidden="false"/>
    </xf>
    <xf numFmtId="170" fontId="30" fillId="5" borderId="3" xfId="0" applyFont="true" applyBorder="true" applyAlignment="true" applyProtection="false">
      <alignment horizontal="center" vertical="center" textRotation="0" wrapText="false" indent="0" shrinkToFit="false"/>
      <protection locked="true" hidden="false"/>
    </xf>
    <xf numFmtId="164" fontId="71"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72" fillId="14" borderId="1" xfId="0" applyFont="true" applyBorder="true" applyAlignment="true" applyProtection="false">
      <alignment horizontal="center" vertical="center" textRotation="0" wrapText="false" indent="0" shrinkToFit="false"/>
      <protection locked="true" hidden="false"/>
    </xf>
    <xf numFmtId="164" fontId="57" fillId="14" borderId="1" xfId="0" applyFont="true" applyBorder="true" applyAlignment="true" applyProtection="false">
      <alignment horizontal="center" vertical="center" textRotation="0" wrapText="true" indent="0" shrinkToFit="false"/>
      <protection locked="true" hidden="false"/>
    </xf>
    <xf numFmtId="164" fontId="72" fillId="14"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8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4" fillId="2" borderId="0" xfId="0" applyFont="true" applyBorder="true" applyAlignment="true" applyProtection="false">
      <alignment horizontal="general" vertical="bottom" textRotation="0" wrapText="false" indent="0" shrinkToFit="false"/>
      <protection locked="true" hidden="false"/>
    </xf>
    <xf numFmtId="164" fontId="75" fillId="3" borderId="0" xfId="0" applyFont="true" applyBorder="false" applyAlignment="true" applyProtection="false">
      <alignment horizontal="center" vertical="center" textRotation="0" wrapText="true" indent="0" shrinkToFit="false"/>
      <protection locked="true" hidden="false"/>
    </xf>
    <xf numFmtId="164" fontId="76" fillId="0" borderId="0" xfId="0" applyFont="true" applyBorder="false" applyAlignment="true" applyProtection="false">
      <alignment horizontal="left" vertical="top" textRotation="0" wrapText="true" indent="0" shrinkToFit="false"/>
      <protection locked="true" hidden="false"/>
    </xf>
    <xf numFmtId="164" fontId="7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1">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FFF2CC"/>
          <bgColor rgb="FF000000"/>
        </patternFill>
      </fill>
    </dxf>
    <dxf>
      <fill>
        <patternFill patternType="solid">
          <fgColor rgb="FFFF00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C0000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pt idx="159">
                  <c:v>0.019268795489924</c:v>
                </c:pt>
              </c:numCache>
            </c:numRef>
          </c:val>
        </c:ser>
        <c:gapWidth val="150"/>
        <c:overlap val="0"/>
        <c:axId val="10799005"/>
        <c:axId val="74944931"/>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(Calc)'!$W$3:$W$500</c:f>
              <c:numCache>
                <c:formatCode>#,##0.00</c:formatCode>
                <c:ptCount val="498"/>
                <c:pt idx="0">
                  <c:v>528.89</c:v>
                </c:pt>
                <c:pt idx="1">
                  <c:v>527.087358490566</c:v>
                </c:pt>
                <c:pt idx="2">
                  <c:v>525.284716981132</c:v>
                </c:pt>
                <c:pt idx="3">
                  <c:v>523.482075471698</c:v>
                </c:pt>
                <c:pt idx="4">
                  <c:v>521.679433962264</c:v>
                </c:pt>
                <c:pt idx="5">
                  <c:v>519.87679245283</c:v>
                </c:pt>
                <c:pt idx="6">
                  <c:v>518.074150943396</c:v>
                </c:pt>
                <c:pt idx="7">
                  <c:v>516.271509433962</c:v>
                </c:pt>
                <c:pt idx="8">
                  <c:v>514.468867924528</c:v>
                </c:pt>
                <c:pt idx="9">
                  <c:v>512.666226415094</c:v>
                </c:pt>
                <c:pt idx="10">
                  <c:v>510.86358490566</c:v>
                </c:pt>
                <c:pt idx="11">
                  <c:v>509.060943396226</c:v>
                </c:pt>
                <c:pt idx="12">
                  <c:v>507.258301886792</c:v>
                </c:pt>
                <c:pt idx="13">
                  <c:v>505.455660377358</c:v>
                </c:pt>
                <c:pt idx="14">
                  <c:v>503.653018867925</c:v>
                </c:pt>
                <c:pt idx="15">
                  <c:v>501.850377358491</c:v>
                </c:pt>
                <c:pt idx="16">
                  <c:v>500.047735849057</c:v>
                </c:pt>
                <c:pt idx="17">
                  <c:v>498.245094339623</c:v>
                </c:pt>
                <c:pt idx="18">
                  <c:v>496.442452830189</c:v>
                </c:pt>
                <c:pt idx="19">
                  <c:v>494.639811320755</c:v>
                </c:pt>
                <c:pt idx="20">
                  <c:v>492.837169811321</c:v>
                </c:pt>
                <c:pt idx="21">
                  <c:v>491.034528301887</c:v>
                </c:pt>
                <c:pt idx="22">
                  <c:v>489.231886792453</c:v>
                </c:pt>
                <c:pt idx="23">
                  <c:v>487.429245283019</c:v>
                </c:pt>
                <c:pt idx="24">
                  <c:v>485.626603773585</c:v>
                </c:pt>
                <c:pt idx="25">
                  <c:v>483.823962264151</c:v>
                </c:pt>
                <c:pt idx="26">
                  <c:v>482.021320754717</c:v>
                </c:pt>
                <c:pt idx="27">
                  <c:v>480.218679245283</c:v>
                </c:pt>
                <c:pt idx="28">
                  <c:v>478.416037735849</c:v>
                </c:pt>
                <c:pt idx="29">
                  <c:v>476.613396226415</c:v>
                </c:pt>
                <c:pt idx="30">
                  <c:v>474.810754716981</c:v>
                </c:pt>
                <c:pt idx="31">
                  <c:v>473.008113207547</c:v>
                </c:pt>
                <c:pt idx="32">
                  <c:v>471.205471698113</c:v>
                </c:pt>
                <c:pt idx="33">
                  <c:v>469.402830188679</c:v>
                </c:pt>
                <c:pt idx="34">
                  <c:v>467.600188679245</c:v>
                </c:pt>
                <c:pt idx="35">
                  <c:v>465.797547169811</c:v>
                </c:pt>
                <c:pt idx="36">
                  <c:v>463.994905660377</c:v>
                </c:pt>
                <c:pt idx="37">
                  <c:v>462.192264150943</c:v>
                </c:pt>
                <c:pt idx="38">
                  <c:v>460.389622641509</c:v>
                </c:pt>
                <c:pt idx="39">
                  <c:v>458.586981132075</c:v>
                </c:pt>
                <c:pt idx="40">
                  <c:v>456.784339622642</c:v>
                </c:pt>
                <c:pt idx="41">
                  <c:v>454.981698113208</c:v>
                </c:pt>
                <c:pt idx="42">
                  <c:v>453.179056603774</c:v>
                </c:pt>
                <c:pt idx="43">
                  <c:v>451.37641509434</c:v>
                </c:pt>
                <c:pt idx="44">
                  <c:v>449.573773584906</c:v>
                </c:pt>
                <c:pt idx="45">
                  <c:v>447.771132075472</c:v>
                </c:pt>
                <c:pt idx="46">
                  <c:v>445.968490566038</c:v>
                </c:pt>
                <c:pt idx="47">
                  <c:v>444.165849056604</c:v>
                </c:pt>
                <c:pt idx="48">
                  <c:v>442.36320754717</c:v>
                </c:pt>
                <c:pt idx="49">
                  <c:v>440.560566037736</c:v>
                </c:pt>
                <c:pt idx="50">
                  <c:v>438.757924528302</c:v>
                </c:pt>
                <c:pt idx="51">
                  <c:v>436.955283018868</c:v>
                </c:pt>
                <c:pt idx="52">
                  <c:v>435.152641509434</c:v>
                </c:pt>
                <c:pt idx="53">
                  <c:v>433.35</c:v>
                </c:pt>
                <c:pt idx="54">
                  <c:v>431.547358490566</c:v>
                </c:pt>
                <c:pt idx="55">
                  <c:v>429.744716981132</c:v>
                </c:pt>
                <c:pt idx="56">
                  <c:v>427.942075471698</c:v>
                </c:pt>
                <c:pt idx="57">
                  <c:v>426.139433962264</c:v>
                </c:pt>
                <c:pt idx="58">
                  <c:v>424.33679245283</c:v>
                </c:pt>
                <c:pt idx="59">
                  <c:v>422.534150943396</c:v>
                </c:pt>
                <c:pt idx="60">
                  <c:v>420.731509433962</c:v>
                </c:pt>
                <c:pt idx="61">
                  <c:v>418.928867924528</c:v>
                </c:pt>
                <c:pt idx="62">
                  <c:v>417.126226415094</c:v>
                </c:pt>
                <c:pt idx="63">
                  <c:v>415.32358490566</c:v>
                </c:pt>
                <c:pt idx="64">
                  <c:v>413.520943396226</c:v>
                </c:pt>
                <c:pt idx="65">
                  <c:v>411.718301886792</c:v>
                </c:pt>
                <c:pt idx="66">
                  <c:v>409.915660377358</c:v>
                </c:pt>
                <c:pt idx="67">
                  <c:v>408.113018867925</c:v>
                </c:pt>
                <c:pt idx="68">
                  <c:v>406.310377358491</c:v>
                </c:pt>
                <c:pt idx="69">
                  <c:v>404.507735849057</c:v>
                </c:pt>
                <c:pt idx="70">
                  <c:v>402.705094339623</c:v>
                </c:pt>
                <c:pt idx="71">
                  <c:v>400.902452830189</c:v>
                </c:pt>
                <c:pt idx="72">
                  <c:v>399.099811320755</c:v>
                </c:pt>
                <c:pt idx="73">
                  <c:v>397.297169811321</c:v>
                </c:pt>
                <c:pt idx="74">
                  <c:v>395.494528301887</c:v>
                </c:pt>
                <c:pt idx="75">
                  <c:v>393.691886792453</c:v>
                </c:pt>
                <c:pt idx="76">
                  <c:v>391.889245283019</c:v>
                </c:pt>
                <c:pt idx="77">
                  <c:v>390.086603773585</c:v>
                </c:pt>
                <c:pt idx="78">
                  <c:v>388.283962264151</c:v>
                </c:pt>
                <c:pt idx="79">
                  <c:v>386.481320754717</c:v>
                </c:pt>
                <c:pt idx="80">
                  <c:v>384.678679245283</c:v>
                </c:pt>
                <c:pt idx="81">
                  <c:v>382.876037735849</c:v>
                </c:pt>
                <c:pt idx="82">
                  <c:v>381.073396226415</c:v>
                </c:pt>
                <c:pt idx="83">
                  <c:v>379.270754716981</c:v>
                </c:pt>
                <c:pt idx="84">
                  <c:v>377.468113207547</c:v>
                </c:pt>
                <c:pt idx="85">
                  <c:v>375.665471698113</c:v>
                </c:pt>
                <c:pt idx="86">
                  <c:v>373.862830188679</c:v>
                </c:pt>
                <c:pt idx="87">
                  <c:v>372.060188679245</c:v>
                </c:pt>
                <c:pt idx="88">
                  <c:v>370.257547169811</c:v>
                </c:pt>
                <c:pt idx="89">
                  <c:v>368.454905660377</c:v>
                </c:pt>
                <c:pt idx="90">
                  <c:v>366.652264150943</c:v>
                </c:pt>
                <c:pt idx="91">
                  <c:v>364.849622641509</c:v>
                </c:pt>
                <c:pt idx="92">
                  <c:v>363.046981132075</c:v>
                </c:pt>
                <c:pt idx="93">
                  <c:v>361.244339622642</c:v>
                </c:pt>
                <c:pt idx="94">
                  <c:v>359.441698113208</c:v>
                </c:pt>
                <c:pt idx="95">
                  <c:v>357.639056603774</c:v>
                </c:pt>
                <c:pt idx="96">
                  <c:v>355.83641509434</c:v>
                </c:pt>
                <c:pt idx="97">
                  <c:v>354.033773584906</c:v>
                </c:pt>
                <c:pt idx="98">
                  <c:v>352.231132075472</c:v>
                </c:pt>
                <c:pt idx="99">
                  <c:v>350.428490566038</c:v>
                </c:pt>
                <c:pt idx="100">
                  <c:v>348.625849056604</c:v>
                </c:pt>
                <c:pt idx="101">
                  <c:v>346.82320754717</c:v>
                </c:pt>
                <c:pt idx="102">
                  <c:v>345.020566037736</c:v>
                </c:pt>
                <c:pt idx="103">
                  <c:v>343.217924528302</c:v>
                </c:pt>
                <c:pt idx="104">
                  <c:v>341.415283018868</c:v>
                </c:pt>
                <c:pt idx="105">
                  <c:v>339.612641509434</c:v>
                </c:pt>
                <c:pt idx="106">
                  <c:v>337.81</c:v>
                </c:pt>
                <c:pt idx="107">
                  <c:v>336.007358490566</c:v>
                </c:pt>
                <c:pt idx="108">
                  <c:v>334.204716981132</c:v>
                </c:pt>
                <c:pt idx="109">
                  <c:v>332.402075471698</c:v>
                </c:pt>
                <c:pt idx="110">
                  <c:v>330.599433962264</c:v>
                </c:pt>
                <c:pt idx="111">
                  <c:v>328.79679245283</c:v>
                </c:pt>
                <c:pt idx="112">
                  <c:v>326.994150943396</c:v>
                </c:pt>
                <c:pt idx="113">
                  <c:v>325.191509433962</c:v>
                </c:pt>
                <c:pt idx="114">
                  <c:v>323.388867924528</c:v>
                </c:pt>
                <c:pt idx="115">
                  <c:v>321.586226415094</c:v>
                </c:pt>
                <c:pt idx="116">
                  <c:v>319.78358490566</c:v>
                </c:pt>
                <c:pt idx="117">
                  <c:v>317.980943396226</c:v>
                </c:pt>
                <c:pt idx="118">
                  <c:v>316.178301886792</c:v>
                </c:pt>
                <c:pt idx="119">
                  <c:v>314.375660377359</c:v>
                </c:pt>
                <c:pt idx="120">
                  <c:v>312.573018867925</c:v>
                </c:pt>
                <c:pt idx="121">
                  <c:v>310.770377358491</c:v>
                </c:pt>
                <c:pt idx="122">
                  <c:v>308.967735849057</c:v>
                </c:pt>
                <c:pt idx="123">
                  <c:v>307.165094339623</c:v>
                </c:pt>
                <c:pt idx="124">
                  <c:v>305.362452830189</c:v>
                </c:pt>
                <c:pt idx="125">
                  <c:v>303.559811320755</c:v>
                </c:pt>
                <c:pt idx="126">
                  <c:v>301.757169811321</c:v>
                </c:pt>
                <c:pt idx="127">
                  <c:v>299.954528301887</c:v>
                </c:pt>
                <c:pt idx="128">
                  <c:v>298.151886792453</c:v>
                </c:pt>
                <c:pt idx="129">
                  <c:v>296.349245283019</c:v>
                </c:pt>
                <c:pt idx="130">
                  <c:v>294.546603773585</c:v>
                </c:pt>
                <c:pt idx="131">
                  <c:v>292.743962264151</c:v>
                </c:pt>
                <c:pt idx="132">
                  <c:v>290.941320754717</c:v>
                </c:pt>
                <c:pt idx="133">
                  <c:v>289.138679245283</c:v>
                </c:pt>
                <c:pt idx="134">
                  <c:v>287.336037735849</c:v>
                </c:pt>
                <c:pt idx="135">
                  <c:v>285.533396226415</c:v>
                </c:pt>
                <c:pt idx="136">
                  <c:v>283.730754716981</c:v>
                </c:pt>
                <c:pt idx="137">
                  <c:v>281.928113207547</c:v>
                </c:pt>
                <c:pt idx="138">
                  <c:v>280.125471698113</c:v>
                </c:pt>
                <c:pt idx="139">
                  <c:v>278.322830188679</c:v>
                </c:pt>
                <c:pt idx="140">
                  <c:v>276.520188679245</c:v>
                </c:pt>
                <c:pt idx="141">
                  <c:v>274.717547169811</c:v>
                </c:pt>
                <c:pt idx="142">
                  <c:v>272.914905660377</c:v>
                </c:pt>
                <c:pt idx="143">
                  <c:v>271.112264150943</c:v>
                </c:pt>
                <c:pt idx="144">
                  <c:v>269.309622641509</c:v>
                </c:pt>
                <c:pt idx="145">
                  <c:v>267.506981132075</c:v>
                </c:pt>
                <c:pt idx="146">
                  <c:v>265.704339622642</c:v>
                </c:pt>
                <c:pt idx="147">
                  <c:v>263.901698113208</c:v>
                </c:pt>
                <c:pt idx="148">
                  <c:v>262.099056603774</c:v>
                </c:pt>
                <c:pt idx="149">
                  <c:v>260.29641509434</c:v>
                </c:pt>
                <c:pt idx="150">
                  <c:v>258.493773584906</c:v>
                </c:pt>
                <c:pt idx="151">
                  <c:v>256.691132075472</c:v>
                </c:pt>
                <c:pt idx="152">
                  <c:v>254.888490566038</c:v>
                </c:pt>
                <c:pt idx="153">
                  <c:v>253.085849056604</c:v>
                </c:pt>
                <c:pt idx="154">
                  <c:v>251.28320754717</c:v>
                </c:pt>
                <c:pt idx="155">
                  <c:v>249.480566037736</c:v>
                </c:pt>
                <c:pt idx="156">
                  <c:v>247.677924528302</c:v>
                </c:pt>
                <c:pt idx="157">
                  <c:v>245.875283018868</c:v>
                </c:pt>
                <c:pt idx="158">
                  <c:v>244.072641509434</c:v>
                </c:pt>
                <c:pt idx="159">
                  <c:v>242.27</c:v>
                </c:pt>
                <c:pt idx="160">
                  <c:v>240.467358490566</c:v>
                </c:pt>
              </c:numCache>
            </c:numRef>
          </c:val>
          <c:smooth val="0"/>
        </c:ser>
        <c:hiLowLines>
          <c:spPr>
            <a:ln w="0">
              <a:noFill/>
            </a:ln>
          </c:spPr>
        </c:hiLowLines>
        <c:marker val="0"/>
        <c:axId val="67667033"/>
        <c:axId val="92789865"/>
      </c:lineChart>
      <c:dateAx>
        <c:axId val="107990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44931"/>
        <c:auto val="1"/>
        <c:lblOffset val="100"/>
        <c:baseTimeUnit val="days"/>
      </c:dateAx>
      <c:valAx>
        <c:axId val="749449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799005"/>
        <c:crosses val="autoZero"/>
        <c:crossBetween val="between"/>
      </c:valAx>
      <c:dateAx>
        <c:axId val="676670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789865"/>
        <c:auto val="1"/>
        <c:lblOffset val="100"/>
        <c:baseTimeUnit val="days"/>
      </c:dateAx>
      <c:valAx>
        <c:axId val="927898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6670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pt idx="159">
                  <c:v>0.0452857487340246</c:v>
                </c:pt>
              </c:numCache>
            </c:numRef>
          </c:val>
        </c:ser>
        <c:gapWidth val="150"/>
        <c:overlap val="0"/>
        <c:axId val="75048184"/>
        <c:axId val="7155862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(Calc)'!$X$3:$X$500</c:f>
              <c:numCache>
                <c:formatCode>#,##0.00</c:formatCode>
                <c:ptCount val="498"/>
                <c:pt idx="0">
                  <c:v>46.18</c:v>
                </c:pt>
                <c:pt idx="1">
                  <c:v>47.2527044025157</c:v>
                </c:pt>
                <c:pt idx="2">
                  <c:v>48.3254088050314</c:v>
                </c:pt>
                <c:pt idx="3">
                  <c:v>49.3981132075472</c:v>
                </c:pt>
                <c:pt idx="4">
                  <c:v>50.4708176100629</c:v>
                </c:pt>
                <c:pt idx="5">
                  <c:v>51.5435220125786</c:v>
                </c:pt>
                <c:pt idx="6">
                  <c:v>52.6162264150943</c:v>
                </c:pt>
                <c:pt idx="7">
                  <c:v>53.6889308176101</c:v>
                </c:pt>
                <c:pt idx="8">
                  <c:v>54.7616352201258</c:v>
                </c:pt>
                <c:pt idx="9">
                  <c:v>55.8343396226415</c:v>
                </c:pt>
                <c:pt idx="10">
                  <c:v>56.9070440251572</c:v>
                </c:pt>
                <c:pt idx="11">
                  <c:v>57.979748427673</c:v>
                </c:pt>
                <c:pt idx="12">
                  <c:v>59.0524528301887</c:v>
                </c:pt>
                <c:pt idx="13">
                  <c:v>60.1251572327044</c:v>
                </c:pt>
                <c:pt idx="14">
                  <c:v>61.1978616352201</c:v>
                </c:pt>
                <c:pt idx="15">
                  <c:v>62.2705660377359</c:v>
                </c:pt>
                <c:pt idx="16">
                  <c:v>63.3432704402516</c:v>
                </c:pt>
                <c:pt idx="17">
                  <c:v>64.4159748427673</c:v>
                </c:pt>
                <c:pt idx="18">
                  <c:v>65.488679245283</c:v>
                </c:pt>
                <c:pt idx="19">
                  <c:v>66.5613836477988</c:v>
                </c:pt>
                <c:pt idx="20">
                  <c:v>67.6340880503145</c:v>
                </c:pt>
                <c:pt idx="21">
                  <c:v>68.7067924528302</c:v>
                </c:pt>
                <c:pt idx="22">
                  <c:v>69.7794968553459</c:v>
                </c:pt>
                <c:pt idx="23">
                  <c:v>70.8522012578616</c:v>
                </c:pt>
                <c:pt idx="24">
                  <c:v>71.9249056603774</c:v>
                </c:pt>
                <c:pt idx="25">
                  <c:v>72.9976100628931</c:v>
                </c:pt>
                <c:pt idx="26">
                  <c:v>74.0703144654088</c:v>
                </c:pt>
                <c:pt idx="27">
                  <c:v>75.1430188679245</c:v>
                </c:pt>
                <c:pt idx="28">
                  <c:v>76.2157232704403</c:v>
                </c:pt>
                <c:pt idx="29">
                  <c:v>77.288427672956</c:v>
                </c:pt>
                <c:pt idx="30">
                  <c:v>78.3611320754717</c:v>
                </c:pt>
                <c:pt idx="31">
                  <c:v>79.4338364779874</c:v>
                </c:pt>
                <c:pt idx="32">
                  <c:v>80.5065408805031</c:v>
                </c:pt>
                <c:pt idx="33">
                  <c:v>81.5792452830189</c:v>
                </c:pt>
                <c:pt idx="34">
                  <c:v>82.6519496855346</c:v>
                </c:pt>
                <c:pt idx="35">
                  <c:v>83.7246540880503</c:v>
                </c:pt>
                <c:pt idx="36">
                  <c:v>84.797358490566</c:v>
                </c:pt>
                <c:pt idx="37">
                  <c:v>85.8700628930818</c:v>
                </c:pt>
                <c:pt idx="38">
                  <c:v>86.9427672955975</c:v>
                </c:pt>
                <c:pt idx="39">
                  <c:v>88.0154716981132</c:v>
                </c:pt>
                <c:pt idx="40">
                  <c:v>89.0881761006289</c:v>
                </c:pt>
                <c:pt idx="41">
                  <c:v>90.1608805031447</c:v>
                </c:pt>
                <c:pt idx="42">
                  <c:v>91.2335849056604</c:v>
                </c:pt>
                <c:pt idx="43">
                  <c:v>92.3062893081761</c:v>
                </c:pt>
                <c:pt idx="44">
                  <c:v>93.3789937106918</c:v>
                </c:pt>
                <c:pt idx="45">
                  <c:v>94.4516981132076</c:v>
                </c:pt>
                <c:pt idx="46">
                  <c:v>95.5244025157233</c:v>
                </c:pt>
                <c:pt idx="47">
                  <c:v>96.597106918239</c:v>
                </c:pt>
                <c:pt idx="48">
                  <c:v>97.6698113207547</c:v>
                </c:pt>
                <c:pt idx="49">
                  <c:v>98.7425157232704</c:v>
                </c:pt>
                <c:pt idx="50">
                  <c:v>99.8152201257862</c:v>
                </c:pt>
                <c:pt idx="51">
                  <c:v>100.887924528302</c:v>
                </c:pt>
                <c:pt idx="52">
                  <c:v>101.960628930818</c:v>
                </c:pt>
                <c:pt idx="53">
                  <c:v>103.033333333333</c:v>
                </c:pt>
                <c:pt idx="54">
                  <c:v>104.106037735849</c:v>
                </c:pt>
                <c:pt idx="55">
                  <c:v>105.178742138365</c:v>
                </c:pt>
                <c:pt idx="56">
                  <c:v>106.251446540881</c:v>
                </c:pt>
                <c:pt idx="57">
                  <c:v>107.324150943396</c:v>
                </c:pt>
                <c:pt idx="58">
                  <c:v>108.396855345912</c:v>
                </c:pt>
                <c:pt idx="59">
                  <c:v>109.469559748428</c:v>
                </c:pt>
                <c:pt idx="60">
                  <c:v>110.542264150943</c:v>
                </c:pt>
                <c:pt idx="61">
                  <c:v>111.614968553459</c:v>
                </c:pt>
                <c:pt idx="62">
                  <c:v>112.687672955975</c:v>
                </c:pt>
                <c:pt idx="63">
                  <c:v>113.760377358491</c:v>
                </c:pt>
                <c:pt idx="64">
                  <c:v>114.833081761006</c:v>
                </c:pt>
                <c:pt idx="65">
                  <c:v>115.905786163522</c:v>
                </c:pt>
                <c:pt idx="66">
                  <c:v>116.978490566038</c:v>
                </c:pt>
                <c:pt idx="67">
                  <c:v>118.051194968553</c:v>
                </c:pt>
                <c:pt idx="68">
                  <c:v>119.123899371069</c:v>
                </c:pt>
                <c:pt idx="69">
                  <c:v>120.196603773585</c:v>
                </c:pt>
                <c:pt idx="70">
                  <c:v>121.269308176101</c:v>
                </c:pt>
                <c:pt idx="71">
                  <c:v>122.342012578616</c:v>
                </c:pt>
                <c:pt idx="72">
                  <c:v>123.414716981132</c:v>
                </c:pt>
                <c:pt idx="73">
                  <c:v>124.487421383648</c:v>
                </c:pt>
                <c:pt idx="74">
                  <c:v>125.560125786164</c:v>
                </c:pt>
                <c:pt idx="75">
                  <c:v>126.632830188679</c:v>
                </c:pt>
                <c:pt idx="76">
                  <c:v>127.705534591195</c:v>
                </c:pt>
                <c:pt idx="77">
                  <c:v>128.778238993711</c:v>
                </c:pt>
                <c:pt idx="78">
                  <c:v>129.850943396226</c:v>
                </c:pt>
                <c:pt idx="79">
                  <c:v>130.923647798742</c:v>
                </c:pt>
                <c:pt idx="80">
                  <c:v>131.996352201258</c:v>
                </c:pt>
                <c:pt idx="81">
                  <c:v>133.069056603774</c:v>
                </c:pt>
                <c:pt idx="82">
                  <c:v>134.141761006289</c:v>
                </c:pt>
                <c:pt idx="83">
                  <c:v>135.214465408805</c:v>
                </c:pt>
                <c:pt idx="84">
                  <c:v>136.287169811321</c:v>
                </c:pt>
                <c:pt idx="85">
                  <c:v>137.359874213837</c:v>
                </c:pt>
                <c:pt idx="86">
                  <c:v>138.432578616352</c:v>
                </c:pt>
                <c:pt idx="87">
                  <c:v>139.505283018868</c:v>
                </c:pt>
                <c:pt idx="88">
                  <c:v>140.577987421384</c:v>
                </c:pt>
                <c:pt idx="89">
                  <c:v>141.650691823899</c:v>
                </c:pt>
                <c:pt idx="90">
                  <c:v>142.723396226415</c:v>
                </c:pt>
                <c:pt idx="91">
                  <c:v>143.796100628931</c:v>
                </c:pt>
                <c:pt idx="92">
                  <c:v>144.868805031447</c:v>
                </c:pt>
                <c:pt idx="93">
                  <c:v>145.941509433962</c:v>
                </c:pt>
                <c:pt idx="94">
                  <c:v>147.014213836478</c:v>
                </c:pt>
                <c:pt idx="95">
                  <c:v>148.086918238994</c:v>
                </c:pt>
                <c:pt idx="96">
                  <c:v>149.159622641509</c:v>
                </c:pt>
                <c:pt idx="97">
                  <c:v>150.232327044025</c:v>
                </c:pt>
                <c:pt idx="98">
                  <c:v>151.305031446541</c:v>
                </c:pt>
                <c:pt idx="99">
                  <c:v>152.377735849057</c:v>
                </c:pt>
                <c:pt idx="100">
                  <c:v>153.450440251572</c:v>
                </c:pt>
                <c:pt idx="101">
                  <c:v>154.523144654088</c:v>
                </c:pt>
                <c:pt idx="102">
                  <c:v>155.595849056604</c:v>
                </c:pt>
                <c:pt idx="103">
                  <c:v>156.66855345912</c:v>
                </c:pt>
                <c:pt idx="104">
                  <c:v>157.741257861635</c:v>
                </c:pt>
                <c:pt idx="105">
                  <c:v>158.813962264151</c:v>
                </c:pt>
                <c:pt idx="106">
                  <c:v>159.886666666667</c:v>
                </c:pt>
                <c:pt idx="107">
                  <c:v>160.959371069182</c:v>
                </c:pt>
                <c:pt idx="108">
                  <c:v>162.032075471698</c:v>
                </c:pt>
                <c:pt idx="109">
                  <c:v>163.104779874214</c:v>
                </c:pt>
                <c:pt idx="110">
                  <c:v>164.17748427673</c:v>
                </c:pt>
                <c:pt idx="111">
                  <c:v>165.250188679245</c:v>
                </c:pt>
                <c:pt idx="112">
                  <c:v>166.322893081761</c:v>
                </c:pt>
                <c:pt idx="113">
                  <c:v>167.395597484277</c:v>
                </c:pt>
                <c:pt idx="114">
                  <c:v>168.468301886792</c:v>
                </c:pt>
                <c:pt idx="115">
                  <c:v>169.541006289308</c:v>
                </c:pt>
                <c:pt idx="116">
                  <c:v>170.613710691824</c:v>
                </c:pt>
                <c:pt idx="117">
                  <c:v>171.68641509434</c:v>
                </c:pt>
                <c:pt idx="118">
                  <c:v>172.759119496855</c:v>
                </c:pt>
                <c:pt idx="119">
                  <c:v>173.831823899371</c:v>
                </c:pt>
                <c:pt idx="120">
                  <c:v>174.904528301887</c:v>
                </c:pt>
                <c:pt idx="121">
                  <c:v>175.977232704403</c:v>
                </c:pt>
                <c:pt idx="122">
                  <c:v>177.049937106918</c:v>
                </c:pt>
                <c:pt idx="123">
                  <c:v>178.122641509434</c:v>
                </c:pt>
                <c:pt idx="124">
                  <c:v>179.19534591195</c:v>
                </c:pt>
                <c:pt idx="125">
                  <c:v>180.268050314465</c:v>
                </c:pt>
                <c:pt idx="126">
                  <c:v>181.340754716981</c:v>
                </c:pt>
                <c:pt idx="127">
                  <c:v>182.413459119497</c:v>
                </c:pt>
                <c:pt idx="128">
                  <c:v>183.486163522013</c:v>
                </c:pt>
                <c:pt idx="129">
                  <c:v>184.558867924528</c:v>
                </c:pt>
                <c:pt idx="130">
                  <c:v>185.631572327044</c:v>
                </c:pt>
                <c:pt idx="131">
                  <c:v>186.70427672956</c:v>
                </c:pt>
                <c:pt idx="132">
                  <c:v>187.776981132076</c:v>
                </c:pt>
                <c:pt idx="133">
                  <c:v>188.849685534591</c:v>
                </c:pt>
                <c:pt idx="134">
                  <c:v>189.922389937107</c:v>
                </c:pt>
                <c:pt idx="135">
                  <c:v>190.995094339623</c:v>
                </c:pt>
                <c:pt idx="136">
                  <c:v>192.067798742138</c:v>
                </c:pt>
                <c:pt idx="137">
                  <c:v>193.140503144654</c:v>
                </c:pt>
                <c:pt idx="138">
                  <c:v>194.21320754717</c:v>
                </c:pt>
                <c:pt idx="139">
                  <c:v>195.285911949686</c:v>
                </c:pt>
                <c:pt idx="140">
                  <c:v>196.358616352201</c:v>
                </c:pt>
                <c:pt idx="141">
                  <c:v>197.431320754717</c:v>
                </c:pt>
                <c:pt idx="142">
                  <c:v>198.504025157233</c:v>
                </c:pt>
                <c:pt idx="143">
                  <c:v>199.576729559748</c:v>
                </c:pt>
                <c:pt idx="144">
                  <c:v>200.649433962264</c:v>
                </c:pt>
                <c:pt idx="145">
                  <c:v>201.72213836478</c:v>
                </c:pt>
                <c:pt idx="146">
                  <c:v>202.794842767296</c:v>
                </c:pt>
                <c:pt idx="147">
                  <c:v>203.867547169811</c:v>
                </c:pt>
                <c:pt idx="148">
                  <c:v>204.940251572327</c:v>
                </c:pt>
                <c:pt idx="149">
                  <c:v>206.012955974843</c:v>
                </c:pt>
                <c:pt idx="150">
                  <c:v>207.085660377359</c:v>
                </c:pt>
                <c:pt idx="151">
                  <c:v>208.158364779874</c:v>
                </c:pt>
                <c:pt idx="152">
                  <c:v>209.23106918239</c:v>
                </c:pt>
                <c:pt idx="153">
                  <c:v>210.303773584906</c:v>
                </c:pt>
                <c:pt idx="154">
                  <c:v>211.376477987421</c:v>
                </c:pt>
                <c:pt idx="155">
                  <c:v>212.449182389937</c:v>
                </c:pt>
                <c:pt idx="156">
                  <c:v>213.521886792453</c:v>
                </c:pt>
                <c:pt idx="157">
                  <c:v>214.594591194969</c:v>
                </c:pt>
                <c:pt idx="158">
                  <c:v>215.667295597484</c:v>
                </c:pt>
                <c:pt idx="159">
                  <c:v>216.74</c:v>
                </c:pt>
                <c:pt idx="160">
                  <c:v>217.812704402516</c:v>
                </c:pt>
              </c:numCache>
            </c:numRef>
          </c:val>
          <c:smooth val="0"/>
        </c:ser>
        <c:hiLowLines>
          <c:spPr>
            <a:ln w="0">
              <a:noFill/>
            </a:ln>
          </c:spPr>
        </c:hiLowLines>
        <c:marker val="0"/>
        <c:axId val="6159381"/>
        <c:axId val="30404121"/>
      </c:lineChart>
      <c:dateAx>
        <c:axId val="7504818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558629"/>
        <c:auto val="1"/>
        <c:lblOffset val="100"/>
        <c:baseTimeUnit val="days"/>
      </c:dateAx>
      <c:valAx>
        <c:axId val="715586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048184"/>
        <c:crosses val="autoZero"/>
        <c:crossBetween val="between"/>
      </c:valAx>
      <c:dateAx>
        <c:axId val="615938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404121"/>
        <c:auto val="1"/>
        <c:lblOffset val="100"/>
        <c:baseTimeUnit val="days"/>
      </c:dateAx>
      <c:valAx>
        <c:axId val="304041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938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pt idx="159">
                  <c:v>-0.0465750196807172</c:v>
                </c:pt>
              </c:numCache>
            </c:numRef>
          </c:val>
        </c:ser>
        <c:gapWidth val="150"/>
        <c:overlap val="0"/>
        <c:axId val="26913724"/>
        <c:axId val="24444690"/>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(Calc)'!$Y$3:$Y$500</c:f>
              <c:numCache>
                <c:formatCode>#,##0.00</c:formatCode>
                <c:ptCount val="498"/>
                <c:pt idx="0">
                  <c:v>582.01</c:v>
                </c:pt>
                <c:pt idx="1">
                  <c:v>589.546666666667</c:v>
                </c:pt>
                <c:pt idx="2">
                  <c:v>597.083333333333</c:v>
                </c:pt>
                <c:pt idx="3">
                  <c:v>604.62</c:v>
                </c:pt>
                <c:pt idx="4">
                  <c:v>612.156666666667</c:v>
                </c:pt>
                <c:pt idx="5">
                  <c:v>619.693333333333</c:v>
                </c:pt>
                <c:pt idx="6">
                  <c:v>627.23</c:v>
                </c:pt>
                <c:pt idx="7">
                  <c:v>634.766666666667</c:v>
                </c:pt>
                <c:pt idx="8">
                  <c:v>642.303333333333</c:v>
                </c:pt>
                <c:pt idx="9">
                  <c:v>649.84</c:v>
                </c:pt>
                <c:pt idx="10">
                  <c:v>657.376666666667</c:v>
                </c:pt>
                <c:pt idx="11">
                  <c:v>664.913333333333</c:v>
                </c:pt>
                <c:pt idx="12">
                  <c:v>672.45</c:v>
                </c:pt>
                <c:pt idx="13">
                  <c:v>679.986666666667</c:v>
                </c:pt>
                <c:pt idx="14">
                  <c:v>687.523333333333</c:v>
                </c:pt>
                <c:pt idx="15">
                  <c:v>695.06</c:v>
                </c:pt>
                <c:pt idx="16">
                  <c:v>702.596666666667</c:v>
                </c:pt>
                <c:pt idx="17">
                  <c:v>710.133333333333</c:v>
                </c:pt>
                <c:pt idx="18">
                  <c:v>717.67</c:v>
                </c:pt>
                <c:pt idx="19">
                  <c:v>725.206666666667</c:v>
                </c:pt>
                <c:pt idx="20">
                  <c:v>732.743333333333</c:v>
                </c:pt>
                <c:pt idx="21">
                  <c:v>740.28</c:v>
                </c:pt>
                <c:pt idx="22">
                  <c:v>747.816666666667</c:v>
                </c:pt>
                <c:pt idx="23">
                  <c:v>755.353333333333</c:v>
                </c:pt>
                <c:pt idx="24">
                  <c:v>762.89</c:v>
                </c:pt>
                <c:pt idx="25">
                  <c:v>770.426666666667</c:v>
                </c:pt>
                <c:pt idx="26">
                  <c:v>777.963333333333</c:v>
                </c:pt>
                <c:pt idx="27">
                  <c:v>785.5</c:v>
                </c:pt>
                <c:pt idx="28">
                  <c:v>793.036666666667</c:v>
                </c:pt>
                <c:pt idx="29">
                  <c:v>800.573333333333</c:v>
                </c:pt>
                <c:pt idx="30">
                  <c:v>808.11</c:v>
                </c:pt>
                <c:pt idx="31">
                  <c:v>815.646666666667</c:v>
                </c:pt>
                <c:pt idx="32">
                  <c:v>823.183333333333</c:v>
                </c:pt>
                <c:pt idx="33">
                  <c:v>830.72</c:v>
                </c:pt>
                <c:pt idx="34">
                  <c:v>838.256666666667</c:v>
                </c:pt>
                <c:pt idx="35">
                  <c:v>845.793333333333</c:v>
                </c:pt>
                <c:pt idx="36">
                  <c:v>853.33</c:v>
                </c:pt>
                <c:pt idx="37">
                  <c:v>860.866666666667</c:v>
                </c:pt>
                <c:pt idx="38">
                  <c:v>868.403333333333</c:v>
                </c:pt>
                <c:pt idx="39">
                  <c:v>875.94</c:v>
                </c:pt>
                <c:pt idx="40">
                  <c:v>883.476666666667</c:v>
                </c:pt>
                <c:pt idx="41">
                  <c:v>891.013333333333</c:v>
                </c:pt>
                <c:pt idx="42">
                  <c:v>898.55</c:v>
                </c:pt>
                <c:pt idx="43">
                  <c:v>906.086666666667</c:v>
                </c:pt>
                <c:pt idx="44">
                  <c:v>913.623333333333</c:v>
                </c:pt>
                <c:pt idx="45">
                  <c:v>921.16</c:v>
                </c:pt>
                <c:pt idx="46">
                  <c:v>928.696666666667</c:v>
                </c:pt>
                <c:pt idx="47">
                  <c:v>936.233333333333</c:v>
                </c:pt>
                <c:pt idx="48">
                  <c:v>943.77</c:v>
                </c:pt>
                <c:pt idx="49">
                  <c:v>951.306666666667</c:v>
                </c:pt>
                <c:pt idx="50">
                  <c:v>958.843333333333</c:v>
                </c:pt>
                <c:pt idx="51">
                  <c:v>966.38</c:v>
                </c:pt>
                <c:pt idx="52">
                  <c:v>973.916666666667</c:v>
                </c:pt>
                <c:pt idx="53">
                  <c:v>981.453333333333</c:v>
                </c:pt>
                <c:pt idx="54">
                  <c:v>988.99</c:v>
                </c:pt>
                <c:pt idx="55">
                  <c:v>996.526666666667</c:v>
                </c:pt>
                <c:pt idx="56">
                  <c:v>1004.06333333333</c:v>
                </c:pt>
                <c:pt idx="57">
                  <c:v>1011.6</c:v>
                </c:pt>
                <c:pt idx="58">
                  <c:v>1019.13666666667</c:v>
                </c:pt>
                <c:pt idx="59">
                  <c:v>1026.67333333333</c:v>
                </c:pt>
                <c:pt idx="60">
                  <c:v>1034.21</c:v>
                </c:pt>
                <c:pt idx="61">
                  <c:v>1041.74666666667</c:v>
                </c:pt>
                <c:pt idx="62">
                  <c:v>1049.28333333333</c:v>
                </c:pt>
                <c:pt idx="63">
                  <c:v>1056.82</c:v>
                </c:pt>
                <c:pt idx="64">
                  <c:v>1064.35666666667</c:v>
                </c:pt>
                <c:pt idx="65">
                  <c:v>1071.89333333333</c:v>
                </c:pt>
                <c:pt idx="66">
                  <c:v>1079.43</c:v>
                </c:pt>
                <c:pt idx="67">
                  <c:v>1086.96666666667</c:v>
                </c:pt>
                <c:pt idx="68">
                  <c:v>1094.50333333333</c:v>
                </c:pt>
                <c:pt idx="69">
                  <c:v>1102.04</c:v>
                </c:pt>
                <c:pt idx="70">
                  <c:v>1109.57666666667</c:v>
                </c:pt>
                <c:pt idx="71">
                  <c:v>1117.11333333333</c:v>
                </c:pt>
                <c:pt idx="72">
                  <c:v>1124.65</c:v>
                </c:pt>
                <c:pt idx="73">
                  <c:v>1132.18666666667</c:v>
                </c:pt>
                <c:pt idx="74">
                  <c:v>1139.72333333333</c:v>
                </c:pt>
                <c:pt idx="75">
                  <c:v>1147.26</c:v>
                </c:pt>
                <c:pt idx="76">
                  <c:v>1154.79666666667</c:v>
                </c:pt>
                <c:pt idx="77">
                  <c:v>1162.33333333333</c:v>
                </c:pt>
                <c:pt idx="78">
                  <c:v>1169.87</c:v>
                </c:pt>
                <c:pt idx="79">
                  <c:v>1177.40666666667</c:v>
                </c:pt>
                <c:pt idx="80">
                  <c:v>1184.94333333333</c:v>
                </c:pt>
                <c:pt idx="81">
                  <c:v>1192.48</c:v>
                </c:pt>
                <c:pt idx="82">
                  <c:v>1200.01666666667</c:v>
                </c:pt>
                <c:pt idx="83">
                  <c:v>1207.55333333333</c:v>
                </c:pt>
                <c:pt idx="84">
                  <c:v>1215.09</c:v>
                </c:pt>
                <c:pt idx="85">
                  <c:v>1222.62666666667</c:v>
                </c:pt>
                <c:pt idx="86">
                  <c:v>1230.16333333333</c:v>
                </c:pt>
                <c:pt idx="87">
                  <c:v>1237.7</c:v>
                </c:pt>
                <c:pt idx="88">
                  <c:v>1245.23666666667</c:v>
                </c:pt>
                <c:pt idx="89">
                  <c:v>1252.77333333333</c:v>
                </c:pt>
                <c:pt idx="90">
                  <c:v>1260.31</c:v>
                </c:pt>
                <c:pt idx="91">
                  <c:v>1267.84666666667</c:v>
                </c:pt>
                <c:pt idx="92">
                  <c:v>1275.38333333333</c:v>
                </c:pt>
                <c:pt idx="93">
                  <c:v>1282.92</c:v>
                </c:pt>
                <c:pt idx="94">
                  <c:v>1290.45666666667</c:v>
                </c:pt>
                <c:pt idx="95">
                  <c:v>1297.99333333333</c:v>
                </c:pt>
                <c:pt idx="96">
                  <c:v>1305.53</c:v>
                </c:pt>
                <c:pt idx="97">
                  <c:v>1313.06666666667</c:v>
                </c:pt>
                <c:pt idx="98">
                  <c:v>1320.60333333333</c:v>
                </c:pt>
                <c:pt idx="99">
                  <c:v>1328.14</c:v>
                </c:pt>
                <c:pt idx="100">
                  <c:v>1335.67666666667</c:v>
                </c:pt>
                <c:pt idx="101">
                  <c:v>1343.21333333333</c:v>
                </c:pt>
                <c:pt idx="102">
                  <c:v>1350.75</c:v>
                </c:pt>
                <c:pt idx="103">
                  <c:v>1358.28666666667</c:v>
                </c:pt>
                <c:pt idx="104">
                  <c:v>1365.82333333333</c:v>
                </c:pt>
                <c:pt idx="105">
                  <c:v>1373.36</c:v>
                </c:pt>
                <c:pt idx="106">
                  <c:v>1380.89666666667</c:v>
                </c:pt>
                <c:pt idx="107">
                  <c:v>1388.43333333333</c:v>
                </c:pt>
                <c:pt idx="108">
                  <c:v>1395.97</c:v>
                </c:pt>
                <c:pt idx="109">
                  <c:v>1403.50666666667</c:v>
                </c:pt>
                <c:pt idx="110">
                  <c:v>1411.04333333333</c:v>
                </c:pt>
                <c:pt idx="111">
                  <c:v>1418.58</c:v>
                </c:pt>
                <c:pt idx="112">
                  <c:v>1426.11666666667</c:v>
                </c:pt>
                <c:pt idx="113">
                  <c:v>1433.65333333333</c:v>
                </c:pt>
                <c:pt idx="114">
                  <c:v>1441.19</c:v>
                </c:pt>
                <c:pt idx="115">
                  <c:v>1448.72666666667</c:v>
                </c:pt>
                <c:pt idx="116">
                  <c:v>1456.26333333333</c:v>
                </c:pt>
                <c:pt idx="117">
                  <c:v>1463.8</c:v>
                </c:pt>
                <c:pt idx="118">
                  <c:v>1471.33666666667</c:v>
                </c:pt>
                <c:pt idx="119">
                  <c:v>1478.87333333333</c:v>
                </c:pt>
                <c:pt idx="120">
                  <c:v>1486.41</c:v>
                </c:pt>
                <c:pt idx="121">
                  <c:v>1493.94666666667</c:v>
                </c:pt>
                <c:pt idx="122">
                  <c:v>1501.48333333333</c:v>
                </c:pt>
                <c:pt idx="123">
                  <c:v>1509.02</c:v>
                </c:pt>
                <c:pt idx="124">
                  <c:v>1516.55666666667</c:v>
                </c:pt>
                <c:pt idx="125">
                  <c:v>1524.09333333333</c:v>
                </c:pt>
                <c:pt idx="126">
                  <c:v>1531.63</c:v>
                </c:pt>
                <c:pt idx="127">
                  <c:v>1539.16666666667</c:v>
                </c:pt>
                <c:pt idx="128">
                  <c:v>1546.70333333333</c:v>
                </c:pt>
                <c:pt idx="129">
                  <c:v>1554.24</c:v>
                </c:pt>
                <c:pt idx="130">
                  <c:v>1561.77666666667</c:v>
                </c:pt>
                <c:pt idx="131">
                  <c:v>1569.31333333333</c:v>
                </c:pt>
                <c:pt idx="132">
                  <c:v>1576.85</c:v>
                </c:pt>
                <c:pt idx="133">
                  <c:v>1584.38666666667</c:v>
                </c:pt>
                <c:pt idx="134">
                  <c:v>1591.92333333333</c:v>
                </c:pt>
                <c:pt idx="135">
                  <c:v>1599.46</c:v>
                </c:pt>
                <c:pt idx="136">
                  <c:v>1606.99666666667</c:v>
                </c:pt>
                <c:pt idx="137">
                  <c:v>1614.53333333333</c:v>
                </c:pt>
                <c:pt idx="138">
                  <c:v>1622.07</c:v>
                </c:pt>
                <c:pt idx="139">
                  <c:v>1629.60666666667</c:v>
                </c:pt>
                <c:pt idx="140">
                  <c:v>1637.14333333333</c:v>
                </c:pt>
                <c:pt idx="141">
                  <c:v>1644.68</c:v>
                </c:pt>
                <c:pt idx="142">
                  <c:v>1652.21666666667</c:v>
                </c:pt>
                <c:pt idx="143">
                  <c:v>1659.75333333333</c:v>
                </c:pt>
                <c:pt idx="144">
                  <c:v>1667.29</c:v>
                </c:pt>
                <c:pt idx="145">
                  <c:v>1674.82666666667</c:v>
                </c:pt>
                <c:pt idx="146">
                  <c:v>1682.36333333333</c:v>
                </c:pt>
                <c:pt idx="147">
                  <c:v>1689.9</c:v>
                </c:pt>
                <c:pt idx="148">
                  <c:v>1697.43666666667</c:v>
                </c:pt>
                <c:pt idx="149">
                  <c:v>1704.97333333333</c:v>
                </c:pt>
                <c:pt idx="150">
                  <c:v>1712.51</c:v>
                </c:pt>
                <c:pt idx="151">
                  <c:v>1720.04666666667</c:v>
                </c:pt>
                <c:pt idx="152">
                  <c:v>1727.58333333333</c:v>
                </c:pt>
                <c:pt idx="153">
                  <c:v>1735.12</c:v>
                </c:pt>
                <c:pt idx="154">
                  <c:v>1742.65666666667</c:v>
                </c:pt>
                <c:pt idx="155">
                  <c:v>1750.19333333333</c:v>
                </c:pt>
                <c:pt idx="156">
                  <c:v>1757.73</c:v>
                </c:pt>
                <c:pt idx="157">
                  <c:v>1765.26666666667</c:v>
                </c:pt>
                <c:pt idx="158">
                  <c:v>1772.80333333333</c:v>
                </c:pt>
                <c:pt idx="159">
                  <c:v>1780.34</c:v>
                </c:pt>
                <c:pt idx="160">
                  <c:v>1787.87666666667</c:v>
                </c:pt>
              </c:numCache>
            </c:numRef>
          </c:val>
          <c:smooth val="0"/>
        </c:ser>
        <c:hiLowLines>
          <c:spPr>
            <a:ln w="0">
              <a:noFill/>
            </a:ln>
          </c:spPr>
        </c:hiLowLines>
        <c:marker val="0"/>
        <c:axId val="38791541"/>
        <c:axId val="4254490"/>
      </c:lineChart>
      <c:dateAx>
        <c:axId val="269137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444690"/>
        <c:auto val="1"/>
        <c:lblOffset val="100"/>
        <c:baseTimeUnit val="days"/>
      </c:dateAx>
      <c:valAx>
        <c:axId val="244446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913724"/>
        <c:crosses val="autoZero"/>
        <c:crossBetween val="between"/>
      </c:valAx>
      <c:dateAx>
        <c:axId val="387915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54490"/>
        <c:auto val="1"/>
        <c:lblOffset val="100"/>
        <c:baseTimeUnit val="days"/>
      </c:dateAx>
      <c:valAx>
        <c:axId val="42544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7915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pt idx="159">
                  <c:v>0.0180210621163486</c:v>
                </c:pt>
              </c:numCache>
            </c:numRef>
          </c:val>
        </c:ser>
        <c:gapWidth val="150"/>
        <c:overlap val="0"/>
        <c:axId val="83129426"/>
        <c:axId val="631825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(Calc)'!$Z$3:$Z$500</c:f>
              <c:numCache>
                <c:formatCode>#,##0.00</c:formatCode>
                <c:ptCount val="498"/>
                <c:pt idx="0">
                  <c:v>82</c:v>
                </c:pt>
                <c:pt idx="1">
                  <c:v>83.7581132075472</c:v>
                </c:pt>
                <c:pt idx="2">
                  <c:v>85.5162264150943</c:v>
                </c:pt>
                <c:pt idx="3">
                  <c:v>87.2743396226415</c:v>
                </c:pt>
                <c:pt idx="4">
                  <c:v>89.0324528301887</c:v>
                </c:pt>
                <c:pt idx="5">
                  <c:v>90.7905660377359</c:v>
                </c:pt>
                <c:pt idx="6">
                  <c:v>92.548679245283</c:v>
                </c:pt>
                <c:pt idx="7">
                  <c:v>94.3067924528302</c:v>
                </c:pt>
                <c:pt idx="8">
                  <c:v>96.0649056603774</c:v>
                </c:pt>
                <c:pt idx="9">
                  <c:v>97.8230188679245</c:v>
                </c:pt>
                <c:pt idx="10">
                  <c:v>99.5811320754717</c:v>
                </c:pt>
                <c:pt idx="11">
                  <c:v>101.339245283019</c:v>
                </c:pt>
                <c:pt idx="12">
                  <c:v>103.097358490566</c:v>
                </c:pt>
                <c:pt idx="13">
                  <c:v>104.855471698113</c:v>
                </c:pt>
                <c:pt idx="14">
                  <c:v>106.61358490566</c:v>
                </c:pt>
                <c:pt idx="15">
                  <c:v>108.371698113208</c:v>
                </c:pt>
                <c:pt idx="16">
                  <c:v>110.129811320755</c:v>
                </c:pt>
                <c:pt idx="17">
                  <c:v>111.887924528302</c:v>
                </c:pt>
                <c:pt idx="18">
                  <c:v>113.646037735849</c:v>
                </c:pt>
                <c:pt idx="19">
                  <c:v>115.404150943396</c:v>
                </c:pt>
                <c:pt idx="20">
                  <c:v>117.162264150943</c:v>
                </c:pt>
                <c:pt idx="21">
                  <c:v>118.920377358491</c:v>
                </c:pt>
                <c:pt idx="22">
                  <c:v>120.678490566038</c:v>
                </c:pt>
                <c:pt idx="23">
                  <c:v>122.436603773585</c:v>
                </c:pt>
                <c:pt idx="24">
                  <c:v>124.194716981132</c:v>
                </c:pt>
                <c:pt idx="25">
                  <c:v>125.952830188679</c:v>
                </c:pt>
                <c:pt idx="26">
                  <c:v>127.710943396226</c:v>
                </c:pt>
                <c:pt idx="27">
                  <c:v>129.469056603774</c:v>
                </c:pt>
                <c:pt idx="28">
                  <c:v>131.227169811321</c:v>
                </c:pt>
                <c:pt idx="29">
                  <c:v>132.985283018868</c:v>
                </c:pt>
                <c:pt idx="30">
                  <c:v>134.743396226415</c:v>
                </c:pt>
                <c:pt idx="31">
                  <c:v>136.501509433962</c:v>
                </c:pt>
                <c:pt idx="32">
                  <c:v>138.259622641509</c:v>
                </c:pt>
                <c:pt idx="33">
                  <c:v>140.017735849057</c:v>
                </c:pt>
                <c:pt idx="34">
                  <c:v>141.775849056604</c:v>
                </c:pt>
                <c:pt idx="35">
                  <c:v>143.533962264151</c:v>
                </c:pt>
                <c:pt idx="36">
                  <c:v>145.292075471698</c:v>
                </c:pt>
                <c:pt idx="37">
                  <c:v>147.050188679245</c:v>
                </c:pt>
                <c:pt idx="38">
                  <c:v>148.808301886792</c:v>
                </c:pt>
                <c:pt idx="39">
                  <c:v>150.56641509434</c:v>
                </c:pt>
                <c:pt idx="40">
                  <c:v>152.324528301887</c:v>
                </c:pt>
                <c:pt idx="41">
                  <c:v>154.082641509434</c:v>
                </c:pt>
                <c:pt idx="42">
                  <c:v>155.840754716981</c:v>
                </c:pt>
                <c:pt idx="43">
                  <c:v>157.598867924528</c:v>
                </c:pt>
                <c:pt idx="44">
                  <c:v>159.356981132075</c:v>
                </c:pt>
                <c:pt idx="45">
                  <c:v>161.115094339623</c:v>
                </c:pt>
                <c:pt idx="46">
                  <c:v>162.87320754717</c:v>
                </c:pt>
                <c:pt idx="47">
                  <c:v>164.631320754717</c:v>
                </c:pt>
                <c:pt idx="48">
                  <c:v>166.389433962264</c:v>
                </c:pt>
                <c:pt idx="49">
                  <c:v>168.147547169811</c:v>
                </c:pt>
                <c:pt idx="50">
                  <c:v>169.905660377359</c:v>
                </c:pt>
                <c:pt idx="51">
                  <c:v>171.663773584906</c:v>
                </c:pt>
                <c:pt idx="52">
                  <c:v>173.421886792453</c:v>
                </c:pt>
                <c:pt idx="53">
                  <c:v>175.18</c:v>
                </c:pt>
                <c:pt idx="54">
                  <c:v>176.938113207547</c:v>
                </c:pt>
                <c:pt idx="55">
                  <c:v>178.696226415094</c:v>
                </c:pt>
                <c:pt idx="56">
                  <c:v>180.454339622642</c:v>
                </c:pt>
                <c:pt idx="57">
                  <c:v>182.212452830189</c:v>
                </c:pt>
                <c:pt idx="58">
                  <c:v>183.970566037736</c:v>
                </c:pt>
                <c:pt idx="59">
                  <c:v>185.728679245283</c:v>
                </c:pt>
                <c:pt idx="60">
                  <c:v>187.48679245283</c:v>
                </c:pt>
                <c:pt idx="61">
                  <c:v>189.244905660377</c:v>
                </c:pt>
                <c:pt idx="62">
                  <c:v>191.003018867925</c:v>
                </c:pt>
                <c:pt idx="63">
                  <c:v>192.761132075472</c:v>
                </c:pt>
                <c:pt idx="64">
                  <c:v>194.519245283019</c:v>
                </c:pt>
                <c:pt idx="65">
                  <c:v>196.277358490566</c:v>
                </c:pt>
                <c:pt idx="66">
                  <c:v>198.035471698113</c:v>
                </c:pt>
                <c:pt idx="67">
                  <c:v>199.79358490566</c:v>
                </c:pt>
                <c:pt idx="68">
                  <c:v>201.551698113208</c:v>
                </c:pt>
                <c:pt idx="69">
                  <c:v>203.309811320755</c:v>
                </c:pt>
                <c:pt idx="70">
                  <c:v>205.067924528302</c:v>
                </c:pt>
                <c:pt idx="71">
                  <c:v>206.826037735849</c:v>
                </c:pt>
                <c:pt idx="72">
                  <c:v>208.584150943396</c:v>
                </c:pt>
                <c:pt idx="73">
                  <c:v>210.342264150943</c:v>
                </c:pt>
                <c:pt idx="74">
                  <c:v>212.100377358491</c:v>
                </c:pt>
                <c:pt idx="75">
                  <c:v>213.858490566038</c:v>
                </c:pt>
                <c:pt idx="76">
                  <c:v>215.616603773585</c:v>
                </c:pt>
                <c:pt idx="77">
                  <c:v>217.374716981132</c:v>
                </c:pt>
                <c:pt idx="78">
                  <c:v>219.132830188679</c:v>
                </c:pt>
                <c:pt idx="79">
                  <c:v>220.890943396226</c:v>
                </c:pt>
                <c:pt idx="80">
                  <c:v>222.649056603774</c:v>
                </c:pt>
                <c:pt idx="81">
                  <c:v>224.407169811321</c:v>
                </c:pt>
                <c:pt idx="82">
                  <c:v>226.165283018868</c:v>
                </c:pt>
                <c:pt idx="83">
                  <c:v>227.923396226415</c:v>
                </c:pt>
                <c:pt idx="84">
                  <c:v>229.681509433962</c:v>
                </c:pt>
                <c:pt idx="85">
                  <c:v>231.439622641509</c:v>
                </c:pt>
                <c:pt idx="86">
                  <c:v>233.197735849057</c:v>
                </c:pt>
                <c:pt idx="87">
                  <c:v>234.955849056604</c:v>
                </c:pt>
                <c:pt idx="88">
                  <c:v>236.713962264151</c:v>
                </c:pt>
                <c:pt idx="89">
                  <c:v>238.472075471698</c:v>
                </c:pt>
                <c:pt idx="90">
                  <c:v>240.230188679245</c:v>
                </c:pt>
                <c:pt idx="91">
                  <c:v>241.988301886792</c:v>
                </c:pt>
                <c:pt idx="92">
                  <c:v>243.74641509434</c:v>
                </c:pt>
                <c:pt idx="93">
                  <c:v>245.504528301887</c:v>
                </c:pt>
                <c:pt idx="94">
                  <c:v>247.262641509434</c:v>
                </c:pt>
                <c:pt idx="95">
                  <c:v>249.020754716981</c:v>
                </c:pt>
                <c:pt idx="96">
                  <c:v>250.778867924528</c:v>
                </c:pt>
                <c:pt idx="97">
                  <c:v>252.536981132075</c:v>
                </c:pt>
                <c:pt idx="98">
                  <c:v>254.295094339623</c:v>
                </c:pt>
                <c:pt idx="99">
                  <c:v>256.05320754717</c:v>
                </c:pt>
                <c:pt idx="100">
                  <c:v>257.811320754717</c:v>
                </c:pt>
                <c:pt idx="101">
                  <c:v>259.569433962264</c:v>
                </c:pt>
                <c:pt idx="102">
                  <c:v>261.327547169811</c:v>
                </c:pt>
                <c:pt idx="103">
                  <c:v>263.085660377359</c:v>
                </c:pt>
                <c:pt idx="104">
                  <c:v>264.843773584906</c:v>
                </c:pt>
                <c:pt idx="105">
                  <c:v>266.601886792453</c:v>
                </c:pt>
                <c:pt idx="106">
                  <c:v>268.36</c:v>
                </c:pt>
                <c:pt idx="107">
                  <c:v>270.118113207547</c:v>
                </c:pt>
                <c:pt idx="108">
                  <c:v>271.876226415094</c:v>
                </c:pt>
                <c:pt idx="109">
                  <c:v>273.634339622642</c:v>
                </c:pt>
                <c:pt idx="110">
                  <c:v>275.392452830189</c:v>
                </c:pt>
                <c:pt idx="111">
                  <c:v>277.150566037736</c:v>
                </c:pt>
                <c:pt idx="112">
                  <c:v>278.908679245283</c:v>
                </c:pt>
                <c:pt idx="113">
                  <c:v>280.66679245283</c:v>
                </c:pt>
                <c:pt idx="114">
                  <c:v>282.424905660377</c:v>
                </c:pt>
                <c:pt idx="115">
                  <c:v>284.183018867925</c:v>
                </c:pt>
                <c:pt idx="116">
                  <c:v>285.941132075472</c:v>
                </c:pt>
                <c:pt idx="117">
                  <c:v>287.699245283019</c:v>
                </c:pt>
                <c:pt idx="118">
                  <c:v>289.457358490566</c:v>
                </c:pt>
                <c:pt idx="119">
                  <c:v>291.215471698113</c:v>
                </c:pt>
                <c:pt idx="120">
                  <c:v>292.97358490566</c:v>
                </c:pt>
                <c:pt idx="121">
                  <c:v>294.731698113208</c:v>
                </c:pt>
                <c:pt idx="122">
                  <c:v>296.489811320755</c:v>
                </c:pt>
                <c:pt idx="123">
                  <c:v>298.247924528302</c:v>
                </c:pt>
                <c:pt idx="124">
                  <c:v>300.006037735849</c:v>
                </c:pt>
                <c:pt idx="125">
                  <c:v>301.764150943396</c:v>
                </c:pt>
                <c:pt idx="126">
                  <c:v>303.522264150943</c:v>
                </c:pt>
                <c:pt idx="127">
                  <c:v>305.280377358491</c:v>
                </c:pt>
                <c:pt idx="128">
                  <c:v>307.038490566038</c:v>
                </c:pt>
                <c:pt idx="129">
                  <c:v>308.796603773585</c:v>
                </c:pt>
                <c:pt idx="130">
                  <c:v>310.554716981132</c:v>
                </c:pt>
                <c:pt idx="131">
                  <c:v>312.312830188679</c:v>
                </c:pt>
                <c:pt idx="132">
                  <c:v>314.070943396226</c:v>
                </c:pt>
                <c:pt idx="133">
                  <c:v>315.829056603774</c:v>
                </c:pt>
                <c:pt idx="134">
                  <c:v>317.587169811321</c:v>
                </c:pt>
                <c:pt idx="135">
                  <c:v>319.345283018868</c:v>
                </c:pt>
                <c:pt idx="136">
                  <c:v>321.103396226415</c:v>
                </c:pt>
                <c:pt idx="137">
                  <c:v>322.861509433962</c:v>
                </c:pt>
                <c:pt idx="138">
                  <c:v>324.619622641509</c:v>
                </c:pt>
                <c:pt idx="139">
                  <c:v>326.377735849057</c:v>
                </c:pt>
                <c:pt idx="140">
                  <c:v>328.135849056604</c:v>
                </c:pt>
                <c:pt idx="141">
                  <c:v>329.893962264151</c:v>
                </c:pt>
                <c:pt idx="142">
                  <c:v>331.652075471698</c:v>
                </c:pt>
                <c:pt idx="143">
                  <c:v>333.410188679245</c:v>
                </c:pt>
                <c:pt idx="144">
                  <c:v>335.168301886793</c:v>
                </c:pt>
                <c:pt idx="145">
                  <c:v>336.92641509434</c:v>
                </c:pt>
                <c:pt idx="146">
                  <c:v>338.684528301887</c:v>
                </c:pt>
                <c:pt idx="147">
                  <c:v>340.442641509434</c:v>
                </c:pt>
                <c:pt idx="148">
                  <c:v>342.200754716981</c:v>
                </c:pt>
                <c:pt idx="149">
                  <c:v>343.958867924528</c:v>
                </c:pt>
                <c:pt idx="150">
                  <c:v>345.716981132076</c:v>
                </c:pt>
                <c:pt idx="151">
                  <c:v>347.475094339623</c:v>
                </c:pt>
                <c:pt idx="152">
                  <c:v>349.23320754717</c:v>
                </c:pt>
                <c:pt idx="153">
                  <c:v>350.991320754717</c:v>
                </c:pt>
                <c:pt idx="154">
                  <c:v>352.749433962264</c:v>
                </c:pt>
                <c:pt idx="155">
                  <c:v>354.507547169811</c:v>
                </c:pt>
                <c:pt idx="156">
                  <c:v>356.265660377359</c:v>
                </c:pt>
                <c:pt idx="157">
                  <c:v>358.023773584906</c:v>
                </c:pt>
                <c:pt idx="158">
                  <c:v>359.781886792453</c:v>
                </c:pt>
                <c:pt idx="159">
                  <c:v>361.54</c:v>
                </c:pt>
                <c:pt idx="160">
                  <c:v>363.298113207547</c:v>
                </c:pt>
              </c:numCache>
            </c:numRef>
          </c:val>
          <c:smooth val="0"/>
        </c:ser>
        <c:hiLowLines>
          <c:spPr>
            <a:ln w="0">
              <a:noFill/>
            </a:ln>
          </c:spPr>
        </c:hiLowLines>
        <c:marker val="0"/>
        <c:axId val="71079721"/>
        <c:axId val="50900590"/>
      </c:lineChart>
      <c:dateAx>
        <c:axId val="831294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18252"/>
        <c:auto val="1"/>
        <c:lblOffset val="100"/>
        <c:baseTimeUnit val="days"/>
      </c:dateAx>
      <c:valAx>
        <c:axId val="63182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29426"/>
        <c:crosses val="autoZero"/>
        <c:crossBetween val="between"/>
      </c:valAx>
      <c:dateAx>
        <c:axId val="710797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900590"/>
        <c:auto val="1"/>
        <c:lblOffset val="100"/>
        <c:baseTimeUnit val="days"/>
      </c:dateAx>
      <c:valAx>
        <c:axId val="509005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0797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pt idx="159">
                  <c:v>0.0185157754406755</c:v>
                </c:pt>
              </c:numCache>
            </c:numRef>
          </c:val>
        </c:ser>
        <c:gapWidth val="150"/>
        <c:overlap val="0"/>
        <c:axId val="42661996"/>
        <c:axId val="17651482"/>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(Calc)'!$AA$3:$AA$500</c:f>
              <c:numCache>
                <c:formatCode>#,##0.00</c:formatCode>
                <c:ptCount val="498"/>
                <c:pt idx="0">
                  <c:v>41.36</c:v>
                </c:pt>
                <c:pt idx="1">
                  <c:v>42.8296855345912</c:v>
                </c:pt>
                <c:pt idx="2">
                  <c:v>44.2993710691824</c:v>
                </c:pt>
                <c:pt idx="3">
                  <c:v>45.7690566037736</c:v>
                </c:pt>
                <c:pt idx="4">
                  <c:v>47.2387421383648</c:v>
                </c:pt>
                <c:pt idx="5">
                  <c:v>48.708427672956</c:v>
                </c:pt>
                <c:pt idx="6">
                  <c:v>50.1781132075472</c:v>
                </c:pt>
                <c:pt idx="7">
                  <c:v>51.6477987421384</c:v>
                </c:pt>
                <c:pt idx="8">
                  <c:v>53.1174842767296</c:v>
                </c:pt>
                <c:pt idx="9">
                  <c:v>54.5871698113208</c:v>
                </c:pt>
                <c:pt idx="10">
                  <c:v>56.056855345912</c:v>
                </c:pt>
                <c:pt idx="11">
                  <c:v>57.5265408805032</c:v>
                </c:pt>
                <c:pt idx="12">
                  <c:v>58.9962264150943</c:v>
                </c:pt>
                <c:pt idx="13">
                  <c:v>60.4659119496855</c:v>
                </c:pt>
                <c:pt idx="14">
                  <c:v>61.9355974842767</c:v>
                </c:pt>
                <c:pt idx="15">
                  <c:v>63.4052830188679</c:v>
                </c:pt>
                <c:pt idx="16">
                  <c:v>64.8749685534591</c:v>
                </c:pt>
                <c:pt idx="17">
                  <c:v>66.3446540880503</c:v>
                </c:pt>
                <c:pt idx="18">
                  <c:v>67.8143396226415</c:v>
                </c:pt>
                <c:pt idx="19">
                  <c:v>69.2840251572327</c:v>
                </c:pt>
                <c:pt idx="20">
                  <c:v>70.7537106918239</c:v>
                </c:pt>
                <c:pt idx="21">
                  <c:v>72.2233962264151</c:v>
                </c:pt>
                <c:pt idx="22">
                  <c:v>73.6930817610063</c:v>
                </c:pt>
                <c:pt idx="23">
                  <c:v>75.1627672955975</c:v>
                </c:pt>
                <c:pt idx="24">
                  <c:v>76.6324528301887</c:v>
                </c:pt>
                <c:pt idx="25">
                  <c:v>78.1021383647799</c:v>
                </c:pt>
                <c:pt idx="26">
                  <c:v>79.5718238993711</c:v>
                </c:pt>
                <c:pt idx="27">
                  <c:v>81.0415094339623</c:v>
                </c:pt>
                <c:pt idx="28">
                  <c:v>82.5111949685535</c:v>
                </c:pt>
                <c:pt idx="29">
                  <c:v>83.9808805031447</c:v>
                </c:pt>
                <c:pt idx="30">
                  <c:v>85.4505660377359</c:v>
                </c:pt>
                <c:pt idx="31">
                  <c:v>86.920251572327</c:v>
                </c:pt>
                <c:pt idx="32">
                  <c:v>88.3899371069182</c:v>
                </c:pt>
                <c:pt idx="33">
                  <c:v>89.8596226415095</c:v>
                </c:pt>
                <c:pt idx="34">
                  <c:v>91.3293081761006</c:v>
                </c:pt>
                <c:pt idx="35">
                  <c:v>92.7989937106918</c:v>
                </c:pt>
                <c:pt idx="36">
                  <c:v>94.268679245283</c:v>
                </c:pt>
                <c:pt idx="37">
                  <c:v>95.7383647798742</c:v>
                </c:pt>
                <c:pt idx="38">
                  <c:v>97.2080503144654</c:v>
                </c:pt>
                <c:pt idx="39">
                  <c:v>98.6777358490566</c:v>
                </c:pt>
                <c:pt idx="40">
                  <c:v>100.147421383648</c:v>
                </c:pt>
                <c:pt idx="41">
                  <c:v>101.617106918239</c:v>
                </c:pt>
                <c:pt idx="42">
                  <c:v>103.08679245283</c:v>
                </c:pt>
                <c:pt idx="43">
                  <c:v>104.556477987421</c:v>
                </c:pt>
                <c:pt idx="44">
                  <c:v>106.026163522013</c:v>
                </c:pt>
                <c:pt idx="45">
                  <c:v>107.495849056604</c:v>
                </c:pt>
                <c:pt idx="46">
                  <c:v>108.965534591195</c:v>
                </c:pt>
                <c:pt idx="47">
                  <c:v>110.435220125786</c:v>
                </c:pt>
                <c:pt idx="48">
                  <c:v>111.904905660377</c:v>
                </c:pt>
                <c:pt idx="49">
                  <c:v>113.374591194969</c:v>
                </c:pt>
                <c:pt idx="50">
                  <c:v>114.84427672956</c:v>
                </c:pt>
                <c:pt idx="51">
                  <c:v>116.313962264151</c:v>
                </c:pt>
                <c:pt idx="52">
                  <c:v>117.783647798742</c:v>
                </c:pt>
                <c:pt idx="53">
                  <c:v>119.253333333333</c:v>
                </c:pt>
                <c:pt idx="54">
                  <c:v>120.723018867925</c:v>
                </c:pt>
                <c:pt idx="55">
                  <c:v>122.192704402516</c:v>
                </c:pt>
                <c:pt idx="56">
                  <c:v>123.662389937107</c:v>
                </c:pt>
                <c:pt idx="57">
                  <c:v>125.132075471698</c:v>
                </c:pt>
                <c:pt idx="58">
                  <c:v>126.601761006289</c:v>
                </c:pt>
                <c:pt idx="59">
                  <c:v>128.071446540881</c:v>
                </c:pt>
                <c:pt idx="60">
                  <c:v>129.541132075472</c:v>
                </c:pt>
                <c:pt idx="61">
                  <c:v>131.010817610063</c:v>
                </c:pt>
                <c:pt idx="62">
                  <c:v>132.480503144654</c:v>
                </c:pt>
                <c:pt idx="63">
                  <c:v>133.950188679245</c:v>
                </c:pt>
                <c:pt idx="64">
                  <c:v>135.419874213836</c:v>
                </c:pt>
                <c:pt idx="65">
                  <c:v>136.889559748428</c:v>
                </c:pt>
                <c:pt idx="66">
                  <c:v>138.359245283019</c:v>
                </c:pt>
                <c:pt idx="67">
                  <c:v>139.82893081761</c:v>
                </c:pt>
                <c:pt idx="68">
                  <c:v>141.298616352201</c:v>
                </c:pt>
                <c:pt idx="69">
                  <c:v>142.768301886792</c:v>
                </c:pt>
                <c:pt idx="70">
                  <c:v>144.237987421384</c:v>
                </c:pt>
                <c:pt idx="71">
                  <c:v>145.707672955975</c:v>
                </c:pt>
                <c:pt idx="72">
                  <c:v>147.177358490566</c:v>
                </c:pt>
                <c:pt idx="73">
                  <c:v>148.647044025157</c:v>
                </c:pt>
                <c:pt idx="74">
                  <c:v>150.116729559748</c:v>
                </c:pt>
                <c:pt idx="75">
                  <c:v>151.58641509434</c:v>
                </c:pt>
                <c:pt idx="76">
                  <c:v>153.056100628931</c:v>
                </c:pt>
                <c:pt idx="77">
                  <c:v>154.525786163522</c:v>
                </c:pt>
                <c:pt idx="78">
                  <c:v>155.995471698113</c:v>
                </c:pt>
                <c:pt idx="79">
                  <c:v>157.465157232704</c:v>
                </c:pt>
                <c:pt idx="80">
                  <c:v>158.934842767296</c:v>
                </c:pt>
                <c:pt idx="81">
                  <c:v>160.404528301887</c:v>
                </c:pt>
                <c:pt idx="82">
                  <c:v>161.874213836478</c:v>
                </c:pt>
                <c:pt idx="83">
                  <c:v>163.343899371069</c:v>
                </c:pt>
                <c:pt idx="84">
                  <c:v>164.81358490566</c:v>
                </c:pt>
                <c:pt idx="85">
                  <c:v>166.283270440252</c:v>
                </c:pt>
                <c:pt idx="86">
                  <c:v>167.752955974843</c:v>
                </c:pt>
                <c:pt idx="87">
                  <c:v>169.222641509434</c:v>
                </c:pt>
                <c:pt idx="88">
                  <c:v>170.692327044025</c:v>
                </c:pt>
                <c:pt idx="89">
                  <c:v>172.162012578616</c:v>
                </c:pt>
                <c:pt idx="90">
                  <c:v>173.631698113208</c:v>
                </c:pt>
                <c:pt idx="91">
                  <c:v>175.101383647799</c:v>
                </c:pt>
                <c:pt idx="92">
                  <c:v>176.57106918239</c:v>
                </c:pt>
                <c:pt idx="93">
                  <c:v>178.040754716981</c:v>
                </c:pt>
                <c:pt idx="94">
                  <c:v>179.510440251572</c:v>
                </c:pt>
                <c:pt idx="95">
                  <c:v>180.980125786164</c:v>
                </c:pt>
                <c:pt idx="96">
                  <c:v>182.449811320755</c:v>
                </c:pt>
                <c:pt idx="97">
                  <c:v>183.919496855346</c:v>
                </c:pt>
                <c:pt idx="98">
                  <c:v>185.389182389937</c:v>
                </c:pt>
                <c:pt idx="99">
                  <c:v>186.858867924528</c:v>
                </c:pt>
                <c:pt idx="100">
                  <c:v>188.32855345912</c:v>
                </c:pt>
                <c:pt idx="101">
                  <c:v>189.798238993711</c:v>
                </c:pt>
                <c:pt idx="102">
                  <c:v>191.267924528302</c:v>
                </c:pt>
                <c:pt idx="103">
                  <c:v>192.737610062893</c:v>
                </c:pt>
                <c:pt idx="104">
                  <c:v>194.207295597484</c:v>
                </c:pt>
                <c:pt idx="105">
                  <c:v>195.676981132075</c:v>
                </c:pt>
                <c:pt idx="106">
                  <c:v>197.146666666667</c:v>
                </c:pt>
                <c:pt idx="107">
                  <c:v>198.616352201258</c:v>
                </c:pt>
                <c:pt idx="108">
                  <c:v>200.086037735849</c:v>
                </c:pt>
                <c:pt idx="109">
                  <c:v>201.55572327044</c:v>
                </c:pt>
                <c:pt idx="110">
                  <c:v>203.025408805031</c:v>
                </c:pt>
                <c:pt idx="111">
                  <c:v>204.495094339623</c:v>
                </c:pt>
                <c:pt idx="112">
                  <c:v>205.964779874214</c:v>
                </c:pt>
                <c:pt idx="113">
                  <c:v>207.434465408805</c:v>
                </c:pt>
                <c:pt idx="114">
                  <c:v>208.904150943396</c:v>
                </c:pt>
                <c:pt idx="115">
                  <c:v>210.373836477987</c:v>
                </c:pt>
                <c:pt idx="116">
                  <c:v>211.843522012579</c:v>
                </c:pt>
                <c:pt idx="117">
                  <c:v>213.31320754717</c:v>
                </c:pt>
                <c:pt idx="118">
                  <c:v>214.782893081761</c:v>
                </c:pt>
                <c:pt idx="119">
                  <c:v>216.252578616352</c:v>
                </c:pt>
                <c:pt idx="120">
                  <c:v>217.722264150943</c:v>
                </c:pt>
                <c:pt idx="121">
                  <c:v>219.191949685535</c:v>
                </c:pt>
                <c:pt idx="122">
                  <c:v>220.661635220126</c:v>
                </c:pt>
                <c:pt idx="123">
                  <c:v>222.131320754717</c:v>
                </c:pt>
                <c:pt idx="124">
                  <c:v>223.601006289308</c:v>
                </c:pt>
                <c:pt idx="125">
                  <c:v>225.070691823899</c:v>
                </c:pt>
                <c:pt idx="126">
                  <c:v>226.540377358491</c:v>
                </c:pt>
                <c:pt idx="127">
                  <c:v>228.010062893082</c:v>
                </c:pt>
                <c:pt idx="128">
                  <c:v>229.479748427673</c:v>
                </c:pt>
                <c:pt idx="129">
                  <c:v>230.949433962264</c:v>
                </c:pt>
                <c:pt idx="130">
                  <c:v>232.419119496855</c:v>
                </c:pt>
                <c:pt idx="131">
                  <c:v>233.888805031447</c:v>
                </c:pt>
                <c:pt idx="132">
                  <c:v>235.358490566038</c:v>
                </c:pt>
                <c:pt idx="133">
                  <c:v>236.828176100629</c:v>
                </c:pt>
                <c:pt idx="134">
                  <c:v>238.29786163522</c:v>
                </c:pt>
                <c:pt idx="135">
                  <c:v>239.767547169811</c:v>
                </c:pt>
                <c:pt idx="136">
                  <c:v>241.237232704403</c:v>
                </c:pt>
                <c:pt idx="137">
                  <c:v>242.706918238994</c:v>
                </c:pt>
                <c:pt idx="138">
                  <c:v>244.176603773585</c:v>
                </c:pt>
                <c:pt idx="139">
                  <c:v>245.646289308176</c:v>
                </c:pt>
                <c:pt idx="140">
                  <c:v>247.115974842767</c:v>
                </c:pt>
                <c:pt idx="141">
                  <c:v>248.585660377358</c:v>
                </c:pt>
                <c:pt idx="142">
                  <c:v>250.05534591195</c:v>
                </c:pt>
                <c:pt idx="143">
                  <c:v>251.525031446541</c:v>
                </c:pt>
                <c:pt idx="144">
                  <c:v>252.994716981132</c:v>
                </c:pt>
                <c:pt idx="145">
                  <c:v>254.464402515723</c:v>
                </c:pt>
                <c:pt idx="146">
                  <c:v>255.934088050314</c:v>
                </c:pt>
                <c:pt idx="147">
                  <c:v>257.403773584906</c:v>
                </c:pt>
                <c:pt idx="148">
                  <c:v>258.873459119497</c:v>
                </c:pt>
                <c:pt idx="149">
                  <c:v>260.343144654088</c:v>
                </c:pt>
                <c:pt idx="150">
                  <c:v>261.812830188679</c:v>
                </c:pt>
                <c:pt idx="151">
                  <c:v>263.28251572327</c:v>
                </c:pt>
                <c:pt idx="152">
                  <c:v>264.752201257862</c:v>
                </c:pt>
                <c:pt idx="153">
                  <c:v>266.221886792453</c:v>
                </c:pt>
                <c:pt idx="154">
                  <c:v>267.691572327044</c:v>
                </c:pt>
                <c:pt idx="155">
                  <c:v>269.161257861635</c:v>
                </c:pt>
                <c:pt idx="156">
                  <c:v>270.630943396226</c:v>
                </c:pt>
                <c:pt idx="157">
                  <c:v>272.100628930818</c:v>
                </c:pt>
                <c:pt idx="158">
                  <c:v>273.570314465409</c:v>
                </c:pt>
                <c:pt idx="159">
                  <c:v>275.04</c:v>
                </c:pt>
                <c:pt idx="160">
                  <c:v>276.509685534591</c:v>
                </c:pt>
              </c:numCache>
            </c:numRef>
          </c:val>
          <c:smooth val="0"/>
        </c:ser>
        <c:hiLowLines>
          <c:spPr>
            <a:ln w="0">
              <a:noFill/>
            </a:ln>
          </c:spPr>
        </c:hiLowLines>
        <c:marker val="0"/>
        <c:axId val="39455834"/>
        <c:axId val="10175304"/>
      </c:lineChart>
      <c:dateAx>
        <c:axId val="4266199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651482"/>
        <c:auto val="1"/>
        <c:lblOffset val="100"/>
        <c:baseTimeUnit val="days"/>
      </c:dateAx>
      <c:valAx>
        <c:axId val="176514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661996"/>
        <c:crosses val="autoZero"/>
        <c:crossBetween val="between"/>
      </c:valAx>
      <c:dateAx>
        <c:axId val="3945583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75304"/>
        <c:auto val="1"/>
        <c:lblOffset val="100"/>
        <c:baseTimeUnit val="days"/>
      </c:dateAx>
      <c:valAx>
        <c:axId val="101753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5583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pt idx="159">
                  <c:v>-0.0547150659770892</c:v>
                </c:pt>
              </c:numCache>
            </c:numRef>
          </c:val>
        </c:ser>
        <c:gapWidth val="150"/>
        <c:overlap val="0"/>
        <c:axId val="76901295"/>
        <c:axId val="52058516"/>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(Calc)'!$AB$3:$AB$500</c:f>
              <c:numCache>
                <c:formatCode>#,##0.00</c:formatCode>
                <c:ptCount val="498"/>
                <c:pt idx="0">
                  <c:v>44.35</c:v>
                </c:pt>
                <c:pt idx="1">
                  <c:v>45.3010691823899</c:v>
                </c:pt>
                <c:pt idx="2">
                  <c:v>46.2521383647799</c:v>
                </c:pt>
                <c:pt idx="3">
                  <c:v>47.2032075471698</c:v>
                </c:pt>
                <c:pt idx="4">
                  <c:v>48.1542767295598</c:v>
                </c:pt>
                <c:pt idx="5">
                  <c:v>49.1053459119497</c:v>
                </c:pt>
                <c:pt idx="6">
                  <c:v>50.0564150943396</c:v>
                </c:pt>
                <c:pt idx="7">
                  <c:v>51.0074842767296</c:v>
                </c:pt>
                <c:pt idx="8">
                  <c:v>51.9585534591195</c:v>
                </c:pt>
                <c:pt idx="9">
                  <c:v>52.9096226415094</c:v>
                </c:pt>
                <c:pt idx="10">
                  <c:v>53.8606918238994</c:v>
                </c:pt>
                <c:pt idx="11">
                  <c:v>54.8117610062893</c:v>
                </c:pt>
                <c:pt idx="12">
                  <c:v>55.7628301886792</c:v>
                </c:pt>
                <c:pt idx="13">
                  <c:v>56.7138993710692</c:v>
                </c:pt>
                <c:pt idx="14">
                  <c:v>57.6649685534591</c:v>
                </c:pt>
                <c:pt idx="15">
                  <c:v>58.6160377358491</c:v>
                </c:pt>
                <c:pt idx="16">
                  <c:v>59.567106918239</c:v>
                </c:pt>
                <c:pt idx="17">
                  <c:v>60.5181761006289</c:v>
                </c:pt>
                <c:pt idx="18">
                  <c:v>61.4692452830189</c:v>
                </c:pt>
                <c:pt idx="19">
                  <c:v>62.4203144654088</c:v>
                </c:pt>
                <c:pt idx="20">
                  <c:v>63.3713836477987</c:v>
                </c:pt>
                <c:pt idx="21">
                  <c:v>64.3224528301887</c:v>
                </c:pt>
                <c:pt idx="22">
                  <c:v>65.2735220125786</c:v>
                </c:pt>
                <c:pt idx="23">
                  <c:v>66.2245911949686</c:v>
                </c:pt>
                <c:pt idx="24">
                  <c:v>67.1756603773585</c:v>
                </c:pt>
                <c:pt idx="25">
                  <c:v>68.1267295597484</c:v>
                </c:pt>
                <c:pt idx="26">
                  <c:v>69.0777987421384</c:v>
                </c:pt>
                <c:pt idx="27">
                  <c:v>70.0288679245283</c:v>
                </c:pt>
                <c:pt idx="28">
                  <c:v>70.9799371069182</c:v>
                </c:pt>
                <c:pt idx="29">
                  <c:v>71.9310062893082</c:v>
                </c:pt>
                <c:pt idx="30">
                  <c:v>72.8820754716981</c:v>
                </c:pt>
                <c:pt idx="31">
                  <c:v>73.833144654088</c:v>
                </c:pt>
                <c:pt idx="32">
                  <c:v>74.784213836478</c:v>
                </c:pt>
                <c:pt idx="33">
                  <c:v>75.7352830188679</c:v>
                </c:pt>
                <c:pt idx="34">
                  <c:v>76.6863522012579</c:v>
                </c:pt>
                <c:pt idx="35">
                  <c:v>77.6374213836478</c:v>
                </c:pt>
                <c:pt idx="36">
                  <c:v>78.5884905660377</c:v>
                </c:pt>
                <c:pt idx="37">
                  <c:v>79.5395597484277</c:v>
                </c:pt>
                <c:pt idx="38">
                  <c:v>80.4906289308176</c:v>
                </c:pt>
                <c:pt idx="39">
                  <c:v>81.4416981132076</c:v>
                </c:pt>
                <c:pt idx="40">
                  <c:v>82.3927672955975</c:v>
                </c:pt>
                <c:pt idx="41">
                  <c:v>83.3438364779874</c:v>
                </c:pt>
                <c:pt idx="42">
                  <c:v>84.2949056603774</c:v>
                </c:pt>
                <c:pt idx="43">
                  <c:v>85.2459748427673</c:v>
                </c:pt>
                <c:pt idx="44">
                  <c:v>86.1970440251572</c:v>
                </c:pt>
                <c:pt idx="45">
                  <c:v>87.1481132075472</c:v>
                </c:pt>
                <c:pt idx="46">
                  <c:v>88.0991823899371</c:v>
                </c:pt>
                <c:pt idx="47">
                  <c:v>89.0502515723271</c:v>
                </c:pt>
                <c:pt idx="48">
                  <c:v>90.001320754717</c:v>
                </c:pt>
                <c:pt idx="49">
                  <c:v>90.9523899371069</c:v>
                </c:pt>
                <c:pt idx="50">
                  <c:v>91.9034591194969</c:v>
                </c:pt>
                <c:pt idx="51">
                  <c:v>92.8545283018868</c:v>
                </c:pt>
                <c:pt idx="52">
                  <c:v>93.8055974842767</c:v>
                </c:pt>
                <c:pt idx="53">
                  <c:v>94.7566666666667</c:v>
                </c:pt>
                <c:pt idx="54">
                  <c:v>95.7077358490566</c:v>
                </c:pt>
                <c:pt idx="55">
                  <c:v>96.6588050314466</c:v>
                </c:pt>
                <c:pt idx="56">
                  <c:v>97.6098742138365</c:v>
                </c:pt>
                <c:pt idx="57">
                  <c:v>98.5609433962264</c:v>
                </c:pt>
                <c:pt idx="58">
                  <c:v>99.5120125786164</c:v>
                </c:pt>
                <c:pt idx="59">
                  <c:v>100.463081761006</c:v>
                </c:pt>
                <c:pt idx="60">
                  <c:v>101.414150943396</c:v>
                </c:pt>
                <c:pt idx="61">
                  <c:v>102.365220125786</c:v>
                </c:pt>
                <c:pt idx="62">
                  <c:v>103.316289308176</c:v>
                </c:pt>
                <c:pt idx="63">
                  <c:v>104.267358490566</c:v>
                </c:pt>
                <c:pt idx="64">
                  <c:v>105.218427672956</c:v>
                </c:pt>
                <c:pt idx="65">
                  <c:v>106.169496855346</c:v>
                </c:pt>
                <c:pt idx="66">
                  <c:v>107.120566037736</c:v>
                </c:pt>
                <c:pt idx="67">
                  <c:v>108.071635220126</c:v>
                </c:pt>
                <c:pt idx="68">
                  <c:v>109.022704402516</c:v>
                </c:pt>
                <c:pt idx="69">
                  <c:v>109.973773584906</c:v>
                </c:pt>
                <c:pt idx="70">
                  <c:v>110.924842767296</c:v>
                </c:pt>
                <c:pt idx="71">
                  <c:v>111.875911949686</c:v>
                </c:pt>
                <c:pt idx="72">
                  <c:v>112.826981132075</c:v>
                </c:pt>
                <c:pt idx="73">
                  <c:v>113.778050314465</c:v>
                </c:pt>
                <c:pt idx="74">
                  <c:v>114.729119496855</c:v>
                </c:pt>
                <c:pt idx="75">
                  <c:v>115.680188679245</c:v>
                </c:pt>
                <c:pt idx="76">
                  <c:v>116.631257861635</c:v>
                </c:pt>
                <c:pt idx="77">
                  <c:v>117.582327044025</c:v>
                </c:pt>
                <c:pt idx="78">
                  <c:v>118.533396226415</c:v>
                </c:pt>
                <c:pt idx="79">
                  <c:v>119.484465408805</c:v>
                </c:pt>
                <c:pt idx="80">
                  <c:v>120.435534591195</c:v>
                </c:pt>
                <c:pt idx="81">
                  <c:v>121.386603773585</c:v>
                </c:pt>
                <c:pt idx="82">
                  <c:v>122.337672955975</c:v>
                </c:pt>
                <c:pt idx="83">
                  <c:v>123.288742138365</c:v>
                </c:pt>
                <c:pt idx="84">
                  <c:v>124.239811320755</c:v>
                </c:pt>
                <c:pt idx="85">
                  <c:v>125.190880503145</c:v>
                </c:pt>
                <c:pt idx="86">
                  <c:v>126.141949685535</c:v>
                </c:pt>
                <c:pt idx="87">
                  <c:v>127.093018867925</c:v>
                </c:pt>
                <c:pt idx="88">
                  <c:v>128.044088050314</c:v>
                </c:pt>
                <c:pt idx="89">
                  <c:v>128.995157232704</c:v>
                </c:pt>
                <c:pt idx="90">
                  <c:v>129.946226415094</c:v>
                </c:pt>
                <c:pt idx="91">
                  <c:v>130.897295597484</c:v>
                </c:pt>
                <c:pt idx="92">
                  <c:v>131.848364779874</c:v>
                </c:pt>
                <c:pt idx="93">
                  <c:v>132.799433962264</c:v>
                </c:pt>
                <c:pt idx="94">
                  <c:v>133.750503144654</c:v>
                </c:pt>
                <c:pt idx="95">
                  <c:v>134.701572327044</c:v>
                </c:pt>
                <c:pt idx="96">
                  <c:v>135.652641509434</c:v>
                </c:pt>
                <c:pt idx="97">
                  <c:v>136.603710691824</c:v>
                </c:pt>
                <c:pt idx="98">
                  <c:v>137.554779874214</c:v>
                </c:pt>
                <c:pt idx="99">
                  <c:v>138.505849056604</c:v>
                </c:pt>
                <c:pt idx="100">
                  <c:v>139.456918238994</c:v>
                </c:pt>
                <c:pt idx="101">
                  <c:v>140.407987421384</c:v>
                </c:pt>
                <c:pt idx="102">
                  <c:v>141.359056603774</c:v>
                </c:pt>
                <c:pt idx="103">
                  <c:v>142.310125786164</c:v>
                </c:pt>
                <c:pt idx="104">
                  <c:v>143.261194968553</c:v>
                </c:pt>
                <c:pt idx="105">
                  <c:v>144.212264150943</c:v>
                </c:pt>
                <c:pt idx="106">
                  <c:v>145.163333333333</c:v>
                </c:pt>
                <c:pt idx="107">
                  <c:v>146.114402515723</c:v>
                </c:pt>
                <c:pt idx="108">
                  <c:v>147.065471698113</c:v>
                </c:pt>
                <c:pt idx="109">
                  <c:v>148.016540880503</c:v>
                </c:pt>
                <c:pt idx="110">
                  <c:v>148.967610062893</c:v>
                </c:pt>
                <c:pt idx="111">
                  <c:v>149.918679245283</c:v>
                </c:pt>
                <c:pt idx="112">
                  <c:v>150.869748427673</c:v>
                </c:pt>
                <c:pt idx="113">
                  <c:v>151.820817610063</c:v>
                </c:pt>
                <c:pt idx="114">
                  <c:v>152.771886792453</c:v>
                </c:pt>
                <c:pt idx="115">
                  <c:v>153.722955974843</c:v>
                </c:pt>
                <c:pt idx="116">
                  <c:v>154.674025157233</c:v>
                </c:pt>
                <c:pt idx="117">
                  <c:v>155.625094339623</c:v>
                </c:pt>
                <c:pt idx="118">
                  <c:v>156.576163522013</c:v>
                </c:pt>
                <c:pt idx="119">
                  <c:v>157.527232704403</c:v>
                </c:pt>
                <c:pt idx="120">
                  <c:v>158.478301886792</c:v>
                </c:pt>
                <c:pt idx="121">
                  <c:v>159.429371069182</c:v>
                </c:pt>
                <c:pt idx="122">
                  <c:v>160.380440251572</c:v>
                </c:pt>
                <c:pt idx="123">
                  <c:v>161.331509433962</c:v>
                </c:pt>
                <c:pt idx="124">
                  <c:v>162.282578616352</c:v>
                </c:pt>
                <c:pt idx="125">
                  <c:v>163.233647798742</c:v>
                </c:pt>
                <c:pt idx="126">
                  <c:v>164.184716981132</c:v>
                </c:pt>
                <c:pt idx="127">
                  <c:v>165.135786163522</c:v>
                </c:pt>
                <c:pt idx="128">
                  <c:v>166.086855345912</c:v>
                </c:pt>
                <c:pt idx="129">
                  <c:v>167.037924528302</c:v>
                </c:pt>
                <c:pt idx="130">
                  <c:v>167.988993710692</c:v>
                </c:pt>
                <c:pt idx="131">
                  <c:v>168.940062893082</c:v>
                </c:pt>
                <c:pt idx="132">
                  <c:v>169.891132075472</c:v>
                </c:pt>
                <c:pt idx="133">
                  <c:v>170.842201257862</c:v>
                </c:pt>
                <c:pt idx="134">
                  <c:v>171.793270440252</c:v>
                </c:pt>
                <c:pt idx="135">
                  <c:v>172.744339622642</c:v>
                </c:pt>
                <c:pt idx="136">
                  <c:v>173.695408805031</c:v>
                </c:pt>
                <c:pt idx="137">
                  <c:v>174.646477987421</c:v>
                </c:pt>
                <c:pt idx="138">
                  <c:v>175.597547169811</c:v>
                </c:pt>
                <c:pt idx="139">
                  <c:v>176.548616352201</c:v>
                </c:pt>
                <c:pt idx="140">
                  <c:v>177.499685534591</c:v>
                </c:pt>
                <c:pt idx="141">
                  <c:v>178.450754716981</c:v>
                </c:pt>
                <c:pt idx="142">
                  <c:v>179.401823899371</c:v>
                </c:pt>
                <c:pt idx="143">
                  <c:v>180.352893081761</c:v>
                </c:pt>
                <c:pt idx="144">
                  <c:v>181.303962264151</c:v>
                </c:pt>
                <c:pt idx="145">
                  <c:v>182.255031446541</c:v>
                </c:pt>
                <c:pt idx="146">
                  <c:v>183.206100628931</c:v>
                </c:pt>
                <c:pt idx="147">
                  <c:v>184.157169811321</c:v>
                </c:pt>
                <c:pt idx="148">
                  <c:v>185.108238993711</c:v>
                </c:pt>
                <c:pt idx="149">
                  <c:v>186.059308176101</c:v>
                </c:pt>
                <c:pt idx="150">
                  <c:v>187.010377358491</c:v>
                </c:pt>
                <c:pt idx="151">
                  <c:v>187.961446540881</c:v>
                </c:pt>
                <c:pt idx="152">
                  <c:v>188.91251572327</c:v>
                </c:pt>
                <c:pt idx="153">
                  <c:v>189.86358490566</c:v>
                </c:pt>
                <c:pt idx="154">
                  <c:v>190.81465408805</c:v>
                </c:pt>
                <c:pt idx="155">
                  <c:v>191.76572327044</c:v>
                </c:pt>
                <c:pt idx="156">
                  <c:v>192.71679245283</c:v>
                </c:pt>
                <c:pt idx="157">
                  <c:v>193.66786163522</c:v>
                </c:pt>
                <c:pt idx="158">
                  <c:v>194.61893081761</c:v>
                </c:pt>
                <c:pt idx="159">
                  <c:v>195.57</c:v>
                </c:pt>
                <c:pt idx="160">
                  <c:v>196.52106918239</c:v>
                </c:pt>
              </c:numCache>
            </c:numRef>
          </c:val>
          <c:smooth val="0"/>
        </c:ser>
        <c:hiLowLines>
          <c:spPr>
            <a:ln w="0">
              <a:noFill/>
            </a:ln>
          </c:spPr>
        </c:hiLowLines>
        <c:marker val="0"/>
        <c:axId val="40301093"/>
        <c:axId val="48183401"/>
      </c:lineChart>
      <c:dateAx>
        <c:axId val="769012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58516"/>
        <c:auto val="1"/>
        <c:lblOffset val="100"/>
        <c:baseTimeUnit val="days"/>
      </c:dateAx>
      <c:valAx>
        <c:axId val="520585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901295"/>
        <c:crosses val="autoZero"/>
        <c:crossBetween val="between"/>
      </c:valAx>
      <c:dateAx>
        <c:axId val="403010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183401"/>
        <c:auto val="1"/>
        <c:lblOffset val="100"/>
        <c:baseTimeUnit val="days"/>
      </c:dateAx>
      <c:valAx>
        <c:axId val="481834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3010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pt idx="159">
                  <c:v>-0.0426927406525319</c:v>
                </c:pt>
              </c:numCache>
            </c:numRef>
          </c:val>
        </c:ser>
        <c:gapWidth val="150"/>
        <c:overlap val="0"/>
        <c:axId val="12589710"/>
        <c:axId val="1234197"/>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(Calc)'!$AC$3:$AC$500</c:f>
              <c:numCache>
                <c:formatCode>#,##0.00</c:formatCode>
                <c:ptCount val="498"/>
                <c:pt idx="0">
                  <c:v>69.11</c:v>
                </c:pt>
                <c:pt idx="1">
                  <c:v>75.1470440251572</c:v>
                </c:pt>
                <c:pt idx="2">
                  <c:v>81.1840880503145</c:v>
                </c:pt>
                <c:pt idx="3">
                  <c:v>87.2211320754717</c:v>
                </c:pt>
                <c:pt idx="4">
                  <c:v>93.2581761006289</c:v>
                </c:pt>
                <c:pt idx="5">
                  <c:v>99.2952201257862</c:v>
                </c:pt>
                <c:pt idx="6">
                  <c:v>105.332264150943</c:v>
                </c:pt>
                <c:pt idx="7">
                  <c:v>111.369308176101</c:v>
                </c:pt>
                <c:pt idx="8">
                  <c:v>117.406352201258</c:v>
                </c:pt>
                <c:pt idx="9">
                  <c:v>123.443396226415</c:v>
                </c:pt>
                <c:pt idx="10">
                  <c:v>129.480440251572</c:v>
                </c:pt>
                <c:pt idx="11">
                  <c:v>135.51748427673</c:v>
                </c:pt>
                <c:pt idx="12">
                  <c:v>141.554528301887</c:v>
                </c:pt>
                <c:pt idx="13">
                  <c:v>147.591572327044</c:v>
                </c:pt>
                <c:pt idx="14">
                  <c:v>153.628616352201</c:v>
                </c:pt>
                <c:pt idx="15">
                  <c:v>159.665660377359</c:v>
                </c:pt>
                <c:pt idx="16">
                  <c:v>165.702704402516</c:v>
                </c:pt>
                <c:pt idx="17">
                  <c:v>171.739748427673</c:v>
                </c:pt>
                <c:pt idx="18">
                  <c:v>177.77679245283</c:v>
                </c:pt>
                <c:pt idx="19">
                  <c:v>183.813836477987</c:v>
                </c:pt>
                <c:pt idx="20">
                  <c:v>189.850880503145</c:v>
                </c:pt>
                <c:pt idx="21">
                  <c:v>195.887924528302</c:v>
                </c:pt>
                <c:pt idx="22">
                  <c:v>201.924968553459</c:v>
                </c:pt>
                <c:pt idx="23">
                  <c:v>207.962012578616</c:v>
                </c:pt>
                <c:pt idx="24">
                  <c:v>213.999056603774</c:v>
                </c:pt>
                <c:pt idx="25">
                  <c:v>220.036100628931</c:v>
                </c:pt>
                <c:pt idx="26">
                  <c:v>226.073144654088</c:v>
                </c:pt>
                <c:pt idx="27">
                  <c:v>232.110188679245</c:v>
                </c:pt>
                <c:pt idx="28">
                  <c:v>238.147232704402</c:v>
                </c:pt>
                <c:pt idx="29">
                  <c:v>244.18427672956</c:v>
                </c:pt>
                <c:pt idx="30">
                  <c:v>250.221320754717</c:v>
                </c:pt>
                <c:pt idx="31">
                  <c:v>256.258364779874</c:v>
                </c:pt>
                <c:pt idx="32">
                  <c:v>262.295408805031</c:v>
                </c:pt>
                <c:pt idx="33">
                  <c:v>268.332452830189</c:v>
                </c:pt>
                <c:pt idx="34">
                  <c:v>274.369496855346</c:v>
                </c:pt>
                <c:pt idx="35">
                  <c:v>280.406540880503</c:v>
                </c:pt>
                <c:pt idx="36">
                  <c:v>286.44358490566</c:v>
                </c:pt>
                <c:pt idx="37">
                  <c:v>292.480628930818</c:v>
                </c:pt>
                <c:pt idx="38">
                  <c:v>298.517672955975</c:v>
                </c:pt>
                <c:pt idx="39">
                  <c:v>304.554716981132</c:v>
                </c:pt>
                <c:pt idx="40">
                  <c:v>310.591761006289</c:v>
                </c:pt>
                <c:pt idx="41">
                  <c:v>316.628805031447</c:v>
                </c:pt>
                <c:pt idx="42">
                  <c:v>322.665849056604</c:v>
                </c:pt>
                <c:pt idx="43">
                  <c:v>328.702893081761</c:v>
                </c:pt>
                <c:pt idx="44">
                  <c:v>334.739937106918</c:v>
                </c:pt>
                <c:pt idx="45">
                  <c:v>340.776981132076</c:v>
                </c:pt>
                <c:pt idx="46">
                  <c:v>346.814025157233</c:v>
                </c:pt>
                <c:pt idx="47">
                  <c:v>352.85106918239</c:v>
                </c:pt>
                <c:pt idx="48">
                  <c:v>358.888113207547</c:v>
                </c:pt>
                <c:pt idx="49">
                  <c:v>364.925157232704</c:v>
                </c:pt>
                <c:pt idx="50">
                  <c:v>370.962201257862</c:v>
                </c:pt>
                <c:pt idx="51">
                  <c:v>376.999245283019</c:v>
                </c:pt>
                <c:pt idx="52">
                  <c:v>383.036289308176</c:v>
                </c:pt>
                <c:pt idx="53">
                  <c:v>389.073333333333</c:v>
                </c:pt>
                <c:pt idx="54">
                  <c:v>395.110377358491</c:v>
                </c:pt>
                <c:pt idx="55">
                  <c:v>401.147421383648</c:v>
                </c:pt>
                <c:pt idx="56">
                  <c:v>407.184465408805</c:v>
                </c:pt>
                <c:pt idx="57">
                  <c:v>413.221509433962</c:v>
                </c:pt>
                <c:pt idx="58">
                  <c:v>419.25855345912</c:v>
                </c:pt>
                <c:pt idx="59">
                  <c:v>425.295597484277</c:v>
                </c:pt>
                <c:pt idx="60">
                  <c:v>431.332641509434</c:v>
                </c:pt>
                <c:pt idx="61">
                  <c:v>437.369685534591</c:v>
                </c:pt>
                <c:pt idx="62">
                  <c:v>443.406729559748</c:v>
                </c:pt>
                <c:pt idx="63">
                  <c:v>449.443773584906</c:v>
                </c:pt>
                <c:pt idx="64">
                  <c:v>455.480817610063</c:v>
                </c:pt>
                <c:pt idx="65">
                  <c:v>461.51786163522</c:v>
                </c:pt>
                <c:pt idx="66">
                  <c:v>467.554905660377</c:v>
                </c:pt>
                <c:pt idx="67">
                  <c:v>473.591949685535</c:v>
                </c:pt>
                <c:pt idx="68">
                  <c:v>479.628993710692</c:v>
                </c:pt>
                <c:pt idx="69">
                  <c:v>485.666037735849</c:v>
                </c:pt>
                <c:pt idx="70">
                  <c:v>491.703081761006</c:v>
                </c:pt>
                <c:pt idx="71">
                  <c:v>497.740125786164</c:v>
                </c:pt>
                <c:pt idx="72">
                  <c:v>503.777169811321</c:v>
                </c:pt>
                <c:pt idx="73">
                  <c:v>509.814213836478</c:v>
                </c:pt>
                <c:pt idx="74">
                  <c:v>515.851257861635</c:v>
                </c:pt>
                <c:pt idx="75">
                  <c:v>521.888301886792</c:v>
                </c:pt>
                <c:pt idx="76">
                  <c:v>527.92534591195</c:v>
                </c:pt>
                <c:pt idx="77">
                  <c:v>533.962389937107</c:v>
                </c:pt>
                <c:pt idx="78">
                  <c:v>539.999433962264</c:v>
                </c:pt>
                <c:pt idx="79">
                  <c:v>546.036477987421</c:v>
                </c:pt>
                <c:pt idx="80">
                  <c:v>552.073522012579</c:v>
                </c:pt>
                <c:pt idx="81">
                  <c:v>558.110566037736</c:v>
                </c:pt>
                <c:pt idx="82">
                  <c:v>564.147610062893</c:v>
                </c:pt>
                <c:pt idx="83">
                  <c:v>570.18465408805</c:v>
                </c:pt>
                <c:pt idx="84">
                  <c:v>576.221698113208</c:v>
                </c:pt>
                <c:pt idx="85">
                  <c:v>582.258742138365</c:v>
                </c:pt>
                <c:pt idx="86">
                  <c:v>588.295786163522</c:v>
                </c:pt>
                <c:pt idx="87">
                  <c:v>594.332830188679</c:v>
                </c:pt>
                <c:pt idx="88">
                  <c:v>600.369874213836</c:v>
                </c:pt>
                <c:pt idx="89">
                  <c:v>606.406918238994</c:v>
                </c:pt>
                <c:pt idx="90">
                  <c:v>612.443962264151</c:v>
                </c:pt>
                <c:pt idx="91">
                  <c:v>618.481006289308</c:v>
                </c:pt>
                <c:pt idx="92">
                  <c:v>624.518050314465</c:v>
                </c:pt>
                <c:pt idx="93">
                  <c:v>630.555094339623</c:v>
                </c:pt>
                <c:pt idx="94">
                  <c:v>636.59213836478</c:v>
                </c:pt>
                <c:pt idx="95">
                  <c:v>642.629182389937</c:v>
                </c:pt>
                <c:pt idx="96">
                  <c:v>648.666226415094</c:v>
                </c:pt>
                <c:pt idx="97">
                  <c:v>654.703270440252</c:v>
                </c:pt>
                <c:pt idx="98">
                  <c:v>660.740314465409</c:v>
                </c:pt>
                <c:pt idx="99">
                  <c:v>666.777358490566</c:v>
                </c:pt>
                <c:pt idx="100">
                  <c:v>672.814402515723</c:v>
                </c:pt>
                <c:pt idx="101">
                  <c:v>678.851446540881</c:v>
                </c:pt>
                <c:pt idx="102">
                  <c:v>684.888490566038</c:v>
                </c:pt>
                <c:pt idx="103">
                  <c:v>690.925534591195</c:v>
                </c:pt>
                <c:pt idx="104">
                  <c:v>696.962578616352</c:v>
                </c:pt>
                <c:pt idx="105">
                  <c:v>702.999622641509</c:v>
                </c:pt>
                <c:pt idx="106">
                  <c:v>709.036666666667</c:v>
                </c:pt>
                <c:pt idx="107">
                  <c:v>715.073710691824</c:v>
                </c:pt>
                <c:pt idx="108">
                  <c:v>721.110754716981</c:v>
                </c:pt>
                <c:pt idx="109">
                  <c:v>727.147798742138</c:v>
                </c:pt>
                <c:pt idx="110">
                  <c:v>733.184842767296</c:v>
                </c:pt>
                <c:pt idx="111">
                  <c:v>739.221886792453</c:v>
                </c:pt>
                <c:pt idx="112">
                  <c:v>745.25893081761</c:v>
                </c:pt>
                <c:pt idx="113">
                  <c:v>751.295974842767</c:v>
                </c:pt>
                <c:pt idx="114">
                  <c:v>757.333018867925</c:v>
                </c:pt>
                <c:pt idx="115">
                  <c:v>763.370062893082</c:v>
                </c:pt>
                <c:pt idx="116">
                  <c:v>769.407106918239</c:v>
                </c:pt>
                <c:pt idx="117">
                  <c:v>775.444150943396</c:v>
                </c:pt>
                <c:pt idx="118">
                  <c:v>781.481194968554</c:v>
                </c:pt>
                <c:pt idx="119">
                  <c:v>787.518238993711</c:v>
                </c:pt>
                <c:pt idx="120">
                  <c:v>793.555283018868</c:v>
                </c:pt>
                <c:pt idx="121">
                  <c:v>799.592327044025</c:v>
                </c:pt>
                <c:pt idx="122">
                  <c:v>805.629371069182</c:v>
                </c:pt>
                <c:pt idx="123">
                  <c:v>811.66641509434</c:v>
                </c:pt>
                <c:pt idx="124">
                  <c:v>817.703459119497</c:v>
                </c:pt>
                <c:pt idx="125">
                  <c:v>823.740503144654</c:v>
                </c:pt>
                <c:pt idx="126">
                  <c:v>829.777547169811</c:v>
                </c:pt>
                <c:pt idx="127">
                  <c:v>835.814591194969</c:v>
                </c:pt>
                <c:pt idx="128">
                  <c:v>841.851635220126</c:v>
                </c:pt>
                <c:pt idx="129">
                  <c:v>847.888679245283</c:v>
                </c:pt>
                <c:pt idx="130">
                  <c:v>853.92572327044</c:v>
                </c:pt>
                <c:pt idx="131">
                  <c:v>859.962767295598</c:v>
                </c:pt>
                <c:pt idx="132">
                  <c:v>865.999811320755</c:v>
                </c:pt>
                <c:pt idx="133">
                  <c:v>872.036855345912</c:v>
                </c:pt>
                <c:pt idx="134">
                  <c:v>878.073899371069</c:v>
                </c:pt>
                <c:pt idx="135">
                  <c:v>884.110943396226</c:v>
                </c:pt>
                <c:pt idx="136">
                  <c:v>890.147987421384</c:v>
                </c:pt>
                <c:pt idx="137">
                  <c:v>896.185031446541</c:v>
                </c:pt>
                <c:pt idx="138">
                  <c:v>902.222075471698</c:v>
                </c:pt>
                <c:pt idx="139">
                  <c:v>908.259119496855</c:v>
                </c:pt>
                <c:pt idx="140">
                  <c:v>914.296163522013</c:v>
                </c:pt>
                <c:pt idx="141">
                  <c:v>920.33320754717</c:v>
                </c:pt>
                <c:pt idx="142">
                  <c:v>926.370251572327</c:v>
                </c:pt>
                <c:pt idx="143">
                  <c:v>932.407295597484</c:v>
                </c:pt>
                <c:pt idx="144">
                  <c:v>938.444339622642</c:v>
                </c:pt>
                <c:pt idx="145">
                  <c:v>944.481383647799</c:v>
                </c:pt>
                <c:pt idx="146">
                  <c:v>950.518427672956</c:v>
                </c:pt>
                <c:pt idx="147">
                  <c:v>956.555471698113</c:v>
                </c:pt>
                <c:pt idx="148">
                  <c:v>962.592515723271</c:v>
                </c:pt>
                <c:pt idx="149">
                  <c:v>968.629559748428</c:v>
                </c:pt>
                <c:pt idx="150">
                  <c:v>974.666603773585</c:v>
                </c:pt>
                <c:pt idx="151">
                  <c:v>980.703647798742</c:v>
                </c:pt>
                <c:pt idx="152">
                  <c:v>986.740691823899</c:v>
                </c:pt>
                <c:pt idx="153">
                  <c:v>992.777735849057</c:v>
                </c:pt>
                <c:pt idx="154">
                  <c:v>998.814779874214</c:v>
                </c:pt>
                <c:pt idx="155">
                  <c:v>1004.85182389937</c:v>
                </c:pt>
                <c:pt idx="156">
                  <c:v>1010.88886792453</c:v>
                </c:pt>
                <c:pt idx="157">
                  <c:v>1016.92591194969</c:v>
                </c:pt>
                <c:pt idx="158">
                  <c:v>1022.96295597484</c:v>
                </c:pt>
                <c:pt idx="159">
                  <c:v>1029</c:v>
                </c:pt>
                <c:pt idx="160">
                  <c:v>1035.03704402516</c:v>
                </c:pt>
              </c:numCache>
            </c:numRef>
          </c:val>
          <c:smooth val="0"/>
        </c:ser>
        <c:hiLowLines>
          <c:spPr>
            <a:ln w="0">
              <a:noFill/>
            </a:ln>
          </c:spPr>
        </c:hiLowLines>
        <c:marker val="0"/>
        <c:axId val="42535640"/>
        <c:axId val="55533799"/>
      </c:lineChart>
      <c:dateAx>
        <c:axId val="125897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34197"/>
        <c:auto val="1"/>
        <c:lblOffset val="100"/>
        <c:baseTimeUnit val="days"/>
      </c:dateAx>
      <c:valAx>
        <c:axId val="12341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589710"/>
        <c:crosses val="autoZero"/>
        <c:crossBetween val="between"/>
      </c:valAx>
      <c:dateAx>
        <c:axId val="425356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533799"/>
        <c:auto val="1"/>
        <c:lblOffset val="100"/>
        <c:baseTimeUnit val="days"/>
      </c:dateAx>
      <c:valAx>
        <c:axId val="555337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5356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pt idx="159">
                  <c:v>-0.0199615302415045</c:v>
                </c:pt>
              </c:numCache>
            </c:numRef>
          </c:val>
        </c:ser>
        <c:gapWidth val="150"/>
        <c:overlap val="0"/>
        <c:axId val="26290599"/>
        <c:axId val="4304729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(Calc)'!$AD$3:$AD$500</c:f>
              <c:numCache>
                <c:formatCode>#,##0.00</c:formatCode>
                <c:ptCount val="498"/>
                <c:pt idx="0">
                  <c:v>43.77</c:v>
                </c:pt>
                <c:pt idx="1">
                  <c:v>44.9367295597484</c:v>
                </c:pt>
                <c:pt idx="2">
                  <c:v>46.1034591194969</c:v>
                </c:pt>
                <c:pt idx="3">
                  <c:v>47.2701886792453</c:v>
                </c:pt>
                <c:pt idx="4">
                  <c:v>48.4369182389937</c:v>
                </c:pt>
                <c:pt idx="5">
                  <c:v>49.6036477987421</c:v>
                </c:pt>
                <c:pt idx="6">
                  <c:v>50.7703773584906</c:v>
                </c:pt>
                <c:pt idx="7">
                  <c:v>51.937106918239</c:v>
                </c:pt>
                <c:pt idx="8">
                  <c:v>53.1038364779874</c:v>
                </c:pt>
                <c:pt idx="9">
                  <c:v>54.2705660377359</c:v>
                </c:pt>
                <c:pt idx="10">
                  <c:v>55.4372955974843</c:v>
                </c:pt>
                <c:pt idx="11">
                  <c:v>56.6040251572327</c:v>
                </c:pt>
                <c:pt idx="12">
                  <c:v>57.7707547169811</c:v>
                </c:pt>
                <c:pt idx="13">
                  <c:v>58.9374842767296</c:v>
                </c:pt>
                <c:pt idx="14">
                  <c:v>60.104213836478</c:v>
                </c:pt>
                <c:pt idx="15">
                  <c:v>61.2709433962264</c:v>
                </c:pt>
                <c:pt idx="16">
                  <c:v>62.4376729559749</c:v>
                </c:pt>
                <c:pt idx="17">
                  <c:v>63.6044025157233</c:v>
                </c:pt>
                <c:pt idx="18">
                  <c:v>64.7711320754717</c:v>
                </c:pt>
                <c:pt idx="19">
                  <c:v>65.9378616352201</c:v>
                </c:pt>
                <c:pt idx="20">
                  <c:v>67.1045911949686</c:v>
                </c:pt>
                <c:pt idx="21">
                  <c:v>68.271320754717</c:v>
                </c:pt>
                <c:pt idx="22">
                  <c:v>69.4380503144654</c:v>
                </c:pt>
                <c:pt idx="23">
                  <c:v>70.6047798742138</c:v>
                </c:pt>
                <c:pt idx="24">
                  <c:v>71.7715094339623</c:v>
                </c:pt>
                <c:pt idx="25">
                  <c:v>72.9382389937107</c:v>
                </c:pt>
                <c:pt idx="26">
                  <c:v>74.1049685534591</c:v>
                </c:pt>
                <c:pt idx="27">
                  <c:v>75.2716981132076</c:v>
                </c:pt>
                <c:pt idx="28">
                  <c:v>76.438427672956</c:v>
                </c:pt>
                <c:pt idx="29">
                  <c:v>77.6051572327044</c:v>
                </c:pt>
                <c:pt idx="30">
                  <c:v>78.7718867924528</c:v>
                </c:pt>
                <c:pt idx="31">
                  <c:v>79.9386163522013</c:v>
                </c:pt>
                <c:pt idx="32">
                  <c:v>81.1053459119497</c:v>
                </c:pt>
                <c:pt idx="33">
                  <c:v>82.2720754716981</c:v>
                </c:pt>
                <c:pt idx="34">
                  <c:v>83.4388050314466</c:v>
                </c:pt>
                <c:pt idx="35">
                  <c:v>84.605534591195</c:v>
                </c:pt>
                <c:pt idx="36">
                  <c:v>85.7722641509434</c:v>
                </c:pt>
                <c:pt idx="37">
                  <c:v>86.9389937106918</c:v>
                </c:pt>
                <c:pt idx="38">
                  <c:v>88.1057232704403</c:v>
                </c:pt>
                <c:pt idx="39">
                  <c:v>89.2724528301887</c:v>
                </c:pt>
                <c:pt idx="40">
                  <c:v>90.4391823899371</c:v>
                </c:pt>
                <c:pt idx="41">
                  <c:v>91.6059119496855</c:v>
                </c:pt>
                <c:pt idx="42">
                  <c:v>92.772641509434</c:v>
                </c:pt>
                <c:pt idx="43">
                  <c:v>93.9393710691824</c:v>
                </c:pt>
                <c:pt idx="44">
                  <c:v>95.1061006289308</c:v>
                </c:pt>
                <c:pt idx="45">
                  <c:v>96.2728301886793</c:v>
                </c:pt>
                <c:pt idx="46">
                  <c:v>97.4395597484277</c:v>
                </c:pt>
                <c:pt idx="47">
                  <c:v>98.6062893081761</c:v>
                </c:pt>
                <c:pt idx="48">
                  <c:v>99.7730188679245</c:v>
                </c:pt>
                <c:pt idx="49">
                  <c:v>100.939748427673</c:v>
                </c:pt>
                <c:pt idx="50">
                  <c:v>102.106477987421</c:v>
                </c:pt>
                <c:pt idx="51">
                  <c:v>103.27320754717</c:v>
                </c:pt>
                <c:pt idx="52">
                  <c:v>104.439937106918</c:v>
                </c:pt>
                <c:pt idx="53">
                  <c:v>105.606666666667</c:v>
                </c:pt>
                <c:pt idx="54">
                  <c:v>106.773396226415</c:v>
                </c:pt>
                <c:pt idx="55">
                  <c:v>107.940125786164</c:v>
                </c:pt>
                <c:pt idx="56">
                  <c:v>109.106855345912</c:v>
                </c:pt>
                <c:pt idx="57">
                  <c:v>110.27358490566</c:v>
                </c:pt>
                <c:pt idx="58">
                  <c:v>111.440314465409</c:v>
                </c:pt>
                <c:pt idx="59">
                  <c:v>112.607044025157</c:v>
                </c:pt>
                <c:pt idx="60">
                  <c:v>113.773773584906</c:v>
                </c:pt>
                <c:pt idx="61">
                  <c:v>114.940503144654</c:v>
                </c:pt>
                <c:pt idx="62">
                  <c:v>116.107232704403</c:v>
                </c:pt>
                <c:pt idx="63">
                  <c:v>117.273962264151</c:v>
                </c:pt>
                <c:pt idx="64">
                  <c:v>118.440691823899</c:v>
                </c:pt>
                <c:pt idx="65">
                  <c:v>119.607421383648</c:v>
                </c:pt>
                <c:pt idx="66">
                  <c:v>120.774150943396</c:v>
                </c:pt>
                <c:pt idx="67">
                  <c:v>121.940880503145</c:v>
                </c:pt>
                <c:pt idx="68">
                  <c:v>123.107610062893</c:v>
                </c:pt>
                <c:pt idx="69">
                  <c:v>124.274339622641</c:v>
                </c:pt>
                <c:pt idx="70">
                  <c:v>125.44106918239</c:v>
                </c:pt>
                <c:pt idx="71">
                  <c:v>126.607798742138</c:v>
                </c:pt>
                <c:pt idx="72">
                  <c:v>127.774528301887</c:v>
                </c:pt>
                <c:pt idx="73">
                  <c:v>128.941257861635</c:v>
                </c:pt>
                <c:pt idx="74">
                  <c:v>130.107987421384</c:v>
                </c:pt>
                <c:pt idx="75">
                  <c:v>131.274716981132</c:v>
                </c:pt>
                <c:pt idx="76">
                  <c:v>132.441446540881</c:v>
                </c:pt>
                <c:pt idx="77">
                  <c:v>133.608176100629</c:v>
                </c:pt>
                <c:pt idx="78">
                  <c:v>134.774905660377</c:v>
                </c:pt>
                <c:pt idx="79">
                  <c:v>135.941635220126</c:v>
                </c:pt>
                <c:pt idx="80">
                  <c:v>137.108364779874</c:v>
                </c:pt>
                <c:pt idx="81">
                  <c:v>138.275094339623</c:v>
                </c:pt>
                <c:pt idx="82">
                  <c:v>139.441823899371</c:v>
                </c:pt>
                <c:pt idx="83">
                  <c:v>140.60855345912</c:v>
                </c:pt>
                <c:pt idx="84">
                  <c:v>141.775283018868</c:v>
                </c:pt>
                <c:pt idx="85">
                  <c:v>142.942012578616</c:v>
                </c:pt>
                <c:pt idx="86">
                  <c:v>144.108742138365</c:v>
                </c:pt>
                <c:pt idx="87">
                  <c:v>145.275471698113</c:v>
                </c:pt>
                <c:pt idx="88">
                  <c:v>146.442201257862</c:v>
                </c:pt>
                <c:pt idx="89">
                  <c:v>147.60893081761</c:v>
                </c:pt>
                <c:pt idx="90">
                  <c:v>148.775660377359</c:v>
                </c:pt>
                <c:pt idx="91">
                  <c:v>149.942389937107</c:v>
                </c:pt>
                <c:pt idx="92">
                  <c:v>151.109119496855</c:v>
                </c:pt>
                <c:pt idx="93">
                  <c:v>152.275849056604</c:v>
                </c:pt>
                <c:pt idx="94">
                  <c:v>153.442578616352</c:v>
                </c:pt>
                <c:pt idx="95">
                  <c:v>154.609308176101</c:v>
                </c:pt>
                <c:pt idx="96">
                  <c:v>155.776037735849</c:v>
                </c:pt>
                <c:pt idx="97">
                  <c:v>156.942767295597</c:v>
                </c:pt>
                <c:pt idx="98">
                  <c:v>158.109496855346</c:v>
                </c:pt>
                <c:pt idx="99">
                  <c:v>159.276226415094</c:v>
                </c:pt>
                <c:pt idx="100">
                  <c:v>160.442955974843</c:v>
                </c:pt>
                <c:pt idx="101">
                  <c:v>161.609685534591</c:v>
                </c:pt>
                <c:pt idx="102">
                  <c:v>162.77641509434</c:v>
                </c:pt>
                <c:pt idx="103">
                  <c:v>163.943144654088</c:v>
                </c:pt>
                <c:pt idx="104">
                  <c:v>165.109874213837</c:v>
                </c:pt>
                <c:pt idx="105">
                  <c:v>166.276603773585</c:v>
                </c:pt>
                <c:pt idx="106">
                  <c:v>167.443333333333</c:v>
                </c:pt>
                <c:pt idx="107">
                  <c:v>168.610062893082</c:v>
                </c:pt>
                <c:pt idx="108">
                  <c:v>169.77679245283</c:v>
                </c:pt>
                <c:pt idx="109">
                  <c:v>170.943522012579</c:v>
                </c:pt>
                <c:pt idx="110">
                  <c:v>172.110251572327</c:v>
                </c:pt>
                <c:pt idx="111">
                  <c:v>173.276981132076</c:v>
                </c:pt>
                <c:pt idx="112">
                  <c:v>174.443710691824</c:v>
                </c:pt>
                <c:pt idx="113">
                  <c:v>175.610440251572</c:v>
                </c:pt>
                <c:pt idx="114">
                  <c:v>176.777169811321</c:v>
                </c:pt>
                <c:pt idx="115">
                  <c:v>177.943899371069</c:v>
                </c:pt>
                <c:pt idx="116">
                  <c:v>179.110628930818</c:v>
                </c:pt>
                <c:pt idx="117">
                  <c:v>180.277358490566</c:v>
                </c:pt>
                <c:pt idx="118">
                  <c:v>181.444088050315</c:v>
                </c:pt>
                <c:pt idx="119">
                  <c:v>182.610817610063</c:v>
                </c:pt>
                <c:pt idx="120">
                  <c:v>183.777547169811</c:v>
                </c:pt>
                <c:pt idx="121">
                  <c:v>184.94427672956</c:v>
                </c:pt>
                <c:pt idx="122">
                  <c:v>186.111006289308</c:v>
                </c:pt>
                <c:pt idx="123">
                  <c:v>187.277735849057</c:v>
                </c:pt>
                <c:pt idx="124">
                  <c:v>188.444465408805</c:v>
                </c:pt>
                <c:pt idx="125">
                  <c:v>189.611194968553</c:v>
                </c:pt>
                <c:pt idx="126">
                  <c:v>190.777924528302</c:v>
                </c:pt>
                <c:pt idx="127">
                  <c:v>191.94465408805</c:v>
                </c:pt>
                <c:pt idx="128">
                  <c:v>193.111383647799</c:v>
                </c:pt>
                <c:pt idx="129">
                  <c:v>194.278113207547</c:v>
                </c:pt>
                <c:pt idx="130">
                  <c:v>195.444842767296</c:v>
                </c:pt>
                <c:pt idx="131">
                  <c:v>196.611572327044</c:v>
                </c:pt>
                <c:pt idx="132">
                  <c:v>197.778301886792</c:v>
                </c:pt>
                <c:pt idx="133">
                  <c:v>198.945031446541</c:v>
                </c:pt>
                <c:pt idx="134">
                  <c:v>200.111761006289</c:v>
                </c:pt>
                <c:pt idx="135">
                  <c:v>201.278490566038</c:v>
                </c:pt>
                <c:pt idx="136">
                  <c:v>202.445220125786</c:v>
                </c:pt>
                <c:pt idx="137">
                  <c:v>203.611949685535</c:v>
                </c:pt>
                <c:pt idx="138">
                  <c:v>204.778679245283</c:v>
                </c:pt>
                <c:pt idx="139">
                  <c:v>205.945408805031</c:v>
                </c:pt>
                <c:pt idx="140">
                  <c:v>207.11213836478</c:v>
                </c:pt>
                <c:pt idx="141">
                  <c:v>208.278867924528</c:v>
                </c:pt>
                <c:pt idx="142">
                  <c:v>209.445597484277</c:v>
                </c:pt>
                <c:pt idx="143">
                  <c:v>210.612327044025</c:v>
                </c:pt>
                <c:pt idx="144">
                  <c:v>211.779056603774</c:v>
                </c:pt>
                <c:pt idx="145">
                  <c:v>212.945786163522</c:v>
                </c:pt>
                <c:pt idx="146">
                  <c:v>214.11251572327</c:v>
                </c:pt>
                <c:pt idx="147">
                  <c:v>215.279245283019</c:v>
                </c:pt>
                <c:pt idx="148">
                  <c:v>216.445974842767</c:v>
                </c:pt>
                <c:pt idx="149">
                  <c:v>217.612704402516</c:v>
                </c:pt>
                <c:pt idx="150">
                  <c:v>218.779433962264</c:v>
                </c:pt>
                <c:pt idx="151">
                  <c:v>219.946163522013</c:v>
                </c:pt>
                <c:pt idx="152">
                  <c:v>221.112893081761</c:v>
                </c:pt>
                <c:pt idx="153">
                  <c:v>222.279622641509</c:v>
                </c:pt>
                <c:pt idx="154">
                  <c:v>223.446352201258</c:v>
                </c:pt>
                <c:pt idx="155">
                  <c:v>224.613081761006</c:v>
                </c:pt>
                <c:pt idx="156">
                  <c:v>225.779811320755</c:v>
                </c:pt>
                <c:pt idx="157">
                  <c:v>226.946540880503</c:v>
                </c:pt>
                <c:pt idx="158">
                  <c:v>228.113270440252</c:v>
                </c:pt>
                <c:pt idx="159">
                  <c:v>229.28</c:v>
                </c:pt>
                <c:pt idx="160">
                  <c:v>230.446729559748</c:v>
                </c:pt>
              </c:numCache>
            </c:numRef>
          </c:val>
          <c:smooth val="0"/>
        </c:ser>
        <c:hiLowLines>
          <c:spPr>
            <a:ln w="0">
              <a:noFill/>
            </a:ln>
          </c:spPr>
        </c:hiLowLines>
        <c:marker val="0"/>
        <c:axId val="55510941"/>
        <c:axId val="14845385"/>
      </c:lineChart>
      <c:dateAx>
        <c:axId val="262905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047290"/>
        <c:auto val="1"/>
        <c:lblOffset val="100"/>
        <c:baseTimeUnit val="days"/>
      </c:dateAx>
      <c:valAx>
        <c:axId val="430472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290599"/>
        <c:crosses val="autoZero"/>
        <c:crossBetween val="between"/>
      </c:valAx>
      <c:dateAx>
        <c:axId val="555109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845385"/>
        <c:auto val="1"/>
        <c:lblOffset val="100"/>
        <c:baseTimeUnit val="days"/>
      </c:dateAx>
      <c:valAx>
        <c:axId val="148453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5109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pt idx="159">
                  <c:v>0.00449926305174153</c:v>
                </c:pt>
              </c:numCache>
            </c:numRef>
          </c:val>
        </c:ser>
        <c:gapWidth val="150"/>
        <c:overlap val="0"/>
        <c:axId val="26517694"/>
        <c:axId val="89593126"/>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(Calc)'!$AE$3:$AE$500</c:f>
              <c:numCache>
                <c:formatCode>#,##0.00</c:formatCode>
                <c:ptCount val="498"/>
                <c:pt idx="0">
                  <c:v>111.84</c:v>
                </c:pt>
                <c:pt idx="1">
                  <c:v>111.951006289308</c:v>
                </c:pt>
                <c:pt idx="2">
                  <c:v>112.062012578616</c:v>
                </c:pt>
                <c:pt idx="3">
                  <c:v>112.173018867925</c:v>
                </c:pt>
                <c:pt idx="4">
                  <c:v>112.284025157233</c:v>
                </c:pt>
                <c:pt idx="5">
                  <c:v>112.395031446541</c:v>
                </c:pt>
                <c:pt idx="6">
                  <c:v>112.506037735849</c:v>
                </c:pt>
                <c:pt idx="7">
                  <c:v>112.617044025157</c:v>
                </c:pt>
                <c:pt idx="8">
                  <c:v>112.728050314465</c:v>
                </c:pt>
                <c:pt idx="9">
                  <c:v>112.839056603774</c:v>
                </c:pt>
                <c:pt idx="10">
                  <c:v>112.950062893082</c:v>
                </c:pt>
                <c:pt idx="11">
                  <c:v>113.06106918239</c:v>
                </c:pt>
                <c:pt idx="12">
                  <c:v>113.172075471698</c:v>
                </c:pt>
                <c:pt idx="13">
                  <c:v>113.283081761006</c:v>
                </c:pt>
                <c:pt idx="14">
                  <c:v>113.394088050314</c:v>
                </c:pt>
                <c:pt idx="15">
                  <c:v>113.505094339623</c:v>
                </c:pt>
                <c:pt idx="16">
                  <c:v>113.616100628931</c:v>
                </c:pt>
                <c:pt idx="17">
                  <c:v>113.727106918239</c:v>
                </c:pt>
                <c:pt idx="18">
                  <c:v>113.838113207547</c:v>
                </c:pt>
                <c:pt idx="19">
                  <c:v>113.949119496855</c:v>
                </c:pt>
                <c:pt idx="20">
                  <c:v>114.060125786164</c:v>
                </c:pt>
                <c:pt idx="21">
                  <c:v>114.171132075472</c:v>
                </c:pt>
                <c:pt idx="22">
                  <c:v>114.28213836478</c:v>
                </c:pt>
                <c:pt idx="23">
                  <c:v>114.393144654088</c:v>
                </c:pt>
                <c:pt idx="24">
                  <c:v>114.504150943396</c:v>
                </c:pt>
                <c:pt idx="25">
                  <c:v>114.615157232704</c:v>
                </c:pt>
                <c:pt idx="26">
                  <c:v>114.726163522013</c:v>
                </c:pt>
                <c:pt idx="27">
                  <c:v>114.837169811321</c:v>
                </c:pt>
                <c:pt idx="28">
                  <c:v>114.948176100629</c:v>
                </c:pt>
                <c:pt idx="29">
                  <c:v>115.059182389937</c:v>
                </c:pt>
                <c:pt idx="30">
                  <c:v>115.170188679245</c:v>
                </c:pt>
                <c:pt idx="31">
                  <c:v>115.281194968553</c:v>
                </c:pt>
                <c:pt idx="32">
                  <c:v>115.392201257862</c:v>
                </c:pt>
                <c:pt idx="33">
                  <c:v>115.50320754717</c:v>
                </c:pt>
                <c:pt idx="34">
                  <c:v>115.614213836478</c:v>
                </c:pt>
                <c:pt idx="35">
                  <c:v>115.725220125786</c:v>
                </c:pt>
                <c:pt idx="36">
                  <c:v>115.836226415094</c:v>
                </c:pt>
                <c:pt idx="37">
                  <c:v>115.947232704403</c:v>
                </c:pt>
                <c:pt idx="38">
                  <c:v>116.058238993711</c:v>
                </c:pt>
                <c:pt idx="39">
                  <c:v>116.169245283019</c:v>
                </c:pt>
                <c:pt idx="40">
                  <c:v>116.280251572327</c:v>
                </c:pt>
                <c:pt idx="41">
                  <c:v>116.391257861635</c:v>
                </c:pt>
                <c:pt idx="42">
                  <c:v>116.502264150943</c:v>
                </c:pt>
                <c:pt idx="43">
                  <c:v>116.613270440252</c:v>
                </c:pt>
                <c:pt idx="44">
                  <c:v>116.72427672956</c:v>
                </c:pt>
                <c:pt idx="45">
                  <c:v>116.835283018868</c:v>
                </c:pt>
                <c:pt idx="46">
                  <c:v>116.946289308176</c:v>
                </c:pt>
                <c:pt idx="47">
                  <c:v>117.057295597484</c:v>
                </c:pt>
                <c:pt idx="48">
                  <c:v>117.168301886792</c:v>
                </c:pt>
                <c:pt idx="49">
                  <c:v>117.279308176101</c:v>
                </c:pt>
                <c:pt idx="50">
                  <c:v>117.390314465409</c:v>
                </c:pt>
                <c:pt idx="51">
                  <c:v>117.501320754717</c:v>
                </c:pt>
                <c:pt idx="52">
                  <c:v>117.612327044025</c:v>
                </c:pt>
                <c:pt idx="53">
                  <c:v>117.723333333333</c:v>
                </c:pt>
                <c:pt idx="54">
                  <c:v>117.834339622642</c:v>
                </c:pt>
                <c:pt idx="55">
                  <c:v>117.94534591195</c:v>
                </c:pt>
                <c:pt idx="56">
                  <c:v>118.056352201258</c:v>
                </c:pt>
                <c:pt idx="57">
                  <c:v>118.167358490566</c:v>
                </c:pt>
                <c:pt idx="58">
                  <c:v>118.278364779874</c:v>
                </c:pt>
                <c:pt idx="59">
                  <c:v>118.389371069182</c:v>
                </c:pt>
                <c:pt idx="60">
                  <c:v>118.500377358491</c:v>
                </c:pt>
                <c:pt idx="61">
                  <c:v>118.611383647799</c:v>
                </c:pt>
                <c:pt idx="62">
                  <c:v>118.722389937107</c:v>
                </c:pt>
                <c:pt idx="63">
                  <c:v>118.833396226415</c:v>
                </c:pt>
                <c:pt idx="64">
                  <c:v>118.944402515723</c:v>
                </c:pt>
                <c:pt idx="65">
                  <c:v>119.055408805031</c:v>
                </c:pt>
                <c:pt idx="66">
                  <c:v>119.16641509434</c:v>
                </c:pt>
                <c:pt idx="67">
                  <c:v>119.277421383648</c:v>
                </c:pt>
                <c:pt idx="68">
                  <c:v>119.388427672956</c:v>
                </c:pt>
                <c:pt idx="69">
                  <c:v>119.499433962264</c:v>
                </c:pt>
                <c:pt idx="70">
                  <c:v>119.610440251572</c:v>
                </c:pt>
                <c:pt idx="71">
                  <c:v>119.721446540881</c:v>
                </c:pt>
                <c:pt idx="72">
                  <c:v>119.832452830189</c:v>
                </c:pt>
                <c:pt idx="73">
                  <c:v>119.943459119497</c:v>
                </c:pt>
                <c:pt idx="74">
                  <c:v>120.054465408805</c:v>
                </c:pt>
                <c:pt idx="75">
                  <c:v>120.165471698113</c:v>
                </c:pt>
                <c:pt idx="76">
                  <c:v>120.276477987421</c:v>
                </c:pt>
                <c:pt idx="77">
                  <c:v>120.38748427673</c:v>
                </c:pt>
                <c:pt idx="78">
                  <c:v>120.498490566038</c:v>
                </c:pt>
                <c:pt idx="79">
                  <c:v>120.609496855346</c:v>
                </c:pt>
                <c:pt idx="80">
                  <c:v>120.720503144654</c:v>
                </c:pt>
                <c:pt idx="81">
                  <c:v>120.831509433962</c:v>
                </c:pt>
                <c:pt idx="82">
                  <c:v>120.94251572327</c:v>
                </c:pt>
                <c:pt idx="83">
                  <c:v>121.053522012579</c:v>
                </c:pt>
                <c:pt idx="84">
                  <c:v>121.164528301887</c:v>
                </c:pt>
                <c:pt idx="85">
                  <c:v>121.275534591195</c:v>
                </c:pt>
                <c:pt idx="86">
                  <c:v>121.386540880503</c:v>
                </c:pt>
                <c:pt idx="87">
                  <c:v>121.497547169811</c:v>
                </c:pt>
                <c:pt idx="88">
                  <c:v>121.60855345912</c:v>
                </c:pt>
                <c:pt idx="89">
                  <c:v>121.719559748428</c:v>
                </c:pt>
                <c:pt idx="90">
                  <c:v>121.830566037736</c:v>
                </c:pt>
                <c:pt idx="91">
                  <c:v>121.941572327044</c:v>
                </c:pt>
                <c:pt idx="92">
                  <c:v>122.052578616352</c:v>
                </c:pt>
                <c:pt idx="93">
                  <c:v>122.16358490566</c:v>
                </c:pt>
                <c:pt idx="94">
                  <c:v>122.274591194969</c:v>
                </c:pt>
                <c:pt idx="95">
                  <c:v>122.385597484277</c:v>
                </c:pt>
                <c:pt idx="96">
                  <c:v>122.496603773585</c:v>
                </c:pt>
                <c:pt idx="97">
                  <c:v>122.607610062893</c:v>
                </c:pt>
                <c:pt idx="98">
                  <c:v>122.718616352201</c:v>
                </c:pt>
                <c:pt idx="99">
                  <c:v>122.829622641509</c:v>
                </c:pt>
                <c:pt idx="100">
                  <c:v>122.940628930818</c:v>
                </c:pt>
                <c:pt idx="101">
                  <c:v>123.051635220126</c:v>
                </c:pt>
                <c:pt idx="102">
                  <c:v>123.162641509434</c:v>
                </c:pt>
                <c:pt idx="103">
                  <c:v>123.273647798742</c:v>
                </c:pt>
                <c:pt idx="104">
                  <c:v>123.38465408805</c:v>
                </c:pt>
                <c:pt idx="105">
                  <c:v>123.495660377359</c:v>
                </c:pt>
                <c:pt idx="106">
                  <c:v>123.606666666667</c:v>
                </c:pt>
                <c:pt idx="107">
                  <c:v>123.717672955975</c:v>
                </c:pt>
                <c:pt idx="108">
                  <c:v>123.828679245283</c:v>
                </c:pt>
                <c:pt idx="109">
                  <c:v>123.939685534591</c:v>
                </c:pt>
                <c:pt idx="110">
                  <c:v>124.050691823899</c:v>
                </c:pt>
                <c:pt idx="111">
                  <c:v>124.161698113208</c:v>
                </c:pt>
                <c:pt idx="112">
                  <c:v>124.272704402516</c:v>
                </c:pt>
                <c:pt idx="113">
                  <c:v>124.383710691824</c:v>
                </c:pt>
                <c:pt idx="114">
                  <c:v>124.494716981132</c:v>
                </c:pt>
                <c:pt idx="115">
                  <c:v>124.60572327044</c:v>
                </c:pt>
                <c:pt idx="116">
                  <c:v>124.716729559748</c:v>
                </c:pt>
                <c:pt idx="117">
                  <c:v>124.827735849057</c:v>
                </c:pt>
                <c:pt idx="118">
                  <c:v>124.938742138365</c:v>
                </c:pt>
                <c:pt idx="119">
                  <c:v>125.049748427673</c:v>
                </c:pt>
                <c:pt idx="120">
                  <c:v>125.160754716981</c:v>
                </c:pt>
                <c:pt idx="121">
                  <c:v>125.271761006289</c:v>
                </c:pt>
                <c:pt idx="122">
                  <c:v>125.382767295597</c:v>
                </c:pt>
                <c:pt idx="123">
                  <c:v>125.493773584906</c:v>
                </c:pt>
                <c:pt idx="124">
                  <c:v>125.604779874214</c:v>
                </c:pt>
                <c:pt idx="125">
                  <c:v>125.715786163522</c:v>
                </c:pt>
                <c:pt idx="126">
                  <c:v>125.82679245283</c:v>
                </c:pt>
                <c:pt idx="127">
                  <c:v>125.937798742138</c:v>
                </c:pt>
                <c:pt idx="128">
                  <c:v>126.048805031447</c:v>
                </c:pt>
                <c:pt idx="129">
                  <c:v>126.159811320755</c:v>
                </c:pt>
                <c:pt idx="130">
                  <c:v>126.270817610063</c:v>
                </c:pt>
                <c:pt idx="131">
                  <c:v>126.381823899371</c:v>
                </c:pt>
                <c:pt idx="132">
                  <c:v>126.492830188679</c:v>
                </c:pt>
                <c:pt idx="133">
                  <c:v>126.603836477987</c:v>
                </c:pt>
                <c:pt idx="134">
                  <c:v>126.714842767296</c:v>
                </c:pt>
                <c:pt idx="135">
                  <c:v>126.825849056604</c:v>
                </c:pt>
                <c:pt idx="136">
                  <c:v>126.936855345912</c:v>
                </c:pt>
                <c:pt idx="137">
                  <c:v>127.04786163522</c:v>
                </c:pt>
                <c:pt idx="138">
                  <c:v>127.158867924528</c:v>
                </c:pt>
                <c:pt idx="139">
                  <c:v>127.269874213836</c:v>
                </c:pt>
                <c:pt idx="140">
                  <c:v>127.380880503145</c:v>
                </c:pt>
                <c:pt idx="141">
                  <c:v>127.491886792453</c:v>
                </c:pt>
                <c:pt idx="142">
                  <c:v>127.602893081761</c:v>
                </c:pt>
                <c:pt idx="143">
                  <c:v>127.713899371069</c:v>
                </c:pt>
                <c:pt idx="144">
                  <c:v>127.824905660377</c:v>
                </c:pt>
                <c:pt idx="145">
                  <c:v>127.935911949686</c:v>
                </c:pt>
                <c:pt idx="146">
                  <c:v>128.046918238994</c:v>
                </c:pt>
                <c:pt idx="147">
                  <c:v>128.157924528302</c:v>
                </c:pt>
                <c:pt idx="148">
                  <c:v>128.26893081761</c:v>
                </c:pt>
                <c:pt idx="149">
                  <c:v>128.379937106918</c:v>
                </c:pt>
                <c:pt idx="150">
                  <c:v>128.490943396226</c:v>
                </c:pt>
                <c:pt idx="151">
                  <c:v>128.601949685535</c:v>
                </c:pt>
                <c:pt idx="152">
                  <c:v>128.712955974843</c:v>
                </c:pt>
                <c:pt idx="153">
                  <c:v>128.823962264151</c:v>
                </c:pt>
                <c:pt idx="154">
                  <c:v>128.934968553459</c:v>
                </c:pt>
                <c:pt idx="155">
                  <c:v>129.045974842767</c:v>
                </c:pt>
                <c:pt idx="156">
                  <c:v>129.156981132076</c:v>
                </c:pt>
                <c:pt idx="157">
                  <c:v>129.267987421384</c:v>
                </c:pt>
                <c:pt idx="158">
                  <c:v>129.378993710692</c:v>
                </c:pt>
                <c:pt idx="159">
                  <c:v>129.49</c:v>
                </c:pt>
                <c:pt idx="160">
                  <c:v>129.601006289308</c:v>
                </c:pt>
              </c:numCache>
            </c:numRef>
          </c:val>
          <c:smooth val="0"/>
        </c:ser>
        <c:hiLowLines>
          <c:spPr>
            <a:ln w="0">
              <a:noFill/>
            </a:ln>
          </c:spPr>
        </c:hiLowLines>
        <c:marker val="0"/>
        <c:axId val="52956067"/>
        <c:axId val="97530850"/>
      </c:lineChart>
      <c:dateAx>
        <c:axId val="265176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93126"/>
        <c:auto val="1"/>
        <c:lblOffset val="100"/>
        <c:baseTimeUnit val="days"/>
      </c:dateAx>
      <c:valAx>
        <c:axId val="895931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517694"/>
        <c:crosses val="autoZero"/>
        <c:crossBetween val="between"/>
      </c:valAx>
      <c:dateAx>
        <c:axId val="529560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530850"/>
        <c:auto val="1"/>
        <c:lblOffset val="100"/>
        <c:baseTimeUnit val="days"/>
      </c:dateAx>
      <c:valAx>
        <c:axId val="975308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9560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pt idx="159">
                  <c:v>0.107549668874172</c:v>
                </c:pt>
              </c:numCache>
            </c:numRef>
          </c:val>
        </c:ser>
        <c:gapWidth val="150"/>
        <c:overlap val="0"/>
        <c:axId val="89607253"/>
        <c:axId val="65110525"/>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(Calc)'!$AF$3:$AF$500</c:f>
              <c:numCache>
                <c:formatCode>#,##0.00</c:formatCode>
                <c:ptCount val="498"/>
                <c:pt idx="0">
                  <c:v>15.33</c:v>
                </c:pt>
                <c:pt idx="1">
                  <c:v>16.5483647798742</c:v>
                </c:pt>
                <c:pt idx="2">
                  <c:v>17.7667295597484</c:v>
                </c:pt>
                <c:pt idx="3">
                  <c:v>18.9850943396226</c:v>
                </c:pt>
                <c:pt idx="4">
                  <c:v>20.2034591194969</c:v>
                </c:pt>
                <c:pt idx="5">
                  <c:v>21.4218238993711</c:v>
                </c:pt>
                <c:pt idx="6">
                  <c:v>22.6401886792453</c:v>
                </c:pt>
                <c:pt idx="7">
                  <c:v>23.8585534591195</c:v>
                </c:pt>
                <c:pt idx="8">
                  <c:v>25.0769182389937</c:v>
                </c:pt>
                <c:pt idx="9">
                  <c:v>26.2952830188679</c:v>
                </c:pt>
                <c:pt idx="10">
                  <c:v>27.5136477987421</c:v>
                </c:pt>
                <c:pt idx="11">
                  <c:v>28.7320125786164</c:v>
                </c:pt>
                <c:pt idx="12">
                  <c:v>29.9503773584906</c:v>
                </c:pt>
                <c:pt idx="13">
                  <c:v>31.1687421383648</c:v>
                </c:pt>
                <c:pt idx="14">
                  <c:v>32.387106918239</c:v>
                </c:pt>
                <c:pt idx="15">
                  <c:v>33.6054716981132</c:v>
                </c:pt>
                <c:pt idx="16">
                  <c:v>34.8238364779874</c:v>
                </c:pt>
                <c:pt idx="17">
                  <c:v>36.0422012578616</c:v>
                </c:pt>
                <c:pt idx="18">
                  <c:v>37.2605660377359</c:v>
                </c:pt>
                <c:pt idx="19">
                  <c:v>38.4789308176101</c:v>
                </c:pt>
                <c:pt idx="20">
                  <c:v>39.6972955974843</c:v>
                </c:pt>
                <c:pt idx="21">
                  <c:v>40.9156603773585</c:v>
                </c:pt>
                <c:pt idx="22">
                  <c:v>42.1340251572327</c:v>
                </c:pt>
                <c:pt idx="23">
                  <c:v>43.3523899371069</c:v>
                </c:pt>
                <c:pt idx="24">
                  <c:v>44.5707547169811</c:v>
                </c:pt>
                <c:pt idx="25">
                  <c:v>45.7891194968554</c:v>
                </c:pt>
                <c:pt idx="26">
                  <c:v>47.0074842767296</c:v>
                </c:pt>
                <c:pt idx="27">
                  <c:v>48.2258490566038</c:v>
                </c:pt>
                <c:pt idx="28">
                  <c:v>49.444213836478</c:v>
                </c:pt>
                <c:pt idx="29">
                  <c:v>50.6625786163522</c:v>
                </c:pt>
                <c:pt idx="30">
                  <c:v>51.8809433962264</c:v>
                </c:pt>
                <c:pt idx="31">
                  <c:v>53.0993081761006</c:v>
                </c:pt>
                <c:pt idx="32">
                  <c:v>54.3176729559748</c:v>
                </c:pt>
                <c:pt idx="33">
                  <c:v>55.5360377358491</c:v>
                </c:pt>
                <c:pt idx="34">
                  <c:v>56.7544025157233</c:v>
                </c:pt>
                <c:pt idx="35">
                  <c:v>57.9727672955975</c:v>
                </c:pt>
                <c:pt idx="36">
                  <c:v>59.1911320754717</c:v>
                </c:pt>
                <c:pt idx="37">
                  <c:v>60.4094968553459</c:v>
                </c:pt>
                <c:pt idx="38">
                  <c:v>61.6278616352201</c:v>
                </c:pt>
                <c:pt idx="39">
                  <c:v>62.8462264150943</c:v>
                </c:pt>
                <c:pt idx="40">
                  <c:v>64.0645911949686</c:v>
                </c:pt>
                <c:pt idx="41">
                  <c:v>65.2829559748428</c:v>
                </c:pt>
                <c:pt idx="42">
                  <c:v>66.501320754717</c:v>
                </c:pt>
                <c:pt idx="43">
                  <c:v>67.7196855345912</c:v>
                </c:pt>
                <c:pt idx="44">
                  <c:v>68.9380503144654</c:v>
                </c:pt>
                <c:pt idx="45">
                  <c:v>70.1564150943396</c:v>
                </c:pt>
                <c:pt idx="46">
                  <c:v>71.3747798742138</c:v>
                </c:pt>
                <c:pt idx="47">
                  <c:v>72.5931446540881</c:v>
                </c:pt>
                <c:pt idx="48">
                  <c:v>73.8115094339623</c:v>
                </c:pt>
                <c:pt idx="49">
                  <c:v>75.0298742138365</c:v>
                </c:pt>
                <c:pt idx="50">
                  <c:v>76.2482389937107</c:v>
                </c:pt>
                <c:pt idx="51">
                  <c:v>77.4666037735849</c:v>
                </c:pt>
                <c:pt idx="52">
                  <c:v>78.6849685534591</c:v>
                </c:pt>
                <c:pt idx="53">
                  <c:v>79.9033333333333</c:v>
                </c:pt>
                <c:pt idx="54">
                  <c:v>81.1216981132075</c:v>
                </c:pt>
                <c:pt idx="55">
                  <c:v>82.3400628930818</c:v>
                </c:pt>
                <c:pt idx="56">
                  <c:v>83.558427672956</c:v>
                </c:pt>
                <c:pt idx="57">
                  <c:v>84.7767924528302</c:v>
                </c:pt>
                <c:pt idx="58">
                  <c:v>85.9951572327044</c:v>
                </c:pt>
                <c:pt idx="59">
                  <c:v>87.2135220125786</c:v>
                </c:pt>
                <c:pt idx="60">
                  <c:v>88.4318867924528</c:v>
                </c:pt>
                <c:pt idx="61">
                  <c:v>89.650251572327</c:v>
                </c:pt>
                <c:pt idx="62">
                  <c:v>90.8686163522013</c:v>
                </c:pt>
                <c:pt idx="63">
                  <c:v>92.0869811320755</c:v>
                </c:pt>
                <c:pt idx="64">
                  <c:v>93.3053459119497</c:v>
                </c:pt>
                <c:pt idx="65">
                  <c:v>94.5237106918239</c:v>
                </c:pt>
                <c:pt idx="66">
                  <c:v>95.7420754716981</c:v>
                </c:pt>
                <c:pt idx="67">
                  <c:v>96.9604402515723</c:v>
                </c:pt>
                <c:pt idx="68">
                  <c:v>98.1788050314465</c:v>
                </c:pt>
                <c:pt idx="69">
                  <c:v>99.3971698113208</c:v>
                </c:pt>
                <c:pt idx="70">
                  <c:v>100.615534591195</c:v>
                </c:pt>
                <c:pt idx="71">
                  <c:v>101.833899371069</c:v>
                </c:pt>
                <c:pt idx="72">
                  <c:v>103.052264150943</c:v>
                </c:pt>
                <c:pt idx="73">
                  <c:v>104.270628930818</c:v>
                </c:pt>
                <c:pt idx="74">
                  <c:v>105.488993710692</c:v>
                </c:pt>
                <c:pt idx="75">
                  <c:v>106.707358490566</c:v>
                </c:pt>
                <c:pt idx="76">
                  <c:v>107.92572327044</c:v>
                </c:pt>
                <c:pt idx="77">
                  <c:v>109.144088050314</c:v>
                </c:pt>
                <c:pt idx="78">
                  <c:v>110.362452830189</c:v>
                </c:pt>
                <c:pt idx="79">
                  <c:v>111.580817610063</c:v>
                </c:pt>
                <c:pt idx="80">
                  <c:v>112.799182389937</c:v>
                </c:pt>
                <c:pt idx="81">
                  <c:v>114.017547169811</c:v>
                </c:pt>
                <c:pt idx="82">
                  <c:v>115.235911949686</c:v>
                </c:pt>
                <c:pt idx="83">
                  <c:v>116.45427672956</c:v>
                </c:pt>
                <c:pt idx="84">
                  <c:v>117.672641509434</c:v>
                </c:pt>
                <c:pt idx="85">
                  <c:v>118.891006289308</c:v>
                </c:pt>
                <c:pt idx="86">
                  <c:v>120.109371069182</c:v>
                </c:pt>
                <c:pt idx="87">
                  <c:v>121.327735849057</c:v>
                </c:pt>
                <c:pt idx="88">
                  <c:v>122.546100628931</c:v>
                </c:pt>
                <c:pt idx="89">
                  <c:v>123.764465408805</c:v>
                </c:pt>
                <c:pt idx="90">
                  <c:v>124.982830188679</c:v>
                </c:pt>
                <c:pt idx="91">
                  <c:v>126.201194968553</c:v>
                </c:pt>
                <c:pt idx="92">
                  <c:v>127.419559748428</c:v>
                </c:pt>
                <c:pt idx="93">
                  <c:v>128.637924528302</c:v>
                </c:pt>
                <c:pt idx="94">
                  <c:v>129.856289308176</c:v>
                </c:pt>
                <c:pt idx="95">
                  <c:v>131.07465408805</c:v>
                </c:pt>
                <c:pt idx="96">
                  <c:v>132.293018867925</c:v>
                </c:pt>
                <c:pt idx="97">
                  <c:v>133.511383647799</c:v>
                </c:pt>
                <c:pt idx="98">
                  <c:v>134.729748427673</c:v>
                </c:pt>
                <c:pt idx="99">
                  <c:v>135.948113207547</c:v>
                </c:pt>
                <c:pt idx="100">
                  <c:v>137.166477987421</c:v>
                </c:pt>
                <c:pt idx="101">
                  <c:v>138.384842767296</c:v>
                </c:pt>
                <c:pt idx="102">
                  <c:v>139.60320754717</c:v>
                </c:pt>
                <c:pt idx="103">
                  <c:v>140.821572327044</c:v>
                </c:pt>
                <c:pt idx="104">
                  <c:v>142.039937106918</c:v>
                </c:pt>
                <c:pt idx="105">
                  <c:v>143.258301886792</c:v>
                </c:pt>
                <c:pt idx="106">
                  <c:v>144.476666666667</c:v>
                </c:pt>
                <c:pt idx="107">
                  <c:v>145.695031446541</c:v>
                </c:pt>
                <c:pt idx="108">
                  <c:v>146.913396226415</c:v>
                </c:pt>
                <c:pt idx="109">
                  <c:v>148.131761006289</c:v>
                </c:pt>
                <c:pt idx="110">
                  <c:v>149.350125786164</c:v>
                </c:pt>
                <c:pt idx="111">
                  <c:v>150.568490566038</c:v>
                </c:pt>
                <c:pt idx="112">
                  <c:v>151.786855345912</c:v>
                </c:pt>
                <c:pt idx="113">
                  <c:v>153.005220125786</c:v>
                </c:pt>
                <c:pt idx="114">
                  <c:v>154.22358490566</c:v>
                </c:pt>
                <c:pt idx="115">
                  <c:v>155.441949685535</c:v>
                </c:pt>
                <c:pt idx="116">
                  <c:v>156.660314465409</c:v>
                </c:pt>
                <c:pt idx="117">
                  <c:v>157.878679245283</c:v>
                </c:pt>
                <c:pt idx="118">
                  <c:v>159.097044025157</c:v>
                </c:pt>
                <c:pt idx="119">
                  <c:v>160.315408805031</c:v>
                </c:pt>
                <c:pt idx="120">
                  <c:v>161.533773584906</c:v>
                </c:pt>
                <c:pt idx="121">
                  <c:v>162.75213836478</c:v>
                </c:pt>
                <c:pt idx="122">
                  <c:v>163.970503144654</c:v>
                </c:pt>
                <c:pt idx="123">
                  <c:v>165.188867924528</c:v>
                </c:pt>
                <c:pt idx="124">
                  <c:v>166.407232704403</c:v>
                </c:pt>
                <c:pt idx="125">
                  <c:v>167.625597484277</c:v>
                </c:pt>
                <c:pt idx="126">
                  <c:v>168.843962264151</c:v>
                </c:pt>
                <c:pt idx="127">
                  <c:v>170.062327044025</c:v>
                </c:pt>
                <c:pt idx="128">
                  <c:v>171.280691823899</c:v>
                </c:pt>
                <c:pt idx="129">
                  <c:v>172.499056603774</c:v>
                </c:pt>
                <c:pt idx="130">
                  <c:v>173.717421383648</c:v>
                </c:pt>
                <c:pt idx="131">
                  <c:v>174.935786163522</c:v>
                </c:pt>
                <c:pt idx="132">
                  <c:v>176.154150943396</c:v>
                </c:pt>
                <c:pt idx="133">
                  <c:v>177.37251572327</c:v>
                </c:pt>
                <c:pt idx="134">
                  <c:v>178.590880503145</c:v>
                </c:pt>
                <c:pt idx="135">
                  <c:v>179.809245283019</c:v>
                </c:pt>
                <c:pt idx="136">
                  <c:v>181.027610062893</c:v>
                </c:pt>
                <c:pt idx="137">
                  <c:v>182.245974842767</c:v>
                </c:pt>
                <c:pt idx="138">
                  <c:v>183.464339622642</c:v>
                </c:pt>
                <c:pt idx="139">
                  <c:v>184.682704402516</c:v>
                </c:pt>
                <c:pt idx="140">
                  <c:v>185.90106918239</c:v>
                </c:pt>
                <c:pt idx="141">
                  <c:v>187.119433962264</c:v>
                </c:pt>
                <c:pt idx="142">
                  <c:v>188.337798742138</c:v>
                </c:pt>
                <c:pt idx="143">
                  <c:v>189.556163522013</c:v>
                </c:pt>
                <c:pt idx="144">
                  <c:v>190.774528301887</c:v>
                </c:pt>
                <c:pt idx="145">
                  <c:v>191.992893081761</c:v>
                </c:pt>
                <c:pt idx="146">
                  <c:v>193.211257861635</c:v>
                </c:pt>
                <c:pt idx="147">
                  <c:v>194.429622641509</c:v>
                </c:pt>
                <c:pt idx="148">
                  <c:v>195.647987421384</c:v>
                </c:pt>
                <c:pt idx="149">
                  <c:v>196.866352201258</c:v>
                </c:pt>
                <c:pt idx="150">
                  <c:v>198.084716981132</c:v>
                </c:pt>
                <c:pt idx="151">
                  <c:v>199.303081761006</c:v>
                </c:pt>
                <c:pt idx="152">
                  <c:v>200.521446540881</c:v>
                </c:pt>
                <c:pt idx="153">
                  <c:v>201.739811320755</c:v>
                </c:pt>
                <c:pt idx="154">
                  <c:v>202.958176100629</c:v>
                </c:pt>
                <c:pt idx="155">
                  <c:v>204.176540880503</c:v>
                </c:pt>
                <c:pt idx="156">
                  <c:v>205.394905660377</c:v>
                </c:pt>
                <c:pt idx="157">
                  <c:v>206.613270440252</c:v>
                </c:pt>
                <c:pt idx="158">
                  <c:v>207.831635220126</c:v>
                </c:pt>
                <c:pt idx="159">
                  <c:v>209.05</c:v>
                </c:pt>
                <c:pt idx="160">
                  <c:v>210.268364779874</c:v>
                </c:pt>
              </c:numCache>
            </c:numRef>
          </c:val>
          <c:smooth val="0"/>
        </c:ser>
        <c:hiLowLines>
          <c:spPr>
            <a:ln w="0">
              <a:noFill/>
            </a:ln>
          </c:spPr>
        </c:hiLowLines>
        <c:marker val="0"/>
        <c:axId val="25076214"/>
        <c:axId val="89480914"/>
      </c:lineChart>
      <c:dateAx>
        <c:axId val="896072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110525"/>
        <c:auto val="1"/>
        <c:lblOffset val="100"/>
        <c:baseTimeUnit val="days"/>
      </c:dateAx>
      <c:valAx>
        <c:axId val="651105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607253"/>
        <c:crosses val="autoZero"/>
        <c:crossBetween val="between"/>
      </c:valAx>
      <c:dateAx>
        <c:axId val="250762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480914"/>
        <c:auto val="1"/>
        <c:lblOffset val="100"/>
        <c:baseTimeUnit val="days"/>
      </c:dateAx>
      <c:valAx>
        <c:axId val="894809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0762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pt idx="159">
                  <c:v>-0.0411819450907398</c:v>
                </c:pt>
              </c:numCache>
            </c:numRef>
          </c:val>
        </c:ser>
        <c:gapWidth val="150"/>
        <c:overlap val="0"/>
        <c:axId val="90110918"/>
        <c:axId val="8092932"/>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(Calc)'!$AG$3:$AG$500</c:f>
              <c:numCache>
                <c:formatCode>#,##0.00</c:formatCode>
                <c:ptCount val="498"/>
                <c:pt idx="0">
                  <c:v>85.75</c:v>
                </c:pt>
                <c:pt idx="1">
                  <c:v>88.0616981132075</c:v>
                </c:pt>
                <c:pt idx="2">
                  <c:v>90.3733962264151</c:v>
                </c:pt>
                <c:pt idx="3">
                  <c:v>92.6850943396226</c:v>
                </c:pt>
                <c:pt idx="4">
                  <c:v>94.9967924528302</c:v>
                </c:pt>
                <c:pt idx="5">
                  <c:v>97.3084905660377</c:v>
                </c:pt>
                <c:pt idx="6">
                  <c:v>99.6201886792453</c:v>
                </c:pt>
                <c:pt idx="7">
                  <c:v>101.931886792453</c:v>
                </c:pt>
                <c:pt idx="8">
                  <c:v>104.24358490566</c:v>
                </c:pt>
                <c:pt idx="9">
                  <c:v>106.555283018868</c:v>
                </c:pt>
                <c:pt idx="10">
                  <c:v>108.866981132075</c:v>
                </c:pt>
                <c:pt idx="11">
                  <c:v>111.178679245283</c:v>
                </c:pt>
                <c:pt idx="12">
                  <c:v>113.490377358491</c:v>
                </c:pt>
                <c:pt idx="13">
                  <c:v>115.802075471698</c:v>
                </c:pt>
                <c:pt idx="14">
                  <c:v>118.113773584906</c:v>
                </c:pt>
                <c:pt idx="15">
                  <c:v>120.425471698113</c:v>
                </c:pt>
                <c:pt idx="16">
                  <c:v>122.737169811321</c:v>
                </c:pt>
                <c:pt idx="17">
                  <c:v>125.048867924528</c:v>
                </c:pt>
                <c:pt idx="18">
                  <c:v>127.360566037736</c:v>
                </c:pt>
                <c:pt idx="19">
                  <c:v>129.672264150943</c:v>
                </c:pt>
                <c:pt idx="20">
                  <c:v>131.983962264151</c:v>
                </c:pt>
                <c:pt idx="21">
                  <c:v>134.295660377359</c:v>
                </c:pt>
                <c:pt idx="22">
                  <c:v>136.607358490566</c:v>
                </c:pt>
                <c:pt idx="23">
                  <c:v>138.919056603774</c:v>
                </c:pt>
                <c:pt idx="24">
                  <c:v>141.230754716981</c:v>
                </c:pt>
                <c:pt idx="25">
                  <c:v>143.542452830189</c:v>
                </c:pt>
                <c:pt idx="26">
                  <c:v>145.854150943396</c:v>
                </c:pt>
                <c:pt idx="27">
                  <c:v>148.165849056604</c:v>
                </c:pt>
                <c:pt idx="28">
                  <c:v>150.477547169811</c:v>
                </c:pt>
                <c:pt idx="29">
                  <c:v>152.789245283019</c:v>
                </c:pt>
                <c:pt idx="30">
                  <c:v>155.100943396226</c:v>
                </c:pt>
                <c:pt idx="31">
                  <c:v>157.412641509434</c:v>
                </c:pt>
                <c:pt idx="32">
                  <c:v>159.724339622642</c:v>
                </c:pt>
                <c:pt idx="33">
                  <c:v>162.036037735849</c:v>
                </c:pt>
                <c:pt idx="34">
                  <c:v>164.347735849057</c:v>
                </c:pt>
                <c:pt idx="35">
                  <c:v>166.659433962264</c:v>
                </c:pt>
                <c:pt idx="36">
                  <c:v>168.971132075472</c:v>
                </c:pt>
                <c:pt idx="37">
                  <c:v>171.282830188679</c:v>
                </c:pt>
                <c:pt idx="38">
                  <c:v>173.594528301887</c:v>
                </c:pt>
                <c:pt idx="39">
                  <c:v>175.906226415094</c:v>
                </c:pt>
                <c:pt idx="40">
                  <c:v>178.217924528302</c:v>
                </c:pt>
                <c:pt idx="41">
                  <c:v>180.529622641509</c:v>
                </c:pt>
                <c:pt idx="42">
                  <c:v>182.841320754717</c:v>
                </c:pt>
                <c:pt idx="43">
                  <c:v>185.153018867925</c:v>
                </c:pt>
                <c:pt idx="44">
                  <c:v>187.464716981132</c:v>
                </c:pt>
                <c:pt idx="45">
                  <c:v>189.77641509434</c:v>
                </c:pt>
                <c:pt idx="46">
                  <c:v>192.088113207547</c:v>
                </c:pt>
                <c:pt idx="47">
                  <c:v>194.399811320755</c:v>
                </c:pt>
                <c:pt idx="48">
                  <c:v>196.711509433962</c:v>
                </c:pt>
                <c:pt idx="49">
                  <c:v>199.02320754717</c:v>
                </c:pt>
                <c:pt idx="50">
                  <c:v>201.334905660377</c:v>
                </c:pt>
                <c:pt idx="51">
                  <c:v>203.646603773585</c:v>
                </c:pt>
                <c:pt idx="52">
                  <c:v>205.958301886792</c:v>
                </c:pt>
                <c:pt idx="53">
                  <c:v>208.27</c:v>
                </c:pt>
                <c:pt idx="54">
                  <c:v>210.581698113208</c:v>
                </c:pt>
                <c:pt idx="55">
                  <c:v>212.893396226415</c:v>
                </c:pt>
                <c:pt idx="56">
                  <c:v>215.205094339623</c:v>
                </c:pt>
                <c:pt idx="57">
                  <c:v>217.51679245283</c:v>
                </c:pt>
                <c:pt idx="58">
                  <c:v>219.828490566038</c:v>
                </c:pt>
                <c:pt idx="59">
                  <c:v>222.140188679245</c:v>
                </c:pt>
                <c:pt idx="60">
                  <c:v>224.451886792453</c:v>
                </c:pt>
                <c:pt idx="61">
                  <c:v>226.76358490566</c:v>
                </c:pt>
                <c:pt idx="62">
                  <c:v>229.075283018868</c:v>
                </c:pt>
                <c:pt idx="63">
                  <c:v>231.386981132075</c:v>
                </c:pt>
                <c:pt idx="64">
                  <c:v>233.698679245283</c:v>
                </c:pt>
                <c:pt idx="65">
                  <c:v>236.010377358491</c:v>
                </c:pt>
                <c:pt idx="66">
                  <c:v>238.322075471698</c:v>
                </c:pt>
                <c:pt idx="67">
                  <c:v>240.633773584906</c:v>
                </c:pt>
                <c:pt idx="68">
                  <c:v>242.945471698113</c:v>
                </c:pt>
                <c:pt idx="69">
                  <c:v>245.257169811321</c:v>
                </c:pt>
                <c:pt idx="70">
                  <c:v>247.568867924528</c:v>
                </c:pt>
                <c:pt idx="71">
                  <c:v>249.880566037736</c:v>
                </c:pt>
                <c:pt idx="72">
                  <c:v>252.192264150943</c:v>
                </c:pt>
                <c:pt idx="73">
                  <c:v>254.503962264151</c:v>
                </c:pt>
                <c:pt idx="74">
                  <c:v>256.815660377359</c:v>
                </c:pt>
                <c:pt idx="75">
                  <c:v>259.127358490566</c:v>
                </c:pt>
                <c:pt idx="76">
                  <c:v>261.439056603774</c:v>
                </c:pt>
                <c:pt idx="77">
                  <c:v>263.750754716981</c:v>
                </c:pt>
                <c:pt idx="78">
                  <c:v>266.062452830189</c:v>
                </c:pt>
                <c:pt idx="79">
                  <c:v>268.374150943396</c:v>
                </c:pt>
                <c:pt idx="80">
                  <c:v>270.685849056604</c:v>
                </c:pt>
                <c:pt idx="81">
                  <c:v>272.997547169811</c:v>
                </c:pt>
                <c:pt idx="82">
                  <c:v>275.309245283019</c:v>
                </c:pt>
                <c:pt idx="83">
                  <c:v>277.620943396226</c:v>
                </c:pt>
                <c:pt idx="84">
                  <c:v>279.932641509434</c:v>
                </c:pt>
                <c:pt idx="85">
                  <c:v>282.244339622642</c:v>
                </c:pt>
                <c:pt idx="86">
                  <c:v>284.556037735849</c:v>
                </c:pt>
                <c:pt idx="87">
                  <c:v>286.867735849057</c:v>
                </c:pt>
                <c:pt idx="88">
                  <c:v>289.179433962264</c:v>
                </c:pt>
                <c:pt idx="89">
                  <c:v>291.491132075472</c:v>
                </c:pt>
                <c:pt idx="90">
                  <c:v>293.802830188679</c:v>
                </c:pt>
                <c:pt idx="91">
                  <c:v>296.114528301887</c:v>
                </c:pt>
                <c:pt idx="92">
                  <c:v>298.426226415094</c:v>
                </c:pt>
                <c:pt idx="93">
                  <c:v>300.737924528302</c:v>
                </c:pt>
                <c:pt idx="94">
                  <c:v>303.04962264151</c:v>
                </c:pt>
                <c:pt idx="95">
                  <c:v>305.361320754717</c:v>
                </c:pt>
                <c:pt idx="96">
                  <c:v>307.673018867925</c:v>
                </c:pt>
                <c:pt idx="97">
                  <c:v>309.984716981132</c:v>
                </c:pt>
                <c:pt idx="98">
                  <c:v>312.29641509434</c:v>
                </c:pt>
                <c:pt idx="99">
                  <c:v>314.608113207547</c:v>
                </c:pt>
                <c:pt idx="100">
                  <c:v>316.919811320755</c:v>
                </c:pt>
                <c:pt idx="101">
                  <c:v>319.231509433962</c:v>
                </c:pt>
                <c:pt idx="102">
                  <c:v>321.54320754717</c:v>
                </c:pt>
                <c:pt idx="103">
                  <c:v>323.854905660377</c:v>
                </c:pt>
                <c:pt idx="104">
                  <c:v>326.166603773585</c:v>
                </c:pt>
                <c:pt idx="105">
                  <c:v>328.478301886792</c:v>
                </c:pt>
                <c:pt idx="106">
                  <c:v>330.79</c:v>
                </c:pt>
                <c:pt idx="107">
                  <c:v>333.101698113208</c:v>
                </c:pt>
                <c:pt idx="108">
                  <c:v>335.413396226415</c:v>
                </c:pt>
                <c:pt idx="109">
                  <c:v>337.725094339623</c:v>
                </c:pt>
                <c:pt idx="110">
                  <c:v>340.03679245283</c:v>
                </c:pt>
                <c:pt idx="111">
                  <c:v>342.348490566038</c:v>
                </c:pt>
                <c:pt idx="112">
                  <c:v>344.660188679245</c:v>
                </c:pt>
                <c:pt idx="113">
                  <c:v>346.971886792453</c:v>
                </c:pt>
                <c:pt idx="114">
                  <c:v>349.28358490566</c:v>
                </c:pt>
                <c:pt idx="115">
                  <c:v>351.595283018868</c:v>
                </c:pt>
                <c:pt idx="116">
                  <c:v>353.906981132076</c:v>
                </c:pt>
                <c:pt idx="117">
                  <c:v>356.218679245283</c:v>
                </c:pt>
                <c:pt idx="118">
                  <c:v>358.530377358491</c:v>
                </c:pt>
                <c:pt idx="119">
                  <c:v>360.842075471698</c:v>
                </c:pt>
                <c:pt idx="120">
                  <c:v>363.153773584906</c:v>
                </c:pt>
                <c:pt idx="121">
                  <c:v>365.465471698113</c:v>
                </c:pt>
                <c:pt idx="122">
                  <c:v>367.777169811321</c:v>
                </c:pt>
                <c:pt idx="123">
                  <c:v>370.088867924528</c:v>
                </c:pt>
                <c:pt idx="124">
                  <c:v>372.400566037736</c:v>
                </c:pt>
                <c:pt idx="125">
                  <c:v>374.712264150943</c:v>
                </c:pt>
                <c:pt idx="126">
                  <c:v>377.023962264151</c:v>
                </c:pt>
                <c:pt idx="127">
                  <c:v>379.335660377359</c:v>
                </c:pt>
                <c:pt idx="128">
                  <c:v>381.647358490566</c:v>
                </c:pt>
                <c:pt idx="129">
                  <c:v>383.959056603774</c:v>
                </c:pt>
                <c:pt idx="130">
                  <c:v>386.270754716981</c:v>
                </c:pt>
                <c:pt idx="131">
                  <c:v>388.582452830189</c:v>
                </c:pt>
                <c:pt idx="132">
                  <c:v>390.894150943396</c:v>
                </c:pt>
                <c:pt idx="133">
                  <c:v>393.205849056604</c:v>
                </c:pt>
                <c:pt idx="134">
                  <c:v>395.517547169811</c:v>
                </c:pt>
                <c:pt idx="135">
                  <c:v>397.829245283019</c:v>
                </c:pt>
                <c:pt idx="136">
                  <c:v>400.140943396226</c:v>
                </c:pt>
                <c:pt idx="137">
                  <c:v>402.452641509434</c:v>
                </c:pt>
                <c:pt idx="138">
                  <c:v>404.764339622642</c:v>
                </c:pt>
                <c:pt idx="139">
                  <c:v>407.076037735849</c:v>
                </c:pt>
                <c:pt idx="140">
                  <c:v>409.387735849057</c:v>
                </c:pt>
                <c:pt idx="141">
                  <c:v>411.699433962264</c:v>
                </c:pt>
                <c:pt idx="142">
                  <c:v>414.011132075472</c:v>
                </c:pt>
                <c:pt idx="143">
                  <c:v>416.322830188679</c:v>
                </c:pt>
                <c:pt idx="144">
                  <c:v>418.634528301887</c:v>
                </c:pt>
                <c:pt idx="145">
                  <c:v>420.946226415094</c:v>
                </c:pt>
                <c:pt idx="146">
                  <c:v>423.257924528302</c:v>
                </c:pt>
                <c:pt idx="147">
                  <c:v>425.569622641509</c:v>
                </c:pt>
                <c:pt idx="148">
                  <c:v>427.881320754717</c:v>
                </c:pt>
                <c:pt idx="149">
                  <c:v>430.193018867925</c:v>
                </c:pt>
                <c:pt idx="150">
                  <c:v>432.504716981132</c:v>
                </c:pt>
                <c:pt idx="151">
                  <c:v>434.81641509434</c:v>
                </c:pt>
                <c:pt idx="152">
                  <c:v>437.128113207547</c:v>
                </c:pt>
                <c:pt idx="153">
                  <c:v>439.439811320755</c:v>
                </c:pt>
                <c:pt idx="154">
                  <c:v>441.751509433962</c:v>
                </c:pt>
                <c:pt idx="155">
                  <c:v>444.06320754717</c:v>
                </c:pt>
                <c:pt idx="156">
                  <c:v>446.374905660377</c:v>
                </c:pt>
                <c:pt idx="157">
                  <c:v>448.686603773585</c:v>
                </c:pt>
                <c:pt idx="158">
                  <c:v>450.998301886793</c:v>
                </c:pt>
                <c:pt idx="159">
                  <c:v>453.31</c:v>
                </c:pt>
                <c:pt idx="160">
                  <c:v>455.621698113208</c:v>
                </c:pt>
              </c:numCache>
            </c:numRef>
          </c:val>
          <c:smooth val="0"/>
        </c:ser>
        <c:hiLowLines>
          <c:spPr>
            <a:ln w="0">
              <a:noFill/>
            </a:ln>
          </c:spPr>
        </c:hiLowLines>
        <c:marker val="0"/>
        <c:axId val="570747"/>
        <c:axId val="44094381"/>
      </c:lineChart>
      <c:dateAx>
        <c:axId val="901109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92932"/>
        <c:auto val="1"/>
        <c:lblOffset val="100"/>
        <c:baseTimeUnit val="days"/>
      </c:dateAx>
      <c:valAx>
        <c:axId val="80929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110918"/>
        <c:crosses val="autoZero"/>
        <c:crossBetween val="between"/>
      </c:valAx>
      <c:dateAx>
        <c:axId val="5707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94381"/>
        <c:auto val="1"/>
        <c:lblOffset val="100"/>
        <c:baseTimeUnit val="days"/>
      </c:dateAx>
      <c:valAx>
        <c:axId val="4409438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7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pt idx="159">
                  <c:v>-0.0372749623284956</c:v>
                </c:pt>
              </c:numCache>
            </c:numRef>
          </c:val>
        </c:ser>
        <c:gapWidth val="150"/>
        <c:overlap val="0"/>
        <c:axId val="71791437"/>
        <c:axId val="8847165"/>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(Calc)'!$AH$3:$AH$500</c:f>
              <c:numCache>
                <c:formatCode>#,##0.00</c:formatCode>
                <c:ptCount val="498"/>
                <c:pt idx="0">
                  <c:v>38.02</c:v>
                </c:pt>
                <c:pt idx="1">
                  <c:v>39.3077987421384</c:v>
                </c:pt>
                <c:pt idx="2">
                  <c:v>40.5955974842767</c:v>
                </c:pt>
                <c:pt idx="3">
                  <c:v>41.8833962264151</c:v>
                </c:pt>
                <c:pt idx="4">
                  <c:v>43.1711949685535</c:v>
                </c:pt>
                <c:pt idx="5">
                  <c:v>44.4589937106918</c:v>
                </c:pt>
                <c:pt idx="6">
                  <c:v>45.7467924528302</c:v>
                </c:pt>
                <c:pt idx="7">
                  <c:v>47.0345911949686</c:v>
                </c:pt>
                <c:pt idx="8">
                  <c:v>48.3223899371069</c:v>
                </c:pt>
                <c:pt idx="9">
                  <c:v>49.6101886792453</c:v>
                </c:pt>
                <c:pt idx="10">
                  <c:v>50.8979874213837</c:v>
                </c:pt>
                <c:pt idx="11">
                  <c:v>52.185786163522</c:v>
                </c:pt>
                <c:pt idx="12">
                  <c:v>53.4735849056604</c:v>
                </c:pt>
                <c:pt idx="13">
                  <c:v>54.7613836477987</c:v>
                </c:pt>
                <c:pt idx="14">
                  <c:v>56.0491823899371</c:v>
                </c:pt>
                <c:pt idx="15">
                  <c:v>57.3369811320755</c:v>
                </c:pt>
                <c:pt idx="16">
                  <c:v>58.6247798742138</c:v>
                </c:pt>
                <c:pt idx="17">
                  <c:v>59.9125786163522</c:v>
                </c:pt>
                <c:pt idx="18">
                  <c:v>61.2003773584906</c:v>
                </c:pt>
                <c:pt idx="19">
                  <c:v>62.4881761006289</c:v>
                </c:pt>
                <c:pt idx="20">
                  <c:v>63.7759748427673</c:v>
                </c:pt>
                <c:pt idx="21">
                  <c:v>65.0637735849057</c:v>
                </c:pt>
                <c:pt idx="22">
                  <c:v>66.351572327044</c:v>
                </c:pt>
                <c:pt idx="23">
                  <c:v>67.6393710691824</c:v>
                </c:pt>
                <c:pt idx="24">
                  <c:v>68.9271698113208</c:v>
                </c:pt>
                <c:pt idx="25">
                  <c:v>70.2149685534591</c:v>
                </c:pt>
                <c:pt idx="26">
                  <c:v>71.5027672955975</c:v>
                </c:pt>
                <c:pt idx="27">
                  <c:v>72.7905660377359</c:v>
                </c:pt>
                <c:pt idx="28">
                  <c:v>74.0783647798742</c:v>
                </c:pt>
                <c:pt idx="29">
                  <c:v>75.3661635220126</c:v>
                </c:pt>
                <c:pt idx="30">
                  <c:v>76.653962264151</c:v>
                </c:pt>
                <c:pt idx="31">
                  <c:v>77.9417610062893</c:v>
                </c:pt>
                <c:pt idx="32">
                  <c:v>79.2295597484277</c:v>
                </c:pt>
                <c:pt idx="33">
                  <c:v>80.517358490566</c:v>
                </c:pt>
                <c:pt idx="34">
                  <c:v>81.8051572327044</c:v>
                </c:pt>
                <c:pt idx="35">
                  <c:v>83.0929559748428</c:v>
                </c:pt>
                <c:pt idx="36">
                  <c:v>84.3807547169811</c:v>
                </c:pt>
                <c:pt idx="37">
                  <c:v>85.6685534591195</c:v>
                </c:pt>
                <c:pt idx="38">
                  <c:v>86.9563522012579</c:v>
                </c:pt>
                <c:pt idx="39">
                  <c:v>88.2441509433962</c:v>
                </c:pt>
                <c:pt idx="40">
                  <c:v>89.5319496855346</c:v>
                </c:pt>
                <c:pt idx="41">
                  <c:v>90.819748427673</c:v>
                </c:pt>
                <c:pt idx="42">
                  <c:v>92.1075471698113</c:v>
                </c:pt>
                <c:pt idx="43">
                  <c:v>93.3953459119497</c:v>
                </c:pt>
                <c:pt idx="44">
                  <c:v>94.683144654088</c:v>
                </c:pt>
                <c:pt idx="45">
                  <c:v>95.9709433962264</c:v>
                </c:pt>
                <c:pt idx="46">
                  <c:v>97.2587421383648</c:v>
                </c:pt>
                <c:pt idx="47">
                  <c:v>98.5465408805031</c:v>
                </c:pt>
                <c:pt idx="48">
                  <c:v>99.8343396226415</c:v>
                </c:pt>
                <c:pt idx="49">
                  <c:v>101.12213836478</c:v>
                </c:pt>
                <c:pt idx="50">
                  <c:v>102.409937106918</c:v>
                </c:pt>
                <c:pt idx="51">
                  <c:v>103.697735849057</c:v>
                </c:pt>
                <c:pt idx="52">
                  <c:v>104.985534591195</c:v>
                </c:pt>
                <c:pt idx="53">
                  <c:v>106.273333333333</c:v>
                </c:pt>
                <c:pt idx="54">
                  <c:v>107.561132075472</c:v>
                </c:pt>
                <c:pt idx="55">
                  <c:v>108.84893081761</c:v>
                </c:pt>
                <c:pt idx="56">
                  <c:v>110.136729559748</c:v>
                </c:pt>
                <c:pt idx="57">
                  <c:v>111.424528301887</c:v>
                </c:pt>
                <c:pt idx="58">
                  <c:v>112.712327044025</c:v>
                </c:pt>
                <c:pt idx="59">
                  <c:v>114.000125786164</c:v>
                </c:pt>
                <c:pt idx="60">
                  <c:v>115.287924528302</c:v>
                </c:pt>
                <c:pt idx="61">
                  <c:v>116.57572327044</c:v>
                </c:pt>
                <c:pt idx="62">
                  <c:v>117.863522012579</c:v>
                </c:pt>
                <c:pt idx="63">
                  <c:v>119.151320754717</c:v>
                </c:pt>
                <c:pt idx="64">
                  <c:v>120.439119496855</c:v>
                </c:pt>
                <c:pt idx="65">
                  <c:v>121.726918238994</c:v>
                </c:pt>
                <c:pt idx="66">
                  <c:v>123.014716981132</c:v>
                </c:pt>
                <c:pt idx="67">
                  <c:v>124.30251572327</c:v>
                </c:pt>
                <c:pt idx="68">
                  <c:v>125.590314465409</c:v>
                </c:pt>
                <c:pt idx="69">
                  <c:v>126.878113207547</c:v>
                </c:pt>
                <c:pt idx="70">
                  <c:v>128.165911949686</c:v>
                </c:pt>
                <c:pt idx="71">
                  <c:v>129.453710691824</c:v>
                </c:pt>
                <c:pt idx="72">
                  <c:v>130.741509433962</c:v>
                </c:pt>
                <c:pt idx="73">
                  <c:v>132.029308176101</c:v>
                </c:pt>
                <c:pt idx="74">
                  <c:v>133.317106918239</c:v>
                </c:pt>
                <c:pt idx="75">
                  <c:v>134.604905660377</c:v>
                </c:pt>
                <c:pt idx="76">
                  <c:v>135.892704402516</c:v>
                </c:pt>
                <c:pt idx="77">
                  <c:v>137.180503144654</c:v>
                </c:pt>
                <c:pt idx="78">
                  <c:v>138.468301886792</c:v>
                </c:pt>
                <c:pt idx="79">
                  <c:v>139.756100628931</c:v>
                </c:pt>
                <c:pt idx="80">
                  <c:v>141.043899371069</c:v>
                </c:pt>
                <c:pt idx="81">
                  <c:v>142.331698113208</c:v>
                </c:pt>
                <c:pt idx="82">
                  <c:v>143.619496855346</c:v>
                </c:pt>
                <c:pt idx="83">
                  <c:v>144.907295597484</c:v>
                </c:pt>
                <c:pt idx="84">
                  <c:v>146.195094339623</c:v>
                </c:pt>
                <c:pt idx="85">
                  <c:v>147.482893081761</c:v>
                </c:pt>
                <c:pt idx="86">
                  <c:v>148.770691823899</c:v>
                </c:pt>
                <c:pt idx="87">
                  <c:v>150.058490566038</c:v>
                </c:pt>
                <c:pt idx="88">
                  <c:v>151.346289308176</c:v>
                </c:pt>
                <c:pt idx="89">
                  <c:v>152.634088050314</c:v>
                </c:pt>
                <c:pt idx="90">
                  <c:v>153.921886792453</c:v>
                </c:pt>
                <c:pt idx="91">
                  <c:v>155.209685534591</c:v>
                </c:pt>
                <c:pt idx="92">
                  <c:v>156.49748427673</c:v>
                </c:pt>
                <c:pt idx="93">
                  <c:v>157.785283018868</c:v>
                </c:pt>
                <c:pt idx="94">
                  <c:v>159.073081761006</c:v>
                </c:pt>
                <c:pt idx="95">
                  <c:v>160.360880503145</c:v>
                </c:pt>
                <c:pt idx="96">
                  <c:v>161.648679245283</c:v>
                </c:pt>
                <c:pt idx="97">
                  <c:v>162.936477987421</c:v>
                </c:pt>
                <c:pt idx="98">
                  <c:v>164.22427672956</c:v>
                </c:pt>
                <c:pt idx="99">
                  <c:v>165.512075471698</c:v>
                </c:pt>
                <c:pt idx="100">
                  <c:v>166.799874213837</c:v>
                </c:pt>
                <c:pt idx="101">
                  <c:v>168.087672955975</c:v>
                </c:pt>
                <c:pt idx="102">
                  <c:v>169.375471698113</c:v>
                </c:pt>
                <c:pt idx="103">
                  <c:v>170.663270440252</c:v>
                </c:pt>
                <c:pt idx="104">
                  <c:v>171.95106918239</c:v>
                </c:pt>
                <c:pt idx="105">
                  <c:v>173.238867924528</c:v>
                </c:pt>
                <c:pt idx="106">
                  <c:v>174.526666666667</c:v>
                </c:pt>
                <c:pt idx="107">
                  <c:v>175.814465408805</c:v>
                </c:pt>
                <c:pt idx="108">
                  <c:v>177.102264150943</c:v>
                </c:pt>
                <c:pt idx="109">
                  <c:v>178.390062893082</c:v>
                </c:pt>
                <c:pt idx="110">
                  <c:v>179.67786163522</c:v>
                </c:pt>
                <c:pt idx="111">
                  <c:v>180.965660377359</c:v>
                </c:pt>
                <c:pt idx="112">
                  <c:v>182.253459119497</c:v>
                </c:pt>
                <c:pt idx="113">
                  <c:v>183.541257861635</c:v>
                </c:pt>
                <c:pt idx="114">
                  <c:v>184.829056603774</c:v>
                </c:pt>
                <c:pt idx="115">
                  <c:v>186.116855345912</c:v>
                </c:pt>
                <c:pt idx="116">
                  <c:v>187.40465408805</c:v>
                </c:pt>
                <c:pt idx="117">
                  <c:v>188.692452830189</c:v>
                </c:pt>
                <c:pt idx="118">
                  <c:v>189.980251572327</c:v>
                </c:pt>
                <c:pt idx="119">
                  <c:v>191.268050314465</c:v>
                </c:pt>
                <c:pt idx="120">
                  <c:v>192.555849056604</c:v>
                </c:pt>
                <c:pt idx="121">
                  <c:v>193.843647798742</c:v>
                </c:pt>
                <c:pt idx="122">
                  <c:v>195.131446540881</c:v>
                </c:pt>
                <c:pt idx="123">
                  <c:v>196.419245283019</c:v>
                </c:pt>
                <c:pt idx="124">
                  <c:v>197.707044025157</c:v>
                </c:pt>
                <c:pt idx="125">
                  <c:v>198.994842767296</c:v>
                </c:pt>
                <c:pt idx="126">
                  <c:v>200.282641509434</c:v>
                </c:pt>
                <c:pt idx="127">
                  <c:v>201.570440251572</c:v>
                </c:pt>
                <c:pt idx="128">
                  <c:v>202.858238993711</c:v>
                </c:pt>
                <c:pt idx="129">
                  <c:v>204.146037735849</c:v>
                </c:pt>
                <c:pt idx="130">
                  <c:v>205.433836477987</c:v>
                </c:pt>
                <c:pt idx="131">
                  <c:v>206.721635220126</c:v>
                </c:pt>
                <c:pt idx="132">
                  <c:v>208.009433962264</c:v>
                </c:pt>
                <c:pt idx="133">
                  <c:v>209.297232704403</c:v>
                </c:pt>
                <c:pt idx="134">
                  <c:v>210.585031446541</c:v>
                </c:pt>
                <c:pt idx="135">
                  <c:v>211.872830188679</c:v>
                </c:pt>
                <c:pt idx="136">
                  <c:v>213.160628930818</c:v>
                </c:pt>
                <c:pt idx="137">
                  <c:v>214.448427672956</c:v>
                </c:pt>
                <c:pt idx="138">
                  <c:v>215.736226415094</c:v>
                </c:pt>
                <c:pt idx="139">
                  <c:v>217.024025157233</c:v>
                </c:pt>
                <c:pt idx="140">
                  <c:v>218.311823899371</c:v>
                </c:pt>
                <c:pt idx="141">
                  <c:v>219.599622641509</c:v>
                </c:pt>
                <c:pt idx="142">
                  <c:v>220.887421383648</c:v>
                </c:pt>
                <c:pt idx="143">
                  <c:v>222.175220125786</c:v>
                </c:pt>
                <c:pt idx="144">
                  <c:v>223.463018867925</c:v>
                </c:pt>
                <c:pt idx="145">
                  <c:v>224.750817610063</c:v>
                </c:pt>
                <c:pt idx="146">
                  <c:v>226.038616352201</c:v>
                </c:pt>
                <c:pt idx="147">
                  <c:v>227.32641509434</c:v>
                </c:pt>
                <c:pt idx="148">
                  <c:v>228.614213836478</c:v>
                </c:pt>
                <c:pt idx="149">
                  <c:v>229.902012578616</c:v>
                </c:pt>
                <c:pt idx="150">
                  <c:v>231.189811320755</c:v>
                </c:pt>
                <c:pt idx="151">
                  <c:v>232.477610062893</c:v>
                </c:pt>
                <c:pt idx="152">
                  <c:v>233.765408805031</c:v>
                </c:pt>
                <c:pt idx="153">
                  <c:v>235.05320754717</c:v>
                </c:pt>
                <c:pt idx="154">
                  <c:v>236.341006289308</c:v>
                </c:pt>
                <c:pt idx="155">
                  <c:v>237.628805031447</c:v>
                </c:pt>
                <c:pt idx="156">
                  <c:v>238.916603773585</c:v>
                </c:pt>
                <c:pt idx="157">
                  <c:v>240.204402515723</c:v>
                </c:pt>
                <c:pt idx="158">
                  <c:v>241.492201257862</c:v>
                </c:pt>
                <c:pt idx="159">
                  <c:v>242.78</c:v>
                </c:pt>
                <c:pt idx="160">
                  <c:v>244.067798742138</c:v>
                </c:pt>
              </c:numCache>
            </c:numRef>
          </c:val>
          <c:smooth val="0"/>
        </c:ser>
        <c:hiLowLines>
          <c:spPr>
            <a:ln w="0">
              <a:noFill/>
            </a:ln>
          </c:spPr>
        </c:hiLowLines>
        <c:marker val="0"/>
        <c:axId val="18151517"/>
        <c:axId val="41937288"/>
      </c:lineChart>
      <c:dateAx>
        <c:axId val="717914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47165"/>
        <c:auto val="1"/>
        <c:lblOffset val="100"/>
        <c:baseTimeUnit val="days"/>
      </c:dateAx>
      <c:valAx>
        <c:axId val="88471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91437"/>
        <c:crosses val="autoZero"/>
        <c:crossBetween val="between"/>
      </c:valAx>
      <c:dateAx>
        <c:axId val="181515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37288"/>
        <c:auto val="1"/>
        <c:lblOffset val="100"/>
        <c:baseTimeUnit val="days"/>
      </c:dateAx>
      <c:valAx>
        <c:axId val="419372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1515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pt idx="159">
                  <c:v>0.0105997265864917</c:v>
                </c:pt>
              </c:numCache>
            </c:numRef>
          </c:val>
        </c:ser>
        <c:gapWidth val="150"/>
        <c:overlap val="0"/>
        <c:axId val="33020548"/>
        <c:axId val="99004954"/>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(Calc)'!$AI$3:$AI$500</c:f>
              <c:numCache>
                <c:formatCode>#,##0.00</c:formatCode>
                <c:ptCount val="498"/>
                <c:pt idx="0">
                  <c:v>348.9</c:v>
                </c:pt>
                <c:pt idx="1">
                  <c:v>349.913710691824</c:v>
                </c:pt>
                <c:pt idx="2">
                  <c:v>350.927421383648</c:v>
                </c:pt>
                <c:pt idx="3">
                  <c:v>351.941132075472</c:v>
                </c:pt>
                <c:pt idx="4">
                  <c:v>352.954842767296</c:v>
                </c:pt>
                <c:pt idx="5">
                  <c:v>353.968553459119</c:v>
                </c:pt>
                <c:pt idx="6">
                  <c:v>354.982264150943</c:v>
                </c:pt>
                <c:pt idx="7">
                  <c:v>355.995974842767</c:v>
                </c:pt>
                <c:pt idx="8">
                  <c:v>357.009685534591</c:v>
                </c:pt>
                <c:pt idx="9">
                  <c:v>358.023396226415</c:v>
                </c:pt>
                <c:pt idx="10">
                  <c:v>359.037106918239</c:v>
                </c:pt>
                <c:pt idx="11">
                  <c:v>360.050817610063</c:v>
                </c:pt>
                <c:pt idx="12">
                  <c:v>361.064528301887</c:v>
                </c:pt>
                <c:pt idx="13">
                  <c:v>362.078238993711</c:v>
                </c:pt>
                <c:pt idx="14">
                  <c:v>363.091949685535</c:v>
                </c:pt>
                <c:pt idx="15">
                  <c:v>364.105660377358</c:v>
                </c:pt>
                <c:pt idx="16">
                  <c:v>365.119371069182</c:v>
                </c:pt>
                <c:pt idx="17">
                  <c:v>366.133081761006</c:v>
                </c:pt>
                <c:pt idx="18">
                  <c:v>367.14679245283</c:v>
                </c:pt>
                <c:pt idx="19">
                  <c:v>368.160503144654</c:v>
                </c:pt>
                <c:pt idx="20">
                  <c:v>369.174213836478</c:v>
                </c:pt>
                <c:pt idx="21">
                  <c:v>370.187924528302</c:v>
                </c:pt>
                <c:pt idx="22">
                  <c:v>371.201635220126</c:v>
                </c:pt>
                <c:pt idx="23">
                  <c:v>372.21534591195</c:v>
                </c:pt>
                <c:pt idx="24">
                  <c:v>373.229056603774</c:v>
                </c:pt>
                <c:pt idx="25">
                  <c:v>374.242767295597</c:v>
                </c:pt>
                <c:pt idx="26">
                  <c:v>375.256477987421</c:v>
                </c:pt>
                <c:pt idx="27">
                  <c:v>376.270188679245</c:v>
                </c:pt>
                <c:pt idx="28">
                  <c:v>377.283899371069</c:v>
                </c:pt>
                <c:pt idx="29">
                  <c:v>378.297610062893</c:v>
                </c:pt>
                <c:pt idx="30">
                  <c:v>379.311320754717</c:v>
                </c:pt>
                <c:pt idx="31">
                  <c:v>380.325031446541</c:v>
                </c:pt>
                <c:pt idx="32">
                  <c:v>381.338742138365</c:v>
                </c:pt>
                <c:pt idx="33">
                  <c:v>382.352452830189</c:v>
                </c:pt>
                <c:pt idx="34">
                  <c:v>383.366163522013</c:v>
                </c:pt>
                <c:pt idx="35">
                  <c:v>384.379874213836</c:v>
                </c:pt>
                <c:pt idx="36">
                  <c:v>385.39358490566</c:v>
                </c:pt>
                <c:pt idx="37">
                  <c:v>386.407295597484</c:v>
                </c:pt>
                <c:pt idx="38">
                  <c:v>387.421006289308</c:v>
                </c:pt>
                <c:pt idx="39">
                  <c:v>388.434716981132</c:v>
                </c:pt>
                <c:pt idx="40">
                  <c:v>389.448427672956</c:v>
                </c:pt>
                <c:pt idx="41">
                  <c:v>390.46213836478</c:v>
                </c:pt>
                <c:pt idx="42">
                  <c:v>391.475849056604</c:v>
                </c:pt>
                <c:pt idx="43">
                  <c:v>392.489559748428</c:v>
                </c:pt>
                <c:pt idx="44">
                  <c:v>393.503270440252</c:v>
                </c:pt>
                <c:pt idx="45">
                  <c:v>394.516981132075</c:v>
                </c:pt>
                <c:pt idx="46">
                  <c:v>395.530691823899</c:v>
                </c:pt>
                <c:pt idx="47">
                  <c:v>396.544402515723</c:v>
                </c:pt>
                <c:pt idx="48">
                  <c:v>397.558113207547</c:v>
                </c:pt>
                <c:pt idx="49">
                  <c:v>398.571823899371</c:v>
                </c:pt>
                <c:pt idx="50">
                  <c:v>399.585534591195</c:v>
                </c:pt>
                <c:pt idx="51">
                  <c:v>400.599245283019</c:v>
                </c:pt>
                <c:pt idx="52">
                  <c:v>401.612955974843</c:v>
                </c:pt>
                <c:pt idx="53">
                  <c:v>402.626666666667</c:v>
                </c:pt>
                <c:pt idx="54">
                  <c:v>403.640377358491</c:v>
                </c:pt>
                <c:pt idx="55">
                  <c:v>404.654088050314</c:v>
                </c:pt>
                <c:pt idx="56">
                  <c:v>405.667798742138</c:v>
                </c:pt>
                <c:pt idx="57">
                  <c:v>406.681509433962</c:v>
                </c:pt>
                <c:pt idx="58">
                  <c:v>407.695220125786</c:v>
                </c:pt>
                <c:pt idx="59">
                  <c:v>408.70893081761</c:v>
                </c:pt>
                <c:pt idx="60">
                  <c:v>409.722641509434</c:v>
                </c:pt>
                <c:pt idx="61">
                  <c:v>410.736352201258</c:v>
                </c:pt>
                <c:pt idx="62">
                  <c:v>411.750062893082</c:v>
                </c:pt>
                <c:pt idx="63">
                  <c:v>412.763773584906</c:v>
                </c:pt>
                <c:pt idx="64">
                  <c:v>413.77748427673</c:v>
                </c:pt>
                <c:pt idx="65">
                  <c:v>414.791194968553</c:v>
                </c:pt>
                <c:pt idx="66">
                  <c:v>415.804905660377</c:v>
                </c:pt>
                <c:pt idx="67">
                  <c:v>416.818616352201</c:v>
                </c:pt>
                <c:pt idx="68">
                  <c:v>417.832327044025</c:v>
                </c:pt>
                <c:pt idx="69">
                  <c:v>418.846037735849</c:v>
                </c:pt>
                <c:pt idx="70">
                  <c:v>419.859748427673</c:v>
                </c:pt>
                <c:pt idx="71">
                  <c:v>420.873459119497</c:v>
                </c:pt>
                <c:pt idx="72">
                  <c:v>421.887169811321</c:v>
                </c:pt>
                <c:pt idx="73">
                  <c:v>422.900880503145</c:v>
                </c:pt>
                <c:pt idx="74">
                  <c:v>423.914591194969</c:v>
                </c:pt>
                <c:pt idx="75">
                  <c:v>424.928301886792</c:v>
                </c:pt>
                <c:pt idx="76">
                  <c:v>425.942012578616</c:v>
                </c:pt>
                <c:pt idx="77">
                  <c:v>426.95572327044</c:v>
                </c:pt>
                <c:pt idx="78">
                  <c:v>427.969433962264</c:v>
                </c:pt>
                <c:pt idx="79">
                  <c:v>428.983144654088</c:v>
                </c:pt>
                <c:pt idx="80">
                  <c:v>429.996855345912</c:v>
                </c:pt>
                <c:pt idx="81">
                  <c:v>431.010566037736</c:v>
                </c:pt>
                <c:pt idx="82">
                  <c:v>432.02427672956</c:v>
                </c:pt>
                <c:pt idx="83">
                  <c:v>433.037987421384</c:v>
                </c:pt>
                <c:pt idx="84">
                  <c:v>434.051698113208</c:v>
                </c:pt>
                <c:pt idx="85">
                  <c:v>435.065408805031</c:v>
                </c:pt>
                <c:pt idx="86">
                  <c:v>436.079119496855</c:v>
                </c:pt>
                <c:pt idx="87">
                  <c:v>437.092830188679</c:v>
                </c:pt>
                <c:pt idx="88">
                  <c:v>438.106540880503</c:v>
                </c:pt>
                <c:pt idx="89">
                  <c:v>439.120251572327</c:v>
                </c:pt>
                <c:pt idx="90">
                  <c:v>440.133962264151</c:v>
                </c:pt>
                <c:pt idx="91">
                  <c:v>441.147672955975</c:v>
                </c:pt>
                <c:pt idx="92">
                  <c:v>442.161383647799</c:v>
                </c:pt>
                <c:pt idx="93">
                  <c:v>443.175094339623</c:v>
                </c:pt>
                <c:pt idx="94">
                  <c:v>444.188805031447</c:v>
                </c:pt>
                <c:pt idx="95">
                  <c:v>445.20251572327</c:v>
                </c:pt>
                <c:pt idx="96">
                  <c:v>446.216226415094</c:v>
                </c:pt>
                <c:pt idx="97">
                  <c:v>447.229937106918</c:v>
                </c:pt>
                <c:pt idx="98">
                  <c:v>448.243647798742</c:v>
                </c:pt>
                <c:pt idx="99">
                  <c:v>449.257358490566</c:v>
                </c:pt>
                <c:pt idx="100">
                  <c:v>450.27106918239</c:v>
                </c:pt>
                <c:pt idx="101">
                  <c:v>451.284779874214</c:v>
                </c:pt>
                <c:pt idx="102">
                  <c:v>452.298490566038</c:v>
                </c:pt>
                <c:pt idx="103">
                  <c:v>453.312201257862</c:v>
                </c:pt>
                <c:pt idx="104">
                  <c:v>454.325911949686</c:v>
                </c:pt>
                <c:pt idx="105">
                  <c:v>455.339622641509</c:v>
                </c:pt>
                <c:pt idx="106">
                  <c:v>456.353333333333</c:v>
                </c:pt>
                <c:pt idx="107">
                  <c:v>457.367044025157</c:v>
                </c:pt>
                <c:pt idx="108">
                  <c:v>458.380754716981</c:v>
                </c:pt>
                <c:pt idx="109">
                  <c:v>459.394465408805</c:v>
                </c:pt>
                <c:pt idx="110">
                  <c:v>460.408176100629</c:v>
                </c:pt>
                <c:pt idx="111">
                  <c:v>461.421886792453</c:v>
                </c:pt>
                <c:pt idx="112">
                  <c:v>462.435597484277</c:v>
                </c:pt>
                <c:pt idx="113">
                  <c:v>463.449308176101</c:v>
                </c:pt>
                <c:pt idx="114">
                  <c:v>464.463018867925</c:v>
                </c:pt>
                <c:pt idx="115">
                  <c:v>465.476729559748</c:v>
                </c:pt>
                <c:pt idx="116">
                  <c:v>466.490440251572</c:v>
                </c:pt>
                <c:pt idx="117">
                  <c:v>467.504150943396</c:v>
                </c:pt>
                <c:pt idx="118">
                  <c:v>468.51786163522</c:v>
                </c:pt>
                <c:pt idx="119">
                  <c:v>469.531572327044</c:v>
                </c:pt>
                <c:pt idx="120">
                  <c:v>470.545283018868</c:v>
                </c:pt>
                <c:pt idx="121">
                  <c:v>471.558993710692</c:v>
                </c:pt>
                <c:pt idx="122">
                  <c:v>472.572704402516</c:v>
                </c:pt>
                <c:pt idx="123">
                  <c:v>473.58641509434</c:v>
                </c:pt>
                <c:pt idx="124">
                  <c:v>474.600125786164</c:v>
                </c:pt>
                <c:pt idx="125">
                  <c:v>475.613836477987</c:v>
                </c:pt>
                <c:pt idx="126">
                  <c:v>476.627547169811</c:v>
                </c:pt>
                <c:pt idx="127">
                  <c:v>477.641257861635</c:v>
                </c:pt>
                <c:pt idx="128">
                  <c:v>478.654968553459</c:v>
                </c:pt>
                <c:pt idx="129">
                  <c:v>479.668679245283</c:v>
                </c:pt>
                <c:pt idx="130">
                  <c:v>480.682389937107</c:v>
                </c:pt>
                <c:pt idx="131">
                  <c:v>481.696100628931</c:v>
                </c:pt>
                <c:pt idx="132">
                  <c:v>482.709811320755</c:v>
                </c:pt>
                <c:pt idx="133">
                  <c:v>483.723522012579</c:v>
                </c:pt>
                <c:pt idx="134">
                  <c:v>484.737232704403</c:v>
                </c:pt>
                <c:pt idx="135">
                  <c:v>485.750943396226</c:v>
                </c:pt>
                <c:pt idx="136">
                  <c:v>486.76465408805</c:v>
                </c:pt>
                <c:pt idx="137">
                  <c:v>487.778364779874</c:v>
                </c:pt>
                <c:pt idx="138">
                  <c:v>488.792075471698</c:v>
                </c:pt>
                <c:pt idx="139">
                  <c:v>489.805786163522</c:v>
                </c:pt>
                <c:pt idx="140">
                  <c:v>490.819496855346</c:v>
                </c:pt>
                <c:pt idx="141">
                  <c:v>491.83320754717</c:v>
                </c:pt>
                <c:pt idx="142">
                  <c:v>492.846918238994</c:v>
                </c:pt>
                <c:pt idx="143">
                  <c:v>493.860628930818</c:v>
                </c:pt>
                <c:pt idx="144">
                  <c:v>494.874339622642</c:v>
                </c:pt>
                <c:pt idx="145">
                  <c:v>495.888050314465</c:v>
                </c:pt>
                <c:pt idx="146">
                  <c:v>496.901761006289</c:v>
                </c:pt>
                <c:pt idx="147">
                  <c:v>497.915471698113</c:v>
                </c:pt>
                <c:pt idx="148">
                  <c:v>498.929182389937</c:v>
                </c:pt>
                <c:pt idx="149">
                  <c:v>499.942893081761</c:v>
                </c:pt>
                <c:pt idx="150">
                  <c:v>500.956603773585</c:v>
                </c:pt>
                <c:pt idx="151">
                  <c:v>501.970314465409</c:v>
                </c:pt>
                <c:pt idx="152">
                  <c:v>502.984025157233</c:v>
                </c:pt>
                <c:pt idx="153">
                  <c:v>503.997735849057</c:v>
                </c:pt>
                <c:pt idx="154">
                  <c:v>505.01144654088</c:v>
                </c:pt>
                <c:pt idx="155">
                  <c:v>506.025157232704</c:v>
                </c:pt>
                <c:pt idx="156">
                  <c:v>507.038867924528</c:v>
                </c:pt>
                <c:pt idx="157">
                  <c:v>508.052578616352</c:v>
                </c:pt>
                <c:pt idx="158">
                  <c:v>509.066289308176</c:v>
                </c:pt>
                <c:pt idx="159">
                  <c:v>510.08</c:v>
                </c:pt>
                <c:pt idx="160">
                  <c:v>511.093710691824</c:v>
                </c:pt>
              </c:numCache>
            </c:numRef>
          </c:val>
          <c:smooth val="0"/>
        </c:ser>
        <c:hiLowLines>
          <c:spPr>
            <a:ln w="0">
              <a:noFill/>
            </a:ln>
          </c:spPr>
        </c:hiLowLines>
        <c:marker val="0"/>
        <c:axId val="59101651"/>
        <c:axId val="34259606"/>
      </c:lineChart>
      <c:dateAx>
        <c:axId val="330205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004954"/>
        <c:auto val="1"/>
        <c:lblOffset val="100"/>
        <c:baseTimeUnit val="days"/>
      </c:dateAx>
      <c:valAx>
        <c:axId val="990049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020548"/>
        <c:crosses val="autoZero"/>
        <c:crossBetween val="between"/>
      </c:valAx>
      <c:dateAx>
        <c:axId val="591016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259606"/>
        <c:auto val="1"/>
        <c:lblOffset val="100"/>
        <c:baseTimeUnit val="days"/>
      </c:dateAx>
      <c:valAx>
        <c:axId val="342596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1016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pt idx="159">
                  <c:v>-0.00324918770307425</c:v>
                </c:pt>
              </c:numCache>
            </c:numRef>
          </c:val>
        </c:ser>
        <c:gapWidth val="150"/>
        <c:overlap val="0"/>
        <c:axId val="18388044"/>
        <c:axId val="26755393"/>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(Calc)'!$AJ$3:$AJ$500</c:f>
              <c:numCache>
                <c:formatCode>#,##0.00</c:formatCode>
                <c:ptCount val="498"/>
                <c:pt idx="0">
                  <c:v>75.31</c:v>
                </c:pt>
                <c:pt idx="1">
                  <c:v>75.5888050314465</c:v>
                </c:pt>
                <c:pt idx="2">
                  <c:v>75.8676100628931</c:v>
                </c:pt>
                <c:pt idx="3">
                  <c:v>76.1464150943396</c:v>
                </c:pt>
                <c:pt idx="4">
                  <c:v>76.4252201257862</c:v>
                </c:pt>
                <c:pt idx="5">
                  <c:v>76.7040251572327</c:v>
                </c:pt>
                <c:pt idx="6">
                  <c:v>76.9828301886792</c:v>
                </c:pt>
                <c:pt idx="7">
                  <c:v>77.2616352201258</c:v>
                </c:pt>
                <c:pt idx="8">
                  <c:v>77.5404402515723</c:v>
                </c:pt>
                <c:pt idx="9">
                  <c:v>77.8192452830189</c:v>
                </c:pt>
                <c:pt idx="10">
                  <c:v>78.0980503144654</c:v>
                </c:pt>
                <c:pt idx="11">
                  <c:v>78.376855345912</c:v>
                </c:pt>
                <c:pt idx="12">
                  <c:v>78.6556603773585</c:v>
                </c:pt>
                <c:pt idx="13">
                  <c:v>78.934465408805</c:v>
                </c:pt>
                <c:pt idx="14">
                  <c:v>79.2132704402516</c:v>
                </c:pt>
                <c:pt idx="15">
                  <c:v>79.4920754716981</c:v>
                </c:pt>
                <c:pt idx="16">
                  <c:v>79.7708805031447</c:v>
                </c:pt>
                <c:pt idx="17">
                  <c:v>80.0496855345912</c:v>
                </c:pt>
                <c:pt idx="18">
                  <c:v>80.3284905660377</c:v>
                </c:pt>
                <c:pt idx="19">
                  <c:v>80.6072955974843</c:v>
                </c:pt>
                <c:pt idx="20">
                  <c:v>80.8861006289308</c:v>
                </c:pt>
                <c:pt idx="21">
                  <c:v>81.1649056603774</c:v>
                </c:pt>
                <c:pt idx="22">
                  <c:v>81.4437106918239</c:v>
                </c:pt>
                <c:pt idx="23">
                  <c:v>81.7225157232705</c:v>
                </c:pt>
                <c:pt idx="24">
                  <c:v>82.001320754717</c:v>
                </c:pt>
                <c:pt idx="25">
                  <c:v>82.2801257861635</c:v>
                </c:pt>
                <c:pt idx="26">
                  <c:v>82.5589308176101</c:v>
                </c:pt>
                <c:pt idx="27">
                  <c:v>82.8377358490566</c:v>
                </c:pt>
                <c:pt idx="28">
                  <c:v>83.1165408805032</c:v>
                </c:pt>
                <c:pt idx="29">
                  <c:v>83.3953459119497</c:v>
                </c:pt>
                <c:pt idx="30">
                  <c:v>83.6741509433962</c:v>
                </c:pt>
                <c:pt idx="31">
                  <c:v>83.9529559748428</c:v>
                </c:pt>
                <c:pt idx="32">
                  <c:v>84.2317610062893</c:v>
                </c:pt>
                <c:pt idx="33">
                  <c:v>84.5105660377359</c:v>
                </c:pt>
                <c:pt idx="34">
                  <c:v>84.7893710691824</c:v>
                </c:pt>
                <c:pt idx="35">
                  <c:v>85.0681761006289</c:v>
                </c:pt>
                <c:pt idx="36">
                  <c:v>85.3469811320755</c:v>
                </c:pt>
                <c:pt idx="37">
                  <c:v>85.625786163522</c:v>
                </c:pt>
                <c:pt idx="38">
                  <c:v>85.9045911949686</c:v>
                </c:pt>
                <c:pt idx="39">
                  <c:v>86.1833962264151</c:v>
                </c:pt>
                <c:pt idx="40">
                  <c:v>86.4622012578616</c:v>
                </c:pt>
                <c:pt idx="41">
                  <c:v>86.7410062893082</c:v>
                </c:pt>
                <c:pt idx="42">
                  <c:v>87.0198113207547</c:v>
                </c:pt>
                <c:pt idx="43">
                  <c:v>87.2986163522013</c:v>
                </c:pt>
                <c:pt idx="44">
                  <c:v>87.5774213836478</c:v>
                </c:pt>
                <c:pt idx="45">
                  <c:v>87.8562264150943</c:v>
                </c:pt>
                <c:pt idx="46">
                  <c:v>88.1350314465409</c:v>
                </c:pt>
                <c:pt idx="47">
                  <c:v>88.4138364779874</c:v>
                </c:pt>
                <c:pt idx="48">
                  <c:v>88.692641509434</c:v>
                </c:pt>
                <c:pt idx="49">
                  <c:v>88.9714465408805</c:v>
                </c:pt>
                <c:pt idx="50">
                  <c:v>89.250251572327</c:v>
                </c:pt>
                <c:pt idx="51">
                  <c:v>89.5290566037736</c:v>
                </c:pt>
                <c:pt idx="52">
                  <c:v>89.8078616352201</c:v>
                </c:pt>
                <c:pt idx="53">
                  <c:v>90.0866666666667</c:v>
                </c:pt>
                <c:pt idx="54">
                  <c:v>90.3654716981132</c:v>
                </c:pt>
                <c:pt idx="55">
                  <c:v>90.6442767295598</c:v>
                </c:pt>
                <c:pt idx="56">
                  <c:v>90.9230817610063</c:v>
                </c:pt>
                <c:pt idx="57">
                  <c:v>91.2018867924528</c:v>
                </c:pt>
                <c:pt idx="58">
                  <c:v>91.4806918238994</c:v>
                </c:pt>
                <c:pt idx="59">
                  <c:v>91.7594968553459</c:v>
                </c:pt>
                <c:pt idx="60">
                  <c:v>92.0383018867925</c:v>
                </c:pt>
                <c:pt idx="61">
                  <c:v>92.317106918239</c:v>
                </c:pt>
                <c:pt idx="62">
                  <c:v>92.5959119496855</c:v>
                </c:pt>
                <c:pt idx="63">
                  <c:v>92.8747169811321</c:v>
                </c:pt>
                <c:pt idx="64">
                  <c:v>93.1535220125786</c:v>
                </c:pt>
                <c:pt idx="65">
                  <c:v>93.4323270440252</c:v>
                </c:pt>
                <c:pt idx="66">
                  <c:v>93.7111320754717</c:v>
                </c:pt>
                <c:pt idx="67">
                  <c:v>93.9899371069182</c:v>
                </c:pt>
                <c:pt idx="68">
                  <c:v>94.2687421383648</c:v>
                </c:pt>
                <c:pt idx="69">
                  <c:v>94.5475471698113</c:v>
                </c:pt>
                <c:pt idx="70">
                  <c:v>94.8263522012579</c:v>
                </c:pt>
                <c:pt idx="71">
                  <c:v>95.1051572327044</c:v>
                </c:pt>
                <c:pt idx="72">
                  <c:v>95.3839622641509</c:v>
                </c:pt>
                <c:pt idx="73">
                  <c:v>95.6627672955975</c:v>
                </c:pt>
                <c:pt idx="74">
                  <c:v>95.941572327044</c:v>
                </c:pt>
                <c:pt idx="75">
                  <c:v>96.2203773584906</c:v>
                </c:pt>
                <c:pt idx="76">
                  <c:v>96.4991823899371</c:v>
                </c:pt>
                <c:pt idx="77">
                  <c:v>96.7779874213836</c:v>
                </c:pt>
                <c:pt idx="78">
                  <c:v>97.0567924528302</c:v>
                </c:pt>
                <c:pt idx="79">
                  <c:v>97.3355974842767</c:v>
                </c:pt>
                <c:pt idx="80">
                  <c:v>97.6144025157233</c:v>
                </c:pt>
                <c:pt idx="81">
                  <c:v>97.8932075471698</c:v>
                </c:pt>
                <c:pt idx="82">
                  <c:v>98.1720125786164</c:v>
                </c:pt>
                <c:pt idx="83">
                  <c:v>98.4508176100629</c:v>
                </c:pt>
                <c:pt idx="84">
                  <c:v>98.7296226415094</c:v>
                </c:pt>
                <c:pt idx="85">
                  <c:v>99.008427672956</c:v>
                </c:pt>
                <c:pt idx="86">
                  <c:v>99.2872327044025</c:v>
                </c:pt>
                <c:pt idx="87">
                  <c:v>99.5660377358491</c:v>
                </c:pt>
                <c:pt idx="88">
                  <c:v>99.8448427672956</c:v>
                </c:pt>
                <c:pt idx="89">
                  <c:v>100.123647798742</c:v>
                </c:pt>
                <c:pt idx="90">
                  <c:v>100.402452830189</c:v>
                </c:pt>
                <c:pt idx="91">
                  <c:v>100.681257861635</c:v>
                </c:pt>
                <c:pt idx="92">
                  <c:v>100.960062893082</c:v>
                </c:pt>
                <c:pt idx="93">
                  <c:v>101.238867924528</c:v>
                </c:pt>
                <c:pt idx="94">
                  <c:v>101.517672955975</c:v>
                </c:pt>
                <c:pt idx="95">
                  <c:v>101.796477987421</c:v>
                </c:pt>
                <c:pt idx="96">
                  <c:v>102.075283018868</c:v>
                </c:pt>
                <c:pt idx="97">
                  <c:v>102.354088050314</c:v>
                </c:pt>
                <c:pt idx="98">
                  <c:v>102.632893081761</c:v>
                </c:pt>
                <c:pt idx="99">
                  <c:v>102.911698113208</c:v>
                </c:pt>
                <c:pt idx="100">
                  <c:v>103.190503144654</c:v>
                </c:pt>
                <c:pt idx="101">
                  <c:v>103.469308176101</c:v>
                </c:pt>
                <c:pt idx="102">
                  <c:v>103.748113207547</c:v>
                </c:pt>
                <c:pt idx="103">
                  <c:v>104.026918238994</c:v>
                </c:pt>
                <c:pt idx="104">
                  <c:v>104.30572327044</c:v>
                </c:pt>
                <c:pt idx="105">
                  <c:v>104.584528301887</c:v>
                </c:pt>
                <c:pt idx="106">
                  <c:v>104.863333333333</c:v>
                </c:pt>
                <c:pt idx="107">
                  <c:v>105.14213836478</c:v>
                </c:pt>
                <c:pt idx="108">
                  <c:v>105.420943396226</c:v>
                </c:pt>
                <c:pt idx="109">
                  <c:v>105.699748427673</c:v>
                </c:pt>
                <c:pt idx="110">
                  <c:v>105.97855345912</c:v>
                </c:pt>
                <c:pt idx="111">
                  <c:v>106.257358490566</c:v>
                </c:pt>
                <c:pt idx="112">
                  <c:v>106.536163522013</c:v>
                </c:pt>
                <c:pt idx="113">
                  <c:v>106.814968553459</c:v>
                </c:pt>
                <c:pt idx="114">
                  <c:v>107.093773584906</c:v>
                </c:pt>
                <c:pt idx="115">
                  <c:v>107.372578616352</c:v>
                </c:pt>
                <c:pt idx="116">
                  <c:v>107.651383647799</c:v>
                </c:pt>
                <c:pt idx="117">
                  <c:v>107.930188679245</c:v>
                </c:pt>
                <c:pt idx="118">
                  <c:v>108.208993710692</c:v>
                </c:pt>
                <c:pt idx="119">
                  <c:v>108.487798742138</c:v>
                </c:pt>
                <c:pt idx="120">
                  <c:v>108.766603773585</c:v>
                </c:pt>
                <c:pt idx="121">
                  <c:v>109.045408805031</c:v>
                </c:pt>
                <c:pt idx="122">
                  <c:v>109.324213836478</c:v>
                </c:pt>
                <c:pt idx="123">
                  <c:v>109.603018867925</c:v>
                </c:pt>
                <c:pt idx="124">
                  <c:v>109.881823899371</c:v>
                </c:pt>
                <c:pt idx="125">
                  <c:v>110.160628930818</c:v>
                </c:pt>
                <c:pt idx="126">
                  <c:v>110.439433962264</c:v>
                </c:pt>
                <c:pt idx="127">
                  <c:v>110.718238993711</c:v>
                </c:pt>
                <c:pt idx="128">
                  <c:v>110.997044025157</c:v>
                </c:pt>
                <c:pt idx="129">
                  <c:v>111.275849056604</c:v>
                </c:pt>
                <c:pt idx="130">
                  <c:v>111.55465408805</c:v>
                </c:pt>
                <c:pt idx="131">
                  <c:v>111.833459119497</c:v>
                </c:pt>
                <c:pt idx="132">
                  <c:v>112.112264150943</c:v>
                </c:pt>
                <c:pt idx="133">
                  <c:v>112.39106918239</c:v>
                </c:pt>
                <c:pt idx="134">
                  <c:v>112.669874213836</c:v>
                </c:pt>
                <c:pt idx="135">
                  <c:v>112.948679245283</c:v>
                </c:pt>
                <c:pt idx="136">
                  <c:v>113.22748427673</c:v>
                </c:pt>
                <c:pt idx="137">
                  <c:v>113.506289308176</c:v>
                </c:pt>
                <c:pt idx="138">
                  <c:v>113.785094339623</c:v>
                </c:pt>
                <c:pt idx="139">
                  <c:v>114.063899371069</c:v>
                </c:pt>
                <c:pt idx="140">
                  <c:v>114.342704402516</c:v>
                </c:pt>
                <c:pt idx="141">
                  <c:v>114.621509433962</c:v>
                </c:pt>
                <c:pt idx="142">
                  <c:v>114.900314465409</c:v>
                </c:pt>
                <c:pt idx="143">
                  <c:v>115.179119496855</c:v>
                </c:pt>
                <c:pt idx="144">
                  <c:v>115.457924528302</c:v>
                </c:pt>
                <c:pt idx="145">
                  <c:v>115.736729559748</c:v>
                </c:pt>
                <c:pt idx="146">
                  <c:v>116.015534591195</c:v>
                </c:pt>
                <c:pt idx="147">
                  <c:v>116.294339622642</c:v>
                </c:pt>
                <c:pt idx="148">
                  <c:v>116.573144654088</c:v>
                </c:pt>
                <c:pt idx="149">
                  <c:v>116.851949685535</c:v>
                </c:pt>
                <c:pt idx="150">
                  <c:v>117.130754716981</c:v>
                </c:pt>
                <c:pt idx="151">
                  <c:v>117.409559748428</c:v>
                </c:pt>
                <c:pt idx="152">
                  <c:v>117.688364779874</c:v>
                </c:pt>
                <c:pt idx="153">
                  <c:v>117.967169811321</c:v>
                </c:pt>
                <c:pt idx="154">
                  <c:v>118.245974842767</c:v>
                </c:pt>
                <c:pt idx="155">
                  <c:v>118.524779874214</c:v>
                </c:pt>
                <c:pt idx="156">
                  <c:v>118.80358490566</c:v>
                </c:pt>
                <c:pt idx="157">
                  <c:v>119.082389937107</c:v>
                </c:pt>
                <c:pt idx="158">
                  <c:v>119.361194968553</c:v>
                </c:pt>
                <c:pt idx="159">
                  <c:v>119.64</c:v>
                </c:pt>
                <c:pt idx="160">
                  <c:v>119.918805031447</c:v>
                </c:pt>
              </c:numCache>
            </c:numRef>
          </c:val>
          <c:smooth val="0"/>
        </c:ser>
        <c:hiLowLines>
          <c:spPr>
            <a:ln w="0">
              <a:noFill/>
            </a:ln>
          </c:spPr>
        </c:hiLowLines>
        <c:marker val="0"/>
        <c:axId val="96394591"/>
        <c:axId val="8688637"/>
      </c:lineChart>
      <c:dateAx>
        <c:axId val="183880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755393"/>
        <c:auto val="1"/>
        <c:lblOffset val="100"/>
        <c:baseTimeUnit val="days"/>
      </c:dateAx>
      <c:valAx>
        <c:axId val="267553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388044"/>
        <c:crosses val="autoZero"/>
        <c:crossBetween val="between"/>
      </c:valAx>
      <c:dateAx>
        <c:axId val="963945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88637"/>
        <c:auto val="1"/>
        <c:lblOffset val="100"/>
        <c:baseTimeUnit val="days"/>
      </c:dateAx>
      <c:valAx>
        <c:axId val="86886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3945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pt idx="159">
                  <c:v>0.00792278882166508</c:v>
                </c:pt>
              </c:numCache>
            </c:numRef>
          </c:val>
        </c:ser>
        <c:gapWidth val="150"/>
        <c:overlap val="0"/>
        <c:axId val="45405772"/>
        <c:axId val="67157415"/>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(Calc)'!$AK$3:$AK$500</c:f>
              <c:numCache>
                <c:formatCode>#,##0.00</c:formatCode>
                <c:ptCount val="498"/>
                <c:pt idx="0">
                  <c:v>0</c:v>
                </c:pt>
                <c:pt idx="1">
                  <c:v>0.440062893081761</c:v>
                </c:pt>
                <c:pt idx="2">
                  <c:v>0.880125786163522</c:v>
                </c:pt>
                <c:pt idx="3">
                  <c:v>1.32018867924528</c:v>
                </c:pt>
                <c:pt idx="4">
                  <c:v>1.76025157232704</c:v>
                </c:pt>
                <c:pt idx="5">
                  <c:v>2.20031446540881</c:v>
                </c:pt>
                <c:pt idx="6">
                  <c:v>2.64037735849057</c:v>
                </c:pt>
                <c:pt idx="7">
                  <c:v>3.08044025157233</c:v>
                </c:pt>
                <c:pt idx="8">
                  <c:v>3.52050314465409</c:v>
                </c:pt>
                <c:pt idx="9">
                  <c:v>3.96056603773585</c:v>
                </c:pt>
                <c:pt idx="10">
                  <c:v>4.40062893081761</c:v>
                </c:pt>
                <c:pt idx="11">
                  <c:v>4.84069182389937</c:v>
                </c:pt>
                <c:pt idx="12">
                  <c:v>5.28075471698113</c:v>
                </c:pt>
                <c:pt idx="13">
                  <c:v>5.72081761006289</c:v>
                </c:pt>
                <c:pt idx="14">
                  <c:v>6.16088050314465</c:v>
                </c:pt>
                <c:pt idx="15">
                  <c:v>6.60094339622642</c:v>
                </c:pt>
                <c:pt idx="16">
                  <c:v>7.04100628930818</c:v>
                </c:pt>
                <c:pt idx="17">
                  <c:v>7.48106918238994</c:v>
                </c:pt>
                <c:pt idx="18">
                  <c:v>7.9211320754717</c:v>
                </c:pt>
                <c:pt idx="19">
                  <c:v>8.36119496855346</c:v>
                </c:pt>
                <c:pt idx="20">
                  <c:v>8.80125786163522</c:v>
                </c:pt>
                <c:pt idx="21">
                  <c:v>9.24132075471698</c:v>
                </c:pt>
                <c:pt idx="22">
                  <c:v>9.68138364779874</c:v>
                </c:pt>
                <c:pt idx="23">
                  <c:v>10.1214465408805</c:v>
                </c:pt>
                <c:pt idx="24">
                  <c:v>10.5615094339623</c:v>
                </c:pt>
                <c:pt idx="25">
                  <c:v>11.001572327044</c:v>
                </c:pt>
                <c:pt idx="26">
                  <c:v>11.4416352201258</c:v>
                </c:pt>
                <c:pt idx="27">
                  <c:v>11.8816981132075</c:v>
                </c:pt>
                <c:pt idx="28">
                  <c:v>12.3217610062893</c:v>
                </c:pt>
                <c:pt idx="29">
                  <c:v>12.7618238993711</c:v>
                </c:pt>
                <c:pt idx="30">
                  <c:v>13.2018867924528</c:v>
                </c:pt>
                <c:pt idx="31">
                  <c:v>13.6419496855346</c:v>
                </c:pt>
                <c:pt idx="32">
                  <c:v>14.0820125786164</c:v>
                </c:pt>
                <c:pt idx="33">
                  <c:v>14.5220754716981</c:v>
                </c:pt>
                <c:pt idx="34">
                  <c:v>14.9621383647799</c:v>
                </c:pt>
                <c:pt idx="35">
                  <c:v>15.4022012578616</c:v>
                </c:pt>
                <c:pt idx="36">
                  <c:v>15.8422641509434</c:v>
                </c:pt>
                <c:pt idx="37">
                  <c:v>16.2823270440252</c:v>
                </c:pt>
                <c:pt idx="38">
                  <c:v>16.7223899371069</c:v>
                </c:pt>
                <c:pt idx="39">
                  <c:v>17.1624528301887</c:v>
                </c:pt>
                <c:pt idx="40">
                  <c:v>17.6025157232704</c:v>
                </c:pt>
                <c:pt idx="41">
                  <c:v>18.0425786163522</c:v>
                </c:pt>
                <c:pt idx="42">
                  <c:v>18.482641509434</c:v>
                </c:pt>
                <c:pt idx="43">
                  <c:v>18.9227044025157</c:v>
                </c:pt>
                <c:pt idx="44">
                  <c:v>19.3627672955975</c:v>
                </c:pt>
                <c:pt idx="45">
                  <c:v>19.8028301886792</c:v>
                </c:pt>
                <c:pt idx="46">
                  <c:v>20.242893081761</c:v>
                </c:pt>
                <c:pt idx="47">
                  <c:v>20.6829559748428</c:v>
                </c:pt>
                <c:pt idx="48">
                  <c:v>21.1230188679245</c:v>
                </c:pt>
                <c:pt idx="49">
                  <c:v>21.5630817610063</c:v>
                </c:pt>
                <c:pt idx="50">
                  <c:v>22.0031446540881</c:v>
                </c:pt>
                <c:pt idx="51">
                  <c:v>22.4432075471698</c:v>
                </c:pt>
                <c:pt idx="52">
                  <c:v>22.8832704402516</c:v>
                </c:pt>
                <c:pt idx="53">
                  <c:v>23.3233333333333</c:v>
                </c:pt>
                <c:pt idx="54">
                  <c:v>23.7633962264151</c:v>
                </c:pt>
                <c:pt idx="55">
                  <c:v>24.2034591194969</c:v>
                </c:pt>
                <c:pt idx="56">
                  <c:v>24.6435220125786</c:v>
                </c:pt>
                <c:pt idx="57">
                  <c:v>25.0835849056604</c:v>
                </c:pt>
                <c:pt idx="58">
                  <c:v>25.5236477987421</c:v>
                </c:pt>
                <c:pt idx="59">
                  <c:v>25.9637106918239</c:v>
                </c:pt>
                <c:pt idx="60">
                  <c:v>26.4037735849057</c:v>
                </c:pt>
                <c:pt idx="61">
                  <c:v>26.8438364779874</c:v>
                </c:pt>
                <c:pt idx="62">
                  <c:v>27.2838993710692</c:v>
                </c:pt>
                <c:pt idx="63">
                  <c:v>27.7239622641509</c:v>
                </c:pt>
                <c:pt idx="64">
                  <c:v>28.1640251572327</c:v>
                </c:pt>
                <c:pt idx="65">
                  <c:v>28.6040880503145</c:v>
                </c:pt>
                <c:pt idx="66">
                  <c:v>29.0441509433962</c:v>
                </c:pt>
                <c:pt idx="67">
                  <c:v>29.484213836478</c:v>
                </c:pt>
                <c:pt idx="68">
                  <c:v>29.9242767295598</c:v>
                </c:pt>
                <c:pt idx="69">
                  <c:v>30.3643396226415</c:v>
                </c:pt>
                <c:pt idx="70">
                  <c:v>30.8044025157233</c:v>
                </c:pt>
                <c:pt idx="71">
                  <c:v>31.244465408805</c:v>
                </c:pt>
                <c:pt idx="72">
                  <c:v>31.6845283018868</c:v>
                </c:pt>
                <c:pt idx="73">
                  <c:v>32.1245911949686</c:v>
                </c:pt>
                <c:pt idx="74">
                  <c:v>32.5646540880503</c:v>
                </c:pt>
                <c:pt idx="75">
                  <c:v>33.0047169811321</c:v>
                </c:pt>
                <c:pt idx="76">
                  <c:v>33.4447798742138</c:v>
                </c:pt>
                <c:pt idx="77">
                  <c:v>33.8848427672956</c:v>
                </c:pt>
                <c:pt idx="78">
                  <c:v>34.3249056603774</c:v>
                </c:pt>
                <c:pt idx="79">
                  <c:v>34.7649685534591</c:v>
                </c:pt>
                <c:pt idx="80">
                  <c:v>35.2050314465409</c:v>
                </c:pt>
                <c:pt idx="81">
                  <c:v>35.6450943396226</c:v>
                </c:pt>
                <c:pt idx="82">
                  <c:v>36.0851572327044</c:v>
                </c:pt>
                <c:pt idx="83">
                  <c:v>36.5252201257862</c:v>
                </c:pt>
                <c:pt idx="84">
                  <c:v>36.9652830188679</c:v>
                </c:pt>
                <c:pt idx="85">
                  <c:v>37.4053459119497</c:v>
                </c:pt>
                <c:pt idx="86">
                  <c:v>37.8454088050315</c:v>
                </c:pt>
                <c:pt idx="87">
                  <c:v>38.2854716981132</c:v>
                </c:pt>
                <c:pt idx="88">
                  <c:v>38.725534591195</c:v>
                </c:pt>
                <c:pt idx="89">
                  <c:v>39.1655974842767</c:v>
                </c:pt>
                <c:pt idx="90">
                  <c:v>39.6056603773585</c:v>
                </c:pt>
                <c:pt idx="91">
                  <c:v>40.0457232704403</c:v>
                </c:pt>
                <c:pt idx="92">
                  <c:v>40.485786163522</c:v>
                </c:pt>
                <c:pt idx="93">
                  <c:v>40.9258490566038</c:v>
                </c:pt>
                <c:pt idx="94">
                  <c:v>41.3659119496855</c:v>
                </c:pt>
                <c:pt idx="95">
                  <c:v>41.8059748427673</c:v>
                </c:pt>
                <c:pt idx="96">
                  <c:v>42.2460377358491</c:v>
                </c:pt>
                <c:pt idx="97">
                  <c:v>42.6861006289308</c:v>
                </c:pt>
                <c:pt idx="98">
                  <c:v>43.1261635220126</c:v>
                </c:pt>
                <c:pt idx="99">
                  <c:v>43.5662264150943</c:v>
                </c:pt>
                <c:pt idx="100">
                  <c:v>44.0062893081761</c:v>
                </c:pt>
                <c:pt idx="101">
                  <c:v>44.4463522012579</c:v>
                </c:pt>
                <c:pt idx="102">
                  <c:v>44.8864150943396</c:v>
                </c:pt>
                <c:pt idx="103">
                  <c:v>45.3264779874214</c:v>
                </c:pt>
                <c:pt idx="104">
                  <c:v>45.7665408805031</c:v>
                </c:pt>
                <c:pt idx="105">
                  <c:v>46.2066037735849</c:v>
                </c:pt>
                <c:pt idx="106">
                  <c:v>46.6466666666667</c:v>
                </c:pt>
                <c:pt idx="107">
                  <c:v>47.0867295597484</c:v>
                </c:pt>
                <c:pt idx="108">
                  <c:v>47.5267924528302</c:v>
                </c:pt>
                <c:pt idx="109">
                  <c:v>47.9668553459119</c:v>
                </c:pt>
                <c:pt idx="110">
                  <c:v>48.4069182389937</c:v>
                </c:pt>
                <c:pt idx="111">
                  <c:v>48.8469811320755</c:v>
                </c:pt>
                <c:pt idx="112">
                  <c:v>49.2870440251572</c:v>
                </c:pt>
                <c:pt idx="113">
                  <c:v>49.727106918239</c:v>
                </c:pt>
                <c:pt idx="114">
                  <c:v>50.1671698113208</c:v>
                </c:pt>
                <c:pt idx="115">
                  <c:v>50.6072327044025</c:v>
                </c:pt>
                <c:pt idx="116">
                  <c:v>51.0472955974843</c:v>
                </c:pt>
                <c:pt idx="117">
                  <c:v>51.487358490566</c:v>
                </c:pt>
                <c:pt idx="118">
                  <c:v>51.9274213836478</c:v>
                </c:pt>
                <c:pt idx="119">
                  <c:v>52.3674842767296</c:v>
                </c:pt>
                <c:pt idx="120">
                  <c:v>52.8075471698113</c:v>
                </c:pt>
                <c:pt idx="121">
                  <c:v>53.2476100628931</c:v>
                </c:pt>
                <c:pt idx="122">
                  <c:v>53.6876729559749</c:v>
                </c:pt>
                <c:pt idx="123">
                  <c:v>54.1277358490566</c:v>
                </c:pt>
                <c:pt idx="124">
                  <c:v>54.5677987421384</c:v>
                </c:pt>
                <c:pt idx="125">
                  <c:v>55.0078616352201</c:v>
                </c:pt>
                <c:pt idx="126">
                  <c:v>55.4479245283019</c:v>
                </c:pt>
                <c:pt idx="127">
                  <c:v>55.8879874213837</c:v>
                </c:pt>
                <c:pt idx="128">
                  <c:v>56.3280503144654</c:v>
                </c:pt>
                <c:pt idx="129">
                  <c:v>56.7681132075472</c:v>
                </c:pt>
                <c:pt idx="130">
                  <c:v>57.2081761006289</c:v>
                </c:pt>
                <c:pt idx="131">
                  <c:v>57.6482389937107</c:v>
                </c:pt>
                <c:pt idx="132">
                  <c:v>58.0883018867924</c:v>
                </c:pt>
                <c:pt idx="133">
                  <c:v>58.5283647798742</c:v>
                </c:pt>
                <c:pt idx="134">
                  <c:v>58.968427672956</c:v>
                </c:pt>
                <c:pt idx="135">
                  <c:v>59.4084905660377</c:v>
                </c:pt>
                <c:pt idx="136">
                  <c:v>59.8485534591195</c:v>
                </c:pt>
                <c:pt idx="137">
                  <c:v>60.2886163522013</c:v>
                </c:pt>
                <c:pt idx="138">
                  <c:v>60.728679245283</c:v>
                </c:pt>
                <c:pt idx="139">
                  <c:v>61.1687421383648</c:v>
                </c:pt>
                <c:pt idx="140">
                  <c:v>61.6088050314465</c:v>
                </c:pt>
                <c:pt idx="141">
                  <c:v>62.0488679245283</c:v>
                </c:pt>
                <c:pt idx="142">
                  <c:v>62.4889308176101</c:v>
                </c:pt>
                <c:pt idx="143">
                  <c:v>62.9289937106918</c:v>
                </c:pt>
                <c:pt idx="144">
                  <c:v>63.3690566037736</c:v>
                </c:pt>
                <c:pt idx="145">
                  <c:v>63.8091194968553</c:v>
                </c:pt>
                <c:pt idx="146">
                  <c:v>64.2491823899371</c:v>
                </c:pt>
                <c:pt idx="147">
                  <c:v>64.6892452830189</c:v>
                </c:pt>
                <c:pt idx="148">
                  <c:v>65.1293081761006</c:v>
                </c:pt>
                <c:pt idx="149">
                  <c:v>65.5693710691824</c:v>
                </c:pt>
                <c:pt idx="150">
                  <c:v>66.0094339622642</c:v>
                </c:pt>
                <c:pt idx="151">
                  <c:v>66.4494968553459</c:v>
                </c:pt>
                <c:pt idx="152">
                  <c:v>66.8895597484277</c:v>
                </c:pt>
                <c:pt idx="153">
                  <c:v>67.3296226415094</c:v>
                </c:pt>
                <c:pt idx="154">
                  <c:v>67.7696855345912</c:v>
                </c:pt>
                <c:pt idx="155">
                  <c:v>68.209748427673</c:v>
                </c:pt>
                <c:pt idx="156">
                  <c:v>68.6498113207547</c:v>
                </c:pt>
                <c:pt idx="157">
                  <c:v>69.0898742138365</c:v>
                </c:pt>
                <c:pt idx="158">
                  <c:v>69.5299371069182</c:v>
                </c:pt>
                <c:pt idx="159">
                  <c:v>69.97</c:v>
                </c:pt>
                <c:pt idx="160">
                  <c:v>70.4100628930818</c:v>
                </c:pt>
              </c:numCache>
            </c:numRef>
          </c:val>
          <c:smooth val="0"/>
        </c:ser>
        <c:hiLowLines>
          <c:spPr>
            <a:ln w="0">
              <a:noFill/>
            </a:ln>
          </c:spPr>
        </c:hiLowLines>
        <c:marker val="0"/>
        <c:axId val="29631832"/>
        <c:axId val="81501624"/>
      </c:lineChart>
      <c:dateAx>
        <c:axId val="454057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157415"/>
        <c:auto val="1"/>
        <c:lblOffset val="100"/>
        <c:baseTimeUnit val="days"/>
      </c:dateAx>
      <c:valAx>
        <c:axId val="671574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405772"/>
        <c:crosses val="autoZero"/>
        <c:crossBetween val="between"/>
      </c:valAx>
      <c:dateAx>
        <c:axId val="296318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501624"/>
        <c:auto val="1"/>
        <c:lblOffset val="100"/>
        <c:baseTimeUnit val="days"/>
      </c:dateAx>
      <c:valAx>
        <c:axId val="815016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6318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pt idx="159">
                  <c:v>0.000819134993446991</c:v>
                </c:pt>
              </c:numCache>
            </c:numRef>
          </c:val>
        </c:ser>
        <c:gapWidth val="150"/>
        <c:overlap val="0"/>
        <c:axId val="19093101"/>
        <c:axId val="65761815"/>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(Calc)'!$AL$3:$AL$500</c:f>
              <c:numCache>
                <c:formatCode>#,##0.00</c:formatCode>
                <c:ptCount val="498"/>
                <c:pt idx="0">
                  <c:v>34.48</c:v>
                </c:pt>
                <c:pt idx="1">
                  <c:v>34.647358490566</c:v>
                </c:pt>
                <c:pt idx="2">
                  <c:v>34.8147169811321</c:v>
                </c:pt>
                <c:pt idx="3">
                  <c:v>34.9820754716981</c:v>
                </c:pt>
                <c:pt idx="4">
                  <c:v>35.1494339622642</c:v>
                </c:pt>
                <c:pt idx="5">
                  <c:v>35.3167924528302</c:v>
                </c:pt>
                <c:pt idx="6">
                  <c:v>35.4841509433962</c:v>
                </c:pt>
                <c:pt idx="7">
                  <c:v>35.6515094339623</c:v>
                </c:pt>
                <c:pt idx="8">
                  <c:v>35.8188679245283</c:v>
                </c:pt>
                <c:pt idx="9">
                  <c:v>35.9862264150943</c:v>
                </c:pt>
                <c:pt idx="10">
                  <c:v>36.1535849056604</c:v>
                </c:pt>
                <c:pt idx="11">
                  <c:v>36.3209433962264</c:v>
                </c:pt>
                <c:pt idx="12">
                  <c:v>36.4883018867925</c:v>
                </c:pt>
                <c:pt idx="13">
                  <c:v>36.6556603773585</c:v>
                </c:pt>
                <c:pt idx="14">
                  <c:v>36.8230188679245</c:v>
                </c:pt>
                <c:pt idx="15">
                  <c:v>36.9903773584906</c:v>
                </c:pt>
                <c:pt idx="16">
                  <c:v>37.1577358490566</c:v>
                </c:pt>
                <c:pt idx="17">
                  <c:v>37.3250943396226</c:v>
                </c:pt>
                <c:pt idx="18">
                  <c:v>37.4924528301887</c:v>
                </c:pt>
                <c:pt idx="19">
                  <c:v>37.6598113207547</c:v>
                </c:pt>
                <c:pt idx="20">
                  <c:v>37.8271698113208</c:v>
                </c:pt>
                <c:pt idx="21">
                  <c:v>37.9945283018868</c:v>
                </c:pt>
                <c:pt idx="22">
                  <c:v>38.1618867924528</c:v>
                </c:pt>
                <c:pt idx="23">
                  <c:v>38.3292452830189</c:v>
                </c:pt>
                <c:pt idx="24">
                  <c:v>38.4966037735849</c:v>
                </c:pt>
                <c:pt idx="25">
                  <c:v>38.6639622641509</c:v>
                </c:pt>
                <c:pt idx="26">
                  <c:v>38.831320754717</c:v>
                </c:pt>
                <c:pt idx="27">
                  <c:v>38.998679245283</c:v>
                </c:pt>
                <c:pt idx="28">
                  <c:v>39.1660377358491</c:v>
                </c:pt>
                <c:pt idx="29">
                  <c:v>39.3333962264151</c:v>
                </c:pt>
                <c:pt idx="30">
                  <c:v>39.5007547169811</c:v>
                </c:pt>
                <c:pt idx="31">
                  <c:v>39.6681132075472</c:v>
                </c:pt>
                <c:pt idx="32">
                  <c:v>39.8354716981132</c:v>
                </c:pt>
                <c:pt idx="33">
                  <c:v>40.0028301886792</c:v>
                </c:pt>
                <c:pt idx="34">
                  <c:v>40.1701886792453</c:v>
                </c:pt>
                <c:pt idx="35">
                  <c:v>40.3375471698113</c:v>
                </c:pt>
                <c:pt idx="36">
                  <c:v>40.5049056603774</c:v>
                </c:pt>
                <c:pt idx="37">
                  <c:v>40.6722641509434</c:v>
                </c:pt>
                <c:pt idx="38">
                  <c:v>40.8396226415094</c:v>
                </c:pt>
                <c:pt idx="39">
                  <c:v>41.0069811320755</c:v>
                </c:pt>
                <c:pt idx="40">
                  <c:v>41.1743396226415</c:v>
                </c:pt>
                <c:pt idx="41">
                  <c:v>41.3416981132075</c:v>
                </c:pt>
                <c:pt idx="42">
                  <c:v>41.5090566037736</c:v>
                </c:pt>
                <c:pt idx="43">
                  <c:v>41.6764150943396</c:v>
                </c:pt>
                <c:pt idx="44">
                  <c:v>41.8437735849057</c:v>
                </c:pt>
                <c:pt idx="45">
                  <c:v>42.0111320754717</c:v>
                </c:pt>
                <c:pt idx="46">
                  <c:v>42.1784905660377</c:v>
                </c:pt>
                <c:pt idx="47">
                  <c:v>42.3458490566038</c:v>
                </c:pt>
                <c:pt idx="48">
                  <c:v>42.5132075471698</c:v>
                </c:pt>
                <c:pt idx="49">
                  <c:v>42.6805660377358</c:v>
                </c:pt>
                <c:pt idx="50">
                  <c:v>42.8479245283019</c:v>
                </c:pt>
                <c:pt idx="51">
                  <c:v>43.0152830188679</c:v>
                </c:pt>
                <c:pt idx="52">
                  <c:v>43.182641509434</c:v>
                </c:pt>
                <c:pt idx="53">
                  <c:v>43.35</c:v>
                </c:pt>
                <c:pt idx="54">
                  <c:v>43.517358490566</c:v>
                </c:pt>
                <c:pt idx="55">
                  <c:v>43.6847169811321</c:v>
                </c:pt>
                <c:pt idx="56">
                  <c:v>43.8520754716981</c:v>
                </c:pt>
                <c:pt idx="57">
                  <c:v>44.0194339622642</c:v>
                </c:pt>
                <c:pt idx="58">
                  <c:v>44.1867924528302</c:v>
                </c:pt>
                <c:pt idx="59">
                  <c:v>44.3541509433962</c:v>
                </c:pt>
                <c:pt idx="60">
                  <c:v>44.5215094339623</c:v>
                </c:pt>
                <c:pt idx="61">
                  <c:v>44.6888679245283</c:v>
                </c:pt>
                <c:pt idx="62">
                  <c:v>44.8562264150943</c:v>
                </c:pt>
                <c:pt idx="63">
                  <c:v>45.0235849056604</c:v>
                </c:pt>
                <c:pt idx="64">
                  <c:v>45.1909433962264</c:v>
                </c:pt>
                <c:pt idx="65">
                  <c:v>45.3583018867925</c:v>
                </c:pt>
                <c:pt idx="66">
                  <c:v>45.5256603773585</c:v>
                </c:pt>
                <c:pt idx="67">
                  <c:v>45.6930188679245</c:v>
                </c:pt>
                <c:pt idx="68">
                  <c:v>45.8603773584906</c:v>
                </c:pt>
                <c:pt idx="69">
                  <c:v>46.0277358490566</c:v>
                </c:pt>
                <c:pt idx="70">
                  <c:v>46.1950943396226</c:v>
                </c:pt>
                <c:pt idx="71">
                  <c:v>46.3624528301887</c:v>
                </c:pt>
                <c:pt idx="72">
                  <c:v>46.5298113207547</c:v>
                </c:pt>
                <c:pt idx="73">
                  <c:v>46.6971698113208</c:v>
                </c:pt>
                <c:pt idx="74">
                  <c:v>46.8645283018868</c:v>
                </c:pt>
                <c:pt idx="75">
                  <c:v>47.0318867924528</c:v>
                </c:pt>
                <c:pt idx="76">
                  <c:v>47.1992452830189</c:v>
                </c:pt>
                <c:pt idx="77">
                  <c:v>47.3666037735849</c:v>
                </c:pt>
                <c:pt idx="78">
                  <c:v>47.5339622641509</c:v>
                </c:pt>
                <c:pt idx="79">
                  <c:v>47.701320754717</c:v>
                </c:pt>
                <c:pt idx="80">
                  <c:v>47.868679245283</c:v>
                </c:pt>
                <c:pt idx="81">
                  <c:v>48.0360377358491</c:v>
                </c:pt>
                <c:pt idx="82">
                  <c:v>48.2033962264151</c:v>
                </c:pt>
                <c:pt idx="83">
                  <c:v>48.3707547169811</c:v>
                </c:pt>
                <c:pt idx="84">
                  <c:v>48.5381132075472</c:v>
                </c:pt>
                <c:pt idx="85">
                  <c:v>48.7054716981132</c:v>
                </c:pt>
                <c:pt idx="86">
                  <c:v>48.8728301886792</c:v>
                </c:pt>
                <c:pt idx="87">
                  <c:v>49.0401886792453</c:v>
                </c:pt>
                <c:pt idx="88">
                  <c:v>49.2075471698113</c:v>
                </c:pt>
                <c:pt idx="89">
                  <c:v>49.3749056603774</c:v>
                </c:pt>
                <c:pt idx="90">
                  <c:v>49.5422641509434</c:v>
                </c:pt>
                <c:pt idx="91">
                  <c:v>49.7096226415094</c:v>
                </c:pt>
                <c:pt idx="92">
                  <c:v>49.8769811320755</c:v>
                </c:pt>
                <c:pt idx="93">
                  <c:v>50.0443396226415</c:v>
                </c:pt>
                <c:pt idx="94">
                  <c:v>50.2116981132076</c:v>
                </c:pt>
                <c:pt idx="95">
                  <c:v>50.3790566037736</c:v>
                </c:pt>
                <c:pt idx="96">
                  <c:v>50.5464150943396</c:v>
                </c:pt>
                <c:pt idx="97">
                  <c:v>50.7137735849057</c:v>
                </c:pt>
                <c:pt idx="98">
                  <c:v>50.8811320754717</c:v>
                </c:pt>
                <c:pt idx="99">
                  <c:v>51.0484905660377</c:v>
                </c:pt>
                <c:pt idx="100">
                  <c:v>51.2158490566038</c:v>
                </c:pt>
                <c:pt idx="101">
                  <c:v>51.3832075471698</c:v>
                </c:pt>
                <c:pt idx="102">
                  <c:v>51.5505660377359</c:v>
                </c:pt>
                <c:pt idx="103">
                  <c:v>51.7179245283019</c:v>
                </c:pt>
                <c:pt idx="104">
                  <c:v>51.8852830188679</c:v>
                </c:pt>
                <c:pt idx="105">
                  <c:v>52.052641509434</c:v>
                </c:pt>
                <c:pt idx="106">
                  <c:v>52.22</c:v>
                </c:pt>
                <c:pt idx="107">
                  <c:v>52.387358490566</c:v>
                </c:pt>
                <c:pt idx="108">
                  <c:v>52.5547169811321</c:v>
                </c:pt>
                <c:pt idx="109">
                  <c:v>52.7220754716981</c:v>
                </c:pt>
                <c:pt idx="110">
                  <c:v>52.8894339622642</c:v>
                </c:pt>
                <c:pt idx="111">
                  <c:v>53.0567924528302</c:v>
                </c:pt>
                <c:pt idx="112">
                  <c:v>53.2241509433962</c:v>
                </c:pt>
                <c:pt idx="113">
                  <c:v>53.3915094339623</c:v>
                </c:pt>
                <c:pt idx="114">
                  <c:v>53.5588679245283</c:v>
                </c:pt>
                <c:pt idx="115">
                  <c:v>53.7262264150943</c:v>
                </c:pt>
                <c:pt idx="116">
                  <c:v>53.8935849056604</c:v>
                </c:pt>
                <c:pt idx="117">
                  <c:v>54.0609433962264</c:v>
                </c:pt>
                <c:pt idx="118">
                  <c:v>54.2283018867925</c:v>
                </c:pt>
                <c:pt idx="119">
                  <c:v>54.3956603773585</c:v>
                </c:pt>
                <c:pt idx="120">
                  <c:v>54.5630188679245</c:v>
                </c:pt>
                <c:pt idx="121">
                  <c:v>54.7303773584906</c:v>
                </c:pt>
                <c:pt idx="122">
                  <c:v>54.8977358490566</c:v>
                </c:pt>
                <c:pt idx="123">
                  <c:v>55.0650943396227</c:v>
                </c:pt>
                <c:pt idx="124">
                  <c:v>55.2324528301887</c:v>
                </c:pt>
                <c:pt idx="125">
                  <c:v>55.3998113207547</c:v>
                </c:pt>
                <c:pt idx="126">
                  <c:v>55.5671698113208</c:v>
                </c:pt>
                <c:pt idx="127">
                  <c:v>55.7345283018868</c:v>
                </c:pt>
                <c:pt idx="128">
                  <c:v>55.9018867924528</c:v>
                </c:pt>
                <c:pt idx="129">
                  <c:v>56.0692452830189</c:v>
                </c:pt>
                <c:pt idx="130">
                  <c:v>56.2366037735849</c:v>
                </c:pt>
                <c:pt idx="131">
                  <c:v>56.403962264151</c:v>
                </c:pt>
                <c:pt idx="132">
                  <c:v>56.571320754717</c:v>
                </c:pt>
                <c:pt idx="133">
                  <c:v>56.738679245283</c:v>
                </c:pt>
                <c:pt idx="134">
                  <c:v>56.9060377358491</c:v>
                </c:pt>
                <c:pt idx="135">
                  <c:v>57.0733962264151</c:v>
                </c:pt>
                <c:pt idx="136">
                  <c:v>57.2407547169811</c:v>
                </c:pt>
                <c:pt idx="137">
                  <c:v>57.4081132075472</c:v>
                </c:pt>
                <c:pt idx="138">
                  <c:v>57.5754716981132</c:v>
                </c:pt>
                <c:pt idx="139">
                  <c:v>57.7428301886793</c:v>
                </c:pt>
                <c:pt idx="140">
                  <c:v>57.9101886792453</c:v>
                </c:pt>
                <c:pt idx="141">
                  <c:v>58.0775471698113</c:v>
                </c:pt>
                <c:pt idx="142">
                  <c:v>58.2449056603774</c:v>
                </c:pt>
                <c:pt idx="143">
                  <c:v>58.4122641509434</c:v>
                </c:pt>
                <c:pt idx="144">
                  <c:v>58.5796226415094</c:v>
                </c:pt>
                <c:pt idx="145">
                  <c:v>58.7469811320755</c:v>
                </c:pt>
                <c:pt idx="146">
                  <c:v>58.9143396226415</c:v>
                </c:pt>
                <c:pt idx="147">
                  <c:v>59.0816981132076</c:v>
                </c:pt>
                <c:pt idx="148">
                  <c:v>59.2490566037736</c:v>
                </c:pt>
                <c:pt idx="149">
                  <c:v>59.4164150943396</c:v>
                </c:pt>
                <c:pt idx="150">
                  <c:v>59.5837735849057</c:v>
                </c:pt>
                <c:pt idx="151">
                  <c:v>59.7511320754717</c:v>
                </c:pt>
                <c:pt idx="152">
                  <c:v>59.9184905660377</c:v>
                </c:pt>
                <c:pt idx="153">
                  <c:v>60.0858490566038</c:v>
                </c:pt>
                <c:pt idx="154">
                  <c:v>60.2532075471698</c:v>
                </c:pt>
                <c:pt idx="155">
                  <c:v>60.4205660377359</c:v>
                </c:pt>
                <c:pt idx="156">
                  <c:v>60.5879245283019</c:v>
                </c:pt>
                <c:pt idx="157">
                  <c:v>60.7552830188679</c:v>
                </c:pt>
                <c:pt idx="158">
                  <c:v>60.922641509434</c:v>
                </c:pt>
                <c:pt idx="159">
                  <c:v>61.09</c:v>
                </c:pt>
                <c:pt idx="160">
                  <c:v>61.257358490566</c:v>
                </c:pt>
              </c:numCache>
            </c:numRef>
          </c:val>
          <c:smooth val="0"/>
        </c:ser>
        <c:hiLowLines>
          <c:spPr>
            <a:ln w="0">
              <a:noFill/>
            </a:ln>
          </c:spPr>
        </c:hiLowLines>
        <c:marker val="0"/>
        <c:axId val="97880913"/>
        <c:axId val="22405793"/>
      </c:lineChart>
      <c:dateAx>
        <c:axId val="190931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761815"/>
        <c:auto val="1"/>
        <c:lblOffset val="100"/>
        <c:baseTimeUnit val="days"/>
      </c:dateAx>
      <c:valAx>
        <c:axId val="657618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93101"/>
        <c:crosses val="autoZero"/>
        <c:crossBetween val="between"/>
      </c:valAx>
      <c:dateAx>
        <c:axId val="978809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405793"/>
        <c:auto val="1"/>
        <c:lblOffset val="100"/>
        <c:baseTimeUnit val="days"/>
      </c:dateAx>
      <c:valAx>
        <c:axId val="224057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8809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pt idx="159">
                  <c:v>-0.0135091039613652</c:v>
                </c:pt>
              </c:numCache>
            </c:numRef>
          </c:val>
        </c:ser>
        <c:gapWidth val="150"/>
        <c:overlap val="0"/>
        <c:axId val="33192879"/>
        <c:axId val="83674128"/>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(Calc)'!$AM$3:$AM$500</c:f>
              <c:numCache>
                <c:formatCode>#,##0.00</c:formatCode>
                <c:ptCount val="498"/>
                <c:pt idx="0">
                  <c:v>57.63</c:v>
                </c:pt>
                <c:pt idx="1">
                  <c:v>58.2182389937107</c:v>
                </c:pt>
                <c:pt idx="2">
                  <c:v>58.8064779874214</c:v>
                </c:pt>
                <c:pt idx="3">
                  <c:v>59.3947169811321</c:v>
                </c:pt>
                <c:pt idx="4">
                  <c:v>59.9829559748428</c:v>
                </c:pt>
                <c:pt idx="5">
                  <c:v>60.5711949685535</c:v>
                </c:pt>
                <c:pt idx="6">
                  <c:v>61.1594339622642</c:v>
                </c:pt>
                <c:pt idx="7">
                  <c:v>61.7476729559749</c:v>
                </c:pt>
                <c:pt idx="8">
                  <c:v>62.3359119496855</c:v>
                </c:pt>
                <c:pt idx="9">
                  <c:v>62.9241509433962</c:v>
                </c:pt>
                <c:pt idx="10">
                  <c:v>63.5123899371069</c:v>
                </c:pt>
                <c:pt idx="11">
                  <c:v>64.1006289308176</c:v>
                </c:pt>
                <c:pt idx="12">
                  <c:v>64.6888679245283</c:v>
                </c:pt>
                <c:pt idx="13">
                  <c:v>65.277106918239</c:v>
                </c:pt>
                <c:pt idx="14">
                  <c:v>65.8653459119497</c:v>
                </c:pt>
                <c:pt idx="15">
                  <c:v>66.4535849056604</c:v>
                </c:pt>
                <c:pt idx="16">
                  <c:v>67.0418238993711</c:v>
                </c:pt>
                <c:pt idx="17">
                  <c:v>67.6300628930818</c:v>
                </c:pt>
                <c:pt idx="18">
                  <c:v>68.2183018867925</c:v>
                </c:pt>
                <c:pt idx="19">
                  <c:v>68.8065408805032</c:v>
                </c:pt>
                <c:pt idx="20">
                  <c:v>69.3947798742138</c:v>
                </c:pt>
                <c:pt idx="21">
                  <c:v>69.9830188679245</c:v>
                </c:pt>
                <c:pt idx="22">
                  <c:v>70.5712578616352</c:v>
                </c:pt>
                <c:pt idx="23">
                  <c:v>71.1594968553459</c:v>
                </c:pt>
                <c:pt idx="24">
                  <c:v>71.7477358490566</c:v>
                </c:pt>
                <c:pt idx="25">
                  <c:v>72.3359748427673</c:v>
                </c:pt>
                <c:pt idx="26">
                  <c:v>72.924213836478</c:v>
                </c:pt>
                <c:pt idx="27">
                  <c:v>73.5124528301887</c:v>
                </c:pt>
                <c:pt idx="28">
                  <c:v>74.1006918238994</c:v>
                </c:pt>
                <c:pt idx="29">
                  <c:v>74.6889308176101</c:v>
                </c:pt>
                <c:pt idx="30">
                  <c:v>75.2771698113208</c:v>
                </c:pt>
                <c:pt idx="31">
                  <c:v>75.8654088050315</c:v>
                </c:pt>
                <c:pt idx="32">
                  <c:v>76.4536477987421</c:v>
                </c:pt>
                <c:pt idx="33">
                  <c:v>77.0418867924528</c:v>
                </c:pt>
                <c:pt idx="34">
                  <c:v>77.6301257861635</c:v>
                </c:pt>
                <c:pt idx="35">
                  <c:v>78.2183647798742</c:v>
                </c:pt>
                <c:pt idx="36">
                  <c:v>78.8066037735849</c:v>
                </c:pt>
                <c:pt idx="37">
                  <c:v>79.3948427672956</c:v>
                </c:pt>
                <c:pt idx="38">
                  <c:v>79.9830817610063</c:v>
                </c:pt>
                <c:pt idx="39">
                  <c:v>80.571320754717</c:v>
                </c:pt>
                <c:pt idx="40">
                  <c:v>81.1595597484277</c:v>
                </c:pt>
                <c:pt idx="41">
                  <c:v>81.7477987421384</c:v>
                </c:pt>
                <c:pt idx="42">
                  <c:v>82.3360377358491</c:v>
                </c:pt>
                <c:pt idx="43">
                  <c:v>82.9242767295598</c:v>
                </c:pt>
                <c:pt idx="44">
                  <c:v>83.5125157232704</c:v>
                </c:pt>
                <c:pt idx="45">
                  <c:v>84.1007547169811</c:v>
                </c:pt>
                <c:pt idx="46">
                  <c:v>84.6889937106918</c:v>
                </c:pt>
                <c:pt idx="47">
                  <c:v>85.2772327044025</c:v>
                </c:pt>
                <c:pt idx="48">
                  <c:v>85.8654716981132</c:v>
                </c:pt>
                <c:pt idx="49">
                  <c:v>86.4537106918239</c:v>
                </c:pt>
                <c:pt idx="50">
                  <c:v>87.0419496855346</c:v>
                </c:pt>
                <c:pt idx="51">
                  <c:v>87.6301886792453</c:v>
                </c:pt>
                <c:pt idx="52">
                  <c:v>88.218427672956</c:v>
                </c:pt>
                <c:pt idx="53">
                  <c:v>88.8066666666667</c:v>
                </c:pt>
                <c:pt idx="54">
                  <c:v>89.3949056603774</c:v>
                </c:pt>
                <c:pt idx="55">
                  <c:v>89.9831446540881</c:v>
                </c:pt>
                <c:pt idx="56">
                  <c:v>90.5713836477987</c:v>
                </c:pt>
                <c:pt idx="57">
                  <c:v>91.1596226415094</c:v>
                </c:pt>
                <c:pt idx="58">
                  <c:v>91.7478616352201</c:v>
                </c:pt>
                <c:pt idx="59">
                  <c:v>92.3361006289308</c:v>
                </c:pt>
                <c:pt idx="60">
                  <c:v>92.9243396226415</c:v>
                </c:pt>
                <c:pt idx="61">
                  <c:v>93.5125786163522</c:v>
                </c:pt>
                <c:pt idx="62">
                  <c:v>94.1008176100629</c:v>
                </c:pt>
                <c:pt idx="63">
                  <c:v>94.6890566037736</c:v>
                </c:pt>
                <c:pt idx="64">
                  <c:v>95.2772955974843</c:v>
                </c:pt>
                <c:pt idx="65">
                  <c:v>95.865534591195</c:v>
                </c:pt>
                <c:pt idx="66">
                  <c:v>96.4537735849057</c:v>
                </c:pt>
                <c:pt idx="67">
                  <c:v>97.0420125786164</c:v>
                </c:pt>
                <c:pt idx="68">
                  <c:v>97.630251572327</c:v>
                </c:pt>
                <c:pt idx="69">
                  <c:v>98.2184905660377</c:v>
                </c:pt>
                <c:pt idx="70">
                  <c:v>98.8067295597484</c:v>
                </c:pt>
                <c:pt idx="71">
                  <c:v>99.3949685534591</c:v>
                </c:pt>
                <c:pt idx="72">
                  <c:v>99.9832075471698</c:v>
                </c:pt>
                <c:pt idx="73">
                  <c:v>100.571446540881</c:v>
                </c:pt>
                <c:pt idx="74">
                  <c:v>101.159685534591</c:v>
                </c:pt>
                <c:pt idx="75">
                  <c:v>101.747924528302</c:v>
                </c:pt>
                <c:pt idx="76">
                  <c:v>102.336163522013</c:v>
                </c:pt>
                <c:pt idx="77">
                  <c:v>102.924402515723</c:v>
                </c:pt>
                <c:pt idx="78">
                  <c:v>103.512641509434</c:v>
                </c:pt>
                <c:pt idx="79">
                  <c:v>104.100880503145</c:v>
                </c:pt>
                <c:pt idx="80">
                  <c:v>104.689119496855</c:v>
                </c:pt>
                <c:pt idx="81">
                  <c:v>105.277358490566</c:v>
                </c:pt>
                <c:pt idx="82">
                  <c:v>105.865597484277</c:v>
                </c:pt>
                <c:pt idx="83">
                  <c:v>106.453836477987</c:v>
                </c:pt>
                <c:pt idx="84">
                  <c:v>107.042075471698</c:v>
                </c:pt>
                <c:pt idx="85">
                  <c:v>107.630314465409</c:v>
                </c:pt>
                <c:pt idx="86">
                  <c:v>108.21855345912</c:v>
                </c:pt>
                <c:pt idx="87">
                  <c:v>108.80679245283</c:v>
                </c:pt>
                <c:pt idx="88">
                  <c:v>109.395031446541</c:v>
                </c:pt>
                <c:pt idx="89">
                  <c:v>109.983270440252</c:v>
                </c:pt>
                <c:pt idx="90">
                  <c:v>110.571509433962</c:v>
                </c:pt>
                <c:pt idx="91">
                  <c:v>111.159748427673</c:v>
                </c:pt>
                <c:pt idx="92">
                  <c:v>111.747987421384</c:v>
                </c:pt>
                <c:pt idx="93">
                  <c:v>112.336226415094</c:v>
                </c:pt>
                <c:pt idx="94">
                  <c:v>112.924465408805</c:v>
                </c:pt>
                <c:pt idx="95">
                  <c:v>113.512704402516</c:v>
                </c:pt>
                <c:pt idx="96">
                  <c:v>114.100943396226</c:v>
                </c:pt>
                <c:pt idx="97">
                  <c:v>114.689182389937</c:v>
                </c:pt>
                <c:pt idx="98">
                  <c:v>115.277421383648</c:v>
                </c:pt>
                <c:pt idx="99">
                  <c:v>115.865660377359</c:v>
                </c:pt>
                <c:pt idx="100">
                  <c:v>116.453899371069</c:v>
                </c:pt>
                <c:pt idx="101">
                  <c:v>117.04213836478</c:v>
                </c:pt>
                <c:pt idx="102">
                  <c:v>117.630377358491</c:v>
                </c:pt>
                <c:pt idx="103">
                  <c:v>118.218616352201</c:v>
                </c:pt>
                <c:pt idx="104">
                  <c:v>118.806855345912</c:v>
                </c:pt>
                <c:pt idx="105">
                  <c:v>119.395094339623</c:v>
                </c:pt>
                <c:pt idx="106">
                  <c:v>119.983333333333</c:v>
                </c:pt>
                <c:pt idx="107">
                  <c:v>120.571572327044</c:v>
                </c:pt>
                <c:pt idx="108">
                  <c:v>121.159811320755</c:v>
                </c:pt>
                <c:pt idx="109">
                  <c:v>121.748050314465</c:v>
                </c:pt>
                <c:pt idx="110">
                  <c:v>122.336289308176</c:v>
                </c:pt>
                <c:pt idx="111">
                  <c:v>122.924528301887</c:v>
                </c:pt>
                <c:pt idx="112">
                  <c:v>123.512767295597</c:v>
                </c:pt>
                <c:pt idx="113">
                  <c:v>124.101006289308</c:v>
                </c:pt>
                <c:pt idx="114">
                  <c:v>124.689245283019</c:v>
                </c:pt>
                <c:pt idx="115">
                  <c:v>125.27748427673</c:v>
                </c:pt>
                <c:pt idx="116">
                  <c:v>125.86572327044</c:v>
                </c:pt>
                <c:pt idx="117">
                  <c:v>126.453962264151</c:v>
                </c:pt>
                <c:pt idx="118">
                  <c:v>127.042201257862</c:v>
                </c:pt>
                <c:pt idx="119">
                  <c:v>127.630440251572</c:v>
                </c:pt>
                <c:pt idx="120">
                  <c:v>128.218679245283</c:v>
                </c:pt>
                <c:pt idx="121">
                  <c:v>128.806918238994</c:v>
                </c:pt>
                <c:pt idx="122">
                  <c:v>129.395157232704</c:v>
                </c:pt>
                <c:pt idx="123">
                  <c:v>129.983396226415</c:v>
                </c:pt>
                <c:pt idx="124">
                  <c:v>130.571635220126</c:v>
                </c:pt>
                <c:pt idx="125">
                  <c:v>131.159874213836</c:v>
                </c:pt>
                <c:pt idx="126">
                  <c:v>131.748113207547</c:v>
                </c:pt>
                <c:pt idx="127">
                  <c:v>132.336352201258</c:v>
                </c:pt>
                <c:pt idx="128">
                  <c:v>132.924591194969</c:v>
                </c:pt>
                <c:pt idx="129">
                  <c:v>133.512830188679</c:v>
                </c:pt>
                <c:pt idx="130">
                  <c:v>134.10106918239</c:v>
                </c:pt>
                <c:pt idx="131">
                  <c:v>134.689308176101</c:v>
                </c:pt>
                <c:pt idx="132">
                  <c:v>135.277547169811</c:v>
                </c:pt>
                <c:pt idx="133">
                  <c:v>135.865786163522</c:v>
                </c:pt>
                <c:pt idx="134">
                  <c:v>136.454025157233</c:v>
                </c:pt>
                <c:pt idx="135">
                  <c:v>137.042264150943</c:v>
                </c:pt>
                <c:pt idx="136">
                  <c:v>137.630503144654</c:v>
                </c:pt>
                <c:pt idx="137">
                  <c:v>138.218742138365</c:v>
                </c:pt>
                <c:pt idx="138">
                  <c:v>138.806981132075</c:v>
                </c:pt>
                <c:pt idx="139">
                  <c:v>139.395220125786</c:v>
                </c:pt>
                <c:pt idx="140">
                  <c:v>139.983459119497</c:v>
                </c:pt>
                <c:pt idx="141">
                  <c:v>140.571698113208</c:v>
                </c:pt>
                <c:pt idx="142">
                  <c:v>141.159937106918</c:v>
                </c:pt>
                <c:pt idx="143">
                  <c:v>141.748176100629</c:v>
                </c:pt>
                <c:pt idx="144">
                  <c:v>142.33641509434</c:v>
                </c:pt>
                <c:pt idx="145">
                  <c:v>142.92465408805</c:v>
                </c:pt>
                <c:pt idx="146">
                  <c:v>143.512893081761</c:v>
                </c:pt>
                <c:pt idx="147">
                  <c:v>144.101132075472</c:v>
                </c:pt>
                <c:pt idx="148">
                  <c:v>144.689371069182</c:v>
                </c:pt>
                <c:pt idx="149">
                  <c:v>145.277610062893</c:v>
                </c:pt>
                <c:pt idx="150">
                  <c:v>145.865849056604</c:v>
                </c:pt>
                <c:pt idx="151">
                  <c:v>146.454088050314</c:v>
                </c:pt>
                <c:pt idx="152">
                  <c:v>147.042327044025</c:v>
                </c:pt>
                <c:pt idx="153">
                  <c:v>147.630566037736</c:v>
                </c:pt>
                <c:pt idx="154">
                  <c:v>148.218805031447</c:v>
                </c:pt>
                <c:pt idx="155">
                  <c:v>148.807044025157</c:v>
                </c:pt>
                <c:pt idx="156">
                  <c:v>149.395283018868</c:v>
                </c:pt>
                <c:pt idx="157">
                  <c:v>149.983522012579</c:v>
                </c:pt>
                <c:pt idx="158">
                  <c:v>150.571761006289</c:v>
                </c:pt>
                <c:pt idx="159">
                  <c:v>151.16</c:v>
                </c:pt>
                <c:pt idx="160">
                  <c:v>151.748238993711</c:v>
                </c:pt>
              </c:numCache>
            </c:numRef>
          </c:val>
          <c:smooth val="0"/>
        </c:ser>
        <c:hiLowLines>
          <c:spPr>
            <a:ln w="0">
              <a:noFill/>
            </a:ln>
          </c:spPr>
        </c:hiLowLines>
        <c:marker val="0"/>
        <c:axId val="94695777"/>
        <c:axId val="83052224"/>
      </c:lineChart>
      <c:dateAx>
        <c:axId val="331928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674128"/>
        <c:auto val="1"/>
        <c:lblOffset val="100"/>
        <c:baseTimeUnit val="days"/>
      </c:dateAx>
      <c:valAx>
        <c:axId val="836741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92879"/>
        <c:crosses val="autoZero"/>
        <c:crossBetween val="between"/>
      </c:valAx>
      <c:dateAx>
        <c:axId val="946957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052224"/>
        <c:auto val="1"/>
        <c:lblOffset val="100"/>
        <c:baseTimeUnit val="days"/>
      </c:dateAx>
      <c:valAx>
        <c:axId val="830522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6957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(Calc)'!$T$3:$T$500</c:f>
              <c:numCache>
                <c:formatCode>0.0%</c:formatCode>
                <c:ptCount val="498"/>
                <c:pt idx="0">
                  <c:v>-0.0146883684001589</c:v>
                </c:pt>
                <c:pt idx="1">
                  <c:v>0.00282030620467366</c:v>
                </c:pt>
                <c:pt idx="2">
                  <c:v>-0.0184813177983126</c:v>
                </c:pt>
                <c:pt idx="3">
                  <c:v>0.0143266475644699</c:v>
                </c:pt>
                <c:pt idx="4">
                  <c:v>-0.0129136400322841</c:v>
                </c:pt>
                <c:pt idx="5">
                  <c:v>-0.0327064595257564</c:v>
                </c:pt>
                <c:pt idx="6">
                  <c:v>0.058748943364328</c:v>
                </c:pt>
                <c:pt idx="7">
                  <c:v>-0.00638722554890225</c:v>
                </c:pt>
                <c:pt idx="8">
                  <c:v>0.025713137806348</c:v>
                </c:pt>
                <c:pt idx="9">
                  <c:v>0.00705052878965917</c:v>
                </c:pt>
                <c:pt idx="10">
                  <c:v>0.0136133800077789</c:v>
                </c:pt>
                <c:pt idx="11">
                  <c:v>0.00844205679201848</c:v>
                </c:pt>
                <c:pt idx="12">
                  <c:v>0.0277777777777779</c:v>
                </c:pt>
                <c:pt idx="13">
                  <c:v>0.0122176971492038</c:v>
                </c:pt>
                <c:pt idx="14">
                  <c:v>-0.00219458668617401</c:v>
                </c:pt>
                <c:pt idx="15">
                  <c:v>0.000733137829912023</c:v>
                </c:pt>
                <c:pt idx="16">
                  <c:v>-0.0021978021978023</c:v>
                </c:pt>
                <c:pt idx="17">
                  <c:v>-0.00954478707782669</c:v>
                </c:pt>
                <c:pt idx="18">
                  <c:v>0.00815418828762038</c:v>
                </c:pt>
                <c:pt idx="19">
                  <c:v>0.00955882352941173</c:v>
                </c:pt>
                <c:pt idx="20">
                  <c:v>0.00509832483612538</c:v>
                </c:pt>
                <c:pt idx="21">
                  <c:v>0.0083333333333333</c:v>
                </c:pt>
                <c:pt idx="22">
                  <c:v>0.021918792669781</c:v>
                </c:pt>
                <c:pt idx="23">
                  <c:v>0.0218002812939522</c:v>
                </c:pt>
                <c:pt idx="24">
                  <c:v>0.0196145905024088</c:v>
                </c:pt>
                <c:pt idx="25">
                  <c:v>0.0155248059399258</c:v>
                </c:pt>
                <c:pt idx="26">
                  <c:v>0.0242605516782985</c:v>
                </c:pt>
                <c:pt idx="27">
                  <c:v>0.0155743024010384</c:v>
                </c:pt>
                <c:pt idx="28">
                  <c:v>-0.00255591054313109</c:v>
                </c:pt>
                <c:pt idx="29">
                  <c:v>-0.0256245996156309</c:v>
                </c:pt>
                <c:pt idx="30">
                  <c:v>-0.0177514792899409</c:v>
                </c:pt>
                <c:pt idx="31">
                  <c:v>0.0127175368139225</c:v>
                </c:pt>
                <c:pt idx="32">
                  <c:v>-0.0155320555188369</c:v>
                </c:pt>
                <c:pt idx="33">
                  <c:v>0.0224907687143336</c:v>
                </c:pt>
                <c:pt idx="34">
                  <c:v>0.00919238345370976</c:v>
                </c:pt>
                <c:pt idx="35">
                  <c:v>-0.0169160702667535</c:v>
                </c:pt>
                <c:pt idx="36">
                  <c:v>0.0112508272667107</c:v>
                </c:pt>
                <c:pt idx="37">
                  <c:v>-0.0209424083769633</c:v>
                </c:pt>
                <c:pt idx="38">
                  <c:v>-0.00233957219251335</c:v>
                </c:pt>
                <c:pt idx="39">
                  <c:v>0.00971524288107206</c:v>
                </c:pt>
                <c:pt idx="40">
                  <c:v>-0.00630391506303918</c:v>
                </c:pt>
                <c:pt idx="41">
                  <c:v>-0.020033388981636</c:v>
                </c:pt>
                <c:pt idx="42">
                  <c:v>0.0385008517887564</c:v>
                </c:pt>
                <c:pt idx="43">
                  <c:v>0.0154199475065617</c:v>
                </c:pt>
                <c:pt idx="44">
                  <c:v>0.0177705977382876</c:v>
                </c:pt>
                <c:pt idx="45">
                  <c:v>-0.0285714285714286</c:v>
                </c:pt>
                <c:pt idx="46">
                  <c:v>-0.000980392156862742</c:v>
                </c:pt>
                <c:pt idx="47">
                  <c:v>0.0160287863918873</c:v>
                </c:pt>
                <c:pt idx="48">
                  <c:v>0.0328396651641982</c:v>
                </c:pt>
                <c:pt idx="49">
                  <c:v>0.00342892768079794</c:v>
                </c:pt>
                <c:pt idx="50">
                  <c:v>-0.0413171792482137</c:v>
                </c:pt>
                <c:pt idx="51">
                  <c:v>0.0252754374594946</c:v>
                </c:pt>
                <c:pt idx="52">
                  <c:v>0.0173830594184576</c:v>
                </c:pt>
                <c:pt idx="53">
                  <c:v>0.00217458838148499</c:v>
                </c:pt>
                <c:pt idx="54">
                  <c:v>0.018598884066956</c:v>
                </c:pt>
                <c:pt idx="55">
                  <c:v>0.00426049908703585</c:v>
                </c:pt>
                <c:pt idx="56">
                  <c:v>-0.00484848484848477</c:v>
                </c:pt>
                <c:pt idx="57">
                  <c:v>-0.0191839220462851</c:v>
                </c:pt>
                <c:pt idx="58">
                  <c:v>0.000620925178515863</c:v>
                </c:pt>
                <c:pt idx="59">
                  <c:v>0.0775674837108284</c:v>
                </c:pt>
                <c:pt idx="60">
                  <c:v>-0.0152605816297148</c:v>
                </c:pt>
                <c:pt idx="61">
                  <c:v>0.0385964912280701</c:v>
                </c:pt>
                <c:pt idx="62">
                  <c:v>0.00197072072072069</c:v>
                </c:pt>
                <c:pt idx="63">
                  <c:v>-0.000842933408260804</c:v>
                </c:pt>
                <c:pt idx="64">
                  <c:v>-0.0416197975253094</c:v>
                </c:pt>
                <c:pt idx="65">
                  <c:v>-0.0305164319248826</c:v>
                </c:pt>
                <c:pt idx="66">
                  <c:v>0.00938256658595638</c:v>
                </c:pt>
                <c:pt idx="67">
                  <c:v>0.00749625187406289</c:v>
                </c:pt>
                <c:pt idx="68">
                  <c:v>0</c:v>
                </c:pt>
                <c:pt idx="69">
                  <c:v>0.0386904761904761</c:v>
                </c:pt>
                <c:pt idx="70">
                  <c:v>0.00229226361031509</c:v>
                </c:pt>
                <c:pt idx="71">
                  <c:v>-0.0102915951972555</c:v>
                </c:pt>
                <c:pt idx="72">
                  <c:v>-0.00722125938763718</c:v>
                </c:pt>
                <c:pt idx="73">
                  <c:v>0.0116380564445739</c:v>
                </c:pt>
                <c:pt idx="74">
                  <c:v>-0.00345125107851607</c:v>
                </c:pt>
                <c:pt idx="75">
                  <c:v>-0.00490620490620497</c:v>
                </c:pt>
                <c:pt idx="76">
                  <c:v>-0.0142111368909511</c:v>
                </c:pt>
                <c:pt idx="77">
                  <c:v>-0.0188290673727567</c:v>
                </c:pt>
                <c:pt idx="78">
                  <c:v>0.0167916041979008</c:v>
                </c:pt>
                <c:pt idx="79">
                  <c:v>-0.0162194043055145</c:v>
                </c:pt>
                <c:pt idx="80">
                  <c:v>-0.0926258992805755</c:v>
                </c:pt>
                <c:pt idx="81">
                  <c:v>0.0211430459200528</c:v>
                </c:pt>
                <c:pt idx="82">
                  <c:v>0.00711743772241991</c:v>
                </c:pt>
                <c:pt idx="83">
                  <c:v>0.0330870542884676</c:v>
                </c:pt>
                <c:pt idx="84">
                  <c:v>0.0189676616915424</c:v>
                </c:pt>
                <c:pt idx="85">
                  <c:v>-0.00152578577967666</c:v>
                </c:pt>
                <c:pt idx="86">
                  <c:v>0.0430929095354524</c:v>
                </c:pt>
                <c:pt idx="87">
                  <c:v>-0.0348666861998244</c:v>
                </c:pt>
                <c:pt idx="88">
                  <c:v>0.00789313904068023</c:v>
                </c:pt>
                <c:pt idx="89">
                  <c:v>0.0234939759036144</c:v>
                </c:pt>
                <c:pt idx="90">
                  <c:v>0.0132430841671571</c:v>
                </c:pt>
                <c:pt idx="91">
                  <c:v>-0.001161777519605</c:v>
                </c:pt>
                <c:pt idx="92">
                  <c:v>0.00872346612387309</c:v>
                </c:pt>
                <c:pt idx="93">
                  <c:v>0.0123955030268088</c:v>
                </c:pt>
                <c:pt idx="94">
                  <c:v>0.00227790432801833</c:v>
                </c:pt>
                <c:pt idx="95">
                  <c:v>-0.0210227272727274</c:v>
                </c:pt>
                <c:pt idx="96">
                  <c:v>0.0217643644805572</c:v>
                </c:pt>
                <c:pt idx="97">
                  <c:v>-0.0417495029821073</c:v>
                </c:pt>
                <c:pt idx="98">
                  <c:v>0.010077059869591</c:v>
                </c:pt>
                <c:pt idx="99">
                  <c:v>0.039612676056338</c:v>
                </c:pt>
                <c:pt idx="100">
                  <c:v>0.0256844482077336</c:v>
                </c:pt>
                <c:pt idx="101">
                  <c:v>0.00908090258668137</c:v>
                </c:pt>
                <c:pt idx="102">
                  <c:v>0.00763566948459227</c:v>
                </c:pt>
                <c:pt idx="103">
                  <c:v>0.000811907983761628</c:v>
                </c:pt>
                <c:pt idx="104">
                  <c:v>-0.0013520822065981</c:v>
                </c:pt>
                <c:pt idx="105">
                  <c:v>0.00812347684809089</c:v>
                </c:pt>
                <c:pt idx="106">
                  <c:v>0.00322320709105561</c:v>
                </c:pt>
                <c:pt idx="107">
                  <c:v>-0.0331994645247657</c:v>
                </c:pt>
                <c:pt idx="108">
                  <c:v>0.0141235114926612</c:v>
                </c:pt>
                <c:pt idx="109">
                  <c:v>0.0262151829601311</c:v>
                </c:pt>
                <c:pt idx="110">
                  <c:v>-0.00638637573177203</c:v>
                </c:pt>
                <c:pt idx="111">
                  <c:v>0.00214247455811467</c:v>
                </c:pt>
                <c:pt idx="112">
                  <c:v>0.0112239444147515</c:v>
                </c:pt>
                <c:pt idx="113">
                  <c:v>-0.0200845665961946</c:v>
                </c:pt>
                <c:pt idx="114">
                  <c:v>0.0342502696871629</c:v>
                </c:pt>
                <c:pt idx="115">
                  <c:v>0.0153846153846153</c:v>
                </c:pt>
                <c:pt idx="116">
                  <c:v>0.0110426296866974</c:v>
                </c:pt>
                <c:pt idx="117">
                  <c:v>-0.00431800863601717</c:v>
                </c:pt>
                <c:pt idx="118">
                  <c:v>0.0066326530612244</c:v>
                </c:pt>
                <c:pt idx="119">
                  <c:v>-0.00937658388241247</c:v>
                </c:pt>
                <c:pt idx="120">
                  <c:v>0.0255819902788437</c:v>
                </c:pt>
                <c:pt idx="121">
                  <c:v>-0.0202045397854828</c:v>
                </c:pt>
                <c:pt idx="122">
                  <c:v>0.00636456211812631</c:v>
                </c:pt>
                <c:pt idx="123">
                  <c:v>-0.00986592461421709</c:v>
                </c:pt>
                <c:pt idx="124">
                  <c:v>0.0242718446601942</c:v>
                </c:pt>
                <c:pt idx="125">
                  <c:v>-0.00424045896732361</c:v>
                </c:pt>
                <c:pt idx="126">
                  <c:v>0.00200400801603196</c:v>
                </c:pt>
                <c:pt idx="127">
                  <c:v>0.00350000000000006</c:v>
                </c:pt>
                <c:pt idx="128">
                  <c:v>-0.00896860986547088</c:v>
                </c:pt>
                <c:pt idx="129">
                  <c:v>-0.0216189039718452</c:v>
                </c:pt>
                <c:pt idx="130">
                  <c:v>0.00102774922918814</c:v>
                </c:pt>
                <c:pt idx="131">
                  <c:v>-0.0125770020533882</c:v>
                </c:pt>
                <c:pt idx="132">
                  <c:v>0.0283337665713543</c:v>
                </c:pt>
                <c:pt idx="133">
                  <c:v>-0.0042972699696664</c:v>
                </c:pt>
                <c:pt idx="134">
                  <c:v>0.0535668951510535</c:v>
                </c:pt>
                <c:pt idx="135">
                  <c:v>-0.00578313253012053</c:v>
                </c:pt>
                <c:pt idx="136">
                  <c:v>0.0256907416383907</c:v>
                </c:pt>
                <c:pt idx="137">
                  <c:v>0.0245746691871456</c:v>
                </c:pt>
                <c:pt idx="138">
                  <c:v>-0.0255996309963099</c:v>
                </c:pt>
                <c:pt idx="139">
                  <c:v>0.039526627218935</c:v>
                </c:pt>
                <c:pt idx="140">
                  <c:v>0.0539617486338797</c:v>
                </c:pt>
                <c:pt idx="141">
                  <c:v>-0.0112335277597753</c:v>
                </c:pt>
                <c:pt idx="142">
                  <c:v>0.00633602796591659</c:v>
                </c:pt>
                <c:pt idx="143">
                  <c:v>-0.0225792444637429</c:v>
                </c:pt>
                <c:pt idx="144">
                  <c:v>0.0208796090626389</c:v>
                </c:pt>
                <c:pt idx="145">
                  <c:v>0.0176240208877285</c:v>
                </c:pt>
                <c:pt idx="146">
                  <c:v>0.00876630318580274</c:v>
                </c:pt>
                <c:pt idx="147">
                  <c:v>0.0086901229334464</c:v>
                </c:pt>
                <c:pt idx="148">
                  <c:v>0.00714435805841562</c:v>
                </c:pt>
                <c:pt idx="149">
                  <c:v>0.0331733778426873</c:v>
                </c:pt>
                <c:pt idx="150">
                  <c:v>0.0351373182552504</c:v>
                </c:pt>
                <c:pt idx="151">
                  <c:v>0.0438938743659774</c:v>
                </c:pt>
                <c:pt idx="152">
                  <c:v>0.0323304055316764</c:v>
                </c:pt>
                <c:pt idx="153">
                  <c:v>0.00380159304851557</c:v>
                </c:pt>
                <c:pt idx="154">
                  <c:v>-0.00667267808836802</c:v>
                </c:pt>
                <c:pt idx="155">
                  <c:v>-0.0236020334059549</c:v>
                </c:pt>
                <c:pt idx="156">
                  <c:v>-0.0163629602082559</c:v>
                </c:pt>
                <c:pt idx="157">
                  <c:v>-0.0262759924385634</c:v>
                </c:pt>
                <c:pt idx="158">
                  <c:v>0.00407687827606296</c:v>
                </c:pt>
                <c:pt idx="159">
                  <c:v>0.0216550657385926</c:v>
                </c:pt>
              </c:numCache>
            </c:numRef>
          </c:val>
        </c:ser>
        <c:gapWidth val="150"/>
        <c:overlap val="0"/>
        <c:axId val="52943213"/>
        <c:axId val="8436053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(Calc)'!$AN$3:$AN$500</c:f>
              <c:numCache>
                <c:formatCode>#,##0.00</c:formatCode>
                <c:ptCount val="498"/>
                <c:pt idx="0">
                  <c:v>25.19</c:v>
                </c:pt>
                <c:pt idx="1">
                  <c:v>25.3638993710692</c:v>
                </c:pt>
                <c:pt idx="2">
                  <c:v>25.5377987421384</c:v>
                </c:pt>
                <c:pt idx="3">
                  <c:v>25.7116981132076</c:v>
                </c:pt>
                <c:pt idx="4">
                  <c:v>25.8855974842767</c:v>
                </c:pt>
                <c:pt idx="5">
                  <c:v>26.0594968553459</c:v>
                </c:pt>
                <c:pt idx="6">
                  <c:v>26.2333962264151</c:v>
                </c:pt>
                <c:pt idx="7">
                  <c:v>26.4072955974843</c:v>
                </c:pt>
                <c:pt idx="8">
                  <c:v>26.5811949685535</c:v>
                </c:pt>
                <c:pt idx="9">
                  <c:v>26.7550943396226</c:v>
                </c:pt>
                <c:pt idx="10">
                  <c:v>26.9289937106918</c:v>
                </c:pt>
                <c:pt idx="11">
                  <c:v>27.102893081761</c:v>
                </c:pt>
                <c:pt idx="12">
                  <c:v>27.2767924528302</c:v>
                </c:pt>
                <c:pt idx="13">
                  <c:v>27.4506918238994</c:v>
                </c:pt>
                <c:pt idx="14">
                  <c:v>27.6245911949686</c:v>
                </c:pt>
                <c:pt idx="15">
                  <c:v>27.7984905660377</c:v>
                </c:pt>
                <c:pt idx="16">
                  <c:v>27.9723899371069</c:v>
                </c:pt>
                <c:pt idx="17">
                  <c:v>28.1462893081761</c:v>
                </c:pt>
                <c:pt idx="18">
                  <c:v>28.3201886792453</c:v>
                </c:pt>
                <c:pt idx="19">
                  <c:v>28.4940880503145</c:v>
                </c:pt>
                <c:pt idx="20">
                  <c:v>28.6679874213837</c:v>
                </c:pt>
                <c:pt idx="21">
                  <c:v>28.8418867924528</c:v>
                </c:pt>
                <c:pt idx="22">
                  <c:v>29.015786163522</c:v>
                </c:pt>
                <c:pt idx="23">
                  <c:v>29.1896855345912</c:v>
                </c:pt>
                <c:pt idx="24">
                  <c:v>29.3635849056604</c:v>
                </c:pt>
                <c:pt idx="25">
                  <c:v>29.5374842767296</c:v>
                </c:pt>
                <c:pt idx="26">
                  <c:v>29.7113836477987</c:v>
                </c:pt>
                <c:pt idx="27">
                  <c:v>29.8852830188679</c:v>
                </c:pt>
                <c:pt idx="28">
                  <c:v>30.0591823899371</c:v>
                </c:pt>
                <c:pt idx="29">
                  <c:v>30.2330817610063</c:v>
                </c:pt>
                <c:pt idx="30">
                  <c:v>30.4069811320755</c:v>
                </c:pt>
                <c:pt idx="31">
                  <c:v>30.5808805031447</c:v>
                </c:pt>
                <c:pt idx="32">
                  <c:v>30.7547798742138</c:v>
                </c:pt>
                <c:pt idx="33">
                  <c:v>30.928679245283</c:v>
                </c:pt>
                <c:pt idx="34">
                  <c:v>31.1025786163522</c:v>
                </c:pt>
                <c:pt idx="35">
                  <c:v>31.2764779874214</c:v>
                </c:pt>
                <c:pt idx="36">
                  <c:v>31.4503773584906</c:v>
                </c:pt>
                <c:pt idx="37">
                  <c:v>31.6242767295598</c:v>
                </c:pt>
                <c:pt idx="38">
                  <c:v>31.7981761006289</c:v>
                </c:pt>
                <c:pt idx="39">
                  <c:v>31.9720754716981</c:v>
                </c:pt>
                <c:pt idx="40">
                  <c:v>32.1459748427673</c:v>
                </c:pt>
                <c:pt idx="41">
                  <c:v>32.3198742138365</c:v>
                </c:pt>
                <c:pt idx="42">
                  <c:v>32.4937735849057</c:v>
                </c:pt>
                <c:pt idx="43">
                  <c:v>32.6676729559748</c:v>
                </c:pt>
                <c:pt idx="44">
                  <c:v>32.841572327044</c:v>
                </c:pt>
                <c:pt idx="45">
                  <c:v>33.0154716981132</c:v>
                </c:pt>
                <c:pt idx="46">
                  <c:v>33.1893710691824</c:v>
                </c:pt>
                <c:pt idx="47">
                  <c:v>33.3632704402516</c:v>
                </c:pt>
                <c:pt idx="48">
                  <c:v>33.5371698113208</c:v>
                </c:pt>
                <c:pt idx="49">
                  <c:v>33.7110691823899</c:v>
                </c:pt>
                <c:pt idx="50">
                  <c:v>33.8849685534591</c:v>
                </c:pt>
                <c:pt idx="51">
                  <c:v>34.0588679245283</c:v>
                </c:pt>
                <c:pt idx="52">
                  <c:v>34.2327672955975</c:v>
                </c:pt>
                <c:pt idx="53">
                  <c:v>34.4066666666667</c:v>
                </c:pt>
                <c:pt idx="54">
                  <c:v>34.5805660377359</c:v>
                </c:pt>
                <c:pt idx="55">
                  <c:v>34.754465408805</c:v>
                </c:pt>
                <c:pt idx="56">
                  <c:v>34.9283647798742</c:v>
                </c:pt>
                <c:pt idx="57">
                  <c:v>35.1022641509434</c:v>
                </c:pt>
                <c:pt idx="58">
                  <c:v>35.2761635220126</c:v>
                </c:pt>
                <c:pt idx="59">
                  <c:v>35.4500628930818</c:v>
                </c:pt>
                <c:pt idx="60">
                  <c:v>35.623962264151</c:v>
                </c:pt>
                <c:pt idx="61">
                  <c:v>35.7978616352201</c:v>
                </c:pt>
                <c:pt idx="62">
                  <c:v>35.9717610062893</c:v>
                </c:pt>
                <c:pt idx="63">
                  <c:v>36.1456603773585</c:v>
                </c:pt>
                <c:pt idx="64">
                  <c:v>36.3195597484277</c:v>
                </c:pt>
                <c:pt idx="65">
                  <c:v>36.4934591194969</c:v>
                </c:pt>
                <c:pt idx="66">
                  <c:v>36.667358490566</c:v>
                </c:pt>
                <c:pt idx="67">
                  <c:v>36.8412578616352</c:v>
                </c:pt>
                <c:pt idx="68">
                  <c:v>37.0151572327044</c:v>
                </c:pt>
                <c:pt idx="69">
                  <c:v>37.1890566037736</c:v>
                </c:pt>
                <c:pt idx="70">
                  <c:v>37.3629559748428</c:v>
                </c:pt>
                <c:pt idx="71">
                  <c:v>37.536855345912</c:v>
                </c:pt>
                <c:pt idx="72">
                  <c:v>37.7107547169811</c:v>
                </c:pt>
                <c:pt idx="73">
                  <c:v>37.8846540880503</c:v>
                </c:pt>
                <c:pt idx="74">
                  <c:v>38.0585534591195</c:v>
                </c:pt>
                <c:pt idx="75">
                  <c:v>38.2324528301887</c:v>
                </c:pt>
                <c:pt idx="76">
                  <c:v>38.4063522012579</c:v>
                </c:pt>
                <c:pt idx="77">
                  <c:v>38.580251572327</c:v>
                </c:pt>
                <c:pt idx="78">
                  <c:v>38.7541509433962</c:v>
                </c:pt>
                <c:pt idx="79">
                  <c:v>38.9280503144654</c:v>
                </c:pt>
                <c:pt idx="80">
                  <c:v>39.1019496855346</c:v>
                </c:pt>
                <c:pt idx="81">
                  <c:v>39.2758490566038</c:v>
                </c:pt>
                <c:pt idx="82">
                  <c:v>39.449748427673</c:v>
                </c:pt>
                <c:pt idx="83">
                  <c:v>39.6236477987421</c:v>
                </c:pt>
                <c:pt idx="84">
                  <c:v>39.7975471698113</c:v>
                </c:pt>
                <c:pt idx="85">
                  <c:v>39.9714465408805</c:v>
                </c:pt>
                <c:pt idx="86">
                  <c:v>40.1453459119497</c:v>
                </c:pt>
                <c:pt idx="87">
                  <c:v>40.3192452830189</c:v>
                </c:pt>
                <c:pt idx="88">
                  <c:v>40.4931446540881</c:v>
                </c:pt>
                <c:pt idx="89">
                  <c:v>40.6670440251572</c:v>
                </c:pt>
                <c:pt idx="90">
                  <c:v>40.8409433962264</c:v>
                </c:pt>
                <c:pt idx="91">
                  <c:v>41.0148427672956</c:v>
                </c:pt>
                <c:pt idx="92">
                  <c:v>41.1887421383648</c:v>
                </c:pt>
                <c:pt idx="93">
                  <c:v>41.362641509434</c:v>
                </c:pt>
                <c:pt idx="94">
                  <c:v>41.5365408805032</c:v>
                </c:pt>
                <c:pt idx="95">
                  <c:v>41.7104402515723</c:v>
                </c:pt>
                <c:pt idx="96">
                  <c:v>41.8843396226415</c:v>
                </c:pt>
                <c:pt idx="97">
                  <c:v>42.0582389937107</c:v>
                </c:pt>
                <c:pt idx="98">
                  <c:v>42.2321383647799</c:v>
                </c:pt>
                <c:pt idx="99">
                  <c:v>42.4060377358491</c:v>
                </c:pt>
                <c:pt idx="100">
                  <c:v>42.5799371069182</c:v>
                </c:pt>
                <c:pt idx="101">
                  <c:v>42.7538364779874</c:v>
                </c:pt>
                <c:pt idx="102">
                  <c:v>42.9277358490566</c:v>
                </c:pt>
                <c:pt idx="103">
                  <c:v>43.1016352201258</c:v>
                </c:pt>
                <c:pt idx="104">
                  <c:v>43.275534591195</c:v>
                </c:pt>
                <c:pt idx="105">
                  <c:v>43.4494339622642</c:v>
                </c:pt>
                <c:pt idx="106">
                  <c:v>43.6233333333333</c:v>
                </c:pt>
                <c:pt idx="107">
                  <c:v>43.7972327044025</c:v>
                </c:pt>
                <c:pt idx="108">
                  <c:v>43.9711320754717</c:v>
                </c:pt>
                <c:pt idx="109">
                  <c:v>44.1450314465409</c:v>
                </c:pt>
                <c:pt idx="110">
                  <c:v>44.3189308176101</c:v>
                </c:pt>
                <c:pt idx="111">
                  <c:v>44.4928301886793</c:v>
                </c:pt>
                <c:pt idx="112">
                  <c:v>44.6667295597484</c:v>
                </c:pt>
                <c:pt idx="113">
                  <c:v>44.8406289308176</c:v>
                </c:pt>
                <c:pt idx="114">
                  <c:v>45.0145283018868</c:v>
                </c:pt>
                <c:pt idx="115">
                  <c:v>45.188427672956</c:v>
                </c:pt>
                <c:pt idx="116">
                  <c:v>45.3623270440252</c:v>
                </c:pt>
                <c:pt idx="117">
                  <c:v>45.5362264150943</c:v>
                </c:pt>
                <c:pt idx="118">
                  <c:v>45.7101257861635</c:v>
                </c:pt>
                <c:pt idx="119">
                  <c:v>45.8840251572327</c:v>
                </c:pt>
                <c:pt idx="120">
                  <c:v>46.0579245283019</c:v>
                </c:pt>
                <c:pt idx="121">
                  <c:v>46.2318238993711</c:v>
                </c:pt>
                <c:pt idx="122">
                  <c:v>46.4057232704403</c:v>
                </c:pt>
                <c:pt idx="123">
                  <c:v>46.5796226415094</c:v>
                </c:pt>
                <c:pt idx="124">
                  <c:v>46.7535220125786</c:v>
                </c:pt>
                <c:pt idx="125">
                  <c:v>46.9274213836478</c:v>
                </c:pt>
                <c:pt idx="126">
                  <c:v>47.101320754717</c:v>
                </c:pt>
                <c:pt idx="127">
                  <c:v>47.2752201257862</c:v>
                </c:pt>
                <c:pt idx="128">
                  <c:v>47.4491194968553</c:v>
                </c:pt>
                <c:pt idx="129">
                  <c:v>47.6230188679245</c:v>
                </c:pt>
                <c:pt idx="130">
                  <c:v>47.7969182389937</c:v>
                </c:pt>
                <c:pt idx="131">
                  <c:v>47.9708176100629</c:v>
                </c:pt>
                <c:pt idx="132">
                  <c:v>48.1447169811321</c:v>
                </c:pt>
                <c:pt idx="133">
                  <c:v>48.3186163522013</c:v>
                </c:pt>
                <c:pt idx="134">
                  <c:v>48.4925157232704</c:v>
                </c:pt>
                <c:pt idx="135">
                  <c:v>48.6664150943396</c:v>
                </c:pt>
                <c:pt idx="136">
                  <c:v>48.8403144654088</c:v>
                </c:pt>
                <c:pt idx="137">
                  <c:v>49.014213836478</c:v>
                </c:pt>
                <c:pt idx="138">
                  <c:v>49.1881132075472</c:v>
                </c:pt>
                <c:pt idx="139">
                  <c:v>49.3620125786164</c:v>
                </c:pt>
                <c:pt idx="140">
                  <c:v>49.5359119496855</c:v>
                </c:pt>
                <c:pt idx="141">
                  <c:v>49.7098113207547</c:v>
                </c:pt>
                <c:pt idx="142">
                  <c:v>49.8837106918239</c:v>
                </c:pt>
                <c:pt idx="143">
                  <c:v>50.0576100628931</c:v>
                </c:pt>
                <c:pt idx="144">
                  <c:v>50.2315094339623</c:v>
                </c:pt>
                <c:pt idx="145">
                  <c:v>50.4054088050315</c:v>
                </c:pt>
                <c:pt idx="146">
                  <c:v>50.5793081761006</c:v>
                </c:pt>
                <c:pt idx="147">
                  <c:v>50.7532075471698</c:v>
                </c:pt>
                <c:pt idx="148">
                  <c:v>50.927106918239</c:v>
                </c:pt>
                <c:pt idx="149">
                  <c:v>51.1010062893082</c:v>
                </c:pt>
                <c:pt idx="150">
                  <c:v>51.2749056603774</c:v>
                </c:pt>
                <c:pt idx="151">
                  <c:v>51.4488050314466</c:v>
                </c:pt>
                <c:pt idx="152">
                  <c:v>51.6227044025157</c:v>
                </c:pt>
                <c:pt idx="153">
                  <c:v>51.7966037735849</c:v>
                </c:pt>
                <c:pt idx="154">
                  <c:v>51.9705031446541</c:v>
                </c:pt>
                <c:pt idx="155">
                  <c:v>52.1444025157233</c:v>
                </c:pt>
                <c:pt idx="156">
                  <c:v>52.3183018867925</c:v>
                </c:pt>
                <c:pt idx="157">
                  <c:v>52.4922012578616</c:v>
                </c:pt>
                <c:pt idx="158">
                  <c:v>52.6661006289308</c:v>
                </c:pt>
                <c:pt idx="159">
                  <c:v>52.84</c:v>
                </c:pt>
                <c:pt idx="160">
                  <c:v>53.0138993710692</c:v>
                </c:pt>
              </c:numCache>
            </c:numRef>
          </c:val>
          <c:smooth val="0"/>
        </c:ser>
        <c:hiLowLines>
          <c:spPr>
            <a:ln w="0">
              <a:noFill/>
            </a:ln>
          </c:spPr>
        </c:hiLowLines>
        <c:marker val="0"/>
        <c:axId val="85317219"/>
        <c:axId val="20913956"/>
      </c:lineChart>
      <c:dateAx>
        <c:axId val="529432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360537"/>
        <c:auto val="1"/>
        <c:lblOffset val="100"/>
        <c:baseTimeUnit val="days"/>
      </c:dateAx>
      <c:valAx>
        <c:axId val="843605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943213"/>
        <c:crosses val="autoZero"/>
        <c:crossBetween val="between"/>
      </c:valAx>
      <c:dateAx>
        <c:axId val="853172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913956"/>
        <c:auto val="1"/>
        <c:lblOffset val="100"/>
        <c:baseTimeUnit val="days"/>
      </c:dateAx>
      <c:valAx>
        <c:axId val="209139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3172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pt idx="159">
                  <c:v>0.0687350967670382</c:v>
                </c:pt>
              </c:numCache>
            </c:numRef>
          </c:val>
        </c:ser>
        <c:gapWidth val="150"/>
        <c:overlap val="0"/>
        <c:axId val="9660288"/>
        <c:axId val="40207036"/>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(Calc)'!$AO$3:$AO$500</c:f>
              <c:numCache>
                <c:formatCode>#,##0.00</c:formatCode>
                <c:ptCount val="498"/>
                <c:pt idx="0">
                  <c:v>235.63</c:v>
                </c:pt>
                <c:pt idx="1">
                  <c:v>236.572264150943</c:v>
                </c:pt>
                <c:pt idx="2">
                  <c:v>237.514528301887</c:v>
                </c:pt>
                <c:pt idx="3">
                  <c:v>238.45679245283</c:v>
                </c:pt>
                <c:pt idx="4">
                  <c:v>239.399056603774</c:v>
                </c:pt>
                <c:pt idx="5">
                  <c:v>240.341320754717</c:v>
                </c:pt>
                <c:pt idx="6">
                  <c:v>241.28358490566</c:v>
                </c:pt>
                <c:pt idx="7">
                  <c:v>242.225849056604</c:v>
                </c:pt>
                <c:pt idx="8">
                  <c:v>243.168113207547</c:v>
                </c:pt>
                <c:pt idx="9">
                  <c:v>244.110377358491</c:v>
                </c:pt>
                <c:pt idx="10">
                  <c:v>245.052641509434</c:v>
                </c:pt>
                <c:pt idx="11">
                  <c:v>245.994905660377</c:v>
                </c:pt>
                <c:pt idx="12">
                  <c:v>246.937169811321</c:v>
                </c:pt>
                <c:pt idx="13">
                  <c:v>247.879433962264</c:v>
                </c:pt>
                <c:pt idx="14">
                  <c:v>248.821698113208</c:v>
                </c:pt>
                <c:pt idx="15">
                  <c:v>249.763962264151</c:v>
                </c:pt>
                <c:pt idx="16">
                  <c:v>250.706226415094</c:v>
                </c:pt>
                <c:pt idx="17">
                  <c:v>251.648490566038</c:v>
                </c:pt>
                <c:pt idx="18">
                  <c:v>252.590754716981</c:v>
                </c:pt>
                <c:pt idx="19">
                  <c:v>253.533018867925</c:v>
                </c:pt>
                <c:pt idx="20">
                  <c:v>254.475283018868</c:v>
                </c:pt>
                <c:pt idx="21">
                  <c:v>255.417547169811</c:v>
                </c:pt>
                <c:pt idx="22">
                  <c:v>256.359811320755</c:v>
                </c:pt>
                <c:pt idx="23">
                  <c:v>257.302075471698</c:v>
                </c:pt>
                <c:pt idx="24">
                  <c:v>258.244339622642</c:v>
                </c:pt>
                <c:pt idx="25">
                  <c:v>259.186603773585</c:v>
                </c:pt>
                <c:pt idx="26">
                  <c:v>260.128867924528</c:v>
                </c:pt>
                <c:pt idx="27">
                  <c:v>261.071132075472</c:v>
                </c:pt>
                <c:pt idx="28">
                  <c:v>262.013396226415</c:v>
                </c:pt>
                <c:pt idx="29">
                  <c:v>262.955660377358</c:v>
                </c:pt>
                <c:pt idx="30">
                  <c:v>263.897924528302</c:v>
                </c:pt>
                <c:pt idx="31">
                  <c:v>264.840188679245</c:v>
                </c:pt>
                <c:pt idx="32">
                  <c:v>265.782452830189</c:v>
                </c:pt>
                <c:pt idx="33">
                  <c:v>266.724716981132</c:v>
                </c:pt>
                <c:pt idx="34">
                  <c:v>267.666981132076</c:v>
                </c:pt>
                <c:pt idx="35">
                  <c:v>268.609245283019</c:v>
                </c:pt>
                <c:pt idx="36">
                  <c:v>269.551509433962</c:v>
                </c:pt>
                <c:pt idx="37">
                  <c:v>270.493773584906</c:v>
                </c:pt>
                <c:pt idx="38">
                  <c:v>271.436037735849</c:v>
                </c:pt>
                <c:pt idx="39">
                  <c:v>272.378301886792</c:v>
                </c:pt>
                <c:pt idx="40">
                  <c:v>273.320566037736</c:v>
                </c:pt>
                <c:pt idx="41">
                  <c:v>274.262830188679</c:v>
                </c:pt>
                <c:pt idx="42">
                  <c:v>275.205094339623</c:v>
                </c:pt>
                <c:pt idx="43">
                  <c:v>276.147358490566</c:v>
                </c:pt>
                <c:pt idx="44">
                  <c:v>277.089622641509</c:v>
                </c:pt>
                <c:pt idx="45">
                  <c:v>278.031886792453</c:v>
                </c:pt>
                <c:pt idx="46">
                  <c:v>278.974150943396</c:v>
                </c:pt>
                <c:pt idx="47">
                  <c:v>279.91641509434</c:v>
                </c:pt>
                <c:pt idx="48">
                  <c:v>280.858679245283</c:v>
                </c:pt>
                <c:pt idx="49">
                  <c:v>281.800943396226</c:v>
                </c:pt>
                <c:pt idx="50">
                  <c:v>282.74320754717</c:v>
                </c:pt>
                <c:pt idx="51">
                  <c:v>283.685471698113</c:v>
                </c:pt>
                <c:pt idx="52">
                  <c:v>284.627735849057</c:v>
                </c:pt>
                <c:pt idx="53">
                  <c:v>285.57</c:v>
                </c:pt>
                <c:pt idx="54">
                  <c:v>286.512264150943</c:v>
                </c:pt>
                <c:pt idx="55">
                  <c:v>287.454528301887</c:v>
                </c:pt>
                <c:pt idx="56">
                  <c:v>288.39679245283</c:v>
                </c:pt>
                <c:pt idx="57">
                  <c:v>289.339056603774</c:v>
                </c:pt>
                <c:pt idx="58">
                  <c:v>290.281320754717</c:v>
                </c:pt>
                <c:pt idx="59">
                  <c:v>291.22358490566</c:v>
                </c:pt>
                <c:pt idx="60">
                  <c:v>292.165849056604</c:v>
                </c:pt>
                <c:pt idx="61">
                  <c:v>293.108113207547</c:v>
                </c:pt>
                <c:pt idx="62">
                  <c:v>294.050377358491</c:v>
                </c:pt>
                <c:pt idx="63">
                  <c:v>294.992641509434</c:v>
                </c:pt>
                <c:pt idx="64">
                  <c:v>295.934905660377</c:v>
                </c:pt>
                <c:pt idx="65">
                  <c:v>296.877169811321</c:v>
                </c:pt>
                <c:pt idx="66">
                  <c:v>297.819433962264</c:v>
                </c:pt>
                <c:pt idx="67">
                  <c:v>298.761698113208</c:v>
                </c:pt>
                <c:pt idx="68">
                  <c:v>299.703962264151</c:v>
                </c:pt>
                <c:pt idx="69">
                  <c:v>300.646226415094</c:v>
                </c:pt>
                <c:pt idx="70">
                  <c:v>301.588490566038</c:v>
                </c:pt>
                <c:pt idx="71">
                  <c:v>302.530754716981</c:v>
                </c:pt>
                <c:pt idx="72">
                  <c:v>303.473018867925</c:v>
                </c:pt>
                <c:pt idx="73">
                  <c:v>304.415283018868</c:v>
                </c:pt>
                <c:pt idx="74">
                  <c:v>305.357547169811</c:v>
                </c:pt>
                <c:pt idx="75">
                  <c:v>306.299811320755</c:v>
                </c:pt>
                <c:pt idx="76">
                  <c:v>307.242075471698</c:v>
                </c:pt>
                <c:pt idx="77">
                  <c:v>308.184339622642</c:v>
                </c:pt>
                <c:pt idx="78">
                  <c:v>309.126603773585</c:v>
                </c:pt>
                <c:pt idx="79">
                  <c:v>310.068867924528</c:v>
                </c:pt>
                <c:pt idx="80">
                  <c:v>311.011132075472</c:v>
                </c:pt>
                <c:pt idx="81">
                  <c:v>311.953396226415</c:v>
                </c:pt>
                <c:pt idx="82">
                  <c:v>312.895660377358</c:v>
                </c:pt>
                <c:pt idx="83">
                  <c:v>313.837924528302</c:v>
                </c:pt>
                <c:pt idx="84">
                  <c:v>314.780188679245</c:v>
                </c:pt>
                <c:pt idx="85">
                  <c:v>315.722452830189</c:v>
                </c:pt>
                <c:pt idx="86">
                  <c:v>316.664716981132</c:v>
                </c:pt>
                <c:pt idx="87">
                  <c:v>317.606981132076</c:v>
                </c:pt>
                <c:pt idx="88">
                  <c:v>318.549245283019</c:v>
                </c:pt>
                <c:pt idx="89">
                  <c:v>319.491509433962</c:v>
                </c:pt>
                <c:pt idx="90">
                  <c:v>320.433773584906</c:v>
                </c:pt>
                <c:pt idx="91">
                  <c:v>321.376037735849</c:v>
                </c:pt>
                <c:pt idx="92">
                  <c:v>322.318301886792</c:v>
                </c:pt>
                <c:pt idx="93">
                  <c:v>323.260566037736</c:v>
                </c:pt>
                <c:pt idx="94">
                  <c:v>324.202830188679</c:v>
                </c:pt>
                <c:pt idx="95">
                  <c:v>325.145094339623</c:v>
                </c:pt>
                <c:pt idx="96">
                  <c:v>326.087358490566</c:v>
                </c:pt>
                <c:pt idx="97">
                  <c:v>327.029622641509</c:v>
                </c:pt>
                <c:pt idx="98">
                  <c:v>327.971886792453</c:v>
                </c:pt>
                <c:pt idx="99">
                  <c:v>328.914150943396</c:v>
                </c:pt>
                <c:pt idx="100">
                  <c:v>329.85641509434</c:v>
                </c:pt>
                <c:pt idx="101">
                  <c:v>330.798679245283</c:v>
                </c:pt>
                <c:pt idx="102">
                  <c:v>331.740943396226</c:v>
                </c:pt>
                <c:pt idx="103">
                  <c:v>332.68320754717</c:v>
                </c:pt>
                <c:pt idx="104">
                  <c:v>333.625471698113</c:v>
                </c:pt>
                <c:pt idx="105">
                  <c:v>334.567735849057</c:v>
                </c:pt>
                <c:pt idx="106">
                  <c:v>335.51</c:v>
                </c:pt>
                <c:pt idx="107">
                  <c:v>336.452264150943</c:v>
                </c:pt>
                <c:pt idx="108">
                  <c:v>337.394528301887</c:v>
                </c:pt>
                <c:pt idx="109">
                  <c:v>338.33679245283</c:v>
                </c:pt>
                <c:pt idx="110">
                  <c:v>339.279056603774</c:v>
                </c:pt>
                <c:pt idx="111">
                  <c:v>340.221320754717</c:v>
                </c:pt>
                <c:pt idx="112">
                  <c:v>341.16358490566</c:v>
                </c:pt>
                <c:pt idx="113">
                  <c:v>342.105849056604</c:v>
                </c:pt>
                <c:pt idx="114">
                  <c:v>343.048113207547</c:v>
                </c:pt>
                <c:pt idx="115">
                  <c:v>343.990377358491</c:v>
                </c:pt>
                <c:pt idx="116">
                  <c:v>344.932641509434</c:v>
                </c:pt>
                <c:pt idx="117">
                  <c:v>345.874905660377</c:v>
                </c:pt>
                <c:pt idx="118">
                  <c:v>346.817169811321</c:v>
                </c:pt>
                <c:pt idx="119">
                  <c:v>347.759433962264</c:v>
                </c:pt>
                <c:pt idx="120">
                  <c:v>348.701698113208</c:v>
                </c:pt>
                <c:pt idx="121">
                  <c:v>349.643962264151</c:v>
                </c:pt>
                <c:pt idx="122">
                  <c:v>350.586226415094</c:v>
                </c:pt>
                <c:pt idx="123">
                  <c:v>351.528490566038</c:v>
                </c:pt>
                <c:pt idx="124">
                  <c:v>352.470754716981</c:v>
                </c:pt>
                <c:pt idx="125">
                  <c:v>353.413018867925</c:v>
                </c:pt>
                <c:pt idx="126">
                  <c:v>354.355283018868</c:v>
                </c:pt>
                <c:pt idx="127">
                  <c:v>355.297547169811</c:v>
                </c:pt>
                <c:pt idx="128">
                  <c:v>356.239811320755</c:v>
                </c:pt>
                <c:pt idx="129">
                  <c:v>357.182075471698</c:v>
                </c:pt>
                <c:pt idx="130">
                  <c:v>358.124339622642</c:v>
                </c:pt>
                <c:pt idx="131">
                  <c:v>359.066603773585</c:v>
                </c:pt>
                <c:pt idx="132">
                  <c:v>360.008867924528</c:v>
                </c:pt>
                <c:pt idx="133">
                  <c:v>360.951132075472</c:v>
                </c:pt>
                <c:pt idx="134">
                  <c:v>361.893396226415</c:v>
                </c:pt>
                <c:pt idx="135">
                  <c:v>362.835660377359</c:v>
                </c:pt>
                <c:pt idx="136">
                  <c:v>363.777924528302</c:v>
                </c:pt>
                <c:pt idx="137">
                  <c:v>364.720188679245</c:v>
                </c:pt>
                <c:pt idx="138">
                  <c:v>365.662452830189</c:v>
                </c:pt>
                <c:pt idx="139">
                  <c:v>366.604716981132</c:v>
                </c:pt>
                <c:pt idx="140">
                  <c:v>367.546981132076</c:v>
                </c:pt>
                <c:pt idx="141">
                  <c:v>368.489245283019</c:v>
                </c:pt>
                <c:pt idx="142">
                  <c:v>369.431509433962</c:v>
                </c:pt>
                <c:pt idx="143">
                  <c:v>370.373773584906</c:v>
                </c:pt>
                <c:pt idx="144">
                  <c:v>371.316037735849</c:v>
                </c:pt>
                <c:pt idx="145">
                  <c:v>372.258301886792</c:v>
                </c:pt>
                <c:pt idx="146">
                  <c:v>373.200566037736</c:v>
                </c:pt>
                <c:pt idx="147">
                  <c:v>374.142830188679</c:v>
                </c:pt>
                <c:pt idx="148">
                  <c:v>375.085094339623</c:v>
                </c:pt>
                <c:pt idx="149">
                  <c:v>376.027358490566</c:v>
                </c:pt>
                <c:pt idx="150">
                  <c:v>376.969622641509</c:v>
                </c:pt>
                <c:pt idx="151">
                  <c:v>377.911886792453</c:v>
                </c:pt>
                <c:pt idx="152">
                  <c:v>378.854150943396</c:v>
                </c:pt>
                <c:pt idx="153">
                  <c:v>379.79641509434</c:v>
                </c:pt>
                <c:pt idx="154">
                  <c:v>380.738679245283</c:v>
                </c:pt>
                <c:pt idx="155">
                  <c:v>381.680943396226</c:v>
                </c:pt>
                <c:pt idx="156">
                  <c:v>382.62320754717</c:v>
                </c:pt>
                <c:pt idx="157">
                  <c:v>383.565471698113</c:v>
                </c:pt>
                <c:pt idx="158">
                  <c:v>384.507735849057</c:v>
                </c:pt>
                <c:pt idx="159">
                  <c:v>385.45</c:v>
                </c:pt>
                <c:pt idx="160">
                  <c:v>386.392264150943</c:v>
                </c:pt>
              </c:numCache>
            </c:numRef>
          </c:val>
          <c:smooth val="0"/>
        </c:ser>
        <c:hiLowLines>
          <c:spPr>
            <a:ln w="0">
              <a:noFill/>
            </a:ln>
          </c:spPr>
        </c:hiLowLines>
        <c:marker val="0"/>
        <c:axId val="24593865"/>
        <c:axId val="42779978"/>
      </c:lineChart>
      <c:dateAx>
        <c:axId val="96602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207036"/>
        <c:auto val="1"/>
        <c:lblOffset val="100"/>
        <c:baseTimeUnit val="days"/>
      </c:dateAx>
      <c:valAx>
        <c:axId val="402070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60288"/>
        <c:crosses val="autoZero"/>
        <c:crossBetween val="between"/>
      </c:valAx>
      <c:dateAx>
        <c:axId val="2459386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779978"/>
        <c:auto val="1"/>
        <c:lblOffset val="100"/>
        <c:baseTimeUnit val="days"/>
      </c:dateAx>
      <c:valAx>
        <c:axId val="427799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59386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164</xdr:row>
      <xdr:rowOff>0</xdr:rowOff>
    </xdr:from>
    <xdr:to>
      <xdr:col>5</xdr:col>
      <xdr:colOff>272880</xdr:colOff>
      <xdr:row>175</xdr:row>
      <xdr:rowOff>95760</xdr:rowOff>
    </xdr:to>
    <xdr:graphicFrame>
      <xdr:nvGraphicFramePr>
        <xdr:cNvPr id="1" name="Chart 1"/>
        <xdr:cNvGraphicFramePr/>
      </xdr:nvGraphicFramePr>
      <xdr:xfrm>
        <a:off x="0" y="31394520"/>
        <a:ext cx="2631240" cy="2191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164</xdr:row>
      <xdr:rowOff>0</xdr:rowOff>
    </xdr:from>
    <xdr:to>
      <xdr:col>13</xdr:col>
      <xdr:colOff>294480</xdr:colOff>
      <xdr:row>175</xdr:row>
      <xdr:rowOff>95760</xdr:rowOff>
    </xdr:to>
    <xdr:graphicFrame>
      <xdr:nvGraphicFramePr>
        <xdr:cNvPr id="2" name="Chart 2"/>
        <xdr:cNvGraphicFramePr/>
      </xdr:nvGraphicFramePr>
      <xdr:xfrm>
        <a:off x="3554640" y="31394520"/>
        <a:ext cx="2288520" cy="2191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164</xdr:row>
      <xdr:rowOff>0</xdr:rowOff>
    </xdr:from>
    <xdr:to>
      <xdr:col>22</xdr:col>
      <xdr:colOff>60480</xdr:colOff>
      <xdr:row>175</xdr:row>
      <xdr:rowOff>95760</xdr:rowOff>
    </xdr:to>
    <xdr:graphicFrame>
      <xdr:nvGraphicFramePr>
        <xdr:cNvPr id="3" name="Chart 3"/>
        <xdr:cNvGraphicFramePr/>
      </xdr:nvGraphicFramePr>
      <xdr:xfrm>
        <a:off x="6744960" y="31394520"/>
        <a:ext cx="2347920" cy="2191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164</xdr:row>
      <xdr:rowOff>0</xdr:rowOff>
    </xdr:from>
    <xdr:to>
      <xdr:col>30</xdr:col>
      <xdr:colOff>312840</xdr:colOff>
      <xdr:row>175</xdr:row>
      <xdr:rowOff>95760</xdr:rowOff>
    </xdr:to>
    <xdr:graphicFrame>
      <xdr:nvGraphicFramePr>
        <xdr:cNvPr id="4" name="Chart 4"/>
        <xdr:cNvGraphicFramePr/>
      </xdr:nvGraphicFramePr>
      <xdr:xfrm>
        <a:off x="10464840" y="31394520"/>
        <a:ext cx="4610520" cy="21913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180</xdr:row>
      <xdr:rowOff>0</xdr:rowOff>
    </xdr:from>
    <xdr:to>
      <xdr:col>5</xdr:col>
      <xdr:colOff>272880</xdr:colOff>
      <xdr:row>191</xdr:row>
      <xdr:rowOff>95760</xdr:rowOff>
    </xdr:to>
    <xdr:graphicFrame>
      <xdr:nvGraphicFramePr>
        <xdr:cNvPr id="5" name="Chart 5"/>
        <xdr:cNvGraphicFramePr/>
      </xdr:nvGraphicFramePr>
      <xdr:xfrm>
        <a:off x="0" y="34442280"/>
        <a:ext cx="2631240" cy="21913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180</xdr:row>
      <xdr:rowOff>0</xdr:rowOff>
    </xdr:from>
    <xdr:to>
      <xdr:col>13</xdr:col>
      <xdr:colOff>294480</xdr:colOff>
      <xdr:row>191</xdr:row>
      <xdr:rowOff>95760</xdr:rowOff>
    </xdr:to>
    <xdr:graphicFrame>
      <xdr:nvGraphicFramePr>
        <xdr:cNvPr id="6" name="Chart 6"/>
        <xdr:cNvGraphicFramePr/>
      </xdr:nvGraphicFramePr>
      <xdr:xfrm>
        <a:off x="3554640" y="34442280"/>
        <a:ext cx="2288520" cy="21913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180</xdr:row>
      <xdr:rowOff>0</xdr:rowOff>
    </xdr:from>
    <xdr:to>
      <xdr:col>22</xdr:col>
      <xdr:colOff>60480</xdr:colOff>
      <xdr:row>191</xdr:row>
      <xdr:rowOff>95760</xdr:rowOff>
    </xdr:to>
    <xdr:graphicFrame>
      <xdr:nvGraphicFramePr>
        <xdr:cNvPr id="7" name="Chart 7"/>
        <xdr:cNvGraphicFramePr/>
      </xdr:nvGraphicFramePr>
      <xdr:xfrm>
        <a:off x="6744960" y="34442280"/>
        <a:ext cx="2347920" cy="21913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180</xdr:row>
      <xdr:rowOff>0</xdr:rowOff>
    </xdr:from>
    <xdr:to>
      <xdr:col>30</xdr:col>
      <xdr:colOff>312840</xdr:colOff>
      <xdr:row>191</xdr:row>
      <xdr:rowOff>95760</xdr:rowOff>
    </xdr:to>
    <xdr:graphicFrame>
      <xdr:nvGraphicFramePr>
        <xdr:cNvPr id="8" name="Chart 8"/>
        <xdr:cNvGraphicFramePr/>
      </xdr:nvGraphicFramePr>
      <xdr:xfrm>
        <a:off x="10464840" y="34442280"/>
        <a:ext cx="4610520" cy="21913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196</xdr:row>
      <xdr:rowOff>0</xdr:rowOff>
    </xdr:from>
    <xdr:to>
      <xdr:col>5</xdr:col>
      <xdr:colOff>272880</xdr:colOff>
      <xdr:row>207</xdr:row>
      <xdr:rowOff>95040</xdr:rowOff>
    </xdr:to>
    <xdr:graphicFrame>
      <xdr:nvGraphicFramePr>
        <xdr:cNvPr id="9" name="Chart 9"/>
        <xdr:cNvGraphicFramePr/>
      </xdr:nvGraphicFramePr>
      <xdr:xfrm>
        <a:off x="0" y="37490400"/>
        <a:ext cx="2631240" cy="21906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196</xdr:row>
      <xdr:rowOff>0</xdr:rowOff>
    </xdr:from>
    <xdr:to>
      <xdr:col>13</xdr:col>
      <xdr:colOff>294480</xdr:colOff>
      <xdr:row>207</xdr:row>
      <xdr:rowOff>95040</xdr:rowOff>
    </xdr:to>
    <xdr:graphicFrame>
      <xdr:nvGraphicFramePr>
        <xdr:cNvPr id="10" name="Chart 10"/>
        <xdr:cNvGraphicFramePr/>
      </xdr:nvGraphicFramePr>
      <xdr:xfrm>
        <a:off x="3554640" y="37490400"/>
        <a:ext cx="2288520" cy="21906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196</xdr:row>
      <xdr:rowOff>0</xdr:rowOff>
    </xdr:from>
    <xdr:to>
      <xdr:col>22</xdr:col>
      <xdr:colOff>60480</xdr:colOff>
      <xdr:row>207</xdr:row>
      <xdr:rowOff>95040</xdr:rowOff>
    </xdr:to>
    <xdr:graphicFrame>
      <xdr:nvGraphicFramePr>
        <xdr:cNvPr id="11" name="Chart 11"/>
        <xdr:cNvGraphicFramePr/>
      </xdr:nvGraphicFramePr>
      <xdr:xfrm>
        <a:off x="6744960" y="37490400"/>
        <a:ext cx="2347920" cy="21906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196</xdr:row>
      <xdr:rowOff>0</xdr:rowOff>
    </xdr:from>
    <xdr:to>
      <xdr:col>30</xdr:col>
      <xdr:colOff>312840</xdr:colOff>
      <xdr:row>207</xdr:row>
      <xdr:rowOff>95040</xdr:rowOff>
    </xdr:to>
    <xdr:graphicFrame>
      <xdr:nvGraphicFramePr>
        <xdr:cNvPr id="12" name="Chart 12"/>
        <xdr:cNvGraphicFramePr/>
      </xdr:nvGraphicFramePr>
      <xdr:xfrm>
        <a:off x="10464840" y="37490400"/>
        <a:ext cx="4610520" cy="21906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212</xdr:row>
      <xdr:rowOff>0</xdr:rowOff>
    </xdr:from>
    <xdr:to>
      <xdr:col>5</xdr:col>
      <xdr:colOff>272880</xdr:colOff>
      <xdr:row>223</xdr:row>
      <xdr:rowOff>95760</xdr:rowOff>
    </xdr:to>
    <xdr:graphicFrame>
      <xdr:nvGraphicFramePr>
        <xdr:cNvPr id="13" name="Chart 13"/>
        <xdr:cNvGraphicFramePr/>
      </xdr:nvGraphicFramePr>
      <xdr:xfrm>
        <a:off x="0" y="40538520"/>
        <a:ext cx="2631240" cy="21913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212</xdr:row>
      <xdr:rowOff>0</xdr:rowOff>
    </xdr:from>
    <xdr:to>
      <xdr:col>13</xdr:col>
      <xdr:colOff>294480</xdr:colOff>
      <xdr:row>223</xdr:row>
      <xdr:rowOff>95760</xdr:rowOff>
    </xdr:to>
    <xdr:graphicFrame>
      <xdr:nvGraphicFramePr>
        <xdr:cNvPr id="14" name="Chart 14"/>
        <xdr:cNvGraphicFramePr/>
      </xdr:nvGraphicFramePr>
      <xdr:xfrm>
        <a:off x="3554640" y="40538520"/>
        <a:ext cx="2288520" cy="21913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212</xdr:row>
      <xdr:rowOff>0</xdr:rowOff>
    </xdr:from>
    <xdr:to>
      <xdr:col>22</xdr:col>
      <xdr:colOff>60480</xdr:colOff>
      <xdr:row>223</xdr:row>
      <xdr:rowOff>95760</xdr:rowOff>
    </xdr:to>
    <xdr:graphicFrame>
      <xdr:nvGraphicFramePr>
        <xdr:cNvPr id="15" name="Chart 15"/>
        <xdr:cNvGraphicFramePr/>
      </xdr:nvGraphicFramePr>
      <xdr:xfrm>
        <a:off x="6744960" y="40538520"/>
        <a:ext cx="2347920" cy="21913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212</xdr:row>
      <xdr:rowOff>0</xdr:rowOff>
    </xdr:from>
    <xdr:to>
      <xdr:col>30</xdr:col>
      <xdr:colOff>312840</xdr:colOff>
      <xdr:row>223</xdr:row>
      <xdr:rowOff>95760</xdr:rowOff>
    </xdr:to>
    <xdr:graphicFrame>
      <xdr:nvGraphicFramePr>
        <xdr:cNvPr id="16" name="Chart 16"/>
        <xdr:cNvGraphicFramePr/>
      </xdr:nvGraphicFramePr>
      <xdr:xfrm>
        <a:off x="10464840" y="40538520"/>
        <a:ext cx="4610520" cy="21913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228</xdr:row>
      <xdr:rowOff>0</xdr:rowOff>
    </xdr:from>
    <xdr:to>
      <xdr:col>5</xdr:col>
      <xdr:colOff>272880</xdr:colOff>
      <xdr:row>239</xdr:row>
      <xdr:rowOff>95760</xdr:rowOff>
    </xdr:to>
    <xdr:graphicFrame>
      <xdr:nvGraphicFramePr>
        <xdr:cNvPr id="17" name="Chart 17"/>
        <xdr:cNvGraphicFramePr/>
      </xdr:nvGraphicFramePr>
      <xdr:xfrm>
        <a:off x="0" y="43586280"/>
        <a:ext cx="2631240" cy="21913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228</xdr:row>
      <xdr:rowOff>0</xdr:rowOff>
    </xdr:from>
    <xdr:to>
      <xdr:col>13</xdr:col>
      <xdr:colOff>294480</xdr:colOff>
      <xdr:row>239</xdr:row>
      <xdr:rowOff>95760</xdr:rowOff>
    </xdr:to>
    <xdr:graphicFrame>
      <xdr:nvGraphicFramePr>
        <xdr:cNvPr id="18" name="Chart 18"/>
        <xdr:cNvGraphicFramePr/>
      </xdr:nvGraphicFramePr>
      <xdr:xfrm>
        <a:off x="3554640" y="43586280"/>
        <a:ext cx="2288520" cy="21913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242</xdr:row>
      <xdr:rowOff>0</xdr:rowOff>
    </xdr:from>
    <xdr:to>
      <xdr:col>4</xdr:col>
      <xdr:colOff>328320</xdr:colOff>
      <xdr:row>253</xdr:row>
      <xdr:rowOff>95760</xdr:rowOff>
    </xdr:to>
    <xdr:graphicFrame>
      <xdr:nvGraphicFramePr>
        <xdr:cNvPr id="19" name="Chart 19"/>
        <xdr:cNvGraphicFramePr/>
      </xdr:nvGraphicFramePr>
      <xdr:xfrm>
        <a:off x="0" y="46253520"/>
        <a:ext cx="2287800" cy="21913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2"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autoFilter ref="A1:J5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52"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Triggers'!$A$3:$A$51,0)),"")="",242.27,INDEX('Monitor &amp; Recheck Triggers'!$H$3:$H$51,MATCH($B3,'Monitor &amp; Recheck Triggers'!$A$3:$A$51,0)))</f>
        <v>242.27</v>
      </c>
      <c r="G3" s="34" t="n">
        <f aca="false">E3*F3</f>
        <v>15747.55</v>
      </c>
      <c r="H3" s="35" t="n">
        <v>19163.84</v>
      </c>
      <c r="I3" s="36" t="n">
        <f aca="false">G3-H3</f>
        <v>-3416.29</v>
      </c>
      <c r="J3" s="37" t="n">
        <f aca="false">IF(H3=0,"",G3/H3-1)</f>
        <v>-0.17826750797335</v>
      </c>
      <c r="K3" s="37" t="n">
        <f aca="false">IFERROR(G3/SUM(G3:G24),"")</f>
        <v>0.0379150596348739</v>
      </c>
      <c r="L3" s="37" t="n">
        <f aca="false">IFERROR(G3/(SUM(G3:G24,G28:G47)),"")</f>
        <v>0.0220570847301322</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Triggers'!$A$3:$A$51,0)),"")="",216.74,INDEX('Monitor &amp; Recheck Triggers'!$H$3:$H$51,MATCH($B4,'Monitor &amp; Recheck Triggers'!$A$3:$A$51,0)))</f>
        <v>216.74</v>
      </c>
      <c r="G4" s="34" t="n">
        <f aca="false">E4*F4</f>
        <v>15171.8</v>
      </c>
      <c r="H4" s="35" t="n">
        <v>10182.2</v>
      </c>
      <c r="I4" s="36" t="n">
        <f aca="false">G4-H4</f>
        <v>4989.6</v>
      </c>
      <c r="J4" s="37" t="n">
        <f aca="false">IF(H4=0,"",G4/H4-1)</f>
        <v>0.490031623814107</v>
      </c>
      <c r="K4" s="37" t="n">
        <f aca="false">IFERROR(G4/SUM(G3:G24),"")</f>
        <v>0.0365288379315119</v>
      </c>
      <c r="L4" s="37" t="n">
        <f aca="false">IFERROR(G4/(SUM(G3:G24,G28:G47)),"")</f>
        <v>0.0212506502985302</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Triggers'!$A$3:$A$51,0)),"")="",1780.34,INDEX('Monitor &amp; Recheck Triggers'!$H$3:$H$51,MATCH($B5,'Monitor &amp; Recheck Triggers'!$A$3:$A$51,0)))</f>
        <v>1780.34</v>
      </c>
      <c r="G5" s="34" t="n">
        <f aca="false">E5*F5</f>
        <v>12462.38</v>
      </c>
      <c r="H5" s="35" t="n">
        <v>9989.88</v>
      </c>
      <c r="I5" s="36" t="n">
        <f aca="false">G5-H5</f>
        <v>2472.5</v>
      </c>
      <c r="J5" s="37" t="n">
        <f aca="false">IF(H5=0,"",G5/H5-1)</f>
        <v>0.247500470476122</v>
      </c>
      <c r="K5" s="37" t="n">
        <f aca="false">IFERROR(G5/SUM(G3:G24),"")</f>
        <v>0.0300054218524443</v>
      </c>
      <c r="L5" s="37" t="n">
        <f aca="false">IFERROR(G5/(SUM(G3:G24,G28:G47)),"")</f>
        <v>0.0174556532031398</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Triggers'!$A$3:$A$51,0)),"")="",275.04,INDEX('Monitor &amp; Recheck Triggers'!$H$3:$H$51,MATCH($B6,'Monitor &amp; Recheck Triggers'!$A$3:$A$51,0)))</f>
        <v>275.04</v>
      </c>
      <c r="G6" s="34" t="n">
        <f aca="false">E6*F6</f>
        <v>11001.6</v>
      </c>
      <c r="H6" s="35" t="n">
        <v>4991.35</v>
      </c>
      <c r="I6" s="36" t="n">
        <f aca="false">G6-H6</f>
        <v>6010.25</v>
      </c>
      <c r="J6" s="37" t="n">
        <f aca="false">IF(H6=0,"",G6/H6-1)</f>
        <v>1.20413315035011</v>
      </c>
      <c r="K6" s="37" t="n">
        <f aca="false">IFERROR(G6/SUM(G3:G24),"")</f>
        <v>0.0264883312057449</v>
      </c>
      <c r="L6" s="37" t="n">
        <f aca="false">IFERROR(G6/(SUM(G3:G24,G28:G47)),"")</f>
        <v>0.0154095858318927</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Triggers'!$A$3:$A$51,0)),"")="",195.57,INDEX('Monitor &amp; Recheck Triggers'!$H$3:$H$51,MATCH($B7,'Monitor &amp; Recheck Triggers'!$A$3:$A$51,0)))</f>
        <v>195.57</v>
      </c>
      <c r="G7" s="34" t="n">
        <f aca="false">E7*F7</f>
        <v>19557</v>
      </c>
      <c r="H7" s="35" t="n">
        <v>15412.54</v>
      </c>
      <c r="I7" s="36" t="n">
        <f aca="false">G7-H7</f>
        <v>4144.46</v>
      </c>
      <c r="J7" s="37" t="n">
        <f aca="false">IF(H7=0,"",G7/H7-1)</f>
        <v>0.26890181631321</v>
      </c>
      <c r="K7" s="37" t="n">
        <f aca="false">IFERROR(G7/SUM(G3:G24),"")</f>
        <v>0.0470869958361287</v>
      </c>
      <c r="L7" s="37" t="n">
        <f aca="false">IFERROR(G7/(SUM(G3:G24,G28:G47)),"")</f>
        <v>0.02739285832191</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Triggers'!$A$3:$A$51,0)),"")="",1029,INDEX('Monitor &amp; Recheck Triggers'!$H$3:$H$51,MATCH($B8,'Monitor &amp; Recheck Triggers'!$A$3:$A$51,0)))</f>
        <v>1029</v>
      </c>
      <c r="G8" s="34" t="n">
        <f aca="false">E8*F8</f>
        <v>7203</v>
      </c>
      <c r="H8" s="35" t="n">
        <v>5836.11</v>
      </c>
      <c r="I8" s="36" t="n">
        <f aca="false">G8-H8</f>
        <v>1366.89</v>
      </c>
      <c r="J8" s="37" t="n">
        <f aca="false">IF(H8=0,"",G8/H8-1)</f>
        <v>0.234212514842935</v>
      </c>
      <c r="K8" s="37" t="n">
        <f aca="false">IFERROR(G8/SUM(G3:G24),"")</f>
        <v>0.0173425183314228</v>
      </c>
      <c r="L8" s="37" t="n">
        <f aca="false">IFERROR(G8/(SUM(G3:G24,G28:G47)),"")</f>
        <v>0.0100890094847225</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Triggers'!$A$3:$A$51,0)),"")="",229.28,INDEX('Monitor &amp; Recheck Triggers'!$H$3:$H$51,MATCH($B9,'Monitor &amp; Recheck Triggers'!$A$3:$A$51,0)))</f>
        <v>229.28</v>
      </c>
      <c r="G9" s="34" t="n">
        <f aca="false">E9*F9</f>
        <v>35538.4</v>
      </c>
      <c r="H9" s="35" t="n">
        <v>26639.79</v>
      </c>
      <c r="I9" s="36" t="n">
        <f aca="false">G9-H9</f>
        <v>8898.61</v>
      </c>
      <c r="J9" s="37" t="n">
        <f aca="false">IF(H9=0,"",G9/H9-1)</f>
        <v>0.334034540062065</v>
      </c>
      <c r="K9" s="37" t="n">
        <f aca="false">IFERROR(G9/SUM(G3:G24),"")</f>
        <v>0.0855650914159982</v>
      </c>
      <c r="L9" s="37" t="n">
        <f aca="false">IFERROR(G9/(SUM(G3:G24,G28:G47)),"")</f>
        <v>0.0497774891950385</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Triggers'!$A$3:$A$51,0)),"")="",209.05,INDEX('Monitor &amp; Recheck Triggers'!$H$3:$H$51,MATCH($B10,'Monitor &amp; Recheck Triggers'!$A$3:$A$51,0)))</f>
        <v>209.05</v>
      </c>
      <c r="G10" s="34" t="n">
        <f aca="false">E10*F10</f>
        <v>14633.5</v>
      </c>
      <c r="H10" s="35" t="n">
        <v>11612.3</v>
      </c>
      <c r="I10" s="36" t="n">
        <f aca="false">G10-H10</f>
        <v>3021.2</v>
      </c>
      <c r="J10" s="37" t="n">
        <f aca="false">IF(H10=0,"",G10/H10-1)</f>
        <v>0.260172403399843</v>
      </c>
      <c r="K10" s="37" t="n">
        <f aca="false">IFERROR(G10/SUM(G3:G24),"")</f>
        <v>0.0352327838404658</v>
      </c>
      <c r="L10" s="37" t="n">
        <f aca="false">IFERROR(G10/(SUM(G3:G24,G28:G47)),"")</f>
        <v>0.0204966708725096</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Triggers'!$A$3:$A$51,0)),"")="",453.31,INDEX('Monitor &amp; Recheck Triggers'!$H$3:$H$51,MATCH($B11,'Monitor &amp; Recheck Triggers'!$A$3:$A$51,0)))</f>
        <v>453.31</v>
      </c>
      <c r="G11" s="34" t="n">
        <f aca="false">E11*F11</f>
        <v>11332.75</v>
      </c>
      <c r="H11" s="35" t="n">
        <v>6069.64</v>
      </c>
      <c r="I11" s="36" t="n">
        <f aca="false">G11-H11</f>
        <v>5263.11</v>
      </c>
      <c r="J11" s="37" t="n">
        <f aca="false">IF(H11=0,"",G11/H11-1)</f>
        <v>0.867120620003822</v>
      </c>
      <c r="K11" s="37" t="n">
        <f aca="false">IFERROR(G11/SUM(G3:G24),"")</f>
        <v>0.0272856344051689</v>
      </c>
      <c r="L11" s="37" t="n">
        <f aca="false">IFERROR(G11/(SUM(G3:G24,G28:G47)),"")</f>
        <v>0.0158734169426613</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Triggers'!$A$3:$A$51,0)),"")="",242.78,INDEX('Monitor &amp; Recheck Triggers'!$H$3:$H$51,MATCH($B12,'Monitor &amp; Recheck Triggers'!$A$3:$A$51,0)))</f>
        <v>242.78</v>
      </c>
      <c r="G12" s="34" t="n">
        <f aca="false">E12*F12</f>
        <v>7283.4</v>
      </c>
      <c r="H12" s="35" t="n">
        <v>7876.8</v>
      </c>
      <c r="I12" s="36" t="n">
        <f aca="false">G12-H12</f>
        <v>-593.400000000001</v>
      </c>
      <c r="J12" s="37" t="n">
        <f aca="false">IF(H12=0,"",G12/H12-1)</f>
        <v>-0.0753351614868983</v>
      </c>
      <c r="K12" s="37" t="n">
        <f aca="false">IFERROR(G12/SUM(G3:G24),"")</f>
        <v>0.0175360957955136</v>
      </c>
      <c r="L12" s="37" t="n">
        <f aca="false">IFERROR(G12/(SUM(G3:G24,G28:G47)),"")</f>
        <v>0.0102016231682671</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Triggers'!$A$3:$A$51,0)),"")="",385.45,INDEX('Monitor &amp; Recheck Triggers'!$H$3:$H$51,MATCH($B13,'Monitor &amp; Recheck Triggers'!$A$3:$A$51,0)))</f>
        <v>385.45</v>
      </c>
      <c r="G13" s="34" t="n">
        <f aca="false">E13*F13</f>
        <v>19272.5</v>
      </c>
      <c r="H13" s="35" t="n">
        <v>18448.63</v>
      </c>
      <c r="I13" s="36" t="n">
        <f aca="false">G13-H13</f>
        <v>823.869999999999</v>
      </c>
      <c r="J13" s="37" t="n">
        <f aca="false">IF(H13=0,"",G13/H13-1)</f>
        <v>0.0446575165744014</v>
      </c>
      <c r="K13" s="37" t="n">
        <f aca="false">IFERROR(G13/SUM(G3:G24),"")</f>
        <v>0.0464020109041157</v>
      </c>
      <c r="L13" s="37" t="n">
        <f aca="false">IFERROR(G13/(SUM(G3:G24,G28:G47)),"")</f>
        <v>0.0269943683596161</v>
      </c>
      <c r="M13" s="28" t="s">
        <v>121</v>
      </c>
    </row>
    <row r="14" customFormat="false" ht="15" hidden="false" customHeight="true" outlineLevel="0" collapsed="false">
      <c r="A14" s="28" t="s">
        <v>95</v>
      </c>
      <c r="B14" s="38" t="s">
        <v>122</v>
      </c>
      <c r="C14" s="30" t="s">
        <v>123</v>
      </c>
      <c r="D14" s="31" t="s">
        <v>124</v>
      </c>
      <c r="E14" s="32" t="n">
        <v>15713.12</v>
      </c>
      <c r="F14" s="33" t="n">
        <v>1</v>
      </c>
      <c r="G14" s="34" t="n">
        <f aca="false">E14*F14</f>
        <v>15713.12</v>
      </c>
      <c r="H14" s="35" t="n">
        <v>15713.12</v>
      </c>
      <c r="I14" s="36" t="n">
        <f aca="false">G14-H14</f>
        <v>0</v>
      </c>
      <c r="J14" s="37" t="n">
        <f aca="false">IF(H14=0,"",G14/H14-1)</f>
        <v>0</v>
      </c>
      <c r="K14" s="37" t="n">
        <f aca="false">IFERROR(G14/SUM(G3:G24),"")</f>
        <v>0.0378321632158609</v>
      </c>
      <c r="L14" s="37" t="n">
        <f aca="false">IFERROR(G14/(SUM(G3:G24,G28:G47)),"")</f>
        <v>0.0220088597410222</v>
      </c>
      <c r="M14" s="28" t="s">
        <v>125</v>
      </c>
    </row>
    <row r="15" customFormat="false" ht="15" hidden="false" customHeight="true" outlineLevel="0" collapsed="false">
      <c r="A15" s="28" t="s">
        <v>95</v>
      </c>
      <c r="B15" s="38" t="s">
        <v>126</v>
      </c>
      <c r="C15" s="30" t="s">
        <v>127</v>
      </c>
      <c r="D15" s="31" t="s">
        <v>124</v>
      </c>
      <c r="E15" s="32" t="n">
        <v>0</v>
      </c>
      <c r="F15" s="33" t="n">
        <v>1</v>
      </c>
      <c r="G15" s="34" t="n">
        <f aca="false">E15*F15</f>
        <v>0</v>
      </c>
      <c r="H15" s="35" t="n">
        <v>0</v>
      </c>
      <c r="I15" s="36" t="n">
        <f aca="false">G15-H15</f>
        <v>0</v>
      </c>
      <c r="J15" s="37" t="str">
        <f aca="false">IF(H15=0,"",G15/H15-1)</f>
        <v/>
      </c>
      <c r="K15" s="37" t="n">
        <f aca="false">IFERROR(G15/SUM(G3:G24),"")</f>
        <v>0</v>
      </c>
      <c r="L15" s="37" t="n">
        <f aca="false">IFERROR(G15/(SUM(G3:G24,G28:G47)),"")</f>
        <v>0</v>
      </c>
      <c r="M15" s="28"/>
    </row>
    <row r="16" customFormat="false" ht="15" hidden="false" customHeight="true" outlineLevel="0" collapsed="false">
      <c r="A16" s="28" t="s">
        <v>95</v>
      </c>
      <c r="B16" s="38" t="s">
        <v>128</v>
      </c>
      <c r="C16" s="30" t="s">
        <v>129</v>
      </c>
      <c r="D16" s="31" t="s">
        <v>98</v>
      </c>
      <c r="E16" s="32" t="n">
        <v>150</v>
      </c>
      <c r="F16" s="33" t="n">
        <f aca="false">IF(IFERROR(INDEX('Monitor &amp; Recheck Triggers'!$H$3:$H$51,MATCH($B16,'Monitor &amp; Recheck Triggers'!$A$3:$A$51,0)),"")="",154.36,INDEX('Monitor &amp; Recheck Triggers'!$H$3:$H$51,MATCH($B16,'Monitor &amp; Recheck Triggers'!$A$3:$A$51,0)))</f>
        <v>154.36</v>
      </c>
      <c r="G16" s="34" t="n">
        <f aca="false">E16*F16</f>
        <v>23154</v>
      </c>
      <c r="H16" s="35" t="n">
        <v>24518.25</v>
      </c>
      <c r="I16" s="36" t="n">
        <f aca="false">G16-H16</f>
        <v>-1364.25</v>
      </c>
      <c r="J16" s="37" t="n">
        <f aca="false">IF(H16=0,"",G16/H16-1)</f>
        <v>-0.0556422256890274</v>
      </c>
      <c r="K16" s="37" t="n">
        <f aca="false">IFERROR(G16/SUM(G3:G24),"")</f>
        <v>0.0557474204422828</v>
      </c>
      <c r="L16" s="37" t="n">
        <f aca="false">IFERROR(G16/(SUM(G3:G24,G28:G47)),"")</f>
        <v>0.0324310600595953</v>
      </c>
      <c r="M16" s="28" t="s">
        <v>130</v>
      </c>
    </row>
    <row r="17" customFormat="false" ht="15" hidden="false" customHeight="true" outlineLevel="0" collapsed="false">
      <c r="A17" s="28" t="s">
        <v>95</v>
      </c>
      <c r="B17" s="38" t="s">
        <v>131</v>
      </c>
      <c r="C17" s="30" t="s">
        <v>132</v>
      </c>
      <c r="D17" s="31" t="s">
        <v>98</v>
      </c>
      <c r="E17" s="32" t="n">
        <v>451.304</v>
      </c>
      <c r="F17" s="33" t="n">
        <f aca="false">IF(IFERROR(INDEX('Monitor &amp; Recheck Triggers'!$H$3:$H$51,MATCH($B17,'Monitor &amp; Recheck Triggers'!$A$3:$A$51,0)),"")="",52.84,INDEX('Monitor &amp; Recheck Triggers'!$H$3:$H$51,MATCH($B17,'Monitor &amp; Recheck Triggers'!$A$3:$A$51,0)))</f>
        <v>52.84</v>
      </c>
      <c r="G17" s="34" t="n">
        <f aca="false">E17*F17</f>
        <v>23846.90336</v>
      </c>
      <c r="H17" s="35" t="n">
        <v>24999.99</v>
      </c>
      <c r="I17" s="36" t="n">
        <f aca="false">G17-H17</f>
        <v>-1153.08664</v>
      </c>
      <c r="J17" s="37" t="n">
        <f aca="false">IF(H17=0,"",G17/H17-1)</f>
        <v>-0.0461234840493937</v>
      </c>
      <c r="K17" s="37" t="n">
        <f aca="false">IFERROR(G17/SUM(G3:G24),"")</f>
        <v>0.0574157099359249</v>
      </c>
      <c r="L17" s="37" t="n">
        <f aca="false">IFERROR(G17/(SUM(G3:G24,G28:G47)),"")</f>
        <v>0.0334015874191727</v>
      </c>
      <c r="M17" s="28" t="s">
        <v>133</v>
      </c>
    </row>
    <row r="18" customFormat="false" ht="15" hidden="false" customHeight="true" outlineLevel="0" collapsed="false">
      <c r="A18" s="28" t="s">
        <v>95</v>
      </c>
      <c r="B18" s="38" t="s">
        <v>134</v>
      </c>
      <c r="C18" s="30" t="s">
        <v>135</v>
      </c>
      <c r="D18" s="31" t="s">
        <v>98</v>
      </c>
      <c r="E18" s="32" t="n">
        <v>700</v>
      </c>
      <c r="F18" s="33" t="n">
        <f aca="false">IF(IFERROR(INDEX('Monitor &amp; Recheck Triggers'!$H$3:$H$51,MATCH($B18,'Monitor &amp; Recheck Triggers'!$A$3:$A$51,0)),"")="",33.04,INDEX('Monitor &amp; Recheck Triggers'!$H$3:$H$51,MATCH($B18,'Monitor &amp; Recheck Triggers'!$A$3:$A$51,0)))</f>
        <v>33.04</v>
      </c>
      <c r="G18" s="34" t="n">
        <f aca="false">E18*F18</f>
        <v>23128</v>
      </c>
      <c r="H18" s="35" t="n">
        <v>24377.5</v>
      </c>
      <c r="I18" s="36" t="n">
        <f aca="false">G18-H18</f>
        <v>-1249.5</v>
      </c>
      <c r="J18" s="37" t="n">
        <f aca="false">IF(H18=0,"",G18/H18-1)</f>
        <v>-0.0512562814070352</v>
      </c>
      <c r="K18" s="37" t="n">
        <f aca="false">IFERROR(G18/SUM(G3:G24),"")</f>
        <v>0.0556848207648405</v>
      </c>
      <c r="L18" s="37" t="n">
        <f aca="false">IFERROR(G18/(SUM(G3:G24,G28:G47)),"")</f>
        <v>0.0323946426992451</v>
      </c>
      <c r="M18" s="28" t="s">
        <v>130</v>
      </c>
    </row>
    <row r="19" customFormat="false" ht="15" hidden="false" customHeight="true" outlineLevel="0" collapsed="false">
      <c r="A19" s="28" t="s">
        <v>95</v>
      </c>
      <c r="B19" s="38" t="s">
        <v>136</v>
      </c>
      <c r="C19" s="30" t="s">
        <v>137</v>
      </c>
      <c r="D19" s="31" t="s">
        <v>98</v>
      </c>
      <c r="E19" s="32" t="n">
        <v>150</v>
      </c>
      <c r="F19" s="33" t="n">
        <f aca="false">IF(IFERROR(INDEX('Monitor &amp; Recheck Triggers'!$H$3:$H$51,MATCH($B19,'Monitor &amp; Recheck Triggers'!$A$3:$A$51,0)),"")="",158.75,INDEX('Monitor &amp; Recheck Triggers'!$H$3:$H$51,MATCH($B19,'Monitor &amp; Recheck Triggers'!$A$3:$A$51,0)))</f>
        <v>158.75</v>
      </c>
      <c r="G19" s="34" t="n">
        <f aca="false">E19*F19</f>
        <v>23812.5</v>
      </c>
      <c r="H19" s="35" t="n">
        <v>24598.5</v>
      </c>
      <c r="I19" s="36" t="n">
        <f aca="false">G19-H19</f>
        <v>-786</v>
      </c>
      <c r="J19" s="37" t="n">
        <f aca="false">IF(H19=0,"",G19/H19-1)</f>
        <v>-0.03195316787609</v>
      </c>
      <c r="K19" s="37" t="n">
        <f aca="false">IFERROR(G19/SUM(G3:G24),"")</f>
        <v>0.0573328776575045</v>
      </c>
      <c r="L19" s="37" t="n">
        <f aca="false">IFERROR(G19/(SUM(G3:G24,G28:G47)),"")</f>
        <v>0.0333533997438504</v>
      </c>
      <c r="M19" s="28" t="s">
        <v>130</v>
      </c>
    </row>
    <row r="20" customFormat="false" ht="15" hidden="false" customHeight="true" outlineLevel="0" collapsed="false">
      <c r="A20" s="28" t="s">
        <v>95</v>
      </c>
      <c r="B20" s="38" t="s">
        <v>138</v>
      </c>
      <c r="C20" s="30" t="s">
        <v>139</v>
      </c>
      <c r="D20" s="31" t="s">
        <v>98</v>
      </c>
      <c r="E20" s="32" t="n">
        <v>1000</v>
      </c>
      <c r="F20" s="33" t="n">
        <f aca="false">IF(IFERROR(INDEX('Monitor &amp; Recheck Triggers'!$H$3:$H$51,MATCH($B20,'Monitor &amp; Recheck Triggers'!$A$3:$A$51,0)),"")="",52.08,INDEX('Monitor &amp; Recheck Triggers'!$H$3:$H$51,MATCH($B20,'Monitor &amp; Recheck Triggers'!$A$3:$A$51,0)))</f>
        <v>52.08</v>
      </c>
      <c r="G20" s="34" t="n">
        <f aca="false">E20*F20</f>
        <v>52080</v>
      </c>
      <c r="H20" s="35" t="n">
        <v>53709</v>
      </c>
      <c r="I20" s="36" t="n">
        <f aca="false">G20-H20</f>
        <v>-1629</v>
      </c>
      <c r="J20" s="37" t="n">
        <f aca="false">IF(H20=0,"",G20/H20-1)</f>
        <v>-0.0303301122716864</v>
      </c>
      <c r="K20" s="37" t="n">
        <f aca="false">IFERROR(G20/SUM(G3:G24),"")</f>
        <v>0.125391969276759</v>
      </c>
      <c r="L20" s="37" t="n">
        <f aca="false">IFERROR(G20/(SUM(G3:G24,G28:G47)),"")</f>
        <v>0.0729467741169441</v>
      </c>
      <c r="M20" s="28" t="s">
        <v>130</v>
      </c>
    </row>
    <row r="21" customFormat="false" ht="15" hidden="false" customHeight="true" outlineLevel="0" collapsed="false">
      <c r="A21" s="28" t="s">
        <v>95</v>
      </c>
      <c r="B21" s="38" t="s">
        <v>140</v>
      </c>
      <c r="C21" s="30" t="s">
        <v>141</v>
      </c>
      <c r="D21" s="31" t="s">
        <v>98</v>
      </c>
      <c r="E21" s="32" t="n">
        <v>70</v>
      </c>
      <c r="F21" s="33" t="n">
        <f aca="false">IF(IFERROR(INDEX('Monitor &amp; Recheck Triggers'!$H$3:$H$51,MATCH($B21,'Monitor &amp; Recheck Triggers'!$A$3:$A$51,0)),"")="",151.16,INDEX('Monitor &amp; Recheck Triggers'!$H$3:$H$51,MATCH($B21,'Monitor &amp; Recheck Triggers'!$A$3:$A$51,0)))</f>
        <v>151.16</v>
      </c>
      <c r="G21" s="34" t="n">
        <f aca="false">E21*F21</f>
        <v>10581.2</v>
      </c>
      <c r="H21" s="35" t="n">
        <v>10287.89</v>
      </c>
      <c r="I21" s="36" t="n">
        <f aca="false">G21-H21</f>
        <v>293.31</v>
      </c>
      <c r="J21" s="37" t="n">
        <f aca="false">IF(H21=0,"",G21/H21-1)</f>
        <v>0.0285102192966682</v>
      </c>
      <c r="K21" s="37" t="n">
        <f aca="false">IFERROR(G21/SUM(G3:G24),"")</f>
        <v>0.0254761425751007</v>
      </c>
      <c r="L21" s="37" t="n">
        <f aca="false">IFERROR(G21/(SUM(G3:G24,G28:G47)),"")</f>
        <v>0.0148207451283834</v>
      </c>
      <c r="M21" s="28" t="s">
        <v>142</v>
      </c>
    </row>
    <row r="22" customFormat="false" ht="15" hidden="false" customHeight="true" outlineLevel="0" collapsed="false">
      <c r="A22" s="28" t="s">
        <v>95</v>
      </c>
      <c r="B22" s="29" t="s">
        <v>143</v>
      </c>
      <c r="C22" s="30" t="s">
        <v>144</v>
      </c>
      <c r="D22" s="31" t="s">
        <v>98</v>
      </c>
      <c r="E22" s="32" t="n">
        <v>75</v>
      </c>
      <c r="F22" s="33" t="n">
        <f aca="false">IF(IFERROR(INDEX('Monitor &amp; Recheck Triggers'!$H$3:$H$51,MATCH($B22,'Monitor &amp; Recheck Triggers'!$A$3:$A$51,0)),"")="",308.2,INDEX('Monitor &amp; Recheck Triggers'!$H$3:$H$51,MATCH($B22,'Monitor &amp; Recheck Triggers'!$A$3:$A$51,0)))</f>
        <v>308.2</v>
      </c>
      <c r="G22" s="34" t="n">
        <f aca="false">E22*F22</f>
        <v>23115</v>
      </c>
      <c r="H22" s="35" t="n">
        <v>23603.25</v>
      </c>
      <c r="I22" s="36" t="n">
        <f aca="false">G22-H22</f>
        <v>-488.25</v>
      </c>
      <c r="J22" s="37" t="n">
        <f aca="false">IF(H22=0,"",G22/H22-1)</f>
        <v>-0.0206857106542532</v>
      </c>
      <c r="K22" s="37" t="n">
        <f aca="false">IFERROR(G22/SUM(G3:G24),"")</f>
        <v>0.0556535209261193</v>
      </c>
      <c r="L22" s="37" t="n">
        <f aca="false">IFERROR(G22/(SUM(G3:G24,G28:G47)),"")</f>
        <v>0.0323764340190699</v>
      </c>
      <c r="M22" s="28" t="s">
        <v>145</v>
      </c>
    </row>
    <row r="23" customFormat="false" ht="13.5" hidden="false" customHeight="true" outlineLevel="0" collapsed="false">
      <c r="A23" s="28" t="s">
        <v>95</v>
      </c>
      <c r="B23" s="29" t="s">
        <v>146</v>
      </c>
      <c r="C23" s="30" t="s">
        <v>147</v>
      </c>
      <c r="D23" s="31" t="s">
        <v>98</v>
      </c>
      <c r="E23" s="32" t="n">
        <v>300</v>
      </c>
      <c r="F23" s="33" t="n">
        <f aca="false">IF(IFERROR(INDEX('Monitor &amp; Recheck Triggers'!$H$3:$H$51,MATCH($B23,'Monitor &amp; Recheck Triggers'!$A$3:$A$51,0)),"")="",70.3,INDEX('Monitor &amp; Recheck Triggers'!$H$3:$H$51,MATCH($B23,'Monitor &amp; Recheck Triggers'!$A$3:$A$51,0)))</f>
        <v>70.3</v>
      </c>
      <c r="G23" s="34" t="n">
        <f aca="false">E23*F23</f>
        <v>21090</v>
      </c>
      <c r="H23" s="35" t="n">
        <v>20938.5</v>
      </c>
      <c r="I23" s="36" t="n">
        <f aca="false">G23-H23</f>
        <v>151.5</v>
      </c>
      <c r="J23" s="37" t="n">
        <f aca="false">IF(H23=0,"",G23/H23-1)</f>
        <v>0.00723547532058166</v>
      </c>
      <c r="K23" s="37" t="n">
        <f aca="false">IFERROR(G23/SUM(G3:G24),"")</f>
        <v>0.0507779691253236</v>
      </c>
      <c r="L23" s="37" t="n">
        <f aca="false">IFERROR(G23/(SUM(G3:G24,G28:G47)),"")</f>
        <v>0.0295400819148685</v>
      </c>
      <c r="M23" s="28" t="s">
        <v>148</v>
      </c>
    </row>
    <row r="24" customFormat="false" ht="15" hidden="false" customHeight="true" outlineLevel="0" collapsed="false">
      <c r="A24" s="28" t="s">
        <v>95</v>
      </c>
      <c r="B24" s="29" t="s">
        <v>149</v>
      </c>
      <c r="C24" s="30" t="s">
        <v>150</v>
      </c>
      <c r="D24" s="31" t="s">
        <v>98</v>
      </c>
      <c r="E24" s="32" t="n">
        <v>100</v>
      </c>
      <c r="F24" s="33" t="n">
        <f aca="false">IF(IFERROR(INDEX('Monitor &amp; Recheck Triggers'!$H$3:$H$51,MATCH($B24,'Monitor &amp; Recheck Triggers'!$A$3:$A$51,0)),"")="",296.13,INDEX('Monitor &amp; Recheck Triggers'!$H$3:$H$51,MATCH($B24,'Monitor &amp; Recheck Triggers'!$A$3:$A$51,0)))</f>
        <v>296.13</v>
      </c>
      <c r="G24" s="34" t="n">
        <f aca="false">E24*F24</f>
        <v>29613</v>
      </c>
      <c r="H24" s="35" t="n">
        <v>28325</v>
      </c>
      <c r="I24" s="36" t="n">
        <f aca="false">G24-H24</f>
        <v>1288</v>
      </c>
      <c r="J24" s="37" t="n">
        <f aca="false">IF(H24=0,"",G24/H24-1)</f>
        <v>0.0454721977052075</v>
      </c>
      <c r="K24" s="37" t="n">
        <f aca="false">IFERROR(G24/SUM(G3:G24),"")</f>
        <v>0.0712986249268947</v>
      </c>
      <c r="L24" s="37" t="n">
        <f aca="false">IFERROR(G24/(SUM(G3:G24,G28:G47)),"")</f>
        <v>0.0414779727712186</v>
      </c>
      <c r="M24" s="28" t="s">
        <v>151</v>
      </c>
    </row>
    <row r="25" customFormat="false" ht="15" hidden="false" customHeight="true" outlineLevel="0" collapsed="false">
      <c r="A25" s="39" t="s">
        <v>152</v>
      </c>
      <c r="B25" s="40" t="n">
        <f aca="false">SUBTOTAL(103,B3:B24)</f>
        <v>22</v>
      </c>
      <c r="C25" s="41" t="s">
        <v>153</v>
      </c>
      <c r="D25" s="42"/>
      <c r="E25" s="43"/>
      <c r="F25" s="44"/>
      <c r="G25" s="45" t="n">
        <f aca="false">SUM(G3:G24)</f>
        <v>415337.60336</v>
      </c>
      <c r="H25" s="46" t="n">
        <f aca="false">SUM(H3:H24)</f>
        <v>387294.08</v>
      </c>
      <c r="I25" s="47" t="n">
        <f aca="false">SUM(I3:I24)</f>
        <v>28043.52336</v>
      </c>
      <c r="J25" s="48" t="n">
        <f aca="false">CurrentPositionsTable[[#This Row],[Unrealized G/L ($)]]/CurrentPositionsTable[[#This Row],[Cost Basis
($)]]</f>
        <v>0.0724088614006184</v>
      </c>
      <c r="K25" s="48" t="n">
        <f aca="false">SUM(K3:K24)</f>
        <v>1</v>
      </c>
      <c r="L25" s="48" t="n">
        <f aca="false">SUM(L3:L24)</f>
        <v>0.58174996802179</v>
      </c>
      <c r="M25" s="49"/>
      <c r="N25" s="50"/>
      <c r="O25" s="50"/>
    </row>
    <row r="26" customFormat="false" ht="15" hidden="false" customHeight="true" outlineLevel="0" collapsed="false">
      <c r="E26" s="51"/>
      <c r="F26" s="33"/>
      <c r="I26" s="52" t="s">
        <v>154</v>
      </c>
      <c r="J26" s="53" t="n">
        <f aca="false">I25/(H25-H14-H15)</f>
        <v>0.0754708297217382</v>
      </c>
    </row>
    <row r="27" customFormat="false" ht="15" hidden="false" customHeight="true" outlineLevel="1" collapsed="false">
      <c r="E27" s="51"/>
      <c r="F27" s="33"/>
    </row>
    <row r="28" customFormat="false" ht="15" hidden="false" customHeight="true" outlineLevel="1" collapsed="false">
      <c r="A28" s="28" t="s">
        <v>155</v>
      </c>
      <c r="B28" s="38" t="s">
        <v>156</v>
      </c>
      <c r="C28" s="30" t="s">
        <v>157</v>
      </c>
      <c r="D28" s="31" t="s">
        <v>124</v>
      </c>
      <c r="E28" s="32" t="n">
        <v>27966.4</v>
      </c>
      <c r="F28" s="33" t="n">
        <v>1</v>
      </c>
      <c r="G28" s="34" t="n">
        <f aca="false">E28*F28</f>
        <v>27966.4</v>
      </c>
      <c r="H28" s="35" t="n">
        <v>27966.4</v>
      </c>
      <c r="I28" s="36" t="n">
        <f aca="false">G28-H28</f>
        <v>0</v>
      </c>
      <c r="J28" s="37" t="n">
        <f aca="false">IF(H28=0,"",G28/H28-1)</f>
        <v>0</v>
      </c>
      <c r="K28" s="37" t="n">
        <f aca="false">IFERROR(G28/SUM(G28:G47),"")</f>
        <v>0.0936560199209369</v>
      </c>
      <c r="L28" s="37" t="n">
        <f aca="false">IFERROR(G28/(SUM(G3:G24,G28:G47)),"")</f>
        <v>0.0391716333268837</v>
      </c>
      <c r="M28" s="28" t="s">
        <v>158</v>
      </c>
    </row>
    <row r="29" customFormat="false" ht="15" hidden="false" customHeight="true" outlineLevel="0" collapsed="false">
      <c r="A29" s="28" t="s">
        <v>155</v>
      </c>
      <c r="B29" s="38" t="s">
        <v>159</v>
      </c>
      <c r="C29" s="30" t="s">
        <v>160</v>
      </c>
      <c r="D29" s="31" t="s">
        <v>161</v>
      </c>
      <c r="E29" s="32" t="n">
        <v>850.35693</v>
      </c>
      <c r="F29" s="33" t="n">
        <f aca="false">IF(IFERROR(INDEX('Monitor &amp; Recheck Triggers'!$H$3:$H$51,MATCH($B29,'Monitor &amp; Recheck Triggers'!$A$3:$A$51,0)),"")="",61.09,INDEX('Monitor &amp; Recheck Triggers'!$H$3:$H$51,MATCH($B29,'Monitor &amp; Recheck Triggers'!$A$3:$A$51,0)))</f>
        <v>61.09</v>
      </c>
      <c r="G29" s="34" t="n">
        <f aca="false">E29*F29</f>
        <v>51948.3048537</v>
      </c>
      <c r="H29" s="35" t="n">
        <v>43005.36</v>
      </c>
      <c r="I29" s="36" t="n">
        <f aca="false">G29-H29</f>
        <v>8942.94485370001</v>
      </c>
      <c r="J29" s="37" t="n">
        <f aca="false">IF(H29=0,"",G29/H29-1)</f>
        <v>0.207949540561921</v>
      </c>
      <c r="K29" s="37" t="n">
        <f aca="false">IFERROR(G29/SUM(G28:G47),"")</f>
        <v>0.173968457657655</v>
      </c>
      <c r="L29" s="37" t="n">
        <f aca="false">IFERROR(G29/(SUM(G3:G24,G28:G47)),"")</f>
        <v>0.0727623129785139</v>
      </c>
      <c r="M29" s="28" t="s">
        <v>162</v>
      </c>
    </row>
    <row r="30" customFormat="false" ht="15" hidden="true" customHeight="true" outlineLevel="2" collapsed="false">
      <c r="A30" s="28" t="s">
        <v>155</v>
      </c>
      <c r="B30" s="29" t="s">
        <v>163</v>
      </c>
      <c r="C30" s="30" t="s">
        <v>164</v>
      </c>
      <c r="D30" s="31" t="s">
        <v>98</v>
      </c>
      <c r="E30" s="32" t="n">
        <v>400.00001</v>
      </c>
      <c r="F30" s="33" t="n">
        <f aca="false">IF(IFERROR(INDEX('Monitor &amp; Recheck Triggers'!$H$3:$H$51,MATCH($B30,'Monitor &amp; Recheck Triggers'!$A$3:$A$51,0)),"")="",119.64,INDEX('Monitor &amp; Recheck Triggers'!$H$3:$H$51,MATCH($B30,'Monitor &amp; Recheck Triggers'!$A$3:$A$51,0)))</f>
        <v>119.64</v>
      </c>
      <c r="G30" s="34" t="n">
        <f aca="false">E30*F30</f>
        <v>47856.0011964</v>
      </c>
      <c r="H30" s="35" t="n">
        <v>45116.29</v>
      </c>
      <c r="I30" s="36" t="n">
        <f aca="false">G30-H30</f>
        <v>2739.7111964</v>
      </c>
      <c r="J30" s="37" t="n">
        <f aca="false">IF(H30=0,"",G30/H30-1)</f>
        <v>0.0607255427341211</v>
      </c>
      <c r="K30" s="37" t="n">
        <f aca="false">IFERROR(G30/SUM(G28:G47),"")</f>
        <v>0.160263838083787</v>
      </c>
      <c r="L30" s="37" t="n">
        <f aca="false">IFERROR(G30/(SUM(G3:G24,G28:G47)),"")</f>
        <v>0.0670303554034945</v>
      </c>
      <c r="M30" s="28" t="s">
        <v>165</v>
      </c>
    </row>
    <row r="31" customFormat="false" ht="15" hidden="false" customHeight="true" outlineLevel="0" collapsed="false">
      <c r="A31" s="28" t="s">
        <v>155</v>
      </c>
      <c r="B31" s="29" t="s">
        <v>166</v>
      </c>
      <c r="C31" s="30" t="s">
        <v>167</v>
      </c>
      <c r="D31" s="31" t="s">
        <v>98</v>
      </c>
      <c r="E31" s="32" t="n">
        <v>0</v>
      </c>
      <c r="F31" s="33" t="n">
        <f aca="false">IF(IFERROR(INDEX('Monitor &amp; Recheck Triggers'!$H$3:$H$51,MATCH($B31,'Monitor &amp; Recheck Triggers'!$A$3:$A$51,0)),"")="",56.12,INDEX('Monitor &amp; Recheck Triggers'!$H$3:$H$51,MATCH($B31,'Monitor &amp; Recheck Triggers'!$A$3:$A$51,0)))</f>
        <v>56.12</v>
      </c>
      <c r="G31" s="34" t="n">
        <f aca="false">E31*F31</f>
        <v>0</v>
      </c>
      <c r="H31" s="35" t="n">
        <v>0</v>
      </c>
      <c r="I31" s="36" t="n">
        <f aca="false">G31-H31</f>
        <v>0</v>
      </c>
      <c r="J31" s="37" t="str">
        <f aca="false">IF(H31=0,"",G31/H31-1)</f>
        <v/>
      </c>
      <c r="K31" s="37" t="n">
        <f aca="false">IFERROR(G31/SUM(G28:G47),"")</f>
        <v>0</v>
      </c>
      <c r="L31" s="37" t="n">
        <f aca="false">IFERROR(G31/(SUM(G3:G24,G28:G47)),"")</f>
        <v>0</v>
      </c>
      <c r="M31" s="28" t="s">
        <v>168</v>
      </c>
    </row>
    <row r="32" customFormat="false" ht="15" hidden="false" customHeight="true" outlineLevel="0" collapsed="false">
      <c r="A32" s="28" t="s">
        <v>155</v>
      </c>
      <c r="B32" s="38" t="s">
        <v>169</v>
      </c>
      <c r="C32" s="30" t="s">
        <v>170</v>
      </c>
      <c r="D32" s="31" t="s">
        <v>161</v>
      </c>
      <c r="E32" s="32" t="n">
        <v>500</v>
      </c>
      <c r="F32" s="33" t="n">
        <f aca="false">IF(IFERROR(INDEX('Monitor &amp; Recheck Triggers'!$H$3:$H$51,MATCH($B32,'Monitor &amp; Recheck Triggers'!$A$3:$A$51,0)),"")="",69.97,INDEX('Monitor &amp; Recheck Triggers'!$H$3:$H$51,MATCH($B32,'Monitor &amp; Recheck Triggers'!$A$3:$A$51,0)))</f>
        <v>69.97</v>
      </c>
      <c r="G32" s="34" t="n">
        <f aca="false">E32*F32</f>
        <v>34985</v>
      </c>
      <c r="H32" s="35" t="n">
        <v>30666</v>
      </c>
      <c r="I32" s="36" t="n">
        <f aca="false">G32-H32</f>
        <v>4319</v>
      </c>
      <c r="J32" s="37" t="n">
        <f aca="false">IF(H32=0,"",G32/H32-1)</f>
        <v>0.140840018261267</v>
      </c>
      <c r="K32" s="37" t="n">
        <f aca="false">IFERROR(G32/SUM(G28:G47),"")</f>
        <v>0.117160444566837</v>
      </c>
      <c r="L32" s="37" t="n">
        <f aca="false">IFERROR(G32/(SUM(G3:G24,G28:G47)),"")</f>
        <v>0.0490023596866607</v>
      </c>
      <c r="M32" s="28" t="s">
        <v>171</v>
      </c>
    </row>
    <row r="33" customFormat="false" ht="15" hidden="false" customHeight="true" outlineLevel="0" collapsed="false">
      <c r="A33" s="28" t="s">
        <v>155</v>
      </c>
      <c r="B33" s="29" t="s">
        <v>172</v>
      </c>
      <c r="C33" s="30" t="s">
        <v>173</v>
      </c>
      <c r="D33" s="31" t="s">
        <v>98</v>
      </c>
      <c r="E33" s="32" t="n">
        <v>35.07587</v>
      </c>
      <c r="F33" s="33" t="n">
        <f aca="false">IF(IFERROR(INDEX('Monitor &amp; Recheck Triggers'!$H$3:$H$51,MATCH($B33,'Monitor &amp; Recheck Triggers'!$A$3:$A$51,0)),"")="",361.54,INDEX('Monitor &amp; Recheck Triggers'!$H$3:$H$51,MATCH($B33,'Monitor &amp; Recheck Triggers'!$A$3:$A$51,0)))</f>
        <v>361.54</v>
      </c>
      <c r="G33" s="34" t="n">
        <f aca="false">E33*F33</f>
        <v>12681.3300398</v>
      </c>
      <c r="H33" s="35" t="n">
        <v>12653.43</v>
      </c>
      <c r="I33" s="36" t="n">
        <f aca="false">G33-H33</f>
        <v>27.9000398000007</v>
      </c>
      <c r="J33" s="37" t="n">
        <f aca="false">IF(H33=0,"",G33/H33-1)</f>
        <v>0.00220493888218454</v>
      </c>
      <c r="K33" s="37" t="n">
        <f aca="false">IFERROR(G33/SUM(G28:G47),"")</f>
        <v>0.0424682082367228</v>
      </c>
      <c r="L33" s="37" t="n">
        <f aca="false">IFERROR(G33/(SUM(G3:G24,G28:G47)),"")</f>
        <v>0.0177623294530666</v>
      </c>
      <c r="M33" s="28"/>
    </row>
    <row r="34" customFormat="false" ht="15" hidden="false" customHeight="true" outlineLevel="0" collapsed="false">
      <c r="A34" s="28" t="s">
        <v>155</v>
      </c>
      <c r="B34" s="29" t="s">
        <v>111</v>
      </c>
      <c r="C34" s="30" t="s">
        <v>112</v>
      </c>
      <c r="D34" s="31" t="s">
        <v>98</v>
      </c>
      <c r="E34" s="32" t="n">
        <v>59.02188</v>
      </c>
      <c r="F34" s="33" t="n">
        <f aca="false">IF(IFERROR(INDEX('Monitor &amp; Recheck Triggers'!$H$3:$H$51,MATCH($B34,'Monitor &amp; Recheck Triggers'!$A$3:$A$51,0)),"")="",229.28,INDEX('Monitor &amp; Recheck Triggers'!$H$3:$H$51,MATCH($B34,'Monitor &amp; Recheck Triggers'!$A$3:$A$51,0)))</f>
        <v>229.28</v>
      </c>
      <c r="G34" s="34" t="n">
        <f aca="false">E34*F34</f>
        <v>13532.5366464</v>
      </c>
      <c r="H34" s="35" t="n">
        <v>11377.73</v>
      </c>
      <c r="I34" s="36" t="n">
        <f aca="false">G34-H34</f>
        <v>2154.8066464</v>
      </c>
      <c r="J34" s="37" t="n">
        <f aca="false">IF(H34=0,"",G34/H34-1)</f>
        <v>0.189388098188303</v>
      </c>
      <c r="K34" s="37" t="n">
        <f aca="false">IFERROR(G34/SUM(G28:G47),"")</f>
        <v>0.0453187940434252</v>
      </c>
      <c r="L34" s="37" t="n">
        <f aca="false">IFERROR(G34/(SUM(G3:G24,G28:G47)),"")</f>
        <v>0.0189545870578765</v>
      </c>
      <c r="M34" s="28"/>
    </row>
    <row r="35" customFormat="false" ht="15" hidden="false" customHeight="true" outlineLevel="1" collapsed="false">
      <c r="A35" s="28" t="s">
        <v>155</v>
      </c>
      <c r="B35" s="29" t="s">
        <v>174</v>
      </c>
      <c r="C35" s="30" t="s">
        <v>175</v>
      </c>
      <c r="D35" s="31" t="s">
        <v>98</v>
      </c>
      <c r="E35" s="32" t="n">
        <v>65</v>
      </c>
      <c r="F35" s="33" t="n">
        <f aca="false">IF(IFERROR(INDEX('Monitor &amp; Recheck Triggers'!$H$3:$H$51,MATCH($B35,'Monitor &amp; Recheck Triggers'!$A$3:$A$51,0)),"")="",510.08,INDEX('Monitor &amp; Recheck Triggers'!$H$3:$H$51,MATCH($B35,'Monitor &amp; Recheck Triggers'!$A$3:$A$51,0)))</f>
        <v>510.08</v>
      </c>
      <c r="G35" s="34" t="n">
        <f aca="false">E35*F35</f>
        <v>33155.2</v>
      </c>
      <c r="H35" s="35" t="n">
        <v>31479.64</v>
      </c>
      <c r="I35" s="36" t="n">
        <f aca="false">G35-H35</f>
        <v>1675.56</v>
      </c>
      <c r="J35" s="37" t="n">
        <f aca="false">IF(H35=0,"",G35/H35-1)</f>
        <v>0.0532267840420029</v>
      </c>
      <c r="K35" s="37" t="n">
        <f aca="false">IFERROR(G35/SUM(G28:G47),"")</f>
        <v>0.111032670335926</v>
      </c>
      <c r="L35" s="37" t="n">
        <f aca="false">IFERROR(G35/(SUM(G3:G24,G28:G47)),"")</f>
        <v>0.0464394179186272</v>
      </c>
      <c r="M35" s="28" t="s">
        <v>176</v>
      </c>
    </row>
    <row r="36" customFormat="false" ht="15" hidden="false" customHeight="true" outlineLevel="1" collapsed="false">
      <c r="A36" s="28" t="s">
        <v>155</v>
      </c>
      <c r="B36" s="38" t="s">
        <v>140</v>
      </c>
      <c r="C36" s="30" t="s">
        <v>141</v>
      </c>
      <c r="D36" s="31" t="s">
        <v>98</v>
      </c>
      <c r="E36" s="32" t="n">
        <v>76.93745</v>
      </c>
      <c r="F36" s="33" t="n">
        <f aca="false">IF(IFERROR(INDEX('Monitor &amp; Recheck Triggers'!$H$3:$H$51,MATCH($B36,'Monitor &amp; Recheck Triggers'!$A$3:$A$51,0)),"")="",151.16,INDEX('Monitor &amp; Recheck Triggers'!$H$3:$H$51,MATCH($B36,'Monitor &amp; Recheck Triggers'!$A$3:$A$51,0)))</f>
        <v>151.16</v>
      </c>
      <c r="G36" s="34" t="n">
        <f aca="false">E36*F36</f>
        <v>11629.864942</v>
      </c>
      <c r="H36" s="35" t="n">
        <v>9318.79</v>
      </c>
      <c r="I36" s="36" t="n">
        <f aca="false">G36-H36</f>
        <v>2311.074942</v>
      </c>
      <c r="J36" s="37" t="n">
        <f aca="false">IF(H36=0,"",G36/H36-1)</f>
        <v>0.24800161201186</v>
      </c>
      <c r="K36" s="37" t="n">
        <f aca="false">IFERROR(G36/SUM(G28:G47),"")</f>
        <v>0.0389469814736884</v>
      </c>
      <c r="L36" s="37" t="n">
        <f aca="false">IFERROR(G36/(SUM(G3:G24,G28:G47)),"")</f>
        <v>0.0162895762468249</v>
      </c>
      <c r="M36" s="28"/>
    </row>
    <row r="37" customFormat="false" ht="15" hidden="false" customHeight="true" outlineLevel="0" collapsed="false">
      <c r="A37" s="28" t="s">
        <v>155</v>
      </c>
      <c r="B37" s="38" t="s">
        <v>131</v>
      </c>
      <c r="C37" s="30" t="s">
        <v>132</v>
      </c>
      <c r="D37" s="31" t="s">
        <v>98</v>
      </c>
      <c r="E37" s="32" t="n">
        <v>200</v>
      </c>
      <c r="F37" s="33" t="n">
        <f aca="false">IF(IFERROR(INDEX('Monitor &amp; Recheck Triggers'!$H$3:$H$51,MATCH($B37,'Monitor &amp; Recheck Triggers'!$A$3:$A$51,0)),"")="",52.84,INDEX('Monitor &amp; Recheck Triggers'!$H$3:$H$51,MATCH($B37,'Monitor &amp; Recheck Triggers'!$A$3:$A$51,0)))</f>
        <v>52.84</v>
      </c>
      <c r="G37" s="34" t="n">
        <f aca="false">E37*F37</f>
        <v>10568</v>
      </c>
      <c r="H37" s="35" t="n">
        <v>9257</v>
      </c>
      <c r="I37" s="36" t="n">
        <f aca="false">G37-H37</f>
        <v>1311</v>
      </c>
      <c r="J37" s="37" t="n">
        <f aca="false">IF(H37=0,"",G37/H37-1)</f>
        <v>0.141622555903641</v>
      </c>
      <c r="K37" s="37" t="n">
        <f aca="false">IFERROR(G37/SUM(G28:G47),"")</f>
        <v>0.0353909269167451</v>
      </c>
      <c r="L37" s="37" t="n">
        <f aca="false">IFERROR(G37/(SUM(G3:G24,G28:G47)),"")</f>
        <v>0.0148022563146671</v>
      </c>
      <c r="M37" s="28"/>
    </row>
    <row r="38" customFormat="false" ht="15" hidden="false" customHeight="true" outlineLevel="0" collapsed="false">
      <c r="A38" s="28" t="s">
        <v>155</v>
      </c>
      <c r="B38" s="29" t="s">
        <v>101</v>
      </c>
      <c r="C38" s="30" t="s">
        <v>102</v>
      </c>
      <c r="D38" s="31" t="s">
        <v>98</v>
      </c>
      <c r="E38" s="32" t="n">
        <v>50</v>
      </c>
      <c r="F38" s="33" t="n">
        <f aca="false">IF(IFERROR(INDEX('Monitor &amp; Recheck Triggers'!$H$3:$H$51,MATCH($B38,'Monitor &amp; Recheck Triggers'!$A$3:$A$51,0)),"")="",216.74,INDEX('Monitor &amp; Recheck Triggers'!$H$3:$H$51,MATCH($B38,'Monitor &amp; Recheck Triggers'!$A$3:$A$51,0)))</f>
        <v>216.74</v>
      </c>
      <c r="G38" s="34" t="n">
        <f aca="false">E38*F38</f>
        <v>10837</v>
      </c>
      <c r="H38" s="35" t="n">
        <v>7394.5</v>
      </c>
      <c r="I38" s="36" t="n">
        <f aca="false">G38-H38</f>
        <v>3442.5</v>
      </c>
      <c r="J38" s="37" t="n">
        <f aca="false">IF(H38=0,"",G38/H38-1)</f>
        <v>0.465548718642234</v>
      </c>
      <c r="K38" s="37" t="n">
        <f aca="false">IFERROR(G38/SUM(G28:G47),"")</f>
        <v>0.0362917746968932</v>
      </c>
      <c r="L38" s="37" t="n">
        <f aca="false">IFERROR(G38/(SUM(G3:G24,G28:G47)),"")</f>
        <v>0.0151790359275216</v>
      </c>
      <c r="M38" s="28"/>
    </row>
    <row r="39" customFormat="false" ht="15" hidden="false" customHeight="true" outlineLevel="0" collapsed="false">
      <c r="A39" s="28" t="s">
        <v>155</v>
      </c>
      <c r="B39" s="29" t="s">
        <v>105</v>
      </c>
      <c r="C39" s="30" t="s">
        <v>106</v>
      </c>
      <c r="D39" s="31" t="s">
        <v>98</v>
      </c>
      <c r="E39" s="32" t="n">
        <v>45</v>
      </c>
      <c r="F39" s="33" t="n">
        <f aca="false">IF(IFERROR(INDEX('Monitor &amp; Recheck Triggers'!$H$3:$H$51,MATCH($B39,'Monitor &amp; Recheck Triggers'!$A$3:$A$51,0)),"")="",275.04,INDEX('Monitor &amp; Recheck Triggers'!$H$3:$H$51,MATCH($B39,'Monitor &amp; Recheck Triggers'!$A$3:$A$51,0)))</f>
        <v>275.04</v>
      </c>
      <c r="G39" s="34" t="n">
        <f aca="false">E39*F39</f>
        <v>12376.8</v>
      </c>
      <c r="H39" s="35" t="n">
        <v>7099.31</v>
      </c>
      <c r="I39" s="36" t="n">
        <f aca="false">G39-H39</f>
        <v>5277.49</v>
      </c>
      <c r="J39" s="37" t="n">
        <f aca="false">IF(H39=0,"",G39/H39-1)</f>
        <v>0.743380694743574</v>
      </c>
      <c r="K39" s="37" t="n">
        <f aca="false">IFERROR(G39/SUM(G28:G47),"")</f>
        <v>0.0414483747410268</v>
      </c>
      <c r="L39" s="37" t="n">
        <f aca="false">IFERROR(G39/(SUM(G3:G24,G28:G47)),"")</f>
        <v>0.0173357840608793</v>
      </c>
      <c r="M39" s="28"/>
    </row>
    <row r="40" customFormat="false" ht="15" hidden="true" customHeight="true" outlineLevel="2" collapsed="false">
      <c r="A40" s="28" t="s">
        <v>155</v>
      </c>
      <c r="B40" s="29" t="s">
        <v>177</v>
      </c>
      <c r="C40" s="30" t="s">
        <v>178</v>
      </c>
      <c r="D40" s="31" t="s">
        <v>98</v>
      </c>
      <c r="E40" s="32" t="n">
        <v>125.44837</v>
      </c>
      <c r="F40" s="33" t="n">
        <f aca="false">IF(IFERROR(INDEX('Monitor &amp; Recheck Triggers'!$H$3:$H$51,MATCH($B40,'Monitor &amp; Recheck Triggers'!$A$3:$A$51,0)),"")="",129.49,INDEX('Monitor &amp; Recheck Triggers'!$H$3:$H$51,MATCH($B40,'Monitor &amp; Recheck Triggers'!$A$3:$A$51,0)))</f>
        <v>129.49</v>
      </c>
      <c r="G40" s="34" t="n">
        <f aca="false">E40*F40</f>
        <v>16244.3094313</v>
      </c>
      <c r="H40" s="35" t="n">
        <v>16585.43</v>
      </c>
      <c r="I40" s="36" t="n">
        <f aca="false">G40-H40</f>
        <v>-341.1205687</v>
      </c>
      <c r="J40" s="37" t="n">
        <f aca="false">IF(H40=0,"",G40/H40-1)</f>
        <v>-0.0205674841532598</v>
      </c>
      <c r="K40" s="37" t="n">
        <f aca="false">IFERROR(G40/SUM(G28:G47),"")</f>
        <v>0.0544001862127301</v>
      </c>
      <c r="L40" s="37" t="n">
        <f aca="false">IFERROR(G40/(SUM(G3:G24,G28:G47)),"")</f>
        <v>0.022752879623095</v>
      </c>
      <c r="M40" s="28" t="s">
        <v>179</v>
      </c>
    </row>
    <row r="41" customFormat="false" ht="15" hidden="true" customHeight="true" outlineLevel="2" collapsed="false">
      <c r="A41" s="28" t="s">
        <v>155</v>
      </c>
      <c r="B41" s="29" t="s">
        <v>180</v>
      </c>
      <c r="C41" s="30" t="s">
        <v>181</v>
      </c>
      <c r="D41" s="31" t="s">
        <v>98</v>
      </c>
      <c r="E41" s="32" t="n">
        <v>0</v>
      </c>
      <c r="F41" s="33" t="n">
        <f aca="false">IF(IFERROR(INDEX('Monitor &amp; Recheck Triggers'!$H$3:$H$51,MATCH($B41,'Monitor &amp; Recheck Triggers'!$A$3:$A$51,0)),"")="",86.07,INDEX('Monitor &amp; Recheck Triggers'!$H$3:$H$51,MATCH($B41,'Monitor &amp; Recheck Triggers'!$A$3:$A$51,0)))</f>
        <v>86.07</v>
      </c>
      <c r="G41" s="34" t="n">
        <f aca="false">E41*F41</f>
        <v>0</v>
      </c>
      <c r="H41" s="35" t="n">
        <v>0</v>
      </c>
      <c r="I41" s="36" t="n">
        <f aca="false">G41-H41</f>
        <v>0</v>
      </c>
      <c r="J41" s="37" t="str">
        <f aca="false">IF(H41=0,"",G41/H41-1)</f>
        <v/>
      </c>
      <c r="K41" s="37" t="n">
        <f aca="false">IFERROR(G41/SUM(G28:G47),"")</f>
        <v>0</v>
      </c>
      <c r="L41" s="37" t="n">
        <f aca="false">IFERROR(G41/(SUM(G3:G24,G28:G47)),"")</f>
        <v>0</v>
      </c>
      <c r="M41" s="28" t="s">
        <v>182</v>
      </c>
    </row>
    <row r="42" customFormat="false" ht="15" hidden="true" customHeight="true" outlineLevel="2" collapsed="false">
      <c r="A42" s="28" t="s">
        <v>155</v>
      </c>
      <c r="B42" s="29" t="s">
        <v>183</v>
      </c>
      <c r="C42" s="30" t="s">
        <v>184</v>
      </c>
      <c r="D42" s="31" t="s">
        <v>98</v>
      </c>
      <c r="E42" s="32" t="n">
        <v>0</v>
      </c>
      <c r="F42" s="33" t="n">
        <f aca="false">IF(IFERROR(INDEX('Monitor &amp; Recheck Triggers'!$H$3:$H$51,MATCH($B42,'Monitor &amp; Recheck Triggers'!$A$3:$A$51,0)),"")="",327.35,INDEX('Monitor &amp; Recheck Triggers'!$H$3:$H$51,MATCH($B42,'Monitor &amp; Recheck Triggers'!$A$3:$A$51,0)))</f>
        <v>327.35</v>
      </c>
      <c r="G42" s="34" t="n">
        <f aca="false">E42*F42</f>
        <v>0</v>
      </c>
      <c r="H42" s="35" t="n">
        <v>0</v>
      </c>
      <c r="I42" s="36" t="n">
        <f aca="false">G42-H42</f>
        <v>0</v>
      </c>
      <c r="J42" s="37" t="str">
        <f aca="false">IF(H42=0,"",G42/H42-1)</f>
        <v/>
      </c>
      <c r="K42" s="37" t="n">
        <f aca="false">IFERROR(G42/SUM(G28:G47),"")</f>
        <v>0</v>
      </c>
      <c r="L42" s="37" t="n">
        <f aca="false">IFERROR(G42/(SUM(G3:G24,G28:G47)),"")</f>
        <v>0</v>
      </c>
      <c r="M42" s="28" t="s">
        <v>185</v>
      </c>
    </row>
    <row r="43" customFormat="false" ht="15" hidden="false" customHeight="true" outlineLevel="1" collapsed="true">
      <c r="A43" s="28" t="s">
        <v>155</v>
      </c>
      <c r="B43" s="29" t="s">
        <v>186</v>
      </c>
      <c r="C43" s="30" t="s">
        <v>187</v>
      </c>
      <c r="D43" s="31" t="s">
        <v>98</v>
      </c>
      <c r="E43" s="32" t="n">
        <v>0</v>
      </c>
      <c r="F43" s="33" t="n">
        <f aca="false">IF(IFERROR(INDEX('Monitor &amp; Recheck Triggers'!$H$3:$H$51,MATCH($B43,'Monitor &amp; Recheck Triggers'!$A$3:$A$51,0)),"")="",120.16,INDEX('Monitor &amp; Recheck Triggers'!$H$3:$H$51,MATCH($B43,'Monitor &amp; Recheck Triggers'!$A$3:$A$51,0)))</f>
        <v>120.16</v>
      </c>
      <c r="G43" s="34" t="n">
        <f aca="false">E43*F43</f>
        <v>0</v>
      </c>
      <c r="H43" s="35" t="n">
        <v>0</v>
      </c>
      <c r="I43" s="36" t="n">
        <f aca="false">G43-H43</f>
        <v>0</v>
      </c>
      <c r="J43" s="37" t="str">
        <f aca="false">IF(H43=0,"",G43/H43-1)</f>
        <v/>
      </c>
      <c r="K43" s="37" t="n">
        <f aca="false">IFERROR(G43/SUM(G28:G47),"")</f>
        <v>0</v>
      </c>
      <c r="L43" s="37" t="n">
        <f aca="false">IFERROR(G43/(SUM(G3:G24,G28:G47)),"")</f>
        <v>0</v>
      </c>
      <c r="M43" s="28" t="s">
        <v>188</v>
      </c>
    </row>
    <row r="44" customFormat="false" ht="15" hidden="true" customHeight="true" outlineLevel="2" collapsed="false">
      <c r="A44" s="28" t="s">
        <v>155</v>
      </c>
      <c r="B44" s="38" t="s">
        <v>189</v>
      </c>
      <c r="C44" s="30" t="s">
        <v>190</v>
      </c>
      <c r="D44" s="31" t="s">
        <v>124</v>
      </c>
      <c r="E44" s="32" t="n">
        <v>427.26</v>
      </c>
      <c r="F44" s="33" t="n">
        <v>1</v>
      </c>
      <c r="G44" s="34" t="n">
        <f aca="false">E44*F44</f>
        <v>427.26</v>
      </c>
      <c r="H44" s="35" t="n">
        <v>427.26</v>
      </c>
      <c r="I44" s="36" t="n">
        <f aca="false">G44-H44</f>
        <v>0</v>
      </c>
      <c r="J44" s="37" t="n">
        <f aca="false">IF(H44=0,"",G44/H44-1)</f>
        <v>0</v>
      </c>
      <c r="K44" s="37" t="n">
        <f aca="false">IFERROR(G44/SUM(G28:G47),"")</f>
        <v>0.00143084097600762</v>
      </c>
      <c r="L44" s="37" t="n">
        <f aca="false">IFERROR(G44/(SUM(G3:G24,G28:G47)),"")</f>
        <v>0.00059844928397092</v>
      </c>
      <c r="M44" s="28" t="s">
        <v>191</v>
      </c>
    </row>
    <row r="45" customFormat="false" ht="15" hidden="false" customHeight="true" outlineLevel="0" collapsed="false">
      <c r="A45" s="28" t="s">
        <v>155</v>
      </c>
      <c r="B45" s="29" t="s">
        <v>192</v>
      </c>
      <c r="C45" s="30" t="s">
        <v>193</v>
      </c>
      <c r="D45" s="31" t="s">
        <v>98</v>
      </c>
      <c r="E45" s="32" t="n">
        <v>0</v>
      </c>
      <c r="F45" s="33" t="n">
        <f aca="false">IF(IFERROR(INDEX('Monitor &amp; Recheck Triggers'!$H$3:$H$51,MATCH($B45,'Monitor &amp; Recheck Triggers'!$A$3:$A$51,0)),"")="",37.61,INDEX('Monitor &amp; Recheck Triggers'!$H$3:$H$51,MATCH($B45,'Monitor &amp; Recheck Triggers'!$A$3:$A$51,0)))</f>
        <v>37.61</v>
      </c>
      <c r="G45" s="34" t="n">
        <f aca="false">E45*F45</f>
        <v>0</v>
      </c>
      <c r="H45" s="35" t="n">
        <v>0</v>
      </c>
      <c r="I45" s="36" t="n">
        <f aca="false">G45-H45</f>
        <v>0</v>
      </c>
      <c r="J45" s="37" t="str">
        <f aca="false">IF(H45=0,"",G45/H45-1)</f>
        <v/>
      </c>
      <c r="K45" s="37" t="n">
        <f aca="false">IFERROR(G45/SUM(G28:G47),"")</f>
        <v>0</v>
      </c>
      <c r="L45" s="37" t="n">
        <f aca="false">IFERROR(G45/(SUM(G3:G24,G28:G47)),"")</f>
        <v>0</v>
      </c>
      <c r="M45" s="28" t="s">
        <v>194</v>
      </c>
    </row>
    <row r="46" customFormat="false" ht="15" hidden="false" customHeight="true" outlineLevel="1" collapsed="false">
      <c r="A46" s="28" t="s">
        <v>155</v>
      </c>
      <c r="B46" s="29" t="s">
        <v>113</v>
      </c>
      <c r="C46" s="30" t="s">
        <v>114</v>
      </c>
      <c r="D46" s="31" t="s">
        <v>98</v>
      </c>
      <c r="E46" s="32" t="n">
        <v>20</v>
      </c>
      <c r="F46" s="33" t="n">
        <f aca="false">IF(IFERROR(INDEX('Monitor &amp; Recheck Triggers'!$H$3:$H$51,MATCH($B46,'Monitor &amp; Recheck Triggers'!$A$3:$A$51,0)),"")="",209.05,INDEX('Monitor &amp; Recheck Triggers'!$H$3:$H$51,MATCH($B46,'Monitor &amp; Recheck Triggers'!$A$3:$A$51,0)))</f>
        <v>209.05</v>
      </c>
      <c r="G46" s="34" t="n">
        <f aca="false">E46*F46</f>
        <v>4181</v>
      </c>
      <c r="H46" s="35" t="n">
        <v>3178</v>
      </c>
      <c r="I46" s="36" t="n">
        <f aca="false">G46-H46</f>
        <v>1003</v>
      </c>
      <c r="J46" s="37" t="n">
        <f aca="false">IF(H46=0,"",G46/H46-1)</f>
        <v>0.315607300188798</v>
      </c>
      <c r="K46" s="37" t="n">
        <f aca="false">IFERROR(G46/SUM(G28:G47),"")</f>
        <v>0.014001652672115</v>
      </c>
      <c r="L46" s="37" t="n">
        <f aca="false">IFERROR(G46/(SUM(G3:G24,G28:G47)),"")</f>
        <v>0.00585619167785989</v>
      </c>
      <c r="M46" s="28"/>
    </row>
    <row r="47" customFormat="false" ht="13.5" hidden="false" customHeight="true" outlineLevel="0" collapsed="false">
      <c r="A47" s="28" t="s">
        <v>155</v>
      </c>
      <c r="B47" s="38" t="s">
        <v>195</v>
      </c>
      <c r="C47" s="30" t="s">
        <v>196</v>
      </c>
      <c r="D47" s="31" t="s">
        <v>161</v>
      </c>
      <c r="E47" s="32" t="n">
        <v>180</v>
      </c>
      <c r="F47" s="33" t="n">
        <f aca="false">IF(IFERROR(INDEX('Monitor &amp; Recheck Triggers'!$H$3:$H$51,MATCH($B47,'Monitor &amp; Recheck Triggers'!$A$3:$A$51,0)),"")="",56.77,INDEX('Monitor &amp; Recheck Triggers'!$H$3:$H$51,MATCH($B47,'Monitor &amp; Recheck Triggers'!$A$3:$A$51,0)))</f>
        <v>56.77</v>
      </c>
      <c r="G47" s="34" t="n">
        <f aca="false">E47*F47</f>
        <v>10218.6</v>
      </c>
      <c r="H47" s="35" t="n">
        <v>10500.57</v>
      </c>
      <c r="I47" s="36" t="n">
        <f aca="false">G47-H47</f>
        <v>-281.969999999999</v>
      </c>
      <c r="J47" s="37" t="n">
        <f aca="false">IF(H47=0,"",G47/H47-1)</f>
        <v>-0.0268528279893376</v>
      </c>
      <c r="K47" s="37" t="n">
        <f aca="false">IFERROR(G47/SUM(G28:G47),"")</f>
        <v>0.0342208294655045</v>
      </c>
      <c r="L47" s="37" t="n">
        <f aca="false">IFERROR(G47/(SUM(G3:G24,G28:G47)),"")</f>
        <v>0.0143128630182681</v>
      </c>
      <c r="M47" s="28" t="s">
        <v>130</v>
      </c>
    </row>
    <row r="48" customFormat="false" ht="15" hidden="false" customHeight="true" outlineLevel="0" collapsed="false">
      <c r="A48" s="39" t="s">
        <v>152</v>
      </c>
      <c r="B48" s="40" t="n">
        <f aca="false">SUBTOTAL(103,B28:B47)</f>
        <v>15</v>
      </c>
      <c r="C48" s="41" t="s">
        <v>197</v>
      </c>
      <c r="D48" s="42"/>
      <c r="E48" s="43"/>
      <c r="F48" s="44"/>
      <c r="G48" s="45" t="n">
        <f aca="false">SUM(G28:G47)</f>
        <v>298607.6071096</v>
      </c>
      <c r="H48" s="46" t="n">
        <f aca="false">SUM(H28:H47)</f>
        <v>266025.71</v>
      </c>
      <c r="I48" s="47" t="n">
        <f aca="false">SUM(I28:I47)</f>
        <v>32581.8971096</v>
      </c>
      <c r="J48" s="48" t="n">
        <f aca="false">CurrentPositionsTable[[#This Row],[Unrealized G/L ($)]]/CurrentPositionsTable[[#This Row],[Cost Basis
($)]]</f>
        <v>0.122476497138566</v>
      </c>
      <c r="K48" s="48" t="n">
        <f aca="false">SUM(K28:K47)</f>
        <v>1</v>
      </c>
      <c r="L48" s="48" t="n">
        <f aca="false">SUM(L28:L47)</f>
        <v>0.41825003197821</v>
      </c>
      <c r="M48" s="49"/>
      <c r="N48" s="50"/>
      <c r="O48" s="50"/>
    </row>
    <row r="49" customFormat="false" ht="15" hidden="false" customHeight="true" outlineLevel="0" collapsed="false">
      <c r="E49" s="51"/>
      <c r="I49" s="52" t="s">
        <v>154</v>
      </c>
      <c r="J49" s="53" t="n">
        <f aca="false">I48/(H48-H44-H28)</f>
        <v>0.137110701648199</v>
      </c>
    </row>
    <row r="50" customFormat="false" ht="15" hidden="false" customHeight="true" outlineLevel="0" collapsed="false">
      <c r="E50" s="51"/>
    </row>
    <row r="51" customFormat="false" ht="15" hidden="false" customHeight="true" outlineLevel="0" collapsed="false">
      <c r="A51" s="28"/>
      <c r="B51" s="29"/>
      <c r="C51" s="30" t="s">
        <v>198</v>
      </c>
      <c r="D51" s="31"/>
      <c r="E51" s="32"/>
      <c r="F51" s="30"/>
      <c r="G51" s="34" t="n">
        <f aca="false">SUM(G3:G24)+SUM(G28:G47)</f>
        <v>713945.2104696</v>
      </c>
      <c r="H51" s="35" t="n">
        <f aca="false">SUM(H3:H24)+SUM(H28:H47)</f>
        <v>653319.79</v>
      </c>
      <c r="I51" s="36" t="n">
        <f aca="false">SUM(I3:I24)+SUM(I28:I47)</f>
        <v>60625.4204696</v>
      </c>
    </row>
    <row r="52" customFormat="false" ht="14.25" hidden="false" customHeight="true" outlineLevel="0" collapsed="false">
      <c r="A52" s="28"/>
      <c r="B52" s="29"/>
      <c r="C52" s="30" t="s">
        <v>199</v>
      </c>
      <c r="D52" s="31"/>
      <c r="E52" s="32"/>
      <c r="F52" s="30"/>
      <c r="G52" s="34" t="n">
        <f aca="false">SUM(G14:G21)+G28+G29+G30+G32+G36+G37+G44+G47</f>
        <v>367915.1543521</v>
      </c>
      <c r="H52" s="35" t="n">
        <f aca="false">SUM(H14:H21)+H28+H29+H30+H32+H36+H37+H44+H47</f>
        <v>354461.92</v>
      </c>
      <c r="I52" s="36" t="n">
        <f aca="false">G52-H52</f>
        <v>13453.2343521</v>
      </c>
      <c r="L52" s="37" t="n">
        <f aca="false">IFERROR(G52/G51,"")</f>
        <v>0.515326875167497</v>
      </c>
      <c r="M52" s="28" t="s">
        <v>200</v>
      </c>
    </row>
    <row r="53" customFormat="false" ht="142.5" hidden="false" customHeight="true" outlineLevel="0" collapsed="false">
      <c r="A53" s="54" t="s">
        <v>201</v>
      </c>
      <c r="B53" s="54"/>
      <c r="C53" s="54"/>
      <c r="D53" s="54"/>
      <c r="E53" s="54"/>
      <c r="F53" s="54"/>
      <c r="G53" s="54"/>
      <c r="H53" s="54"/>
      <c r="I53" s="54"/>
      <c r="J53" s="54"/>
      <c r="K53" s="54"/>
      <c r="L53" s="54"/>
      <c r="M53" s="54"/>
    </row>
  </sheetData>
  <mergeCells count="3">
    <mergeCell ref="A1:M1"/>
    <mergeCell ref="O1:P1"/>
    <mergeCell ref="A53:M53"/>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44"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0.66"/>
    <col collapsed="false" customWidth="true" hidden="false" outlineLevel="0" max="3" min="3" style="1" width="11"/>
    <col collapsed="false" customWidth="true" hidden="false" outlineLevel="0" max="5" min="4" style="1" width="7.83"/>
    <col collapsed="false" customWidth="true" hidden="false" outlineLevel="0" max="6" min="6" style="1" width="14"/>
    <col collapsed="false" customWidth="true" hidden="false" outlineLevel="0" max="7" min="7" style="56" width="8.16"/>
    <col collapsed="false" customWidth="true" hidden="false" outlineLevel="0" max="9" min="8" style="1" width="8.34"/>
    <col collapsed="false" customWidth="true" hidden="false" outlineLevel="0" max="10" min="10" style="1" width="12"/>
    <col collapsed="false" customWidth="true" hidden="false" outlineLevel="0" max="11" min="11" style="1" width="8.5"/>
    <col collapsed="false" customWidth="true" hidden="false" outlineLevel="0" max="12" min="12" style="1" width="22"/>
    <col collapsed="false" customWidth="true" hidden="false" outlineLevel="0" max="13" min="13" style="1" width="7.33"/>
    <col collapsed="false" customWidth="true" hidden="false" outlineLevel="0" max="14" min="14" style="1" width="17.16"/>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202</v>
      </c>
      <c r="B1" s="57"/>
      <c r="C1" s="57"/>
      <c r="D1" s="57"/>
      <c r="E1" s="57"/>
      <c r="F1" s="57"/>
      <c r="G1" s="57"/>
      <c r="H1" s="57"/>
      <c r="I1" s="57"/>
      <c r="J1" s="57"/>
      <c r="K1" s="57"/>
      <c r="L1" s="57"/>
      <c r="M1" s="57"/>
      <c r="N1" s="57"/>
      <c r="O1" s="57"/>
      <c r="P1" s="58" t="s">
        <v>203</v>
      </c>
      <c r="Q1" s="59" t="n">
        <v>46300</v>
      </c>
    </row>
    <row r="2" s="62" customFormat="true" ht="42" hidden="false" customHeight="true" outlineLevel="0" collapsed="false">
      <c r="A2" s="60" t="s">
        <v>82</v>
      </c>
      <c r="B2" s="60" t="s">
        <v>204</v>
      </c>
      <c r="C2" s="60" t="s">
        <v>205</v>
      </c>
      <c r="D2" s="60" t="s">
        <v>206</v>
      </c>
      <c r="E2" s="60" t="s">
        <v>207</v>
      </c>
      <c r="F2" s="60" t="s">
        <v>208</v>
      </c>
      <c r="G2" s="61" t="s">
        <v>209</v>
      </c>
      <c r="H2" s="60" t="s">
        <v>210</v>
      </c>
      <c r="I2" s="60" t="s">
        <v>211</v>
      </c>
      <c r="J2" s="60" t="s">
        <v>212</v>
      </c>
      <c r="K2" s="60" t="s">
        <v>213</v>
      </c>
      <c r="L2" s="60" t="s">
        <v>214</v>
      </c>
      <c r="M2" s="60" t="s">
        <v>215</v>
      </c>
      <c r="N2" s="60" t="s">
        <v>216</v>
      </c>
      <c r="O2" s="60" t="s">
        <v>217</v>
      </c>
      <c r="P2" s="60" t="s">
        <v>218</v>
      </c>
      <c r="Q2" s="60" t="s">
        <v>219</v>
      </c>
    </row>
    <row r="3" customFormat="false" ht="15" hidden="false" customHeight="true" outlineLevel="0" collapsed="false">
      <c r="A3" s="63" t="s">
        <v>96</v>
      </c>
      <c r="B3" s="64" t="s">
        <v>220</v>
      </c>
      <c r="C3" s="65" t="n">
        <v>46295</v>
      </c>
      <c r="D3" s="64" t="n">
        <v>85.8</v>
      </c>
      <c r="E3" s="64" t="n">
        <v>4.57</v>
      </c>
      <c r="F3" s="66" t="s">
        <v>221</v>
      </c>
      <c r="G3" s="67" t="n">
        <v>239.94</v>
      </c>
      <c r="H3" s="68" t="str">
        <f aca="false" t="array" ref="H3:H3">IFERROR(INDEX(_xlfn.stockhistory(A3,TODAY()-5,TODAY(),0,0,1),ROWS(_xlfn.stockhistory(A3,TODAY()-5,TODAY(),0,0,1)),1),"")</f>
        <v/>
      </c>
      <c r="I3" s="69" t="str">
        <f aca="false">IF(OR(G3="",H3=""),"",H3/G3-1)</f>
        <v/>
      </c>
      <c r="J3" s="70" t="n">
        <v>46365</v>
      </c>
      <c r="K3" s="64" t="s">
        <v>222</v>
      </c>
      <c r="L3" s="71" t="s">
        <v>223</v>
      </c>
      <c r="M3" s="64" t="s">
        <v>224</v>
      </c>
      <c r="N3" s="71"/>
      <c r="O3" s="72" t="n">
        <f aca="true">IF(C3="","",TODAY()-C3)</f>
        <v>10</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220</v>
      </c>
      <c r="C4" s="65" t="n">
        <v>46278</v>
      </c>
      <c r="D4" s="64" t="n">
        <v>81</v>
      </c>
      <c r="E4" s="64" t="n">
        <v>4.29</v>
      </c>
      <c r="F4" s="66" t="s">
        <v>221</v>
      </c>
      <c r="G4" s="67" t="n">
        <v>199.59</v>
      </c>
      <c r="H4" s="68" t="str">
        <f aca="false" t="array" ref="H4:H4">IFERROR(INDEX(_xlfn.stockhistory(A4,TODAY()-5,TODAY(),0,0,1),ROWS(_xlfn.stockhistory(A4,TODAY()-5,TODAY(),0,0,1)),1),"")</f>
        <v/>
      </c>
      <c r="I4" s="69" t="str">
        <f aca="false">IF(OR(G4="",H4=""),"",H4/G4-1)</f>
        <v/>
      </c>
      <c r="J4" s="70" t="n">
        <v>46329</v>
      </c>
      <c r="K4" s="64" t="s">
        <v>222</v>
      </c>
      <c r="L4" s="71" t="s">
        <v>225</v>
      </c>
      <c r="M4" s="64" t="s">
        <v>224</v>
      </c>
      <c r="N4" s="71"/>
      <c r="O4" s="72" t="n">
        <f aca="true">IF(C4="","",TODAY()-C4)</f>
        <v>27</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220</v>
      </c>
      <c r="C5" s="65" t="n">
        <v>46278</v>
      </c>
      <c r="D5" s="64" t="n">
        <v>77.2</v>
      </c>
      <c r="E5" s="64" t="n">
        <v>3.86</v>
      </c>
      <c r="F5" s="66" t="s">
        <v>226</v>
      </c>
      <c r="G5" s="67" t="n">
        <v>1698.3</v>
      </c>
      <c r="H5" s="68" t="str">
        <f aca="false" t="array" ref="H5:H5">IFERROR(INDEX(_xlfn.stockhistory(A5,TODAY()-5,TODAY(),0,0,1),ROWS(_xlfn.stockhistory(A5,TODAY()-5,TODAY(),0,0,1)),1),"")</f>
        <v/>
      </c>
      <c r="I5" s="69" t="str">
        <f aca="false">IF(OR(G5="",H5=""),"",H5/G5-1)</f>
        <v/>
      </c>
      <c r="J5" s="70" t="n">
        <v>46309</v>
      </c>
      <c r="K5" s="64" t="s">
        <v>224</v>
      </c>
      <c r="L5" s="71"/>
      <c r="M5" s="64" t="s">
        <v>224</v>
      </c>
      <c r="N5" s="71"/>
      <c r="O5" s="72" t="n">
        <f aca="true">IF(C5="","",TODAY()-C5)</f>
        <v>27</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DUE — EARNINGS WINDOW</v>
      </c>
      <c r="Q5" s="71"/>
    </row>
    <row r="6" customFormat="false" ht="15" hidden="false" customHeight="true" outlineLevel="0" collapsed="false">
      <c r="A6" s="63" t="s">
        <v>105</v>
      </c>
      <c r="B6" s="64" t="s">
        <v>220</v>
      </c>
      <c r="C6" s="65" t="n">
        <v>46278</v>
      </c>
      <c r="D6" s="64" t="n">
        <v>63.4</v>
      </c>
      <c r="E6" s="64" t="n">
        <v>3.5</v>
      </c>
      <c r="F6" s="66" t="s">
        <v>227</v>
      </c>
      <c r="G6" s="67" t="n">
        <v>206.74</v>
      </c>
      <c r="H6" s="68" t="str">
        <f aca="false" t="array" ref="H6:H6">IFERROR(INDEX(_xlfn.stockhistory(A6,TODAY()-5,TODAY(),0,0,1),ROWS(_xlfn.stockhistory(A6,TODAY()-5,TODAY(),0,0,1)),1),"")</f>
        <v/>
      </c>
      <c r="I6" s="69" t="str">
        <f aca="false">IF(OR(G6="",H6=""),"",H6/G6-1)</f>
        <v/>
      </c>
      <c r="J6" s="70" t="n">
        <v>46357</v>
      </c>
      <c r="K6" s="64" t="s">
        <v>222</v>
      </c>
      <c r="L6" s="71" t="s">
        <v>228</v>
      </c>
      <c r="M6" s="64" t="s">
        <v>224</v>
      </c>
      <c r="N6" s="71"/>
      <c r="O6" s="72" t="n">
        <f aca="true">IF(C6="","",TODAY()-C6)</f>
        <v>27</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220</v>
      </c>
      <c r="C7" s="65" t="n">
        <v>46278</v>
      </c>
      <c r="D7" s="64" t="n">
        <v>72.6</v>
      </c>
      <c r="E7" s="64" t="n">
        <v>3.71</v>
      </c>
      <c r="F7" s="66" t="s">
        <v>226</v>
      </c>
      <c r="G7" s="67" t="n">
        <v>180.64</v>
      </c>
      <c r="H7" s="68" t="str">
        <f aca="false" t="array" ref="H7:H7">IFERROR(INDEX(_xlfn.stockhistory(A7,TODAY()-5,TODAY(),0,0,1),ROWS(_xlfn.stockhistory(A7,TODAY()-5,TODAY(),0,0,1)),1),"")</f>
        <v/>
      </c>
      <c r="I7" s="69" t="str">
        <f aca="false">IF(OR(G7="",H7=""),"",H7/G7-1)</f>
        <v/>
      </c>
      <c r="J7" s="70" t="n">
        <v>46323</v>
      </c>
      <c r="K7" s="64" t="s">
        <v>222</v>
      </c>
      <c r="L7" s="71" t="s">
        <v>229</v>
      </c>
      <c r="M7" s="64" t="s">
        <v>224</v>
      </c>
      <c r="N7" s="71"/>
      <c r="O7" s="72" t="n">
        <f aca="true">IF(C7="","",TODAY()-C7)</f>
        <v>27</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220</v>
      </c>
      <c r="C8" s="65" t="n">
        <v>46278</v>
      </c>
      <c r="D8" s="64" t="n">
        <v>67.8</v>
      </c>
      <c r="E8" s="64" t="n">
        <v>3.36</v>
      </c>
      <c r="F8" s="66" t="s">
        <v>226</v>
      </c>
      <c r="G8" s="67" t="n">
        <v>975.26</v>
      </c>
      <c r="H8" s="68" t="str">
        <f aca="false" t="array" ref="H8:H8">IFERROR(INDEX(_xlfn.stockhistory(A8,TODAY()-5,TODAY(),0,0,1),ROWS(_xlfn.stockhistory(A8,TODAY()-5,TODAY(),0,0,1)),1),"")</f>
        <v/>
      </c>
      <c r="I8" s="69" t="str">
        <f aca="false">IF(OR(G8="",H8=""),"",H8/G8-1)</f>
        <v/>
      </c>
      <c r="J8" s="70" t="n">
        <v>46379</v>
      </c>
      <c r="K8" s="64" t="s">
        <v>224</v>
      </c>
      <c r="L8" s="71"/>
      <c r="M8" s="64" t="s">
        <v>224</v>
      </c>
      <c r="N8" s="71"/>
      <c r="O8" s="72" t="n">
        <f aca="true">IF(C8="","",TODAY()-C8)</f>
        <v>27</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220</v>
      </c>
      <c r="C9" s="65" t="n">
        <v>46278</v>
      </c>
      <c r="D9" s="64" t="n">
        <v>89.2</v>
      </c>
      <c r="E9" s="64" t="n">
        <v>4.29</v>
      </c>
      <c r="F9" s="66" t="s">
        <v>221</v>
      </c>
      <c r="G9" s="67" t="n">
        <v>218.29</v>
      </c>
      <c r="H9" s="68" t="str">
        <f aca="false" t="array" ref="H9:H9">IFERROR(INDEX(_xlfn.stockhistory(A9,TODAY()-5,TODAY(),0,0,1),ROWS(_xlfn.stockhistory(A9,TODAY()-5,TODAY(),0,0,1)),1),"")</f>
        <v/>
      </c>
      <c r="I9" s="69" t="str">
        <f aca="false">IF(OR(G9="",H9=""),"",H9/G9-1)</f>
        <v/>
      </c>
      <c r="J9" s="70" t="n">
        <v>46343</v>
      </c>
      <c r="K9" s="64" t="s">
        <v>222</v>
      </c>
      <c r="L9" s="71" t="s">
        <v>230</v>
      </c>
      <c r="M9" s="64" t="s">
        <v>224</v>
      </c>
      <c r="N9" s="71"/>
      <c r="O9" s="72" t="n">
        <f aca="true">IF(C9="","",TODAY()-C9)</f>
        <v>27</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220</v>
      </c>
      <c r="C10" s="65" t="n">
        <v>46278</v>
      </c>
      <c r="D10" s="64" t="n">
        <v>76.2</v>
      </c>
      <c r="E10" s="64" t="n">
        <v>4.07</v>
      </c>
      <c r="F10" s="66" t="s">
        <v>226</v>
      </c>
      <c r="G10" s="67" t="n">
        <v>167.23</v>
      </c>
      <c r="H10" s="68" t="str">
        <f aca="false" t="array" ref="H10:H10">IFERROR(INDEX(_xlfn.stockhistory(A10,TODAY()-5,TODAY(),0,0,1),ROWS(_xlfn.stockhistory(A10,TODAY()-5,TODAY(),0,0,1)),1),"")</f>
        <v/>
      </c>
      <c r="I10" s="69" t="str">
        <f aca="false">IF(OR(G10="",H10=""),"",H10/G10-1)</f>
        <v/>
      </c>
      <c r="J10" s="70" t="n">
        <v>46328</v>
      </c>
      <c r="K10" s="64" t="s">
        <v>222</v>
      </c>
      <c r="L10" s="71" t="s">
        <v>231</v>
      </c>
      <c r="M10" s="64" t="s">
        <v>224</v>
      </c>
      <c r="N10" s="71"/>
      <c r="O10" s="72" t="n">
        <f aca="true">IF(C10="","",TODAY()-C10)</f>
        <v>27</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220</v>
      </c>
      <c r="C11" s="65" t="n">
        <v>46278</v>
      </c>
      <c r="D11" s="64" t="n">
        <v>84</v>
      </c>
      <c r="E11" s="64" t="n">
        <v>4.21</v>
      </c>
      <c r="F11" s="66" t="s">
        <v>221</v>
      </c>
      <c r="G11" s="67" t="n">
        <v>433.24</v>
      </c>
      <c r="H11" s="68" t="str">
        <f aca="false" t="array" ref="H11:H11">IFERROR(INDEX(_xlfn.stockhistory(A11,TODAY()-5,TODAY(),0,0,1),ROWS(_xlfn.stockhistory(A11,TODAY()-5,TODAY(),0,0,1)),1),"")</f>
        <v/>
      </c>
      <c r="I11" s="69" t="str">
        <f aca="false">IF(OR(G11="",H11=""),"",H11/G11-1)</f>
        <v/>
      </c>
      <c r="J11" s="70" t="n">
        <v>46310</v>
      </c>
      <c r="K11" s="64" t="s">
        <v>222</v>
      </c>
      <c r="L11" s="71" t="s">
        <v>232</v>
      </c>
      <c r="M11" s="64" t="s">
        <v>224</v>
      </c>
      <c r="N11" s="71"/>
      <c r="O11" s="72" t="n">
        <f aca="true">IF(C11="","",TODAY()-C11)</f>
        <v>27</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EARNINGS WINDOW</v>
      </c>
      <c r="Q11" s="71"/>
    </row>
    <row r="12" customFormat="false" ht="15" hidden="false" customHeight="true" outlineLevel="0" collapsed="false">
      <c r="A12" s="63" t="s">
        <v>117</v>
      </c>
      <c r="B12" s="64" t="s">
        <v>220</v>
      </c>
      <c r="C12" s="65" t="n">
        <v>46278</v>
      </c>
      <c r="D12" s="64" t="n">
        <v>76.8</v>
      </c>
      <c r="E12" s="64" t="n">
        <v>3.93</v>
      </c>
      <c r="F12" s="66" t="s">
        <v>226</v>
      </c>
      <c r="G12" s="67" t="n">
        <v>257.06</v>
      </c>
      <c r="H12" s="68" t="str">
        <f aca="false" t="array" ref="H12:H12">IFERROR(INDEX(_xlfn.stockhistory(A12,TODAY()-5,TODAY(),0,0,1),ROWS(_xlfn.stockhistory(A12,TODAY()-5,TODAY(),0,0,1)),1),"")</f>
        <v/>
      </c>
      <c r="I12" s="69" t="str">
        <f aca="false">IF(OR(G12="",H12=""),"",H12/G12-1)</f>
        <v/>
      </c>
      <c r="J12" s="70" t="n">
        <v>46316</v>
      </c>
      <c r="K12" s="64" t="s">
        <v>224</v>
      </c>
      <c r="L12" s="71"/>
      <c r="M12" s="64" t="s">
        <v>224</v>
      </c>
      <c r="N12" s="71"/>
      <c r="O12" s="72" t="n">
        <f aca="true">IF(C12="","",TODAY()-C12)</f>
        <v>27</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172</v>
      </c>
      <c r="B13" s="64" t="s">
        <v>220</v>
      </c>
      <c r="C13" s="65" t="n">
        <v>46300</v>
      </c>
      <c r="D13" s="64" t="n">
        <v>74.8</v>
      </c>
      <c r="E13" s="64" t="n">
        <v>3.64</v>
      </c>
      <c r="F13" s="66" t="s">
        <v>226</v>
      </c>
      <c r="G13" s="67" t="n">
        <v>355.14</v>
      </c>
      <c r="H13" s="68" t="str">
        <f aca="false" t="array" ref="H13:H13">IFERROR(INDEX(_xlfn.stockhistory(A13,TODAY()-5,TODAY(),0,0,1),ROWS(_xlfn.stockhistory(A13,TODAY()-5,TODAY(),0,0,1)),1),"")</f>
        <v/>
      </c>
      <c r="I13" s="69" t="str">
        <f aca="false">IF(OR(G13="",H13=""),"",H13/G13-1)</f>
        <v/>
      </c>
      <c r="J13" s="70" t="n">
        <v>46365</v>
      </c>
      <c r="K13" s="64" t="s">
        <v>222</v>
      </c>
      <c r="L13" s="71" t="s">
        <v>233</v>
      </c>
      <c r="M13" s="64" t="s">
        <v>224</v>
      </c>
      <c r="N13" s="71"/>
      <c r="O13" s="72" t="n">
        <f aca="true">IF(C13="","",TODAY()-C13)</f>
        <v>5</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234</v>
      </c>
    </row>
    <row r="14" customFormat="false" ht="15" hidden="false" customHeight="true" outlineLevel="0" collapsed="false">
      <c r="A14" s="63" t="s">
        <v>177</v>
      </c>
      <c r="B14" s="64" t="s">
        <v>220</v>
      </c>
      <c r="C14" s="65" t="n">
        <v>46295</v>
      </c>
      <c r="D14" s="64" t="n">
        <v>76</v>
      </c>
      <c r="E14" s="64" t="n">
        <v>3.93</v>
      </c>
      <c r="F14" s="66" t="s">
        <v>226</v>
      </c>
      <c r="G14" s="67" t="n">
        <v>129.84</v>
      </c>
      <c r="H14" s="68" t="str">
        <f aca="false" t="array" ref="H14:H14">IFERROR(INDEX(_xlfn.stockhistory(A14,TODAY()-5,TODAY(),0,0,1),ROWS(_xlfn.stockhistory(A14,TODAY()-5,TODAY(),0,0,1)),1),"")</f>
        <v/>
      </c>
      <c r="I14" s="69" t="str">
        <f aca="false">IF(OR(G14="",H14=""),"",H14/G14-1)</f>
        <v/>
      </c>
      <c r="J14" s="70" t="n">
        <v>46310</v>
      </c>
      <c r="K14" s="64" t="s">
        <v>224</v>
      </c>
      <c r="L14" s="71"/>
      <c r="M14" s="64" t="s">
        <v>224</v>
      </c>
      <c r="N14" s="71"/>
      <c r="O14" s="72" t="n">
        <f aca="true">IF(C14="","",TODAY()-C14)</f>
        <v>10</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DUE — EARNINGS WINDOW</v>
      </c>
      <c r="Q14" s="71"/>
    </row>
    <row r="15" customFormat="false" ht="15" hidden="false" customHeight="true" outlineLevel="0" collapsed="false">
      <c r="A15" s="63" t="s">
        <v>174</v>
      </c>
      <c r="B15" s="64" t="s">
        <v>220</v>
      </c>
      <c r="C15" s="65" t="n">
        <v>46300</v>
      </c>
      <c r="D15" s="64" t="n">
        <v>70.6</v>
      </c>
      <c r="E15" s="64" t="n">
        <v>3.43</v>
      </c>
      <c r="F15" s="66" t="s">
        <v>226</v>
      </c>
      <c r="G15" s="67" t="n">
        <v>504.73</v>
      </c>
      <c r="H15" s="68" t="str">
        <f aca="false" t="array" ref="H15:H15">IFERROR(INDEX(_xlfn.stockhistory(A15,TODAY()-5,TODAY(),0,0,1),ROWS(_xlfn.stockhistory(A15,TODAY()-5,TODAY(),0,0,1)),1),"")</f>
        <v/>
      </c>
      <c r="I15" s="69" t="str">
        <f aca="false">IF(OR(G15="",H15=""),"",H15/G15-1)</f>
        <v/>
      </c>
      <c r="J15" s="70" t="n">
        <v>46328</v>
      </c>
      <c r="K15" s="64" t="s">
        <v>224</v>
      </c>
      <c r="L15" s="71"/>
      <c r="M15" s="64" t="s">
        <v>224</v>
      </c>
      <c r="N15" s="71"/>
      <c r="O15" s="72" t="n">
        <f aca="true">IF(C15="","",TODAY()-C15)</f>
        <v>5</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235</v>
      </c>
    </row>
    <row r="16" customFormat="false" ht="15" hidden="false" customHeight="true" outlineLevel="1" collapsed="false">
      <c r="A16" s="63" t="s">
        <v>236</v>
      </c>
      <c r="B16" s="71" t="s">
        <v>237</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224</v>
      </c>
      <c r="L16" s="71"/>
      <c r="M16" s="64" t="s">
        <v>224</v>
      </c>
      <c r="N16" s="71"/>
      <c r="O16" s="72" t="n">
        <f aca="true">IF(C16="","",TODAY()-C16)</f>
        <v>59</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238</v>
      </c>
      <c r="B17" s="71" t="s">
        <v>237</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222</v>
      </c>
      <c r="L17" s="71" t="s">
        <v>239</v>
      </c>
      <c r="M17" s="64" t="s">
        <v>224</v>
      </c>
      <c r="N17" s="71"/>
      <c r="O17" s="72" t="n">
        <f aca="true">IF(C17="","",TODAY()-C17)</f>
        <v>59</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240</v>
      </c>
      <c r="B18" s="71" t="s">
        <v>237</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224</v>
      </c>
      <c r="L18" s="71"/>
      <c r="M18" s="64" t="s">
        <v>224</v>
      </c>
      <c r="N18" s="71"/>
      <c r="O18" s="72" t="n">
        <f aca="true">IF(C18="","",TODAY()-C18)</f>
        <v>60</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241</v>
      </c>
      <c r="B19" s="71" t="s">
        <v>237</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224</v>
      </c>
      <c r="L19" s="71"/>
      <c r="M19" s="64" t="s">
        <v>224</v>
      </c>
      <c r="N19" s="71"/>
      <c r="O19" s="72" t="n">
        <f aca="true">IF(C19="","",TODAY()-C19)</f>
        <v>60</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242</v>
      </c>
      <c r="B20" s="74" t="s">
        <v>243</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224</v>
      </c>
      <c r="L20" s="71"/>
      <c r="M20" s="64" t="s">
        <v>224</v>
      </c>
      <c r="N20" s="71"/>
      <c r="O20" s="72" t="n">
        <f aca="true">IF(C20="","",TODAY()-C20)</f>
        <v>60</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244</v>
      </c>
      <c r="B21" s="74" t="s">
        <v>243</v>
      </c>
      <c r="C21" s="65" t="n">
        <v>46245</v>
      </c>
      <c r="D21" s="64" t="n">
        <v>77.4</v>
      </c>
      <c r="E21" s="64" t="n">
        <v>4.14</v>
      </c>
      <c r="F21" s="66" t="s">
        <v>226</v>
      </c>
      <c r="G21" s="67" t="n">
        <v>944.32</v>
      </c>
      <c r="H21" s="68" t="str">
        <f aca="false" t="array" ref="H21:H21">IFERROR(INDEX(_xlfn.stockhistory(A21,TODAY()-5,TODAY(),0,0,1),ROWS(_xlfn.stockhistory(A21,TODAY()-5,TODAY(),0,0,1)),1),"")</f>
        <v/>
      </c>
      <c r="I21" s="69" t="str">
        <f aca="false">IF(OR(G21="",H21=""),"",H21/G21-1)</f>
        <v/>
      </c>
      <c r="J21" s="70" t="n">
        <v>46366</v>
      </c>
      <c r="K21" s="64" t="s">
        <v>224</v>
      </c>
      <c r="L21" s="71"/>
      <c r="M21" s="64" t="s">
        <v>224</v>
      </c>
      <c r="N21" s="71"/>
      <c r="O21" s="72" t="n">
        <f aca="true">IF(C21="","",TODAY()-C21)</f>
        <v>60</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245</v>
      </c>
      <c r="B22" s="75" t="s">
        <v>237</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46330</v>
      </c>
      <c r="K22" s="64" t="s">
        <v>224</v>
      </c>
      <c r="L22" s="71"/>
      <c r="M22" s="64" t="s">
        <v>224</v>
      </c>
      <c r="N22" s="71"/>
      <c r="O22" s="72" t="n">
        <f aca="true">IF(C22="","",TODAY()-C22)</f>
        <v>60</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246</v>
      </c>
      <c r="B23" s="75" t="s">
        <v>237</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224</v>
      </c>
      <c r="L23" s="71"/>
      <c r="M23" s="64" t="s">
        <v>224</v>
      </c>
      <c r="N23" s="71"/>
      <c r="O23" s="72" t="n">
        <f aca="true">IF(C23="","",TODAY()-C23)</f>
        <v>60</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247</v>
      </c>
      <c r="B24" s="75" t="s">
        <v>237</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222</v>
      </c>
      <c r="L24" s="71" t="s">
        <v>248</v>
      </c>
      <c r="M24" s="64" t="s">
        <v>224</v>
      </c>
      <c r="N24" s="71"/>
      <c r="O24" s="72" t="n">
        <f aca="true">IF(C24="","",TODAY()-C24)</f>
        <v>47</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249</v>
      </c>
      <c r="B25" s="74" t="s">
        <v>243</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224</v>
      </c>
      <c r="L25" s="71"/>
      <c r="M25" s="64" t="s">
        <v>224</v>
      </c>
      <c r="N25" s="71"/>
      <c r="O25" s="72" t="n">
        <f aca="true">IF(C25="","",TODAY()-C25)</f>
        <v>60</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250</v>
      </c>
      <c r="B26" s="75" t="s">
        <v>237</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222</v>
      </c>
      <c r="L26" s="71" t="s">
        <v>251</v>
      </c>
      <c r="M26" s="64" t="s">
        <v>224</v>
      </c>
      <c r="N26" s="71"/>
      <c r="O26" s="72" t="n">
        <f aca="true">IF(C26="","",TODAY()-C26)</f>
        <v>60</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252</v>
      </c>
      <c r="B27" s="74" t="s">
        <v>243</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222</v>
      </c>
      <c r="L27" s="71" t="s">
        <v>253</v>
      </c>
      <c r="M27" s="64" t="s">
        <v>224</v>
      </c>
      <c r="N27" s="71"/>
      <c r="O27" s="72" t="n">
        <f aca="true">IF(C27="","",TODAY()-C27)</f>
        <v>29</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254</v>
      </c>
      <c r="B28" s="74" t="s">
        <v>243</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222</v>
      </c>
      <c r="L28" s="71" t="s">
        <v>255</v>
      </c>
      <c r="M28" s="64" t="s">
        <v>224</v>
      </c>
      <c r="N28" s="71"/>
      <c r="O28" s="72" t="n">
        <f aca="true">IF(C28="","",TODAY()-C28)</f>
        <v>58</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256</v>
      </c>
      <c r="B29" s="74" t="s">
        <v>243</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222</v>
      </c>
      <c r="L29" s="71" t="s">
        <v>257</v>
      </c>
      <c r="M29" s="64" t="s">
        <v>224</v>
      </c>
      <c r="N29" s="71"/>
      <c r="O29" s="72" t="n">
        <f aca="true">IF(C29="","",TODAY()-C29)</f>
        <v>59</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143</v>
      </c>
      <c r="B30" s="74" t="s">
        <v>220</v>
      </c>
      <c r="C30" s="65" t="n">
        <v>46278</v>
      </c>
      <c r="D30" s="64" t="n">
        <v>84.2</v>
      </c>
      <c r="E30" s="64" t="n">
        <v>4.14</v>
      </c>
      <c r="F30" s="66" t="s">
        <v>221</v>
      </c>
      <c r="G30" s="67" t="n">
        <v>323.66</v>
      </c>
      <c r="H30" s="68" t="str">
        <f aca="false" t="array" ref="H30:H30">IFERROR(INDEX(_xlfn.stockhistory(A30,TODAY()-5,TODAY(),0,0,1),ROWS(_xlfn.stockhistory(A30,TODAY()-5,TODAY(),0,0,1)),1),"")</f>
        <v/>
      </c>
      <c r="I30" s="69" t="str">
        <f aca="false">IF(OR(G30="",H30=""),"",H30/G30-1)</f>
        <v/>
      </c>
      <c r="J30" s="70" t="n">
        <v>46315</v>
      </c>
      <c r="K30" s="64" t="s">
        <v>224</v>
      </c>
      <c r="L30" s="71"/>
      <c r="M30" s="64" t="s">
        <v>224</v>
      </c>
      <c r="N30" s="71"/>
      <c r="O30" s="72" t="n">
        <f aca="true">IF(C30="","",TODAY()-C30)</f>
        <v>27</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258</v>
      </c>
      <c r="B31" s="75" t="s">
        <v>237</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224</v>
      </c>
      <c r="L31" s="71"/>
      <c r="M31" s="64"/>
      <c r="N31" s="71"/>
      <c r="O31" s="72" t="n">
        <f aca="true">IF(C31="","",TODAY()-C31)</f>
        <v>59</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259</v>
      </c>
      <c r="B32" s="75" t="s">
        <v>237</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224</v>
      </c>
      <c r="L32" s="71"/>
      <c r="M32" s="64" t="s">
        <v>224</v>
      </c>
      <c r="N32" s="71"/>
      <c r="O32" s="72" t="n">
        <f aca="true">IF(C32="","",TODAY()-C32)</f>
        <v>60</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260</v>
      </c>
      <c r="B33" s="75" t="s">
        <v>237</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46316</v>
      </c>
      <c r="K33" s="64" t="s">
        <v>222</v>
      </c>
      <c r="L33" s="71" t="s">
        <v>261</v>
      </c>
      <c r="M33" s="64" t="s">
        <v>224</v>
      </c>
      <c r="N33" s="71"/>
      <c r="O33" s="72" t="n">
        <f aca="true">IF(C33="","",TODAY()-C33)</f>
        <v>60</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1"/>
    </row>
    <row r="34" customFormat="false" ht="15" hidden="false" customHeight="true" outlineLevel="0" collapsed="false">
      <c r="A34" s="63" t="s">
        <v>262</v>
      </c>
      <c r="B34" s="74" t="s">
        <v>243</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46324</v>
      </c>
      <c r="K34" s="64" t="s">
        <v>222</v>
      </c>
      <c r="L34" s="71" t="s">
        <v>263</v>
      </c>
      <c r="M34" s="64" t="s">
        <v>224</v>
      </c>
      <c r="N34" s="71"/>
      <c r="O34" s="72" t="n">
        <f aca="true">IF(C34="","",TODAY()-C34)</f>
        <v>60</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264</v>
      </c>
      <c r="B35" s="75" t="s">
        <v>237</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46316</v>
      </c>
      <c r="K35" s="64" t="s">
        <v>224</v>
      </c>
      <c r="L35" s="71"/>
      <c r="M35" s="64" t="s">
        <v>224</v>
      </c>
      <c r="N35" s="71"/>
      <c r="O35" s="72" t="n">
        <f aca="true">IF(C35="","",TODAY()-C35)</f>
        <v>60</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146</v>
      </c>
      <c r="B36" s="74" t="s">
        <v>220</v>
      </c>
      <c r="C36" s="65" t="n">
        <v>46278</v>
      </c>
      <c r="D36" s="64" t="n">
        <v>83.8</v>
      </c>
      <c r="E36" s="64" t="n">
        <v>4.21</v>
      </c>
      <c r="F36" s="66" t="s">
        <v>221</v>
      </c>
      <c r="G36" s="67" t="n">
        <v>77.4</v>
      </c>
      <c r="H36" s="68" t="str">
        <f aca="false" t="array" ref="H36:H36">IFERROR(INDEX(_xlfn.stockhistory(A36,TODAY()-5,TODAY(),0,0,1),ROWS(_xlfn.stockhistory(A36,TODAY()-5,TODAY(),0,0,1)),1),"")</f>
        <v/>
      </c>
      <c r="I36" s="69" t="str">
        <f aca="false">IF(OR(G36="",H36=""),"",H36/G36-1)</f>
        <v/>
      </c>
      <c r="J36" s="70" t="n">
        <v>46315</v>
      </c>
      <c r="K36" s="64" t="s">
        <v>222</v>
      </c>
      <c r="L36" s="71" t="s">
        <v>265</v>
      </c>
      <c r="M36" s="64" t="s">
        <v>224</v>
      </c>
      <c r="N36" s="71"/>
      <c r="O36" s="72" t="n">
        <f aca="true">IF(C36="","",TODAY()-C36)</f>
        <v>27</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266</v>
      </c>
      <c r="B37" s="75" t="s">
        <v>237</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222</v>
      </c>
      <c r="L37" s="71" t="s">
        <v>267</v>
      </c>
      <c r="M37" s="64" t="s">
        <v>222</v>
      </c>
      <c r="N37" s="71" t="s">
        <v>268</v>
      </c>
      <c r="O37" s="72" t="n">
        <f aca="true">IF(C37="","",TODAY()-C37)</f>
        <v>59</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269</v>
      </c>
      <c r="B38" s="75" t="s">
        <v>237</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222</v>
      </c>
      <c r="L38" s="71" t="s">
        <v>270</v>
      </c>
      <c r="M38" s="64" t="s">
        <v>222</v>
      </c>
      <c r="N38" s="71" t="s">
        <v>271</v>
      </c>
      <c r="O38" s="72" t="n">
        <f aca="true">IF(C38="","",TODAY()-C38)</f>
        <v>60</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192</v>
      </c>
      <c r="B39" s="75" t="s">
        <v>237</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222</v>
      </c>
      <c r="L39" s="71" t="s">
        <v>272</v>
      </c>
      <c r="M39" s="64" t="s">
        <v>224</v>
      </c>
      <c r="N39" s="71"/>
      <c r="O39" s="72" t="n">
        <f aca="true">IF(C39="","",TODAY()-C39)</f>
        <v>65</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273</v>
      </c>
      <c r="B40" s="74" t="s">
        <v>243</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222</v>
      </c>
      <c r="L40" s="71" t="s">
        <v>274</v>
      </c>
      <c r="M40" s="64" t="s">
        <v>224</v>
      </c>
      <c r="N40" s="71"/>
      <c r="O40" s="72" t="n">
        <f aca="true">IF(C40="","",TODAY()-C40)</f>
        <v>60</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275</v>
      </c>
      <c r="B41" s="74" t="s">
        <v>243</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222</v>
      </c>
      <c r="L41" s="71" t="s">
        <v>276</v>
      </c>
      <c r="M41" s="64" t="s">
        <v>224</v>
      </c>
      <c r="N41" s="71"/>
      <c r="O41" s="72" t="n">
        <f aca="true">IF(C41="","",TODAY()-C41)</f>
        <v>58</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277</v>
      </c>
      <c r="B42" s="71" t="s">
        <v>237</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224</v>
      </c>
      <c r="L42" s="71"/>
      <c r="M42" s="64" t="s">
        <v>222</v>
      </c>
      <c r="N42" s="71" t="s">
        <v>278</v>
      </c>
      <c r="O42" s="72" t="n">
        <f aca="true">IF(C42="","",TODAY()-C42)</f>
        <v>60</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180</v>
      </c>
      <c r="B43" s="77" t="s">
        <v>237</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222</v>
      </c>
      <c r="L43" s="77" t="s">
        <v>279</v>
      </c>
      <c r="M43" s="79" t="s">
        <v>224</v>
      </c>
      <c r="N43" s="77"/>
      <c r="O43" s="83" t="n">
        <f aca="true">IF(C43="","",TODAY()-C43)</f>
        <v>65</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183</v>
      </c>
      <c r="B44" s="77" t="s">
        <v>237</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224</v>
      </c>
      <c r="L44" s="77"/>
      <c r="M44" s="79" t="s">
        <v>224</v>
      </c>
      <c r="N44" s="77"/>
      <c r="O44" s="83" t="n">
        <f aca="true">IF(C44="","",TODAY()-C44)</f>
        <v>65</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220</v>
      </c>
      <c r="C45" s="78" t="n">
        <v>46278</v>
      </c>
      <c r="D45" s="79" t="n">
        <v>73.4</v>
      </c>
      <c r="E45" s="79" t="n">
        <v>3.64</v>
      </c>
      <c r="F45" s="66" t="s">
        <v>226</v>
      </c>
      <c r="G45" s="80" t="n">
        <v>370.45</v>
      </c>
      <c r="H45" s="81" t="str">
        <f aca="false" t="array" ref="H45:H45">IFERROR(INDEX(_xlfn.stockhistory(A45,TODAY()-5,TODAY(),0,0,1),ROWS(_xlfn.stockhistory(A45,TODAY()-5,TODAY(),0,0,1)),1),"")</f>
        <v/>
      </c>
      <c r="I45" s="19" t="str">
        <f aca="false">IF(OR(G45="",H45=""),"",H45/G45-1)</f>
        <v/>
      </c>
      <c r="J45" s="82" t="n">
        <v>46322</v>
      </c>
      <c r="K45" s="79" t="s">
        <v>222</v>
      </c>
      <c r="L45" s="77" t="s">
        <v>280</v>
      </c>
      <c r="M45" s="79" t="s">
        <v>224</v>
      </c>
      <c r="N45" s="77"/>
      <c r="O45" s="83" t="n">
        <f aca="true">IF(C45="","",TODAY()-C45)</f>
        <v>27</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281</v>
      </c>
      <c r="B46" s="77" t="s">
        <v>237</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46323</v>
      </c>
      <c r="K46" s="79" t="s">
        <v>222</v>
      </c>
      <c r="L46" s="77" t="s">
        <v>282</v>
      </c>
      <c r="M46" s="79" t="s">
        <v>224</v>
      </c>
      <c r="N46" s="77"/>
      <c r="O46" s="83" t="n">
        <f aca="true">IF(C46="","",TODAY()-C46)</f>
        <v>59</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283</v>
      </c>
      <c r="B47" s="74" t="s">
        <v>243</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222</v>
      </c>
      <c r="L47" s="77" t="s">
        <v>284</v>
      </c>
      <c r="M47" s="79" t="s">
        <v>224</v>
      </c>
      <c r="N47" s="77"/>
      <c r="O47" s="83" t="n">
        <f aca="true">IF(C47="","",TODAY()-C47)</f>
        <v>60</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285</v>
      </c>
      <c r="B48" s="74" t="s">
        <v>243</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224</v>
      </c>
      <c r="L48" s="71"/>
      <c r="M48" s="64" t="s">
        <v>224</v>
      </c>
      <c r="N48" s="71"/>
      <c r="O48" s="72" t="n">
        <f aca="true">IF(C48="","",TODAY()-C48)</f>
        <v>29</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286</v>
      </c>
    </row>
    <row r="49" customFormat="false" ht="15" hidden="false" customHeight="true" outlineLevel="0" collapsed="false">
      <c r="A49" s="63" t="s">
        <v>287</v>
      </c>
      <c r="B49" s="74" t="s">
        <v>243</v>
      </c>
      <c r="C49" s="65" t="n">
        <v>46278</v>
      </c>
      <c r="D49" s="64" t="n">
        <v>70.8</v>
      </c>
      <c r="E49" s="64" t="n">
        <v>3.5</v>
      </c>
      <c r="F49" s="66" t="s">
        <v>226</v>
      </c>
      <c r="G49" s="67" t="n">
        <v>101.95</v>
      </c>
      <c r="H49" s="68" t="str">
        <f aca="false" t="array" ref="H49:H49">IFERROR(INDEX(_xlfn.stockhistory(A49,TODAY()-5,TODAY(),0,0,1),ROWS(_xlfn.stockhistory(A49,TODAY()-5,TODAY(),0,0,1)),1),"")</f>
        <v/>
      </c>
      <c r="I49" s="69" t="str">
        <f aca="false">IF(OR(G49="",H49=""),"",H49/G49-1)</f>
        <v/>
      </c>
      <c r="J49" s="70" t="n">
        <v>46316</v>
      </c>
      <c r="K49" s="64" t="s">
        <v>224</v>
      </c>
      <c r="L49" s="71"/>
      <c r="M49" s="64" t="s">
        <v>224</v>
      </c>
      <c r="N49" s="71"/>
      <c r="O49" s="72" t="n">
        <f aca="true">IF(C49="","",TODAY()-C49)</f>
        <v>27</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288</v>
      </c>
    </row>
    <row r="50" customFormat="false" ht="15" hidden="false" customHeight="true" outlineLevel="0" collapsed="false">
      <c r="A50" s="63" t="s">
        <v>289</v>
      </c>
      <c r="B50" s="74" t="s">
        <v>243</v>
      </c>
      <c r="C50" s="65" t="n">
        <v>46278</v>
      </c>
      <c r="D50" s="64" t="n">
        <v>72.4</v>
      </c>
      <c r="E50" s="64" t="n">
        <v>3.5</v>
      </c>
      <c r="F50" s="66" t="s">
        <v>226</v>
      </c>
      <c r="G50" s="67" t="n">
        <v>56.06</v>
      </c>
      <c r="H50" s="68" t="str">
        <f aca="false" t="array" ref="H50:H50">IFERROR(INDEX(_xlfn.stockhistory(A50,TODAY()-5,TODAY(),0,0,1),ROWS(_xlfn.stockhistory(A50,TODAY()-5,TODAY(),0,0,1)),1),"")</f>
        <v/>
      </c>
      <c r="I50" s="69" t="str">
        <f aca="false">IF(OR(G50="",H50=""),"",H50/G50-1)</f>
        <v/>
      </c>
      <c r="J50" s="70" t="n">
        <v>46318</v>
      </c>
      <c r="K50" s="64" t="s">
        <v>224</v>
      </c>
      <c r="L50" s="71"/>
      <c r="M50" s="64" t="s">
        <v>224</v>
      </c>
      <c r="N50" s="71"/>
      <c r="O50" s="72" t="n">
        <f aca="true">IF(C50="","",TODAY()-C50)</f>
        <v>27</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290</v>
      </c>
    </row>
    <row r="51" customFormat="false" ht="15" hidden="false" customHeight="true" outlineLevel="0" collapsed="false">
      <c r="A51" s="63" t="s">
        <v>149</v>
      </c>
      <c r="B51" s="74" t="s">
        <v>220</v>
      </c>
      <c r="C51" s="65" t="n">
        <v>46297</v>
      </c>
      <c r="D51" s="64" t="n">
        <v>81.6</v>
      </c>
      <c r="E51" s="64" t="n">
        <v>4.29</v>
      </c>
      <c r="F51" s="66" t="s">
        <v>221</v>
      </c>
      <c r="G51" s="67" t="n">
        <v>273.33</v>
      </c>
      <c r="H51" s="68" t="str">
        <f aca="false" t="array" ref="H51:H51">IFERROR(INDEX(_xlfn.stockhistory(A51,TODAY()-5,TODAY(),0,0,1),ROWS(_xlfn.stockhistory(A51,TODAY()-5,TODAY(),0,0,1)),1),"")</f>
        <v/>
      </c>
      <c r="I51" s="69" t="str">
        <f aca="false">IF(OR(G51="",H51=""),"",H51/G51-1)</f>
        <v/>
      </c>
      <c r="J51" s="70" t="n">
        <v>46351</v>
      </c>
      <c r="K51" s="64" t="s">
        <v>222</v>
      </c>
      <c r="L51" s="71" t="s">
        <v>291</v>
      </c>
      <c r="M51" s="64" t="s">
        <v>224</v>
      </c>
      <c r="N51" s="71"/>
      <c r="O51" s="72" t="n">
        <f aca="true">IF(C51="","",TODAY()-C51)</f>
        <v>8</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292</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13.0039062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13"/>
  </cols>
  <sheetData>
    <row r="1" customFormat="false" ht="25.5" hidden="false" customHeight="true" outlineLevel="0" collapsed="false">
      <c r="A1" s="85" t="s">
        <v>293</v>
      </c>
      <c r="B1" s="86"/>
      <c r="C1" s="86"/>
      <c r="D1" s="86"/>
      <c r="E1" s="86"/>
      <c r="F1" s="86"/>
      <c r="G1" s="86"/>
      <c r="H1" s="86"/>
      <c r="I1" s="86"/>
      <c r="J1" s="86"/>
      <c r="K1" s="86"/>
      <c r="L1" s="86"/>
      <c r="M1" s="86"/>
      <c r="N1" s="86"/>
      <c r="O1" s="86"/>
      <c r="P1" s="86"/>
      <c r="Q1" s="86"/>
    </row>
    <row r="2" customFormat="false" ht="15" hidden="false" customHeight="true" outlineLevel="0" collapsed="false">
      <c r="A2" s="87" t="s">
        <v>294</v>
      </c>
      <c r="B2" s="87" t="s">
        <v>96</v>
      </c>
      <c r="C2" s="87" t="s">
        <v>101</v>
      </c>
      <c r="D2" s="87" t="s">
        <v>103</v>
      </c>
      <c r="E2" s="87" t="s">
        <v>172</v>
      </c>
      <c r="F2" s="87" t="s">
        <v>105</v>
      </c>
      <c r="G2" s="87" t="s">
        <v>107</v>
      </c>
      <c r="H2" s="87" t="s">
        <v>109</v>
      </c>
      <c r="I2" s="87" t="s">
        <v>111</v>
      </c>
      <c r="J2" s="87" t="s">
        <v>177</v>
      </c>
      <c r="K2" s="87" t="s">
        <v>113</v>
      </c>
      <c r="L2" s="87" t="s">
        <v>115</v>
      </c>
      <c r="M2" s="87" t="s">
        <v>117</v>
      </c>
      <c r="N2" s="87" t="s">
        <v>174</v>
      </c>
      <c r="O2" s="87" t="s">
        <v>163</v>
      </c>
      <c r="P2" s="87" t="s">
        <v>128</v>
      </c>
      <c r="Q2" s="87" t="s">
        <v>169</v>
      </c>
      <c r="R2" s="87" t="s">
        <v>159</v>
      </c>
      <c r="S2" s="87" t="s">
        <v>140</v>
      </c>
      <c r="T2" s="87" t="s">
        <v>131</v>
      </c>
      <c r="U2" s="87" t="s">
        <v>134</v>
      </c>
      <c r="V2" s="87" t="s">
        <v>119</v>
      </c>
      <c r="W2" s="87" t="s">
        <v>136</v>
      </c>
      <c r="X2" s="87" t="s">
        <v>138</v>
      </c>
      <c r="Y2" s="87" t="s">
        <v>195</v>
      </c>
      <c r="Z2" s="87" t="s">
        <v>143</v>
      </c>
      <c r="AA2" s="87" t="s">
        <v>146</v>
      </c>
      <c r="AB2" s="87" t="s">
        <v>149</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25.19</v>
      </c>
      <c r="U3" s="89" t="n">
        <v>21.8</v>
      </c>
      <c r="V3" s="89" t="n">
        <v>235.63</v>
      </c>
      <c r="W3" s="89" t="n">
        <v>98.59</v>
      </c>
      <c r="X3" s="89"/>
      <c r="Y3" s="89" t="n">
        <v>43.23</v>
      </c>
      <c r="Z3" s="89" t="n">
        <v>90.54</v>
      </c>
      <c r="AA3" s="89" t="n">
        <v>39.69</v>
      </c>
      <c r="AB3" s="89" t="n">
        <v>209.01</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24.82</v>
      </c>
      <c r="U4" s="67" t="n">
        <v>21.3</v>
      </c>
      <c r="V4" s="67" t="n">
        <v>229.78</v>
      </c>
      <c r="W4" s="67" t="n">
        <v>96.44</v>
      </c>
      <c r="X4" s="67"/>
      <c r="Y4" s="67" t="n">
        <v>42.42</v>
      </c>
      <c r="Z4" s="67" t="n">
        <v>87.22</v>
      </c>
      <c r="AA4" s="67" t="n">
        <v>37.98</v>
      </c>
      <c r="AB4" s="67" t="n">
        <v>203.14</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24.89</v>
      </c>
      <c r="U5" s="67" t="n">
        <v>21.14</v>
      </c>
      <c r="V5" s="67" t="n">
        <v>224.82</v>
      </c>
      <c r="W5" s="67" t="n">
        <v>95.21</v>
      </c>
      <c r="X5" s="67"/>
      <c r="Y5" s="67" t="n">
        <v>41.95</v>
      </c>
      <c r="Z5" s="67" t="n">
        <v>86.73</v>
      </c>
      <c r="AA5" s="67" t="n">
        <v>37.76</v>
      </c>
      <c r="AB5" s="67" t="n">
        <v>203.45</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24.43</v>
      </c>
      <c r="U6" s="67" t="n">
        <v>20.8</v>
      </c>
      <c r="V6" s="67" t="n">
        <v>229.74</v>
      </c>
      <c r="W6" s="67" t="n">
        <v>93.36</v>
      </c>
      <c r="X6" s="67"/>
      <c r="Y6" s="67" t="n">
        <v>41.8</v>
      </c>
      <c r="Z6" s="67" t="n">
        <v>87.45</v>
      </c>
      <c r="AA6" s="67" t="n">
        <v>38.15</v>
      </c>
      <c r="AB6" s="67" t="n">
        <v>209.6</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24.78</v>
      </c>
      <c r="U7" s="67" t="n">
        <v>21.01</v>
      </c>
      <c r="V7" s="67" t="n">
        <v>232.31</v>
      </c>
      <c r="W7" s="67" t="n">
        <v>94.42</v>
      </c>
      <c r="X7" s="67"/>
      <c r="Y7" s="67" t="n">
        <v>42.16</v>
      </c>
      <c r="Z7" s="67" t="n">
        <v>85.81</v>
      </c>
      <c r="AA7" s="67" t="n">
        <v>35.57</v>
      </c>
      <c r="AB7" s="67" t="n">
        <v>216.11</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24.46</v>
      </c>
      <c r="U8" s="67" t="n">
        <v>20.7</v>
      </c>
      <c r="V8" s="67" t="n">
        <v>228.12</v>
      </c>
      <c r="W8" s="67" t="n">
        <v>93.27</v>
      </c>
      <c r="X8" s="67"/>
      <c r="Y8" s="67" t="n">
        <v>41.54</v>
      </c>
      <c r="Z8" s="67" t="n">
        <v>83.22</v>
      </c>
      <c r="AA8" s="67" t="n">
        <v>40.1</v>
      </c>
      <c r="AB8" s="67" t="n">
        <v>200.39</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23.66</v>
      </c>
      <c r="U9" s="67" t="n">
        <v>19.99</v>
      </c>
      <c r="V9" s="67" t="n">
        <v>224.1</v>
      </c>
      <c r="W9" s="67" t="n">
        <v>90.96</v>
      </c>
      <c r="X9" s="67"/>
      <c r="Y9" s="67" t="n">
        <v>40.62</v>
      </c>
      <c r="Z9" s="67" t="n">
        <v>83.44</v>
      </c>
      <c r="AA9" s="67" t="n">
        <v>39.79</v>
      </c>
      <c r="AB9" s="67" t="n">
        <v>189.52</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25.05</v>
      </c>
      <c r="U10" s="67" t="n">
        <v>20.99</v>
      </c>
      <c r="V10" s="67" t="n">
        <v>238.11</v>
      </c>
      <c r="W10" s="67" t="n">
        <v>95.67</v>
      </c>
      <c r="X10" s="67"/>
      <c r="Y10" s="67" t="n">
        <v>42.55</v>
      </c>
      <c r="Z10" s="67" t="n">
        <v>85.45</v>
      </c>
      <c r="AA10" s="67" t="n">
        <v>43.24</v>
      </c>
      <c r="AB10" s="67" t="n">
        <v>194.59</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24.89</v>
      </c>
      <c r="U11" s="67" t="n">
        <v>20.75</v>
      </c>
      <c r="V11" s="67" t="n">
        <v>240.23</v>
      </c>
      <c r="W11" s="67" t="n">
        <v>94.59</v>
      </c>
      <c r="X11" s="67"/>
      <c r="Y11" s="67" t="n">
        <v>42.72</v>
      </c>
      <c r="Z11" s="67" t="n">
        <v>90.43</v>
      </c>
      <c r="AA11" s="67" t="n">
        <v>44.72</v>
      </c>
      <c r="AB11" s="67" t="n">
        <v>165.08</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25.53</v>
      </c>
      <c r="U12" s="67" t="n">
        <v>21.25</v>
      </c>
      <c r="V12" s="67" t="n">
        <v>244.45</v>
      </c>
      <c r="W12" s="67" t="n">
        <v>97.01</v>
      </c>
      <c r="X12" s="67"/>
      <c r="Y12" s="67" t="n">
        <v>43.09</v>
      </c>
      <c r="Z12" s="67" t="n">
        <v>94.09</v>
      </c>
      <c r="AA12" s="67" t="n">
        <v>46.59</v>
      </c>
      <c r="AB12" s="67" t="n">
        <v>176.54</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25.71</v>
      </c>
      <c r="U13" s="67" t="n">
        <v>21.45</v>
      </c>
      <c r="V13" s="67" t="n">
        <v>249.1</v>
      </c>
      <c r="W13" s="67" t="n">
        <v>97.69</v>
      </c>
      <c r="X13" s="67"/>
      <c r="Y13" s="67" t="n">
        <v>43.42</v>
      </c>
      <c r="Z13" s="67" t="n">
        <v>94.12</v>
      </c>
      <c r="AA13" s="67" t="n">
        <v>47.96</v>
      </c>
      <c r="AB13" s="67" t="n">
        <v>176.57</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26.06</v>
      </c>
      <c r="U14" s="67" t="n">
        <v>21.85</v>
      </c>
      <c r="V14" s="67" t="n">
        <v>251.2</v>
      </c>
      <c r="W14" s="67" t="n">
        <v>99.38</v>
      </c>
      <c r="X14" s="67"/>
      <c r="Y14" s="67" t="n">
        <v>43.62</v>
      </c>
      <c r="Z14" s="67" t="n">
        <v>96.11</v>
      </c>
      <c r="AA14" s="67" t="n">
        <v>46.57</v>
      </c>
      <c r="AB14" s="67" t="n">
        <v>178.84</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26.28</v>
      </c>
      <c r="U15" s="67" t="n">
        <v>21.89</v>
      </c>
      <c r="V15" s="67" t="n">
        <v>250.51</v>
      </c>
      <c r="W15" s="67" t="n">
        <v>99.15</v>
      </c>
      <c r="X15" s="67"/>
      <c r="Y15" s="67" t="n">
        <v>43.49</v>
      </c>
      <c r="Z15" s="67" t="n">
        <v>94.61</v>
      </c>
      <c r="AA15" s="67" t="n">
        <v>45.38</v>
      </c>
      <c r="AB15" s="67" t="n">
        <v>172.71</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27.01</v>
      </c>
      <c r="U16" s="67" t="n">
        <v>22.77</v>
      </c>
      <c r="V16" s="67" t="n">
        <v>252.75</v>
      </c>
      <c r="W16" s="67" t="n">
        <v>102.56</v>
      </c>
      <c r="X16" s="67"/>
      <c r="Y16" s="67" t="n">
        <v>44.02</v>
      </c>
      <c r="Z16" s="67" t="n">
        <v>96.68</v>
      </c>
      <c r="AA16" s="67" t="n">
        <v>47.21</v>
      </c>
      <c r="AB16" s="67" t="n">
        <v>180.67</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27.34</v>
      </c>
      <c r="U17" s="67" t="n">
        <v>22.89</v>
      </c>
      <c r="V17" s="67" t="n">
        <v>253.14</v>
      </c>
      <c r="W17" s="67" t="n">
        <v>103.26</v>
      </c>
      <c r="X17" s="67"/>
      <c r="Y17" s="67" t="n">
        <v>44.08</v>
      </c>
      <c r="Z17" s="67" t="n">
        <v>99.39</v>
      </c>
      <c r="AA17" s="67" t="n">
        <v>48.68</v>
      </c>
      <c r="AB17" s="67" t="n">
        <v>190.85</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27.28</v>
      </c>
      <c r="U18" s="67" t="n">
        <v>22.98</v>
      </c>
      <c r="V18" s="67" t="n">
        <v>255.02</v>
      </c>
      <c r="W18" s="67" t="n">
        <v>103.89</v>
      </c>
      <c r="X18" s="67"/>
      <c r="Y18" s="67" t="n">
        <v>44.31</v>
      </c>
      <c r="Z18" s="67" t="n">
        <v>100.19</v>
      </c>
      <c r="AA18" s="67" t="n">
        <v>48.69</v>
      </c>
      <c r="AB18" s="67" t="n">
        <v>192.52</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v>
      </c>
      <c r="U19" s="67" t="n">
        <v>23.05</v>
      </c>
      <c r="V19" s="67" t="n">
        <v>254.38</v>
      </c>
      <c r="W19" s="67" t="n">
        <v>104.12</v>
      </c>
      <c r="X19" s="67"/>
      <c r="Y19" s="67" t="n">
        <v>44.12</v>
      </c>
      <c r="Z19" s="67" t="n">
        <v>99.14</v>
      </c>
      <c r="AA19" s="67" t="n">
        <v>47.41</v>
      </c>
      <c r="AB19" s="67" t="n">
        <v>185.69</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27.24</v>
      </c>
      <c r="U20" s="67" t="n">
        <v>23.02</v>
      </c>
      <c r="V20" s="67" t="n">
        <v>258.76</v>
      </c>
      <c r="W20" s="67" t="n">
        <v>103.76</v>
      </c>
      <c r="X20" s="67"/>
      <c r="Y20" s="67" t="n">
        <v>44.57</v>
      </c>
      <c r="Z20" s="67" t="n">
        <v>101.89</v>
      </c>
      <c r="AA20" s="67" t="n">
        <v>49.22</v>
      </c>
      <c r="AB20" s="67" t="n">
        <v>208.69</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26.98</v>
      </c>
      <c r="U21" s="67" t="n">
        <v>23.12</v>
      </c>
      <c r="V21" s="67" t="n">
        <v>265.36</v>
      </c>
      <c r="W21" s="67" t="n">
        <v>103.89</v>
      </c>
      <c r="X21" s="67"/>
      <c r="Y21" s="67" t="n">
        <v>44.7</v>
      </c>
      <c r="Z21" s="67" t="n">
        <v>101.91</v>
      </c>
      <c r="AA21" s="67" t="n">
        <v>48.29</v>
      </c>
      <c r="AB21" s="67" t="n">
        <v>207.15</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v>
      </c>
      <c r="U22" s="67" t="n">
        <v>23.25</v>
      </c>
      <c r="V22" s="67" t="n">
        <v>262.46</v>
      </c>
      <c r="W22" s="67" t="n">
        <v>105.16</v>
      </c>
      <c r="X22" s="67"/>
      <c r="Y22" s="67" t="n">
        <v>45.08</v>
      </c>
      <c r="Z22" s="67" t="n">
        <v>102.99</v>
      </c>
      <c r="AA22" s="67" t="n">
        <v>57.04</v>
      </c>
      <c r="AB22" s="67" t="n">
        <v>208.73</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27.46</v>
      </c>
      <c r="U23" s="67" t="n">
        <v>23.24</v>
      </c>
      <c r="V23" s="67" t="n">
        <v>271.51</v>
      </c>
      <c r="W23" s="67" t="n">
        <v>105.29</v>
      </c>
      <c r="X23" s="67"/>
      <c r="Y23" s="67" t="n">
        <v>45.53</v>
      </c>
      <c r="Z23" s="67" t="n">
        <v>107.19</v>
      </c>
      <c r="AA23" s="67" t="n">
        <v>56.46</v>
      </c>
      <c r="AB23" s="67" t="n">
        <v>206.8</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v>
      </c>
      <c r="U24" s="67" t="n">
        <v>23.18</v>
      </c>
      <c r="V24" s="67" t="n">
        <v>271.28</v>
      </c>
      <c r="W24" s="67" t="n">
        <v>105.06</v>
      </c>
      <c r="X24" s="67"/>
      <c r="Y24" s="67" t="n">
        <v>45.5</v>
      </c>
      <c r="Z24" s="67" t="n">
        <v>109.34</v>
      </c>
      <c r="AA24" s="67" t="n">
        <v>56.13</v>
      </c>
      <c r="AB24" s="67" t="n">
        <v>216.76</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27.83</v>
      </c>
      <c r="U25" s="67" t="n">
        <v>23.24</v>
      </c>
      <c r="V25" s="67" t="n">
        <v>273.37</v>
      </c>
      <c r="W25" s="67" t="n">
        <v>106.04</v>
      </c>
      <c r="X25" s="67"/>
      <c r="Y25" s="67" t="n">
        <v>45.56</v>
      </c>
      <c r="Z25" s="67" t="n">
        <v>117.1</v>
      </c>
      <c r="AA25" s="67" t="n">
        <v>58.4</v>
      </c>
      <c r="AB25" s="67" t="n">
        <v>219.35</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28.44</v>
      </c>
      <c r="U26" s="67" t="n">
        <v>23.51</v>
      </c>
      <c r="V26" s="67" t="n">
        <v>278.31</v>
      </c>
      <c r="W26" s="67" t="n">
        <v>107.55</v>
      </c>
      <c r="X26" s="67"/>
      <c r="Y26" s="67" t="n">
        <v>46.09</v>
      </c>
      <c r="Z26" s="67" t="n">
        <v>120.37</v>
      </c>
      <c r="AA26" s="67" t="n">
        <v>58.36</v>
      </c>
      <c r="AB26" s="67" t="n">
        <v>221.64</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29.06</v>
      </c>
      <c r="U27" s="67" t="n">
        <v>23.59</v>
      </c>
      <c r="V27" s="67" t="n">
        <v>277.88</v>
      </c>
      <c r="W27" s="67" t="n">
        <v>108.11</v>
      </c>
      <c r="X27" s="67"/>
      <c r="Y27" s="67" t="n">
        <v>46.28</v>
      </c>
      <c r="Z27" s="67" t="n">
        <v>124.55</v>
      </c>
      <c r="AA27" s="67" t="n">
        <v>61.93</v>
      </c>
      <c r="AB27" s="67" t="n">
        <v>222.01</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29.63</v>
      </c>
      <c r="U28" s="67" t="n">
        <v>23.67</v>
      </c>
      <c r="V28" s="67" t="n">
        <v>274.82</v>
      </c>
      <c r="W28" s="67" t="n">
        <v>109.2</v>
      </c>
      <c r="X28" s="67"/>
      <c r="Y28" s="67" t="n">
        <v>46.51</v>
      </c>
      <c r="Z28" s="67" t="n">
        <v>131.86</v>
      </c>
      <c r="AA28" s="67" t="n">
        <v>60.48</v>
      </c>
      <c r="AB28" s="67" t="n">
        <v>227.79</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30.09</v>
      </c>
      <c r="U29" s="67" t="n">
        <v>23.71</v>
      </c>
      <c r="V29" s="67" t="n">
        <v>277.76</v>
      </c>
      <c r="W29" s="67" t="n">
        <v>109.43</v>
      </c>
      <c r="X29" s="67"/>
      <c r="Y29" s="67" t="n">
        <v>46.41</v>
      </c>
      <c r="Z29" s="67" t="n">
        <v>132.59</v>
      </c>
      <c r="AA29" s="67" t="n">
        <v>60.59</v>
      </c>
      <c r="AB29" s="67" t="n">
        <v>226.98</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30.82</v>
      </c>
      <c r="U30" s="67" t="n">
        <v>24.15</v>
      </c>
      <c r="V30" s="67" t="n">
        <v>277.98</v>
      </c>
      <c r="W30" s="67" t="n">
        <v>111.45</v>
      </c>
      <c r="X30" s="67"/>
      <c r="Y30" s="67" t="n">
        <v>46.81</v>
      </c>
      <c r="Z30" s="67" t="n">
        <v>137.5</v>
      </c>
      <c r="AA30" s="67" t="n">
        <v>62.8</v>
      </c>
      <c r="AB30" s="67" t="n">
        <v>230.42</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v>
      </c>
      <c r="U31" s="67" t="n">
        <v>24.53</v>
      </c>
      <c r="V31" s="67" t="n">
        <v>273.88</v>
      </c>
      <c r="W31" s="67" t="n">
        <v>113.24</v>
      </c>
      <c r="X31" s="67"/>
      <c r="Y31" s="67" t="n">
        <v>47.13</v>
      </c>
      <c r="Z31" s="67" t="n">
        <v>137.8</v>
      </c>
      <c r="AA31" s="67" t="n">
        <v>60.73</v>
      </c>
      <c r="AB31" s="67" t="n">
        <v>231.69</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31.22</v>
      </c>
      <c r="U32" s="67" t="n">
        <v>24.03</v>
      </c>
      <c r="V32" s="67" t="n">
        <v>271.97</v>
      </c>
      <c r="W32" s="67" t="n">
        <v>111.62</v>
      </c>
      <c r="X32" s="67"/>
      <c r="Y32" s="67" t="n">
        <v>46.77</v>
      </c>
      <c r="Z32" s="67" t="n">
        <v>153.75</v>
      </c>
      <c r="AA32" s="67" t="n">
        <v>63.62</v>
      </c>
      <c r="AB32" s="67" t="n">
        <v>214.73</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30.42</v>
      </c>
      <c r="U33" s="67" t="n">
        <v>23.36</v>
      </c>
      <c r="V33" s="67" t="n">
        <v>270.82</v>
      </c>
      <c r="W33" s="67" t="n">
        <v>108.66</v>
      </c>
      <c r="X33" s="67"/>
      <c r="Y33" s="67" t="n">
        <v>46.05</v>
      </c>
      <c r="Z33" s="67" t="n">
        <v>152.37</v>
      </c>
      <c r="AA33" s="67" t="n">
        <v>62.28</v>
      </c>
      <c r="AB33" s="67" t="n">
        <v>206.74</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29.88</v>
      </c>
      <c r="U34" s="67" t="n">
        <v>23.32</v>
      </c>
      <c r="V34" s="67" t="n">
        <v>264.75</v>
      </c>
      <c r="W34" s="67" t="n">
        <v>108.51</v>
      </c>
      <c r="X34" s="67"/>
      <c r="Y34" s="67" t="n">
        <v>45.44</v>
      </c>
      <c r="Z34" s="67" t="n">
        <v>145.9</v>
      </c>
      <c r="AA34" s="67" t="n">
        <v>55.5</v>
      </c>
      <c r="AB34" s="67" t="n">
        <v>198.38</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30.26</v>
      </c>
      <c r="U35" s="67" t="n">
        <v>23.57</v>
      </c>
      <c r="V35" s="67" t="n">
        <v>269.4</v>
      </c>
      <c r="W35" s="67" t="n">
        <v>109.85</v>
      </c>
      <c r="X35" s="67"/>
      <c r="Y35" s="67" t="n">
        <v>46.12</v>
      </c>
      <c r="Z35" s="67" t="n">
        <v>159.98</v>
      </c>
      <c r="AA35" s="67" t="n">
        <v>56.12</v>
      </c>
      <c r="AB35" s="67" t="n">
        <v>200.91</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29.79</v>
      </c>
      <c r="U36" s="67" t="n">
        <v>23.72</v>
      </c>
      <c r="V36" s="67" t="n">
        <v>263.49</v>
      </c>
      <c r="W36" s="67" t="n">
        <v>109.62</v>
      </c>
      <c r="X36" s="67"/>
      <c r="Y36" s="67" t="n">
        <v>46.21</v>
      </c>
      <c r="Z36" s="67" t="n">
        <v>161.71</v>
      </c>
      <c r="AA36" s="67" t="n">
        <v>57.93</v>
      </c>
      <c r="AB36" s="67" t="n">
        <v>203.45</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30.46</v>
      </c>
      <c r="U37" s="67" t="n">
        <v>24.12</v>
      </c>
      <c r="V37" s="67" t="n">
        <v>275.51</v>
      </c>
      <c r="W37" s="67" t="n">
        <v>112.19</v>
      </c>
      <c r="X37" s="67"/>
      <c r="Y37" s="67" t="n">
        <v>47.07</v>
      </c>
      <c r="Z37" s="67" t="n">
        <v>161</v>
      </c>
      <c r="AA37" s="67" t="n">
        <v>61.09</v>
      </c>
      <c r="AB37" s="67" t="n">
        <v>203.78</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30.74</v>
      </c>
      <c r="U38" s="67" t="n">
        <v>24.36</v>
      </c>
      <c r="V38" s="67" t="n">
        <v>275.39</v>
      </c>
      <c r="W38" s="67" t="n">
        <v>113.72</v>
      </c>
      <c r="X38" s="67"/>
      <c r="Y38" s="67" t="n">
        <v>47.3</v>
      </c>
      <c r="Z38" s="67" t="n">
        <v>157.56</v>
      </c>
      <c r="AA38" s="67" t="n">
        <v>62.11</v>
      </c>
      <c r="AB38" s="67" t="n">
        <v>210.27</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30.22</v>
      </c>
      <c r="U39" s="67" t="n">
        <v>23.76</v>
      </c>
      <c r="V39" s="67" t="n">
        <v>269.87</v>
      </c>
      <c r="W39" s="67" t="n">
        <v>111.73</v>
      </c>
      <c r="X39" s="67"/>
      <c r="Y39" s="67" t="n">
        <v>46.92</v>
      </c>
      <c r="Z39" s="67" t="n">
        <v>164.89</v>
      </c>
      <c r="AA39" s="67" t="n">
        <v>64.68</v>
      </c>
      <c r="AB39" s="67" t="n">
        <v>203.89</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30.56</v>
      </c>
      <c r="U40" s="67" t="n">
        <v>23.9</v>
      </c>
      <c r="V40" s="67" t="n">
        <v>267.88</v>
      </c>
      <c r="W40" s="67" t="n">
        <v>112.31</v>
      </c>
      <c r="X40" s="67"/>
      <c r="Y40" s="67" t="n">
        <v>46.84</v>
      </c>
      <c r="Z40" s="67" t="n">
        <v>162.73</v>
      </c>
      <c r="AA40" s="67" t="n">
        <v>64.16</v>
      </c>
      <c r="AB40" s="67" t="n">
        <v>174.25</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29.92</v>
      </c>
      <c r="U41" s="67" t="n">
        <v>23.69</v>
      </c>
      <c r="V41" s="67" t="n">
        <v>273.98</v>
      </c>
      <c r="W41" s="67" t="n">
        <v>111.3</v>
      </c>
      <c r="X41" s="67"/>
      <c r="Y41" s="67" t="n">
        <v>46.88</v>
      </c>
      <c r="Z41" s="67" t="n">
        <v>159.56</v>
      </c>
      <c r="AA41" s="67" t="n">
        <v>64.15</v>
      </c>
      <c r="AB41" s="67" t="n">
        <v>183.14</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29.85</v>
      </c>
      <c r="U42" s="67" t="n">
        <v>23.36</v>
      </c>
      <c r="V42" s="67" t="n">
        <v>266.11</v>
      </c>
      <c r="W42" s="67" t="n">
        <v>110.83</v>
      </c>
      <c r="X42" s="67"/>
      <c r="Y42" s="67" t="n">
        <v>46.62</v>
      </c>
      <c r="Z42" s="67" t="n">
        <v>153.6</v>
      </c>
      <c r="AA42" s="67" t="n">
        <v>66.94</v>
      </c>
      <c r="AB42" s="67" t="n">
        <v>184.7</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30.14</v>
      </c>
      <c r="U43" s="67" t="n">
        <v>23.76</v>
      </c>
      <c r="V43" s="67" t="n">
        <v>270.59</v>
      </c>
      <c r="W43" s="67" t="n">
        <v>112.22</v>
      </c>
      <c r="X43" s="67"/>
      <c r="Y43" s="67" t="n">
        <v>47.03</v>
      </c>
      <c r="Z43" s="67" t="n">
        <v>161.84</v>
      </c>
      <c r="AA43" s="67" t="n">
        <v>68.61</v>
      </c>
      <c r="AB43" s="67" t="n">
        <v>184.88</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29.95</v>
      </c>
      <c r="U44" s="67" t="n">
        <v>23.9</v>
      </c>
      <c r="V44" s="67" t="n">
        <v>258.05</v>
      </c>
      <c r="W44" s="67" t="n">
        <v>111.95</v>
      </c>
      <c r="X44" s="67"/>
      <c r="Y44" s="67" t="n">
        <v>47.02</v>
      </c>
      <c r="Z44" s="67" t="n">
        <v>156.65</v>
      </c>
      <c r="AA44" s="67" t="n">
        <v>67.49</v>
      </c>
      <c r="AB44" s="67" t="n">
        <v>183.01</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29.35</v>
      </c>
      <c r="U45" s="67" t="n">
        <v>23.68</v>
      </c>
      <c r="V45" s="67" t="n">
        <v>265.81</v>
      </c>
      <c r="W45" s="67" t="n">
        <v>111.93</v>
      </c>
      <c r="X45" s="67"/>
      <c r="Y45" s="67" t="n">
        <v>47.04</v>
      </c>
      <c r="Z45" s="67" t="n">
        <v>158.16</v>
      </c>
      <c r="AA45" s="67" t="n">
        <v>69.07</v>
      </c>
      <c r="AB45" s="67" t="n">
        <v>183.46</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30.48</v>
      </c>
      <c r="U46" s="67" t="n">
        <v>24.48</v>
      </c>
      <c r="V46" s="67" t="n">
        <v>261.27</v>
      </c>
      <c r="W46" s="67" t="n">
        <v>114.67</v>
      </c>
      <c r="X46" s="67"/>
      <c r="Y46" s="67" t="n">
        <v>47.48</v>
      </c>
      <c r="Z46" s="67" t="n">
        <v>156.95</v>
      </c>
      <c r="AA46" s="67" t="n">
        <v>64.76</v>
      </c>
      <c r="AB46" s="67" t="n">
        <v>187.92</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30.95</v>
      </c>
      <c r="U47" s="67" t="n">
        <v>24.93</v>
      </c>
      <c r="V47" s="67" t="n">
        <v>260.99</v>
      </c>
      <c r="W47" s="67" t="n">
        <v>115.57</v>
      </c>
      <c r="X47" s="67"/>
      <c r="Y47" s="67" t="n">
        <v>47.37</v>
      </c>
      <c r="Z47" s="67" t="n">
        <v>157.07</v>
      </c>
      <c r="AA47" s="67" t="n">
        <v>63.33</v>
      </c>
      <c r="AB47" s="67" t="n">
        <v>183.25</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v>
      </c>
      <c r="U48" s="67" t="n">
        <v>25.35</v>
      </c>
      <c r="V48" s="67" t="n">
        <v>255.09</v>
      </c>
      <c r="W48" s="67" t="n">
        <v>116.6</v>
      </c>
      <c r="X48" s="67"/>
      <c r="Y48" s="67" t="n">
        <v>47.53</v>
      </c>
      <c r="Z48" s="67" t="n">
        <v>167.61</v>
      </c>
      <c r="AA48" s="67" t="n">
        <v>63.14</v>
      </c>
      <c r="AB48" s="67" t="n">
        <v>192.43</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v>
      </c>
      <c r="U49" s="67" t="n">
        <v>24.84</v>
      </c>
      <c r="V49" s="67" t="n">
        <v>262.1</v>
      </c>
      <c r="W49" s="67" t="n">
        <v>113.85</v>
      </c>
      <c r="X49" s="67"/>
      <c r="Y49" s="67" t="n">
        <v>47.27</v>
      </c>
      <c r="Z49" s="67" t="n">
        <v>158.21</v>
      </c>
      <c r="AA49" s="67" t="n">
        <v>61.36</v>
      </c>
      <c r="AB49" s="67" t="n">
        <v>185.14</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30.57</v>
      </c>
      <c r="U50" s="67" t="n">
        <v>24.64</v>
      </c>
      <c r="V50" s="67" t="n">
        <v>255.9</v>
      </c>
      <c r="W50" s="67" t="n">
        <v>113.61</v>
      </c>
      <c r="X50" s="67"/>
      <c r="Y50" s="67" t="n">
        <v>47.3</v>
      </c>
      <c r="Z50" s="67" t="n">
        <v>164.97</v>
      </c>
      <c r="AA50" s="67" t="n">
        <v>63.39</v>
      </c>
      <c r="AB50" s="67" t="n">
        <v>186.85</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31.06</v>
      </c>
      <c r="U51" s="67" t="n">
        <v>25.2</v>
      </c>
      <c r="V51" s="67" t="n">
        <v>263.41</v>
      </c>
      <c r="W51" s="67" t="n">
        <v>116.79</v>
      </c>
      <c r="X51" s="67"/>
      <c r="Y51" s="67" t="n">
        <v>48.31</v>
      </c>
      <c r="Z51" s="67" t="n">
        <v>167.23</v>
      </c>
      <c r="AA51" s="67" t="n">
        <v>67.41</v>
      </c>
      <c r="AB51" s="67" t="n">
        <v>192.5</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32.08</v>
      </c>
      <c r="U52" s="67" t="n">
        <v>25.67</v>
      </c>
      <c r="V52" s="67" t="n">
        <v>263.47</v>
      </c>
      <c r="W52" s="67" t="n">
        <v>118.72</v>
      </c>
      <c r="X52" s="67"/>
      <c r="Y52" s="67" t="n">
        <v>48.73</v>
      </c>
      <c r="Z52" s="67" t="n">
        <v>169.01</v>
      </c>
      <c r="AA52" s="67" t="n">
        <v>68.67</v>
      </c>
      <c r="AB52" s="67" t="n">
        <v>199.25</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32.19</v>
      </c>
      <c r="U53" s="67" t="n">
        <v>25.99</v>
      </c>
      <c r="V53" s="67" t="n">
        <v>272.27</v>
      </c>
      <c r="W53" s="67" t="n">
        <v>120.22</v>
      </c>
      <c r="X53" s="67"/>
      <c r="Y53" s="67" t="n">
        <v>49.33</v>
      </c>
      <c r="Z53" s="67" t="n">
        <v>172.36</v>
      </c>
      <c r="AA53" s="67" t="n">
        <v>70.14</v>
      </c>
      <c r="AB53" s="67" t="n">
        <v>216.44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30.86</v>
      </c>
      <c r="U54" s="67" t="n">
        <v>25.21</v>
      </c>
      <c r="V54" s="67" t="n">
        <v>275.22</v>
      </c>
      <c r="W54" s="67" t="n">
        <v>116.18</v>
      </c>
      <c r="X54" s="67"/>
      <c r="Y54" s="67" t="n">
        <v>48.57</v>
      </c>
      <c r="Z54" s="67" t="n">
        <v>159.15</v>
      </c>
      <c r="AA54" s="67" t="n">
        <v>66.58</v>
      </c>
      <c r="AB54" s="67" t="n">
        <v>215.89</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31.64</v>
      </c>
      <c r="U55" s="67" t="n">
        <v>25.63</v>
      </c>
      <c r="V55" s="67" t="n">
        <v>283.08</v>
      </c>
      <c r="W55" s="67" t="n">
        <v>118.96</v>
      </c>
      <c r="X55" s="67"/>
      <c r="Y55" s="67" t="n">
        <v>49.67</v>
      </c>
      <c r="Z55" s="67" t="n">
        <v>175.98</v>
      </c>
      <c r="AA55" s="67" t="n">
        <v>69.71</v>
      </c>
      <c r="AB55" s="67" t="n">
        <v>217.95</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32.19</v>
      </c>
      <c r="U56" s="67" t="n">
        <v>25.97</v>
      </c>
      <c r="V56" s="67" t="n">
        <v>280.54</v>
      </c>
      <c r="W56" s="67" t="n">
        <v>120.69</v>
      </c>
      <c r="X56" s="67"/>
      <c r="Y56" s="67" t="n">
        <v>49.94</v>
      </c>
      <c r="Z56" s="67" t="n">
        <v>185.01</v>
      </c>
      <c r="AA56" s="67" t="n">
        <v>70.1</v>
      </c>
      <c r="AB56" s="67" t="n">
        <v>214.88</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32.26</v>
      </c>
      <c r="U57" s="67" t="n">
        <v>26.13</v>
      </c>
      <c r="V57" s="67" t="n">
        <v>271.08</v>
      </c>
      <c r="W57" s="67" t="n">
        <v>121.41</v>
      </c>
      <c r="X57" s="67"/>
      <c r="Y57" s="67" t="n">
        <v>50.16</v>
      </c>
      <c r="Z57" s="67" t="n">
        <v>183.25</v>
      </c>
      <c r="AA57" s="67" t="n">
        <v>70.74</v>
      </c>
      <c r="AB57" s="67" t="n">
        <v>210.85</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32.86</v>
      </c>
      <c r="U58" s="67" t="n">
        <v>26.26</v>
      </c>
      <c r="V58" s="67" t="n">
        <v>273.8</v>
      </c>
      <c r="W58" s="67" t="n">
        <v>122.28</v>
      </c>
      <c r="X58" s="67"/>
      <c r="Y58" s="67" t="n">
        <v>50.27</v>
      </c>
      <c r="Z58" s="67" t="n">
        <v>184.94</v>
      </c>
      <c r="AA58" s="67" t="n">
        <v>71.97</v>
      </c>
      <c r="AB58" s="67" t="n">
        <v>204.67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v>
      </c>
      <c r="U59" s="67" t="n">
        <v>26.56</v>
      </c>
      <c r="V59" s="67" t="n">
        <v>273.71</v>
      </c>
      <c r="W59" s="67" t="n">
        <v>123.64</v>
      </c>
      <c r="X59" s="67"/>
      <c r="Y59" s="67" t="n">
        <v>50.54</v>
      </c>
      <c r="Z59" s="67" t="n">
        <v>188.97</v>
      </c>
      <c r="AA59" s="67" t="n">
        <v>72.28</v>
      </c>
      <c r="AB59" s="67" t="n">
        <v>211.32</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32.84</v>
      </c>
      <c r="U60" s="67" t="n">
        <v>26.81</v>
      </c>
      <c r="V60" s="67" t="n">
        <v>286.3</v>
      </c>
      <c r="W60" s="67" t="n">
        <v>124.9</v>
      </c>
      <c r="X60" s="67"/>
      <c r="Y60" s="67" t="n">
        <v>50.91</v>
      </c>
      <c r="Z60" s="67" t="n">
        <v>190.4</v>
      </c>
      <c r="AA60" s="67" t="n">
        <v>76.39</v>
      </c>
      <c r="AB60" s="67" t="n">
        <v>221.32</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32.21</v>
      </c>
      <c r="U61" s="67" t="n">
        <v>26.19</v>
      </c>
      <c r="V61" s="67" t="n">
        <v>277.55</v>
      </c>
      <c r="W61" s="67" t="n">
        <v>122.04</v>
      </c>
      <c r="X61" s="67"/>
      <c r="Y61" s="67" t="n">
        <v>50.34</v>
      </c>
      <c r="Z61" s="67" t="n">
        <v>177.05</v>
      </c>
      <c r="AA61" s="67" t="n">
        <v>75.47</v>
      </c>
      <c r="AB61" s="67" t="n">
        <v>212.23</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32.23</v>
      </c>
      <c r="U62" s="67" t="n">
        <v>26.15</v>
      </c>
      <c r="V62" s="67" t="n">
        <v>286.42</v>
      </c>
      <c r="W62" s="67" t="n">
        <v>121.19</v>
      </c>
      <c r="X62" s="67"/>
      <c r="Y62" s="67" t="n">
        <v>50.01</v>
      </c>
      <c r="Z62" s="67" t="n">
        <v>169.73</v>
      </c>
      <c r="AA62" s="67" t="n">
        <v>75.61</v>
      </c>
      <c r="AB62" s="67" t="n">
        <v>212.78</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34.73</v>
      </c>
      <c r="U63" s="67" t="n">
        <v>27.06</v>
      </c>
      <c r="V63" s="67" t="n">
        <v>303.3</v>
      </c>
      <c r="W63" s="67" t="n">
        <v>125.91</v>
      </c>
      <c r="X63" s="67"/>
      <c r="Y63" s="67" t="n">
        <v>51.35</v>
      </c>
      <c r="Z63" s="67" t="n">
        <v>182.69</v>
      </c>
      <c r="AA63" s="67" t="n">
        <v>79.5</v>
      </c>
      <c r="AB63" s="67" t="n">
        <v>235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v>
      </c>
      <c r="U64" s="67" t="n">
        <v>26.64</v>
      </c>
      <c r="V64" s="67" t="n">
        <v>305.62</v>
      </c>
      <c r="W64" s="67" t="n">
        <v>124.2</v>
      </c>
      <c r="X64" s="67"/>
      <c r="Y64" s="67" t="n">
        <v>50.7</v>
      </c>
      <c r="Z64" s="67" t="n">
        <v>174.9</v>
      </c>
      <c r="AA64" s="67" t="n">
        <v>82.4</v>
      </c>
      <c r="AB64" s="67" t="n">
        <v>213.36</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35.52</v>
      </c>
      <c r="U65" s="67" t="n">
        <v>27.31</v>
      </c>
      <c r="V65" s="67" t="n">
        <v>305.9</v>
      </c>
      <c r="W65" s="67" t="n">
        <v>126.98</v>
      </c>
      <c r="X65" s="67"/>
      <c r="Y65" s="67" t="n">
        <v>51.46</v>
      </c>
      <c r="Z65" s="67" t="n">
        <v>179.07</v>
      </c>
      <c r="AA65" s="67" t="n">
        <v>89.78</v>
      </c>
      <c r="AB65" s="67" t="n">
        <v>216.58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35.59</v>
      </c>
      <c r="U66" s="67" t="n">
        <v>27.48</v>
      </c>
      <c r="V66" s="67" t="n">
        <v>310.99</v>
      </c>
      <c r="W66" s="67" t="n">
        <v>128.04</v>
      </c>
      <c r="X66" s="67"/>
      <c r="Y66" s="67" t="n">
        <v>52.03</v>
      </c>
      <c r="Z66" s="67" t="n">
        <v>180.07</v>
      </c>
      <c r="AA66" s="67" t="n">
        <v>88.68</v>
      </c>
      <c r="AB66" s="67" t="n">
        <v>227.85</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35.56</v>
      </c>
      <c r="U67" s="67" t="n">
        <v>26.82</v>
      </c>
      <c r="V67" s="67" t="n">
        <v>306.97</v>
      </c>
      <c r="W67" s="67" t="n">
        <v>126.2</v>
      </c>
      <c r="X67" s="67"/>
      <c r="Y67" s="67" t="n">
        <v>51.59</v>
      </c>
      <c r="Z67" s="67" t="n">
        <v>173.57</v>
      </c>
      <c r="AA67" s="67" t="n">
        <v>93.47</v>
      </c>
      <c r="AB67" s="67" t="n">
        <v>250.45</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34.08</v>
      </c>
      <c r="U68" s="67" t="n">
        <v>26.42</v>
      </c>
      <c r="V68" s="67" t="n">
        <v>310.65</v>
      </c>
      <c r="W68" s="67" t="n">
        <v>125.31</v>
      </c>
      <c r="X68" s="67"/>
      <c r="Y68" s="67" t="n">
        <v>51.17</v>
      </c>
      <c r="Z68" s="67" t="n">
        <v>164.11</v>
      </c>
      <c r="AA68" s="67" t="n">
        <v>91.89</v>
      </c>
      <c r="AB68" s="67" t="n">
        <v>228.78</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33.04</v>
      </c>
      <c r="U69" s="67" t="n">
        <v>25.63</v>
      </c>
      <c r="V69" s="67" t="n">
        <v>313.59</v>
      </c>
      <c r="W69" s="67" t="n">
        <v>121.73</v>
      </c>
      <c r="X69" s="67"/>
      <c r="Y69" s="67" t="n">
        <v>50.12</v>
      </c>
      <c r="Z69" s="67" t="n">
        <v>166.44</v>
      </c>
      <c r="AA69" s="67" t="n">
        <v>90.9</v>
      </c>
      <c r="AB69" s="67" t="n">
        <v>224.15</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33.35</v>
      </c>
      <c r="U70" s="67" t="n">
        <v>25.8</v>
      </c>
      <c r="V70" s="67" t="n">
        <v>314.52</v>
      </c>
      <c r="W70" s="67" t="n">
        <v>123.18</v>
      </c>
      <c r="X70" s="67"/>
      <c r="Y70" s="67" t="n">
        <v>50.34</v>
      </c>
      <c r="Z70" s="67" t="n">
        <v>168.4</v>
      </c>
      <c r="AA70" s="67" t="n">
        <v>90.75</v>
      </c>
      <c r="AB70" s="67" t="n">
        <v>214.01</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v>
      </c>
      <c r="U71" s="67" t="n">
        <v>25.77</v>
      </c>
      <c r="V71" s="67" t="n">
        <v>310.82</v>
      </c>
      <c r="W71" s="67" t="n">
        <v>122.97</v>
      </c>
      <c r="X71" s="67"/>
      <c r="Y71" s="67" t="n">
        <v>50.27</v>
      </c>
      <c r="Z71" s="67" t="n">
        <v>170.27</v>
      </c>
      <c r="AA71" s="67" t="n">
        <v>88.11</v>
      </c>
      <c r="AB71" s="67" t="n">
        <v>213.03</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v>
      </c>
      <c r="U72" s="67" t="n">
        <v>25.37</v>
      </c>
      <c r="V72" s="67" t="n">
        <v>303.72</v>
      </c>
      <c r="W72" s="67" t="n">
        <v>120.76</v>
      </c>
      <c r="X72" s="67"/>
      <c r="Y72" s="67" t="n">
        <v>49.47</v>
      </c>
      <c r="Z72" s="67" t="n">
        <v>170</v>
      </c>
      <c r="AA72" s="67" t="n">
        <v>83.77</v>
      </c>
      <c r="AB72" s="67" t="n">
        <v>217.75</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v>
      </c>
      <c r="U73" s="67" t="n">
        <v>26.29</v>
      </c>
      <c r="V73" s="67" t="n">
        <v>315.47</v>
      </c>
      <c r="W73" s="67" t="n">
        <v>126.1</v>
      </c>
      <c r="X73" s="67"/>
      <c r="Y73" s="67" t="n">
        <v>50.72</v>
      </c>
      <c r="Z73" s="67" t="n">
        <v>181.05</v>
      </c>
      <c r="AA73" s="67" t="n">
        <v>85.81</v>
      </c>
      <c r="AB73" s="67" t="n">
        <v>216.59</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34.98</v>
      </c>
      <c r="U74" s="67" t="n">
        <v>26.36</v>
      </c>
      <c r="V74" s="67" t="n">
        <v>325.91</v>
      </c>
      <c r="W74" s="67" t="n">
        <v>127.41</v>
      </c>
      <c r="X74" s="67"/>
      <c r="Y74" s="67" t="n">
        <v>51.24</v>
      </c>
      <c r="Z74" s="67" t="n">
        <v>194.81</v>
      </c>
      <c r="AA74" s="67" t="n">
        <v>97.76</v>
      </c>
      <c r="AB74" s="67" t="n">
        <v>223.4</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34.62</v>
      </c>
      <c r="U75" s="67" t="n">
        <v>26.14</v>
      </c>
      <c r="V75" s="67" t="n">
        <v>337.36</v>
      </c>
      <c r="W75" s="67" t="n">
        <v>126.74</v>
      </c>
      <c r="X75" s="67"/>
      <c r="Y75" s="67" t="n">
        <v>51.13</v>
      </c>
      <c r="Z75" s="67" t="n">
        <v>201.56</v>
      </c>
      <c r="AA75" s="67" t="n">
        <v>97.68</v>
      </c>
      <c r="AB75" s="67" t="n">
        <v>233.26</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34.37</v>
      </c>
      <c r="U76" s="67" t="n">
        <v>25.88</v>
      </c>
      <c r="V76" s="67" t="n">
        <v>343.5</v>
      </c>
      <c r="W76" s="67" t="n">
        <v>126.7</v>
      </c>
      <c r="X76" s="67"/>
      <c r="Y76" s="67" t="n">
        <v>51.25</v>
      </c>
      <c r="Z76" s="67" t="n">
        <v>203.26</v>
      </c>
      <c r="AA76" s="67" t="n">
        <v>101.39</v>
      </c>
      <c r="AB76" s="67" t="n">
        <v>237.2</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34.77</v>
      </c>
      <c r="U77" s="67" t="n">
        <v>26.1</v>
      </c>
      <c r="V77" s="67" t="n">
        <v>349.81</v>
      </c>
      <c r="W77" s="67" t="n">
        <v>128.09</v>
      </c>
      <c r="X77" s="67"/>
      <c r="Y77" s="67" t="n">
        <v>51.59</v>
      </c>
      <c r="Z77" s="67" t="n">
        <v>206.22</v>
      </c>
      <c r="AA77" s="67" t="n">
        <v>105.86</v>
      </c>
      <c r="AB77" s="67" t="n">
        <v>234</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34.65</v>
      </c>
      <c r="U78" s="67" t="n">
        <v>26.49</v>
      </c>
      <c r="V78" s="67" t="n">
        <v>344.59</v>
      </c>
      <c r="W78" s="67" t="n">
        <v>127.66</v>
      </c>
      <c r="X78" s="67"/>
      <c r="Y78" s="67" t="n">
        <v>51.55</v>
      </c>
      <c r="Z78" s="67" t="n">
        <v>197.86</v>
      </c>
      <c r="AA78" s="67" t="n">
        <v>100.32</v>
      </c>
      <c r="AB78" s="67" t="n">
        <v>225.79</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34.48</v>
      </c>
      <c r="U79" s="67" t="n">
        <v>26.8</v>
      </c>
      <c r="V79" s="67" t="n">
        <v>358.6</v>
      </c>
      <c r="W79" s="67" t="n">
        <v>128.36</v>
      </c>
      <c r="X79" s="67"/>
      <c r="Y79" s="67" t="n">
        <v>51.79</v>
      </c>
      <c r="Z79" s="67" t="n">
        <v>204.94</v>
      </c>
      <c r="AA79" s="67" t="n">
        <v>98.06</v>
      </c>
      <c r="AB79" s="67" t="n">
        <v>224.14</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33.99</v>
      </c>
      <c r="U80" s="67" t="n">
        <v>26.73</v>
      </c>
      <c r="V80" s="67" t="n">
        <v>341.41</v>
      </c>
      <c r="W80" s="67" t="n">
        <v>125.66</v>
      </c>
      <c r="X80" s="67"/>
      <c r="Y80" s="67" t="n">
        <v>51.02</v>
      </c>
      <c r="Z80" s="67" t="n">
        <v>191.94</v>
      </c>
      <c r="AA80" s="67" t="n">
        <v>89.11</v>
      </c>
      <c r="AB80" s="67" t="n">
        <v>246.8</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33.35</v>
      </c>
      <c r="U81" s="67" t="n">
        <v>25.96</v>
      </c>
      <c r="V81" s="67" t="n">
        <v>328.04</v>
      </c>
      <c r="W81" s="67" t="n">
        <v>122.84</v>
      </c>
      <c r="X81" s="67"/>
      <c r="Y81" s="67" t="n">
        <v>49.93</v>
      </c>
      <c r="Z81" s="67" t="n">
        <v>195.53</v>
      </c>
      <c r="AA81" s="67" t="n">
        <v>91.8</v>
      </c>
      <c r="AB81" s="67" t="n">
        <v>234.06</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33.91</v>
      </c>
      <c r="U82" s="67" t="n">
        <v>26.07</v>
      </c>
      <c r="V82" s="67" t="n">
        <v>331.86</v>
      </c>
      <c r="W82" s="67" t="n">
        <v>123.76</v>
      </c>
      <c r="X82" s="67"/>
      <c r="Y82" s="67" t="n">
        <v>50.07</v>
      </c>
      <c r="Z82" s="67" t="n">
        <v>202.49</v>
      </c>
      <c r="AA82" s="67" t="n">
        <v>96.03</v>
      </c>
      <c r="AB82" s="67" t="n">
        <v>236.77</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33.36</v>
      </c>
      <c r="U83" s="67" t="n">
        <v>26.14</v>
      </c>
      <c r="V83" s="67" t="n">
        <v>338.97</v>
      </c>
      <c r="W83" s="67" t="n">
        <v>122.94</v>
      </c>
      <c r="X83" s="67"/>
      <c r="Y83" s="67" t="n">
        <v>49.69</v>
      </c>
      <c r="Z83" s="67" t="n">
        <v>198.28</v>
      </c>
      <c r="AA83" s="67" t="n">
        <v>93.39</v>
      </c>
      <c r="AB83" s="67" t="n">
        <v>234.21</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30.27</v>
      </c>
      <c r="U84" s="67" t="n">
        <v>23.96</v>
      </c>
      <c r="V84" s="67" t="n">
        <v>309.59</v>
      </c>
      <c r="W84" s="67" t="n">
        <v>112.8</v>
      </c>
      <c r="X84" s="67"/>
      <c r="Y84" s="67" t="n">
        <v>46.04</v>
      </c>
      <c r="Z84" s="67" t="n">
        <v>165.47</v>
      </c>
      <c r="AA84" s="67" t="n">
        <v>85.59</v>
      </c>
      <c r="AB84" s="67" t="n">
        <v>213.68</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30.91</v>
      </c>
      <c r="U85" s="67" t="n">
        <v>23.98</v>
      </c>
      <c r="V85" s="67" t="n">
        <v>329.63</v>
      </c>
      <c r="W85" s="67" t="n">
        <v>116.65</v>
      </c>
      <c r="X85" s="67"/>
      <c r="Y85" s="67" t="n">
        <v>47.66</v>
      </c>
      <c r="Z85" s="67" t="n">
        <v>180.21</v>
      </c>
      <c r="AA85" s="67" t="n">
        <v>91.83</v>
      </c>
      <c r="AB85" s="67" t="n">
        <v>218</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31.13</v>
      </c>
      <c r="U86" s="67" t="n">
        <v>24.09</v>
      </c>
      <c r="V86" s="67" t="n">
        <v>325.88</v>
      </c>
      <c r="W86" s="67" t="n">
        <v>116.47</v>
      </c>
      <c r="X86" s="67"/>
      <c r="Y86" s="67" t="n">
        <v>47.47</v>
      </c>
      <c r="Z86" s="67" t="n">
        <v>180.33</v>
      </c>
      <c r="AA86" s="67" t="n">
        <v>97.3</v>
      </c>
      <c r="AB86" s="67" t="n">
        <v>215.95</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32.16</v>
      </c>
      <c r="U87" s="67" t="n">
        <v>24.33</v>
      </c>
      <c r="V87" s="67" t="n">
        <v>331.38</v>
      </c>
      <c r="W87" s="67" t="n">
        <v>118.85</v>
      </c>
      <c r="X87" s="67"/>
      <c r="Y87" s="67" t="n">
        <v>48.54</v>
      </c>
      <c r="Z87" s="67" t="n">
        <v>196.84</v>
      </c>
      <c r="AA87" s="67" t="n">
        <v>110.15</v>
      </c>
      <c r="AB87" s="67" t="n">
        <v>227.54</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32.77</v>
      </c>
      <c r="U88" s="67" t="n">
        <v>24.7</v>
      </c>
      <c r="V88" s="67" t="n">
        <v>343.67</v>
      </c>
      <c r="W88" s="67" t="n">
        <v>121.35</v>
      </c>
      <c r="X88" s="67"/>
      <c r="Y88" s="67" t="n">
        <v>49.58</v>
      </c>
      <c r="Z88" s="67" t="n">
        <v>206.04</v>
      </c>
      <c r="AA88" s="67" t="n">
        <v>115.65</v>
      </c>
      <c r="AB88" s="67" t="n">
        <v>236.49</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32.72</v>
      </c>
      <c r="U89" s="67" t="n">
        <v>24.38</v>
      </c>
      <c r="V89" s="67" t="n">
        <v>348.55</v>
      </c>
      <c r="W89" s="67" t="n">
        <v>121.2</v>
      </c>
      <c r="X89" s="67"/>
      <c r="Y89" s="67" t="n">
        <v>49.57</v>
      </c>
      <c r="Z89" s="67" t="n">
        <v>213.24</v>
      </c>
      <c r="AA89" s="67" t="n">
        <v>114.02</v>
      </c>
      <c r="AB89" s="67" t="n">
        <v>237.05</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34.13</v>
      </c>
      <c r="U90" s="67" t="n">
        <v>25.21</v>
      </c>
      <c r="V90" s="67" t="n">
        <v>361.59</v>
      </c>
      <c r="W90" s="67" t="n">
        <v>125.26</v>
      </c>
      <c r="X90" s="67"/>
      <c r="Y90" s="67" t="n">
        <v>50.1</v>
      </c>
      <c r="Z90" s="67" t="n">
        <v>229.92</v>
      </c>
      <c r="AA90" s="67" t="n">
        <v>119.15</v>
      </c>
      <c r="AB90" s="67" t="n">
        <v>242.78</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32.94</v>
      </c>
      <c r="U91" s="67" t="n">
        <v>24.53</v>
      </c>
      <c r="V91" s="67" t="n">
        <v>350.12</v>
      </c>
      <c r="W91" s="67" t="n">
        <v>122.5</v>
      </c>
      <c r="X91" s="67"/>
      <c r="Y91" s="67" t="n">
        <v>49.46</v>
      </c>
      <c r="Z91" s="67" t="n">
        <v>230.92</v>
      </c>
      <c r="AA91" s="67" t="n">
        <v>118.54</v>
      </c>
      <c r="AB91" s="67" t="n">
        <v>233</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v>
      </c>
      <c r="U92" s="67" t="n">
        <v>24.8</v>
      </c>
      <c r="V92" s="67" t="n">
        <v>361.66</v>
      </c>
      <c r="W92" s="67" t="n">
        <v>124.36</v>
      </c>
      <c r="X92" s="67"/>
      <c r="Y92" s="67" t="n">
        <v>49.96</v>
      </c>
      <c r="Z92" s="67" t="n">
        <v>243.94</v>
      </c>
      <c r="AA92" s="67" t="n">
        <v>120.72</v>
      </c>
      <c r="AB92" s="67" t="n">
        <v>279.7</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33.98</v>
      </c>
      <c r="U93" s="67" t="n">
        <v>25.15</v>
      </c>
      <c r="V93" s="67" t="n">
        <v>366.64</v>
      </c>
      <c r="W93" s="67" t="n">
        <v>125.73</v>
      </c>
      <c r="X93" s="67"/>
      <c r="Y93" s="67" t="n">
        <v>50.4</v>
      </c>
      <c r="Z93" s="67" t="n">
        <v>253.58</v>
      </c>
      <c r="AA93" s="67" t="n">
        <v>124.15</v>
      </c>
      <c r="AB93" s="67" t="n">
        <v>285.36</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34.43</v>
      </c>
      <c r="U94" s="67" t="n">
        <v>25.49</v>
      </c>
      <c r="V94" s="67" t="n">
        <v>349.44</v>
      </c>
      <c r="W94" s="67" t="n">
        <v>125.82</v>
      </c>
      <c r="X94" s="67"/>
      <c r="Y94" s="67" t="n">
        <v>50.4</v>
      </c>
      <c r="Z94" s="67" t="n">
        <v>234.7</v>
      </c>
      <c r="AA94" s="67" t="n">
        <v>121.21</v>
      </c>
      <c r="AB94" s="67" t="n">
        <v>282.55</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34.39</v>
      </c>
      <c r="U95" s="67" t="n">
        <v>25.3</v>
      </c>
      <c r="V95" s="67" t="n">
        <v>335.29</v>
      </c>
      <c r="W95" s="67" t="n">
        <v>125.77</v>
      </c>
      <c r="X95" s="67"/>
      <c r="Y95" s="67" t="n">
        <v>50.14</v>
      </c>
      <c r="Z95" s="67" t="n">
        <v>237.45</v>
      </c>
      <c r="AA95" s="67" t="n">
        <v>123.14</v>
      </c>
      <c r="AB95" s="67" t="n">
        <v>280.08</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34.69</v>
      </c>
      <c r="U96" s="67" t="n">
        <v>25.25</v>
      </c>
      <c r="V96" s="67" t="n">
        <v>345.24</v>
      </c>
      <c r="W96" s="67" t="n">
        <v>128.58</v>
      </c>
      <c r="X96" s="67"/>
      <c r="Y96" s="67" t="n">
        <v>50.96</v>
      </c>
      <c r="Z96" s="67" t="n">
        <v>252.47</v>
      </c>
      <c r="AA96" s="67" t="n">
        <v>132.31</v>
      </c>
      <c r="AB96" s="67" t="n">
        <v>283.41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35.12</v>
      </c>
      <c r="U97" s="67" t="n">
        <v>26.17</v>
      </c>
      <c r="V97" s="67" t="n">
        <v>355.39</v>
      </c>
      <c r="W97" s="67" t="n">
        <v>131.78</v>
      </c>
      <c r="X97" s="67"/>
      <c r="Y97" s="67" t="n">
        <v>51.59</v>
      </c>
      <c r="Z97" s="67" t="n">
        <v>244.9</v>
      </c>
      <c r="AA97" s="67" t="n">
        <v>129.72</v>
      </c>
      <c r="AB97" s="67" t="n">
        <v>284.29</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v>
      </c>
      <c r="U98" s="67" t="n">
        <v>26.15</v>
      </c>
      <c r="V98" s="67" t="n">
        <v>344.56</v>
      </c>
      <c r="W98" s="67" t="n">
        <v>130.89</v>
      </c>
      <c r="X98" s="67"/>
      <c r="Y98" s="67" t="n">
        <v>51.41</v>
      </c>
      <c r="Z98" s="67" t="n">
        <v>253.74</v>
      </c>
      <c r="AA98" s="67" t="n">
        <v>124.51</v>
      </c>
      <c r="AB98" s="67" t="n">
        <v>275.89</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34.46</v>
      </c>
      <c r="U99" s="67" t="n">
        <v>25.86</v>
      </c>
      <c r="V99" s="67" t="n">
        <v>345.67</v>
      </c>
      <c r="W99" s="67" t="n">
        <v>130.69</v>
      </c>
      <c r="X99" s="67"/>
      <c r="Y99" s="67" t="n">
        <v>51.6</v>
      </c>
      <c r="Z99" s="67" t="n">
        <v>261.54</v>
      </c>
      <c r="AA99" s="67" t="n">
        <v>120.92</v>
      </c>
      <c r="AB99" s="67" t="n">
        <v>282.29</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35.21</v>
      </c>
      <c r="U100" s="67" t="n">
        <v>26.14</v>
      </c>
      <c r="V100" s="67" t="n">
        <v>353.59</v>
      </c>
      <c r="W100" s="67" t="n">
        <v>132.54</v>
      </c>
      <c r="X100" s="67"/>
      <c r="Y100" s="67" t="n">
        <v>51.92</v>
      </c>
      <c r="Z100" s="67" t="n">
        <v>269.81</v>
      </c>
      <c r="AA100" s="67" t="n">
        <v>118.05</v>
      </c>
      <c r="AB100" s="67" t="n">
        <v>290.41</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33.74</v>
      </c>
      <c r="U101" s="67" t="n">
        <v>25.24</v>
      </c>
      <c r="V101" s="67" t="n">
        <v>336.07</v>
      </c>
      <c r="W101" s="67" t="n">
        <v>128.95</v>
      </c>
      <c r="X101" s="67"/>
      <c r="Y101" s="67" t="n">
        <v>50.69</v>
      </c>
      <c r="Z101" s="67" t="n">
        <v>267.61</v>
      </c>
      <c r="AA101" s="67" t="n">
        <v>115.86</v>
      </c>
      <c r="AB101" s="67" t="n">
        <v>281.35</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34.08</v>
      </c>
      <c r="U102" s="67" t="n">
        <v>25.72</v>
      </c>
      <c r="V102" s="67" t="n">
        <v>333.52</v>
      </c>
      <c r="W102" s="67" t="n">
        <v>131.32</v>
      </c>
      <c r="X102" s="67"/>
      <c r="Y102" s="67" t="n">
        <v>51.1</v>
      </c>
      <c r="Z102" s="67" t="n">
        <v>273.21</v>
      </c>
      <c r="AA102" s="67" t="n">
        <v>121.16</v>
      </c>
      <c r="AB102" s="67" t="n">
        <v>282.13</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35.43</v>
      </c>
      <c r="U103" s="67" t="n">
        <v>26.15</v>
      </c>
      <c r="V103" s="67" t="n">
        <v>341.74</v>
      </c>
      <c r="W103" s="67" t="n">
        <v>132.92</v>
      </c>
      <c r="X103" s="67"/>
      <c r="Y103" s="67" t="n">
        <v>51.68</v>
      </c>
      <c r="Z103" s="67" t="n">
        <v>266.09</v>
      </c>
      <c r="AA103" s="67" t="n">
        <v>123.89</v>
      </c>
      <c r="AB103" s="67" t="n">
        <v>280.61</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36.34</v>
      </c>
      <c r="U104" s="67" t="n">
        <v>26.75</v>
      </c>
      <c r="V104" s="67" t="n">
        <v>347.26</v>
      </c>
      <c r="W104" s="67" t="n">
        <v>135.03</v>
      </c>
      <c r="X104" s="67"/>
      <c r="Y104" s="67" t="n">
        <v>52.3</v>
      </c>
      <c r="Z104" s="67" t="n">
        <v>264.78</v>
      </c>
      <c r="AA104" s="67" t="n">
        <v>120.46</v>
      </c>
      <c r="AB104" s="67" t="n">
        <v>290.86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36.67</v>
      </c>
      <c r="U105" s="67" t="n">
        <v>26.72</v>
      </c>
      <c r="V105" s="67" t="n">
        <v>348.99</v>
      </c>
      <c r="W105" s="67" t="n">
        <v>135.05</v>
      </c>
      <c r="X105" s="67"/>
      <c r="Y105" s="67" t="n">
        <v>52.1</v>
      </c>
      <c r="Z105" s="67" t="n">
        <v>273.39</v>
      </c>
      <c r="AA105" s="67" t="n">
        <v>120.82</v>
      </c>
      <c r="AB105" s="67" t="n">
        <v>269.2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36.95</v>
      </c>
      <c r="U106" s="67" t="n">
        <v>26.45</v>
      </c>
      <c r="V106" s="67" t="n">
        <v>340.5</v>
      </c>
      <c r="W106" s="67" t="n">
        <v>135.4</v>
      </c>
      <c r="X106" s="67"/>
      <c r="Y106" s="67" t="n">
        <v>52.1</v>
      </c>
      <c r="Z106" s="67" t="n">
        <v>277.4</v>
      </c>
      <c r="AA106" s="67" t="n">
        <v>124.38</v>
      </c>
      <c r="AB106" s="67" t="n">
        <v>272.93</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36.98</v>
      </c>
      <c r="U107" s="67" t="n">
        <v>26.3</v>
      </c>
      <c r="V107" s="67" t="n">
        <v>336.74</v>
      </c>
      <c r="W107" s="67" t="n">
        <v>137.18</v>
      </c>
      <c r="X107" s="67"/>
      <c r="Y107" s="67" t="n">
        <v>52.21</v>
      </c>
      <c r="Z107" s="67" t="n">
        <v>279.84</v>
      </c>
      <c r="AA107" s="67" t="n">
        <v>118.84</v>
      </c>
      <c r="AB107" s="67" t="n">
        <v>276.43</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36.93</v>
      </c>
      <c r="U108" s="67" t="n">
        <v>26.15</v>
      </c>
      <c r="V108" s="67" t="n">
        <v>338.9</v>
      </c>
      <c r="W108" s="67" t="n">
        <v>137.1</v>
      </c>
      <c r="X108" s="67"/>
      <c r="Y108" s="67" t="n">
        <v>52.17</v>
      </c>
      <c r="Z108" s="67" t="n">
        <v>299.16</v>
      </c>
      <c r="AA108" s="67" t="n">
        <v>122.7</v>
      </c>
      <c r="AB108" s="67" t="n">
        <v>277.79</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37.23</v>
      </c>
      <c r="U109" s="67" t="n">
        <v>26.29</v>
      </c>
      <c r="V109" s="67" t="n">
        <v>334.69</v>
      </c>
      <c r="W109" s="67" t="n">
        <v>137.42</v>
      </c>
      <c r="X109" s="67"/>
      <c r="Y109" s="67" t="n">
        <v>52.24</v>
      </c>
      <c r="Z109" s="67" t="n">
        <v>293.04</v>
      </c>
      <c r="AA109" s="67" t="n">
        <v>121.06</v>
      </c>
      <c r="AB109" s="67" t="n">
        <v>290.27</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37.35</v>
      </c>
      <c r="U110" s="67" t="n">
        <v>26.48</v>
      </c>
      <c r="V110" s="67" t="n">
        <v>347.06</v>
      </c>
      <c r="W110" s="67" t="n">
        <v>138.17</v>
      </c>
      <c r="X110" s="67"/>
      <c r="Y110" s="67" t="n">
        <v>52.66</v>
      </c>
      <c r="Z110" s="67" t="n">
        <v>295.41</v>
      </c>
      <c r="AA110" s="67" t="n">
        <v>115.33</v>
      </c>
      <c r="AB110" s="67" t="n">
        <v>296.28</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36.11</v>
      </c>
      <c r="U111" s="67" t="n">
        <v>25.64</v>
      </c>
      <c r="V111" s="67" t="n">
        <v>340.92</v>
      </c>
      <c r="W111" s="67" t="n">
        <v>134.19</v>
      </c>
      <c r="X111" s="67"/>
      <c r="Y111" s="67" t="n">
        <v>51.71</v>
      </c>
      <c r="Z111" s="67" t="n">
        <v>289.93</v>
      </c>
      <c r="AA111" s="67" t="n">
        <v>122.01</v>
      </c>
      <c r="AB111" s="67" t="n">
        <v>286.59</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36.62</v>
      </c>
      <c r="U112" s="67" t="n">
        <v>25.88</v>
      </c>
      <c r="V112" s="67" t="n">
        <v>339.18</v>
      </c>
      <c r="W112" s="67" t="n">
        <v>136.76</v>
      </c>
      <c r="X112" s="67"/>
      <c r="Y112" s="67" t="n">
        <v>52.5</v>
      </c>
      <c r="Z112" s="67" t="n">
        <v>298.53</v>
      </c>
      <c r="AA112" s="67" t="n">
        <v>119.94</v>
      </c>
      <c r="AB112" s="67" t="n">
        <v>283.73</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37.58</v>
      </c>
      <c r="U113" s="67" t="n">
        <v>26.11</v>
      </c>
      <c r="V113" s="67" t="n">
        <v>344.62</v>
      </c>
      <c r="W113" s="67" t="n">
        <v>138.24</v>
      </c>
      <c r="X113" s="67"/>
      <c r="Y113" s="67" t="n">
        <v>53.05</v>
      </c>
      <c r="Z113" s="67" t="n">
        <v>302.24</v>
      </c>
      <c r="AA113" s="67" t="n">
        <v>109.47</v>
      </c>
      <c r="AB113" s="67" t="n">
        <v>293.02</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37.34</v>
      </c>
      <c r="U114" s="67" t="n">
        <v>25.84</v>
      </c>
      <c r="V114" s="67" t="n">
        <v>338.04</v>
      </c>
      <c r="W114" s="67" t="n">
        <v>137.22</v>
      </c>
      <c r="X114" s="67"/>
      <c r="Y114" s="67" t="n">
        <v>52.52</v>
      </c>
      <c r="Z114" s="67" t="n">
        <v>307.3</v>
      </c>
      <c r="AA114" s="67" t="n">
        <v>111.89</v>
      </c>
      <c r="AB114" s="67" t="n">
        <v>291.2</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37.42</v>
      </c>
      <c r="U115" s="67" t="n">
        <v>25.81</v>
      </c>
      <c r="V115" s="67" t="n">
        <v>333.35</v>
      </c>
      <c r="W115" s="67" t="n">
        <v>136.92</v>
      </c>
      <c r="X115" s="67"/>
      <c r="Y115" s="67" t="n">
        <v>52.44</v>
      </c>
      <c r="Z115" s="67" t="n">
        <v>305.63</v>
      </c>
      <c r="AA115" s="67" t="n">
        <v>110.37</v>
      </c>
      <c r="AB115" s="67" t="n">
        <v>294.86</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37.84</v>
      </c>
      <c r="U116" s="67" t="n">
        <v>26.32</v>
      </c>
      <c r="V116" s="67" t="n">
        <v>328.05</v>
      </c>
      <c r="W116" s="67" t="n">
        <v>137.64</v>
      </c>
      <c r="X116" s="67"/>
      <c r="Y116" s="67" t="n">
        <v>52.71</v>
      </c>
      <c r="Z116" s="67" t="n">
        <v>303.19</v>
      </c>
      <c r="AA116" s="67" t="n">
        <v>111.22</v>
      </c>
      <c r="AB116" s="67" t="n">
        <v>293.36</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37.08</v>
      </c>
      <c r="U117" s="67" t="n">
        <v>26.18</v>
      </c>
      <c r="V117" s="67" t="n">
        <v>326.02</v>
      </c>
      <c r="W117" s="67" t="n">
        <v>136.75</v>
      </c>
      <c r="X117" s="67"/>
      <c r="Y117" s="67" t="n">
        <v>52.57</v>
      </c>
      <c r="Z117" s="67" t="n">
        <v>285.9</v>
      </c>
      <c r="AA117" s="67" t="n">
        <v>104.31</v>
      </c>
      <c r="AB117" s="67" t="n">
        <v>244.06</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38.35</v>
      </c>
      <c r="U118" s="67" t="n">
        <v>26.66</v>
      </c>
      <c r="V118" s="67" t="n">
        <v>332.44</v>
      </c>
      <c r="W118" s="67" t="n">
        <v>141.96</v>
      </c>
      <c r="X118" s="67"/>
      <c r="Y118" s="67" t="n">
        <v>53.8</v>
      </c>
      <c r="Z118" s="67" t="n">
        <v>296.85</v>
      </c>
      <c r="AA118" s="67" t="n">
        <v>107.58</v>
      </c>
      <c r="AB118" s="67" t="n">
        <v>240.29</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38.94</v>
      </c>
      <c r="U119" s="67" t="n">
        <v>26.77</v>
      </c>
      <c r="V119" s="67" t="n">
        <v>329.26</v>
      </c>
      <c r="W119" s="67" t="n">
        <v>141.74</v>
      </c>
      <c r="X119" s="67"/>
      <c r="Y119" s="67" t="n">
        <v>53.7</v>
      </c>
      <c r="Z119" s="67" t="n">
        <v>282.42</v>
      </c>
      <c r="AA119" s="67" t="n">
        <v>100.24</v>
      </c>
      <c r="AB119" s="67" t="n">
        <v>242</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39.37</v>
      </c>
      <c r="U120" s="67" t="n">
        <v>27.02</v>
      </c>
      <c r="V120" s="67" t="n">
        <v>345.75</v>
      </c>
      <c r="W120" s="67" t="n">
        <v>142.52</v>
      </c>
      <c r="X120" s="67"/>
      <c r="Y120" s="67" t="n">
        <v>53.98</v>
      </c>
      <c r="Z120" s="67" t="n">
        <v>298.21</v>
      </c>
      <c r="AA120" s="67" t="n">
        <v>95.19</v>
      </c>
      <c r="AB120" s="67" t="n">
        <v>223.26</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v>
      </c>
      <c r="U121" s="67" t="n">
        <v>26.8</v>
      </c>
      <c r="V121" s="67" t="n">
        <v>347.17</v>
      </c>
      <c r="W121" s="67" t="n">
        <v>140.83</v>
      </c>
      <c r="X121" s="67" t="n">
        <v>44.15</v>
      </c>
      <c r="Y121" s="67" t="n">
        <v>53.8</v>
      </c>
      <c r="Z121" s="67" t="n">
        <v>305.57</v>
      </c>
      <c r="AA121" s="67" t="n">
        <v>94.39</v>
      </c>
      <c r="AB121" s="67" t="n">
        <v>221.86</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39.46</v>
      </c>
      <c r="U122" s="67" t="n">
        <v>26.98</v>
      </c>
      <c r="V122" s="67" t="n">
        <v>352.88</v>
      </c>
      <c r="W122" s="67" t="n">
        <v>142.56</v>
      </c>
      <c r="X122" s="67" t="n">
        <v>44.85</v>
      </c>
      <c r="Y122" s="67" t="n">
        <v>54.25</v>
      </c>
      <c r="Z122" s="67" t="n">
        <v>313.45</v>
      </c>
      <c r="AA122" s="67" t="n">
        <v>94.47</v>
      </c>
      <c r="AB122" s="67" t="n">
        <v>224.65</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39.09</v>
      </c>
      <c r="U123" s="67" t="n">
        <v>27.06</v>
      </c>
      <c r="V123" s="67" t="n">
        <v>344.41</v>
      </c>
      <c r="W123" s="67" t="n">
        <v>142.24</v>
      </c>
      <c r="X123" s="67" t="n">
        <v>45.31</v>
      </c>
      <c r="Y123" s="67" t="n">
        <v>53.99</v>
      </c>
      <c r="Z123" s="67" t="n">
        <v>319.4</v>
      </c>
      <c r="AA123" s="67" t="n">
        <v>90.99</v>
      </c>
      <c r="AB123" s="67" t="n">
        <v>219.49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40.09</v>
      </c>
      <c r="U124" s="67" t="n">
        <v>27.86</v>
      </c>
      <c r="V124" s="67" t="n">
        <v>347.68</v>
      </c>
      <c r="W124" s="67" t="n">
        <v>144.69</v>
      </c>
      <c r="X124" s="67" t="n">
        <v>44.4</v>
      </c>
      <c r="Y124" s="67" t="n">
        <v>54.87</v>
      </c>
      <c r="Z124" s="67" t="n">
        <v>320.24</v>
      </c>
      <c r="AA124" s="67" t="n">
        <v>89.46</v>
      </c>
      <c r="AB124" s="67" t="n">
        <v>240.12</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39.28</v>
      </c>
      <c r="U125" s="67" t="n">
        <v>28.21</v>
      </c>
      <c r="V125" s="67" t="n">
        <v>326.34</v>
      </c>
      <c r="W125" s="67" t="n">
        <v>146.28</v>
      </c>
      <c r="X125" s="67" t="n">
        <v>45.69</v>
      </c>
      <c r="Y125" s="67" t="n">
        <v>55.02</v>
      </c>
      <c r="Z125" s="67" t="n">
        <v>323.75</v>
      </c>
      <c r="AA125" s="67" t="n">
        <v>88</v>
      </c>
      <c r="AB125" s="67" t="n">
        <v>222.21</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39.53</v>
      </c>
      <c r="U126" s="67" t="n">
        <v>28.44</v>
      </c>
      <c r="V126" s="67" t="n">
        <v>324.23</v>
      </c>
      <c r="W126" s="67" t="n">
        <v>145.12</v>
      </c>
      <c r="X126" s="67" t="n">
        <v>46.75</v>
      </c>
      <c r="Y126" s="67" t="n">
        <v>54.99</v>
      </c>
      <c r="Z126" s="67" t="n">
        <v>292.63</v>
      </c>
      <c r="AA126" s="67" t="n">
        <v>86.12</v>
      </c>
      <c r="AB126" s="67" t="n">
        <v>222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39.14</v>
      </c>
      <c r="U127" s="67" t="n">
        <v>29.1</v>
      </c>
      <c r="V127" s="67" t="n">
        <v>319.91</v>
      </c>
      <c r="W127" s="67" t="n">
        <v>147.35</v>
      </c>
      <c r="X127" s="67" t="n">
        <v>47.61</v>
      </c>
      <c r="Y127" s="67" t="n">
        <v>55.16</v>
      </c>
      <c r="Z127" s="67" t="n">
        <v>305.5</v>
      </c>
      <c r="AA127" s="67" t="n">
        <v>83.49</v>
      </c>
      <c r="AB127" s="67" t="n">
        <v>203.92</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40.09</v>
      </c>
      <c r="U128" s="67" t="n">
        <v>30.71</v>
      </c>
      <c r="V128" s="67" t="n">
        <v>329.6</v>
      </c>
      <c r="W128" s="67" t="n">
        <v>152.76</v>
      </c>
      <c r="X128" s="67" t="n">
        <v>48.53</v>
      </c>
      <c r="Y128" s="67" t="n">
        <v>56.01</v>
      </c>
      <c r="Z128" s="67" t="n">
        <v>319.65</v>
      </c>
      <c r="AA128" s="67" t="n">
        <v>82.2</v>
      </c>
      <c r="AB128" s="67" t="n">
        <v>183.65</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39.92</v>
      </c>
      <c r="U129" s="67" t="n">
        <v>30.85</v>
      </c>
      <c r="V129" s="67" t="n">
        <v>312.85</v>
      </c>
      <c r="W129" s="67" t="n">
        <v>152.66</v>
      </c>
      <c r="X129" s="67" t="n">
        <v>50.42</v>
      </c>
      <c r="Y129" s="67" t="n">
        <v>56.19</v>
      </c>
      <c r="Z129" s="67" t="n">
        <v>314.08</v>
      </c>
      <c r="AA129" s="67" t="n">
        <v>76.87</v>
      </c>
      <c r="AB129" s="67" t="n">
        <v>174.11</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v>
      </c>
      <c r="U130" s="67" t="n">
        <v>30.85</v>
      </c>
      <c r="V130" s="67" t="n">
        <v>319.69</v>
      </c>
      <c r="W130" s="67" t="n">
        <v>152.85</v>
      </c>
      <c r="X130" s="67" t="n">
        <v>50.57</v>
      </c>
      <c r="Y130" s="67" t="n">
        <v>56.37</v>
      </c>
      <c r="Z130" s="67" t="n">
        <v>341.77</v>
      </c>
      <c r="AA130" s="67" t="n">
        <v>78.67</v>
      </c>
      <c r="AB130" s="67" t="n">
        <v>180.31</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40.14</v>
      </c>
      <c r="U131" s="67" t="n">
        <v>31.01</v>
      </c>
      <c r="V131" s="67" t="n">
        <v>318.89</v>
      </c>
      <c r="W131" s="67" t="n">
        <v>152.35</v>
      </c>
      <c r="X131" s="67" t="n">
        <v>51.08</v>
      </c>
      <c r="Y131" s="67" t="n">
        <v>56.73</v>
      </c>
      <c r="Z131" s="67" t="n">
        <v>340.82</v>
      </c>
      <c r="AA131" s="67" t="n">
        <v>96.24</v>
      </c>
      <c r="AB131" s="67" t="n">
        <v>182.01</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39.78</v>
      </c>
      <c r="U132" s="67" t="n">
        <v>30.38</v>
      </c>
      <c r="V132" s="67" t="n">
        <v>316.12</v>
      </c>
      <c r="W132" s="67" t="n">
        <v>148.11</v>
      </c>
      <c r="X132" s="67" t="n">
        <v>51.59</v>
      </c>
      <c r="Y132" s="67" t="n">
        <v>55.36</v>
      </c>
      <c r="Z132" s="67" t="n">
        <v>321.75</v>
      </c>
      <c r="AA132" s="67" t="n">
        <v>99.02</v>
      </c>
      <c r="AB132" s="67" t="n">
        <v>195.49</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38.92</v>
      </c>
      <c r="U133" s="67" t="n">
        <v>30.06</v>
      </c>
      <c r="V133" s="67" t="n">
        <v>305.94</v>
      </c>
      <c r="W133" s="67" t="n">
        <v>145.84</v>
      </c>
      <c r="X133" s="67" t="n">
        <v>51.37</v>
      </c>
      <c r="Y133" s="67" t="n">
        <v>54.41</v>
      </c>
      <c r="Z133" s="67" t="n">
        <v>298.86</v>
      </c>
      <c r="AA133" s="67" t="n">
        <v>95.31</v>
      </c>
      <c r="AB133" s="67" t="n">
        <v>178.88</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38.96</v>
      </c>
      <c r="U134" s="67" t="n">
        <v>29.66</v>
      </c>
      <c r="V134" s="67" t="n">
        <v>300.44</v>
      </c>
      <c r="W134" s="67" t="n">
        <v>143.48</v>
      </c>
      <c r="X134" s="67" t="n">
        <v>51.9</v>
      </c>
      <c r="Y134" s="67" t="n">
        <v>53.46</v>
      </c>
      <c r="Z134" s="67" t="n">
        <v>286</v>
      </c>
      <c r="AA134" s="67" t="n">
        <v>91.82</v>
      </c>
      <c r="AB134" s="67" t="n">
        <v>184.07</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38.47</v>
      </c>
      <c r="U135" s="67" t="n">
        <v>29.96</v>
      </c>
      <c r="V135" s="67" t="n">
        <v>294.36</v>
      </c>
      <c r="W135" s="67" t="n">
        <v>144</v>
      </c>
      <c r="X135" s="67" t="n">
        <v>53.27</v>
      </c>
      <c r="Y135" s="67" t="n">
        <v>52.94</v>
      </c>
      <c r="Z135" s="67" t="n">
        <v>282.03</v>
      </c>
      <c r="AA135" s="67" t="n">
        <v>93.43</v>
      </c>
      <c r="AB135" s="67" t="n">
        <v>172.59</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39.56</v>
      </c>
      <c r="U136" s="67" t="n">
        <v>30.08</v>
      </c>
      <c r="V136" s="67" t="n">
        <v>299.62</v>
      </c>
      <c r="W136" s="67" t="n">
        <v>146.38</v>
      </c>
      <c r="X136" s="67" t="n">
        <v>52.29</v>
      </c>
      <c r="Y136" s="67" t="n">
        <v>54.2</v>
      </c>
      <c r="Z136" s="67" t="n">
        <v>280.38</v>
      </c>
      <c r="AA136" s="67" t="n">
        <v>98.66</v>
      </c>
      <c r="AB136" s="67" t="n">
        <v>173.98</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39.39</v>
      </c>
      <c r="U137" s="67" t="n">
        <v>30.08</v>
      </c>
      <c r="V137" s="67" t="n">
        <v>303.17</v>
      </c>
      <c r="W137" s="67" t="n">
        <v>150.29</v>
      </c>
      <c r="X137" s="67" t="n">
        <v>52.23</v>
      </c>
      <c r="Y137" s="67" t="n">
        <v>55.25</v>
      </c>
      <c r="Z137" s="67" t="n">
        <v>307.5</v>
      </c>
      <c r="AA137" s="67" t="n">
        <v>103.01</v>
      </c>
      <c r="AB137" s="67" t="n">
        <v>151.43</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v>
      </c>
      <c r="U138" s="67" t="n">
        <v>30.56</v>
      </c>
      <c r="V138" s="67" t="n">
        <v>315.78</v>
      </c>
      <c r="W138" s="67" t="n">
        <v>153.3</v>
      </c>
      <c r="X138" s="67" t="n">
        <v>50.92</v>
      </c>
      <c r="Y138" s="67" t="n">
        <v>55.49</v>
      </c>
      <c r="Z138" s="67" t="n">
        <v>303.29</v>
      </c>
      <c r="AA138" s="67" t="n">
        <v>97.31</v>
      </c>
      <c r="AB138" s="67" t="n">
        <v>167.95</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41.26</v>
      </c>
      <c r="U139" s="67" t="n">
        <v>30.71</v>
      </c>
      <c r="V139" s="67" t="n">
        <v>308.21</v>
      </c>
      <c r="W139" s="67" t="n">
        <v>153.14</v>
      </c>
      <c r="X139" s="67" t="n">
        <v>51.6</v>
      </c>
      <c r="Y139" s="67" t="n">
        <v>55.04</v>
      </c>
      <c r="Z139" s="67" t="n">
        <v>283.81</v>
      </c>
      <c r="AA139" s="67" t="n">
        <v>92.44</v>
      </c>
      <c r="AB139" s="67" t="n">
        <v>161.13</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42.32</v>
      </c>
      <c r="U140" s="67" t="n">
        <v>31.36</v>
      </c>
      <c r="V140" s="67" t="n">
        <v>326.74</v>
      </c>
      <c r="W140" s="67" t="n">
        <v>154.69</v>
      </c>
      <c r="X140" s="67" t="n">
        <v>54.25</v>
      </c>
      <c r="Y140" s="67" t="n">
        <v>54.99</v>
      </c>
      <c r="Z140" s="67" t="n">
        <v>285.72</v>
      </c>
      <c r="AA140" s="67" t="n">
        <v>92.06</v>
      </c>
      <c r="AB140" s="67" t="n">
        <v>171.6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43.36</v>
      </c>
      <c r="U141" s="67" t="n">
        <v>31.12</v>
      </c>
      <c r="V141" s="67" t="n">
        <v>317.54</v>
      </c>
      <c r="W141" s="67" t="n">
        <v>153.65</v>
      </c>
      <c r="X141" s="67" t="n">
        <v>52.34</v>
      </c>
      <c r="Y141" s="67" t="n">
        <v>54.15</v>
      </c>
      <c r="Z141" s="67" t="n">
        <v>296.33</v>
      </c>
      <c r="AA141" s="67" t="n">
        <v>87.49</v>
      </c>
      <c r="AB141" s="67" t="n">
        <v>166.34</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42.25</v>
      </c>
      <c r="U142" s="67" t="n">
        <v>31.22</v>
      </c>
      <c r="V142" s="67" t="n">
        <v>325.15</v>
      </c>
      <c r="W142" s="67" t="n">
        <v>153.95</v>
      </c>
      <c r="X142" s="67" t="n">
        <v>54.5</v>
      </c>
      <c r="Y142" s="67" t="n">
        <v>54.09</v>
      </c>
      <c r="Z142" s="67" t="n">
        <v>280.75</v>
      </c>
      <c r="AA142" s="67" t="n">
        <v>87.02</v>
      </c>
      <c r="AB142" s="67" t="n">
        <v>158.86</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43.92</v>
      </c>
      <c r="U143" s="67" t="n">
        <v>32.31</v>
      </c>
      <c r="V143" s="67" t="n">
        <v>328.27</v>
      </c>
      <c r="W143" s="67" t="n">
        <v>156.85</v>
      </c>
      <c r="X143" s="67" t="n">
        <v>54.94</v>
      </c>
      <c r="Y143" s="67" t="n">
        <v>54.51</v>
      </c>
      <c r="Z143" s="67" t="n">
        <v>302</v>
      </c>
      <c r="AA143" s="67" t="n">
        <v>88.6</v>
      </c>
      <c r="AB143" s="67" t="n">
        <v>160.17</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46.29</v>
      </c>
      <c r="U144" s="67" t="n">
        <v>31.99</v>
      </c>
      <c r="V144" s="67" t="n">
        <v>325.75</v>
      </c>
      <c r="W144" s="67" t="n">
        <v>157.34</v>
      </c>
      <c r="X144" s="67" t="n">
        <v>51.99</v>
      </c>
      <c r="Y144" s="67" t="n">
        <v>54.23</v>
      </c>
      <c r="Z144" s="67" t="n">
        <v>322.87</v>
      </c>
      <c r="AA144" s="67" t="n">
        <v>86.02</v>
      </c>
      <c r="AB144" s="67" t="n">
        <v>174.34</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45.77</v>
      </c>
      <c r="U145" s="67" t="n">
        <v>31.79</v>
      </c>
      <c r="V145" s="67" t="n">
        <v>322.97</v>
      </c>
      <c r="W145" s="67" t="n">
        <v>156.4</v>
      </c>
      <c r="X145" s="67" t="n">
        <v>53.21</v>
      </c>
      <c r="Y145" s="67" t="n">
        <v>54.1</v>
      </c>
      <c r="Z145" s="67" t="n">
        <v>327.09</v>
      </c>
      <c r="AA145" s="67" t="n">
        <v>82.18</v>
      </c>
      <c r="AB145" s="67" t="n">
        <v>172.61</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46.06</v>
      </c>
      <c r="U146" s="67" t="n">
        <v>32.3</v>
      </c>
      <c r="V146" s="67" t="n">
        <v>321.79</v>
      </c>
      <c r="W146" s="67" t="n">
        <v>158.46</v>
      </c>
      <c r="X146" s="67" t="n">
        <v>53.55</v>
      </c>
      <c r="Y146" s="67" t="n">
        <v>54.61</v>
      </c>
      <c r="Z146" s="67" t="n">
        <v>334.37</v>
      </c>
      <c r="AA146" s="67" t="n">
        <v>80.34</v>
      </c>
      <c r="AB146" s="67" t="n">
        <v>159.54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45.02</v>
      </c>
      <c r="U147" s="67" t="n">
        <v>31.36</v>
      </c>
      <c r="V147" s="67" t="n">
        <v>326.63</v>
      </c>
      <c r="W147" s="67" t="n">
        <v>157.34</v>
      </c>
      <c r="X147" s="67" t="n">
        <v>52.37</v>
      </c>
      <c r="Y147" s="67" t="n">
        <v>54.67</v>
      </c>
      <c r="Z147" s="67" t="n">
        <v>356.65</v>
      </c>
      <c r="AA147" s="67" t="n">
        <v>77.38</v>
      </c>
      <c r="AB147" s="67" t="n">
        <v>153.3</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45.96</v>
      </c>
      <c r="U148" s="67" t="n">
        <v>31.84</v>
      </c>
      <c r="V148" s="67" t="n">
        <v>335.61</v>
      </c>
      <c r="W148" s="67" t="n">
        <v>157.35</v>
      </c>
      <c r="X148" s="67" t="n">
        <v>54.1</v>
      </c>
      <c r="Y148" s="67" t="n">
        <v>54.73</v>
      </c>
      <c r="Z148" s="67" t="n">
        <v>367.98</v>
      </c>
      <c r="AA148" s="67" t="n">
        <v>73.81</v>
      </c>
      <c r="AB148" s="67" t="n">
        <v>171.36</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46.77</v>
      </c>
      <c r="U149" s="67" t="n">
        <v>32.13</v>
      </c>
      <c r="V149" s="67" t="n">
        <v>361.46</v>
      </c>
      <c r="W149" s="67" t="n">
        <v>158.6</v>
      </c>
      <c r="X149" s="67" t="n">
        <v>53.12</v>
      </c>
      <c r="Y149" s="67" t="n">
        <v>55.64</v>
      </c>
      <c r="Z149" s="67" t="n">
        <v>376.48</v>
      </c>
      <c r="AA149" s="67" t="n">
        <v>77.65</v>
      </c>
      <c r="AB149" s="67" t="n">
        <v>192.74</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47.18</v>
      </c>
      <c r="U150" s="67" t="n">
        <v>32.14</v>
      </c>
      <c r="V150" s="67" t="n">
        <v>348.32</v>
      </c>
      <c r="W150" s="67" t="n">
        <v>160.17</v>
      </c>
      <c r="X150" s="67" t="n">
        <v>53.54</v>
      </c>
      <c r="Y150" s="67" t="n">
        <v>55.69</v>
      </c>
      <c r="Z150" s="67" t="n">
        <v>358.72</v>
      </c>
      <c r="AA150" s="67" t="n">
        <v>73.37</v>
      </c>
      <c r="AB150" s="67" t="n">
        <v>190.12</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47.59</v>
      </c>
      <c r="U151" s="67" t="n">
        <v>32.65</v>
      </c>
      <c r="V151" s="67" t="n">
        <v>357.9</v>
      </c>
      <c r="W151" s="67" t="n">
        <v>159.28</v>
      </c>
      <c r="X151" s="67" t="n">
        <v>54.28</v>
      </c>
      <c r="Y151" s="67" t="n">
        <v>55.49</v>
      </c>
      <c r="Z151" s="67" t="n">
        <v>348.3</v>
      </c>
      <c r="AA151" s="67" t="n">
        <v>68.95</v>
      </c>
      <c r="AB151" s="67" t="n">
        <v>195.38</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47.93</v>
      </c>
      <c r="U152" s="67" t="n">
        <v>33.03</v>
      </c>
      <c r="V152" s="67" t="n">
        <v>355.08</v>
      </c>
      <c r="W152" s="67" t="n">
        <v>161.33</v>
      </c>
      <c r="X152" s="67" t="n">
        <v>54.27</v>
      </c>
      <c r="Y152" s="67" t="n">
        <v>55.73</v>
      </c>
      <c r="Z152" s="67" t="n">
        <v>353.19</v>
      </c>
      <c r="AA152" s="67" t="n">
        <v>70.09</v>
      </c>
      <c r="AB152" s="67" t="n">
        <v>186.24</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49.52</v>
      </c>
      <c r="U153" s="67" t="n">
        <v>33.21</v>
      </c>
      <c r="V153" s="67" t="n">
        <v>365.45</v>
      </c>
      <c r="W153" s="67" t="n">
        <v>161.07</v>
      </c>
      <c r="X153" s="67" t="n">
        <v>53.09</v>
      </c>
      <c r="Y153" s="67" t="n">
        <v>56.35</v>
      </c>
      <c r="Z153" s="67" t="n">
        <v>359.52</v>
      </c>
      <c r="AA153" s="67" t="n">
        <v>71.71</v>
      </c>
      <c r="AB153" s="67" t="n">
        <v>203.78</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51.26</v>
      </c>
      <c r="U154" s="67" t="n">
        <v>33.63</v>
      </c>
      <c r="V154" s="67" t="n">
        <v>361.83</v>
      </c>
      <c r="W154" s="67" t="n">
        <v>164.72</v>
      </c>
      <c r="X154" s="67" t="n">
        <v>51.7</v>
      </c>
      <c r="Y154" s="67" t="n">
        <v>56.86</v>
      </c>
      <c r="Z154" s="67" t="n">
        <v>369.52</v>
      </c>
      <c r="AA154" s="67" t="n">
        <v>74.14</v>
      </c>
      <c r="AB154" s="67" t="n">
        <v>230.47</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53.51</v>
      </c>
      <c r="U155" s="67" t="n">
        <v>34.25</v>
      </c>
      <c r="V155" s="67" t="n">
        <v>364.15</v>
      </c>
      <c r="W155" s="67" t="n">
        <v>165.6</v>
      </c>
      <c r="X155" s="67" t="n">
        <v>53.75</v>
      </c>
      <c r="Y155" s="67" t="n">
        <v>57.3</v>
      </c>
      <c r="Z155" s="67" t="n">
        <v>367.82</v>
      </c>
      <c r="AA155" s="67" t="n">
        <v>78.16</v>
      </c>
      <c r="AB155" s="67" t="n">
        <v>243.75</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55.24</v>
      </c>
      <c r="U156" s="67" t="n">
        <v>34.83</v>
      </c>
      <c r="V156" s="67" t="n">
        <v>371.04</v>
      </c>
      <c r="W156" s="67" t="n">
        <v>164.06</v>
      </c>
      <c r="X156" s="67" t="n">
        <v>53.23</v>
      </c>
      <c r="Y156" s="67" t="n">
        <v>57.2</v>
      </c>
      <c r="Z156" s="67" t="n">
        <v>347.84</v>
      </c>
      <c r="AA156" s="67" t="n">
        <v>79.59</v>
      </c>
      <c r="AB156" s="67" t="n">
        <v>247.9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55.45</v>
      </c>
      <c r="U157" s="67" t="n">
        <v>34.62</v>
      </c>
      <c r="V157" s="67" t="n">
        <v>381.6</v>
      </c>
      <c r="W157" s="67" t="n">
        <v>163.34</v>
      </c>
      <c r="X157" s="67" t="n">
        <v>53.64</v>
      </c>
      <c r="Y157" s="67" t="n">
        <v>57.07</v>
      </c>
      <c r="Z157" s="67" t="n">
        <v>342.06</v>
      </c>
      <c r="AA157" s="67" t="n">
        <v>81.72</v>
      </c>
      <c r="AB157" s="67" t="n">
        <v>276.69</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55.08</v>
      </c>
      <c r="U158" s="67" t="n">
        <v>34.52</v>
      </c>
      <c r="V158" s="67" t="n">
        <v>375.07</v>
      </c>
      <c r="W158" s="67" t="n">
        <v>163.32</v>
      </c>
      <c r="X158" s="67" t="n">
        <v>53.99</v>
      </c>
      <c r="Y158" s="67" t="n">
        <v>56.87</v>
      </c>
      <c r="Z158" s="67" t="n">
        <v>336.61</v>
      </c>
      <c r="AA158" s="67" t="n">
        <v>78.25</v>
      </c>
      <c r="AB158" s="67" t="n">
        <v>275.09</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53.78</v>
      </c>
      <c r="U159" s="67" t="n">
        <v>33.85</v>
      </c>
      <c r="V159" s="67" t="n">
        <v>370.45</v>
      </c>
      <c r="W159" s="67" t="n">
        <v>162.02</v>
      </c>
      <c r="X159" s="67" t="n">
        <v>53.36</v>
      </c>
      <c r="Y159" s="67" t="n">
        <v>56.31</v>
      </c>
      <c r="Z159" s="67" t="n">
        <v>323.17</v>
      </c>
      <c r="AA159" s="67" t="n">
        <v>77.4</v>
      </c>
      <c r="AB159" s="67" t="n">
        <v>262.4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52.9</v>
      </c>
      <c r="U160" s="67" t="n">
        <v>33.41</v>
      </c>
      <c r="V160" s="67" t="n">
        <v>368.29</v>
      </c>
      <c r="W160" s="67" t="n">
        <v>159.26</v>
      </c>
      <c r="X160" s="67" t="n">
        <v>52.81</v>
      </c>
      <c r="Y160" s="67" t="n">
        <v>55.9</v>
      </c>
      <c r="Z160" s="67" t="n">
        <v>313.79</v>
      </c>
      <c r="AA160" s="67" t="n">
        <v>71.79</v>
      </c>
      <c r="AB160" s="67" t="n">
        <v>260.21</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51.51</v>
      </c>
      <c r="U161" s="67" t="n">
        <v>33.21</v>
      </c>
      <c r="V161" s="67" t="n">
        <v>367.38</v>
      </c>
      <c r="W161" s="67" t="n">
        <v>157.68</v>
      </c>
      <c r="X161" s="67" t="n">
        <v>51.1</v>
      </c>
      <c r="Y161" s="67" t="n">
        <v>56.42</v>
      </c>
      <c r="Z161" s="67" t="n">
        <v>326.59</v>
      </c>
      <c r="AA161" s="67" t="n">
        <v>71.15</v>
      </c>
      <c r="AB161" s="67" t="n">
        <v>280.68</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51.72</v>
      </c>
      <c r="U162" s="67" t="n">
        <v>32.72</v>
      </c>
      <c r="V162" s="67" t="n">
        <v>360.66</v>
      </c>
      <c r="W162" s="67" t="n">
        <v>156.46</v>
      </c>
      <c r="X162" s="67" t="n">
        <v>51.17</v>
      </c>
      <c r="Y162" s="67" t="n">
        <v>56.1</v>
      </c>
      <c r="Z162" s="67" t="n">
        <v>309.09</v>
      </c>
      <c r="AA162" s="67" t="n">
        <v>67.06</v>
      </c>
      <c r="AB162" s="67" t="n">
        <v>273.33</v>
      </c>
    </row>
    <row r="163" customFormat="false" ht="15" hidden="false" customHeight="true" outlineLevel="0" collapsed="false">
      <c r="A163" s="70" t="n">
        <v>46304</v>
      </c>
      <c r="B163" s="67" t="n">
        <v>242.27</v>
      </c>
      <c r="C163" s="67" t="n">
        <v>216.74</v>
      </c>
      <c r="D163" s="67" t="n">
        <v>1780.34</v>
      </c>
      <c r="E163" s="67" t="n">
        <v>361.54</v>
      </c>
      <c r="F163" s="67" t="n">
        <v>275.04</v>
      </c>
      <c r="G163" s="67" t="n">
        <v>195.57</v>
      </c>
      <c r="H163" s="67" t="n">
        <v>1029</v>
      </c>
      <c r="I163" s="67" t="n">
        <v>229.28</v>
      </c>
      <c r="J163" s="67" t="n">
        <v>129.49</v>
      </c>
      <c r="K163" s="67" t="n">
        <v>209.05</v>
      </c>
      <c r="L163" s="67" t="n">
        <v>453.31</v>
      </c>
      <c r="M163" s="67" t="n">
        <v>242.78</v>
      </c>
      <c r="N163" s="67" t="n">
        <v>510.08</v>
      </c>
      <c r="O163" s="67" t="n">
        <v>119.64</v>
      </c>
      <c r="P163" s="67" t="n">
        <v>154.36</v>
      </c>
      <c r="Q163" s="67" t="n">
        <v>69.97</v>
      </c>
      <c r="R163" s="67" t="n">
        <v>61.09</v>
      </c>
      <c r="S163" s="67" t="n">
        <v>151.16</v>
      </c>
      <c r="T163" s="67" t="n">
        <v>52.84</v>
      </c>
      <c r="U163" s="67" t="n">
        <v>33.04</v>
      </c>
      <c r="V163" s="67" t="n">
        <v>385.45</v>
      </c>
      <c r="W163" s="67" t="n">
        <v>158.75</v>
      </c>
      <c r="X163" s="67" t="n">
        <v>52.08</v>
      </c>
      <c r="Y163" s="67" t="n">
        <v>56.77</v>
      </c>
      <c r="Z163" s="67" t="n">
        <v>308.2</v>
      </c>
      <c r="AA163" s="67" t="n">
        <v>70.3</v>
      </c>
      <c r="AB163" s="67" t="n">
        <v>296.13</v>
      </c>
    </row>
    <row r="164" customFormat="false" ht="15" hidden="false" customHeight="true" outlineLevel="0" collapsed="false"/>
    <row r="165" customFormat="false" ht="15" hidden="false" customHeight="true" outlineLevel="0" collapsed="false"/>
    <row r="166" customFormat="false" ht="15" hidden="false" customHeight="true" outlineLevel="0" collapsed="false">
      <c r="A166" s="91" t="n">
        <f aca="false">COUNT(A3:A164)</f>
        <v>161</v>
      </c>
      <c r="B166" s="91" t="s">
        <v>295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296</v>
      </c>
      <c r="C1" s="92" t="s">
        <v>297</v>
      </c>
      <c r="D1" s="93" t="s">
        <v>298</v>
      </c>
      <c r="E1" s="93" t="s">
        <v>299</v>
      </c>
      <c r="F1" s="92" t="s">
        <v>300</v>
      </c>
      <c r="G1" s="92" t="s">
        <v>301</v>
      </c>
      <c r="H1" s="92" t="s">
        <v>302</v>
      </c>
      <c r="I1" s="92" t="s">
        <v>303</v>
      </c>
      <c r="J1" s="92" t="s">
        <v>304</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305</v>
      </c>
    </row>
    <row r="52" customFormat="false" ht="15" hidden="false" customHeight="true" outlineLevel="0" collapsed="false">
      <c r="A52" s="112" t="n">
        <f aca="false">SUBTOTAL(103,A2:A50)</f>
        <v>49</v>
      </c>
      <c r="B52" s="112" t="s">
        <v>306</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X34" activePane="bottomRight" state="frozen"/>
      <selection pane="topLeft" activeCell="A1" activeCellId="0" sqref="A1"/>
      <selection pane="topRight" activeCell="X1" activeCellId="0" sqref="X1"/>
      <selection pane="bottomLeft" activeCell="A34" activeCellId="0" sqref="A34"/>
      <selection pane="bottomRight" activeCell="C28" activeCellId="0" sqref="C28"/>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A1" s="113" t="s">
        <v>307</v>
      </c>
      <c r="D1" s="114" t="s">
        <v>308</v>
      </c>
      <c r="E1" s="114"/>
      <c r="F1" s="114"/>
      <c r="G1" s="114"/>
      <c r="H1" s="114"/>
      <c r="I1" s="114"/>
      <c r="J1" s="114"/>
      <c r="K1" s="114"/>
      <c r="L1" s="114"/>
      <c r="M1" s="114"/>
      <c r="N1" s="114"/>
      <c r="O1" s="114"/>
      <c r="P1" s="114" t="s">
        <v>309</v>
      </c>
      <c r="Q1" s="114"/>
      <c r="R1" s="114"/>
      <c r="S1" s="114"/>
      <c r="T1" s="114"/>
      <c r="U1" s="114"/>
      <c r="V1" s="114"/>
      <c r="W1" s="114"/>
      <c r="X1" s="114"/>
      <c r="Y1" s="115" t="s">
        <v>310</v>
      </c>
      <c r="Z1" s="115"/>
      <c r="AA1" s="115"/>
      <c r="AB1" s="115"/>
      <c r="AC1" s="115"/>
      <c r="AD1" s="115"/>
      <c r="AE1" s="115"/>
      <c r="AH1" s="116" t="s">
        <v>311</v>
      </c>
      <c r="AI1" s="116"/>
      <c r="AJ1" s="116"/>
      <c r="AK1" s="116"/>
      <c r="AL1" s="116" t="s">
        <v>312</v>
      </c>
      <c r="AM1" s="116"/>
      <c r="AN1" s="117" t="s">
        <v>313</v>
      </c>
      <c r="AO1" s="117"/>
      <c r="AP1" s="117"/>
      <c r="AQ1" s="117"/>
      <c r="AR1" s="117"/>
      <c r="AS1" s="117"/>
    </row>
    <row r="2" customFormat="false" ht="39.75" hidden="false" customHeight="true" outlineLevel="0" collapsed="false">
      <c r="A2" s="118" t="s">
        <v>82</v>
      </c>
      <c r="B2" s="119" t="s">
        <v>314</v>
      </c>
      <c r="C2" s="118" t="s">
        <v>315</v>
      </c>
      <c r="D2" s="118" t="s">
        <v>316</v>
      </c>
      <c r="E2" s="118" t="s">
        <v>317</v>
      </c>
      <c r="F2" s="118" t="s">
        <v>318</v>
      </c>
      <c r="G2" s="118" t="s">
        <v>317</v>
      </c>
      <c r="H2" s="118" t="s">
        <v>319</v>
      </c>
      <c r="I2" s="118" t="s">
        <v>317</v>
      </c>
      <c r="J2" s="118" t="s">
        <v>320</v>
      </c>
      <c r="K2" s="118" t="s">
        <v>317</v>
      </c>
      <c r="L2" s="118" t="s">
        <v>321</v>
      </c>
      <c r="M2" s="118" t="s">
        <v>322</v>
      </c>
      <c r="N2" s="118" t="s">
        <v>323</v>
      </c>
      <c r="O2" s="118" t="s">
        <v>324</v>
      </c>
      <c r="P2" s="118" t="s">
        <v>325</v>
      </c>
      <c r="Q2" s="118" t="s">
        <v>317</v>
      </c>
      <c r="R2" s="118" t="s">
        <v>326</v>
      </c>
      <c r="S2" s="118" t="s">
        <v>317</v>
      </c>
      <c r="T2" s="118" t="s">
        <v>327</v>
      </c>
      <c r="U2" s="118" t="s">
        <v>317</v>
      </c>
      <c r="V2" s="118" t="s">
        <v>328</v>
      </c>
      <c r="W2" s="118" t="s">
        <v>317</v>
      </c>
      <c r="X2" s="118" t="s">
        <v>329</v>
      </c>
      <c r="Y2" s="118" t="s">
        <v>330</v>
      </c>
      <c r="Z2" s="118" t="s">
        <v>317</v>
      </c>
      <c r="AA2" s="118" t="s">
        <v>331</v>
      </c>
      <c r="AB2" s="118" t="s">
        <v>317</v>
      </c>
      <c r="AC2" s="118" t="s">
        <v>332</v>
      </c>
      <c r="AD2" s="118" t="s">
        <v>317</v>
      </c>
      <c r="AE2" s="118" t="s">
        <v>333</v>
      </c>
      <c r="AF2" s="118" t="s">
        <v>334</v>
      </c>
      <c r="AG2" s="118" t="s">
        <v>300</v>
      </c>
      <c r="AH2" s="120" t="s">
        <v>335</v>
      </c>
      <c r="AI2" s="120" t="s">
        <v>336</v>
      </c>
      <c r="AJ2" s="120" t="s">
        <v>337</v>
      </c>
      <c r="AK2" s="120" t="s">
        <v>338</v>
      </c>
      <c r="AL2" s="116" t="s">
        <v>339</v>
      </c>
      <c r="AM2" s="93" t="s">
        <v>340</v>
      </c>
      <c r="AN2" s="121" t="s">
        <v>341</v>
      </c>
      <c r="AO2" s="121" t="s">
        <v>342</v>
      </c>
      <c r="AP2" s="121" t="s">
        <v>343</v>
      </c>
      <c r="AQ2" s="121" t="s">
        <v>344</v>
      </c>
      <c r="AR2" s="121" t="s">
        <v>345</v>
      </c>
      <c r="AS2" s="122" t="s">
        <v>346</v>
      </c>
    </row>
    <row r="3" customFormat="false" ht="15" hidden="false" customHeight="true" outlineLevel="0" collapsed="false">
      <c r="A3" s="63" t="s">
        <v>109</v>
      </c>
      <c r="B3" s="123" t="s">
        <v>110</v>
      </c>
      <c r="C3" s="124" t="n">
        <v>46278</v>
      </c>
      <c r="D3" s="125" t="n">
        <v>3</v>
      </c>
      <c r="E3" s="125" t="s">
        <v>347</v>
      </c>
      <c r="F3" s="125" t="n">
        <v>3</v>
      </c>
      <c r="G3" s="125" t="s">
        <v>347</v>
      </c>
      <c r="H3" s="125" t="n">
        <v>4</v>
      </c>
      <c r="I3" s="125" t="s">
        <v>348</v>
      </c>
      <c r="J3" s="125" t="n">
        <v>5</v>
      </c>
      <c r="K3" s="125" t="s">
        <v>348</v>
      </c>
      <c r="L3" s="125" t="n">
        <v>2</v>
      </c>
      <c r="M3" s="125" t="s">
        <v>347</v>
      </c>
      <c r="N3" s="126" t="n">
        <f aca="false">IF(COUNT(D3,F3,H3,J3,L3)=0,"",(D3*0.2+F3*0.15+H3*0.15+J3*0.1+L3*0.1)/(IF(D3&lt;&gt;"",0.2,0)+IF(F3&lt;&gt;"",0.15,0)+IF(H3&lt;&gt;"",0.15,0)+IF(J3&lt;&gt;"",0.1,0)+IF(L3&lt;&gt;"",0.1,0)))</f>
        <v>3.35714285714286</v>
      </c>
      <c r="O3" s="127" t="n">
        <f aca="false">IF(COUNT(D3,F3,H3,J3,L3)=0,"",D3*0.2+F3*0.15+H3*0.15+J3*0.1+L3*0.1)</f>
        <v>2.35</v>
      </c>
      <c r="P3" s="125" t="n">
        <v>4</v>
      </c>
      <c r="Q3" s="125" t="s">
        <v>347</v>
      </c>
      <c r="R3" s="125" t="n">
        <v>5</v>
      </c>
      <c r="S3" s="125" t="s">
        <v>347</v>
      </c>
      <c r="T3" s="125" t="n">
        <v>5</v>
      </c>
      <c r="U3" s="125" t="s">
        <v>348</v>
      </c>
      <c r="V3" s="125" t="n">
        <v>1</v>
      </c>
      <c r="W3" s="125" t="s">
        <v>348</v>
      </c>
      <c r="X3" s="127" t="n">
        <f aca="false">IF(COUNT(P3,R3,T3,V3)=0,"",P3*0.08+R3*0.06+T3*0.03+V3*0.08)</f>
        <v>0.85</v>
      </c>
      <c r="Y3" s="125" t="n">
        <v>5</v>
      </c>
      <c r="Z3" s="125" t="s">
        <v>348</v>
      </c>
      <c r="AA3" s="125" t="n">
        <v>3</v>
      </c>
      <c r="AB3" s="125" t="s">
        <v>347</v>
      </c>
      <c r="AC3" s="125" t="n">
        <v>3</v>
      </c>
      <c r="AD3" s="125" t="s">
        <v>349</v>
      </c>
      <c r="AE3" s="127"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8" t="s">
        <v>350</v>
      </c>
      <c r="AM3" s="129" t="s">
        <v>351</v>
      </c>
      <c r="AN3" s="130" t="n">
        <v>17525000000</v>
      </c>
      <c r="AO3" s="131" t="n">
        <v>8539000000</v>
      </c>
      <c r="AP3" s="125" t="str">
        <f aca="false">IF(OR(AN3="",AO3=""),"",IF(AN3&gt;AO3,"OK","LOW CONF"))</f>
        <v>OK</v>
      </c>
      <c r="AQ3" s="132" t="n">
        <v>9.159</v>
      </c>
      <c r="AR3" s="127" t="n">
        <v>115.76</v>
      </c>
      <c r="AS3" s="133" t="str">
        <f aca="false">IF(OR(AQ3="",AR3=""),"",IF(AQ3&lt;AR3,"Decreased",IF(AQ3&gt;AR3,"Increased","Flat")))</f>
        <v>Decreased</v>
      </c>
    </row>
    <row r="4" customFormat="false" ht="15" hidden="false" customHeight="true" outlineLevel="0" collapsed="false">
      <c r="A4" s="63" t="s">
        <v>172</v>
      </c>
      <c r="B4" s="123" t="s">
        <v>173</v>
      </c>
      <c r="C4" s="124" t="n">
        <v>46300</v>
      </c>
      <c r="D4" s="125" t="n">
        <v>3</v>
      </c>
      <c r="E4" s="125" t="s">
        <v>347</v>
      </c>
      <c r="F4" s="125" t="n">
        <v>4</v>
      </c>
      <c r="G4" s="125" t="s">
        <v>347</v>
      </c>
      <c r="H4" s="125" t="n">
        <v>5</v>
      </c>
      <c r="I4" s="125" t="s">
        <v>348</v>
      </c>
      <c r="J4" s="125" t="n">
        <v>4</v>
      </c>
      <c r="K4" s="125" t="s">
        <v>347</v>
      </c>
      <c r="L4" s="125" t="n">
        <v>2</v>
      </c>
      <c r="M4" s="125" t="s">
        <v>347</v>
      </c>
      <c r="N4" s="126" t="n">
        <f aca="false">IF(COUNT(D4,F4,H4,J4,L4)=0,"",(D4*0.2+F4*0.15+H4*0.15+J4*0.1+L4*0.1)/(IF(D4&lt;&gt;"",0.2,0)+IF(F4&lt;&gt;"",0.15,0)+IF(H4&lt;&gt;"",0.15,0)+IF(J4&lt;&gt;"",0.1,0)+IF(L4&lt;&gt;"",0.1,0)))</f>
        <v>3.64285714285714</v>
      </c>
      <c r="O4" s="127" t="n">
        <f aca="false">IF(COUNT(D4,F4,H4,J4,L4)=0,"",D4*0.2+F4*0.15+H4*0.15+J4*0.1+L4*0.1)</f>
        <v>2.55</v>
      </c>
      <c r="P4" s="125" t="n">
        <v>4</v>
      </c>
      <c r="Q4" s="125" t="s">
        <v>348</v>
      </c>
      <c r="R4" s="125" t="n">
        <v>4</v>
      </c>
      <c r="S4" s="125" t="s">
        <v>349</v>
      </c>
      <c r="T4" s="125" t="n">
        <v>4</v>
      </c>
      <c r="U4" s="125" t="s">
        <v>347</v>
      </c>
      <c r="V4" s="125" t="n">
        <v>4</v>
      </c>
      <c r="W4" s="125" t="s">
        <v>347</v>
      </c>
      <c r="X4" s="127" t="n">
        <f aca="false">IF(COUNT(P4,R4,T4,V4)=0,"",P4*0.08+R4*0.06+T4*0.03+V4*0.08)</f>
        <v>1</v>
      </c>
      <c r="Y4" s="125" t="n">
        <v>3</v>
      </c>
      <c r="Z4" s="125" t="s">
        <v>347</v>
      </c>
      <c r="AA4" s="125" t="n">
        <v>5</v>
      </c>
      <c r="AB4" s="125" t="s">
        <v>348</v>
      </c>
      <c r="AC4" s="125" t="n">
        <v>3</v>
      </c>
      <c r="AD4" s="125" t="s">
        <v>347</v>
      </c>
      <c r="AE4" s="127"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8" t="s">
        <v>350</v>
      </c>
      <c r="AM4" s="129" t="s">
        <v>351</v>
      </c>
      <c r="AN4" s="125"/>
      <c r="AO4" s="94"/>
      <c r="AP4" s="125" t="str">
        <f aca="false">IF(OR(AN4="",AO4=""),"",IF(AN4&gt;AO4,"OK","LOW CONF"))</f>
        <v/>
      </c>
      <c r="AQ4" s="125"/>
      <c r="AR4" s="94"/>
      <c r="AS4" s="133" t="str">
        <f aca="false">IF(OR(AQ4="",AR4=""),"",IF(AQ4&lt;AR4,"Decreased",IF(AQ4&gt;AR4,"Increased","Flat")))</f>
        <v/>
      </c>
    </row>
    <row r="5" customFormat="false" ht="15" hidden="false" customHeight="true" outlineLevel="0" collapsed="false">
      <c r="A5" s="63" t="s">
        <v>113</v>
      </c>
      <c r="B5" s="123" t="s">
        <v>114</v>
      </c>
      <c r="C5" s="124" t="n">
        <v>46278</v>
      </c>
      <c r="D5" s="125" t="n">
        <v>3</v>
      </c>
      <c r="E5" s="125" t="s">
        <v>347</v>
      </c>
      <c r="F5" s="125" t="n">
        <v>4</v>
      </c>
      <c r="G5" s="125" t="s">
        <v>347</v>
      </c>
      <c r="H5" s="125" t="n">
        <v>5</v>
      </c>
      <c r="I5" s="125" t="s">
        <v>347</v>
      </c>
      <c r="J5" s="125" t="n">
        <v>4</v>
      </c>
      <c r="K5" s="125" t="s">
        <v>347</v>
      </c>
      <c r="L5" s="125" t="n">
        <v>5</v>
      </c>
      <c r="M5" s="125" t="s">
        <v>347</v>
      </c>
      <c r="N5" s="126" t="n">
        <f aca="false">IF(COUNT(D5,F5,H5,J5,L5)=0,"",(D5*0.2+F5*0.15+H5*0.15+J5*0.1+L5*0.1)/(IF(D5&lt;&gt;"",0.2,0)+IF(F5&lt;&gt;"",0.15,0)+IF(H5&lt;&gt;"",0.15,0)+IF(J5&lt;&gt;"",0.1,0)+IF(L5&lt;&gt;"",0.1,0)))</f>
        <v>4.07142857142857</v>
      </c>
      <c r="O5" s="127" t="n">
        <f aca="false">IF(COUNT(D5,F5,H5,J5,L5)=0,"",D5*0.2+F5*0.15+H5*0.15+J5*0.1+L5*0.1)</f>
        <v>2.85</v>
      </c>
      <c r="P5" s="125" t="n">
        <v>3</v>
      </c>
      <c r="Q5" s="125" t="s">
        <v>347</v>
      </c>
      <c r="R5" s="125" t="n">
        <v>5</v>
      </c>
      <c r="S5" s="125" t="s">
        <v>348</v>
      </c>
      <c r="T5" s="125" t="n">
        <v>3</v>
      </c>
      <c r="U5" s="125" t="s">
        <v>347</v>
      </c>
      <c r="V5" s="125" t="n">
        <v>2</v>
      </c>
      <c r="W5" s="125" t="s">
        <v>347</v>
      </c>
      <c r="X5" s="127" t="n">
        <f aca="false">IF(COUNT(P5,R5,T5,V5)=0,"",P5*0.08+R5*0.06+T5*0.03+V5*0.08)</f>
        <v>0.79</v>
      </c>
      <c r="Y5" s="125" t="n">
        <v>3</v>
      </c>
      <c r="Z5" s="125" t="s">
        <v>349</v>
      </c>
      <c r="AA5" s="125" t="n">
        <v>4</v>
      </c>
      <c r="AB5" s="125" t="s">
        <v>347</v>
      </c>
      <c r="AC5" s="125" t="n">
        <v>3</v>
      </c>
      <c r="AD5" s="125" t="s">
        <v>349</v>
      </c>
      <c r="AE5" s="127"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8" t="s">
        <v>350</v>
      </c>
      <c r="AM5" s="129" t="s">
        <v>352</v>
      </c>
      <c r="AN5" s="125"/>
      <c r="AO5" s="94"/>
      <c r="AP5" s="125" t="str">
        <f aca="false">IF(OR(AN5="",AO5=""),"",IF(AN5&gt;AO5,"OK","LOW CONF"))</f>
        <v/>
      </c>
      <c r="AQ5" s="125"/>
      <c r="AR5" s="94"/>
      <c r="AS5" s="133" t="str">
        <f aca="false">IF(OR(AQ5="",AR5=""),"",IF(AQ5&lt;AR5,"Decreased",IF(AQ5&gt;AR5,"Increased","Flat")))</f>
        <v/>
      </c>
    </row>
    <row r="6" customFormat="false" ht="15" hidden="false" customHeight="true" outlineLevel="0" collapsed="false">
      <c r="A6" s="63" t="s">
        <v>111</v>
      </c>
      <c r="B6" s="123" t="s">
        <v>112</v>
      </c>
      <c r="C6" s="124" t="n">
        <v>46278</v>
      </c>
      <c r="D6" s="125" t="n">
        <v>3</v>
      </c>
      <c r="E6" s="125" t="s">
        <v>347</v>
      </c>
      <c r="F6" s="125" t="n">
        <v>5</v>
      </c>
      <c r="G6" s="125" t="s">
        <v>347</v>
      </c>
      <c r="H6" s="125" t="n">
        <v>5</v>
      </c>
      <c r="I6" s="125" t="s">
        <v>348</v>
      </c>
      <c r="J6" s="125" t="n">
        <v>4</v>
      </c>
      <c r="K6" s="125" t="s">
        <v>348</v>
      </c>
      <c r="L6" s="125" t="n">
        <v>5</v>
      </c>
      <c r="M6" s="125" t="s">
        <v>347</v>
      </c>
      <c r="N6" s="126" t="n">
        <f aca="false">IF(COUNT(D6,F6,H6,J6,L6)=0,"",(D6*0.2+F6*0.15+H6*0.15+J6*0.1+L6*0.1)/(IF(D6&lt;&gt;"",0.2,0)+IF(F6&lt;&gt;"",0.15,0)+IF(H6&lt;&gt;"",0.15,0)+IF(J6&lt;&gt;"",0.1,0)+IF(L6&lt;&gt;"",0.1,0)))</f>
        <v>4.28571428571429</v>
      </c>
      <c r="O6" s="127" t="n">
        <f aca="false">IF(COUNT(D6,F6,H6,J6,L6)=0,"",D6*0.2+F6*0.15+H6*0.15+J6*0.1+L6*0.1)</f>
        <v>3</v>
      </c>
      <c r="P6" s="125" t="n">
        <v>5</v>
      </c>
      <c r="Q6" s="125" t="s">
        <v>348</v>
      </c>
      <c r="R6" s="125" t="n">
        <v>5</v>
      </c>
      <c r="S6" s="125" t="s">
        <v>348</v>
      </c>
      <c r="T6" s="125" t="n">
        <v>5</v>
      </c>
      <c r="U6" s="125" t="s">
        <v>348</v>
      </c>
      <c r="V6" s="125" t="n">
        <v>5</v>
      </c>
      <c r="W6" s="125" t="s">
        <v>347</v>
      </c>
      <c r="X6" s="127" t="n">
        <f aca="false">IF(COUNT(P6,R6,T6,V6)=0,"",P6*0.08+R6*0.06+T6*0.03+V6*0.08)</f>
        <v>1.25</v>
      </c>
      <c r="Y6" s="125" t="n">
        <v>4</v>
      </c>
      <c r="Z6" s="125" t="s">
        <v>347</v>
      </c>
      <c r="AA6" s="125" t="n">
        <v>5</v>
      </c>
      <c r="AB6" s="125" t="s">
        <v>347</v>
      </c>
      <c r="AC6" s="125" t="n">
        <v>3</v>
      </c>
      <c r="AD6" s="125" t="s">
        <v>349</v>
      </c>
      <c r="AE6" s="127"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8" t="s">
        <v>350</v>
      </c>
      <c r="AM6" s="129" t="s">
        <v>351</v>
      </c>
      <c r="AN6" s="125"/>
      <c r="AO6" s="94"/>
      <c r="AP6" s="125" t="str">
        <f aca="false">IF(OR(AN6="",AO6=""),"",IF(AN6&gt;AO6,"OK","LOW CONF"))</f>
        <v/>
      </c>
      <c r="AQ6" s="125"/>
      <c r="AR6" s="94"/>
      <c r="AS6" s="133" t="str">
        <f aca="false">IF(OR(AQ6="",AR6=""),"",IF(AQ6&lt;AR6,"Decreased",IF(AQ6&gt;AR6,"Increased","Flat")))</f>
        <v/>
      </c>
    </row>
    <row r="7" customFormat="false" ht="15" hidden="false" customHeight="true" outlineLevel="0" collapsed="false">
      <c r="A7" s="63" t="s">
        <v>174</v>
      </c>
      <c r="B7" s="123" t="s">
        <v>175</v>
      </c>
      <c r="C7" s="124" t="n">
        <v>46300</v>
      </c>
      <c r="D7" s="125" t="n">
        <v>3</v>
      </c>
      <c r="E7" s="125" t="s">
        <v>347</v>
      </c>
      <c r="F7" s="125" t="n">
        <v>4</v>
      </c>
      <c r="G7" s="125" t="s">
        <v>347</v>
      </c>
      <c r="H7" s="125" t="n">
        <v>4</v>
      </c>
      <c r="I7" s="125" t="s">
        <v>347</v>
      </c>
      <c r="J7" s="125" t="n">
        <v>4</v>
      </c>
      <c r="K7" s="125" t="s">
        <v>347</v>
      </c>
      <c r="L7" s="125" t="n">
        <v>2</v>
      </c>
      <c r="M7" s="125" t="s">
        <v>347</v>
      </c>
      <c r="N7" s="126" t="n">
        <f aca="false">IF(COUNT(D7,F7,H7,J7,L7)=0,"",(D7*0.2+F7*0.15+H7*0.15+J7*0.1+L7*0.1)/(IF(D7&lt;&gt;"",0.2,0)+IF(F7&lt;&gt;"",0.15,0)+IF(H7&lt;&gt;"",0.15,0)+IF(J7&lt;&gt;"",0.1,0)+IF(L7&lt;&gt;"",0.1,0)))</f>
        <v>3.42857142857143</v>
      </c>
      <c r="O7" s="127" t="n">
        <f aca="false">IF(COUNT(D7,F7,H7,J7,L7)=0,"",D7*0.2+F7*0.15+H7*0.15+J7*0.1+L7*0.1)</f>
        <v>2.4</v>
      </c>
      <c r="P7" s="125" t="n">
        <v>3</v>
      </c>
      <c r="Q7" s="125" t="s">
        <v>347</v>
      </c>
      <c r="R7" s="125" t="n">
        <v>4</v>
      </c>
      <c r="S7" s="125" t="s">
        <v>347</v>
      </c>
      <c r="T7" s="125" t="n">
        <v>4</v>
      </c>
      <c r="U7" s="125" t="s">
        <v>347</v>
      </c>
      <c r="V7" s="125" t="n">
        <v>4</v>
      </c>
      <c r="W7" s="125" t="s">
        <v>347</v>
      </c>
      <c r="X7" s="127" t="n">
        <f aca="false">IF(COUNT(P7,R7,T7,V7)=0,"",P7*0.08+R7*0.06+T7*0.03+V7*0.08)</f>
        <v>0.92</v>
      </c>
      <c r="Y7" s="125" t="n">
        <v>4</v>
      </c>
      <c r="Z7" s="125" t="s">
        <v>347</v>
      </c>
      <c r="AA7" s="125" t="n">
        <v>5</v>
      </c>
      <c r="AB7" s="125" t="s">
        <v>348</v>
      </c>
      <c r="AC7" s="125" t="n">
        <v>3</v>
      </c>
      <c r="AD7" s="125" t="s">
        <v>349</v>
      </c>
      <c r="AE7" s="127"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8" t="s">
        <v>353</v>
      </c>
      <c r="AM7" s="129" t="s">
        <v>354</v>
      </c>
      <c r="AN7" s="130" t="n">
        <v>3631400000</v>
      </c>
      <c r="AO7" s="131" t="n">
        <v>3953200000</v>
      </c>
      <c r="AP7" s="125" t="str">
        <f aca="false">IF(OR(AN7="",AO7=""),"",IF(AN7&gt;AO7,"OK","LOW CONF"))</f>
        <v>LOW CONF</v>
      </c>
      <c r="AQ7" s="132" t="n">
        <v>0.636</v>
      </c>
      <c r="AR7" s="127" t="n">
        <v>-1.784</v>
      </c>
      <c r="AS7" s="133" t="str">
        <f aca="false">IF(OR(AQ7="",AR7=""),"",IF(AQ7&lt;AR7,"Decreased",IF(AQ7&gt;AR7,"Increased","Flat")))</f>
        <v>Increased</v>
      </c>
    </row>
    <row r="8" customFormat="false" ht="15" hidden="false" customHeight="true" outlineLevel="0" collapsed="false">
      <c r="A8" s="63" t="s">
        <v>177</v>
      </c>
      <c r="B8" s="123" t="s">
        <v>355</v>
      </c>
      <c r="C8" s="124" t="n">
        <v>46295</v>
      </c>
      <c r="D8" s="125" t="n">
        <v>4</v>
      </c>
      <c r="E8" s="125" t="s">
        <v>347</v>
      </c>
      <c r="F8" s="125" t="n">
        <v>2</v>
      </c>
      <c r="G8" s="125" t="s">
        <v>349</v>
      </c>
      <c r="H8" s="125" t="n">
        <v>5</v>
      </c>
      <c r="I8" s="125" t="s">
        <v>348</v>
      </c>
      <c r="J8" s="125" t="n">
        <v>4</v>
      </c>
      <c r="K8" s="125" t="s">
        <v>347</v>
      </c>
      <c r="L8" s="125" t="n">
        <v>5</v>
      </c>
      <c r="M8" s="125" t="s">
        <v>348</v>
      </c>
      <c r="N8" s="126" t="n">
        <f aca="false">IF(COUNT(D8,F8,H8,J8,L8)=0,"",(D8*0.2+F8*0.15+H8*0.15+J8*0.1+L8*0.1)/(IF(D8&lt;&gt;"",0.2,0)+IF(F8&lt;&gt;"",0.15,0)+IF(H8&lt;&gt;"",0.15,0)+IF(J8&lt;&gt;"",0.1,0)+IF(L8&lt;&gt;"",0.1,0)))</f>
        <v>3.92857142857143</v>
      </c>
      <c r="O8" s="127" t="n">
        <f aca="false">IF(COUNT(D8,F8,H8,J8,L8)=0,"",D8*0.2+F8*0.15+H8*0.15+J8*0.1+L8*0.1)</f>
        <v>2.75</v>
      </c>
      <c r="P8" s="125" t="n">
        <v>5</v>
      </c>
      <c r="Q8" s="125" t="s">
        <v>348</v>
      </c>
      <c r="R8" s="125" t="n">
        <v>3</v>
      </c>
      <c r="S8" s="125" t="s">
        <v>349</v>
      </c>
      <c r="T8" s="125" t="n">
        <v>4</v>
      </c>
      <c r="U8" s="125" t="s">
        <v>349</v>
      </c>
      <c r="V8" s="125" t="n">
        <v>2</v>
      </c>
      <c r="W8" s="125" t="s">
        <v>348</v>
      </c>
      <c r="X8" s="127" t="n">
        <f aca="false">IF(COUNT(P8,R8,T8,V8)=0,"",P8*0.08+R8*0.06+T8*0.03+V8*0.08)</f>
        <v>0.86</v>
      </c>
      <c r="Y8" s="125" t="n">
        <v>4</v>
      </c>
      <c r="Z8" s="125" t="s">
        <v>349</v>
      </c>
      <c r="AA8" s="125" t="n">
        <v>4</v>
      </c>
      <c r="AB8" s="125" t="s">
        <v>347</v>
      </c>
      <c r="AC8" s="125" t="n">
        <v>3</v>
      </c>
      <c r="AD8" s="125" t="s">
        <v>349</v>
      </c>
      <c r="AE8" s="127"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8" t="s">
        <v>356</v>
      </c>
      <c r="AM8" s="129" t="s">
        <v>357</v>
      </c>
      <c r="AN8" s="125"/>
      <c r="AO8" s="94"/>
      <c r="AP8" s="125" t="str">
        <f aca="false">IF(OR(AN8="",AO8=""),"",IF(AN8&gt;AO8,"OK","LOW CONF"))</f>
        <v/>
      </c>
      <c r="AQ8" s="125"/>
      <c r="AR8" s="94"/>
      <c r="AS8" s="133" t="str">
        <f aca="false">IF(OR(AQ8="",AR8=""),"",IF(AQ8&lt;AR8,"Decreased",IF(AQ8&gt;AR8,"Increased","Flat")))</f>
        <v/>
      </c>
    </row>
    <row r="9" customFormat="false" ht="15" hidden="false" customHeight="true" outlineLevel="1" collapsed="false">
      <c r="A9" s="63" t="s">
        <v>180</v>
      </c>
      <c r="B9" s="123" t="s">
        <v>181</v>
      </c>
      <c r="C9" s="124" t="n">
        <v>46240</v>
      </c>
      <c r="D9" s="125" t="n">
        <v>2</v>
      </c>
      <c r="E9" s="125" t="s">
        <v>347</v>
      </c>
      <c r="F9" s="125" t="n">
        <v>2</v>
      </c>
      <c r="G9" s="125" t="s">
        <v>347</v>
      </c>
      <c r="H9" s="125" t="n">
        <v>2</v>
      </c>
      <c r="I9" s="125" t="s">
        <v>347</v>
      </c>
      <c r="J9" s="125" t="n">
        <v>2</v>
      </c>
      <c r="K9" s="125" t="s">
        <v>347</v>
      </c>
      <c r="L9" s="125" t="n">
        <v>1</v>
      </c>
      <c r="M9" s="125" t="s">
        <v>348</v>
      </c>
      <c r="N9" s="126" t="n">
        <f aca="false">IF(COUNT(D9,F9,H9,J9,L9)=0,"",(D9*0.2+F9*0.15+H9*0.15+J9*0.1+L9*0.1)/(IF(D9&lt;&gt;"",0.2,0)+IF(F9&lt;&gt;"",0.15,0)+IF(H9&lt;&gt;"",0.15,0)+IF(J9&lt;&gt;"",0.1,0)+IF(L9&lt;&gt;"",0.1,0)))</f>
        <v>1.85714285714286</v>
      </c>
      <c r="O9" s="127" t="n">
        <f aca="false">IF(COUNT(D9,F9,H9,J9,L9)=0,"",D9*0.2+F9*0.15+H9*0.15+J9*0.1+L9*0.1)</f>
        <v>1.3</v>
      </c>
      <c r="P9" s="125"/>
      <c r="Q9" s="125"/>
      <c r="R9" s="125"/>
      <c r="S9" s="125"/>
      <c r="T9" s="125"/>
      <c r="U9" s="125"/>
      <c r="V9" s="125"/>
      <c r="W9" s="125"/>
      <c r="X9" s="127" t="str">
        <f aca="false">IF(COUNT(P9,R9,T9,V9)=0,"",P9*0.08+R9*0.06+T9*0.03+V9*0.08)</f>
        <v/>
      </c>
      <c r="Y9" s="125"/>
      <c r="Z9" s="125"/>
      <c r="AA9" s="125"/>
      <c r="AB9" s="125"/>
      <c r="AC9" s="125"/>
      <c r="AD9" s="125"/>
      <c r="AE9" s="127"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8" t="s">
        <v>358</v>
      </c>
      <c r="AM9" s="129" t="s">
        <v>359</v>
      </c>
      <c r="AN9" s="130" t="n">
        <v>715998000</v>
      </c>
      <c r="AO9" s="131" t="n">
        <v>523670000</v>
      </c>
      <c r="AP9" s="125" t="str">
        <f aca="false">IF(OR(AN9="",AO9=""),"",IF(AN9&gt;AO9,"OK","LOW CONF"))</f>
        <v>OK</v>
      </c>
      <c r="AQ9" s="132" t="n">
        <v>4.155</v>
      </c>
      <c r="AR9" s="127" t="n">
        <v>4.048</v>
      </c>
      <c r="AS9" s="133" t="str">
        <f aca="false">IF(OR(AQ9="",AR9=""),"",IF(AQ9&lt;AR9,"Decreased",IF(AQ9&gt;AR9,"Increased","Flat")))</f>
        <v>Increased</v>
      </c>
    </row>
    <row r="10" customFormat="false" ht="15" hidden="false" customHeight="true" outlineLevel="1" collapsed="false">
      <c r="A10" s="63" t="s">
        <v>192</v>
      </c>
      <c r="B10" s="123" t="s">
        <v>193</v>
      </c>
      <c r="C10" s="124" t="n">
        <v>46240</v>
      </c>
      <c r="D10" s="125" t="n">
        <v>2</v>
      </c>
      <c r="E10" s="125" t="s">
        <v>347</v>
      </c>
      <c r="F10" s="125" t="n">
        <v>4</v>
      </c>
      <c r="G10" s="125" t="s">
        <v>348</v>
      </c>
      <c r="H10" s="125" t="n">
        <v>3</v>
      </c>
      <c r="I10" s="125" t="s">
        <v>347</v>
      </c>
      <c r="J10" s="125" t="n">
        <v>2</v>
      </c>
      <c r="K10" s="125" t="s">
        <v>347</v>
      </c>
      <c r="L10" s="125" t="n">
        <v>2</v>
      </c>
      <c r="M10" s="125" t="s">
        <v>348</v>
      </c>
      <c r="N10" s="126" t="n">
        <f aca="false">IF(COUNT(D10,F10,H10,J10,L10)=0,"",(D10*0.2+F10*0.15+H10*0.15+J10*0.1+L10*0.1)/(IF(D10&lt;&gt;"",0.2,0)+IF(F10&lt;&gt;"",0.15,0)+IF(H10&lt;&gt;"",0.15,0)+IF(J10&lt;&gt;"",0.1,0)+IF(L10&lt;&gt;"",0.1,0)))</f>
        <v>2.64285714285714</v>
      </c>
      <c r="O10" s="127" t="n">
        <f aca="false">IF(COUNT(D10,F10,H10,J10,L10)=0,"",D10*0.2+F10*0.15+H10*0.15+J10*0.1+L10*0.1)</f>
        <v>1.85</v>
      </c>
      <c r="P10" s="125"/>
      <c r="Q10" s="125"/>
      <c r="R10" s="125"/>
      <c r="S10" s="125"/>
      <c r="T10" s="125"/>
      <c r="U10" s="125"/>
      <c r="V10" s="125"/>
      <c r="W10" s="125"/>
      <c r="X10" s="127" t="str">
        <f aca="false">IF(COUNT(P10,R10,T10,V10)=0,"",P10*0.08+R10*0.06+T10*0.03+V10*0.08)</f>
        <v/>
      </c>
      <c r="Y10" s="125"/>
      <c r="Z10" s="125"/>
      <c r="AA10" s="125"/>
      <c r="AB10" s="125"/>
      <c r="AC10" s="125"/>
      <c r="AD10" s="125"/>
      <c r="AE10" s="127"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8" t="s">
        <v>360</v>
      </c>
      <c r="AM10" s="129" t="s">
        <v>361</v>
      </c>
      <c r="AN10" s="130" t="n">
        <v>359500000</v>
      </c>
      <c r="AO10" s="131" t="n">
        <v>203700000</v>
      </c>
      <c r="AP10" s="125" t="str">
        <f aca="false">IF(OR(AN10="",AO10=""),"",IF(AN10&gt;AO10,"OK","LOW CONF"))</f>
        <v>OK</v>
      </c>
      <c r="AQ10" s="132" t="n">
        <v>1.857</v>
      </c>
      <c r="AR10" s="127" t="n">
        <v>0.78</v>
      </c>
      <c r="AS10" s="133" t="str">
        <f aca="false">IF(OR(AQ10="",AR10=""),"",IF(AQ10&lt;AR10,"Decreased",IF(AQ10&gt;AR10,"Increased","Flat")))</f>
        <v>Increased</v>
      </c>
    </row>
    <row r="11" customFormat="false" ht="15" hidden="false" customHeight="true" outlineLevel="1" collapsed="false">
      <c r="A11" s="63" t="s">
        <v>183</v>
      </c>
      <c r="B11" s="123" t="s">
        <v>184</v>
      </c>
      <c r="C11" s="124" t="n">
        <v>46240</v>
      </c>
      <c r="D11" s="125" t="n">
        <v>1</v>
      </c>
      <c r="E11" s="125" t="s">
        <v>348</v>
      </c>
      <c r="F11" s="125" t="n">
        <v>2</v>
      </c>
      <c r="G11" s="125" t="s">
        <v>347</v>
      </c>
      <c r="H11" s="125" t="n">
        <v>3</v>
      </c>
      <c r="I11" s="125" t="s">
        <v>347</v>
      </c>
      <c r="J11" s="125" t="n">
        <v>3</v>
      </c>
      <c r="K11" s="125" t="s">
        <v>347</v>
      </c>
      <c r="L11" s="125" t="n">
        <v>1</v>
      </c>
      <c r="M11" s="125" t="s">
        <v>348</v>
      </c>
      <c r="N11" s="126" t="n">
        <f aca="false">IF(COUNT(D11,F11,H11,J11,L11)=0,"",(D11*0.2+F11*0.15+H11*0.15+J11*0.1+L11*0.1)/(IF(D11&lt;&gt;"",0.2,0)+IF(F11&lt;&gt;"",0.15,0)+IF(H11&lt;&gt;"",0.15,0)+IF(J11&lt;&gt;"",0.1,0)+IF(L11&lt;&gt;"",0.1,0)))</f>
        <v>1.92857142857143</v>
      </c>
      <c r="O11" s="127" t="n">
        <f aca="false">IF(COUNT(D11,F11,H11,J11,L11)=0,"",D11*0.2+F11*0.15+H11*0.15+J11*0.1+L11*0.1)</f>
        <v>1.35</v>
      </c>
      <c r="P11" s="125"/>
      <c r="Q11" s="125"/>
      <c r="R11" s="125"/>
      <c r="S11" s="125"/>
      <c r="T11" s="125"/>
      <c r="U11" s="125"/>
      <c r="V11" s="125"/>
      <c r="W11" s="125"/>
      <c r="X11" s="127" t="str">
        <f aca="false">IF(COUNT(P11,R11,T11,V11)=0,"",P11*0.08+R11*0.06+T11*0.03+V11*0.08)</f>
        <v/>
      </c>
      <c r="Y11" s="125"/>
      <c r="Z11" s="125"/>
      <c r="AA11" s="125"/>
      <c r="AB11" s="125"/>
      <c r="AC11" s="125"/>
      <c r="AD11" s="125"/>
      <c r="AE11" s="127"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8" t="s">
        <v>360</v>
      </c>
      <c r="AM11" s="129" t="s">
        <v>362</v>
      </c>
      <c r="AN11" s="130" t="n">
        <v>14747000000</v>
      </c>
      <c r="AO11" s="131" t="n">
        <v>3794000000</v>
      </c>
      <c r="AP11" s="125" t="str">
        <f aca="false">IF(OR(AN11="",AO11=""),"",IF(AN11&gt;AO11,"OK","LOW CONF"))</f>
        <v>OK</v>
      </c>
      <c r="AQ11" s="132" t="n">
        <v>2.366</v>
      </c>
      <c r="AR11" s="127" t="n">
        <v>3.804</v>
      </c>
      <c r="AS11" s="133" t="str">
        <f aca="false">IF(OR(AQ11="",AR11=""),"",IF(AQ11&lt;AR11,"Decreased",IF(AQ11&gt;AR11,"Increased","Flat")))</f>
        <v>Decreased</v>
      </c>
    </row>
    <row r="12" customFormat="false" ht="15" hidden="false" customHeight="true" outlineLevel="0" collapsed="false">
      <c r="A12" s="63" t="s">
        <v>96</v>
      </c>
      <c r="B12" s="123" t="s">
        <v>97</v>
      </c>
      <c r="C12" s="124" t="n">
        <v>46295</v>
      </c>
      <c r="D12" s="125" t="n">
        <v>5</v>
      </c>
      <c r="E12" s="125" t="s">
        <v>347</v>
      </c>
      <c r="F12" s="125" t="n">
        <v>4</v>
      </c>
      <c r="G12" s="125" t="s">
        <v>347</v>
      </c>
      <c r="H12" s="125" t="n">
        <v>4</v>
      </c>
      <c r="I12" s="125" t="s">
        <v>347</v>
      </c>
      <c r="J12" s="125" t="n">
        <v>5</v>
      </c>
      <c r="K12" s="125" t="s">
        <v>348</v>
      </c>
      <c r="L12" s="125" t="n">
        <v>5</v>
      </c>
      <c r="M12" s="125" t="s">
        <v>347</v>
      </c>
      <c r="N12" s="126" t="n">
        <f aca="false">IF(COUNT(D12,F12,H12,J12,L12)=0,"",(D12*0.2+F12*0.15+H12*0.15+J12*0.1+L12*0.1)/(IF(D12&lt;&gt;"",0.2,0)+IF(F12&lt;&gt;"",0.15,0)+IF(H12&lt;&gt;"",0.15,0)+IF(J12&lt;&gt;"",0.1,0)+IF(L12&lt;&gt;"",0.1,0)))</f>
        <v>4.57142857142857</v>
      </c>
      <c r="O12" s="127" t="n">
        <f aca="false">IF(COUNT(D12,F12,H12,J12,L12)=0,"",D12*0.2+F12*0.15+H12*0.15+J12*0.1+L12*0.1)</f>
        <v>3.2</v>
      </c>
      <c r="P12" s="125" t="n">
        <v>3</v>
      </c>
      <c r="Q12" s="125" t="s">
        <v>347</v>
      </c>
      <c r="R12" s="125" t="n">
        <v>5</v>
      </c>
      <c r="S12" s="125" t="s">
        <v>348</v>
      </c>
      <c r="T12" s="125" t="n">
        <v>1</v>
      </c>
      <c r="U12" s="125" t="s">
        <v>348</v>
      </c>
      <c r="V12" s="125" t="n">
        <v>5</v>
      </c>
      <c r="W12" s="125" t="s">
        <v>348</v>
      </c>
      <c r="X12" s="127" t="n">
        <f aca="false">IF(COUNT(P12,R12,T12,V12)=0,"",P12*0.08+R12*0.06+T12*0.03+V12*0.08)</f>
        <v>0.97</v>
      </c>
      <c r="Y12" s="125" t="n">
        <v>2</v>
      </c>
      <c r="Z12" s="125" t="s">
        <v>347</v>
      </c>
      <c r="AA12" s="125" t="n">
        <v>3</v>
      </c>
      <c r="AB12" s="125" t="s">
        <v>347</v>
      </c>
      <c r="AC12" s="125" t="n">
        <v>2</v>
      </c>
      <c r="AD12" s="125" t="s">
        <v>349</v>
      </c>
      <c r="AE12" s="127"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8" t="s">
        <v>350</v>
      </c>
      <c r="AM12" s="129" t="s">
        <v>363</v>
      </c>
      <c r="AN12" s="125"/>
      <c r="AO12" s="94"/>
      <c r="AP12" s="125" t="str">
        <f aca="false">IF(OR(AN12="",AO12=""),"",IF(AN12&gt;AO12,"OK","LOW CONF"))</f>
        <v/>
      </c>
      <c r="AQ12" s="125"/>
      <c r="AR12" s="94"/>
      <c r="AS12" s="133" t="str">
        <f aca="false">IF(OR(AQ12="",AR12=""),"",IF(AQ12&lt;AR12,"Decreased",IF(AQ12&gt;AR12,"Increased","Flat")))</f>
        <v/>
      </c>
    </row>
    <row r="13" customFormat="false" ht="15" hidden="false" customHeight="true" outlineLevel="0" collapsed="false">
      <c r="A13" s="63" t="s">
        <v>101</v>
      </c>
      <c r="B13" s="123" t="s">
        <v>102</v>
      </c>
      <c r="C13" s="124" t="n">
        <v>46278</v>
      </c>
      <c r="D13" s="125" t="n">
        <v>3</v>
      </c>
      <c r="E13" s="125" t="s">
        <v>347</v>
      </c>
      <c r="F13" s="125" t="n">
        <v>5</v>
      </c>
      <c r="G13" s="125" t="s">
        <v>347</v>
      </c>
      <c r="H13" s="125" t="n">
        <v>5</v>
      </c>
      <c r="I13" s="125" t="s">
        <v>348</v>
      </c>
      <c r="J13" s="125" t="n">
        <v>4</v>
      </c>
      <c r="K13" s="125" t="s">
        <v>347</v>
      </c>
      <c r="L13" s="125" t="n">
        <v>5</v>
      </c>
      <c r="M13" s="125" t="s">
        <v>347</v>
      </c>
      <c r="N13" s="126" t="n">
        <f aca="false">IF(COUNT(D13,F13,H13,J13,L13)=0,"",(D13*0.2+F13*0.15+H13*0.15+J13*0.1+L13*0.1)/(IF(D13&lt;&gt;"",0.2,0)+IF(F13&lt;&gt;"",0.15,0)+IF(H13&lt;&gt;"",0.15,0)+IF(J13&lt;&gt;"",0.1,0)+IF(L13&lt;&gt;"",0.1,0)))</f>
        <v>4.28571428571429</v>
      </c>
      <c r="O13" s="127" t="n">
        <f aca="false">IF(COUNT(D13,F13,H13,J13,L13)=0,"",D13*0.2+F13*0.15+H13*0.15+J13*0.1+L13*0.1)</f>
        <v>3</v>
      </c>
      <c r="P13" s="125" t="n">
        <v>4</v>
      </c>
      <c r="Q13" s="125" t="s">
        <v>348</v>
      </c>
      <c r="R13" s="125" t="n">
        <v>5</v>
      </c>
      <c r="S13" s="125" t="s">
        <v>348</v>
      </c>
      <c r="T13" s="125" t="n">
        <v>5</v>
      </c>
      <c r="U13" s="125" t="s">
        <v>347</v>
      </c>
      <c r="V13" s="125" t="n">
        <v>1</v>
      </c>
      <c r="W13" s="125" t="s">
        <v>348</v>
      </c>
      <c r="X13" s="127" t="n">
        <f aca="false">IF(COUNT(P13,R13,T13,V13)=0,"",P13*0.08+R13*0.06+T13*0.03+V13*0.08)</f>
        <v>0.85</v>
      </c>
      <c r="Y13" s="125" t="n">
        <v>4</v>
      </c>
      <c r="Z13" s="125" t="s">
        <v>347</v>
      </c>
      <c r="AA13" s="125" t="n">
        <v>5</v>
      </c>
      <c r="AB13" s="125" t="s">
        <v>348</v>
      </c>
      <c r="AC13" s="125" t="n">
        <v>2</v>
      </c>
      <c r="AD13" s="125" t="s">
        <v>347</v>
      </c>
      <c r="AE13" s="127"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8" t="s">
        <v>350</v>
      </c>
      <c r="AM13" s="129" t="s">
        <v>364</v>
      </c>
      <c r="AN13" s="125"/>
      <c r="AO13" s="94"/>
      <c r="AP13" s="125" t="str">
        <f aca="false">IF(OR(AN13="",AO13=""),"",IF(AN13&gt;AO13,"OK","LOW CONF"))</f>
        <v/>
      </c>
      <c r="AQ13" s="125"/>
      <c r="AR13" s="94"/>
      <c r="AS13" s="133" t="str">
        <f aca="false">IF(OR(AQ13="",AR13=""),"",IF(AQ13&lt;AR13,"Decreased",IF(AQ13&gt;AR13,"Increased","Flat")))</f>
        <v/>
      </c>
    </row>
    <row r="14" customFormat="false" ht="15" hidden="false" customHeight="true" outlineLevel="0" collapsed="false">
      <c r="A14" s="63" t="s">
        <v>103</v>
      </c>
      <c r="B14" s="123" t="s">
        <v>104</v>
      </c>
      <c r="C14" s="124" t="n">
        <v>46278</v>
      </c>
      <c r="D14" s="125" t="n">
        <v>3</v>
      </c>
      <c r="E14" s="125" t="s">
        <v>347</v>
      </c>
      <c r="F14" s="125" t="n">
        <v>3</v>
      </c>
      <c r="G14" s="125" t="s">
        <v>347</v>
      </c>
      <c r="H14" s="125" t="n">
        <v>5</v>
      </c>
      <c r="I14" s="125" t="s">
        <v>348</v>
      </c>
      <c r="J14" s="125" t="n">
        <v>4</v>
      </c>
      <c r="K14" s="125" t="s">
        <v>347</v>
      </c>
      <c r="L14" s="125" t="n">
        <v>5</v>
      </c>
      <c r="M14" s="125" t="s">
        <v>347</v>
      </c>
      <c r="N14" s="126" t="n">
        <f aca="false">IF(COUNT(D14,F14,H14,J14,L14)=0,"",(D14*0.2+F14*0.15+H14*0.15+J14*0.1+L14*0.1)/(IF(D14&lt;&gt;"",0.2,0)+IF(F14&lt;&gt;"",0.15,0)+IF(H14&lt;&gt;"",0.15,0)+IF(J14&lt;&gt;"",0.1,0)+IF(L14&lt;&gt;"",0.1,0)))</f>
        <v>3.85714285714286</v>
      </c>
      <c r="O14" s="127" t="n">
        <f aca="false">IF(COUNT(D14,F14,H14,J14,L14)=0,"",D14*0.2+F14*0.15+H14*0.15+J14*0.1+L14*0.1)</f>
        <v>2.7</v>
      </c>
      <c r="P14" s="125" t="n">
        <v>4</v>
      </c>
      <c r="Q14" s="125" t="s">
        <v>347</v>
      </c>
      <c r="R14" s="125" t="n">
        <v>5</v>
      </c>
      <c r="S14" s="125" t="s">
        <v>348</v>
      </c>
      <c r="T14" s="125" t="n">
        <v>5</v>
      </c>
      <c r="U14" s="125" t="s">
        <v>348</v>
      </c>
      <c r="V14" s="125" t="n">
        <v>2</v>
      </c>
      <c r="W14" s="125" t="s">
        <v>347</v>
      </c>
      <c r="X14" s="127" t="n">
        <f aca="false">IF(COUNT(P14,R14,T14,V14)=0,"",P14*0.08+R14*0.06+T14*0.03+V14*0.08)</f>
        <v>0.93</v>
      </c>
      <c r="Y14" s="125" t="n">
        <v>5</v>
      </c>
      <c r="Z14" s="125" t="s">
        <v>347</v>
      </c>
      <c r="AA14" s="125" t="n">
        <v>5</v>
      </c>
      <c r="AB14" s="125" t="s">
        <v>348</v>
      </c>
      <c r="AC14" s="125" t="n">
        <v>3</v>
      </c>
      <c r="AD14" s="125" t="s">
        <v>349</v>
      </c>
      <c r="AE14" s="127"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8" t="s">
        <v>350</v>
      </c>
      <c r="AM14" s="129" t="s">
        <v>365</v>
      </c>
      <c r="AN14" s="125"/>
      <c r="AO14" s="94"/>
      <c r="AP14" s="125" t="str">
        <f aca="false">IF(OR(AN14="",AO14=""),"",IF(AN14&gt;AO14,"OK","LOW CONF"))</f>
        <v/>
      </c>
      <c r="AQ14" s="125"/>
      <c r="AR14" s="94"/>
      <c r="AS14" s="133" t="str">
        <f aca="false">IF(OR(AQ14="",AR14=""),"",IF(AQ14&lt;AR14,"Decreased",IF(AQ14&gt;AR14,"Increased","Flat")))</f>
        <v/>
      </c>
    </row>
    <row r="15" customFormat="false" ht="15" hidden="false" customHeight="true" outlineLevel="0" collapsed="false">
      <c r="A15" s="63" t="s">
        <v>105</v>
      </c>
      <c r="B15" s="123" t="s">
        <v>106</v>
      </c>
      <c r="C15" s="124" t="n">
        <v>46278</v>
      </c>
      <c r="D15" s="125" t="n">
        <v>2</v>
      </c>
      <c r="E15" s="125" t="s">
        <v>347</v>
      </c>
      <c r="F15" s="125" t="n">
        <v>5</v>
      </c>
      <c r="G15" s="125" t="s">
        <v>347</v>
      </c>
      <c r="H15" s="125" t="n">
        <v>4</v>
      </c>
      <c r="I15" s="125" t="s">
        <v>347</v>
      </c>
      <c r="J15" s="125" t="n">
        <v>5</v>
      </c>
      <c r="K15" s="125" t="s">
        <v>348</v>
      </c>
      <c r="L15" s="125" t="n">
        <v>2</v>
      </c>
      <c r="M15" s="125" t="s">
        <v>347</v>
      </c>
      <c r="N15" s="126" t="n">
        <f aca="false">IF(COUNT(D15,F15,H15,J15,L15)=0,"",(D15*0.2+F15*0.15+H15*0.15+J15*0.1+L15*0.1)/(IF(D15&lt;&gt;"",0.2,0)+IF(F15&lt;&gt;"",0.15,0)+IF(H15&lt;&gt;"",0.15,0)+IF(J15&lt;&gt;"",0.1,0)+IF(L15&lt;&gt;"",0.1,0)))</f>
        <v>3.5</v>
      </c>
      <c r="O15" s="127" t="n">
        <f aca="false">IF(COUNT(D15,F15,H15,J15,L15)=0,"",D15*0.2+F15*0.15+H15*0.15+J15*0.1+L15*0.1)</f>
        <v>2.45</v>
      </c>
      <c r="P15" s="125" t="n">
        <v>3</v>
      </c>
      <c r="Q15" s="125" t="s">
        <v>347</v>
      </c>
      <c r="R15" s="125" t="n">
        <v>2</v>
      </c>
      <c r="S15" s="125" t="s">
        <v>347</v>
      </c>
      <c r="T15" s="125" t="n">
        <v>4</v>
      </c>
      <c r="U15" s="125" t="s">
        <v>348</v>
      </c>
      <c r="V15" s="125" t="n">
        <v>1</v>
      </c>
      <c r="W15" s="125" t="s">
        <v>348</v>
      </c>
      <c r="X15" s="127" t="n">
        <f aca="false">IF(COUNT(P15,R15,T15,V15)=0,"",P15*0.08+R15*0.06+T15*0.03+V15*0.08)</f>
        <v>0.56</v>
      </c>
      <c r="Y15" s="125" t="n">
        <v>4</v>
      </c>
      <c r="Z15" s="125" t="s">
        <v>347</v>
      </c>
      <c r="AA15" s="125" t="n">
        <v>3</v>
      </c>
      <c r="AB15" s="125" t="s">
        <v>347</v>
      </c>
      <c r="AC15" s="125" t="n">
        <v>2</v>
      </c>
      <c r="AD15" s="125" t="s">
        <v>347</v>
      </c>
      <c r="AE15" s="127"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8" t="s">
        <v>350</v>
      </c>
      <c r="AM15" s="129" t="s">
        <v>352</v>
      </c>
      <c r="AN15" s="125"/>
      <c r="AO15" s="94"/>
      <c r="AP15" s="125" t="str">
        <f aca="false">IF(OR(AN15="",AO15=""),"",IF(AN15&gt;AO15,"OK","LOW CONF"))</f>
        <v/>
      </c>
      <c r="AQ15" s="125"/>
      <c r="AR15" s="94"/>
      <c r="AS15" s="133" t="str">
        <f aca="false">IF(OR(AQ15="",AR15=""),"",IF(AQ15&lt;AR15,"Decreased",IF(AQ15&gt;AR15,"Increased","Flat")))</f>
        <v/>
      </c>
    </row>
    <row r="16" customFormat="false" ht="15" hidden="false" customHeight="true" outlineLevel="0" collapsed="false">
      <c r="A16" s="63" t="s">
        <v>107</v>
      </c>
      <c r="B16" s="123" t="s">
        <v>108</v>
      </c>
      <c r="C16" s="124" t="n">
        <v>46278</v>
      </c>
      <c r="D16" s="125" t="n">
        <v>3</v>
      </c>
      <c r="E16" s="125" t="s">
        <v>347</v>
      </c>
      <c r="F16" s="125" t="n">
        <v>3</v>
      </c>
      <c r="G16" s="125" t="s">
        <v>347</v>
      </c>
      <c r="H16" s="125" t="n">
        <v>5</v>
      </c>
      <c r="I16" s="125" t="s">
        <v>348</v>
      </c>
      <c r="J16" s="125" t="n">
        <v>3</v>
      </c>
      <c r="K16" s="125" t="s">
        <v>347</v>
      </c>
      <c r="L16" s="125" t="n">
        <v>5</v>
      </c>
      <c r="M16" s="125" t="s">
        <v>347</v>
      </c>
      <c r="N16" s="126" t="n">
        <f aca="false">IF(COUNT(D16,F16,H16,J16,L16)=0,"",(D16*0.2+F16*0.15+H16*0.15+J16*0.1+L16*0.1)/(IF(D16&lt;&gt;"",0.2,0)+IF(F16&lt;&gt;"",0.15,0)+IF(H16&lt;&gt;"",0.15,0)+IF(J16&lt;&gt;"",0.1,0)+IF(L16&lt;&gt;"",0.1,0)))</f>
        <v>3.71428571428572</v>
      </c>
      <c r="O16" s="127" t="n">
        <f aca="false">IF(COUNT(D16,F16,H16,J16,L16)=0,"",D16*0.2+F16*0.15+H16*0.15+J16*0.1+L16*0.1)</f>
        <v>2.6</v>
      </c>
      <c r="P16" s="125" t="n">
        <v>4</v>
      </c>
      <c r="Q16" s="125" t="s">
        <v>348</v>
      </c>
      <c r="R16" s="125" t="n">
        <v>5</v>
      </c>
      <c r="S16" s="125" t="s">
        <v>348</v>
      </c>
      <c r="T16" s="125" t="n">
        <v>3</v>
      </c>
      <c r="U16" s="125" t="s">
        <v>347</v>
      </c>
      <c r="V16" s="125" t="n">
        <v>2</v>
      </c>
      <c r="W16" s="125" t="s">
        <v>347</v>
      </c>
      <c r="X16" s="127" t="n">
        <f aca="false">IF(COUNT(P16,R16,T16,V16)=0,"",P16*0.08+R16*0.06+T16*0.03+V16*0.08)</f>
        <v>0.87</v>
      </c>
      <c r="Y16" s="125" t="n">
        <v>2</v>
      </c>
      <c r="Z16" s="125" t="s">
        <v>347</v>
      </c>
      <c r="AA16" s="125" t="n">
        <v>5</v>
      </c>
      <c r="AB16" s="125" t="s">
        <v>348</v>
      </c>
      <c r="AC16" s="125" t="n">
        <v>2</v>
      </c>
      <c r="AD16" s="125" t="s">
        <v>349</v>
      </c>
      <c r="AE16" s="127"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8" t="s">
        <v>350</v>
      </c>
      <c r="AM16" s="129" t="s">
        <v>365</v>
      </c>
      <c r="AN16" s="130" t="n">
        <v>4143079000</v>
      </c>
      <c r="AO16" s="131" t="n">
        <v>4830771000</v>
      </c>
      <c r="AP16" s="125" t="str">
        <f aca="false">IF(OR(AN16="",AO16=""),"",IF(AN16&gt;AO16,"OK","LOW CONF"))</f>
        <v>LOW CONF</v>
      </c>
      <c r="AQ16" s="132" t="n">
        <v>1.633</v>
      </c>
      <c r="AR16" s="127" t="n">
        <v>1.625</v>
      </c>
      <c r="AS16" s="133" t="str">
        <f aca="false">IF(OR(AQ16="",AR16=""),"",IF(AQ16&lt;AR16,"Decreased",IF(AQ16&gt;AR16,"Increased","Flat")))</f>
        <v>Increased</v>
      </c>
    </row>
    <row r="17" customFormat="false" ht="15" hidden="false" customHeight="true" outlineLevel="0" collapsed="false">
      <c r="A17" s="63" t="s">
        <v>115</v>
      </c>
      <c r="B17" s="123" t="s">
        <v>366</v>
      </c>
      <c r="C17" s="124" t="n">
        <v>46278</v>
      </c>
      <c r="D17" s="125" t="n">
        <v>5</v>
      </c>
      <c r="E17" s="125" t="s">
        <v>347</v>
      </c>
      <c r="F17" s="125" t="n">
        <v>2</v>
      </c>
      <c r="G17" s="125" t="s">
        <v>347</v>
      </c>
      <c r="H17" s="125" t="n">
        <v>5</v>
      </c>
      <c r="I17" s="125" t="s">
        <v>348</v>
      </c>
      <c r="J17" s="125" t="n">
        <v>4</v>
      </c>
      <c r="K17" s="125" t="s">
        <v>347</v>
      </c>
      <c r="L17" s="125" t="n">
        <v>5</v>
      </c>
      <c r="M17" s="125" t="s">
        <v>347</v>
      </c>
      <c r="N17" s="126" t="n">
        <f aca="false">IF(COUNT(D17,F17,H17,J17,L17)=0,"",(D17*0.2+F17*0.15+H17*0.15+J17*0.1+L17*0.1)/(IF(D17&lt;&gt;"",0.2,0)+IF(F17&lt;&gt;"",0.15,0)+IF(H17&lt;&gt;"",0.15,0)+IF(J17&lt;&gt;"",0.1,0)+IF(L17&lt;&gt;"",0.1,0)))</f>
        <v>4.21428571428571</v>
      </c>
      <c r="O17" s="127" t="n">
        <f aca="false">IF(COUNT(D17,F17,H17,J17,L17)=0,"",D17*0.2+F17*0.15+H17*0.15+J17*0.1+L17*0.1)</f>
        <v>2.95</v>
      </c>
      <c r="P17" s="125" t="n">
        <v>4</v>
      </c>
      <c r="Q17" s="125" t="s">
        <v>348</v>
      </c>
      <c r="R17" s="125" t="n">
        <v>5</v>
      </c>
      <c r="S17" s="125" t="s">
        <v>348</v>
      </c>
      <c r="T17" s="125" t="n">
        <v>4</v>
      </c>
      <c r="U17" s="125" t="s">
        <v>347</v>
      </c>
      <c r="V17" s="125" t="n">
        <v>4</v>
      </c>
      <c r="W17" s="125" t="s">
        <v>347</v>
      </c>
      <c r="X17" s="127" t="n">
        <f aca="false">IF(COUNT(P17,R17,T17,V17)=0,"",P17*0.08+R17*0.06+T17*0.03+V17*0.08)</f>
        <v>1.06</v>
      </c>
      <c r="Y17" s="125" t="n">
        <v>3</v>
      </c>
      <c r="Z17" s="125" t="s">
        <v>347</v>
      </c>
      <c r="AA17" s="125" t="n">
        <v>5</v>
      </c>
      <c r="AB17" s="125" t="s">
        <v>348</v>
      </c>
      <c r="AC17" s="125" t="n">
        <v>3</v>
      </c>
      <c r="AD17" s="125" t="s">
        <v>349</v>
      </c>
      <c r="AE17" s="127"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9" t="s">
        <v>350</v>
      </c>
      <c r="AM17" s="129" t="s">
        <v>351</v>
      </c>
      <c r="AN17" s="125"/>
      <c r="AO17" s="94"/>
      <c r="AP17" s="125" t="str">
        <f aca="false">IF(OR(AN17="",AO17=""),"",IF(AN17&gt;AO17,"OK","LOW CONF"))</f>
        <v/>
      </c>
      <c r="AQ17" s="125"/>
      <c r="AR17" s="94"/>
      <c r="AS17" s="133" t="str">
        <f aca="false">IF(OR(AQ17="",AR17=""),"",IF(AQ17&lt;AR17,"Decreased",IF(AQ17&gt;AR17,"Increased","Flat")))</f>
        <v/>
      </c>
    </row>
    <row r="18" customFormat="false" ht="15" hidden="false" customHeight="true" outlineLevel="0" collapsed="false">
      <c r="A18" s="63" t="s">
        <v>117</v>
      </c>
      <c r="B18" s="123" t="s">
        <v>118</v>
      </c>
      <c r="C18" s="124" t="n">
        <v>46278</v>
      </c>
      <c r="D18" s="125" t="n">
        <v>3</v>
      </c>
      <c r="E18" s="125" t="s">
        <v>347</v>
      </c>
      <c r="F18" s="125" t="n">
        <v>5</v>
      </c>
      <c r="G18" s="125" t="s">
        <v>347</v>
      </c>
      <c r="H18" s="125" t="n">
        <v>4</v>
      </c>
      <c r="I18" s="125" t="s">
        <v>347</v>
      </c>
      <c r="J18" s="125" t="n">
        <v>4</v>
      </c>
      <c r="K18" s="125" t="s">
        <v>347</v>
      </c>
      <c r="L18" s="125" t="n">
        <v>4</v>
      </c>
      <c r="M18" s="125" t="s">
        <v>347</v>
      </c>
      <c r="N18" s="126" t="n">
        <f aca="false">IF(COUNT(D18,F18,H18,J18,L18)=0,"",(D18*0.2+F18*0.15+H18*0.15+J18*0.1+L18*0.1)/(IF(D18&lt;&gt;"",0.2,0)+IF(F18&lt;&gt;"",0.15,0)+IF(H18&lt;&gt;"",0.15,0)+IF(J18&lt;&gt;"",0.1,0)+IF(L18&lt;&gt;"",0.1,0)))</f>
        <v>3.92857142857143</v>
      </c>
      <c r="O18" s="127" t="n">
        <f aca="false">IF(COUNT(D18,F18,H18,J18,L18)=0,"",D18*0.2+F18*0.15+H18*0.15+J18*0.1+L18*0.1)</f>
        <v>2.75</v>
      </c>
      <c r="P18" s="125" t="n">
        <v>4</v>
      </c>
      <c r="Q18" s="125" t="s">
        <v>347</v>
      </c>
      <c r="R18" s="125" t="n">
        <v>5</v>
      </c>
      <c r="S18" s="125" t="s">
        <v>348</v>
      </c>
      <c r="T18" s="125" t="n">
        <v>4</v>
      </c>
      <c r="U18" s="125" t="s">
        <v>347</v>
      </c>
      <c r="V18" s="125" t="n">
        <v>2</v>
      </c>
      <c r="W18" s="125" t="s">
        <v>347</v>
      </c>
      <c r="X18" s="127" t="n">
        <f aca="false">IF(COUNT(P18,R18,T18,V18)=0,"",P18*0.08+R18*0.06+T18*0.03+V18*0.08)</f>
        <v>0.9</v>
      </c>
      <c r="Y18" s="125" t="n">
        <v>4</v>
      </c>
      <c r="Z18" s="125" t="s">
        <v>347</v>
      </c>
      <c r="AA18" s="125" t="n">
        <v>4</v>
      </c>
      <c r="AB18" s="125" t="s">
        <v>347</v>
      </c>
      <c r="AC18" s="125" t="n">
        <v>3</v>
      </c>
      <c r="AD18" s="125" t="s">
        <v>349</v>
      </c>
      <c r="AE18" s="127"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9" t="s">
        <v>367</v>
      </c>
      <c r="AM18" s="129" t="s">
        <v>368</v>
      </c>
      <c r="AN18" s="130" t="n">
        <v>2113800000</v>
      </c>
      <c r="AO18" s="131" t="n">
        <v>1332800000</v>
      </c>
      <c r="AP18" s="125" t="str">
        <f aca="false">IF(OR(AN18="",AO18=""),"",IF(AN18&gt;AO18,"OK","LOW CONF"))</f>
        <v>OK</v>
      </c>
      <c r="AQ18" s="132" t="n">
        <v>1.71</v>
      </c>
      <c r="AR18" s="127" t="n">
        <v>2.771</v>
      </c>
      <c r="AS18" s="133" t="str">
        <f aca="false">IF(OR(AQ18="",AR18=""),"",IF(AQ18&lt;AR18,"Decreased",IF(AQ18&gt;AR18,"Increased","Flat")))</f>
        <v>Decreased</v>
      </c>
    </row>
    <row r="19" customFormat="false" ht="15" hidden="false" customHeight="true" outlineLevel="0" collapsed="false">
      <c r="A19" s="63" t="s">
        <v>244</v>
      </c>
      <c r="B19" s="123" t="s">
        <v>369</v>
      </c>
      <c r="C19" s="124" t="n">
        <v>46245</v>
      </c>
      <c r="D19" s="125" t="n">
        <v>3</v>
      </c>
      <c r="E19" s="125" t="s">
        <v>347</v>
      </c>
      <c r="F19" s="125" t="n">
        <v>5</v>
      </c>
      <c r="G19" s="125" t="s">
        <v>348</v>
      </c>
      <c r="H19" s="125" t="n">
        <v>5</v>
      </c>
      <c r="I19" s="125" t="s">
        <v>348</v>
      </c>
      <c r="J19" s="125" t="n">
        <v>4</v>
      </c>
      <c r="K19" s="125" t="s">
        <v>347</v>
      </c>
      <c r="L19" s="125" t="n">
        <v>4</v>
      </c>
      <c r="M19" s="125" t="s">
        <v>348</v>
      </c>
      <c r="N19" s="126" t="n">
        <f aca="false">IF(COUNT(D19,F19,H19,J19,L19)=0,"",(D19*0.2+F19*0.15+H19*0.15+J19*0.1+L19*0.1)/(IF(D19&lt;&gt;"",0.2,0)+IF(F19&lt;&gt;"",0.15,0)+IF(H19&lt;&gt;"",0.15,0)+IF(J19&lt;&gt;"",0.1,0)+IF(L19&lt;&gt;"",0.1,0)))</f>
        <v>4.14285714285714</v>
      </c>
      <c r="O19" s="127" t="n">
        <f aca="false">IF(COUNT(D19,F19,H19,J19,L19)=0,"",D19*0.2+F19*0.15+H19*0.15+J19*0.1+L19*0.1)</f>
        <v>2.9</v>
      </c>
      <c r="P19" s="125" t="n">
        <v>3</v>
      </c>
      <c r="Q19" s="125" t="s">
        <v>349</v>
      </c>
      <c r="R19" s="125" t="n">
        <v>5</v>
      </c>
      <c r="S19" s="125" t="s">
        <v>348</v>
      </c>
      <c r="T19" s="125" t="n">
        <v>5</v>
      </c>
      <c r="U19" s="125" t="s">
        <v>348</v>
      </c>
      <c r="V19" s="125" t="n">
        <v>1</v>
      </c>
      <c r="W19" s="125" t="s">
        <v>348</v>
      </c>
      <c r="X19" s="127" t="n">
        <f aca="false">IF(COUNT(P19,R19,T19,V19)=0,"",P19*0.08+R19*0.06+T19*0.03+V19*0.08)</f>
        <v>0.77</v>
      </c>
      <c r="Y19" s="125" t="n">
        <v>4</v>
      </c>
      <c r="Z19" s="125" t="s">
        <v>347</v>
      </c>
      <c r="AA19" s="125" t="n">
        <v>4</v>
      </c>
      <c r="AB19" s="125" t="s">
        <v>347</v>
      </c>
      <c r="AC19" s="125" t="n">
        <v>4</v>
      </c>
      <c r="AD19" s="125" t="s">
        <v>347</v>
      </c>
      <c r="AE19" s="127"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9" t="s">
        <v>358</v>
      </c>
      <c r="AM19" s="129" t="s">
        <v>370</v>
      </c>
      <c r="AN19" s="125"/>
      <c r="AO19" s="94"/>
      <c r="AP19" s="125" t="str">
        <f aca="false">IF(OR(AN19="",AO19=""),"",IF(AN19&gt;AO19,"OK","LOW CONF"))</f>
        <v/>
      </c>
      <c r="AQ19" s="125"/>
      <c r="AR19" s="94"/>
      <c r="AS19" s="133" t="str">
        <f aca="false">IF(OR(AQ19="",AR19=""),"",IF(AQ19&lt;AR19,"Decreased",IF(AQ19&gt;AR19,"Increased","Flat")))</f>
        <v/>
      </c>
    </row>
    <row r="20" customFormat="false" ht="15" hidden="false" customHeight="true" outlineLevel="0" collapsed="false">
      <c r="A20" s="63" t="s">
        <v>119</v>
      </c>
      <c r="B20" s="123" t="s">
        <v>120</v>
      </c>
      <c r="C20" s="124" t="n">
        <v>46278</v>
      </c>
      <c r="D20" s="125" t="n">
        <v>3</v>
      </c>
      <c r="E20" s="125" t="s">
        <v>347</v>
      </c>
      <c r="F20" s="125" t="n">
        <v>4</v>
      </c>
      <c r="G20" s="125" t="s">
        <v>347</v>
      </c>
      <c r="H20" s="125" t="n">
        <v>5</v>
      </c>
      <c r="I20" s="125" t="s">
        <v>348</v>
      </c>
      <c r="J20" s="125" t="n">
        <v>4</v>
      </c>
      <c r="K20" s="125" t="s">
        <v>347</v>
      </c>
      <c r="L20" s="125" t="n">
        <v>2</v>
      </c>
      <c r="M20" s="125" t="s">
        <v>347</v>
      </c>
      <c r="N20" s="126" t="n">
        <f aca="false">IF(COUNT(D20,F20,H20,J20,L20)=0,"",(D20*0.2+F20*0.15+H20*0.15+J20*0.1+L20*0.1)/(IF(D20&lt;&gt;"",0.2,0)+IF(F20&lt;&gt;"",0.15,0)+IF(H20&lt;&gt;"",0.15,0)+IF(J20&lt;&gt;"",0.1,0)+IF(L20&lt;&gt;"",0.1,0)))</f>
        <v>3.64285714285714</v>
      </c>
      <c r="O20" s="127" t="n">
        <f aca="false">IF(COUNT(D20,F20,H20,J20,L20)=0,"",D20*0.2+F20*0.15+H20*0.15+J20*0.1+L20*0.1)</f>
        <v>2.55</v>
      </c>
      <c r="P20" s="125" t="n">
        <v>4</v>
      </c>
      <c r="Q20" s="125" t="s">
        <v>347</v>
      </c>
      <c r="R20" s="125" t="n">
        <v>5</v>
      </c>
      <c r="S20" s="125" t="s">
        <v>348</v>
      </c>
      <c r="T20" s="125" t="n">
        <v>3</v>
      </c>
      <c r="U20" s="125" t="s">
        <v>347</v>
      </c>
      <c r="V20" s="125" t="n">
        <v>3</v>
      </c>
      <c r="W20" s="125" t="s">
        <v>347</v>
      </c>
      <c r="X20" s="127" t="n">
        <f aca="false">IF(COUNT(P20,R20,T20,V20)=0,"",P20*0.08+R20*0.06+T20*0.03+V20*0.08)</f>
        <v>0.95</v>
      </c>
      <c r="Y20" s="125" t="n">
        <v>3</v>
      </c>
      <c r="Z20" s="125" t="s">
        <v>347</v>
      </c>
      <c r="AA20" s="125" t="n">
        <v>4</v>
      </c>
      <c r="AB20" s="125" t="s">
        <v>347</v>
      </c>
      <c r="AC20" s="125" t="n">
        <v>3</v>
      </c>
      <c r="AD20" s="125" t="s">
        <v>349</v>
      </c>
      <c r="AE20" s="127"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9" t="s">
        <v>371</v>
      </c>
      <c r="AM20" s="129" t="s">
        <v>372</v>
      </c>
      <c r="AN20" s="130" t="n">
        <v>23059000000</v>
      </c>
      <c r="AO20" s="131" t="n">
        <v>20058000000</v>
      </c>
      <c r="AP20" s="125" t="str">
        <f aca="false">IF(OR(AN20="",AO20=""),"",IF(AN20&gt;AO20,"OK","LOW CONF"))</f>
        <v>OK</v>
      </c>
      <c r="AQ20" s="132" t="n">
        <v>1.167</v>
      </c>
      <c r="AR20" s="127" t="n">
        <v>1.115</v>
      </c>
      <c r="AS20" s="133" t="str">
        <f aca="false">IF(OR(AQ20="",AR20=""),"",IF(AQ20&lt;AR20,"Decreased",IF(AQ20&gt;AR20,"Increased","Flat")))</f>
        <v>Increased</v>
      </c>
    </row>
    <row r="21" customFormat="false" ht="15" hidden="false" customHeight="true" outlineLevel="1" collapsed="false">
      <c r="A21" s="63" t="s">
        <v>264</v>
      </c>
      <c r="B21" s="123" t="s">
        <v>373</v>
      </c>
      <c r="C21" s="124" t="n">
        <v>46245</v>
      </c>
      <c r="D21" s="125" t="n">
        <v>1</v>
      </c>
      <c r="E21" s="125" t="s">
        <v>348</v>
      </c>
      <c r="F21" s="125" t="n">
        <v>3</v>
      </c>
      <c r="G21" s="125" t="s">
        <v>347</v>
      </c>
      <c r="H21" s="125" t="n">
        <v>4</v>
      </c>
      <c r="I21" s="125" t="s">
        <v>347</v>
      </c>
      <c r="J21" s="125" t="n">
        <v>4</v>
      </c>
      <c r="K21" s="125" t="s">
        <v>347</v>
      </c>
      <c r="L21" s="125" t="n">
        <v>1</v>
      </c>
      <c r="M21" s="125" t="s">
        <v>348</v>
      </c>
      <c r="N21" s="126" t="n">
        <f aca="false">IF(COUNT(D21,F21,H21,J21,L21)=0,"",(D21*0.2+F21*0.15+H21*0.15+J21*0.1+L21*0.1)/(IF(D21&lt;&gt;"",0.2,0)+IF(F21&lt;&gt;"",0.15,0)+IF(H21&lt;&gt;"",0.15,0)+IF(J21&lt;&gt;"",0.1,0)+IF(L21&lt;&gt;"",0.1,0)))</f>
        <v>2.5</v>
      </c>
      <c r="O21" s="127" t="n">
        <f aca="false">IF(COUNT(D21,F21,H21,J21,L21)=0,"",D21*0.2+F21*0.15+H21*0.15+J21*0.1+L21*0.1)</f>
        <v>1.75</v>
      </c>
      <c r="P21" s="125"/>
      <c r="Q21" s="125"/>
      <c r="R21" s="125"/>
      <c r="S21" s="125"/>
      <c r="T21" s="125"/>
      <c r="U21" s="125"/>
      <c r="V21" s="125"/>
      <c r="W21" s="125"/>
      <c r="X21" s="127" t="str">
        <f aca="false">IF(COUNT(P21,R21,T21,V21)=0,"",P21*0.08+R21*0.06+T21*0.03+V21*0.08)</f>
        <v/>
      </c>
      <c r="Y21" s="125"/>
      <c r="Z21" s="125"/>
      <c r="AA21" s="125"/>
      <c r="AB21" s="125"/>
      <c r="AC21" s="125"/>
      <c r="AD21" s="125"/>
      <c r="AE21" s="127"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9" t="s">
        <v>374</v>
      </c>
      <c r="AM21" s="129" t="s">
        <v>375</v>
      </c>
      <c r="AN21" s="125"/>
      <c r="AO21" s="94"/>
      <c r="AP21" s="125" t="str">
        <f aca="false">IF(OR(AN21="",AO21=""),"",IF(AN21&gt;AO21,"OK","LOW CONF"))</f>
        <v/>
      </c>
      <c r="AQ21" s="125"/>
      <c r="AR21" s="94"/>
      <c r="AS21" s="133" t="str">
        <f aca="false">IF(OR(AQ21="",AR21=""),"",IF(AQ21&lt;AR21,"Decreased",IF(AQ21&gt;AR21,"Increased","Flat")))</f>
        <v/>
      </c>
    </row>
    <row r="22" customFormat="false" ht="15" hidden="false" customHeight="true" outlineLevel="1" collapsed="false">
      <c r="A22" s="63" t="s">
        <v>245</v>
      </c>
      <c r="B22" s="123" t="s">
        <v>376</v>
      </c>
      <c r="C22" s="124" t="n">
        <v>46245</v>
      </c>
      <c r="D22" s="125" t="n">
        <v>1</v>
      </c>
      <c r="E22" s="125" t="s">
        <v>348</v>
      </c>
      <c r="F22" s="125" t="n">
        <v>1</v>
      </c>
      <c r="G22" s="125" t="s">
        <v>348</v>
      </c>
      <c r="H22" s="125" t="n">
        <v>2</v>
      </c>
      <c r="I22" s="125" t="s">
        <v>347</v>
      </c>
      <c r="J22" s="125" t="n">
        <v>1</v>
      </c>
      <c r="K22" s="125" t="s">
        <v>348</v>
      </c>
      <c r="L22" s="125" t="n">
        <v>1</v>
      </c>
      <c r="M22" s="125" t="s">
        <v>348</v>
      </c>
      <c r="N22" s="126" t="n">
        <f aca="false">IF(COUNT(D22,F22,H22,J22,L22)=0,"",(D22*0.2+F22*0.15+H22*0.15+J22*0.1+L22*0.1)/(IF(D22&lt;&gt;"",0.2,0)+IF(F22&lt;&gt;"",0.15,0)+IF(H22&lt;&gt;"",0.15,0)+IF(J22&lt;&gt;"",0.1,0)+IF(L22&lt;&gt;"",0.1,0)))</f>
        <v>1.21428571428571</v>
      </c>
      <c r="O22" s="127" t="n">
        <f aca="false">IF(COUNT(D22,F22,H22,J22,L22)=0,"",D22*0.2+F22*0.15+H22*0.15+J22*0.1+L22*0.1)</f>
        <v>0.85</v>
      </c>
      <c r="P22" s="125"/>
      <c r="Q22" s="125"/>
      <c r="R22" s="125"/>
      <c r="S22" s="125"/>
      <c r="T22" s="125"/>
      <c r="U22" s="125"/>
      <c r="V22" s="125"/>
      <c r="W22" s="125"/>
      <c r="X22" s="127" t="str">
        <f aca="false">IF(COUNT(P22,R22,T22,V22)=0,"",P22*0.08+R22*0.06+T22*0.03+V22*0.08)</f>
        <v/>
      </c>
      <c r="Y22" s="125"/>
      <c r="Z22" s="125"/>
      <c r="AA22" s="125"/>
      <c r="AB22" s="125"/>
      <c r="AC22" s="125"/>
      <c r="AD22" s="125"/>
      <c r="AE22" s="127"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9" t="s">
        <v>377</v>
      </c>
      <c r="AM22" s="129" t="s">
        <v>378</v>
      </c>
      <c r="AN22" s="125"/>
      <c r="AO22" s="94"/>
      <c r="AP22" s="125" t="str">
        <f aca="false">IF(OR(AN22="",AO22=""),"",IF(AN22&gt;AO22,"OK","LOW CONF"))</f>
        <v/>
      </c>
      <c r="AQ22" s="125"/>
      <c r="AR22" s="94"/>
      <c r="AS22" s="133" t="str">
        <f aca="false">IF(OR(AQ22="",AR22=""),"",IF(AQ22&lt;AR22,"Decreased",IF(AQ22&gt;AR22,"Increased","Flat")))</f>
        <v/>
      </c>
    </row>
    <row r="23" customFormat="false" ht="15" hidden="false" customHeight="true" outlineLevel="0" collapsed="false">
      <c r="A23" s="63" t="s">
        <v>252</v>
      </c>
      <c r="B23" s="123" t="s">
        <v>379</v>
      </c>
      <c r="C23" s="124" t="n">
        <v>46276</v>
      </c>
      <c r="D23" s="125" t="n">
        <v>4</v>
      </c>
      <c r="E23" s="125" t="s">
        <v>347</v>
      </c>
      <c r="F23" s="125" t="n">
        <v>1</v>
      </c>
      <c r="G23" s="125" t="s">
        <v>347</v>
      </c>
      <c r="H23" s="125" t="n">
        <v>4</v>
      </c>
      <c r="I23" s="125" t="s">
        <v>347</v>
      </c>
      <c r="J23" s="125" t="n">
        <v>4</v>
      </c>
      <c r="K23" s="125" t="s">
        <v>347</v>
      </c>
      <c r="L23" s="125" t="n">
        <v>2</v>
      </c>
      <c r="M23" s="125" t="s">
        <v>347</v>
      </c>
      <c r="N23" s="126" t="n">
        <f aca="false">IF(COUNT(D23,F23,H23,J23,L23)=0,"",(D23*0.2+F23*0.15+H23*0.15+J23*0.1+L23*0.1)/(IF(D23&lt;&gt;"",0.2,0)+IF(F23&lt;&gt;"",0.15,0)+IF(H23&lt;&gt;"",0.15,0)+IF(J23&lt;&gt;"",0.1,0)+IF(L23&lt;&gt;"",0.1,0)))</f>
        <v>3.07142857142857</v>
      </c>
      <c r="O23" s="127" t="n">
        <f aca="false">IF(COUNT(D23,F23,H23,J23,L23)=0,"",D23*0.2+F23*0.15+H23*0.15+J23*0.1+L23*0.1)</f>
        <v>2.15</v>
      </c>
      <c r="P23" s="125"/>
      <c r="Q23" s="125"/>
      <c r="R23" s="125"/>
      <c r="S23" s="125"/>
      <c r="T23" s="125"/>
      <c r="U23" s="125"/>
      <c r="V23" s="125"/>
      <c r="W23" s="125"/>
      <c r="X23" s="127" t="str">
        <f aca="false">IF(COUNT(P23,R23,T23,V23)=0,"",P23*0.08+R23*0.06+T23*0.03+V23*0.08)</f>
        <v/>
      </c>
      <c r="Y23" s="125"/>
      <c r="Z23" s="125"/>
      <c r="AA23" s="125"/>
      <c r="AB23" s="125"/>
      <c r="AC23" s="125"/>
      <c r="AD23" s="125"/>
      <c r="AE23" s="127"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9" t="s">
        <v>377</v>
      </c>
      <c r="AM23" s="129" t="s">
        <v>380</v>
      </c>
      <c r="AN23" s="125"/>
      <c r="AO23" s="94"/>
      <c r="AP23" s="125" t="str">
        <f aca="false">IF(OR(AN23="",AO23=""),"",IF(AN23&gt;AO23,"OK","LOW CONF"))</f>
        <v/>
      </c>
      <c r="AQ23" s="125"/>
      <c r="AR23" s="94"/>
      <c r="AS23" s="133" t="str">
        <f aca="false">IF(OR(AQ23="",AR23=""),"",IF(AQ23&lt;AR23,"Decreased",IF(AQ23&gt;AR23,"Increased","Flat")))</f>
        <v/>
      </c>
    </row>
    <row r="24" customFormat="false" ht="15" hidden="false" customHeight="true" outlineLevel="1" collapsed="false">
      <c r="A24" s="63" t="s">
        <v>260</v>
      </c>
      <c r="B24" s="123" t="s">
        <v>381</v>
      </c>
      <c r="C24" s="124" t="n">
        <v>46245</v>
      </c>
      <c r="D24" s="125" t="n">
        <v>2</v>
      </c>
      <c r="E24" s="125" t="s">
        <v>349</v>
      </c>
      <c r="F24" s="125" t="n">
        <v>2</v>
      </c>
      <c r="G24" s="125" t="s">
        <v>347</v>
      </c>
      <c r="H24" s="125" t="n">
        <v>3</v>
      </c>
      <c r="I24" s="125" t="s">
        <v>347</v>
      </c>
      <c r="J24" s="125" t="n">
        <v>2</v>
      </c>
      <c r="K24" s="125" t="s">
        <v>347</v>
      </c>
      <c r="L24" s="125" t="n">
        <v>1</v>
      </c>
      <c r="M24" s="125" t="s">
        <v>348</v>
      </c>
      <c r="N24" s="126" t="n">
        <f aca="false">IF(COUNT(D24,F24,H24,J24,L24)=0,"",(D24*0.2+F24*0.15+H24*0.15+J24*0.1+L24*0.1)/(IF(D24&lt;&gt;"",0.2,0)+IF(F24&lt;&gt;"",0.15,0)+IF(H24&lt;&gt;"",0.15,0)+IF(J24&lt;&gt;"",0.1,0)+IF(L24&lt;&gt;"",0.1,0)))</f>
        <v>2.07142857142857</v>
      </c>
      <c r="O24" s="127" t="n">
        <f aca="false">IF(COUNT(D24,F24,H24,J24,L24)=0,"",D24*0.2+F24*0.15+H24*0.15+J24*0.1+L24*0.1)</f>
        <v>1.45</v>
      </c>
      <c r="P24" s="125"/>
      <c r="Q24" s="125"/>
      <c r="R24" s="125"/>
      <c r="S24" s="125"/>
      <c r="T24" s="125"/>
      <c r="U24" s="125"/>
      <c r="V24" s="125"/>
      <c r="W24" s="125"/>
      <c r="X24" s="127" t="str">
        <f aca="false">IF(COUNT(P24,R24,T24,V24)=0,"",P24*0.08+R24*0.06+T24*0.03+V24*0.08)</f>
        <v/>
      </c>
      <c r="Y24" s="125"/>
      <c r="Z24" s="125"/>
      <c r="AA24" s="125"/>
      <c r="AB24" s="125"/>
      <c r="AC24" s="125"/>
      <c r="AD24" s="125"/>
      <c r="AE24" s="127"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9" t="s">
        <v>377</v>
      </c>
      <c r="AM24" s="129" t="s">
        <v>382</v>
      </c>
      <c r="AN24" s="125"/>
      <c r="AO24" s="94"/>
      <c r="AP24" s="125" t="str">
        <f aca="false">IF(OR(AN24="",AO24=""),"",IF(AN24&gt;AO24,"OK","LOW CONF"))</f>
        <v/>
      </c>
      <c r="AQ24" s="125"/>
      <c r="AR24" s="94"/>
      <c r="AS24" s="133" t="str">
        <f aca="false">IF(OR(AQ24="",AR24=""),"",IF(AQ24&lt;AR24,"Decreased",IF(AQ24&gt;AR24,"Increased","Flat")))</f>
        <v/>
      </c>
    </row>
    <row r="25" customFormat="false" ht="15" hidden="false" customHeight="true" outlineLevel="1" collapsed="false">
      <c r="A25" s="63" t="s">
        <v>269</v>
      </c>
      <c r="B25" s="123" t="s">
        <v>383</v>
      </c>
      <c r="C25" s="124" t="n">
        <v>46245</v>
      </c>
      <c r="D25" s="125" t="n">
        <v>3</v>
      </c>
      <c r="E25" s="125" t="s">
        <v>347</v>
      </c>
      <c r="F25" s="125" t="n">
        <v>2</v>
      </c>
      <c r="G25" s="125" t="s">
        <v>348</v>
      </c>
      <c r="H25" s="125" t="n">
        <v>3</v>
      </c>
      <c r="I25" s="125" t="s">
        <v>347</v>
      </c>
      <c r="J25" s="125" t="n">
        <v>3</v>
      </c>
      <c r="K25" s="125" t="s">
        <v>347</v>
      </c>
      <c r="L25" s="125" t="n">
        <v>2</v>
      </c>
      <c r="M25" s="125" t="s">
        <v>348</v>
      </c>
      <c r="N25" s="126" t="n">
        <f aca="false">IF(COUNT(D25,F25,H25,J25,L25)=0,"",(D25*0.2+F25*0.15+H25*0.15+J25*0.1+L25*0.1)/(IF(D25&lt;&gt;"",0.2,0)+IF(F25&lt;&gt;"",0.15,0)+IF(H25&lt;&gt;"",0.15,0)+IF(J25&lt;&gt;"",0.1,0)+IF(L25&lt;&gt;"",0.1,0)))</f>
        <v>2.64285714285714</v>
      </c>
      <c r="O25" s="127" t="n">
        <f aca="false">IF(COUNT(D25,F25,H25,J25,L25)=0,"",D25*0.2+F25*0.15+H25*0.15+J25*0.1+L25*0.1)</f>
        <v>1.85</v>
      </c>
      <c r="P25" s="125"/>
      <c r="Q25" s="125"/>
      <c r="R25" s="125"/>
      <c r="S25" s="125"/>
      <c r="T25" s="125"/>
      <c r="U25" s="125"/>
      <c r="V25" s="125"/>
      <c r="W25" s="125"/>
      <c r="X25" s="127" t="str">
        <f aca="false">IF(COUNT(P25,R25,T25,V25)=0,"",P25*0.08+R25*0.06+T25*0.03+V25*0.08)</f>
        <v/>
      </c>
      <c r="Y25" s="125"/>
      <c r="Z25" s="125"/>
      <c r="AA25" s="125"/>
      <c r="AB25" s="125"/>
      <c r="AC25" s="125"/>
      <c r="AD25" s="125"/>
      <c r="AE25" s="127"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9" t="s">
        <v>377</v>
      </c>
      <c r="AM25" s="129" t="s">
        <v>382</v>
      </c>
      <c r="AN25" s="125"/>
      <c r="AO25" s="94"/>
      <c r="AP25" s="125" t="str">
        <f aca="false">IF(OR(AN25="",AO25=""),"",IF(AN25&gt;AO25,"OK","LOW CONF"))</f>
        <v/>
      </c>
      <c r="AQ25" s="125"/>
      <c r="AR25" s="94"/>
      <c r="AS25" s="133" t="str">
        <f aca="false">IF(OR(AQ25="",AR25=""),"",IF(AQ25&lt;AR25,"Decreased",IF(AQ25&gt;AR25,"Increased","Flat")))</f>
        <v/>
      </c>
    </row>
    <row r="26" customFormat="false" ht="15" hidden="false" customHeight="true" outlineLevel="1" collapsed="false">
      <c r="A26" s="63" t="s">
        <v>240</v>
      </c>
      <c r="B26" s="123" t="s">
        <v>384</v>
      </c>
      <c r="C26" s="124" t="n">
        <v>46245</v>
      </c>
      <c r="D26" s="125" t="n">
        <v>2</v>
      </c>
      <c r="E26" s="125" t="s">
        <v>347</v>
      </c>
      <c r="F26" s="125" t="n">
        <v>1</v>
      </c>
      <c r="G26" s="125" t="s">
        <v>348</v>
      </c>
      <c r="H26" s="125" t="n">
        <v>2</v>
      </c>
      <c r="I26" s="125" t="s">
        <v>347</v>
      </c>
      <c r="J26" s="125" t="n">
        <v>2</v>
      </c>
      <c r="K26" s="125" t="s">
        <v>347</v>
      </c>
      <c r="L26" s="125" t="n">
        <v>2</v>
      </c>
      <c r="M26" s="125" t="s">
        <v>347</v>
      </c>
      <c r="N26" s="126" t="n">
        <f aca="false">IF(COUNT(D26,F26,H26,J26,L26)=0,"",(D26*0.2+F26*0.15+H26*0.15+J26*0.1+L26*0.1)/(IF(D26&lt;&gt;"",0.2,0)+IF(F26&lt;&gt;"",0.15,0)+IF(H26&lt;&gt;"",0.15,0)+IF(J26&lt;&gt;"",0.1,0)+IF(L26&lt;&gt;"",0.1,0)))</f>
        <v>1.78571428571429</v>
      </c>
      <c r="O26" s="127" t="n">
        <f aca="false">IF(COUNT(D26,F26,H26,J26,L26)=0,"",D26*0.2+F26*0.15+H26*0.15+J26*0.1+L26*0.1)</f>
        <v>1.25</v>
      </c>
      <c r="P26" s="125"/>
      <c r="Q26" s="125"/>
      <c r="R26" s="125"/>
      <c r="S26" s="125"/>
      <c r="T26" s="125"/>
      <c r="U26" s="125"/>
      <c r="V26" s="125"/>
      <c r="W26" s="125"/>
      <c r="X26" s="127" t="str">
        <f aca="false">IF(COUNT(P26,R26,T26,V26)=0,"",P26*0.08+R26*0.06+T26*0.03+V26*0.08)</f>
        <v/>
      </c>
      <c r="Y26" s="125"/>
      <c r="Z26" s="125"/>
      <c r="AA26" s="125"/>
      <c r="AB26" s="125"/>
      <c r="AC26" s="125"/>
      <c r="AD26" s="125"/>
      <c r="AE26" s="127"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9" t="s">
        <v>385</v>
      </c>
      <c r="AM26" s="129" t="s">
        <v>386</v>
      </c>
      <c r="AN26" s="125"/>
      <c r="AO26" s="94"/>
      <c r="AP26" s="125" t="str">
        <f aca="false">IF(OR(AN26="",AO26=""),"",IF(AN26&gt;AO26,"OK","LOW CONF"))</f>
        <v/>
      </c>
      <c r="AQ26" s="125"/>
      <c r="AR26" s="94"/>
      <c r="AS26" s="133" t="str">
        <f aca="false">IF(OR(AQ26="",AR26=""),"",IF(AQ26&lt;AR26,"Decreased",IF(AQ26&gt;AR26,"Increased","Flat")))</f>
        <v/>
      </c>
    </row>
    <row r="27" customFormat="false" ht="15" hidden="false" customHeight="true" outlineLevel="1" collapsed="false">
      <c r="A27" s="63" t="s">
        <v>241</v>
      </c>
      <c r="B27" s="123" t="s">
        <v>387</v>
      </c>
      <c r="C27" s="124" t="n">
        <v>46245</v>
      </c>
      <c r="D27" s="125" t="n">
        <v>2</v>
      </c>
      <c r="E27" s="125" t="s">
        <v>348</v>
      </c>
      <c r="F27" s="125" t="n">
        <v>2</v>
      </c>
      <c r="G27" s="125" t="s">
        <v>347</v>
      </c>
      <c r="H27" s="125" t="n">
        <v>2</v>
      </c>
      <c r="I27" s="125" t="s">
        <v>347</v>
      </c>
      <c r="J27" s="125" t="n">
        <v>2</v>
      </c>
      <c r="K27" s="125" t="s">
        <v>347</v>
      </c>
      <c r="L27" s="125" t="n">
        <v>1</v>
      </c>
      <c r="M27" s="125" t="s">
        <v>348</v>
      </c>
      <c r="N27" s="126" t="n">
        <f aca="false">IF(COUNT(D27,F27,H27,J27,L27)=0,"",(D27*0.2+F27*0.15+H27*0.15+J27*0.1+L27*0.1)/(IF(D27&lt;&gt;"",0.2,0)+IF(F27&lt;&gt;"",0.15,0)+IF(H27&lt;&gt;"",0.15,0)+IF(J27&lt;&gt;"",0.1,0)+IF(L27&lt;&gt;"",0.1,0)))</f>
        <v>1.85714285714286</v>
      </c>
      <c r="O27" s="127" t="n">
        <f aca="false">IF(COUNT(D27,F27,H27,J27,L27)=0,"",D27*0.2+F27*0.15+H27*0.15+J27*0.1+L27*0.1)</f>
        <v>1.3</v>
      </c>
      <c r="P27" s="125"/>
      <c r="Q27" s="125"/>
      <c r="R27" s="125"/>
      <c r="S27" s="125"/>
      <c r="T27" s="125"/>
      <c r="U27" s="125"/>
      <c r="V27" s="125"/>
      <c r="W27" s="125"/>
      <c r="X27" s="127" t="str">
        <f aca="false">IF(COUNT(P27,R27,T27,V27)=0,"",P27*0.08+R27*0.06+T27*0.03+V27*0.08)</f>
        <v/>
      </c>
      <c r="Y27" s="125"/>
      <c r="Z27" s="125"/>
      <c r="AA27" s="125"/>
      <c r="AB27" s="125"/>
      <c r="AC27" s="125"/>
      <c r="AD27" s="125"/>
      <c r="AE27" s="127"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9" t="s">
        <v>385</v>
      </c>
      <c r="AM27" s="129" t="s">
        <v>388</v>
      </c>
      <c r="AN27" s="125"/>
      <c r="AO27" s="94"/>
      <c r="AP27" s="125" t="str">
        <f aca="false">IF(OR(AN27="",AO27=""),"",IF(AN27&gt;AO27,"OK","LOW CONF"))</f>
        <v/>
      </c>
      <c r="AQ27" s="125"/>
      <c r="AR27" s="94"/>
      <c r="AS27" s="133" t="str">
        <f aca="false">IF(OR(AQ27="",AR27=""),"",IF(AQ27&lt;AR27,"Decreased",IF(AQ27&gt;AR27,"Increased","Flat")))</f>
        <v/>
      </c>
    </row>
    <row r="28" customFormat="false" ht="15" hidden="false" customHeight="true" outlineLevel="0" collapsed="false">
      <c r="A28" s="63" t="s">
        <v>262</v>
      </c>
      <c r="B28" s="123" t="s">
        <v>389</v>
      </c>
      <c r="C28" s="124" t="n">
        <v>46276</v>
      </c>
      <c r="D28" s="125" t="n">
        <v>2</v>
      </c>
      <c r="E28" s="125" t="s">
        <v>347</v>
      </c>
      <c r="F28" s="125" t="n">
        <v>2</v>
      </c>
      <c r="G28" s="125" t="s">
        <v>347</v>
      </c>
      <c r="H28" s="125" t="n">
        <v>5</v>
      </c>
      <c r="I28" s="125" t="s">
        <v>348</v>
      </c>
      <c r="J28" s="125" t="n">
        <v>5</v>
      </c>
      <c r="K28" s="125" t="s">
        <v>348</v>
      </c>
      <c r="L28" s="125" t="n">
        <v>2</v>
      </c>
      <c r="M28" s="125" t="s">
        <v>347</v>
      </c>
      <c r="N28" s="126" t="n">
        <f aca="false">IF(COUNT(D28,F28,H28,J28,L28)=0,"",(D28*0.2+F28*0.15+H28*0.15+J28*0.1+L28*0.1)/(IF(D28&lt;&gt;"",0.2,0)+IF(F28&lt;&gt;"",0.15,0)+IF(H28&lt;&gt;"",0.15,0)+IF(J28&lt;&gt;"",0.1,0)+IF(L28&lt;&gt;"",0.1,0)))</f>
        <v>3.07142857142857</v>
      </c>
      <c r="O28" s="94" t="n">
        <f aca="false">IF(COUNT(D28,F28,H28,J28,L28)=0,"",D28*0.2+F28*0.15+H28*0.15+J28*0.1+L28*0.1)</f>
        <v>2.15</v>
      </c>
      <c r="P28" s="125"/>
      <c r="Q28" s="125"/>
      <c r="R28" s="125"/>
      <c r="S28" s="125"/>
      <c r="T28" s="125"/>
      <c r="U28" s="125"/>
      <c r="V28" s="125"/>
      <c r="W28" s="125"/>
      <c r="X28" s="66" t="str">
        <f aca="false">IF(COUNT(P28,R28,T28,V28)=0,"",P28*0.08+R28*0.06+T28*0.03+V28*0.08)</f>
        <v/>
      </c>
      <c r="Y28" s="125"/>
      <c r="Z28" s="125"/>
      <c r="AA28" s="125"/>
      <c r="AB28" s="125"/>
      <c r="AC28" s="125"/>
      <c r="AD28" s="125"/>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9" t="s">
        <v>385</v>
      </c>
      <c r="AM28" s="129" t="s">
        <v>390</v>
      </c>
      <c r="AN28" s="125"/>
      <c r="AO28" s="94"/>
      <c r="AP28" s="125" t="str">
        <f aca="false">IF(OR(AN28="",AO28=""),"",IF(AN28&gt;AO28,"OK","LOW CONF"))</f>
        <v/>
      </c>
      <c r="AQ28" s="125"/>
      <c r="AR28" s="94"/>
      <c r="AS28" s="134" t="str">
        <f aca="false">IF(OR(AQ28="",AR28=""),"",IF(AQ28&lt;AR28,"Decreased",IF(AQ28&gt;AR28,"Increased","Flat")))</f>
        <v/>
      </c>
    </row>
    <row r="29" customFormat="false" ht="15" hidden="false" customHeight="true" outlineLevel="1" collapsed="false">
      <c r="A29" s="63" t="s">
        <v>246</v>
      </c>
      <c r="B29" s="123" t="s">
        <v>391</v>
      </c>
      <c r="C29" s="124" t="n">
        <v>46245</v>
      </c>
      <c r="D29" s="125" t="n">
        <v>2</v>
      </c>
      <c r="E29" s="125" t="s">
        <v>347</v>
      </c>
      <c r="F29" s="125" t="n">
        <v>2</v>
      </c>
      <c r="G29" s="125" t="s">
        <v>347</v>
      </c>
      <c r="H29" s="125" t="n">
        <v>3</v>
      </c>
      <c r="I29" s="125" t="s">
        <v>347</v>
      </c>
      <c r="J29" s="125" t="n">
        <v>3</v>
      </c>
      <c r="K29" s="125" t="s">
        <v>347</v>
      </c>
      <c r="L29" s="125" t="n">
        <v>2</v>
      </c>
      <c r="M29" s="125" t="s">
        <v>348</v>
      </c>
      <c r="N29" s="126" t="n">
        <f aca="false">IF(COUNT(D29,F29,H29,J29,L29)=0,"",(D29*0.2+F29*0.15+H29*0.15+J29*0.1+L29*0.1)/(IF(D29&lt;&gt;"",0.2,0)+IF(F29&lt;&gt;"",0.15,0)+IF(H29&lt;&gt;"",0.15,0)+IF(J29&lt;&gt;"",0.1,0)+IF(L29&lt;&gt;"",0.1,0)))</f>
        <v>2.35714285714286</v>
      </c>
      <c r="O29" s="94" t="n">
        <f aca="false">IF(COUNT(D29,F29,H29,J29,L29)=0,"",D29*0.2+F29*0.15+H29*0.15+J29*0.1+L29*0.1)</f>
        <v>1.65</v>
      </c>
      <c r="P29" s="125"/>
      <c r="Q29" s="125"/>
      <c r="R29" s="125"/>
      <c r="S29" s="125"/>
      <c r="T29" s="125"/>
      <c r="U29" s="125"/>
      <c r="V29" s="125"/>
      <c r="W29" s="125"/>
      <c r="X29" s="66" t="str">
        <f aca="false">IF(COUNT(P29,R29,T29,V29)=0,"",P29*0.08+R29*0.06+T29*0.03+V29*0.08)</f>
        <v/>
      </c>
      <c r="Y29" s="125"/>
      <c r="Z29" s="125"/>
      <c r="AA29" s="125"/>
      <c r="AB29" s="125"/>
      <c r="AC29" s="125"/>
      <c r="AD29" s="125"/>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9" t="s">
        <v>358</v>
      </c>
      <c r="AM29" s="129" t="s">
        <v>392</v>
      </c>
      <c r="AN29" s="125"/>
      <c r="AO29" s="94"/>
      <c r="AP29" s="125" t="str">
        <f aca="false">IF(OR(AN29="",AO29=""),"",IF(AN29&gt;AO29,"OK","LOW CONF"))</f>
        <v/>
      </c>
      <c r="AQ29" s="125"/>
      <c r="AR29" s="94"/>
      <c r="AS29" s="134" t="str">
        <f aca="false">IF(OR(AQ29="",AR29=""),"",IF(AQ29&lt;AR29,"Decreased",IF(AQ29&gt;AR29,"Increased","Flat")))</f>
        <v/>
      </c>
    </row>
    <row r="30" customFormat="false" ht="15" hidden="false" customHeight="true" outlineLevel="1" collapsed="false">
      <c r="A30" s="63" t="s">
        <v>250</v>
      </c>
      <c r="B30" s="123" t="s">
        <v>393</v>
      </c>
      <c r="C30" s="124" t="n">
        <v>46245</v>
      </c>
      <c r="D30" s="125" t="n">
        <v>2</v>
      </c>
      <c r="E30" s="125" t="s">
        <v>347</v>
      </c>
      <c r="F30" s="125" t="n">
        <v>1</v>
      </c>
      <c r="G30" s="125" t="s">
        <v>348</v>
      </c>
      <c r="H30" s="125" t="n">
        <v>3</v>
      </c>
      <c r="I30" s="125" t="s">
        <v>347</v>
      </c>
      <c r="J30" s="125" t="n">
        <v>2</v>
      </c>
      <c r="K30" s="125" t="s">
        <v>347</v>
      </c>
      <c r="L30" s="125" t="n">
        <v>3</v>
      </c>
      <c r="M30" s="125" t="s">
        <v>347</v>
      </c>
      <c r="N30" s="126" t="n">
        <f aca="false">IF(COUNT(D30,F30,H30,J30,L30)=0,"",(D30*0.2+F30*0.15+H30*0.15+J30*0.1+L30*0.1)/(IF(D30&lt;&gt;"",0.2,0)+IF(F30&lt;&gt;"",0.15,0)+IF(H30&lt;&gt;"",0.15,0)+IF(J30&lt;&gt;"",0.1,0)+IF(L30&lt;&gt;"",0.1,0)))</f>
        <v>2.14285714285714</v>
      </c>
      <c r="O30" s="94" t="n">
        <f aca="false">IF(COUNT(D30,F30,H30,J30,L30)=0,"",D30*0.2+F30*0.15+H30*0.15+J30*0.1+L30*0.1)</f>
        <v>1.5</v>
      </c>
      <c r="P30" s="125"/>
      <c r="Q30" s="125"/>
      <c r="R30" s="125"/>
      <c r="S30" s="125"/>
      <c r="T30" s="125"/>
      <c r="U30" s="125"/>
      <c r="V30" s="125"/>
      <c r="W30" s="125"/>
      <c r="X30" s="66" t="str">
        <f aca="false">IF(COUNT(P30,R30,T30,V30)=0,"",P30*0.08+R30*0.06+T30*0.03+V30*0.08)</f>
        <v/>
      </c>
      <c r="Y30" s="125"/>
      <c r="Z30" s="125"/>
      <c r="AA30" s="125"/>
      <c r="AB30" s="125"/>
      <c r="AC30" s="125"/>
      <c r="AD30" s="125"/>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9" t="s">
        <v>358</v>
      </c>
      <c r="AM30" s="129" t="s">
        <v>394</v>
      </c>
      <c r="AN30" s="125"/>
      <c r="AO30" s="94"/>
      <c r="AP30" s="125" t="str">
        <f aca="false">IF(OR(AN30="",AO30=""),"",IF(AN30&gt;AO30,"OK","LOW CONF"))</f>
        <v/>
      </c>
      <c r="AQ30" s="125"/>
      <c r="AR30" s="94"/>
      <c r="AS30" s="134" t="str">
        <f aca="false">IF(OR(AQ30="",AR30=""),"",IF(AQ30&lt;AR30,"Decreased",IF(AQ30&gt;AR30,"Increased","Flat")))</f>
        <v/>
      </c>
    </row>
    <row r="31" customFormat="false" ht="15" hidden="false" customHeight="true" outlineLevel="1" collapsed="false">
      <c r="A31" s="63" t="s">
        <v>259</v>
      </c>
      <c r="B31" s="123" t="s">
        <v>395</v>
      </c>
      <c r="C31" s="124" t="n">
        <v>46245</v>
      </c>
      <c r="D31" s="125" t="n">
        <v>1</v>
      </c>
      <c r="E31" s="125" t="s">
        <v>348</v>
      </c>
      <c r="F31" s="125" t="n">
        <v>2</v>
      </c>
      <c r="G31" s="125" t="s">
        <v>347</v>
      </c>
      <c r="H31" s="125" t="n">
        <v>3</v>
      </c>
      <c r="I31" s="125" t="s">
        <v>347</v>
      </c>
      <c r="J31" s="125" t="n">
        <v>3</v>
      </c>
      <c r="K31" s="125" t="s">
        <v>347</v>
      </c>
      <c r="L31" s="125" t="n">
        <v>1</v>
      </c>
      <c r="M31" s="125" t="s">
        <v>348</v>
      </c>
      <c r="N31" s="126" t="n">
        <f aca="false">IF(COUNT(D31,F31,H31,J31,L31)=0,"",(D31*0.2+F31*0.15+H31*0.15+J31*0.1+L31*0.1)/(IF(D31&lt;&gt;"",0.2,0)+IF(F31&lt;&gt;"",0.15,0)+IF(H31&lt;&gt;"",0.15,0)+IF(J31&lt;&gt;"",0.1,0)+IF(L31&lt;&gt;"",0.1,0)))</f>
        <v>1.92857142857143</v>
      </c>
      <c r="O31" s="94" t="n">
        <f aca="false">IF(COUNT(D31,F31,H31,J31,L31)=0,"",D31*0.2+F31*0.15+H31*0.15+J31*0.1+L31*0.1)</f>
        <v>1.35</v>
      </c>
      <c r="P31" s="125"/>
      <c r="Q31" s="125"/>
      <c r="R31" s="125"/>
      <c r="S31" s="125"/>
      <c r="T31" s="125"/>
      <c r="U31" s="125"/>
      <c r="V31" s="125"/>
      <c r="W31" s="125"/>
      <c r="X31" s="66" t="str">
        <f aca="false">IF(COUNT(P31,R31,T31,V31)=0,"",P31*0.08+R31*0.06+T31*0.03+V31*0.08)</f>
        <v/>
      </c>
      <c r="Y31" s="125"/>
      <c r="Z31" s="125"/>
      <c r="AA31" s="125"/>
      <c r="AB31" s="125"/>
      <c r="AC31" s="125"/>
      <c r="AD31" s="125"/>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9" t="s">
        <v>358</v>
      </c>
      <c r="AM31" s="129" t="s">
        <v>396</v>
      </c>
      <c r="AN31" s="125"/>
      <c r="AO31" s="94"/>
      <c r="AP31" s="125" t="str">
        <f aca="false">IF(OR(AN31="",AO31=""),"",IF(AN31&gt;AO31,"OK","LOW CONF"))</f>
        <v/>
      </c>
      <c r="AQ31" s="125"/>
      <c r="AR31" s="94"/>
      <c r="AS31" s="134" t="str">
        <f aca="false">IF(OR(AQ31="",AR31=""),"",IF(AQ31&lt;AR31,"Decreased",IF(AQ31&gt;AR31,"Increased","Flat")))</f>
        <v/>
      </c>
    </row>
    <row r="32" customFormat="false" ht="15" hidden="false" customHeight="true" outlineLevel="0" collapsed="false">
      <c r="A32" s="63" t="s">
        <v>273</v>
      </c>
      <c r="B32" s="123" t="s">
        <v>397</v>
      </c>
      <c r="C32" s="124" t="n">
        <v>46278</v>
      </c>
      <c r="D32" s="125" t="n">
        <v>4</v>
      </c>
      <c r="E32" s="125" t="s">
        <v>347</v>
      </c>
      <c r="F32" s="125" t="n">
        <v>3</v>
      </c>
      <c r="G32" s="125" t="s">
        <v>347</v>
      </c>
      <c r="H32" s="125" t="n">
        <v>5</v>
      </c>
      <c r="I32" s="125" t="s">
        <v>348</v>
      </c>
      <c r="J32" s="125" t="n">
        <v>4</v>
      </c>
      <c r="K32" s="125" t="s">
        <v>347</v>
      </c>
      <c r="L32" s="125" t="n">
        <v>4</v>
      </c>
      <c r="M32" s="125" t="s">
        <v>347</v>
      </c>
      <c r="N32" s="126" t="n">
        <f aca="false">IF(COUNT(D32,F32,H32,J32,L32)=0,"",(D32*0.2+F32*0.15+H32*0.15+J32*0.1+L32*0.1)/(IF(D32&lt;&gt;"",0.2,0)+IF(F32&lt;&gt;"",0.15,0)+IF(H32&lt;&gt;"",0.15,0)+IF(J32&lt;&gt;"",0.1,0)+IF(L32&lt;&gt;"",0.1,0)))</f>
        <v>4</v>
      </c>
      <c r="O32" s="94" t="n">
        <f aca="false">IF(COUNT(D32,F32,H32,J32,L32)=0,"",D32*0.2+F32*0.15+H32*0.15+J32*0.1+L32*0.1)</f>
        <v>2.8</v>
      </c>
      <c r="P32" s="125"/>
      <c r="Q32" s="125"/>
      <c r="R32" s="125"/>
      <c r="S32" s="125"/>
      <c r="T32" s="125"/>
      <c r="U32" s="125"/>
      <c r="V32" s="125"/>
      <c r="W32" s="125"/>
      <c r="X32" s="66" t="str">
        <f aca="false">IF(COUNT(P32,R32,T32,V32)=0,"",P32*0.08+R32*0.06+T32*0.03+V32*0.08)</f>
        <v/>
      </c>
      <c r="Y32" s="125"/>
      <c r="Z32" s="125"/>
      <c r="AA32" s="125"/>
      <c r="AB32" s="125"/>
      <c r="AC32" s="125"/>
      <c r="AD32" s="125"/>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9" t="s">
        <v>358</v>
      </c>
      <c r="AM32" s="129" t="s">
        <v>394</v>
      </c>
      <c r="AN32" s="125"/>
      <c r="AO32" s="94"/>
      <c r="AP32" s="125" t="str">
        <f aca="false">IF(OR(AN32="",AO32=""),"",IF(AN32&gt;AO32,"OK","LOW CONF"))</f>
        <v/>
      </c>
      <c r="AQ32" s="125"/>
      <c r="AR32" s="94"/>
      <c r="AS32" s="134" t="str">
        <f aca="false">IF(OR(AQ32="",AR32=""),"",IF(AQ32&lt;AR32,"Decreased",IF(AQ32&gt;AR32,"Increased","Flat")))</f>
        <v/>
      </c>
    </row>
    <row r="33" customFormat="false" ht="15" hidden="false" customHeight="true" outlineLevel="0" collapsed="false">
      <c r="A33" s="63" t="s">
        <v>242</v>
      </c>
      <c r="B33" s="123" t="s">
        <v>398</v>
      </c>
      <c r="C33" s="124" t="n">
        <v>46245</v>
      </c>
      <c r="D33" s="125" t="n">
        <v>4</v>
      </c>
      <c r="E33" s="125" t="s">
        <v>348</v>
      </c>
      <c r="F33" s="125" t="n">
        <v>4</v>
      </c>
      <c r="G33" s="125" t="s">
        <v>348</v>
      </c>
      <c r="H33" s="125" t="n">
        <v>4</v>
      </c>
      <c r="I33" s="125" t="s">
        <v>348</v>
      </c>
      <c r="J33" s="125" t="n">
        <v>3</v>
      </c>
      <c r="K33" s="125" t="s">
        <v>347</v>
      </c>
      <c r="L33" s="125" t="n">
        <v>3</v>
      </c>
      <c r="M33" s="125" t="s">
        <v>348</v>
      </c>
      <c r="N33" s="126" t="n">
        <f aca="false">IF(COUNT(D33,F33,H33,J33,L33)=0,"",(D33*0.2+F33*0.15+H33*0.15+J33*0.1+L33*0.1)/(IF(D33&lt;&gt;"",0.2,0)+IF(F33&lt;&gt;"",0.15,0)+IF(H33&lt;&gt;"",0.15,0)+IF(J33&lt;&gt;"",0.1,0)+IF(L33&lt;&gt;"",0.1,0)))</f>
        <v>3.71428571428571</v>
      </c>
      <c r="O33" s="94" t="n">
        <f aca="false">IF(COUNT(D33,F33,H33,J33,L33)=0,"",D33*0.2+F33*0.15+H33*0.15+J33*0.1+L33*0.1)</f>
        <v>2.6</v>
      </c>
      <c r="P33" s="125"/>
      <c r="Q33" s="125"/>
      <c r="R33" s="125"/>
      <c r="S33" s="125"/>
      <c r="T33" s="125"/>
      <c r="U33" s="125"/>
      <c r="V33" s="125"/>
      <c r="W33" s="125"/>
      <c r="X33" s="66" t="str">
        <f aca="false">IF(COUNT(P33,R33,T33,V33)=0,"",P33*0.08+R33*0.06+T33*0.03+V33*0.08)</f>
        <v/>
      </c>
      <c r="Y33" s="125"/>
      <c r="Z33" s="125"/>
      <c r="AA33" s="125"/>
      <c r="AB33" s="125"/>
      <c r="AC33" s="125"/>
      <c r="AD33" s="125"/>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9" t="s">
        <v>360</v>
      </c>
      <c r="AM33" s="129" t="s">
        <v>399</v>
      </c>
      <c r="AN33" s="125"/>
      <c r="AO33" s="94"/>
      <c r="AP33" s="125" t="str">
        <f aca="false">IF(OR(AN33="",AO33=""),"",IF(AN33&gt;AO33,"OK","LOW CONF"))</f>
        <v/>
      </c>
      <c r="AQ33" s="125"/>
      <c r="AR33" s="94"/>
      <c r="AS33" s="134" t="str">
        <f aca="false">IF(OR(AQ33="",AR33=""),"",IF(AQ33&lt;AR33,"Decreased",IF(AQ33&gt;AR33,"Increased","Flat")))</f>
        <v/>
      </c>
    </row>
    <row r="34" customFormat="false" ht="15" hidden="false" customHeight="true" outlineLevel="0" collapsed="false">
      <c r="A34" s="63" t="s">
        <v>249</v>
      </c>
      <c r="B34" s="123" t="s">
        <v>400</v>
      </c>
      <c r="C34" s="124" t="n">
        <v>46278</v>
      </c>
      <c r="D34" s="125" t="n">
        <v>5</v>
      </c>
      <c r="E34" s="125" t="s">
        <v>347</v>
      </c>
      <c r="F34" s="125" t="n">
        <v>2</v>
      </c>
      <c r="G34" s="125" t="s">
        <v>347</v>
      </c>
      <c r="H34" s="125" t="n">
        <v>5</v>
      </c>
      <c r="I34" s="125" t="s">
        <v>348</v>
      </c>
      <c r="J34" s="125" t="n">
        <v>4</v>
      </c>
      <c r="K34" s="125" t="s">
        <v>348</v>
      </c>
      <c r="L34" s="125" t="n">
        <v>3</v>
      </c>
      <c r="M34" s="125" t="s">
        <v>347</v>
      </c>
      <c r="N34" s="126" t="n">
        <f aca="false">IF(COUNT(D34,F34,H34,J34,L34)=0,"",(D34*0.2+F34*0.15+H34*0.15+J34*0.1+L34*0.1)/(IF(D34&lt;&gt;"",0.2,0)+IF(F34&lt;&gt;"",0.15,0)+IF(H34&lt;&gt;"",0.15,0)+IF(J34&lt;&gt;"",0.1,0)+IF(L34&lt;&gt;"",0.1,0)))</f>
        <v>3.92857142857143</v>
      </c>
      <c r="O34" s="94" t="n">
        <f aca="false">IF(COUNT(D34,F34,H34,J34,L34)=0,"",D34*0.2+F34*0.15+H34*0.15+J34*0.1+L34*0.1)</f>
        <v>2.75</v>
      </c>
      <c r="P34" s="125"/>
      <c r="Q34" s="125"/>
      <c r="R34" s="125"/>
      <c r="S34" s="125"/>
      <c r="T34" s="125"/>
      <c r="U34" s="125"/>
      <c r="V34" s="125"/>
      <c r="W34" s="125"/>
      <c r="X34" s="66" t="str">
        <f aca="false">IF(COUNT(P34,R34,T34,V34)=0,"",P34*0.08+R34*0.06+T34*0.03+V34*0.08)</f>
        <v/>
      </c>
      <c r="Y34" s="125"/>
      <c r="Z34" s="125"/>
      <c r="AA34" s="125"/>
      <c r="AB34" s="125"/>
      <c r="AC34" s="125"/>
      <c r="AD34" s="125"/>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9" t="s">
        <v>360</v>
      </c>
      <c r="AM34" s="129" t="s">
        <v>399</v>
      </c>
      <c r="AN34" s="125"/>
      <c r="AO34" s="94"/>
      <c r="AP34" s="125" t="str">
        <f aca="false">IF(OR(AN34="",AO34=""),"",IF(AN34&gt;AO34,"OK","LOW CONF"))</f>
        <v/>
      </c>
      <c r="AQ34" s="125"/>
      <c r="AR34" s="94"/>
      <c r="AS34" s="134" t="str">
        <f aca="false">IF(OR(AQ34="",AR34=""),"",IF(AQ34&lt;AR34,"Decreased",IF(AQ34&gt;AR34,"Increased","Flat")))</f>
        <v/>
      </c>
    </row>
    <row r="35" customFormat="false" ht="15" hidden="false" customHeight="true" outlineLevel="1" collapsed="false">
      <c r="A35" s="63" t="s">
        <v>277</v>
      </c>
      <c r="B35" s="123" t="s">
        <v>401</v>
      </c>
      <c r="C35" s="124" t="n">
        <v>46245</v>
      </c>
      <c r="D35" s="125" t="n">
        <v>1</v>
      </c>
      <c r="E35" s="125" t="s">
        <v>348</v>
      </c>
      <c r="F35" s="125" t="n">
        <v>1</v>
      </c>
      <c r="G35" s="125" t="s">
        <v>348</v>
      </c>
      <c r="H35" s="125" t="n">
        <v>2</v>
      </c>
      <c r="I35" s="125" t="s">
        <v>347</v>
      </c>
      <c r="J35" s="125" t="n">
        <v>2</v>
      </c>
      <c r="K35" s="125" t="s">
        <v>347</v>
      </c>
      <c r="L35" s="125" t="n">
        <v>1</v>
      </c>
      <c r="M35" s="125" t="s">
        <v>348</v>
      </c>
      <c r="N35" s="126" t="n">
        <f aca="false">IF(COUNT(D35,F35,H35,J35,L35)=0,"",(D35*0.2+F35*0.15+H35*0.15+J35*0.1+L35*0.1)/(IF(D35&lt;&gt;"",0.2,0)+IF(F35&lt;&gt;"",0.15,0)+IF(H35&lt;&gt;"",0.15,0)+IF(J35&lt;&gt;"",0.1,0)+IF(L35&lt;&gt;"",0.1,0)))</f>
        <v>1.35714285714286</v>
      </c>
      <c r="O35" s="94" t="n">
        <f aca="false">IF(COUNT(D35,F35,H35,J35,L35)=0,"",D35*0.2+F35*0.15+H35*0.15+J35*0.1+L35*0.1)</f>
        <v>0.95</v>
      </c>
      <c r="P35" s="125"/>
      <c r="Q35" s="125"/>
      <c r="R35" s="125"/>
      <c r="S35" s="125"/>
      <c r="T35" s="125"/>
      <c r="U35" s="125"/>
      <c r="V35" s="125"/>
      <c r="W35" s="125"/>
      <c r="X35" s="66" t="str">
        <f aca="false">IF(COUNT(P35,R35,T35,V35)=0,"",P35*0.08+R35*0.06+T35*0.03+V35*0.08)</f>
        <v/>
      </c>
      <c r="Y35" s="125"/>
      <c r="Z35" s="125"/>
      <c r="AA35" s="125"/>
      <c r="AB35" s="125"/>
      <c r="AC35" s="125"/>
      <c r="AD35" s="125"/>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9" t="s">
        <v>360</v>
      </c>
      <c r="AM35" s="129" t="s">
        <v>399</v>
      </c>
      <c r="AN35" s="125"/>
      <c r="AO35" s="94"/>
      <c r="AP35" s="125" t="str">
        <f aca="false">IF(OR(AN35="",AO35=""),"",IF(AN35&gt;AO35,"OK","LOW CONF"))</f>
        <v/>
      </c>
      <c r="AQ35" s="125"/>
      <c r="AR35" s="94"/>
      <c r="AS35" s="134" t="str">
        <f aca="false">IF(OR(AQ35="",AR35=""),"",IF(AQ35&lt;AR35,"Decreased",IF(AQ35&gt;AR35,"Increased","Flat")))</f>
        <v/>
      </c>
    </row>
    <row r="36" customFormat="false" ht="15" hidden="false" customHeight="true" outlineLevel="0" collapsed="false">
      <c r="A36" s="63" t="s">
        <v>283</v>
      </c>
      <c r="B36" s="123" t="s">
        <v>402</v>
      </c>
      <c r="C36" s="124" t="n">
        <v>46278</v>
      </c>
      <c r="D36" s="125" t="n">
        <v>4</v>
      </c>
      <c r="E36" s="125" t="s">
        <v>347</v>
      </c>
      <c r="F36" s="125" t="n">
        <v>3</v>
      </c>
      <c r="G36" s="125" t="s">
        <v>347</v>
      </c>
      <c r="H36" s="125" t="n">
        <v>4</v>
      </c>
      <c r="I36" s="125" t="s">
        <v>347</v>
      </c>
      <c r="J36" s="125" t="n">
        <v>4</v>
      </c>
      <c r="K36" s="125" t="s">
        <v>348</v>
      </c>
      <c r="L36" s="125" t="n">
        <v>4</v>
      </c>
      <c r="M36" s="125" t="s">
        <v>347</v>
      </c>
      <c r="N36" s="126" t="n">
        <f aca="false">IF(COUNT(D36,F36,H36,J36,L36)=0,"",(D36*0.2+F36*0.15+H36*0.15+J36*0.1+L36*0.1)/(IF(D36&lt;&gt;"",0.2,0)+IF(F36&lt;&gt;"",0.15,0)+IF(H36&lt;&gt;"",0.15,0)+IF(J36&lt;&gt;"",0.1,0)+IF(L36&lt;&gt;"",0.1,0)))</f>
        <v>3.78571428571429</v>
      </c>
      <c r="O36" s="94" t="n">
        <f aca="false">IF(COUNT(D36,F36,H36,J36,L36)=0,"",D36*0.2+F36*0.15+H36*0.15+J36*0.1+L36*0.1)</f>
        <v>2.65</v>
      </c>
      <c r="P36" s="125"/>
      <c r="Q36" s="125"/>
      <c r="R36" s="125"/>
      <c r="S36" s="125"/>
      <c r="T36" s="125"/>
      <c r="U36" s="125"/>
      <c r="V36" s="125"/>
      <c r="W36" s="125"/>
      <c r="X36" s="66" t="str">
        <f aca="false">IF(COUNT(P36,R36,T36,V36)=0,"",P36*0.08+R36*0.06+T36*0.03+V36*0.08)</f>
        <v/>
      </c>
      <c r="Y36" s="125"/>
      <c r="Z36" s="125"/>
      <c r="AA36" s="125"/>
      <c r="AB36" s="125"/>
      <c r="AC36" s="125"/>
      <c r="AD36" s="125"/>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9" t="s">
        <v>360</v>
      </c>
      <c r="AM36" s="129" t="s">
        <v>399</v>
      </c>
      <c r="AN36" s="125"/>
      <c r="AO36" s="94"/>
      <c r="AP36" s="125" t="str">
        <f aca="false">IF(OR(AN36="",AO36=""),"",IF(AN36&gt;AO36,"OK","LOW CONF"))</f>
        <v/>
      </c>
      <c r="AQ36" s="125"/>
      <c r="AR36" s="94"/>
      <c r="AS36" s="134" t="str">
        <f aca="false">IF(OR(AQ36="",AR36=""),"",IF(AQ36&lt;AR36,"Decreased",IF(AQ36&gt;AR36,"Increased","Flat")))</f>
        <v/>
      </c>
    </row>
    <row r="37" customFormat="false" ht="15" hidden="false" customHeight="true" outlineLevel="1" collapsed="false">
      <c r="A37" s="63" t="s">
        <v>266</v>
      </c>
      <c r="B37" s="123" t="s">
        <v>403</v>
      </c>
      <c r="C37" s="124" t="n">
        <v>46246</v>
      </c>
      <c r="D37" s="125" t="n">
        <v>1</v>
      </c>
      <c r="E37" s="125" t="s">
        <v>348</v>
      </c>
      <c r="F37" s="125" t="n">
        <v>1</v>
      </c>
      <c r="G37" s="125" t="s">
        <v>348</v>
      </c>
      <c r="H37" s="125" t="n">
        <v>3</v>
      </c>
      <c r="I37" s="125" t="s">
        <v>347</v>
      </c>
      <c r="J37" s="125" t="n">
        <v>2</v>
      </c>
      <c r="K37" s="125" t="s">
        <v>347</v>
      </c>
      <c r="L37" s="125" t="n">
        <v>1</v>
      </c>
      <c r="M37" s="125" t="s">
        <v>348</v>
      </c>
      <c r="N37" s="126" t="n">
        <f aca="false">IF(COUNT(D37,F37,H37,J37,L37)=0,"",(D37*0.2+F37*0.15+H37*0.15+J37*0.1+L37*0.1)/(IF(D37&lt;&gt;"",0.2,0)+IF(F37&lt;&gt;"",0.15,0)+IF(H37&lt;&gt;"",0.15,0)+IF(J37&lt;&gt;"",0.1,0)+IF(L37&lt;&gt;"",0.1,0)))</f>
        <v>1.57142857142857</v>
      </c>
      <c r="O37" s="94" t="n">
        <f aca="false">IF(COUNT(D37,F37,H37,J37,L37)=0,"",D37*0.2+F37*0.15+H37*0.15+J37*0.1+L37*0.1)</f>
        <v>1.1</v>
      </c>
      <c r="P37" s="125"/>
      <c r="Q37" s="125"/>
      <c r="R37" s="125"/>
      <c r="S37" s="125"/>
      <c r="T37" s="125"/>
      <c r="U37" s="125"/>
      <c r="V37" s="125"/>
      <c r="W37" s="125"/>
      <c r="X37" s="66" t="str">
        <f aca="false">IF(COUNT(P37,R37,T37,V37)=0,"",P37*0.08+R37*0.06+T37*0.03+V37*0.08)</f>
        <v/>
      </c>
      <c r="Y37" s="125"/>
      <c r="Z37" s="125"/>
      <c r="AA37" s="125"/>
      <c r="AB37" s="125"/>
      <c r="AC37" s="125"/>
      <c r="AD37" s="125"/>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9" t="s">
        <v>360</v>
      </c>
      <c r="AM37" s="129" t="s">
        <v>361</v>
      </c>
      <c r="AN37" s="125"/>
      <c r="AO37" s="94"/>
      <c r="AP37" s="125" t="str">
        <f aca="false">IF(OR(AN37="",AO37=""),"",IF(AN37&gt;AO37,"OK","LOW CONF"))</f>
        <v/>
      </c>
      <c r="AQ37" s="125"/>
      <c r="AR37" s="94"/>
      <c r="AS37" s="134" t="str">
        <f aca="false">IF(OR(AQ37="",AR37=""),"",IF(AQ37&lt;AR37,"Decreased",IF(AQ37&gt;AR37,"Increased","Flat")))</f>
        <v/>
      </c>
    </row>
    <row r="38" customFormat="false" ht="15" hidden="false" customHeight="true" outlineLevel="1" collapsed="false">
      <c r="A38" s="63" t="s">
        <v>281</v>
      </c>
      <c r="B38" s="123" t="s">
        <v>404</v>
      </c>
      <c r="C38" s="124" t="n">
        <v>46246</v>
      </c>
      <c r="D38" s="125" t="n">
        <v>3</v>
      </c>
      <c r="E38" s="125" t="s">
        <v>347</v>
      </c>
      <c r="F38" s="125" t="n">
        <v>3</v>
      </c>
      <c r="G38" s="125" t="s">
        <v>347</v>
      </c>
      <c r="H38" s="125" t="n">
        <v>3</v>
      </c>
      <c r="I38" s="125" t="s">
        <v>347</v>
      </c>
      <c r="J38" s="125" t="n">
        <v>2</v>
      </c>
      <c r="K38" s="125" t="s">
        <v>347</v>
      </c>
      <c r="L38" s="125" t="n">
        <v>3</v>
      </c>
      <c r="M38" s="125" t="s">
        <v>347</v>
      </c>
      <c r="N38" s="126" t="n">
        <f aca="false">IF(COUNT(D38,F38,H38,J38,L38)=0,"",(D38*0.2+F38*0.15+H38*0.15+J38*0.1+L38*0.1)/(IF(D38&lt;&gt;"",0.2,0)+IF(F38&lt;&gt;"",0.15,0)+IF(H38&lt;&gt;"",0.15,0)+IF(J38&lt;&gt;"",0.1,0)+IF(L38&lt;&gt;"",0.1,0)))</f>
        <v>2.85714285714286</v>
      </c>
      <c r="O38" s="94" t="n">
        <f aca="false">IF(COUNT(D38,F38,H38,J38,L38)=0,"",D38*0.2+F38*0.15+H38*0.15+J38*0.1+L38*0.1)</f>
        <v>2</v>
      </c>
      <c r="P38" s="125"/>
      <c r="Q38" s="125"/>
      <c r="R38" s="125"/>
      <c r="S38" s="125"/>
      <c r="T38" s="125"/>
      <c r="U38" s="125"/>
      <c r="V38" s="125"/>
      <c r="W38" s="125"/>
      <c r="X38" s="66" t="str">
        <f aca="false">IF(COUNT(P38,R38,T38,V38)=0,"",P38*0.08+R38*0.06+T38*0.03+V38*0.08)</f>
        <v/>
      </c>
      <c r="Y38" s="125"/>
      <c r="Z38" s="125"/>
      <c r="AA38" s="125"/>
      <c r="AB38" s="125"/>
      <c r="AC38" s="125"/>
      <c r="AD38" s="125"/>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9" t="s">
        <v>360</v>
      </c>
      <c r="AM38" s="129" t="s">
        <v>405</v>
      </c>
      <c r="AN38" s="125"/>
      <c r="AO38" s="94"/>
      <c r="AP38" s="125" t="str">
        <f aca="false">IF(OR(AN38="",AO38=""),"",IF(AN38&gt;AO38,"OK","LOW CONF"))</f>
        <v/>
      </c>
      <c r="AQ38" s="125"/>
      <c r="AR38" s="94"/>
      <c r="AS38" s="134" t="str">
        <f aca="false">IF(OR(AQ38="",AR38=""),"",IF(AQ38&lt;AR38,"Decreased",IF(AQ38&gt;AR38,"Increased","Flat")))</f>
        <v/>
      </c>
    </row>
    <row r="39" customFormat="false" ht="15" hidden="false" customHeight="true" outlineLevel="1" collapsed="false">
      <c r="A39" s="63" t="s">
        <v>258</v>
      </c>
      <c r="B39" s="123" t="s">
        <v>406</v>
      </c>
      <c r="C39" s="124" t="n">
        <v>46246</v>
      </c>
      <c r="D39" s="125" t="n">
        <v>2</v>
      </c>
      <c r="E39" s="125" t="s">
        <v>349</v>
      </c>
      <c r="F39" s="125" t="n">
        <v>4</v>
      </c>
      <c r="G39" s="125" t="s">
        <v>348</v>
      </c>
      <c r="H39" s="125" t="n">
        <v>3</v>
      </c>
      <c r="I39" s="125" t="s">
        <v>347</v>
      </c>
      <c r="J39" s="125" t="n">
        <v>2</v>
      </c>
      <c r="K39" s="125" t="s">
        <v>347</v>
      </c>
      <c r="L39" s="125" t="n">
        <v>1</v>
      </c>
      <c r="M39" s="125" t="s">
        <v>348</v>
      </c>
      <c r="N39" s="126" t="n">
        <f aca="false">IF(COUNT(D39,F39,H39,J39,L39)=0,"",(D39*0.2+F39*0.15+H39*0.15+J39*0.1+L39*0.1)/(IF(D39&lt;&gt;"",0.2,0)+IF(F39&lt;&gt;"",0.15,0)+IF(H39&lt;&gt;"",0.15,0)+IF(J39&lt;&gt;"",0.1,0)+IF(L39&lt;&gt;"",0.1,0)))</f>
        <v>2.5</v>
      </c>
      <c r="O39" s="94" t="n">
        <f aca="false">IF(COUNT(D39,F39,H39,J39,L39)=0,"",D39*0.2+F39*0.15+H39*0.15+J39*0.1+L39*0.1)</f>
        <v>1.75</v>
      </c>
      <c r="P39" s="125"/>
      <c r="Q39" s="125"/>
      <c r="R39" s="125"/>
      <c r="S39" s="125"/>
      <c r="T39" s="125"/>
      <c r="U39" s="125"/>
      <c r="V39" s="125"/>
      <c r="W39" s="125"/>
      <c r="X39" s="66" t="str">
        <f aca="false">IF(COUNT(P39,R39,T39,V39)=0,"",P39*0.08+R39*0.06+T39*0.03+V39*0.08)</f>
        <v/>
      </c>
      <c r="Y39" s="125"/>
      <c r="Z39" s="125"/>
      <c r="AA39" s="125"/>
      <c r="AB39" s="125"/>
      <c r="AC39" s="125"/>
      <c r="AD39" s="125"/>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9" t="s">
        <v>360</v>
      </c>
      <c r="AM39" s="129" t="s">
        <v>405</v>
      </c>
      <c r="AN39" s="125"/>
      <c r="AO39" s="94"/>
      <c r="AP39" s="125" t="str">
        <f aca="false">IF(OR(AN39="",AO39=""),"",IF(AN39&gt;AO39,"OK","LOW CONF"))</f>
        <v/>
      </c>
      <c r="AQ39" s="125"/>
      <c r="AR39" s="94"/>
      <c r="AS39" s="134" t="str">
        <f aca="false">IF(OR(AQ39="",AR39=""),"",IF(AQ39&lt;AR39,"Decreased",IF(AQ39&gt;AR39,"Increased","Flat")))</f>
        <v/>
      </c>
    </row>
    <row r="40" customFormat="false" ht="15" hidden="false" customHeight="true" outlineLevel="1" collapsed="false">
      <c r="A40" s="63" t="s">
        <v>236</v>
      </c>
      <c r="B40" s="123" t="s">
        <v>407</v>
      </c>
      <c r="C40" s="124" t="n">
        <v>46246</v>
      </c>
      <c r="D40" s="125" t="n">
        <v>1</v>
      </c>
      <c r="E40" s="125" t="s">
        <v>348</v>
      </c>
      <c r="F40" s="125" t="n">
        <v>1</v>
      </c>
      <c r="G40" s="125" t="s">
        <v>348</v>
      </c>
      <c r="H40" s="125" t="n">
        <v>2</v>
      </c>
      <c r="I40" s="125" t="s">
        <v>347</v>
      </c>
      <c r="J40" s="125" t="n">
        <v>2</v>
      </c>
      <c r="K40" s="125" t="s">
        <v>347</v>
      </c>
      <c r="L40" s="125" t="n">
        <v>1</v>
      </c>
      <c r="M40" s="125" t="s">
        <v>348</v>
      </c>
      <c r="N40" s="126" t="n">
        <f aca="false">IF(COUNT(D40,F40,H40,J40,L40)=0,"",(D40*0.2+F40*0.15+H40*0.15+J40*0.1+L40*0.1)/(IF(D40&lt;&gt;"",0.2,0)+IF(F40&lt;&gt;"",0.15,0)+IF(H40&lt;&gt;"",0.15,0)+IF(J40&lt;&gt;"",0.1,0)+IF(L40&lt;&gt;"",0.1,0)))</f>
        <v>1.35714285714286</v>
      </c>
      <c r="O40" s="94" t="n">
        <f aca="false">IF(COUNT(D40,F40,H40,J40,L40)=0,"",D40*0.2+F40*0.15+H40*0.15+J40*0.1+L40*0.1)</f>
        <v>0.95</v>
      </c>
      <c r="P40" s="125"/>
      <c r="Q40" s="125"/>
      <c r="R40" s="125"/>
      <c r="S40" s="125"/>
      <c r="T40" s="125"/>
      <c r="U40" s="125"/>
      <c r="V40" s="125"/>
      <c r="W40" s="125"/>
      <c r="X40" s="66" t="str">
        <f aca="false">IF(COUNT(P40,R40,T40,V40)=0,"",P40*0.08+R40*0.06+T40*0.03+V40*0.08)</f>
        <v/>
      </c>
      <c r="Y40" s="125"/>
      <c r="Z40" s="125"/>
      <c r="AA40" s="125"/>
      <c r="AB40" s="125"/>
      <c r="AC40" s="125"/>
      <c r="AD40" s="125"/>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9" t="s">
        <v>360</v>
      </c>
      <c r="AM40" s="129" t="s">
        <v>408</v>
      </c>
      <c r="AN40" s="125"/>
      <c r="AO40" s="94"/>
      <c r="AP40" s="125" t="str">
        <f aca="false">IF(OR(AN40="",AO40=""),"",IF(AN40&gt;AO40,"OK","LOW CONF"))</f>
        <v/>
      </c>
      <c r="AQ40" s="125"/>
      <c r="AR40" s="94"/>
      <c r="AS40" s="134" t="str">
        <f aca="false">IF(OR(AQ40="",AR40=""),"",IF(AQ40&lt;AR40,"Decreased",IF(AQ40&gt;AR40,"Increased","Flat")))</f>
        <v/>
      </c>
    </row>
    <row r="41" customFormat="false" ht="15" hidden="false" customHeight="true" outlineLevel="1" collapsed="false">
      <c r="A41" s="63" t="s">
        <v>238</v>
      </c>
      <c r="B41" s="123" t="s">
        <v>409</v>
      </c>
      <c r="C41" s="124" t="n">
        <v>46246</v>
      </c>
      <c r="D41" s="125" t="n">
        <v>2</v>
      </c>
      <c r="E41" s="125" t="s">
        <v>347</v>
      </c>
      <c r="F41" s="125" t="n">
        <v>3</v>
      </c>
      <c r="G41" s="125" t="s">
        <v>348</v>
      </c>
      <c r="H41" s="125" t="n">
        <v>4</v>
      </c>
      <c r="I41" s="125" t="s">
        <v>347</v>
      </c>
      <c r="J41" s="125" t="n">
        <v>3</v>
      </c>
      <c r="K41" s="125" t="s">
        <v>347</v>
      </c>
      <c r="L41" s="125" t="n">
        <v>2</v>
      </c>
      <c r="M41" s="125" t="s">
        <v>348</v>
      </c>
      <c r="N41" s="126" t="n">
        <f aca="false">IF(COUNT(D41,F41,H41,J41,L41)=0,"",(D41*0.2+F41*0.15+H41*0.15+J41*0.1+L41*0.1)/(IF(D41&lt;&gt;"",0.2,0)+IF(F41&lt;&gt;"",0.15,0)+IF(H41&lt;&gt;"",0.15,0)+IF(J41&lt;&gt;"",0.1,0)+IF(L41&lt;&gt;"",0.1,0)))</f>
        <v>2.78571428571429</v>
      </c>
      <c r="O41" s="94" t="n">
        <f aca="false">IF(COUNT(D41,F41,H41,J41,L41)=0,"",D41*0.2+F41*0.15+H41*0.15+J41*0.1+L41*0.1)</f>
        <v>1.95</v>
      </c>
      <c r="P41" s="125"/>
      <c r="Q41" s="125"/>
      <c r="R41" s="125"/>
      <c r="S41" s="125"/>
      <c r="T41" s="125"/>
      <c r="U41" s="125"/>
      <c r="V41" s="125"/>
      <c r="W41" s="125"/>
      <c r="X41" s="66" t="str">
        <f aca="false">IF(COUNT(P41,R41,T41,V41)=0,"",P41*0.08+R41*0.06+T41*0.03+V41*0.08)</f>
        <v/>
      </c>
      <c r="Y41" s="125"/>
      <c r="Z41" s="125"/>
      <c r="AA41" s="125"/>
      <c r="AB41" s="125"/>
      <c r="AC41" s="125"/>
      <c r="AD41" s="125"/>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9" t="s">
        <v>360</v>
      </c>
      <c r="AM41" s="129" t="s">
        <v>410</v>
      </c>
      <c r="AN41" s="125"/>
      <c r="AO41" s="94"/>
      <c r="AP41" s="125" t="str">
        <f aca="false">IF(OR(AN41="",AO41=""),"",IF(AN41&gt;AO41,"OK","LOW CONF"))</f>
        <v/>
      </c>
      <c r="AQ41" s="125"/>
      <c r="AR41" s="94"/>
      <c r="AS41" s="134" t="str">
        <f aca="false">IF(OR(AQ41="",AR41=""),"",IF(AQ41&lt;AR41,"Decreased",IF(AQ41&gt;AR41,"Increased","Flat")))</f>
        <v/>
      </c>
    </row>
    <row r="42" customFormat="false" ht="15" hidden="false" customHeight="true" outlineLevel="0" collapsed="false">
      <c r="A42" s="63" t="s">
        <v>256</v>
      </c>
      <c r="B42" s="123" t="s">
        <v>411</v>
      </c>
      <c r="C42" s="124" t="n">
        <v>46246</v>
      </c>
      <c r="D42" s="125" t="n">
        <v>4</v>
      </c>
      <c r="E42" s="125" t="s">
        <v>348</v>
      </c>
      <c r="F42" s="125" t="n">
        <v>3</v>
      </c>
      <c r="G42" s="125" t="s">
        <v>348</v>
      </c>
      <c r="H42" s="125" t="n">
        <v>3</v>
      </c>
      <c r="I42" s="125" t="s">
        <v>347</v>
      </c>
      <c r="J42" s="125" t="n">
        <v>3</v>
      </c>
      <c r="K42" s="125" t="s">
        <v>347</v>
      </c>
      <c r="L42" s="125" t="n">
        <v>4</v>
      </c>
      <c r="M42" s="125" t="s">
        <v>348</v>
      </c>
      <c r="N42" s="126" t="n">
        <f aca="false">IF(COUNT(D42,F42,H42,J42,L42)=0,"",(D42*0.2+F42*0.15+H42*0.15+J42*0.1+L42*0.1)/(IF(D42&lt;&gt;"",0.2,0)+IF(F42&lt;&gt;"",0.15,0)+IF(H42&lt;&gt;"",0.15,0)+IF(J42&lt;&gt;"",0.1,0)+IF(L42&lt;&gt;"",0.1,0)))</f>
        <v>3.42857142857143</v>
      </c>
      <c r="O42" s="94" t="n">
        <f aca="false">IF(COUNT(D42,F42,H42,J42,L42)=0,"",D42*0.2+F42*0.15+H42*0.15+J42*0.1+L42*0.1)</f>
        <v>2.4</v>
      </c>
      <c r="P42" s="125"/>
      <c r="Q42" s="125"/>
      <c r="R42" s="125"/>
      <c r="S42" s="125"/>
      <c r="T42" s="125"/>
      <c r="U42" s="125"/>
      <c r="V42" s="125"/>
      <c r="W42" s="125"/>
      <c r="X42" s="66" t="str">
        <f aca="false">IF(COUNT(P42,R42,T42,V42)=0,"",P42*0.08+R42*0.06+T42*0.03+V42*0.08)</f>
        <v/>
      </c>
      <c r="Y42" s="125"/>
      <c r="Z42" s="125"/>
      <c r="AA42" s="125"/>
      <c r="AB42" s="125"/>
      <c r="AC42" s="125"/>
      <c r="AD42" s="125"/>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9" t="s">
        <v>360</v>
      </c>
      <c r="AM42" s="129" t="s">
        <v>410</v>
      </c>
      <c r="AN42" s="125"/>
      <c r="AO42" s="94"/>
      <c r="AP42" s="125" t="str">
        <f aca="false">IF(OR(AN42="",AO42=""),"",IF(AN42&gt;AO42,"OK","LOW CONF"))</f>
        <v/>
      </c>
      <c r="AQ42" s="125"/>
      <c r="AR42" s="94"/>
      <c r="AS42" s="134" t="str">
        <f aca="false">IF(OR(AQ42="",AR42=""),"",IF(AQ42&lt;AR42,"Decreased",IF(AQ42&gt;AR42,"Increased","Flat")))</f>
        <v/>
      </c>
    </row>
    <row r="43" customFormat="false" ht="15" hidden="false" customHeight="true" outlineLevel="0" collapsed="false">
      <c r="A43" s="63" t="s">
        <v>143</v>
      </c>
      <c r="B43" s="123" t="s">
        <v>144</v>
      </c>
      <c r="C43" s="124" t="n">
        <v>46278</v>
      </c>
      <c r="D43" s="125" t="n">
        <v>4</v>
      </c>
      <c r="E43" s="125" t="s">
        <v>347</v>
      </c>
      <c r="F43" s="125" t="n">
        <v>5</v>
      </c>
      <c r="G43" s="125" t="s">
        <v>347</v>
      </c>
      <c r="H43" s="125" t="n">
        <v>5</v>
      </c>
      <c r="I43" s="125" t="s">
        <v>347</v>
      </c>
      <c r="J43" s="125" t="n">
        <v>4</v>
      </c>
      <c r="K43" s="125" t="s">
        <v>347</v>
      </c>
      <c r="L43" s="125" t="n">
        <v>2</v>
      </c>
      <c r="M43" s="125" t="s">
        <v>347</v>
      </c>
      <c r="N43" s="126" t="n">
        <f aca="false">IF(COUNT(D43,F43,H43,J43,L43)=0,"",(D43*0.2+F43*0.15+H43*0.15+J43*0.1+L43*0.1)/(IF(D43&lt;&gt;"",0.2,0)+IF(F43&lt;&gt;"",0.15,0)+IF(H43&lt;&gt;"",0.15,0)+IF(J43&lt;&gt;"",0.1,0)+IF(L43&lt;&gt;"",0.1,0)))</f>
        <v>4.14285714285714</v>
      </c>
      <c r="O43" s="94" t="n">
        <f aca="false">IF(COUNT(D43,F43,H43,J43,L43)=0,"",D43*0.2+F43*0.15+H43*0.15+J43*0.1+L43*0.1)</f>
        <v>2.9</v>
      </c>
      <c r="P43" s="125" t="n">
        <v>5</v>
      </c>
      <c r="Q43" s="125" t="s">
        <v>348</v>
      </c>
      <c r="R43" s="125" t="n">
        <v>5</v>
      </c>
      <c r="S43" s="125" t="s">
        <v>349</v>
      </c>
      <c r="T43" s="125" t="n">
        <v>3</v>
      </c>
      <c r="U43" s="125" t="s">
        <v>347</v>
      </c>
      <c r="V43" s="125" t="n">
        <v>4</v>
      </c>
      <c r="W43" s="125" t="s">
        <v>347</v>
      </c>
      <c r="X43" s="66" t="n">
        <f aca="false">IF(COUNT(P43,R43,T43,V43)=0,"",P43*0.08+R43*0.06+T43*0.03+V43*0.08)</f>
        <v>1.11</v>
      </c>
      <c r="Y43" s="125" t="n">
        <v>5</v>
      </c>
      <c r="Z43" s="125" t="s">
        <v>347</v>
      </c>
      <c r="AA43" s="125" t="n">
        <v>4</v>
      </c>
      <c r="AB43" s="125" t="s">
        <v>347</v>
      </c>
      <c r="AC43" s="125" t="n">
        <v>2</v>
      </c>
      <c r="AD43" s="125" t="s">
        <v>347</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9" t="s">
        <v>367</v>
      </c>
      <c r="AM43" s="129" t="s">
        <v>412</v>
      </c>
      <c r="AN43" s="125"/>
      <c r="AO43" s="94"/>
      <c r="AP43" s="125" t="str">
        <f aca="false">IF(OR(AN43="",AO43=""),"",IF(AN43&gt;AO43,"OK","LOW CONF"))</f>
        <v/>
      </c>
      <c r="AQ43" s="125"/>
      <c r="AR43" s="94"/>
      <c r="AS43" s="134" t="str">
        <f aca="false">IF(OR(AQ43="",AR43=""),"",IF(AQ43&lt;AR43,"Decreased",IF(AQ43&gt;AR43,"Increased","Flat")))</f>
        <v/>
      </c>
    </row>
    <row r="44" customFormat="false" ht="15" hidden="false" customHeight="true" outlineLevel="0" collapsed="false">
      <c r="A44" s="63" t="s">
        <v>275</v>
      </c>
      <c r="B44" s="123" t="s">
        <v>413</v>
      </c>
      <c r="C44" s="124" t="n">
        <v>46247</v>
      </c>
      <c r="D44" s="125" t="n">
        <v>4</v>
      </c>
      <c r="E44" s="125" t="s">
        <v>347</v>
      </c>
      <c r="F44" s="125" t="n">
        <v>3</v>
      </c>
      <c r="G44" s="125" t="s">
        <v>347</v>
      </c>
      <c r="H44" s="125" t="n">
        <v>3</v>
      </c>
      <c r="I44" s="125" t="s">
        <v>347</v>
      </c>
      <c r="J44" s="125" t="n">
        <v>2</v>
      </c>
      <c r="K44" s="125" t="s">
        <v>347</v>
      </c>
      <c r="L44" s="125" t="n">
        <v>4</v>
      </c>
      <c r="M44" s="125" t="s">
        <v>347</v>
      </c>
      <c r="N44" s="126" t="n">
        <f aca="false">IF(COUNT(D44,F44,H44,J44,L44)=0,"",(D44*0.2+F44*0.15+H44*0.15+J44*0.1+L44*0.1)/(IF(D44&lt;&gt;"",0.2,0)+IF(F44&lt;&gt;"",0.15,0)+IF(H44&lt;&gt;"",0.15,0)+IF(J44&lt;&gt;"",0.1,0)+IF(L44&lt;&gt;"",0.1,0)))</f>
        <v>3.28571428571429</v>
      </c>
      <c r="O44" s="94" t="n">
        <f aca="false">IF(COUNT(D44,F44,H44,J44,L44)=0,"",D44*0.2+F44*0.15+H44*0.15+J44*0.1+L44*0.1)</f>
        <v>2.3</v>
      </c>
      <c r="P44" s="125"/>
      <c r="Q44" s="125"/>
      <c r="R44" s="125"/>
      <c r="S44" s="125"/>
      <c r="T44" s="125"/>
      <c r="U44" s="125"/>
      <c r="V44" s="125"/>
      <c r="W44" s="125"/>
      <c r="X44" s="66" t="str">
        <f aca="false">IF(COUNT(P44,R44,T44,V44)=0,"",P44*0.08+R44*0.06+T44*0.03+V44*0.08)</f>
        <v/>
      </c>
      <c r="Y44" s="125"/>
      <c r="Z44" s="125"/>
      <c r="AA44" s="125" t="n">
        <v>4</v>
      </c>
      <c r="AB44" s="125" t="s">
        <v>347</v>
      </c>
      <c r="AC44" s="125"/>
      <c r="AD44" s="125"/>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9" t="s">
        <v>367</v>
      </c>
      <c r="AM44" s="129" t="s">
        <v>414</v>
      </c>
      <c r="AN44" s="125"/>
      <c r="AO44" s="94"/>
      <c r="AP44" s="125" t="str">
        <f aca="false">IF(OR(AN44="",AO44=""),"",IF(AN44&gt;AO44,"OK","LOW CONF"))</f>
        <v/>
      </c>
      <c r="AQ44" s="125"/>
      <c r="AR44" s="94"/>
      <c r="AS44" s="134" t="str">
        <f aca="false">IF(OR(AQ44="",AR44=""),"",IF(AQ44&lt;AR44,"Decreased",IF(AQ44&gt;AR44,"Increased","Flat")))</f>
        <v/>
      </c>
    </row>
    <row r="45" customFormat="false" ht="15" hidden="false" customHeight="true" outlineLevel="0" collapsed="false">
      <c r="A45" s="63" t="s">
        <v>254</v>
      </c>
      <c r="B45" s="123" t="s">
        <v>415</v>
      </c>
      <c r="C45" s="124" t="n">
        <v>46247</v>
      </c>
      <c r="D45" s="125" t="n">
        <v>4</v>
      </c>
      <c r="E45" s="125" t="s">
        <v>347</v>
      </c>
      <c r="F45" s="125" t="n">
        <v>3</v>
      </c>
      <c r="G45" s="125" t="s">
        <v>347</v>
      </c>
      <c r="H45" s="125" t="n">
        <v>4</v>
      </c>
      <c r="I45" s="125" t="s">
        <v>347</v>
      </c>
      <c r="J45" s="125" t="n">
        <v>3</v>
      </c>
      <c r="K45" s="125" t="s">
        <v>347</v>
      </c>
      <c r="L45" s="125" t="n">
        <v>3</v>
      </c>
      <c r="M45" s="125" t="s">
        <v>347</v>
      </c>
      <c r="N45" s="126" t="n">
        <f aca="false">IF(COUNT(D45,F45,H45,J45,L45)=0,"",(D45*0.2+F45*0.15+H45*0.15+J45*0.1+L45*0.1)/(IF(D45&lt;&gt;"",0.2,0)+IF(F45&lt;&gt;"",0.15,0)+IF(H45&lt;&gt;"",0.15,0)+IF(J45&lt;&gt;"",0.1,0)+IF(L45&lt;&gt;"",0.1,0)))</f>
        <v>3.5</v>
      </c>
      <c r="O45" s="94" t="n">
        <f aca="false">IF(COUNT(D45,F45,H45,J45,L45)=0,"",D45*0.2+F45*0.15+H45*0.15+J45*0.1+L45*0.1)</f>
        <v>2.45</v>
      </c>
      <c r="P45" s="125"/>
      <c r="Q45" s="125"/>
      <c r="R45" s="125"/>
      <c r="S45" s="125"/>
      <c r="T45" s="125"/>
      <c r="U45" s="125"/>
      <c r="V45" s="125"/>
      <c r="W45" s="125"/>
      <c r="X45" s="66" t="str">
        <f aca="false">IF(COUNT(P45,R45,T45,V45)=0,"",P45*0.08+R45*0.06+T45*0.03+V45*0.08)</f>
        <v/>
      </c>
      <c r="Y45" s="125"/>
      <c r="Z45" s="125"/>
      <c r="AA45" s="125" t="n">
        <v>4</v>
      </c>
      <c r="AB45" s="125" t="s">
        <v>347</v>
      </c>
      <c r="AC45" s="125"/>
      <c r="AD45" s="125"/>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9" t="s">
        <v>367</v>
      </c>
      <c r="AM45" s="129" t="s">
        <v>414</v>
      </c>
      <c r="AN45" s="125"/>
      <c r="AO45" s="94"/>
      <c r="AP45" s="125" t="str">
        <f aca="false">IF(OR(AN45="",AO45=""),"",IF(AN45&gt;AO45,"OK","LOW CONF"))</f>
        <v/>
      </c>
      <c r="AQ45" s="125"/>
      <c r="AR45" s="94"/>
      <c r="AS45" s="134" t="str">
        <f aca="false">IF(OR(AQ45="",AR45=""),"",IF(AQ45&lt;AR45,"Decreased",IF(AQ45&gt;AR45,"Increased","Flat")))</f>
        <v/>
      </c>
    </row>
    <row r="46" customFormat="false" ht="15" hidden="false" customHeight="true" outlineLevel="1" collapsed="false">
      <c r="A46" s="63" t="s">
        <v>247</v>
      </c>
      <c r="B46" s="123" t="s">
        <v>416</v>
      </c>
      <c r="C46" s="124" t="n">
        <v>46258</v>
      </c>
      <c r="D46" s="125" t="n">
        <v>4</v>
      </c>
      <c r="E46" s="125" t="s">
        <v>347</v>
      </c>
      <c r="F46" s="125" t="n">
        <v>2</v>
      </c>
      <c r="G46" s="125" t="s">
        <v>347</v>
      </c>
      <c r="H46" s="125" t="n">
        <v>3</v>
      </c>
      <c r="I46" s="125" t="s">
        <v>347</v>
      </c>
      <c r="J46" s="125" t="n">
        <v>2</v>
      </c>
      <c r="K46" s="125" t="s">
        <v>347</v>
      </c>
      <c r="L46" s="125" t="n">
        <v>3</v>
      </c>
      <c r="M46" s="125" t="s">
        <v>347</v>
      </c>
      <c r="N46" s="126" t="n">
        <f aca="false">IF(COUNT(D46,F46,H46,J46,L46)=0,"",(D46*0.2+F46*0.15+H46*0.15+J46*0.1+L46*0.1)/(IF(D46&lt;&gt;"",0.2,0)+IF(F46&lt;&gt;"",0.15,0)+IF(H46&lt;&gt;"",0.15,0)+IF(J46&lt;&gt;"",0.1,0)+IF(L46&lt;&gt;"",0.1,0)))</f>
        <v>2.92857142857143</v>
      </c>
      <c r="O46" s="94" t="n">
        <f aca="false">IF(COUNT(D46,F46,H46,J46,L46)=0,"",D46*0.2+F46*0.15+H46*0.15+J46*0.1+L46*0.1)</f>
        <v>2.05</v>
      </c>
      <c r="P46" s="125"/>
      <c r="Q46" s="125"/>
      <c r="R46" s="125"/>
      <c r="S46" s="125"/>
      <c r="T46" s="125"/>
      <c r="U46" s="125"/>
      <c r="V46" s="125"/>
      <c r="W46" s="125"/>
      <c r="X46" s="66" t="str">
        <f aca="false">IF(COUNT(P46,R46,T46,V46)=0,"",P46*0.08+R46*0.06+T46*0.03+V46*0.08)</f>
        <v/>
      </c>
      <c r="Y46" s="125"/>
      <c r="Z46" s="125"/>
      <c r="AA46" s="125"/>
      <c r="AB46" s="125"/>
      <c r="AC46" s="125"/>
      <c r="AD46" s="125"/>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9" t="s">
        <v>417</v>
      </c>
      <c r="AM46" s="129" t="s">
        <v>418</v>
      </c>
      <c r="AN46" s="125"/>
      <c r="AO46" s="94"/>
      <c r="AP46" s="125" t="str">
        <f aca="false">IF(OR(AN46="",AO46=""),"",IF(AN46&gt;AO46,"OK","LOW CONF"))</f>
        <v/>
      </c>
      <c r="AQ46" s="125"/>
      <c r="AR46" s="94"/>
      <c r="AS46" s="134" t="str">
        <f aca="false">IF(OR(AQ46="",AR46=""),"",IF(AQ46&lt;AR46,"Decreased",IF(AQ46&gt;AR46,"Increased","Flat")))</f>
        <v/>
      </c>
    </row>
    <row r="47" customFormat="false" ht="15" hidden="false" customHeight="true" outlineLevel="0" collapsed="false">
      <c r="A47" s="63" t="s">
        <v>146</v>
      </c>
      <c r="B47" s="123" t="s">
        <v>147</v>
      </c>
      <c r="C47" s="124" t="n">
        <v>46278</v>
      </c>
      <c r="D47" s="125" t="n">
        <v>4</v>
      </c>
      <c r="E47" s="125" t="s">
        <v>347</v>
      </c>
      <c r="F47" s="125" t="n">
        <v>4</v>
      </c>
      <c r="G47" s="125" t="s">
        <v>347</v>
      </c>
      <c r="H47" s="125" t="n">
        <v>5</v>
      </c>
      <c r="I47" s="125" t="s">
        <v>347</v>
      </c>
      <c r="J47" s="125" t="n">
        <v>4</v>
      </c>
      <c r="K47" s="125" t="s">
        <v>347</v>
      </c>
      <c r="L47" s="125" t="n">
        <v>4</v>
      </c>
      <c r="M47" s="125" t="s">
        <v>347</v>
      </c>
      <c r="N47" s="126" t="n">
        <f aca="false">IF(COUNT(D47,F47,H47,J47,L47)=0,"",(D47*0.2+F47*0.15+H47*0.15+J47*0.1+L47*0.1)/(IF(D47&lt;&gt;"",0.2,0)+IF(F47&lt;&gt;"",0.15,0)+IF(H47&lt;&gt;"",0.15,0)+IF(J47&lt;&gt;"",0.1,0)+IF(L47&lt;&gt;"",0.1,0)))</f>
        <v>4.21428571428571</v>
      </c>
      <c r="O47" s="94" t="n">
        <f aca="false">IF(COUNT(D47,F47,H47,J47,L47)=0,"",D47*0.2+F47*0.15+H47*0.15+J47*0.1+L47*0.1)</f>
        <v>2.95</v>
      </c>
      <c r="P47" s="125" t="n">
        <v>5</v>
      </c>
      <c r="Q47" s="125" t="s">
        <v>348</v>
      </c>
      <c r="R47" s="125" t="n">
        <v>5</v>
      </c>
      <c r="S47" s="125" t="s">
        <v>349</v>
      </c>
      <c r="T47" s="125" t="n">
        <v>1</v>
      </c>
      <c r="U47" s="125" t="s">
        <v>347</v>
      </c>
      <c r="V47" s="125" t="n">
        <v>4</v>
      </c>
      <c r="W47" s="125" t="s">
        <v>347</v>
      </c>
      <c r="X47" s="66" t="n">
        <f aca="false">IF(COUNT(P47,R47,T47,V47)=0,"",P47*0.08+R47*0.06+T47*0.03+V47*0.08)</f>
        <v>1.05</v>
      </c>
      <c r="Y47" s="125" t="n">
        <v>4</v>
      </c>
      <c r="Z47" s="125" t="s">
        <v>347</v>
      </c>
      <c r="AA47" s="125" t="n">
        <v>4</v>
      </c>
      <c r="AB47" s="125" t="s">
        <v>347</v>
      </c>
      <c r="AC47" s="125" t="n">
        <v>3</v>
      </c>
      <c r="AD47" s="125" t="s">
        <v>347</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9" t="s">
        <v>417</v>
      </c>
      <c r="AM47" s="129" t="s">
        <v>418</v>
      </c>
      <c r="AN47" s="125"/>
      <c r="AO47" s="94"/>
      <c r="AP47" s="125" t="str">
        <f aca="false">IF(OR(AN47="",AO47=""),"",IF(AN47&gt;AO47,"OK","LOW CONF"))</f>
        <v/>
      </c>
      <c r="AQ47" s="125"/>
      <c r="AR47" s="94"/>
      <c r="AS47" s="134" t="str">
        <f aca="false">IF(OR(AQ47="",AR47=""),"",IF(AQ47&lt;AR47,"Decreased",IF(AQ47&gt;AR47,"Increased","Flat")))</f>
        <v/>
      </c>
    </row>
    <row r="48" customFormat="false" ht="15" hidden="false" customHeight="true" outlineLevel="0" collapsed="false">
      <c r="A48" s="63" t="s">
        <v>285</v>
      </c>
      <c r="B48" s="123" t="s">
        <v>419</v>
      </c>
      <c r="C48" s="124" t="n">
        <v>46276</v>
      </c>
      <c r="D48" s="125" t="n">
        <v>4</v>
      </c>
      <c r="E48" s="125" t="s">
        <v>347</v>
      </c>
      <c r="F48" s="125" t="n">
        <v>4</v>
      </c>
      <c r="G48" s="125" t="s">
        <v>347</v>
      </c>
      <c r="H48" s="125"/>
      <c r="I48" s="125"/>
      <c r="J48" s="125"/>
      <c r="K48" s="125"/>
      <c r="L48" s="125" t="n">
        <v>4</v>
      </c>
      <c r="M48" s="125" t="s">
        <v>347</v>
      </c>
      <c r="N48" s="126" t="n">
        <f aca="false">IF(COUNT(D48,F48,H48,J48,L48)=0,"",(D48*0.2+F48*0.15+H48*0.15+J48*0.1+L48*0.1)/(IF(D48&lt;&gt;"",0.2,0)+IF(F48&lt;&gt;"",0.15,0)+IF(H48&lt;&gt;"",0.15,0)+IF(J48&lt;&gt;"",0.1,0)+IF(L48&lt;&gt;"",0.1,0)))</f>
        <v>4</v>
      </c>
      <c r="O48" s="127" t="n">
        <f aca="false">IF(COUNT(D48,F48,H48,J48,L48)=0,"",D48*0.2+F48*0.15+H48*0.15+J48*0.1+L48*0.1)</f>
        <v>1.8</v>
      </c>
      <c r="P48" s="125"/>
      <c r="Q48" s="125"/>
      <c r="R48" s="125"/>
      <c r="S48" s="125"/>
      <c r="T48" s="125"/>
      <c r="U48" s="125"/>
      <c r="V48" s="125"/>
      <c r="W48" s="125"/>
      <c r="X48" s="127" t="str">
        <f aca="false">IF(COUNT(P48,R48,T48,V48)=0,"",P48*0.08+R48*0.06+T48*0.03+V48*0.08)</f>
        <v/>
      </c>
      <c r="Y48" s="125"/>
      <c r="Z48" s="125"/>
      <c r="AA48" s="125"/>
      <c r="AB48" s="125"/>
      <c r="AC48" s="125"/>
      <c r="AD48" s="125"/>
      <c r="AE48" s="127"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9" t="s">
        <v>377</v>
      </c>
      <c r="AM48" s="129" t="s">
        <v>382</v>
      </c>
      <c r="AN48" s="125"/>
      <c r="AO48" s="94"/>
      <c r="AP48" s="125" t="str">
        <f aca="false">IF(OR(AN48="",AO48=""),"",IF(AN48&gt;AO48,"OK","LOW CONF"))</f>
        <v/>
      </c>
      <c r="AQ48" s="125"/>
      <c r="AR48" s="94"/>
      <c r="AS48" s="134" t="str">
        <f aca="false">IF(OR(AQ48="",AR48=""),"",IF(AQ48&lt;AR48,"Decreased",IF(AQ48&gt;AR48,"Increased","Flat")))</f>
        <v/>
      </c>
    </row>
    <row r="49" customFormat="false" ht="15" hidden="false" customHeight="true" outlineLevel="0" collapsed="false">
      <c r="A49" s="63" t="s">
        <v>287</v>
      </c>
      <c r="B49" s="123" t="s">
        <v>420</v>
      </c>
      <c r="C49" s="124" t="n">
        <v>46278</v>
      </c>
      <c r="D49" s="125" t="n">
        <v>3</v>
      </c>
      <c r="E49" s="125" t="s">
        <v>347</v>
      </c>
      <c r="F49" s="125" t="n">
        <v>2</v>
      </c>
      <c r="G49" s="125" t="s">
        <v>347</v>
      </c>
      <c r="H49" s="125" t="n">
        <v>5</v>
      </c>
      <c r="I49" s="125" t="s">
        <v>348</v>
      </c>
      <c r="J49" s="125" t="n">
        <v>4</v>
      </c>
      <c r="K49" s="125" t="s">
        <v>347</v>
      </c>
      <c r="L49" s="125" t="n">
        <v>4</v>
      </c>
      <c r="M49" s="125" t="s">
        <v>347</v>
      </c>
      <c r="N49" s="126" t="n">
        <f aca="false">IF(COUNT(D49,F49,H49,J49,L49)=0,"",(D49*0.2+F49*0.15+H49*0.15+J49*0.1+L49*0.1)/(IF(D49&lt;&gt;"",0.2,0)+IF(F49&lt;&gt;"",0.15,0)+IF(H49&lt;&gt;"",0.15,0)+IF(J49&lt;&gt;"",0.1,0)+IF(L49&lt;&gt;"",0.1,0)))</f>
        <v>3.5</v>
      </c>
      <c r="O49" s="94" t="n">
        <f aca="false">IF(COUNT(D49,F49,H49,J49,L49)=0,"",D49*0.2+F49*0.15+H49*0.15+J49*0.1+L49*0.1)</f>
        <v>2.45</v>
      </c>
      <c r="P49" s="125" t="n">
        <v>5</v>
      </c>
      <c r="Q49" s="125" t="s">
        <v>348</v>
      </c>
      <c r="R49" s="125" t="n">
        <v>3</v>
      </c>
      <c r="S49" s="125" t="s">
        <v>349</v>
      </c>
      <c r="T49" s="125" t="n">
        <v>1</v>
      </c>
      <c r="U49" s="125" t="s">
        <v>347</v>
      </c>
      <c r="V49" s="125" t="n">
        <v>4</v>
      </c>
      <c r="W49" s="125" t="s">
        <v>347</v>
      </c>
      <c r="X49" s="66" t="n">
        <f aca="false">IF(COUNT(P49,R49,T49,V49)=0,"",P49*0.08+R49*0.06+T49*0.03+V49*0.08)</f>
        <v>0.93</v>
      </c>
      <c r="Y49" s="125" t="n">
        <v>2</v>
      </c>
      <c r="Z49" s="125" t="s">
        <v>347</v>
      </c>
      <c r="AA49" s="125" t="n">
        <v>5</v>
      </c>
      <c r="AB49" s="125" t="s">
        <v>347</v>
      </c>
      <c r="AC49" s="125" t="n">
        <v>2</v>
      </c>
      <c r="AD49" s="125" t="s">
        <v>347</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9" t="s">
        <v>353</v>
      </c>
      <c r="AM49" s="129" t="s">
        <v>421</v>
      </c>
      <c r="AN49" s="125"/>
      <c r="AO49" s="94"/>
      <c r="AP49" s="125" t="str">
        <f aca="false">IF(OR(AN49="",AO49=""),"",IF(AN49&gt;AO49,"OK","LOW CONF"))</f>
        <v/>
      </c>
      <c r="AQ49" s="125"/>
      <c r="AR49" s="94"/>
      <c r="AS49" s="134" t="str">
        <f aca="false">IF(OR(AQ49="",AR49=""),"",IF(AQ49&lt;AR49,"Decreased",IF(AQ49&gt;AR49,"Increased","Flat")))</f>
        <v/>
      </c>
    </row>
    <row r="50" customFormat="false" ht="15" hidden="false" customHeight="true" outlineLevel="0" collapsed="false">
      <c r="A50" s="63" t="s">
        <v>289</v>
      </c>
      <c r="B50" s="123" t="s">
        <v>422</v>
      </c>
      <c r="C50" s="124" t="n">
        <v>46278</v>
      </c>
      <c r="D50" s="125" t="n">
        <v>4</v>
      </c>
      <c r="E50" s="125" t="s">
        <v>347</v>
      </c>
      <c r="F50" s="125" t="n">
        <v>3</v>
      </c>
      <c r="G50" s="125" t="s">
        <v>347</v>
      </c>
      <c r="H50" s="125" t="n">
        <v>4</v>
      </c>
      <c r="I50" s="125" t="s">
        <v>347</v>
      </c>
      <c r="J50" s="125" t="n">
        <v>3</v>
      </c>
      <c r="K50" s="125" t="s">
        <v>347</v>
      </c>
      <c r="L50" s="125" t="n">
        <v>3</v>
      </c>
      <c r="M50" s="125" t="s">
        <v>347</v>
      </c>
      <c r="N50" s="126" t="n">
        <f aca="false">IF(COUNT(D50,F50,H50,J50,L50)=0,"",(D50*0.2+F50*0.15+H50*0.15+J50*0.1+L50*0.1)/(IF(D50&lt;&gt;"",0.2,0)+IF(F50&lt;&gt;"",0.15,0)+IF(H50&lt;&gt;"",0.15,0)+IF(J50&lt;&gt;"",0.1,0)+IF(L50&lt;&gt;"",0.1,0)))</f>
        <v>3.5</v>
      </c>
      <c r="O50" s="94" t="n">
        <f aca="false">IF(COUNT(D50,F50,H50,J50,L50)=0,"",D50*0.2+F50*0.15+H50*0.15+J50*0.1+L50*0.1)</f>
        <v>2.45</v>
      </c>
      <c r="P50" s="125" t="n">
        <v>4</v>
      </c>
      <c r="Q50" s="125" t="s">
        <v>347</v>
      </c>
      <c r="R50" s="125" t="n">
        <v>3</v>
      </c>
      <c r="S50" s="125" t="s">
        <v>349</v>
      </c>
      <c r="T50" s="125" t="n">
        <v>5</v>
      </c>
      <c r="U50" s="125" t="s">
        <v>347</v>
      </c>
      <c r="V50" s="125" t="n">
        <v>4</v>
      </c>
      <c r="W50" s="125" t="s">
        <v>347</v>
      </c>
      <c r="X50" s="66" t="n">
        <f aca="false">IF(COUNT(P50,R50,T50,V50)=0,"",P50*0.08+R50*0.06+T50*0.03+V50*0.08)</f>
        <v>0.97</v>
      </c>
      <c r="Y50" s="125" t="n">
        <v>5</v>
      </c>
      <c r="Z50" s="125" t="s">
        <v>347</v>
      </c>
      <c r="AA50" s="125" t="n">
        <v>4</v>
      </c>
      <c r="AB50" s="125" t="s">
        <v>347</v>
      </c>
      <c r="AC50" s="125" t="n">
        <v>2</v>
      </c>
      <c r="AD50" s="125" t="s">
        <v>347</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9" t="s">
        <v>377</v>
      </c>
      <c r="AM50" s="129" t="s">
        <v>382</v>
      </c>
      <c r="AN50" s="125"/>
      <c r="AO50" s="94"/>
      <c r="AP50" s="125" t="str">
        <f aca="false">IF(OR(AN50="",AO50=""),"",IF(AN50&gt;AO50,"OK","LOW CONF"))</f>
        <v/>
      </c>
      <c r="AQ50" s="125"/>
      <c r="AR50" s="94"/>
      <c r="AS50" s="134" t="str">
        <f aca="false">IF(OR(AQ50="",AR50=""),"",IF(AQ50&lt;AR50,"Decreased",IF(AQ50&gt;AR50,"Increased","Flat")))</f>
        <v/>
      </c>
    </row>
    <row r="51" customFormat="false" ht="15" hidden="false" customHeight="true" outlineLevel="0" collapsed="false">
      <c r="A51" s="63" t="s">
        <v>149</v>
      </c>
      <c r="B51" s="123" t="s">
        <v>423</v>
      </c>
      <c r="C51" s="124" t="n">
        <v>46297</v>
      </c>
      <c r="D51" s="125" t="n">
        <v>4</v>
      </c>
      <c r="E51" s="125" t="s">
        <v>347</v>
      </c>
      <c r="F51" s="125" t="n">
        <v>4</v>
      </c>
      <c r="G51" s="125" t="s">
        <v>347</v>
      </c>
      <c r="H51" s="125" t="n">
        <v>4</v>
      </c>
      <c r="I51" s="125" t="s">
        <v>347</v>
      </c>
      <c r="J51" s="125" t="n">
        <v>5</v>
      </c>
      <c r="K51" s="125" t="s">
        <v>347</v>
      </c>
      <c r="L51" s="125" t="n">
        <v>5</v>
      </c>
      <c r="M51" s="125" t="s">
        <v>347</v>
      </c>
      <c r="N51" s="126" t="n">
        <f aca="false">IF(COUNT(D51,F51,H51,J51,L51)=0,"",(D51*0.2+F51*0.15+H51*0.15+J51*0.1+L51*0.1)/(IF(D51&lt;&gt;"",0.2,0)+IF(F51&lt;&gt;"",0.15,0)+IF(H51&lt;&gt;"",0.15,0)+IF(J51&lt;&gt;"",0.1,0)+IF(L51&lt;&gt;"",0.1,0)))</f>
        <v>4.28571428571429</v>
      </c>
      <c r="O51" s="94" t="n">
        <f aca="false">IF(COUNT(D51,F51,H51,J51,L51)=0,"",D51*0.2+F51*0.15+H51*0.15+J51*0.1+L51*0.1)</f>
        <v>3</v>
      </c>
      <c r="P51" s="125" t="n">
        <v>4</v>
      </c>
      <c r="Q51" s="125" t="s">
        <v>347</v>
      </c>
      <c r="R51" s="125" t="n">
        <v>2</v>
      </c>
      <c r="S51" s="125" t="s">
        <v>349</v>
      </c>
      <c r="T51" s="125" t="n">
        <v>4</v>
      </c>
      <c r="U51" s="125" t="s">
        <v>347</v>
      </c>
      <c r="V51" s="125" t="n">
        <v>4</v>
      </c>
      <c r="W51" s="125" t="s">
        <v>347</v>
      </c>
      <c r="X51" s="66" t="n">
        <f aca="false">IF(COUNT(P51,R51,T51,V51)=0,"",P51*0.08+R51*0.06+T51*0.03+V51*0.08)</f>
        <v>0.88</v>
      </c>
      <c r="Y51" s="125" t="n">
        <v>5</v>
      </c>
      <c r="Z51" s="125" t="s">
        <v>347</v>
      </c>
      <c r="AA51" s="125" t="n">
        <v>4</v>
      </c>
      <c r="AB51" s="125" t="s">
        <v>347</v>
      </c>
      <c r="AC51" s="125" t="n">
        <v>2</v>
      </c>
      <c r="AD51" s="125" t="s">
        <v>347</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9" t="s">
        <v>353</v>
      </c>
      <c r="AM51" s="129" t="s">
        <v>424</v>
      </c>
      <c r="AN51" s="125"/>
      <c r="AO51" s="94"/>
      <c r="AP51" s="125" t="str">
        <f aca="false">IF(OR(AN51="",AO51=""),"",IF(AN51&gt;AO51,"OK","LOW CONF"))</f>
        <v/>
      </c>
      <c r="AQ51" s="125"/>
      <c r="AR51" s="94"/>
      <c r="AS51" s="134" t="str">
        <f aca="false">IF(OR(AQ51="",AR51=""),"",IF(AQ51&lt;AR51,"Decreased",IF(AQ51&gt;AR51,"Increased","Flat")))</f>
        <v/>
      </c>
    </row>
    <row r="52" customFormat="false" ht="15" hidden="false" customHeight="true" outlineLevel="0" collapsed="false">
      <c r="A52" s="63"/>
      <c r="B52" s="123"/>
      <c r="C52" s="124"/>
      <c r="D52" s="125"/>
      <c r="E52" s="125"/>
      <c r="F52" s="125"/>
      <c r="G52" s="125"/>
      <c r="H52" s="125"/>
      <c r="I52" s="125"/>
      <c r="J52" s="125"/>
      <c r="K52" s="125"/>
      <c r="L52" s="125"/>
      <c r="M52" s="125"/>
      <c r="N52" s="126" t="str">
        <f aca="false">IF(COUNT(D52,F52,H52,J52,L52)=0,"",(D52*0.2+F52*0.15+H52*0.15+J52*0.1+L52*0.1)/(IF(D52&lt;&gt;"",0.2,0)+IF(F52&lt;&gt;"",0.15,0)+IF(H52&lt;&gt;"",0.15,0)+IF(J52&lt;&gt;"",0.1,0)+IF(L52&lt;&gt;"",0.1,0)))</f>
        <v/>
      </c>
      <c r="O52" s="94" t="str">
        <f aca="false">IF(COUNT(D52,F52,H52,J52,L52)=0,"",D52*0.2+F52*0.15+H52*0.15+J52*0.1+L52*0.1)</f>
        <v/>
      </c>
      <c r="P52" s="125"/>
      <c r="Q52" s="125"/>
      <c r="R52" s="125"/>
      <c r="S52" s="125"/>
      <c r="T52" s="125"/>
      <c r="U52" s="125"/>
      <c r="V52" s="125"/>
      <c r="W52" s="125"/>
      <c r="X52" s="66" t="str">
        <f aca="false">IF(COUNT(P52,R52,T52,V52)=0,"",P52*0.08+R52*0.06+T52*0.03+V52*0.08)</f>
        <v/>
      </c>
      <c r="Y52" s="125"/>
      <c r="Z52" s="125"/>
      <c r="AA52" s="125"/>
      <c r="AB52" s="125"/>
      <c r="AC52" s="125"/>
      <c r="AD52" s="125"/>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9"/>
      <c r="AM52" s="129"/>
      <c r="AN52" s="125"/>
      <c r="AO52" s="94"/>
      <c r="AP52" s="125" t="str">
        <f aca="false">IF(OR(AN52="",AO52=""),"",IF(AN52&gt;AO52,"OK","LOW CONF"))</f>
        <v/>
      </c>
      <c r="AQ52" s="125"/>
      <c r="AR52" s="94"/>
      <c r="AS52" s="134" t="str">
        <f aca="false">IF(OR(AQ52="",AR52=""),"",IF(AQ52&lt;AR52,"Decreased",IF(AQ52&gt;AR52,"Increased","Flat")))</f>
        <v/>
      </c>
    </row>
    <row r="53" customFormat="false" ht="15" hidden="false" customHeight="true" outlineLevel="0" collapsed="false">
      <c r="A53" s="63"/>
      <c r="B53" s="123"/>
      <c r="C53" s="124"/>
      <c r="D53" s="125"/>
      <c r="E53" s="125"/>
      <c r="F53" s="125"/>
      <c r="G53" s="125"/>
      <c r="H53" s="125"/>
      <c r="I53" s="125"/>
      <c r="J53" s="125"/>
      <c r="K53" s="125"/>
      <c r="L53" s="125"/>
      <c r="M53" s="125"/>
      <c r="N53" s="126" t="str">
        <f aca="false">IF(COUNT(D53,F53,H53,J53,L53)=0,"",(D53*0.2+F53*0.15+H53*0.15+J53*0.1+L53*0.1)/(IF(D53&lt;&gt;"",0.2,0)+IF(F53&lt;&gt;"",0.15,0)+IF(H53&lt;&gt;"",0.15,0)+IF(J53&lt;&gt;"",0.1,0)+IF(L53&lt;&gt;"",0.1,0)))</f>
        <v/>
      </c>
      <c r="O53" s="94" t="str">
        <f aca="false">IF(COUNT(D53,F53,H53,J53,L53)=0,"",D53*0.2+F53*0.15+H53*0.15+J53*0.1+L53*0.1)</f>
        <v/>
      </c>
      <c r="P53" s="125"/>
      <c r="Q53" s="125"/>
      <c r="R53" s="125"/>
      <c r="S53" s="125"/>
      <c r="T53" s="125"/>
      <c r="U53" s="125"/>
      <c r="V53" s="125"/>
      <c r="W53" s="125"/>
      <c r="X53" s="66" t="str">
        <f aca="false">IF(COUNT(P53,R53,T53,V53)=0,"",P53*0.08+R53*0.06+T53*0.03+V53*0.08)</f>
        <v/>
      </c>
      <c r="Y53" s="125"/>
      <c r="Z53" s="125"/>
      <c r="AA53" s="125"/>
      <c r="AB53" s="125"/>
      <c r="AC53" s="125"/>
      <c r="AD53" s="125"/>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9"/>
      <c r="AM53" s="129"/>
      <c r="AN53" s="125"/>
      <c r="AO53" s="94"/>
      <c r="AP53" s="125" t="str">
        <f aca="false">IF(OR(AN53="",AO53=""),"",IF(AN53&gt;AO53,"OK","LOW CONF"))</f>
        <v/>
      </c>
      <c r="AQ53" s="125"/>
      <c r="AR53" s="94"/>
      <c r="AS53" s="134" t="str">
        <f aca="false">IF(OR(AQ53="",AR53=""),"",IF(AQ53&lt;AR53,"Decreased",IF(AQ53&gt;AR53,"Increased","Flat")))</f>
        <v/>
      </c>
    </row>
    <row r="54" customFormat="false" ht="15" hidden="false" customHeight="true" outlineLevel="0" collapsed="false">
      <c r="A54" s="63"/>
      <c r="B54" s="123"/>
      <c r="C54" s="124"/>
      <c r="D54" s="125"/>
      <c r="E54" s="125"/>
      <c r="F54" s="125"/>
      <c r="G54" s="125"/>
      <c r="H54" s="125"/>
      <c r="I54" s="125"/>
      <c r="J54" s="125"/>
      <c r="K54" s="125"/>
      <c r="L54" s="125"/>
      <c r="M54" s="125"/>
      <c r="N54" s="126" t="str">
        <f aca="false">IF(COUNT(D54,F54,H54,J54,L54)=0,"",(D54*0.2+F54*0.15+H54*0.15+J54*0.1+L54*0.1)/(IF(D54&lt;&gt;"",0.2,0)+IF(F54&lt;&gt;"",0.15,0)+IF(H54&lt;&gt;"",0.15,0)+IF(J54&lt;&gt;"",0.1,0)+IF(L54&lt;&gt;"",0.1,0)))</f>
        <v/>
      </c>
      <c r="O54" s="94" t="str">
        <f aca="false">IF(COUNT(D54,F54,H54,J54,L54)=0,"",D54*0.2+F54*0.15+H54*0.15+J54*0.1+L54*0.1)</f>
        <v/>
      </c>
      <c r="P54" s="125"/>
      <c r="Q54" s="125"/>
      <c r="R54" s="125"/>
      <c r="S54" s="125"/>
      <c r="T54" s="125"/>
      <c r="U54" s="125"/>
      <c r="V54" s="125"/>
      <c r="W54" s="125"/>
      <c r="X54" s="66" t="str">
        <f aca="false">IF(COUNT(P54,R54,T54,V54)=0,"",P54*0.08+R54*0.06+T54*0.03+V54*0.08)</f>
        <v/>
      </c>
      <c r="Y54" s="125"/>
      <c r="Z54" s="125"/>
      <c r="AA54" s="125"/>
      <c r="AB54" s="125"/>
      <c r="AC54" s="125"/>
      <c r="AD54" s="125"/>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9"/>
      <c r="AM54" s="129"/>
      <c r="AN54" s="125"/>
      <c r="AO54" s="94"/>
      <c r="AP54" s="125" t="str">
        <f aca="false">IF(OR(AN54="",AO54=""),"",IF(AN54&gt;AO54,"OK","LOW CONF"))</f>
        <v/>
      </c>
      <c r="AQ54" s="125"/>
      <c r="AR54" s="94"/>
      <c r="AS54" s="134" t="str">
        <f aca="false">IF(OR(AQ54="",AR54=""),"",IF(AQ54&lt;AR54,"Decreased",IF(AQ54&gt;AR54,"Increased","Flat")))</f>
        <v/>
      </c>
    </row>
    <row r="55" customFormat="false" ht="15" hidden="false" customHeight="true" outlineLevel="0" collapsed="false">
      <c r="A55" s="63"/>
      <c r="B55" s="123"/>
      <c r="C55" s="124"/>
      <c r="D55" s="125"/>
      <c r="E55" s="125"/>
      <c r="F55" s="125"/>
      <c r="G55" s="125"/>
      <c r="H55" s="125"/>
      <c r="I55" s="125"/>
      <c r="J55" s="125"/>
      <c r="K55" s="125"/>
      <c r="L55" s="125"/>
      <c r="M55" s="125"/>
      <c r="N55" s="126" t="str">
        <f aca="false">IF(COUNT(D55,F55,H55,J55,L55)=0,"",(D55*0.2+F55*0.15+H55*0.15+J55*0.1+L55*0.1)/(IF(D55&lt;&gt;"",0.2,0)+IF(F55&lt;&gt;"",0.15,0)+IF(H55&lt;&gt;"",0.15,0)+IF(J55&lt;&gt;"",0.1,0)+IF(L55&lt;&gt;"",0.1,0)))</f>
        <v/>
      </c>
      <c r="O55" s="94" t="str">
        <f aca="false">IF(COUNT(D55,F55,H55,J55,L55)=0,"",D55*0.2+F55*0.15+H55*0.15+J55*0.1+L55*0.1)</f>
        <v/>
      </c>
      <c r="P55" s="125"/>
      <c r="Q55" s="125"/>
      <c r="R55" s="125"/>
      <c r="S55" s="125"/>
      <c r="T55" s="125"/>
      <c r="U55" s="125"/>
      <c r="V55" s="125"/>
      <c r="W55" s="125"/>
      <c r="X55" s="66" t="str">
        <f aca="false">IF(COUNT(P55,R55,T55,V55)=0,"",P55*0.08+R55*0.06+T55*0.03+V55*0.08)</f>
        <v/>
      </c>
      <c r="Y55" s="125"/>
      <c r="Z55" s="125"/>
      <c r="AA55" s="125"/>
      <c r="AB55" s="125"/>
      <c r="AC55" s="125"/>
      <c r="AD55" s="125"/>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9"/>
      <c r="AM55" s="129"/>
      <c r="AN55" s="125"/>
      <c r="AO55" s="94"/>
      <c r="AP55" s="125" t="str">
        <f aca="false">IF(OR(AN55="",AO55=""),"",IF(AN55&gt;AO55,"OK","LOW CONF"))</f>
        <v/>
      </c>
      <c r="AQ55" s="125"/>
      <c r="AR55" s="94"/>
      <c r="AS55" s="134" t="str">
        <f aca="false">IF(OR(AQ55="",AR55=""),"",IF(AQ55&lt;AR55,"Decreased",IF(AQ55&gt;AR55,"Increased","Flat")))</f>
        <v/>
      </c>
    </row>
    <row r="56" customFormat="false" ht="15" hidden="false" customHeight="true" outlineLevel="0" collapsed="false">
      <c r="A56" s="63"/>
      <c r="B56" s="123"/>
      <c r="C56" s="124"/>
      <c r="D56" s="125"/>
      <c r="E56" s="125"/>
      <c r="F56" s="125"/>
      <c r="G56" s="125"/>
      <c r="H56" s="125"/>
      <c r="I56" s="125"/>
      <c r="J56" s="125"/>
      <c r="K56" s="125"/>
      <c r="L56" s="125"/>
      <c r="M56" s="125"/>
      <c r="N56" s="126" t="str">
        <f aca="false">IF(COUNT(D56,F56,H56,J56,L56)=0,"",(D56*0.2+F56*0.15+H56*0.15+J56*0.1+L56*0.1)/(IF(D56&lt;&gt;"",0.2,0)+IF(F56&lt;&gt;"",0.15,0)+IF(H56&lt;&gt;"",0.15,0)+IF(J56&lt;&gt;"",0.1,0)+IF(L56&lt;&gt;"",0.1,0)))</f>
        <v/>
      </c>
      <c r="O56" s="94" t="str">
        <f aca="false">IF(COUNT(D56,F56,H56,J56,L56)=0,"",D56*0.2+F56*0.15+H56*0.15+J56*0.1+L56*0.1)</f>
        <v/>
      </c>
      <c r="P56" s="125"/>
      <c r="Q56" s="125"/>
      <c r="R56" s="125"/>
      <c r="S56" s="125"/>
      <c r="T56" s="125"/>
      <c r="U56" s="125"/>
      <c r="V56" s="125"/>
      <c r="W56" s="125"/>
      <c r="X56" s="66" t="str">
        <f aca="false">IF(COUNT(P56,R56,T56,V56)=0,"",P56*0.08+R56*0.06+T56*0.03+V56*0.08)</f>
        <v/>
      </c>
      <c r="Y56" s="125"/>
      <c r="Z56" s="125"/>
      <c r="AA56" s="125"/>
      <c r="AB56" s="125"/>
      <c r="AC56" s="125"/>
      <c r="AD56" s="125"/>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9"/>
      <c r="AM56" s="129"/>
      <c r="AN56" s="125"/>
      <c r="AO56" s="94"/>
      <c r="AP56" s="125" t="str">
        <f aca="false">IF(OR(AN56="",AO56=""),"",IF(AN56&gt;AO56,"OK","LOW CONF"))</f>
        <v/>
      </c>
      <c r="AQ56" s="125"/>
      <c r="AR56" s="94"/>
      <c r="AS56" s="134" t="str">
        <f aca="false">IF(OR(AQ56="",AR56=""),"",IF(AQ56&lt;AR56,"Decreased",IF(AQ56&gt;AR56,"Increased","Flat")))</f>
        <v/>
      </c>
    </row>
    <row r="57" customFormat="false" ht="15" hidden="false" customHeight="true" outlineLevel="0" collapsed="false">
      <c r="A57" s="63"/>
      <c r="B57" s="123"/>
      <c r="C57" s="124"/>
      <c r="D57" s="125"/>
      <c r="E57" s="125"/>
      <c r="F57" s="125"/>
      <c r="G57" s="125"/>
      <c r="H57" s="125"/>
      <c r="I57" s="125"/>
      <c r="J57" s="125"/>
      <c r="K57" s="125"/>
      <c r="L57" s="125"/>
      <c r="M57" s="125"/>
      <c r="N57" s="126" t="str">
        <f aca="false">IF(COUNT(D57,F57,H57,J57,L57)=0,"",(D57*0.2+F57*0.15+H57*0.15+J57*0.1+L57*0.1)/(IF(D57&lt;&gt;"",0.2,0)+IF(F57&lt;&gt;"",0.15,0)+IF(H57&lt;&gt;"",0.15,0)+IF(J57&lt;&gt;"",0.1,0)+IF(L57&lt;&gt;"",0.1,0)))</f>
        <v/>
      </c>
      <c r="O57" s="94" t="str">
        <f aca="false">IF(COUNT(D57,F57,H57,J57,L57)=0,"",D57*0.2+F57*0.15+H57*0.15+J57*0.1+L57*0.1)</f>
        <v/>
      </c>
      <c r="P57" s="125"/>
      <c r="Q57" s="125"/>
      <c r="R57" s="125"/>
      <c r="S57" s="125"/>
      <c r="T57" s="125"/>
      <c r="U57" s="125"/>
      <c r="V57" s="125"/>
      <c r="W57" s="125"/>
      <c r="X57" s="66" t="str">
        <f aca="false">IF(COUNT(P57,R57,T57,V57)=0,"",P57*0.08+R57*0.06+T57*0.03+V57*0.08)</f>
        <v/>
      </c>
      <c r="Y57" s="125"/>
      <c r="Z57" s="125"/>
      <c r="AA57" s="125"/>
      <c r="AB57" s="125"/>
      <c r="AC57" s="125"/>
      <c r="AD57" s="125"/>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9"/>
      <c r="AM57" s="129"/>
      <c r="AN57" s="125"/>
      <c r="AO57" s="94"/>
      <c r="AP57" s="125" t="str">
        <f aca="false">IF(OR(AN57="",AO57=""),"",IF(AN57&gt;AO57,"OK","LOW CONF"))</f>
        <v/>
      </c>
      <c r="AQ57" s="125"/>
      <c r="AR57" s="94"/>
      <c r="AS57" s="134" t="str">
        <f aca="false">IF(OR(AQ57="",AR57=""),"",IF(AQ57&lt;AR57,"Decreased",IF(AQ57&gt;AR57,"Increased","Flat")))</f>
        <v/>
      </c>
    </row>
    <row r="58" customFormat="false" ht="15" hidden="false" customHeight="true" outlineLevel="0" collapsed="false">
      <c r="A58" s="63"/>
      <c r="B58" s="123"/>
      <c r="C58" s="124"/>
      <c r="D58" s="125"/>
      <c r="E58" s="125"/>
      <c r="F58" s="125"/>
      <c r="G58" s="125"/>
      <c r="H58" s="125"/>
      <c r="I58" s="125"/>
      <c r="J58" s="125"/>
      <c r="K58" s="125"/>
      <c r="L58" s="125"/>
      <c r="M58" s="125"/>
      <c r="N58" s="126" t="str">
        <f aca="false">IF(COUNT(D58,F58,H58,J58,L58)=0,"",(D58*0.2+F58*0.15+H58*0.15+J58*0.1+L58*0.1)/(IF(D58&lt;&gt;"",0.2,0)+IF(F58&lt;&gt;"",0.15,0)+IF(H58&lt;&gt;"",0.15,0)+IF(J58&lt;&gt;"",0.1,0)+IF(L58&lt;&gt;"",0.1,0)))</f>
        <v/>
      </c>
      <c r="O58" s="94" t="str">
        <f aca="false">IF(COUNT(D58,F58,H58,J58,L58)=0,"",D58*0.2+F58*0.15+H58*0.15+J58*0.1+L58*0.1)</f>
        <v/>
      </c>
      <c r="P58" s="125"/>
      <c r="Q58" s="125"/>
      <c r="R58" s="125"/>
      <c r="S58" s="125"/>
      <c r="T58" s="125"/>
      <c r="U58" s="125"/>
      <c r="V58" s="125"/>
      <c r="W58" s="125"/>
      <c r="X58" s="66" t="str">
        <f aca="false">IF(COUNT(P58,R58,T58,V58)=0,"",P58*0.08+R58*0.06+T58*0.03+V58*0.08)</f>
        <v/>
      </c>
      <c r="Y58" s="125"/>
      <c r="Z58" s="125"/>
      <c r="AA58" s="125"/>
      <c r="AB58" s="125"/>
      <c r="AC58" s="125"/>
      <c r="AD58" s="125"/>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9"/>
      <c r="AM58" s="129"/>
      <c r="AN58" s="125"/>
      <c r="AO58" s="94"/>
      <c r="AP58" s="125" t="str">
        <f aca="false">IF(OR(AN58="",AO58=""),"",IF(AN58&gt;AO58,"OK","LOW CONF"))</f>
        <v/>
      </c>
      <c r="AQ58" s="125"/>
      <c r="AR58" s="94"/>
      <c r="AS58" s="134" t="str">
        <f aca="false">IF(OR(AQ58="",AR58=""),"",IF(AQ58&lt;AR58,"Decreased",IF(AQ58&gt;AR58,"Increased","Flat")))</f>
        <v/>
      </c>
    </row>
    <row r="59" customFormat="false" ht="15" hidden="false" customHeight="true" outlineLevel="0" collapsed="false">
      <c r="A59" s="63"/>
      <c r="B59" s="123"/>
      <c r="C59" s="124"/>
      <c r="D59" s="125"/>
      <c r="E59" s="125"/>
      <c r="F59" s="125"/>
      <c r="G59" s="125"/>
      <c r="H59" s="125"/>
      <c r="I59" s="125"/>
      <c r="J59" s="125"/>
      <c r="K59" s="125"/>
      <c r="L59" s="125"/>
      <c r="M59" s="125"/>
      <c r="N59" s="126" t="str">
        <f aca="false">IF(COUNT(D59,F59,H59,J59,L59)=0,"",(D59*0.2+F59*0.15+H59*0.15+J59*0.1+L59*0.1)/(IF(D59&lt;&gt;"",0.2,0)+IF(F59&lt;&gt;"",0.15,0)+IF(H59&lt;&gt;"",0.15,0)+IF(J59&lt;&gt;"",0.1,0)+IF(L59&lt;&gt;"",0.1,0)))</f>
        <v/>
      </c>
      <c r="O59" s="94" t="str">
        <f aca="false">IF(COUNT(D59,F59,H59,J59,L59)=0,"",D59*0.2+F59*0.15+H59*0.15+J59*0.1+L59*0.1)</f>
        <v/>
      </c>
      <c r="P59" s="125"/>
      <c r="Q59" s="125"/>
      <c r="R59" s="125"/>
      <c r="S59" s="125"/>
      <c r="T59" s="125"/>
      <c r="U59" s="125"/>
      <c r="V59" s="125"/>
      <c r="W59" s="125"/>
      <c r="X59" s="66" t="str">
        <f aca="false">IF(COUNT(P59,R59,T59,V59)=0,"",P59*0.08+R59*0.06+T59*0.03+V59*0.08)</f>
        <v/>
      </c>
      <c r="Y59" s="125"/>
      <c r="Z59" s="125"/>
      <c r="AA59" s="125"/>
      <c r="AB59" s="125"/>
      <c r="AC59" s="125"/>
      <c r="AD59" s="125"/>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9"/>
      <c r="AM59" s="129"/>
      <c r="AN59" s="125"/>
      <c r="AO59" s="94"/>
      <c r="AP59" s="125" t="str">
        <f aca="false">IF(OR(AN59="",AO59=""),"",IF(AN59&gt;AO59,"OK","LOW CONF"))</f>
        <v/>
      </c>
      <c r="AQ59" s="125"/>
      <c r="AR59" s="94"/>
      <c r="AS59" s="134" t="str">
        <f aca="false">IF(OR(AQ59="",AR59=""),"",IF(AQ59&lt;AR59,"Decreased",IF(AQ59&gt;AR59,"Increased","Flat")))</f>
        <v/>
      </c>
    </row>
    <row r="60" customFormat="false" ht="15" hidden="false" customHeight="true" outlineLevel="0" collapsed="false">
      <c r="A60" s="63"/>
      <c r="B60" s="123"/>
      <c r="C60" s="124"/>
      <c r="D60" s="125"/>
      <c r="E60" s="125"/>
      <c r="F60" s="125"/>
      <c r="G60" s="125"/>
      <c r="H60" s="125"/>
      <c r="I60" s="125"/>
      <c r="J60" s="125"/>
      <c r="K60" s="125"/>
      <c r="L60" s="125"/>
      <c r="M60" s="125"/>
      <c r="N60" s="126" t="str">
        <f aca="false">IF(COUNT(D60,F60,H60,J60,L60)=0,"",(D60*0.2+F60*0.15+H60*0.15+J60*0.1+L60*0.1)/(IF(D60&lt;&gt;"",0.2,0)+IF(F60&lt;&gt;"",0.15,0)+IF(H60&lt;&gt;"",0.15,0)+IF(J60&lt;&gt;"",0.1,0)+IF(L60&lt;&gt;"",0.1,0)))</f>
        <v/>
      </c>
      <c r="O60" s="94" t="str">
        <f aca="false">IF(COUNT(D60,F60,H60,J60,L60)=0,"",D60*0.2+F60*0.15+H60*0.15+J60*0.1+L60*0.1)</f>
        <v/>
      </c>
      <c r="P60" s="125"/>
      <c r="Q60" s="125"/>
      <c r="R60" s="125"/>
      <c r="S60" s="125"/>
      <c r="T60" s="125"/>
      <c r="U60" s="125"/>
      <c r="V60" s="125"/>
      <c r="W60" s="125"/>
      <c r="X60" s="66" t="str">
        <f aca="false">IF(COUNT(P60,R60,T60,V60)=0,"",P60*0.08+R60*0.06+T60*0.03+V60*0.08)</f>
        <v/>
      </c>
      <c r="Y60" s="125"/>
      <c r="Z60" s="125"/>
      <c r="AA60" s="125"/>
      <c r="AB60" s="125"/>
      <c r="AC60" s="125"/>
      <c r="AD60" s="125"/>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9"/>
      <c r="AM60" s="129"/>
      <c r="AN60" s="125"/>
      <c r="AO60" s="94"/>
      <c r="AP60" s="125" t="str">
        <f aca="false">IF(OR(AN60="",AO60=""),"",IF(AN60&gt;AO60,"OK","LOW CONF"))</f>
        <v/>
      </c>
      <c r="AQ60" s="125"/>
      <c r="AR60" s="94"/>
      <c r="AS60" s="134" t="str">
        <f aca="false">IF(OR(AQ60="",AR60=""),"",IF(AQ60&lt;AR60,"Decreased",IF(AQ60&gt;AR60,"Increased","Flat")))</f>
        <v/>
      </c>
    </row>
    <row r="61" customFormat="false" ht="13.5" hidden="false" customHeight="true" outlineLevel="0" collapsed="false">
      <c r="AM61" s="135"/>
    </row>
    <row r="62" customFormat="false" ht="15.75" hidden="false" customHeight="true" outlineLevel="0" collapsed="false">
      <c r="A62" s="136" t="n">
        <f aca="false">SUBTOTAL(103,A3:A60)</f>
        <v>49</v>
      </c>
      <c r="B62" s="112" t="s">
        <v>306</v>
      </c>
    </row>
    <row r="63" customFormat="false" ht="13.5" hidden="false" customHeight="true" outlineLevel="0" collapsed="false">
      <c r="C63" s="137"/>
    </row>
    <row r="64" customFormat="false" ht="13.5" hidden="false" customHeight="true" outlineLevel="0" collapsed="false">
      <c r="C64" s="137"/>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25" activePane="bottomRight" state="frozen"/>
      <selection pane="topLeft" activeCell="A1" activeCellId="0" sqref="A1"/>
      <selection pane="topRight" activeCell="C1" activeCellId="0" sqref="C1"/>
      <selection pane="bottomLeft" activeCell="A25" activeCellId="0" sqref="A25"/>
      <selection pane="bottomRight" activeCell="E40" activeCellId="0" sqref="E40"/>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8" t="s">
        <v>425</v>
      </c>
      <c r="B1" s="138"/>
      <c r="C1" s="139"/>
      <c r="D1" s="139"/>
      <c r="E1" s="139"/>
      <c r="F1" s="139"/>
      <c r="G1" s="139"/>
      <c r="H1" s="138"/>
      <c r="I1" s="139"/>
      <c r="J1" s="139"/>
      <c r="K1" s="139"/>
      <c r="L1" s="139"/>
      <c r="M1" s="139"/>
      <c r="N1" s="139"/>
      <c r="O1" s="139"/>
      <c r="P1" s="139"/>
      <c r="Q1" s="138"/>
      <c r="R1" s="138"/>
      <c r="S1" s="138"/>
    </row>
    <row r="2" customFormat="false" ht="68.25" hidden="false" customHeight="true" outlineLevel="0" collapsed="false">
      <c r="A2" s="140" t="s">
        <v>82</v>
      </c>
      <c r="B2" s="140" t="s">
        <v>296</v>
      </c>
      <c r="C2" s="140" t="s">
        <v>426</v>
      </c>
      <c r="D2" s="140" t="s">
        <v>427</v>
      </c>
      <c r="E2" s="140" t="s">
        <v>428</v>
      </c>
      <c r="F2" s="140" t="s">
        <v>429</v>
      </c>
      <c r="G2" s="140" t="s">
        <v>430</v>
      </c>
      <c r="H2" s="140" t="s">
        <v>431</v>
      </c>
      <c r="I2" s="140" t="s">
        <v>432</v>
      </c>
      <c r="J2" s="140" t="s">
        <v>433</v>
      </c>
      <c r="K2" s="140" t="s">
        <v>434</v>
      </c>
      <c r="L2" s="140" t="s">
        <v>435</v>
      </c>
      <c r="M2" s="140" t="s">
        <v>436</v>
      </c>
      <c r="N2" s="140" t="s">
        <v>437</v>
      </c>
      <c r="O2" s="140" t="s">
        <v>438</v>
      </c>
      <c r="P2" s="140" t="s">
        <v>439</v>
      </c>
      <c r="Q2" s="140" t="s">
        <v>440</v>
      </c>
      <c r="R2" s="140" t="s">
        <v>441</v>
      </c>
      <c r="S2" s="140" t="s">
        <v>442</v>
      </c>
    </row>
    <row r="3" customFormat="false" ht="15" hidden="false" customHeight="true" outlineLevel="0" collapsed="false">
      <c r="A3" s="141" t="str">
        <f aca="false">IF(Scoring!A3="","",Scoring!A3)</f>
        <v>MU</v>
      </c>
      <c r="B3" s="142" t="str">
        <f aca="false">IF(Scoring!B3="","",Scoring!B3)</f>
        <v>Micron Technology</v>
      </c>
      <c r="C3" s="141" t="str">
        <f aca="false">IF(Scoring!AG3="","",IF(OR(Scoring!AG3="STRONG BUY",Scoring!AG3="BUY"),"PASS","FAIL"))</f>
        <v>PASS</v>
      </c>
      <c r="D3" s="141" t="str">
        <f aca="false">IF(Scoring!AH3="","",IF(Scoring!AH3="OK","PASS","FAIL"))</f>
        <v>PASS</v>
      </c>
      <c r="E3" s="141" t="str">
        <f aca="false">IF(Scoring!AI3="","",IF(Scoring!AI3="OK","PASS","FAIL — mandatory review required"))</f>
        <v>PASS</v>
      </c>
      <c r="F3" s="141"/>
      <c r="G3" s="141"/>
      <c r="H3" s="142" t="str">
        <f aca="false">IF(OR(F3="",G3=""),"",IF(AND(F3="Y",G3="Y"),"Standard initial size","50% of normal initial size + 90-day technical review"))</f>
        <v/>
      </c>
      <c r="I3" s="141"/>
      <c r="J3" s="141"/>
      <c r="K3" s="143" t="str">
        <f aca="false">IF(I3="","",IF(I3="N","PASS",IF(J3="Y","PASS — risk documented in thesis","FAIL — undocumented binary risk")))</f>
        <v/>
      </c>
      <c r="L3" s="141" t="str">
        <f aca="false">IF('Implied-Return Calculator'!S4="","",'Implied-Return Calculator'!S4)</f>
        <v/>
      </c>
      <c r="M3" s="141" t="str">
        <f aca="false">IF('Implied-Return Calculator'!T4="","",'Implied-Return Calculator'!T4)</f>
        <v/>
      </c>
      <c r="N3" s="141" t="str">
        <f aca="false">IF('Implied-Return Calculator'!U4="","",'Implied-Return Calculator'!U4)</f>
        <v/>
      </c>
      <c r="O3" s="141"/>
      <c r="P3" s="141"/>
      <c r="Q3" s="143" t="str">
        <f aca="false">IF(OR(O3="",P3=""),"",IF(O3&lt;=50,"PASS — within ceiling",IF(AND(P3&gt;0.3,M3="PASS"),"PASS — growth+bear case exception met","FAIL — exceeds 50x, exception not met")))</f>
        <v/>
      </c>
      <c r="R3" s="142" t="str">
        <f aca="false">IF(OR(C3="",D3="",E3="",K3="",L3="",M3="",N3="",Q3=""),"",IF(AND(C3="PASS",D3="PASS",LEFT(E3,4)="PASS",LEFT(K3,4)="PASS",L3="PASS",M3="PASS",N3="OK",LEFT(Q3,4)="PASS"),"YES","NO — see failing rule(s)"))</f>
        <v/>
      </c>
      <c r="S3" s="142" t="str">
        <f aca="false">IF(R3="","",IF(R3="YES","Initiate: "&amp;H3,"DO NOT ENTER — resolve failing Entry Rule(s) above first"))</f>
        <v/>
      </c>
    </row>
    <row r="4" customFormat="false" ht="15" hidden="false" customHeight="true" outlineLevel="0" collapsed="false">
      <c r="A4" s="141" t="str">
        <f aca="false">IF(Scoring!A4="","",Scoring!A4)</f>
        <v>AVGO</v>
      </c>
      <c r="B4" s="142" t="str">
        <f aca="false">IF(Scoring!B4="","",Scoring!B4)</f>
        <v>Broadcom Inc.</v>
      </c>
      <c r="C4" s="141" t="str">
        <f aca="false">IF(Scoring!AG4="","",IF(OR(Scoring!AG4="STRONG BUY",Scoring!AG4="BUY"),"PASS","FAIL"))</f>
        <v>PASS</v>
      </c>
      <c r="D4" s="141" t="str">
        <f aca="false">IF(Scoring!AH4="","",IF(Scoring!AH4="OK","PASS","FAIL"))</f>
        <v>PASS</v>
      </c>
      <c r="E4" s="141" t="str">
        <f aca="false">IF(Scoring!AI4="","",IF(Scoring!AI4="OK","PASS","FAIL — mandatory review required"))</f>
        <v>PASS</v>
      </c>
      <c r="F4" s="141"/>
      <c r="G4" s="141"/>
      <c r="H4" s="142" t="str">
        <f aca="false">IF(OR(F4="",G4=""),"",IF(AND(F4="Y",G4="Y"),"Standard initial size","50% of normal initial size + 90-day technical review"))</f>
        <v/>
      </c>
      <c r="I4" s="141"/>
      <c r="J4" s="141"/>
      <c r="K4" s="143" t="str">
        <f aca="false">IF(I4="","",IF(I4="N","PASS",IF(J4="Y","PASS — risk documented in thesis","FAIL — undocumented binary risk")))</f>
        <v/>
      </c>
      <c r="L4" s="141" t="str">
        <f aca="false">IF('Implied-Return Calculator'!S5="","",'Implied-Return Calculator'!S5)</f>
        <v/>
      </c>
      <c r="M4" s="141" t="str">
        <f aca="false">IF('Implied-Return Calculator'!T5="","",'Implied-Return Calculator'!T5)</f>
        <v/>
      </c>
      <c r="N4" s="141" t="str">
        <f aca="false">IF('Implied-Return Calculator'!U5="","",'Implied-Return Calculator'!U5)</f>
        <v/>
      </c>
      <c r="O4" s="141"/>
      <c r="P4" s="141"/>
      <c r="Q4" s="143" t="str">
        <f aca="false">IF(OR(O4="",P4=""),"",IF(O4&lt;=50,"PASS — within ceiling",IF(AND(P4&gt;0.3,M4="PASS"),"PASS — growth+bear case exception met","FAIL — exceeds 50x, exception not met")))</f>
        <v/>
      </c>
      <c r="R4" s="142" t="str">
        <f aca="false">IF(OR(C4="",D4="",E4="",K4="",L4="",M4="",N4="",Q4=""),"",IF(AND(C4="PASS",D4="PASS",LEFT(E4,4)="PASS",LEFT(K4,4)="PASS",L4="PASS",M4="PASS",N4="OK",LEFT(Q4,4)="PASS"),"YES","NO — see failing rule(s)"))</f>
        <v/>
      </c>
      <c r="S4" s="142" t="str">
        <f aca="false">IF(R4="","",IF(R4="YES","Initiate: "&amp;H4,"DO NOT ENTER — resolve failing Entry Rule(s) above first"))</f>
        <v/>
      </c>
    </row>
    <row r="5" customFormat="false" ht="15" hidden="false" customHeight="true" outlineLevel="0" collapsed="false">
      <c r="A5" s="141" t="str">
        <f aca="false">IF(Scoring!A5="","",Scoring!A5)</f>
        <v>PLTR</v>
      </c>
      <c r="B5" s="142" t="str">
        <f aca="false">IF(Scoring!B5="","",Scoring!B5)</f>
        <v>Palantir Technologies</v>
      </c>
      <c r="C5" s="141" t="str">
        <f aca="false">IF(Scoring!AG5="","",IF(OR(Scoring!AG5="STRONG BUY",Scoring!AG5="BUY"),"PASS","FAIL"))</f>
        <v>PASS</v>
      </c>
      <c r="D5" s="141" t="str">
        <f aca="false">IF(Scoring!AH5="","",IF(Scoring!AH5="OK","PASS","FAIL"))</f>
        <v>PASS</v>
      </c>
      <c r="E5" s="141" t="str">
        <f aca="false">IF(Scoring!AI5="","",IF(Scoring!AI5="OK","PASS","FAIL — mandatory review required"))</f>
        <v>PASS</v>
      </c>
      <c r="F5" s="141"/>
      <c r="G5" s="141"/>
      <c r="H5" s="142" t="str">
        <f aca="false">IF(OR(F5="",G5=""),"",IF(AND(F5="Y",G5="Y"),"Standard initial size","50% of normal initial size + 90-day technical review"))</f>
        <v/>
      </c>
      <c r="I5" s="141"/>
      <c r="J5" s="141"/>
      <c r="K5" s="143" t="str">
        <f aca="false">IF(I5="","",IF(I5="N","PASS",IF(J5="Y","PASS — risk documented in thesis","FAIL — undocumented binary risk")))</f>
        <v/>
      </c>
      <c r="L5" s="141" t="str">
        <f aca="false">IF('Implied-Return Calculator'!S6="","",'Implied-Return Calculator'!S6)</f>
        <v/>
      </c>
      <c r="M5" s="141" t="str">
        <f aca="false">IF('Implied-Return Calculator'!T6="","",'Implied-Return Calculator'!T6)</f>
        <v/>
      </c>
      <c r="N5" s="141" t="str">
        <f aca="false">IF('Implied-Return Calculator'!U6="","",'Implied-Return Calculator'!U6)</f>
        <v/>
      </c>
      <c r="O5" s="141"/>
      <c r="P5" s="141"/>
      <c r="Q5" s="143" t="str">
        <f aca="false">IF(OR(O5="",P5=""),"",IF(O5&lt;=50,"PASS — within ceiling",IF(AND(P5&gt;0.3,M5="PASS"),"PASS — growth+bear case exception met","FAIL — exceeds 50x, exception not met")))</f>
        <v/>
      </c>
      <c r="R5" s="142" t="str">
        <f aca="false">IF(OR(C5="",D5="",E5="",K5="",L5="",M5="",N5="",Q5=""),"",IF(AND(C5="PASS",D5="PASS",LEFT(E5,4)="PASS",LEFT(K5,4)="PASS",L5="PASS",M5="PASS",N5="OK",LEFT(Q5,4)="PASS"),"YES","NO — see failing rule(s)"))</f>
        <v/>
      </c>
      <c r="S5" s="142" t="str">
        <f aca="false">IF(R5="","",IF(R5="YES","Initiate: "&amp;H5,"DO NOT ENTER — resolve failing Entry Rule(s) above first"))</f>
        <v/>
      </c>
    </row>
    <row r="6" customFormat="false" ht="15" hidden="false" customHeight="true" outlineLevel="0" collapsed="false">
      <c r="A6" s="141" t="str">
        <f aca="false">IF(Scoring!A6="","",Scoring!A6)</f>
        <v>NVDA</v>
      </c>
      <c r="B6" s="142" t="str">
        <f aca="false">IF(Scoring!B6="","",Scoring!B6)</f>
        <v>NVIDIA Corporation</v>
      </c>
      <c r="C6" s="141" t="str">
        <f aca="false">IF(Scoring!AG6="","",IF(OR(Scoring!AG6="STRONG BUY",Scoring!AG6="BUY"),"PASS","FAIL"))</f>
        <v>PASS</v>
      </c>
      <c r="D6" s="141" t="str">
        <f aca="false">IF(Scoring!AH6="","",IF(Scoring!AH6="OK","PASS","FAIL"))</f>
        <v>PASS</v>
      </c>
      <c r="E6" s="141" t="str">
        <f aca="false">IF(Scoring!AI6="","",IF(Scoring!AI6="OK","PASS","FAIL — mandatory review required"))</f>
        <v>PASS</v>
      </c>
      <c r="F6" s="141"/>
      <c r="G6" s="141"/>
      <c r="H6" s="142" t="str">
        <f aca="false">IF(OR(F6="",G6=""),"",IF(AND(F6="Y",G6="Y"),"Standard initial size","50% of normal initial size + 90-day technical review"))</f>
        <v/>
      </c>
      <c r="I6" s="141"/>
      <c r="J6" s="141"/>
      <c r="K6" s="143" t="str">
        <f aca="false">IF(I6="","",IF(I6="N","PASS",IF(J6="Y","PASS — risk documented in thesis","FAIL — undocumented binary risk")))</f>
        <v/>
      </c>
      <c r="L6" s="141" t="str">
        <f aca="false">IF('Implied-Return Calculator'!S7="","",'Implied-Return Calculator'!S7)</f>
        <v/>
      </c>
      <c r="M6" s="141" t="str">
        <f aca="false">IF('Implied-Return Calculator'!T7="","",'Implied-Return Calculator'!T7)</f>
        <v/>
      </c>
      <c r="N6" s="141" t="str">
        <f aca="false">IF('Implied-Return Calculator'!U7="","",'Implied-Return Calculator'!U7)</f>
        <v/>
      </c>
      <c r="O6" s="141"/>
      <c r="P6" s="141"/>
      <c r="Q6" s="143" t="str">
        <f aca="false">IF(OR(O6="",P6=""),"",IF(O6&lt;=50,"PASS — within ceiling",IF(AND(P6&gt;0.3,M6="PASS"),"PASS — growth+bear case exception met","FAIL — exceeds 50x, exception not met")))</f>
        <v/>
      </c>
      <c r="R6" s="142" t="str">
        <f aca="false">IF(OR(C6="",D6="",E6="",K6="",L6="",M6="",N6="",Q6=""),"",IF(AND(C6="PASS",D6="PASS",LEFT(E6,4)="PASS",LEFT(K6,4)="PASS",L6="PASS",M6="PASS",N6="OK",LEFT(Q6,4)="PASS"),"YES","NO — see failing rule(s)"))</f>
        <v/>
      </c>
      <c r="S6" s="142" t="str">
        <f aca="false">IF(R6="","",IF(R6="YES","Initiate: "&amp;H6,"DO NOT ENTER — resolve failing Entry Rule(s) above first"))</f>
        <v/>
      </c>
    </row>
    <row r="7" customFormat="false" ht="15" hidden="false" customHeight="true" outlineLevel="0" collapsed="false">
      <c r="A7" s="141" t="str">
        <f aca="false">IF(Scoring!A7="","",Scoring!A7)</f>
        <v>VRTX</v>
      </c>
      <c r="B7" s="142" t="str">
        <f aca="false">IF(Scoring!B7="","",Scoring!B7)</f>
        <v>Vertex Pharmaceuticals</v>
      </c>
      <c r="C7" s="141" t="str">
        <f aca="false">IF(Scoring!AG7="","",IF(OR(Scoring!AG7="STRONG BUY",Scoring!AG7="BUY"),"PASS","FAIL"))</f>
        <v>PASS</v>
      </c>
      <c r="D7" s="141" t="str">
        <f aca="false">IF(Scoring!AH7="","",IF(Scoring!AH7="OK","PASS","FAIL"))</f>
        <v>PASS</v>
      </c>
      <c r="E7" s="141" t="str">
        <f aca="false">IF(Scoring!AI7="","",IF(Scoring!AI7="OK","PASS","FAIL — mandatory review required"))</f>
        <v>PASS</v>
      </c>
      <c r="F7" s="141"/>
      <c r="G7" s="141"/>
      <c r="H7" s="142" t="str">
        <f aca="false">IF(OR(F7="",G7=""),"",IF(AND(F7="Y",G7="Y"),"Standard initial size","50% of normal initial size + 90-day technical review"))</f>
        <v/>
      </c>
      <c r="I7" s="141"/>
      <c r="J7" s="141"/>
      <c r="K7" s="143" t="str">
        <f aca="false">IF(I7="","",IF(I7="N","PASS",IF(J7="Y","PASS — risk documented in thesis","FAIL — undocumented binary risk")))</f>
        <v/>
      </c>
      <c r="L7" s="141" t="str">
        <f aca="false">IF('Implied-Return Calculator'!S8="","",'Implied-Return Calculator'!S8)</f>
        <v/>
      </c>
      <c r="M7" s="141" t="str">
        <f aca="false">IF('Implied-Return Calculator'!T8="","",'Implied-Return Calculator'!T8)</f>
        <v/>
      </c>
      <c r="N7" s="141" t="str">
        <f aca="false">IF('Implied-Return Calculator'!U8="","",'Implied-Return Calculator'!U8)</f>
        <v/>
      </c>
      <c r="O7" s="141"/>
      <c r="P7" s="141"/>
      <c r="Q7" s="143" t="str">
        <f aca="false">IF(OR(O7="",P7=""),"",IF(O7&lt;=50,"PASS — within ceiling",IF(AND(P7&gt;0.3,M7="PASS"),"PASS — growth+bear case exception met","FAIL — exceeds 50x, exception not met")))</f>
        <v/>
      </c>
      <c r="R7" s="142" t="str">
        <f aca="false">IF(OR(C7="",D7="",E7="",K7="",L7="",M7="",N7="",Q7=""),"",IF(AND(C7="PASS",D7="PASS",LEFT(E7,4)="PASS",LEFT(K7,4)="PASS",L7="PASS",M7="PASS",N7="OK",LEFT(Q7,4)="PASS"),"YES","NO — see failing rule(s)"))</f>
        <v/>
      </c>
      <c r="S7" s="142" t="str">
        <f aca="false">IF(R7="","",IF(R7="YES","Initiate: "&amp;H7,"DO NOT ENTER — resolve failing Entry Rule(s) above first"))</f>
        <v/>
      </c>
    </row>
    <row r="8" customFormat="false" ht="15" hidden="false" customHeight="true" outlineLevel="0" collapsed="false">
      <c r="A8" s="141" t="str">
        <f aca="false">IF(Scoring!A8="","",Scoring!A8)</f>
        <v>PLD</v>
      </c>
      <c r="B8" s="142" t="str">
        <f aca="false">IF(Scoring!B8="","",Scoring!B8)</f>
        <v>Prologis Inc. (REIT-adapted)</v>
      </c>
      <c r="C8" s="141" t="str">
        <f aca="false">IF(Scoring!AG8="","",IF(OR(Scoring!AG8="STRONG BUY",Scoring!AG8="BUY"),"PASS","FAIL"))</f>
        <v>PASS</v>
      </c>
      <c r="D8" s="141" t="str">
        <f aca="false">IF(Scoring!AH8="","",IF(Scoring!AH8="OK","PASS","FAIL"))</f>
        <v>PASS</v>
      </c>
      <c r="E8" s="141" t="str">
        <f aca="false">IF(Scoring!AI8="","",IF(Scoring!AI8="OK","PASS","FAIL — mandatory review required"))</f>
        <v>PASS</v>
      </c>
      <c r="F8" s="141"/>
      <c r="G8" s="141"/>
      <c r="H8" s="142" t="str">
        <f aca="false">IF(OR(F8="",G8=""),"",IF(AND(F8="Y",G8="Y"),"Standard initial size","50% of normal initial size + 90-day technical review"))</f>
        <v/>
      </c>
      <c r="I8" s="141"/>
      <c r="J8" s="141"/>
      <c r="K8" s="143" t="str">
        <f aca="false">IF(I8="","",IF(I8="N","PASS",IF(J8="Y","PASS — risk documented in thesis","FAIL — undocumented binary risk")))</f>
        <v/>
      </c>
      <c r="L8" s="141" t="str">
        <f aca="false">IF('Implied-Return Calculator'!S9="","",'Implied-Return Calculator'!S9)</f>
        <v/>
      </c>
      <c r="M8" s="141" t="str">
        <f aca="false">IF('Implied-Return Calculator'!T9="","",'Implied-Return Calculator'!T9)</f>
        <v/>
      </c>
      <c r="N8" s="141" t="str">
        <f aca="false">IF('Implied-Return Calculator'!U9="","",'Implied-Return Calculator'!U9)</f>
        <v/>
      </c>
      <c r="O8" s="141"/>
      <c r="P8" s="141"/>
      <c r="Q8" s="143" t="str">
        <f aca="false">IF(OR(O8="",P8=""),"",IF(O8&lt;=50,"PASS — within ceiling",IF(AND(P8&gt;0.3,M8="PASS"),"PASS — growth+bear case exception met","FAIL — exceeds 50x, exception not met")))</f>
        <v/>
      </c>
      <c r="R8" s="142" t="str">
        <f aca="false">IF(OR(C8="",D8="",E8="",K8="",L8="",M8="",N8="",Q8=""),"",IF(AND(C8="PASS",D8="PASS",LEFT(E8,4)="PASS",LEFT(K8,4)="PASS",L8="PASS",M8="PASS",N8="OK",LEFT(Q8,4)="PASS"),"YES","NO — see failing rule(s)"))</f>
        <v/>
      </c>
      <c r="S8" s="142" t="str">
        <f aca="false">IF(R8="","",IF(R8="YES","Initiate: "&amp;H8,"DO NOT ENTER — resolve failing Entry Rule(s) above first"))</f>
        <v/>
      </c>
    </row>
    <row r="9" customFormat="false" ht="15" hidden="false" customHeight="true" outlineLevel="0" collapsed="false">
      <c r="A9" s="141" t="str">
        <f aca="false">IF(Scoring!A9="","",Scoring!A9)</f>
        <v>SFM</v>
      </c>
      <c r="B9" s="142" t="str">
        <f aca="false">IF(Scoring!B9="","",Scoring!B9)</f>
        <v>Sprouts Farmers Market</v>
      </c>
      <c r="C9" s="141" t="str">
        <f aca="false">IF(Scoring!AG9="","",IF(OR(Scoring!AG9="STRONG BUY",Scoring!AG9="BUY"),"PASS","FAIL"))</f>
        <v/>
      </c>
      <c r="D9" s="141" t="str">
        <f aca="false">IF(Scoring!AH9="","",IF(Scoring!AH9="OK","PASS","FAIL"))</f>
        <v>FAIL</v>
      </c>
      <c r="E9" s="143" t="str">
        <f aca="false">IF(Scoring!AI9="","",IF(Scoring!AI9="OK","PASS","FAIL — mandatory review required"))</f>
        <v>FAIL — mandatory review required</v>
      </c>
      <c r="F9" s="141"/>
      <c r="G9" s="141"/>
      <c r="H9" s="142" t="str">
        <f aca="false">IF(OR(F9="",G9=""),"",IF(AND(F9="Y",G9="Y"),"Standard initial size","50% of normal initial size + 90-day technical review"))</f>
        <v/>
      </c>
      <c r="I9" s="141"/>
      <c r="J9" s="141"/>
      <c r="K9" s="143" t="str">
        <f aca="false">IF(I9="","",IF(I9="N","PASS",IF(J9="Y","PASS — risk documented in thesis","FAIL — undocumented binary risk")))</f>
        <v/>
      </c>
      <c r="L9" s="141" t="str">
        <f aca="false">IF('Implied-Return Calculator'!S10="","",'Implied-Return Calculator'!S10)</f>
        <v/>
      </c>
      <c r="M9" s="141" t="str">
        <f aca="false">IF('Implied-Return Calculator'!T10="","",'Implied-Return Calculator'!T10)</f>
        <v/>
      </c>
      <c r="N9" s="141" t="str">
        <f aca="false">IF('Implied-Return Calculator'!U10="","",'Implied-Return Calculator'!U10)</f>
        <v/>
      </c>
      <c r="O9" s="141"/>
      <c r="P9" s="141"/>
      <c r="Q9" s="143" t="str">
        <f aca="false">IF(OR(O9="",P9=""),"",IF(O9&lt;=50,"PASS — within ceiling",IF(AND(P9&gt;0.3,M9="PASS"),"PASS — growth+bear case exception met","FAIL — exceeds 50x, exception not met")))</f>
        <v/>
      </c>
      <c r="R9" s="142" t="str">
        <f aca="false">IF(OR(C9="",D9="",E9="",K9="",L9="",M9="",N9="",Q9=""),"",IF(AND(C9="PASS",D9="PASS",LEFT(E9,4)="PASS",LEFT(K9,4)="PASS",L9="PASS",M9="PASS",N9="OK",LEFT(Q9,4)="PASS"),"YES","NO — see failing rule(s)"))</f>
        <v/>
      </c>
      <c r="S9" s="142" t="str">
        <f aca="false">IF(R9="","",IF(R9="YES","Initiate: "&amp;H9,"DO NOT ENTER — resolve failing Entry Rule(s) above first"))</f>
        <v/>
      </c>
    </row>
    <row r="10" customFormat="false" ht="15" hidden="false" customHeight="true" outlineLevel="0" collapsed="false">
      <c r="A10" s="141" t="str">
        <f aca="false">IF(Scoring!A10="","",Scoring!A10)</f>
        <v>ONON</v>
      </c>
      <c r="B10" s="142" t="str">
        <f aca="false">IF(Scoring!B10="","",Scoring!B10)</f>
        <v>On Holding AG</v>
      </c>
      <c r="C10" s="141" t="str">
        <f aca="false">IF(Scoring!AG10="","",IF(OR(Scoring!AG10="STRONG BUY",Scoring!AG10="BUY"),"PASS","FAIL"))</f>
        <v/>
      </c>
      <c r="D10" s="141" t="str">
        <f aca="false">IF(Scoring!AH10="","",IF(Scoring!AH10="OK","PASS","FAIL"))</f>
        <v>FAIL</v>
      </c>
      <c r="E10" s="141" t="str">
        <f aca="false">IF(Scoring!AI10="","",IF(Scoring!AI10="OK","PASS","FAIL — mandatory review required"))</f>
        <v>PASS</v>
      </c>
      <c r="F10" s="141"/>
      <c r="G10" s="141"/>
      <c r="H10" s="142" t="str">
        <f aca="false">IF(OR(F10="",G10=""),"",IF(AND(F10="Y",G10="Y"),"Standard initial size","50% of normal initial size + 90-day technical review"))</f>
        <v/>
      </c>
      <c r="I10" s="141"/>
      <c r="J10" s="141"/>
      <c r="K10" s="143" t="str">
        <f aca="false">IF(I10="","",IF(I10="N","PASS",IF(J10="Y","PASS — risk documented in thesis","FAIL — undocumented binary risk")))</f>
        <v/>
      </c>
      <c r="L10" s="141" t="str">
        <f aca="false">IF('Implied-Return Calculator'!S11="","",'Implied-Return Calculator'!S11)</f>
        <v/>
      </c>
      <c r="M10" s="141" t="str">
        <f aca="false">IF('Implied-Return Calculator'!T11="","",'Implied-Return Calculator'!T11)</f>
        <v/>
      </c>
      <c r="N10" s="141" t="str">
        <f aca="false">IF('Implied-Return Calculator'!U11="","",'Implied-Return Calculator'!U11)</f>
        <v/>
      </c>
      <c r="O10" s="141"/>
      <c r="P10" s="141"/>
      <c r="Q10" s="143" t="str">
        <f aca="false">IF(OR(O10="",P10=""),"",IF(O10&lt;=50,"PASS — within ceiling",IF(AND(P10&gt;0.3,M10="PASS"),"PASS — growth+bear case exception met","FAIL — exceeds 50x, exception not met")))</f>
        <v/>
      </c>
      <c r="R10" s="142" t="str">
        <f aca="false">IF(OR(C10="",D10="",E10="",K10="",L10="",M10="",N10="",Q10=""),"",IF(AND(C10="PASS",D10="PASS",LEFT(E10,4)="PASS",LEFT(K10,4)="PASS",L10="PASS",M10="PASS",N10="OK",LEFT(Q10,4)="PASS"),"YES","NO — see failing rule(s)"))</f>
        <v/>
      </c>
      <c r="S10" s="142" t="str">
        <f aca="false">IF(R10="","",IF(R10="YES","Initiate: "&amp;H10,"DO NOT ENTER — resolve failing Entry Rule(s) above first"))</f>
        <v/>
      </c>
    </row>
    <row r="11" customFormat="false" ht="15" hidden="false" customHeight="true" outlineLevel="0" collapsed="false">
      <c r="A11" s="141" t="str">
        <f aca="false">IF(Scoring!A11="","",Scoring!A11)</f>
        <v>TSLA</v>
      </c>
      <c r="B11" s="142" t="str">
        <f aca="false">IF(Scoring!B11="","",Scoring!B11)</f>
        <v>Tesla Inc.</v>
      </c>
      <c r="C11" s="141" t="str">
        <f aca="false">IF(Scoring!AG11="","",IF(OR(Scoring!AG11="STRONG BUY",Scoring!AG11="BUY"),"PASS","FAIL"))</f>
        <v/>
      </c>
      <c r="D11" s="141" t="str">
        <f aca="false">IF(Scoring!AH11="","",IF(Scoring!AH11="OK","PASS","FAIL"))</f>
        <v>FAIL</v>
      </c>
      <c r="E11" s="143" t="str">
        <f aca="false">IF(Scoring!AI11="","",IF(Scoring!AI11="OK","PASS","FAIL — mandatory review required"))</f>
        <v>FAIL — mandatory review required</v>
      </c>
      <c r="F11" s="141"/>
      <c r="G11" s="141"/>
      <c r="H11" s="142" t="str">
        <f aca="false">IF(OR(F11="",G11=""),"",IF(AND(F11="Y",G11="Y"),"Standard initial size","50% of normal initial size + 90-day technical review"))</f>
        <v/>
      </c>
      <c r="I11" s="141"/>
      <c r="J11" s="141"/>
      <c r="K11" s="143" t="str">
        <f aca="false">IF(I11="","",IF(I11="N","PASS",IF(J11="Y","PASS — risk documented in thesis","FAIL — undocumented binary risk")))</f>
        <v/>
      </c>
      <c r="L11" s="141" t="str">
        <f aca="false">IF('Implied-Return Calculator'!S12="","",'Implied-Return Calculator'!S12)</f>
        <v/>
      </c>
      <c r="M11" s="141" t="str">
        <f aca="false">IF('Implied-Return Calculator'!T12="","",'Implied-Return Calculator'!T12)</f>
        <v/>
      </c>
      <c r="N11" s="141" t="str">
        <f aca="false">IF('Implied-Return Calculator'!U12="","",'Implied-Return Calculator'!U12)</f>
        <v/>
      </c>
      <c r="O11" s="141"/>
      <c r="P11" s="141"/>
      <c r="Q11" s="143" t="str">
        <f aca="false">IF(OR(O11="",P11=""),"",IF(O11&lt;=50,"PASS — within ceiling",IF(AND(P11&gt;0.3,M11="PASS"),"PASS — growth+bear case exception met","FAIL — exceeds 50x, exception not met")))</f>
        <v/>
      </c>
      <c r="R11" s="142" t="str">
        <f aca="false">IF(OR(C11="",D11="",E11="",K11="",L11="",M11="",N11="",Q11=""),"",IF(AND(C11="PASS",D11="PASS",LEFT(E11,4)="PASS",LEFT(K11,4)="PASS",L11="PASS",M11="PASS",N11="OK",LEFT(Q11,4)="PASS"),"YES","NO — see failing rule(s)"))</f>
        <v/>
      </c>
      <c r="S11" s="142" t="str">
        <f aca="false">IF(R11="","",IF(R11="YES","Initiate: "&amp;H11,"DO NOT ENTER — resolve failing Entry Rule(s) above first"))</f>
        <v/>
      </c>
    </row>
    <row r="12" customFormat="false" ht="15" hidden="false" customHeight="true" outlineLevel="0" collapsed="false">
      <c r="A12" s="141" t="str">
        <f aca="false">IF(Scoring!A12="","",Scoring!A12)</f>
        <v>ADBE</v>
      </c>
      <c r="B12" s="142" t="str">
        <f aca="false">IF(Scoring!B12="","",Scoring!B12)</f>
        <v>Adobe Inc.</v>
      </c>
      <c r="C12" s="141" t="str">
        <f aca="false">IF(Scoring!AG12="","",IF(OR(Scoring!AG12="STRONG BUY",Scoring!AG12="BUY"),"PASS","FAIL"))</f>
        <v>PASS</v>
      </c>
      <c r="D12" s="141" t="str">
        <f aca="false">IF(Scoring!AH12="","",IF(Scoring!AH12="OK","PASS","FAIL"))</f>
        <v>PASS</v>
      </c>
      <c r="E12" s="141" t="str">
        <f aca="false">IF(Scoring!AI12="","",IF(Scoring!AI12="OK","PASS","FAIL — mandatory review required"))</f>
        <v>PASS</v>
      </c>
      <c r="F12" s="141"/>
      <c r="G12" s="141"/>
      <c r="H12" s="142" t="str">
        <f aca="false">IF(OR(F12="",G12=""),"",IF(AND(F12="Y",G12="Y"),"Standard initial size","50% of normal initial size + 90-day technical review"))</f>
        <v/>
      </c>
      <c r="I12" s="141"/>
      <c r="J12" s="141"/>
      <c r="K12" s="143" t="str">
        <f aca="false">IF(I12="","",IF(I12="N","PASS",IF(J12="Y","PASS — risk documented in thesis","FAIL — undocumented binary risk")))</f>
        <v/>
      </c>
      <c r="L12" s="141" t="str">
        <f aca="false">IF('Implied-Return Calculator'!S13="","",'Implied-Return Calculator'!S13)</f>
        <v/>
      </c>
      <c r="M12" s="141" t="str">
        <f aca="false">IF('Implied-Return Calculator'!T13="","",'Implied-Return Calculator'!T13)</f>
        <v/>
      </c>
      <c r="N12" s="141" t="str">
        <f aca="false">IF('Implied-Return Calculator'!U13="","",'Implied-Return Calculator'!U13)</f>
        <v/>
      </c>
      <c r="O12" s="141"/>
      <c r="P12" s="141"/>
      <c r="Q12" s="143" t="str">
        <f aca="false">IF(OR(O12="",P12=""),"",IF(O12&lt;=50,"PASS — within ceiling",IF(AND(P12&gt;0.3,M12="PASS"),"PASS — growth+bear case exception met","FAIL — exceeds 50x, exception not met")))</f>
        <v/>
      </c>
      <c r="R12" s="142" t="str">
        <f aca="false">IF(OR(C12="",D12="",E12="",K12="",L12="",M12="",N12="",Q12=""),"",IF(AND(C12="PASS",D12="PASS",LEFT(E12,4)="PASS",LEFT(K12,4)="PASS",L12="PASS",M12="PASS",N12="OK",LEFT(Q12,4)="PASS"),"YES","NO — see failing rule(s)"))</f>
        <v/>
      </c>
      <c r="S12" s="142" t="str">
        <f aca="false">IF(R12="","",IF(R12="YES","Initiate: "&amp;H12,"DO NOT ENTER — resolve failing Entry Rule(s) above first"))</f>
        <v/>
      </c>
    </row>
    <row r="13" customFormat="false" ht="15" hidden="false" customHeight="true" outlineLevel="0" collapsed="false">
      <c r="A13" s="141" t="str">
        <f aca="false">IF(Scoring!A13="","",Scoring!A13)</f>
        <v>ANET</v>
      </c>
      <c r="B13" s="142" t="str">
        <f aca="false">IF(Scoring!B13="","",Scoring!B13)</f>
        <v>Arista Networks</v>
      </c>
      <c r="C13" s="141" t="str">
        <f aca="false">IF(Scoring!AG13="","",IF(OR(Scoring!AG13="STRONG BUY",Scoring!AG13="BUY"),"PASS","FAIL"))</f>
        <v>PASS</v>
      </c>
      <c r="D13" s="141" t="str">
        <f aca="false">IF(Scoring!AH13="","",IF(Scoring!AH13="OK","PASS","FAIL"))</f>
        <v>PASS</v>
      </c>
      <c r="E13" s="141" t="str">
        <f aca="false">IF(Scoring!AI13="","",IF(Scoring!AI13="OK","PASS","FAIL — mandatory review required"))</f>
        <v>PASS</v>
      </c>
      <c r="F13" s="141"/>
      <c r="G13" s="141"/>
      <c r="H13" s="142" t="str">
        <f aca="false">IF(OR(F13="",G13=""),"",IF(AND(F13="Y",G13="Y"),"Standard initial size","50% of normal initial size + 90-day technical review"))</f>
        <v/>
      </c>
      <c r="I13" s="141"/>
      <c r="J13" s="141"/>
      <c r="K13" s="143" t="str">
        <f aca="false">IF(I13="","",IF(I13="N","PASS",IF(J13="Y","PASS — risk documented in thesis","FAIL — undocumented binary risk")))</f>
        <v/>
      </c>
      <c r="L13" s="141" t="str">
        <f aca="false">IF('Implied-Return Calculator'!S14="","",'Implied-Return Calculator'!S14)</f>
        <v/>
      </c>
      <c r="M13" s="141" t="str">
        <f aca="false">IF('Implied-Return Calculator'!T14="","",'Implied-Return Calculator'!T14)</f>
        <v/>
      </c>
      <c r="N13" s="141" t="str">
        <f aca="false">IF('Implied-Return Calculator'!U14="","",'Implied-Return Calculator'!U14)</f>
        <v/>
      </c>
      <c r="O13" s="141"/>
      <c r="P13" s="141"/>
      <c r="Q13" s="143" t="str">
        <f aca="false">IF(OR(O13="",P13=""),"",IF(O13&lt;=50,"PASS — within ceiling",IF(AND(P13&gt;0.3,M13="PASS"),"PASS — growth+bear case exception met","FAIL — exceeds 50x, exception not met")))</f>
        <v/>
      </c>
      <c r="R13" s="142" t="str">
        <f aca="false">IF(OR(C13="",D13="",E13="",K13="",L13="",M13="",N13="",Q13=""),"",IF(AND(C13="PASS",D13="PASS",LEFT(E13,4)="PASS",LEFT(K13,4)="PASS",L13="PASS",M13="PASS",N13="OK",LEFT(Q13,4)="PASS"),"YES","NO — see failing rule(s)"))</f>
        <v/>
      </c>
      <c r="S13" s="142" t="str">
        <f aca="false">IF(R13="","",IF(R13="YES","Initiate: "&amp;H13,"DO NOT ENTER — resolve failing Entry Rule(s) above first"))</f>
        <v/>
      </c>
    </row>
    <row r="14" customFormat="false" ht="15" hidden="false" customHeight="true" outlineLevel="0" collapsed="false">
      <c r="A14" s="141" t="str">
        <f aca="false">IF(Scoring!A14="","",Scoring!A14)</f>
        <v>ASML</v>
      </c>
      <c r="B14" s="142" t="str">
        <f aca="false">IF(Scoring!B14="","",Scoring!B14)</f>
        <v>ASML Holding</v>
      </c>
      <c r="C14" s="141" t="str">
        <f aca="false">IF(Scoring!AG14="","",IF(OR(Scoring!AG14="STRONG BUY",Scoring!AG14="BUY"),"PASS","FAIL"))</f>
        <v>PASS</v>
      </c>
      <c r="D14" s="141" t="str">
        <f aca="false">IF(Scoring!AH14="","",IF(Scoring!AH14="OK","PASS","FAIL"))</f>
        <v>PASS</v>
      </c>
      <c r="E14" s="141" t="str">
        <f aca="false">IF(Scoring!AI14="","",IF(Scoring!AI14="OK","PASS","FAIL — mandatory review required"))</f>
        <v>PASS</v>
      </c>
      <c r="F14" s="141"/>
      <c r="G14" s="141"/>
      <c r="H14" s="142" t="str">
        <f aca="false">IF(OR(F14="",G14=""),"",IF(AND(F14="Y",G14="Y"),"Standard initial size","50% of normal initial size + 90-day technical review"))</f>
        <v/>
      </c>
      <c r="I14" s="141"/>
      <c r="J14" s="141"/>
      <c r="K14" s="143" t="str">
        <f aca="false">IF(I14="","",IF(I14="N","PASS",IF(J14="Y","PASS — risk documented in thesis","FAIL — undocumented binary risk")))</f>
        <v/>
      </c>
      <c r="L14" s="141" t="str">
        <f aca="false">IF('Implied-Return Calculator'!S15="","",'Implied-Return Calculator'!S15)</f>
        <v/>
      </c>
      <c r="M14" s="141" t="str">
        <f aca="false">IF('Implied-Return Calculator'!T15="","",'Implied-Return Calculator'!T15)</f>
        <v/>
      </c>
      <c r="N14" s="141" t="str">
        <f aca="false">IF('Implied-Return Calculator'!U15="","",'Implied-Return Calculator'!U15)</f>
        <v/>
      </c>
      <c r="O14" s="141"/>
      <c r="P14" s="141"/>
      <c r="Q14" s="143" t="str">
        <f aca="false">IF(OR(O14="",P14=""),"",IF(O14&lt;=50,"PASS — within ceiling",IF(AND(P14&gt;0.3,M14="PASS"),"PASS — growth+bear case exception met","FAIL — exceeds 50x, exception not met")))</f>
        <v/>
      </c>
      <c r="R14" s="142" t="str">
        <f aca="false">IF(OR(C14="",D14="",E14="",K14="",L14="",M14="",N14="",Q14=""),"",IF(AND(C14="PASS",D14="PASS",LEFT(E14,4)="PASS",LEFT(K14,4)="PASS",L14="PASS",M14="PASS",N14="OK",LEFT(Q14,4)="PASS"),"YES","NO — see failing rule(s)"))</f>
        <v/>
      </c>
      <c r="S14" s="142" t="str">
        <f aca="false">IF(R14="","",IF(R14="YES","Initiate: "&amp;H14,"DO NOT ENTER — resolve failing Entry Rule(s) above first"))</f>
        <v/>
      </c>
    </row>
    <row r="15" customFormat="false" ht="15" hidden="false" customHeight="true" outlineLevel="0" collapsed="false">
      <c r="A15" s="141" t="str">
        <f aca="false">IF(Scoring!A15="","",Scoring!A15)</f>
        <v>CRWD</v>
      </c>
      <c r="B15" s="142" t="str">
        <f aca="false">IF(Scoring!B15="","",Scoring!B15)</f>
        <v>CrowdStrike Holdings</v>
      </c>
      <c r="C15" s="141" t="str">
        <f aca="false">IF(Scoring!AG15="","",IF(OR(Scoring!AG15="STRONG BUY",Scoring!AG15="BUY"),"PASS","FAIL"))</f>
        <v>FAIL</v>
      </c>
      <c r="D15" s="141" t="str">
        <f aca="false">IF(Scoring!AH15="","",IF(Scoring!AH15="OK","PASS","FAIL"))</f>
        <v>PASS</v>
      </c>
      <c r="E15" s="141" t="str">
        <f aca="false">IF(Scoring!AI15="","",IF(Scoring!AI15="OK","PASS","FAIL — mandatory review required"))</f>
        <v>PASS</v>
      </c>
      <c r="F15" s="141"/>
      <c r="G15" s="141"/>
      <c r="H15" s="142" t="str">
        <f aca="false">IF(OR(F15="",G15=""),"",IF(AND(F15="Y",G15="Y"),"Standard initial size","50% of normal initial size + 90-day technical review"))</f>
        <v/>
      </c>
      <c r="I15" s="141"/>
      <c r="J15" s="141"/>
      <c r="K15" s="143" t="str">
        <f aca="false">IF(I15="","",IF(I15="N","PASS",IF(J15="Y","PASS — risk documented in thesis","FAIL — undocumented binary risk")))</f>
        <v/>
      </c>
      <c r="L15" s="141" t="str">
        <f aca="false">IF('Implied-Return Calculator'!S16="","",'Implied-Return Calculator'!S16)</f>
        <v/>
      </c>
      <c r="M15" s="141" t="str">
        <f aca="false">IF('Implied-Return Calculator'!T16="","",'Implied-Return Calculator'!T16)</f>
        <v/>
      </c>
      <c r="N15" s="141" t="str">
        <f aca="false">IF('Implied-Return Calculator'!U16="","",'Implied-Return Calculator'!U16)</f>
        <v/>
      </c>
      <c r="O15" s="141"/>
      <c r="P15" s="141"/>
      <c r="Q15" s="143" t="str">
        <f aca="false">IF(OR(O15="",P15=""),"",IF(O15&lt;=50,"PASS — within ceiling",IF(AND(P15&gt;0.3,M15="PASS"),"PASS — growth+bear case exception met","FAIL — exceeds 50x, exception not met")))</f>
        <v/>
      </c>
      <c r="R15" s="142" t="str">
        <f aca="false">IF(OR(C15="",D15="",E15="",K15="",L15="",M15="",N15="",Q15=""),"",IF(AND(C15="PASS",D15="PASS",LEFT(E15,4)="PASS",LEFT(K15,4)="PASS",L15="PASS",M15="PASS",N15="OK",LEFT(Q15,4)="PASS"),"YES","NO — see failing rule(s)"))</f>
        <v/>
      </c>
      <c r="S15" s="142" t="str">
        <f aca="false">IF(R15="","",IF(R15="YES","Initiate: "&amp;H15,"DO NOT ENTER — resolve failing Entry Rule(s) above first"))</f>
        <v/>
      </c>
    </row>
    <row r="16" customFormat="false" ht="15" hidden="false" customHeight="true" outlineLevel="0" collapsed="false">
      <c r="A16" s="141" t="str">
        <f aca="false">IF(Scoring!A16="","",Scoring!A16)</f>
        <v>KLAC</v>
      </c>
      <c r="B16" s="142" t="str">
        <f aca="false">IF(Scoring!B16="","",Scoring!B16)</f>
        <v>KLA Corporation</v>
      </c>
      <c r="C16" s="141" t="str">
        <f aca="false">IF(Scoring!AG16="","",IF(OR(Scoring!AG16="STRONG BUY",Scoring!AG16="BUY"),"PASS","FAIL"))</f>
        <v>PASS</v>
      </c>
      <c r="D16" s="141" t="str">
        <f aca="false">IF(Scoring!AH16="","",IF(Scoring!AH16="OK","PASS","FAIL"))</f>
        <v>PASS</v>
      </c>
      <c r="E16" s="141" t="str">
        <f aca="false">IF(Scoring!AI16="","",IF(Scoring!AI16="OK","PASS","FAIL — mandatory review required"))</f>
        <v>PASS</v>
      </c>
      <c r="F16" s="141"/>
      <c r="G16" s="141"/>
      <c r="H16" s="142" t="str">
        <f aca="false">IF(OR(F16="",G16=""),"",IF(AND(F16="Y",G16="Y"),"Standard initial size","50% of normal initial size + 90-day technical review"))</f>
        <v/>
      </c>
      <c r="I16" s="141"/>
      <c r="J16" s="141"/>
      <c r="K16" s="143" t="str">
        <f aca="false">IF(I16="","",IF(I16="N","PASS",IF(J16="Y","PASS — risk documented in thesis","FAIL — undocumented binary risk")))</f>
        <v/>
      </c>
      <c r="L16" s="141" t="str">
        <f aca="false">IF('Implied-Return Calculator'!S17="","",'Implied-Return Calculator'!S17)</f>
        <v/>
      </c>
      <c r="M16" s="141" t="str">
        <f aca="false">IF('Implied-Return Calculator'!T17="","",'Implied-Return Calculator'!T17)</f>
        <v/>
      </c>
      <c r="N16" s="141" t="str">
        <f aca="false">IF('Implied-Return Calculator'!U17="","",'Implied-Return Calculator'!U17)</f>
        <v/>
      </c>
      <c r="O16" s="141"/>
      <c r="P16" s="141"/>
      <c r="Q16" s="143" t="str">
        <f aca="false">IF(OR(O16="",P16=""),"",IF(O16&lt;=50,"PASS — within ceiling",IF(AND(P16&gt;0.3,M16="PASS"),"PASS — growth+bear case exception met","FAIL — exceeds 50x, exception not met")))</f>
        <v/>
      </c>
      <c r="R16" s="142" t="str">
        <f aca="false">IF(OR(C16="",D16="",E16="",K16="",L16="",M16="",N16="",Q16=""),"",IF(AND(C16="PASS",D16="PASS",LEFT(E16,4)="PASS",LEFT(K16,4)="PASS",L16="PASS",M16="PASS",N16="OK",LEFT(Q16,4)="PASS"),"YES","NO — see failing rule(s)"))</f>
        <v/>
      </c>
      <c r="S16" s="142" t="str">
        <f aca="false">IF(R16="","",IF(R16="YES","Initiate: "&amp;H16,"DO NOT ENTER — resolve failing Entry Rule(s) above first"))</f>
        <v/>
      </c>
    </row>
    <row r="17" customFormat="false" ht="15" hidden="false" customHeight="true" outlineLevel="0" collapsed="false">
      <c r="A17" s="141" t="str">
        <f aca="false">IF(Scoring!A17="","",Scoring!A17)</f>
        <v>TSM</v>
      </c>
      <c r="B17" s="142" t="str">
        <f aca="false">IF(Scoring!B17="","",Scoring!B17)</f>
        <v>Taiwan Semiconductor Mfg.</v>
      </c>
      <c r="C17" s="141" t="str">
        <f aca="false">IF(Scoring!AG17="","",IF(OR(Scoring!AG17="STRONG BUY",Scoring!AG17="BUY"),"PASS","FAIL"))</f>
        <v>PASS</v>
      </c>
      <c r="D17" s="141" t="str">
        <f aca="false">IF(Scoring!AH17="","",IF(Scoring!AH17="OK","PASS","FAIL"))</f>
        <v>PASS</v>
      </c>
      <c r="E17" s="141" t="str">
        <f aca="false">IF(Scoring!AI17="","",IF(Scoring!AI17="OK","PASS","FAIL — mandatory review required"))</f>
        <v>PASS</v>
      </c>
      <c r="F17" s="141"/>
      <c r="G17" s="141"/>
      <c r="H17" s="142" t="str">
        <f aca="false">IF(OR(F17="",G17=""),"",IF(AND(F17="Y",G17="Y"),"Standard initial size","50% of normal initial size + 90-day technical review"))</f>
        <v/>
      </c>
      <c r="I17" s="141"/>
      <c r="J17" s="141"/>
      <c r="K17" s="143" t="str">
        <f aca="false">IF(I17="","",IF(I17="N","PASS",IF(J17="Y","PASS — risk documented in thesis","FAIL — undocumented binary risk")))</f>
        <v/>
      </c>
      <c r="L17" s="141" t="str">
        <f aca="false">IF('Implied-Return Calculator'!S18="","",'Implied-Return Calculator'!S18)</f>
        <v/>
      </c>
      <c r="M17" s="141" t="str">
        <f aca="false">IF('Implied-Return Calculator'!T18="","",'Implied-Return Calculator'!T18)</f>
        <v/>
      </c>
      <c r="N17" s="141" t="str">
        <f aca="false">IF('Implied-Return Calculator'!U18="","",'Implied-Return Calculator'!U18)</f>
        <v/>
      </c>
      <c r="O17" s="141"/>
      <c r="P17" s="141"/>
      <c r="Q17" s="143" t="str">
        <f aca="false">IF(OR(O17="",P17=""),"",IF(O17&lt;=50,"PASS — within ceiling",IF(AND(P17&gt;0.3,M17="PASS"),"PASS — growth+bear case exception met","FAIL — exceeds 50x, exception not met")))</f>
        <v/>
      </c>
      <c r="R17" s="142" t="str">
        <f aca="false">IF(OR(C17="",D17="",E17="",K17="",L17="",M17="",N17="",Q17=""),"",IF(AND(C17="PASS",D17="PASS",LEFT(E17,4)="PASS",LEFT(K17,4)="PASS",L17="PASS",M17="PASS",N17="OK",LEFT(Q17,4)="PASS"),"YES","NO — see failing rule(s)"))</f>
        <v/>
      </c>
      <c r="S17" s="142" t="str">
        <f aca="false">IF(R17="","",IF(R17="YES","Initiate: "&amp;H17,"DO NOT ENTER — resolve failing Entry Rule(s) above first"))</f>
        <v/>
      </c>
    </row>
    <row r="18" customFormat="false" ht="15" hidden="false" customHeight="true" outlineLevel="0" collapsed="false">
      <c r="A18" s="141" t="str">
        <f aca="false">IF(Scoring!A18="","",Scoring!A18)</f>
        <v>VRT</v>
      </c>
      <c r="B18" s="142" t="str">
        <f aca="false">IF(Scoring!B18="","",Scoring!B18)</f>
        <v>Vertiv Holdings</v>
      </c>
      <c r="C18" s="141" t="str">
        <f aca="false">IF(Scoring!AG18="","",IF(OR(Scoring!AG18="STRONG BUY",Scoring!AG18="BUY"),"PASS","FAIL"))</f>
        <v>PASS</v>
      </c>
      <c r="D18" s="141" t="str">
        <f aca="false">IF(Scoring!AH18="","",IF(Scoring!AH18="OK","PASS","FAIL"))</f>
        <v>PASS</v>
      </c>
      <c r="E18" s="141" t="str">
        <f aca="false">IF(Scoring!AI18="","",IF(Scoring!AI18="OK","PASS","FAIL — mandatory review required"))</f>
        <v>PASS</v>
      </c>
      <c r="F18" s="141"/>
      <c r="G18" s="141"/>
      <c r="H18" s="142" t="str">
        <f aca="false">IF(OR(F18="",G18=""),"",IF(AND(F18="Y",G18="Y"),"Standard initial size","50% of normal initial size + 90-day technical review"))</f>
        <v/>
      </c>
      <c r="I18" s="141"/>
      <c r="J18" s="141"/>
      <c r="K18" s="143" t="str">
        <f aca="false">IF(I18="","",IF(I18="N","PASS",IF(J18="Y","PASS — risk documented in thesis","FAIL — undocumented binary risk")))</f>
        <v/>
      </c>
      <c r="L18" s="141" t="str">
        <f aca="false">IF('Implied-Return Calculator'!S19="","",'Implied-Return Calculator'!S19)</f>
        <v/>
      </c>
      <c r="M18" s="141" t="str">
        <f aca="false">IF('Implied-Return Calculator'!T19="","",'Implied-Return Calculator'!T19)</f>
        <v/>
      </c>
      <c r="N18" s="141" t="str">
        <f aca="false">IF('Implied-Return Calculator'!U19="","",'Implied-Return Calculator'!U19)</f>
        <v/>
      </c>
      <c r="O18" s="141"/>
      <c r="P18" s="141"/>
      <c r="Q18" s="143" t="str">
        <f aca="false">IF(OR(O18="",P18=""),"",IF(O18&lt;=50,"PASS — within ceiling",IF(AND(P18&gt;0.3,M18="PASS"),"PASS — growth+bear case exception met","FAIL — exceeds 50x, exception not met")))</f>
        <v/>
      </c>
      <c r="R18" s="142" t="str">
        <f aca="false">IF(OR(C18="",D18="",E18="",K18="",L18="",M18="",N18="",Q18=""),"",IF(AND(C18="PASS",D18="PASS",LEFT(E18,4)="PASS",LEFT(K18,4)="PASS",L18="PASS",M18="PASS",N18="OK",LEFT(Q18,4)="PASS"),"YES","NO — see failing rule(s)"))</f>
        <v/>
      </c>
      <c r="S18" s="142" t="str">
        <f aca="false">IF(R18="","",IF(R18="YES","Initiate: "&amp;H18,"DO NOT ENTER — resolve failing Entry Rule(s) above first"))</f>
        <v/>
      </c>
    </row>
    <row r="19" customFormat="false" ht="15" hidden="false" customHeight="true" outlineLevel="0" collapsed="false">
      <c r="A19" s="141" t="str">
        <f aca="false">IF(Scoring!A19="","",Scoring!A19)</f>
        <v>COST</v>
      </c>
      <c r="B19" s="142" t="str">
        <f aca="false">IF(Scoring!B19="","",Scoring!B19)</f>
        <v>Costco Wholesale Corp.</v>
      </c>
      <c r="C19" s="141" t="str">
        <f aca="false">IF(Scoring!AG19="","",IF(OR(Scoring!AG19="STRONG BUY",Scoring!AG19="BUY"),"PASS","FAIL"))</f>
        <v>PASS</v>
      </c>
      <c r="D19" s="141" t="str">
        <f aca="false">IF(Scoring!AH19="","",IF(Scoring!AH19="OK","PASS","FAIL"))</f>
        <v>PASS</v>
      </c>
      <c r="E19" s="141" t="str">
        <f aca="false">IF(Scoring!AI19="","",IF(Scoring!AI19="OK","PASS","FAIL — mandatory review required"))</f>
        <v>PASS</v>
      </c>
      <c r="F19" s="141" t="s">
        <v>222</v>
      </c>
      <c r="G19" s="141" t="s">
        <v>222</v>
      </c>
      <c r="H19" s="142" t="str">
        <f aca="false">IF(OR(F19="",G19=""),"",IF(AND(F19="Y",G19="Y"),"Standard initial size","50% of normal initial size + 90-day technical review"))</f>
        <v>Standard initial size</v>
      </c>
      <c r="I19" s="141" t="s">
        <v>224</v>
      </c>
      <c r="J19" s="141"/>
      <c r="K19" s="143" t="str">
        <f aca="false">IF(I19="","",IF(I19="N","PASS",IF(J19="Y","PASS — risk documented in thesis","FAIL — undocumented binary risk")))</f>
        <v>PASS</v>
      </c>
      <c r="L19" s="141" t="str">
        <f aca="false">IF('Implied-Return Calculator'!S20="","",'Implied-Return Calculator'!S20)</f>
        <v>FAIL</v>
      </c>
      <c r="M19" s="141" t="str">
        <f aca="false">IF('Implied-Return Calculator'!T20="","",'Implied-Return Calculator'!T20)</f>
        <v>PASS</v>
      </c>
      <c r="N19" s="141" t="str">
        <f aca="false">IF('Implied-Return Calculator'!U20="","",'Implied-Return Calculator'!U20)</f>
        <v>OK</v>
      </c>
      <c r="O19" s="141" t="n">
        <v>61.48</v>
      </c>
      <c r="P19" s="141" t="n">
        <v>0.07</v>
      </c>
      <c r="Q19" s="143" t="str">
        <f aca="false">IF(OR(O19="",P19=""),"",IF(O19&lt;=50,"PASS — within ceiling",IF(AND(P19&gt;0.3,M19="PASS"),"PASS — growth+bear case exception met","FAIL — exceeds 50x, exception not met")))</f>
        <v>FAIL — exceeds 50x, exception not met</v>
      </c>
      <c r="R19" s="142" t="str">
        <f aca="false">IF(OR(C19="",D19="",E19="",K19="",L19="",M19="",N19="",Q19=""),"",IF(AND(C19="PASS",D19="PASS",LEFT(E19,4)="PASS",LEFT(K19,4)="PASS",L19="PASS",M19="PASS",N19="OK",LEFT(Q19,4)="PASS"),"YES","NO — see failing rule(s)"))</f>
        <v>NO — see failing rule(s)</v>
      </c>
      <c r="S19" s="142" t="str">
        <f aca="false">IF(R19="","",IF(R19="YES","Initiate: "&amp;H19,"DO NOT ENTER — resolve failing Entry Rule(s) above first"))</f>
        <v>DO NOT ENTER — resolve failing Entry Rule(s) above first</v>
      </c>
    </row>
    <row r="20" customFormat="false" ht="15" hidden="false" customHeight="true" outlineLevel="0" collapsed="false">
      <c r="A20" s="141" t="str">
        <f aca="false">IF(Scoring!A20="","",Scoring!A20)</f>
        <v>V</v>
      </c>
      <c r="B20" s="142" t="str">
        <f aca="false">IF(Scoring!B20="","",Scoring!B20)</f>
        <v>Visa Inc.</v>
      </c>
      <c r="C20" s="141" t="str">
        <f aca="false">IF(Scoring!AG20="","",IF(OR(Scoring!AG20="STRONG BUY",Scoring!AG20="BUY"),"PASS","FAIL"))</f>
        <v>PASS</v>
      </c>
      <c r="D20" s="141" t="str">
        <f aca="false">IF(Scoring!AH20="","",IF(Scoring!AH20="OK","PASS","FAIL"))</f>
        <v>PASS</v>
      </c>
      <c r="E20" s="141" t="str">
        <f aca="false">IF(Scoring!AI20="","",IF(Scoring!AI20="OK","PASS","FAIL — mandatory review required"))</f>
        <v>PASS</v>
      </c>
      <c r="F20" s="141" t="s">
        <v>222</v>
      </c>
      <c r="G20" s="141" t="s">
        <v>222</v>
      </c>
      <c r="H20" s="142" t="str">
        <f aca="false">IF(OR(F20="",G20=""),"",IF(AND(F20="Y",G20="Y"),"Standard initial size","50% of normal initial size + 90-day technical review"))</f>
        <v>Standard initial size</v>
      </c>
      <c r="I20" s="141" t="s">
        <v>222</v>
      </c>
      <c r="J20" s="141" t="s">
        <v>222</v>
      </c>
      <c r="K20" s="143" t="str">
        <f aca="false">IF(I20="","",IF(I20="N","PASS",IF(J20="Y","PASS — risk documented in thesis","FAIL — undocumented binary risk")))</f>
        <v>PASS — risk documented in thesis</v>
      </c>
      <c r="L20" s="141" t="str">
        <f aca="false">IF('Implied-Return Calculator'!S21="","",'Implied-Return Calculator'!S21)</f>
        <v>PASS</v>
      </c>
      <c r="M20" s="141" t="str">
        <f aca="false">IF('Implied-Return Calculator'!T21="","",'Implied-Return Calculator'!T21)</f>
        <v>PASS</v>
      </c>
      <c r="N20" s="141" t="str">
        <f aca="false">IF('Implied-Return Calculator'!U21="","",'Implied-Return Calculator'!U21)</f>
        <v>OK</v>
      </c>
      <c r="O20" s="141" t="n">
        <v>34.36</v>
      </c>
      <c r="P20" s="141" t="n">
        <v>0.11</v>
      </c>
      <c r="Q20" s="143" t="str">
        <f aca="false">IF(OR(O20="",P20=""),"",IF(O20&lt;=50,"PASS — within ceiling",IF(AND(P20&gt;0.3,M20="PASS"),"PASS — growth+bear case exception met","FAIL — exceeds 50x, exception not met")))</f>
        <v>PASS — within ceiling</v>
      </c>
      <c r="R20" s="142" t="str">
        <f aca="false">IF(OR(C20="",D20="",E20="",K20="",L20="",M20="",N20="",Q20=""),"",IF(AND(C20="PASS",D20="PASS",LEFT(E20,4)="PASS",LEFT(K20,4)="PASS",L20="PASS",M20="PASS",N20="OK",LEFT(Q20,4)="PASS"),"YES","NO — see failing rule(s)"))</f>
        <v>YES</v>
      </c>
      <c r="S20" s="142" t="str">
        <f aca="false">IF(R20="","",IF(R20="YES","Initiate: "&amp;H20,"DO NOT ENTER — resolve failing Entry Rule(s) above first"))</f>
        <v>Initiate: Standard initial size</v>
      </c>
    </row>
    <row r="21" customFormat="false" ht="15" hidden="false" customHeight="true" outlineLevel="0" collapsed="false">
      <c r="A21" s="141" t="str">
        <f aca="false">IF(Scoring!A21="","",Scoring!A21)</f>
        <v>NEE</v>
      </c>
      <c r="B21" s="142" t="str">
        <f aca="false">IF(Scoring!B21="","",Scoring!B21)</f>
        <v>NextEra Energy Inc.</v>
      </c>
      <c r="C21" s="141" t="str">
        <f aca="false">IF(Scoring!AG21="","",IF(OR(Scoring!AG21="STRONG BUY",Scoring!AG21="BUY"),"PASS","FAIL"))</f>
        <v/>
      </c>
      <c r="D21" s="141" t="str">
        <f aca="false">IF(Scoring!AH21="","",IF(Scoring!AH21="OK","PASS","FAIL"))</f>
        <v>FAIL</v>
      </c>
      <c r="E21" s="143" t="str">
        <f aca="false">IF(Scoring!AI21="","",IF(Scoring!AI21="OK","PASS","FAIL — mandatory review required"))</f>
        <v>FAIL — mandatory review required</v>
      </c>
      <c r="F21" s="141"/>
      <c r="G21" s="141"/>
      <c r="H21" s="142" t="str">
        <f aca="false">IF(OR(F21="",G21=""),"",IF(AND(F21="Y",G21="Y"),"Standard initial size","50% of normal initial size + 90-day technical review"))</f>
        <v/>
      </c>
      <c r="I21" s="141"/>
      <c r="J21" s="141"/>
      <c r="K21" s="143" t="str">
        <f aca="false">IF(I21="","",IF(I21="N","PASS",IF(J21="Y","PASS — risk documented in thesis","FAIL — undocumented binary risk")))</f>
        <v/>
      </c>
      <c r="L21" s="141" t="str">
        <f aca="false">IF('Implied-Return Calculator'!S22="","",'Implied-Return Calculator'!S22)</f>
        <v/>
      </c>
      <c r="M21" s="141" t="str">
        <f aca="false">IF('Implied-Return Calculator'!T22="","",'Implied-Return Calculator'!T22)</f>
        <v/>
      </c>
      <c r="N21" s="141" t="str">
        <f aca="false">IF('Implied-Return Calculator'!U22="","",'Implied-Return Calculator'!U22)</f>
        <v/>
      </c>
      <c r="O21" s="141"/>
      <c r="P21" s="141"/>
      <c r="Q21" s="143" t="str">
        <f aca="false">IF(OR(O21="",P21=""),"",IF(O21&lt;=50,"PASS — within ceiling",IF(AND(P21&gt;0.3,M21="PASS"),"PASS — growth+bear case exception met","FAIL — exceeds 50x, exception not met")))</f>
        <v/>
      </c>
      <c r="R21" s="142" t="str">
        <f aca="false">IF(OR(C21="",D21="",E21="",K21="",L21="",M21="",N21="",Q21=""),"",IF(AND(C21="PASS",D21="PASS",LEFT(E21,4)="PASS",LEFT(K21,4)="PASS",L21="PASS",M21="PASS",N21="OK",LEFT(Q21,4)="PASS"),"YES","NO — see failing rule(s)"))</f>
        <v/>
      </c>
      <c r="S21" s="142" t="str">
        <f aca="false">IF(R21="","",IF(R21="YES","Initiate: "&amp;H21,"DO NOT ENTER — resolve failing Entry Rule(s) above first"))</f>
        <v/>
      </c>
    </row>
    <row r="22" customFormat="false" ht="15" hidden="false" customHeight="true" outlineLevel="0" collapsed="false">
      <c r="A22" s="141" t="str">
        <f aca="false">IF(Scoring!A22="","",Scoring!A22)</f>
        <v>CRK</v>
      </c>
      <c r="B22" s="142" t="str">
        <f aca="false">IF(Scoring!B22="","",Scoring!B22)</f>
        <v>Comstock Resources Inc.</v>
      </c>
      <c r="C22" s="141" t="str">
        <f aca="false">IF(Scoring!AG22="","",IF(OR(Scoring!AG22="STRONG BUY",Scoring!AG22="BUY"),"PASS","FAIL"))</f>
        <v/>
      </c>
      <c r="D22" s="141" t="str">
        <f aca="false">IF(Scoring!AH22="","",IF(Scoring!AH22="OK","PASS","FAIL"))</f>
        <v>FAIL</v>
      </c>
      <c r="E22" s="143" t="str">
        <f aca="false">IF(Scoring!AI22="","",IF(Scoring!AI22="OK","PASS","FAIL — mandatory review required"))</f>
        <v>FAIL — mandatory review required</v>
      </c>
      <c r="F22" s="141"/>
      <c r="G22" s="141"/>
      <c r="H22" s="142" t="str">
        <f aca="false">IF(OR(F22="",G22=""),"",IF(AND(F22="Y",G22="Y"),"Standard initial size","50% of normal initial size + 90-day technical review"))</f>
        <v/>
      </c>
      <c r="I22" s="141"/>
      <c r="J22" s="141"/>
      <c r="K22" s="143" t="str">
        <f aca="false">IF(I22="","",IF(I22="N","PASS",IF(J22="Y","PASS — risk documented in thesis","FAIL — undocumented binary risk")))</f>
        <v/>
      </c>
      <c r="L22" s="141" t="str">
        <f aca="false">IF('Implied-Return Calculator'!S23="","",'Implied-Return Calculator'!S23)</f>
        <v/>
      </c>
      <c r="M22" s="141" t="str">
        <f aca="false">IF('Implied-Return Calculator'!T23="","",'Implied-Return Calculator'!T23)</f>
        <v/>
      </c>
      <c r="N22" s="141" t="str">
        <f aca="false">IF('Implied-Return Calculator'!U23="","",'Implied-Return Calculator'!U23)</f>
        <v/>
      </c>
      <c r="O22" s="141"/>
      <c r="P22" s="141"/>
      <c r="Q22" s="143" t="str">
        <f aca="false">IF(OR(O22="",P22=""),"",IF(O22&lt;=50,"PASS — within ceiling",IF(AND(P22&gt;0.3,M22="PASS"),"PASS — growth+bear case exception met","FAIL — exceeds 50x, exception not met")))</f>
        <v/>
      </c>
      <c r="R22" s="142" t="str">
        <f aca="false">IF(OR(C22="",D22="",E22="",K22="",L22="",M22="",N22="",Q22=""),"",IF(AND(C22="PASS",D22="PASS",LEFT(E22,4)="PASS",LEFT(K22,4)="PASS",L22="PASS",M22="PASS",N22="OK",LEFT(Q22,4)="PASS"),"YES","NO — see failing rule(s)"))</f>
        <v/>
      </c>
      <c r="S22" s="142" t="str">
        <f aca="false">IF(R22="","",IF(R22="YES","Initiate: "&amp;H22,"DO NOT ENTER — resolve failing Entry Rule(s) above first"))</f>
        <v/>
      </c>
    </row>
    <row r="23" customFormat="false" ht="15" hidden="false" customHeight="true" outlineLevel="0" collapsed="false">
      <c r="A23" s="141" t="str">
        <f aca="false">IF(Scoring!A23="","",Scoring!A23)</f>
        <v>ET</v>
      </c>
      <c r="B23" s="142" t="str">
        <f aca="false">IF(Scoring!B23="","",Scoring!B23)</f>
        <v>Energy Transfer LP</v>
      </c>
      <c r="C23" s="141" t="str">
        <f aca="false">IF(Scoring!AG23="","",IF(OR(Scoring!AG23="STRONG BUY",Scoring!AG23="BUY"),"PASS","FAIL"))</f>
        <v/>
      </c>
      <c r="D23" s="141" t="str">
        <f aca="false">IF(Scoring!AH23="","",IF(Scoring!AH23="OK","PASS","FAIL"))</f>
        <v>PASS</v>
      </c>
      <c r="E23" s="143" t="str">
        <f aca="false">IF(Scoring!AI23="","",IF(Scoring!AI23="OK","PASS","FAIL — mandatory review required"))</f>
        <v>FAIL — mandatory review required</v>
      </c>
      <c r="F23" s="141"/>
      <c r="G23" s="141"/>
      <c r="H23" s="142" t="str">
        <f aca="false">IF(OR(F23="",G23=""),"",IF(AND(F23="Y",G23="Y"),"Standard initial size","50% of normal initial size + 90-day technical review"))</f>
        <v/>
      </c>
      <c r="I23" s="141"/>
      <c r="J23" s="141"/>
      <c r="K23" s="143" t="str">
        <f aca="false">IF(I23="","",IF(I23="N","PASS",IF(J23="Y","PASS — risk documented in thesis","FAIL — undocumented binary risk")))</f>
        <v/>
      </c>
      <c r="L23" s="141" t="str">
        <f aca="false">IF('Implied-Return Calculator'!S24="","",'Implied-Return Calculator'!S24)</f>
        <v/>
      </c>
      <c r="M23" s="141" t="str">
        <f aca="false">IF('Implied-Return Calculator'!T24="","",'Implied-Return Calculator'!T24)</f>
        <v/>
      </c>
      <c r="N23" s="141" t="str">
        <f aca="false">IF('Implied-Return Calculator'!U24="","",'Implied-Return Calculator'!U24)</f>
        <v/>
      </c>
      <c r="O23" s="141"/>
      <c r="P23" s="141"/>
      <c r="Q23" s="143" t="str">
        <f aca="false">IF(OR(O23="",P23=""),"",IF(O23&lt;=50,"PASS — within ceiling",IF(AND(P23&gt;0.3,M23="PASS"),"PASS — growth+bear case exception met","FAIL — exceeds 50x, exception not met")))</f>
        <v/>
      </c>
      <c r="R23" s="142" t="str">
        <f aca="false">IF(OR(C23="",D23="",E23="",K23="",L23="",M23="",N23="",Q23=""),"",IF(AND(C23="PASS",D23="PASS",LEFT(E23,4)="PASS",LEFT(K23,4)="PASS",L23="PASS",M23="PASS",N23="OK",LEFT(Q23,4)="PASS"),"YES","NO — see failing rule(s)"))</f>
        <v/>
      </c>
      <c r="S23" s="142" t="str">
        <f aca="false">IF(R23="","",IF(R23="YES","Initiate: "&amp;H23,"DO NOT ENTER — resolve failing Entry Rule(s) above first"))</f>
        <v/>
      </c>
    </row>
    <row r="24" customFormat="false" ht="15" hidden="false" customHeight="true" outlineLevel="0" collapsed="false">
      <c r="A24" s="141" t="str">
        <f aca="false">IF(Scoring!A24="","",Scoring!A24)</f>
        <v>LBRT</v>
      </c>
      <c r="B24" s="142" t="str">
        <f aca="false">IF(Scoring!B24="","",Scoring!B24)</f>
        <v>Liberty Energy Inc.</v>
      </c>
      <c r="C24" s="141" t="str">
        <f aca="false">IF(Scoring!AG24="","",IF(OR(Scoring!AG24="STRONG BUY",Scoring!AG24="BUY"),"PASS","FAIL"))</f>
        <v/>
      </c>
      <c r="D24" s="141" t="str">
        <f aca="false">IF(Scoring!AH24="","",IF(Scoring!AH24="OK","PASS","FAIL"))</f>
        <v>FAIL</v>
      </c>
      <c r="E24" s="143" t="str">
        <f aca="false">IF(Scoring!AI24="","",IF(Scoring!AI24="OK","PASS","FAIL — mandatory review required"))</f>
        <v>FAIL — mandatory review required</v>
      </c>
      <c r="F24" s="141"/>
      <c r="G24" s="141"/>
      <c r="H24" s="142" t="str">
        <f aca="false">IF(OR(F24="",G24=""),"",IF(AND(F24="Y",G24="Y"),"Standard initial size","50% of normal initial size + 90-day technical review"))</f>
        <v/>
      </c>
      <c r="I24" s="141"/>
      <c r="J24" s="141"/>
      <c r="K24" s="143" t="str">
        <f aca="false">IF(I24="","",IF(I24="N","PASS",IF(J24="Y","PASS — risk documented in thesis","FAIL — undocumented binary risk")))</f>
        <v/>
      </c>
      <c r="L24" s="141" t="str">
        <f aca="false">IF('Implied-Return Calculator'!S25="","",'Implied-Return Calculator'!S25)</f>
        <v/>
      </c>
      <c r="M24" s="141" t="str">
        <f aca="false">IF('Implied-Return Calculator'!T25="","",'Implied-Return Calculator'!T25)</f>
        <v/>
      </c>
      <c r="N24" s="141" t="str">
        <f aca="false">IF('Implied-Return Calculator'!U25="","",'Implied-Return Calculator'!U25)</f>
        <v/>
      </c>
      <c r="O24" s="141"/>
      <c r="P24" s="141"/>
      <c r="Q24" s="143" t="str">
        <f aca="false">IF(OR(O24="",P24=""),"",IF(O24&lt;=50,"PASS — within ceiling",IF(AND(P24&gt;0.3,M24="PASS"),"PASS — growth+bear case exception met","FAIL — exceeds 50x, exception not met")))</f>
        <v/>
      </c>
      <c r="R24" s="142" t="str">
        <f aca="false">IF(OR(C24="",D24="",E24="",K24="",L24="",M24="",N24="",Q24=""),"",IF(AND(C24="PASS",D24="PASS",LEFT(E24,4)="PASS",LEFT(K24,4)="PASS",L24="PASS",M24="PASS",N24="OK",LEFT(Q24,4)="PASS"),"YES","NO — see failing rule(s)"))</f>
        <v/>
      </c>
      <c r="S24" s="142" t="str">
        <f aca="false">IF(R24="","",IF(R24="YES","Initiate: "&amp;H24,"DO NOT ENTER — resolve failing Entry Rule(s) above first"))</f>
        <v/>
      </c>
    </row>
    <row r="25" customFormat="false" ht="15" hidden="false" customHeight="true" outlineLevel="0" collapsed="false">
      <c r="A25" s="141" t="str">
        <f aca="false">IF(Scoring!A25="","",Scoring!A25)</f>
        <v>NOV</v>
      </c>
      <c r="B25" s="142" t="str">
        <f aca="false">IF(Scoring!B25="","",Scoring!B25)</f>
        <v>NOV Inc.</v>
      </c>
      <c r="C25" s="141" t="str">
        <f aca="false">IF(Scoring!AG25="","",IF(OR(Scoring!AG25="STRONG BUY",Scoring!AG25="BUY"),"PASS","FAIL"))</f>
        <v/>
      </c>
      <c r="D25" s="141" t="str">
        <f aca="false">IF(Scoring!AH25="","",IF(Scoring!AH25="OK","PASS","FAIL"))</f>
        <v>FAIL</v>
      </c>
      <c r="E25" s="141" t="str">
        <f aca="false">IF(Scoring!AI25="","",IF(Scoring!AI25="OK","PASS","FAIL — mandatory review required"))</f>
        <v>PASS</v>
      </c>
      <c r="F25" s="141"/>
      <c r="G25" s="141"/>
      <c r="H25" s="142" t="str">
        <f aca="false">IF(OR(F25="",G25=""),"",IF(AND(F25="Y",G25="Y"),"Standard initial size","50% of normal initial size + 90-day technical review"))</f>
        <v/>
      </c>
      <c r="I25" s="141"/>
      <c r="J25" s="141"/>
      <c r="K25" s="143" t="str">
        <f aca="false">IF(I25="","",IF(I25="N","PASS",IF(J25="Y","PASS — risk documented in thesis","FAIL — undocumented binary risk")))</f>
        <v/>
      </c>
      <c r="L25" s="141" t="str">
        <f aca="false">IF('Implied-Return Calculator'!S26="","",'Implied-Return Calculator'!S26)</f>
        <v/>
      </c>
      <c r="M25" s="141" t="str">
        <f aca="false">IF('Implied-Return Calculator'!T26="","",'Implied-Return Calculator'!T26)</f>
        <v/>
      </c>
      <c r="N25" s="141" t="str">
        <f aca="false">IF('Implied-Return Calculator'!U26="","",'Implied-Return Calculator'!U26)</f>
        <v/>
      </c>
      <c r="O25" s="141"/>
      <c r="P25" s="141"/>
      <c r="Q25" s="143" t="str">
        <f aca="false">IF(OR(O25="",P25=""),"",IF(O25&lt;=50,"PASS — within ceiling",IF(AND(P25&gt;0.3,M25="PASS"),"PASS — growth+bear case exception met","FAIL — exceeds 50x, exception not met")))</f>
        <v/>
      </c>
      <c r="R25" s="142" t="str">
        <f aca="false">IF(OR(C25="",D25="",E25="",K25="",L25="",M25="",N25="",Q25=""),"",IF(AND(C25="PASS",D25="PASS",LEFT(E25,4)="PASS",LEFT(K25,4)="PASS",L25="PASS",M25="PASS",N25="OK",LEFT(Q25,4)="PASS"),"YES","NO — see failing rule(s)"))</f>
        <v/>
      </c>
      <c r="S25" s="142" t="str">
        <f aca="false">IF(R25="","",IF(R25="YES","Initiate: "&amp;H25,"DO NOT ENTER — resolve failing Entry Rule(s) above first"))</f>
        <v/>
      </c>
    </row>
    <row r="26" customFormat="false" ht="15" hidden="false" customHeight="true" outlineLevel="0" collapsed="false">
      <c r="A26" s="141" t="str">
        <f aca="false">IF(Scoring!A26="","",Scoring!A26)</f>
        <v>CE</v>
      </c>
      <c r="B26" s="142" t="str">
        <f aca="false">IF(Scoring!B26="","",Scoring!B26)</f>
        <v>Celanese Corp.</v>
      </c>
      <c r="C26" s="141" t="str">
        <f aca="false">IF(Scoring!AG26="","",IF(OR(Scoring!AG26="STRONG BUY",Scoring!AG26="BUY"),"PASS","FAIL"))</f>
        <v/>
      </c>
      <c r="D26" s="141" t="str">
        <f aca="false">IF(Scoring!AH26="","",IF(Scoring!AH26="OK","PASS","FAIL"))</f>
        <v>FAIL</v>
      </c>
      <c r="E26" s="143" t="str">
        <f aca="false">IF(Scoring!AI26="","",IF(Scoring!AI26="OK","PASS","FAIL — mandatory review required"))</f>
        <v>FAIL — mandatory review required</v>
      </c>
      <c r="F26" s="141"/>
      <c r="G26" s="141"/>
      <c r="H26" s="142" t="str">
        <f aca="false">IF(OR(F26="",G26=""),"",IF(AND(F26="Y",G26="Y"),"Standard initial size","50% of normal initial size + 90-day technical review"))</f>
        <v/>
      </c>
      <c r="I26" s="141"/>
      <c r="J26" s="141"/>
      <c r="K26" s="143" t="str">
        <f aca="false">IF(I26="","",IF(I26="N","PASS",IF(J26="Y","PASS — risk documented in thesis","FAIL — undocumented binary risk")))</f>
        <v/>
      </c>
      <c r="L26" s="141" t="str">
        <f aca="false">IF('Implied-Return Calculator'!S27="","",'Implied-Return Calculator'!S27)</f>
        <v/>
      </c>
      <c r="M26" s="141" t="str">
        <f aca="false">IF('Implied-Return Calculator'!T27="","",'Implied-Return Calculator'!T27)</f>
        <v/>
      </c>
      <c r="N26" s="141" t="str">
        <f aca="false">IF('Implied-Return Calculator'!U27="","",'Implied-Return Calculator'!U27)</f>
        <v/>
      </c>
      <c r="O26" s="141"/>
      <c r="P26" s="141"/>
      <c r="Q26" s="143" t="str">
        <f aca="false">IF(OR(O26="",P26=""),"",IF(O26&lt;=50,"PASS — within ceiling",IF(AND(P26&gt;0.3,M26="PASS"),"PASS — growth+bear case exception met","FAIL — exceeds 50x, exception not met")))</f>
        <v/>
      </c>
      <c r="R26" s="142" t="str">
        <f aca="false">IF(OR(C26="",D26="",E26="",K26="",L26="",M26="",N26="",Q26=""),"",IF(AND(C26="PASS",D26="PASS",LEFT(E26,4)="PASS",LEFT(K26,4)="PASS",L26="PASS",M26="PASS",N26="OK",LEFT(Q26,4)="PASS"),"YES","NO — see failing rule(s)"))</f>
        <v/>
      </c>
      <c r="S26" s="142" t="str">
        <f aca="false">IF(R26="","",IF(R26="YES","Initiate: "&amp;H26,"DO NOT ENTER — resolve failing Entry Rule(s) above first"))</f>
        <v/>
      </c>
    </row>
    <row r="27" customFormat="false" ht="15" hidden="false" customHeight="true" outlineLevel="0" collapsed="false">
      <c r="A27" s="141" t="str">
        <f aca="false">IF(Scoring!A27="","",Scoring!A27)</f>
        <v>CLF</v>
      </c>
      <c r="B27" s="142" t="str">
        <f aca="false">IF(Scoring!B27="","",Scoring!B27)</f>
        <v>Cleveland-Cliffs Inc.</v>
      </c>
      <c r="C27" s="141" t="str">
        <f aca="false">IF(Scoring!AG27="","",IF(OR(Scoring!AG27="STRONG BUY",Scoring!AG27="BUY"),"PASS","FAIL"))</f>
        <v/>
      </c>
      <c r="D27" s="141" t="str">
        <f aca="false">IF(Scoring!AH27="","",IF(Scoring!AH27="OK","PASS","FAIL"))</f>
        <v>FAIL</v>
      </c>
      <c r="E27" s="143" t="str">
        <f aca="false">IF(Scoring!AI27="","",IF(Scoring!AI27="OK","PASS","FAIL — mandatory review required"))</f>
        <v>FAIL — mandatory review required</v>
      </c>
      <c r="F27" s="141"/>
      <c r="G27" s="141"/>
      <c r="H27" s="142" t="str">
        <f aca="false">IF(OR(F27="",G27=""),"",IF(AND(F27="Y",G27="Y"),"Standard initial size","50% of normal initial size + 90-day technical review"))</f>
        <v/>
      </c>
      <c r="I27" s="141"/>
      <c r="J27" s="141"/>
      <c r="K27" s="143" t="str">
        <f aca="false">IF(I27="","",IF(I27="N","PASS",IF(J27="Y","PASS — risk documented in thesis","FAIL — undocumented binary risk")))</f>
        <v/>
      </c>
      <c r="L27" s="141" t="str">
        <f aca="false">IF('Implied-Return Calculator'!S28="","",'Implied-Return Calculator'!S28)</f>
        <v/>
      </c>
      <c r="M27" s="141" t="str">
        <f aca="false">IF('Implied-Return Calculator'!T28="","",'Implied-Return Calculator'!T28)</f>
        <v/>
      </c>
      <c r="N27" s="141" t="str">
        <f aca="false">IF('Implied-Return Calculator'!U28="","",'Implied-Return Calculator'!U28)</f>
        <v/>
      </c>
      <c r="O27" s="141"/>
      <c r="P27" s="141"/>
      <c r="Q27" s="143" t="str">
        <f aca="false">IF(OR(O27="",P27=""),"",IF(O27&lt;=50,"PASS — within ceiling",IF(AND(P27&gt;0.3,M27="PASS"),"PASS — growth+bear case exception met","FAIL — exceeds 50x, exception not met")))</f>
        <v/>
      </c>
      <c r="R27" s="142" t="str">
        <f aca="false">IF(OR(C27="",D27="",E27="",K27="",L27="",M27="",N27="",Q27=""),"",IF(AND(C27="PASS",D27="PASS",LEFT(E27,4)="PASS",LEFT(K27,4)="PASS",L27="PASS",M27="PASS",N27="OK",LEFT(Q27,4)="PASS"),"YES","NO — see failing rule(s)"))</f>
        <v/>
      </c>
      <c r="S27" s="142" t="str">
        <f aca="false">IF(R27="","",IF(R27="YES","Initiate: "&amp;H27,"DO NOT ENTER — resolve failing Entry Rule(s) above first"))</f>
        <v/>
      </c>
    </row>
    <row r="28" customFormat="false" ht="15" hidden="false" customHeight="true" outlineLevel="0" collapsed="false">
      <c r="A28" s="141" t="str">
        <f aca="false">IF(Scoring!A28="","",Scoring!A28)</f>
        <v>LIN</v>
      </c>
      <c r="B28" s="142" t="str">
        <f aca="false">IF(Scoring!B28="","",Scoring!B28)</f>
        <v>Linde plc</v>
      </c>
      <c r="C28" s="141" t="str">
        <f aca="false">IF(Scoring!AG28="","",IF(OR(Scoring!AG28="STRONG BUY",Scoring!AG28="BUY"),"PASS","FAIL"))</f>
        <v/>
      </c>
      <c r="D28" s="141" t="str">
        <f aca="false">IF(Scoring!AH28="","",IF(Scoring!AH28="OK","PASS","FAIL"))</f>
        <v>PASS</v>
      </c>
      <c r="E28" s="141" t="str">
        <f aca="false">IF(Scoring!AI28="","",IF(Scoring!AI28="OK","PASS","FAIL — mandatory review required"))</f>
        <v>PASS</v>
      </c>
      <c r="F28" s="141"/>
      <c r="G28" s="141"/>
      <c r="H28" s="142" t="str">
        <f aca="false">IF(OR(F28="",G28=""),"",IF(AND(F28="Y",G28="Y"),"Standard initial size","50% of normal initial size + 90-day technical review"))</f>
        <v/>
      </c>
      <c r="I28" s="141"/>
      <c r="J28" s="141"/>
      <c r="K28" s="143" t="str">
        <f aca="false">IF(I28="","",IF(I28="N","PASS",IF(J28="Y","PASS — risk documented in thesis","FAIL — undocumented binary risk")))</f>
        <v/>
      </c>
      <c r="L28" s="141" t="str">
        <f aca="false">IF('Implied-Return Calculator'!S29="","",'Implied-Return Calculator'!S29)</f>
        <v/>
      </c>
      <c r="M28" s="141" t="str">
        <f aca="false">IF('Implied-Return Calculator'!T29="","",'Implied-Return Calculator'!T29)</f>
        <v/>
      </c>
      <c r="N28" s="141" t="str">
        <f aca="false">IF('Implied-Return Calculator'!U29="","",'Implied-Return Calculator'!U29)</f>
        <v/>
      </c>
      <c r="O28" s="141"/>
      <c r="P28" s="141"/>
      <c r="Q28" s="143" t="str">
        <f aca="false">IF(OR(O28="",P28=""),"",IF(O28&lt;=50,"PASS — within ceiling",IF(AND(P28&gt;0.3,M28="PASS"),"PASS — growth+bear case exception met","FAIL — exceeds 50x, exception not met")))</f>
        <v/>
      </c>
      <c r="R28" s="142" t="str">
        <f aca="false">IF(OR(C28="",D28="",E28="",K28="",L28="",M28="",N28="",Q28=""),"",IF(AND(C28="PASS",D28="PASS",LEFT(E28,4)="PASS",LEFT(K28,4)="PASS",L28="PASS",M28="PASS",N28="OK",LEFT(Q28,4)="PASS"),"YES","NO — see failing rule(s)"))</f>
        <v/>
      </c>
      <c r="S28" s="142" t="str">
        <f aca="false">IF(R28="","",IF(R28="YES","Initiate: "&amp;H28,"DO NOT ENTER — resolve failing Entry Rule(s) above first"))</f>
        <v/>
      </c>
    </row>
    <row r="29" customFormat="false" ht="15" hidden="false" customHeight="true" outlineLevel="0" collapsed="false">
      <c r="A29" s="141" t="str">
        <f aca="false">IF(Scoring!A29="","",Scoring!A29)</f>
        <v>DEO</v>
      </c>
      <c r="B29" s="142" t="str">
        <f aca="false">IF(Scoring!B29="","",Scoring!B29)</f>
        <v>Diageo plc</v>
      </c>
      <c r="C29" s="141" t="str">
        <f aca="false">IF(Scoring!AG29="","",IF(OR(Scoring!AG29="STRONG BUY",Scoring!AG29="BUY"),"PASS","FAIL"))</f>
        <v/>
      </c>
      <c r="D29" s="141" t="str">
        <f aca="false">IF(Scoring!AH29="","",IF(Scoring!AH29="OK","PASS","FAIL"))</f>
        <v>FAIL</v>
      </c>
      <c r="E29" s="141" t="str">
        <f aca="false">IF(Scoring!AI29="","",IF(Scoring!AI29="OK","PASS","FAIL — mandatory review required"))</f>
        <v>PASS</v>
      </c>
      <c r="F29" s="141"/>
      <c r="G29" s="141"/>
      <c r="H29" s="142" t="str">
        <f aca="false">IF(OR(F29="",G29=""),"",IF(AND(F29="Y",G29="Y"),"Standard initial size","50% of normal initial size + 90-day technical review"))</f>
        <v/>
      </c>
      <c r="I29" s="141"/>
      <c r="J29" s="141"/>
      <c r="K29" s="143" t="str">
        <f aca="false">IF(I29="","",IF(I29="N","PASS",IF(J29="Y","PASS — risk documented in thesis","FAIL — undocumented binary risk")))</f>
        <v/>
      </c>
      <c r="L29" s="141" t="str">
        <f aca="false">IF('Implied-Return Calculator'!S30="","",'Implied-Return Calculator'!S30)</f>
        <v/>
      </c>
      <c r="M29" s="141" t="str">
        <f aca="false">IF('Implied-Return Calculator'!T30="","",'Implied-Return Calculator'!T30)</f>
        <v/>
      </c>
      <c r="N29" s="141" t="str">
        <f aca="false">IF('Implied-Return Calculator'!U30="","",'Implied-Return Calculator'!U30)</f>
        <v/>
      </c>
      <c r="O29" s="141"/>
      <c r="P29" s="141"/>
      <c r="Q29" s="143" t="str">
        <f aca="false">IF(OR(O29="",P29=""),"",IF(O29&lt;=50,"PASS — within ceiling",IF(AND(P29&gt;0.3,M29="PASS"),"PASS — growth+bear case exception met","FAIL — exceeds 50x, exception not met")))</f>
        <v/>
      </c>
      <c r="R29" s="142" t="str">
        <f aca="false">IF(OR(C29="",D29="",E29="",K29="",L29="",M29="",N29="",Q29=""),"",IF(AND(C29="PASS",D29="PASS",LEFT(E29,4)="PASS",LEFT(K29,4)="PASS",L29="PASS",M29="PASS",N29="OK",LEFT(Q29,4)="PASS"),"YES","NO — see failing rule(s)"))</f>
        <v/>
      </c>
      <c r="S29" s="142" t="str">
        <f aca="false">IF(R29="","",IF(R29="YES","Initiate: "&amp;H29,"DO NOT ENTER — resolve failing Entry Rule(s) above first"))</f>
        <v/>
      </c>
    </row>
    <row r="30" customFormat="false" ht="15" hidden="false" customHeight="true" outlineLevel="0" collapsed="false">
      <c r="A30" s="141" t="str">
        <f aca="false">IF(Scoring!A30="","",Scoring!A30)</f>
        <v>EL</v>
      </c>
      <c r="B30" s="142" t="str">
        <f aca="false">IF(Scoring!B30="","",Scoring!B30)</f>
        <v>Estee Lauder Companies</v>
      </c>
      <c r="C30" s="141" t="str">
        <f aca="false">IF(Scoring!AG30="","",IF(OR(Scoring!AG30="STRONG BUY",Scoring!AG30="BUY"),"PASS","FAIL"))</f>
        <v/>
      </c>
      <c r="D30" s="141" t="str">
        <f aca="false">IF(Scoring!AH30="","",IF(Scoring!AH30="OK","PASS","FAIL"))</f>
        <v>FAIL</v>
      </c>
      <c r="E30" s="143" t="str">
        <f aca="false">IF(Scoring!AI30="","",IF(Scoring!AI30="OK","PASS","FAIL — mandatory review required"))</f>
        <v>FAIL — mandatory review required</v>
      </c>
      <c r="F30" s="141"/>
      <c r="G30" s="141"/>
      <c r="H30" s="142" t="str">
        <f aca="false">IF(OR(F30="",G30=""),"",IF(AND(F30="Y",G30="Y"),"Standard initial size","50% of normal initial size + 90-day technical review"))</f>
        <v/>
      </c>
      <c r="I30" s="141"/>
      <c r="J30" s="141"/>
      <c r="K30" s="143" t="str">
        <f aca="false">IF(I30="","",IF(I30="N","PASS",IF(J30="Y","PASS — risk documented in thesis","FAIL — undocumented binary risk")))</f>
        <v/>
      </c>
      <c r="L30" s="141" t="str">
        <f aca="false">IF('Implied-Return Calculator'!S31="","",'Implied-Return Calculator'!S31)</f>
        <v/>
      </c>
      <c r="M30" s="141" t="str">
        <f aca="false">IF('Implied-Return Calculator'!T31="","",'Implied-Return Calculator'!T31)</f>
        <v/>
      </c>
      <c r="N30" s="141" t="str">
        <f aca="false">IF('Implied-Return Calculator'!U31="","",'Implied-Return Calculator'!U31)</f>
        <v/>
      </c>
      <c r="O30" s="141"/>
      <c r="P30" s="141"/>
      <c r="Q30" s="143" t="str">
        <f aca="false">IF(OR(O30="",P30=""),"",IF(O30&lt;=50,"PASS — within ceiling",IF(AND(P30&gt;0.3,M30="PASS"),"PASS — growth+bear case exception met","FAIL — exceeds 50x, exception not met")))</f>
        <v/>
      </c>
      <c r="R30" s="142" t="str">
        <f aca="false">IF(OR(C30="",D30="",E30="",K30="",L30="",M30="",N30="",Q30=""),"",IF(AND(C30="PASS",D30="PASS",LEFT(E30,4)="PASS",LEFT(K30,4)="PASS",L30="PASS",M30="PASS",N30="OK",LEFT(Q30,4)="PASS"),"YES","NO — see failing rule(s)"))</f>
        <v/>
      </c>
      <c r="S30" s="142" t="str">
        <f aca="false">IF(R30="","",IF(R30="YES","Initiate: "&amp;H30,"DO NOT ENTER — resolve failing Entry Rule(s) above first"))</f>
        <v/>
      </c>
    </row>
    <row r="31" customFormat="false" ht="15" hidden="false" customHeight="true" outlineLevel="0" collapsed="false">
      <c r="A31" s="141" t="str">
        <f aca="false">IF(Scoring!A31="","",Scoring!A31)</f>
        <v>HRL</v>
      </c>
      <c r="B31" s="142" t="str">
        <f aca="false">IF(Scoring!B31="","",Scoring!B31)</f>
        <v>Hormel Foods Corp.</v>
      </c>
      <c r="C31" s="141" t="str">
        <f aca="false">IF(Scoring!AG31="","",IF(OR(Scoring!AG31="STRONG BUY",Scoring!AG31="BUY"),"PASS","FAIL"))</f>
        <v/>
      </c>
      <c r="D31" s="141" t="str">
        <f aca="false">IF(Scoring!AH31="","",IF(Scoring!AH31="OK","PASS","FAIL"))</f>
        <v>FAIL</v>
      </c>
      <c r="E31" s="143" t="str">
        <f aca="false">IF(Scoring!AI31="","",IF(Scoring!AI31="OK","PASS","FAIL — mandatory review required"))</f>
        <v>FAIL — mandatory review required</v>
      </c>
      <c r="F31" s="141"/>
      <c r="G31" s="141"/>
      <c r="H31" s="142" t="str">
        <f aca="false">IF(OR(F31="",G31=""),"",IF(AND(F31="Y",G31="Y"),"Standard initial size","50% of normal initial size + 90-day technical review"))</f>
        <v/>
      </c>
      <c r="I31" s="141"/>
      <c r="J31" s="141"/>
      <c r="K31" s="143" t="str">
        <f aca="false">IF(I31="","",IF(I31="N","PASS",IF(J31="Y","PASS — risk documented in thesis","FAIL — undocumented binary risk")))</f>
        <v/>
      </c>
      <c r="L31" s="141" t="str">
        <f aca="false">IF('Implied-Return Calculator'!S32="","",'Implied-Return Calculator'!S32)</f>
        <v/>
      </c>
      <c r="M31" s="141" t="str">
        <f aca="false">IF('Implied-Return Calculator'!T32="","",'Implied-Return Calculator'!T32)</f>
        <v/>
      </c>
      <c r="N31" s="141" t="str">
        <f aca="false">IF('Implied-Return Calculator'!U32="","",'Implied-Return Calculator'!U32)</f>
        <v/>
      </c>
      <c r="O31" s="141"/>
      <c r="P31" s="141"/>
      <c r="Q31" s="143" t="str">
        <f aca="false">IF(OR(O31="",P31=""),"",IF(O31&lt;=50,"PASS — within ceiling",IF(AND(P31&gt;0.3,M31="PASS"),"PASS — growth+bear case exception met","FAIL — exceeds 50x, exception not met")))</f>
        <v/>
      </c>
      <c r="R31" s="142" t="str">
        <f aca="false">IF(OR(C31="",D31="",E31="",K31="",L31="",M31="",N31="",Q31=""),"",IF(AND(C31="PASS",D31="PASS",LEFT(E31,4)="PASS",LEFT(K31,4)="PASS",L31="PASS",M31="PASS",N31="OK",LEFT(Q31,4)="PASS"),"YES","NO — see failing rule(s)"))</f>
        <v/>
      </c>
      <c r="S31" s="142" t="str">
        <f aca="false">IF(R31="","",IF(R31="YES","Initiate: "&amp;H31,"DO NOT ENTER — resolve failing Entry Rule(s) above first"))</f>
        <v/>
      </c>
    </row>
    <row r="32" customFormat="false" ht="15" hidden="false" customHeight="true" outlineLevel="0" collapsed="false">
      <c r="A32" s="141" t="str">
        <f aca="false">IF(Scoring!A32="","",Scoring!A32)</f>
        <v>PG</v>
      </c>
      <c r="B32" s="142" t="str">
        <f aca="false">IF(Scoring!B32="","",Scoring!B32)</f>
        <v>Procter &amp; Gamble Co.</v>
      </c>
      <c r="C32" s="141" t="str">
        <f aca="false">IF(Scoring!AG32="","",IF(OR(Scoring!AG32="STRONG BUY",Scoring!AG32="BUY"),"PASS","FAIL"))</f>
        <v/>
      </c>
      <c r="D32" s="141" t="str">
        <f aca="false">IF(Scoring!AH32="","",IF(Scoring!AH32="OK","PASS","FAIL"))</f>
        <v>PASS</v>
      </c>
      <c r="E32" s="141" t="str">
        <f aca="false">IF(Scoring!AI32="","",IF(Scoring!AI32="OK","PASS","FAIL — mandatory review required"))</f>
        <v>PASS</v>
      </c>
      <c r="F32" s="141"/>
      <c r="G32" s="141"/>
      <c r="H32" s="142" t="str">
        <f aca="false">IF(OR(F32="",G32=""),"",IF(AND(F32="Y",G32="Y"),"Standard initial size","50% of normal initial size + 90-day technical review"))</f>
        <v/>
      </c>
      <c r="I32" s="141"/>
      <c r="J32" s="141"/>
      <c r="K32" s="143" t="str">
        <f aca="false">IF(I32="","",IF(I32="N","PASS",IF(J32="Y","PASS — risk documented in thesis","FAIL — undocumented binary risk")))</f>
        <v/>
      </c>
      <c r="L32" s="141" t="str">
        <f aca="false">IF('Implied-Return Calculator'!S33="","",'Implied-Return Calculator'!S33)</f>
        <v/>
      </c>
      <c r="M32" s="141" t="str">
        <f aca="false">IF('Implied-Return Calculator'!T33="","",'Implied-Return Calculator'!T33)</f>
        <v/>
      </c>
      <c r="N32" s="141" t="str">
        <f aca="false">IF('Implied-Return Calculator'!U33="","",'Implied-Return Calculator'!U33)</f>
        <v/>
      </c>
      <c r="O32" s="141"/>
      <c r="P32" s="141"/>
      <c r="Q32" s="143" t="str">
        <f aca="false">IF(OR(O32="",P32=""),"",IF(O32&lt;=50,"PASS — within ceiling",IF(AND(P32&gt;0.3,M32="PASS"),"PASS — growth+bear case exception met","FAIL — exceeds 50x, exception not met")))</f>
        <v/>
      </c>
      <c r="R32" s="142" t="str">
        <f aca="false">IF(OR(C32="",D32="",E32="",K32="",L32="",M32="",N32="",Q32=""),"",IF(AND(C32="PASS",D32="PASS",LEFT(E32,4)="PASS",LEFT(K32,4)="PASS",L32="PASS",M32="PASS",N32="OK",LEFT(Q32,4)="PASS"),"YES","NO — see failing rule(s)"))</f>
        <v/>
      </c>
      <c r="S32" s="142" t="str">
        <f aca="false">IF(R32="","",IF(R32="YES","Initiate: "&amp;H32,"DO NOT ENTER — resolve failing Entry Rule(s) above first"))</f>
        <v/>
      </c>
    </row>
    <row r="33" customFormat="false" ht="15" hidden="false" customHeight="true" outlineLevel="0" collapsed="false">
      <c r="A33" s="141" t="str">
        <f aca="false">IF(Scoring!A33="","",Scoring!A33)</f>
        <v>CMG</v>
      </c>
      <c r="B33" s="142" t="str">
        <f aca="false">IF(Scoring!B33="","",Scoring!B33)</f>
        <v>Chipotle Mexican Grill</v>
      </c>
      <c r="C33" s="141" t="str">
        <f aca="false">IF(Scoring!AG33="","",IF(OR(Scoring!AG33="STRONG BUY",Scoring!AG33="BUY"),"PASS","FAIL"))</f>
        <v/>
      </c>
      <c r="D33" s="141" t="str">
        <f aca="false">IF(Scoring!AH33="","",IF(Scoring!AH33="OK","PASS","FAIL"))</f>
        <v>PASS</v>
      </c>
      <c r="E33" s="141" t="str">
        <f aca="false">IF(Scoring!AI33="","",IF(Scoring!AI33="OK","PASS","FAIL — mandatory review required"))</f>
        <v>PASS</v>
      </c>
      <c r="F33" s="141"/>
      <c r="G33" s="141"/>
      <c r="H33" s="142" t="str">
        <f aca="false">IF(OR(F33="",G33=""),"",IF(AND(F33="Y",G33="Y"),"Standard initial size","50% of normal initial size + 90-day technical review"))</f>
        <v/>
      </c>
      <c r="I33" s="141"/>
      <c r="J33" s="141"/>
      <c r="K33" s="143" t="str">
        <f aca="false">IF(I33="","",IF(I33="N","PASS",IF(J33="Y","PASS — risk documented in thesis","FAIL — undocumented binary risk")))</f>
        <v/>
      </c>
      <c r="L33" s="141" t="str">
        <f aca="false">IF('Implied-Return Calculator'!S34="","",'Implied-Return Calculator'!S34)</f>
        <v/>
      </c>
      <c r="M33" s="141" t="str">
        <f aca="false">IF('Implied-Return Calculator'!T34="","",'Implied-Return Calculator'!T34)</f>
        <v/>
      </c>
      <c r="N33" s="141" t="str">
        <f aca="false">IF('Implied-Return Calculator'!U34="","",'Implied-Return Calculator'!U34)</f>
        <v/>
      </c>
      <c r="O33" s="141"/>
      <c r="P33" s="141"/>
      <c r="Q33" s="143" t="str">
        <f aca="false">IF(OR(O33="",P33=""),"",IF(O33&lt;=50,"PASS — within ceiling",IF(AND(P33&gt;0.3,M33="PASS"),"PASS — growth+bear case exception met","FAIL — exceeds 50x, exception not met")))</f>
        <v/>
      </c>
      <c r="R33" s="142" t="str">
        <f aca="false">IF(OR(C33="",D33="",E33="",K33="",L33="",M33="",N33="",Q33=""),"",IF(AND(C33="PASS",D33="PASS",LEFT(E33,4)="PASS",LEFT(K33,4)="PASS",L33="PASS",M33="PASS",N33="OK",LEFT(Q33,4)="PASS"),"YES","NO — see failing rule(s)"))</f>
        <v/>
      </c>
      <c r="S33" s="142" t="str">
        <f aca="false">IF(R33="","",IF(R33="YES","Initiate: "&amp;H33,"DO NOT ENTER — resolve failing Entry Rule(s) above first"))</f>
        <v/>
      </c>
    </row>
    <row r="34" customFormat="false" ht="15" hidden="false" customHeight="true" outlineLevel="0" collapsed="false">
      <c r="A34" s="141" t="str">
        <f aca="false">IF(Scoring!A34="","",Scoring!A34)</f>
        <v>DPZ</v>
      </c>
      <c r="B34" s="142" t="str">
        <f aca="false">IF(Scoring!B34="","",Scoring!B34)</f>
        <v>Domino's Pizza Inc.</v>
      </c>
      <c r="C34" s="141" t="str">
        <f aca="false">IF(Scoring!AG34="","",IF(OR(Scoring!AG34="STRONG BUY",Scoring!AG34="BUY"),"PASS","FAIL"))</f>
        <v/>
      </c>
      <c r="D34" s="141" t="str">
        <f aca="false">IF(Scoring!AH34="","",IF(Scoring!AH34="OK","PASS","FAIL"))</f>
        <v>PASS</v>
      </c>
      <c r="E34" s="141" t="str">
        <f aca="false">IF(Scoring!AI34="","",IF(Scoring!AI34="OK","PASS","FAIL — mandatory review required"))</f>
        <v>PASS</v>
      </c>
      <c r="F34" s="141"/>
      <c r="G34" s="141"/>
      <c r="H34" s="142" t="str">
        <f aca="false">IF(OR(F34="",G34=""),"",IF(AND(F34="Y",G34="Y"),"Standard initial size","50% of normal initial size + 90-day technical review"))</f>
        <v/>
      </c>
      <c r="I34" s="141"/>
      <c r="J34" s="141"/>
      <c r="K34" s="143" t="str">
        <f aca="false">IF(I34="","",IF(I34="N","PASS",IF(J34="Y","PASS — risk documented in thesis","FAIL — undocumented binary risk")))</f>
        <v/>
      </c>
      <c r="L34" s="141" t="str">
        <f aca="false">IF('Implied-Return Calculator'!S35="","",'Implied-Return Calculator'!S35)</f>
        <v/>
      </c>
      <c r="M34" s="141" t="str">
        <f aca="false">IF('Implied-Return Calculator'!T35="","",'Implied-Return Calculator'!T35)</f>
        <v/>
      </c>
      <c r="N34" s="141" t="str">
        <f aca="false">IF('Implied-Return Calculator'!U35="","",'Implied-Return Calculator'!U35)</f>
        <v/>
      </c>
      <c r="O34" s="141"/>
      <c r="P34" s="141"/>
      <c r="Q34" s="143" t="str">
        <f aca="false">IF(OR(O34="",P34=""),"",IF(O34&lt;=50,"PASS — within ceiling",IF(AND(P34&gt;0.3,M34="PASS"),"PASS — growth+bear case exception met","FAIL — exceeds 50x, exception not met")))</f>
        <v/>
      </c>
      <c r="R34" s="142" t="str">
        <f aca="false">IF(OR(C34="",D34="",E34="",K34="",L34="",M34="",N34="",Q34=""),"",IF(AND(C34="PASS",D34="PASS",LEFT(E34,4)="PASS",LEFT(K34,4)="PASS",L34="PASS",M34="PASS",N34="OK",LEFT(Q34,4)="PASS"),"YES","NO — see failing rule(s)"))</f>
        <v/>
      </c>
      <c r="S34" s="142" t="str">
        <f aca="false">IF(R34="","",IF(R34="YES","Initiate: "&amp;H34,"DO NOT ENTER — resolve failing Entry Rule(s) above first"))</f>
        <v/>
      </c>
    </row>
    <row r="35" customFormat="false" ht="15" hidden="false" customHeight="true" outlineLevel="0" collapsed="false">
      <c r="A35" s="141" t="str">
        <f aca="false">IF(Scoring!A35="","",Scoring!A35)</f>
        <v>PZZA</v>
      </c>
      <c r="B35" s="142" t="str">
        <f aca="false">IF(Scoring!B35="","",Scoring!B35)</f>
        <v>Papa John's Intl.</v>
      </c>
      <c r="C35" s="141" t="str">
        <f aca="false">IF(Scoring!AG35="","",IF(OR(Scoring!AG35="STRONG BUY",Scoring!AG35="BUY"),"PASS","FAIL"))</f>
        <v/>
      </c>
      <c r="D35" s="141" t="str">
        <f aca="false">IF(Scoring!AH35="","",IF(Scoring!AH35="OK","PASS","FAIL"))</f>
        <v>FAIL</v>
      </c>
      <c r="E35" s="143" t="str">
        <f aca="false">IF(Scoring!AI35="","",IF(Scoring!AI35="OK","PASS","FAIL — mandatory review required"))</f>
        <v>FAIL — mandatory review required</v>
      </c>
      <c r="F35" s="141"/>
      <c r="G35" s="141"/>
      <c r="H35" s="142" t="str">
        <f aca="false">IF(OR(F35="",G35=""),"",IF(AND(F35="Y",G35="Y"),"Standard initial size","50% of normal initial size + 90-day technical review"))</f>
        <v/>
      </c>
      <c r="I35" s="141"/>
      <c r="J35" s="141"/>
      <c r="K35" s="143" t="str">
        <f aca="false">IF(I35="","",IF(I35="N","PASS",IF(J35="Y","PASS — risk documented in thesis","FAIL — undocumented binary risk")))</f>
        <v/>
      </c>
      <c r="L35" s="141" t="str">
        <f aca="false">IF('Implied-Return Calculator'!S36="","",'Implied-Return Calculator'!S36)</f>
        <v/>
      </c>
      <c r="M35" s="141" t="str">
        <f aca="false">IF('Implied-Return Calculator'!T36="","",'Implied-Return Calculator'!T36)</f>
        <v/>
      </c>
      <c r="N35" s="141" t="str">
        <f aca="false">IF('Implied-Return Calculator'!U36="","",'Implied-Return Calculator'!U36)</f>
        <v/>
      </c>
      <c r="O35" s="141"/>
      <c r="P35" s="141"/>
      <c r="Q35" s="143" t="str">
        <f aca="false">IF(OR(O35="",P35=""),"",IF(O35&lt;=50,"PASS — within ceiling",IF(AND(P35&gt;0.3,M35="PASS"),"PASS — growth+bear case exception met","FAIL — exceeds 50x, exception not met")))</f>
        <v/>
      </c>
      <c r="R35" s="142" t="str">
        <f aca="false">IF(OR(C35="",D35="",E35="",K35="",L35="",M35="",N35="",Q35=""),"",IF(AND(C35="PASS",D35="PASS",LEFT(E35,4)="PASS",LEFT(K35,4)="PASS",L35="PASS",M35="PASS",N35="OK",LEFT(Q35,4)="PASS"),"YES","NO — see failing rule(s)"))</f>
        <v/>
      </c>
      <c r="S35" s="142" t="str">
        <f aca="false">IF(R35="","",IF(R35="YES","Initiate: "&amp;H35,"DO NOT ENTER — resolve failing Entry Rule(s) above first"))</f>
        <v/>
      </c>
    </row>
    <row r="36" customFormat="false" ht="15" hidden="false" customHeight="true" outlineLevel="0" collapsed="false">
      <c r="A36" s="141" t="str">
        <f aca="false">IF(Scoring!A36="","",Scoring!A36)</f>
        <v>YUM</v>
      </c>
      <c r="B36" s="142" t="str">
        <f aca="false">IF(Scoring!B36="","",Scoring!B36)</f>
        <v>Yum! Brands Inc.</v>
      </c>
      <c r="C36" s="141" t="str">
        <f aca="false">IF(Scoring!AG36="","",IF(OR(Scoring!AG36="STRONG BUY",Scoring!AG36="BUY"),"PASS","FAIL"))</f>
        <v/>
      </c>
      <c r="D36" s="141" t="str">
        <f aca="false">IF(Scoring!AH36="","",IF(Scoring!AH36="OK","PASS","FAIL"))</f>
        <v>PASS</v>
      </c>
      <c r="E36" s="141" t="str">
        <f aca="false">IF(Scoring!AI36="","",IF(Scoring!AI36="OK","PASS","FAIL — mandatory review required"))</f>
        <v>PASS</v>
      </c>
      <c r="F36" s="141"/>
      <c r="G36" s="141"/>
      <c r="H36" s="142" t="str">
        <f aca="false">IF(OR(F36="",G36=""),"",IF(AND(F36="Y",G36="Y"),"Standard initial size","50% of normal initial size + 90-day technical review"))</f>
        <v/>
      </c>
      <c r="I36" s="141"/>
      <c r="J36" s="141"/>
      <c r="K36" s="143" t="str">
        <f aca="false">IF(I36="","",IF(I36="N","PASS",IF(J36="Y","PASS — risk documented in thesis","FAIL — undocumented binary risk")))</f>
        <v/>
      </c>
      <c r="L36" s="141" t="str">
        <f aca="false">IF('Implied-Return Calculator'!S37="","",'Implied-Return Calculator'!S37)</f>
        <v/>
      </c>
      <c r="M36" s="141" t="str">
        <f aca="false">IF('Implied-Return Calculator'!T37="","",'Implied-Return Calculator'!T37)</f>
        <v/>
      </c>
      <c r="N36" s="141" t="str">
        <f aca="false">IF('Implied-Return Calculator'!U37="","",'Implied-Return Calculator'!U37)</f>
        <v/>
      </c>
      <c r="O36" s="141"/>
      <c r="P36" s="141"/>
      <c r="Q36" s="143" t="str">
        <f aca="false">IF(OR(O36="",P36=""),"",IF(O36&lt;=50,"PASS — within ceiling",IF(AND(P36&gt;0.3,M36="PASS"),"PASS — growth+bear case exception met","FAIL — exceeds 50x, exception not met")))</f>
        <v/>
      </c>
      <c r="R36" s="142" t="str">
        <f aca="false">IF(OR(C36="",D36="",E36="",K36="",L36="",M36="",N36="",Q36=""),"",IF(AND(C36="PASS",D36="PASS",LEFT(E36,4)="PASS",LEFT(K36,4)="PASS",L36="PASS",M36="PASS",N36="OK",LEFT(Q36,4)="PASS"),"YES","NO — see failing rule(s)"))</f>
        <v/>
      </c>
      <c r="S36" s="142" t="str">
        <f aca="false">IF(R36="","",IF(R36="YES","Initiate: "&amp;H36,"DO NOT ENTER — resolve failing Entry Rule(s) above first"))</f>
        <v/>
      </c>
    </row>
    <row r="37" customFormat="false" ht="15" hidden="false" customHeight="true" outlineLevel="0" collapsed="false">
      <c r="A37" s="141" t="str">
        <f aca="false">IF(Scoring!A37="","",Scoring!A37)</f>
        <v>NKE</v>
      </c>
      <c r="B37" s="142" t="str">
        <f aca="false">IF(Scoring!B37="","",Scoring!B37)</f>
        <v>Nike Inc.</v>
      </c>
      <c r="C37" s="141" t="str">
        <f aca="false">IF(Scoring!AG37="","",IF(OR(Scoring!AG37="STRONG BUY",Scoring!AG37="BUY"),"PASS","FAIL"))</f>
        <v/>
      </c>
      <c r="D37" s="141" t="str">
        <f aca="false">IF(Scoring!AH37="","",IF(Scoring!AH37="OK","PASS","FAIL"))</f>
        <v>FAIL</v>
      </c>
      <c r="E37" s="143" t="str">
        <f aca="false">IF(Scoring!AI37="","",IF(Scoring!AI37="OK","PASS","FAIL — mandatory review required"))</f>
        <v>FAIL — mandatory review required</v>
      </c>
      <c r="F37" s="141"/>
      <c r="G37" s="141"/>
      <c r="H37" s="142" t="str">
        <f aca="false">IF(OR(F37="",G37=""),"",IF(AND(F37="Y",G37="Y"),"Standard initial size","50% of normal initial size + 90-day technical review"))</f>
        <v/>
      </c>
      <c r="I37" s="141"/>
      <c r="J37" s="141"/>
      <c r="K37" s="143" t="str">
        <f aca="false">IF(I37="","",IF(I37="N","PASS",IF(J37="Y","PASS — risk documented in thesis","FAIL — undocumented binary risk")))</f>
        <v/>
      </c>
      <c r="L37" s="141" t="str">
        <f aca="false">IF('Implied-Return Calculator'!S38="","",'Implied-Return Calculator'!S38)</f>
        <v/>
      </c>
      <c r="M37" s="141" t="str">
        <f aca="false">IF('Implied-Return Calculator'!T38="","",'Implied-Return Calculator'!T38)</f>
        <v/>
      </c>
      <c r="N37" s="141" t="str">
        <f aca="false">IF('Implied-Return Calculator'!U38="","",'Implied-Return Calculator'!U38)</f>
        <v/>
      </c>
      <c r="O37" s="141"/>
      <c r="P37" s="141"/>
      <c r="Q37" s="143" t="str">
        <f aca="false">IF(OR(O37="",P37=""),"",IF(O37&lt;=50,"PASS — within ceiling",IF(AND(P37&gt;0.3,M37="PASS"),"PASS — growth+bear case exception met","FAIL — exceeds 50x, exception not met")))</f>
        <v/>
      </c>
      <c r="R37" s="142" t="str">
        <f aca="false">IF(OR(C37="",D37="",E37="",K37="",L37="",M37="",N37="",Q37=""),"",IF(AND(C37="PASS",D37="PASS",LEFT(E37,4)="PASS",LEFT(K37,4)="PASS",L37="PASS",M37="PASS",N37="OK",LEFT(Q37,4)="PASS"),"YES","NO — see failing rule(s)"))</f>
        <v/>
      </c>
      <c r="S37" s="142" t="str">
        <f aca="false">IF(R37="","",IF(R37="YES","Initiate: "&amp;H37,"DO NOT ENTER — resolve failing Entry Rule(s) above first"))</f>
        <v/>
      </c>
    </row>
    <row r="38" customFormat="false" ht="15" hidden="false" customHeight="true" outlineLevel="0" collapsed="false">
      <c r="A38" s="141" t="str">
        <f aca="false">IF(Scoring!A38="","",Scoring!A38)</f>
        <v>VFC</v>
      </c>
      <c r="B38" s="142" t="str">
        <f aca="false">IF(Scoring!B38="","",Scoring!B38)</f>
        <v>V.F. Corporation</v>
      </c>
      <c r="C38" s="141" t="str">
        <f aca="false">IF(Scoring!AG38="","",IF(OR(Scoring!AG38="STRONG BUY",Scoring!AG38="BUY"),"PASS","FAIL"))</f>
        <v/>
      </c>
      <c r="D38" s="141" t="str">
        <f aca="false">IF(Scoring!AH38="","",IF(Scoring!AH38="OK","PASS","FAIL"))</f>
        <v>FAIL</v>
      </c>
      <c r="E38" s="141" t="str">
        <f aca="false">IF(Scoring!AI38="","",IF(Scoring!AI38="OK","PASS","FAIL — mandatory review required"))</f>
        <v>PASS</v>
      </c>
      <c r="F38" s="141"/>
      <c r="G38" s="141"/>
      <c r="H38" s="142" t="str">
        <f aca="false">IF(OR(F38="",G38=""),"",IF(AND(F38="Y",G38="Y"),"Standard initial size","50% of normal initial size + 90-day technical review"))</f>
        <v/>
      </c>
      <c r="I38" s="141"/>
      <c r="J38" s="141"/>
      <c r="K38" s="143" t="str">
        <f aca="false">IF(I38="","",IF(I38="N","PASS",IF(J38="Y","PASS — risk documented in thesis","FAIL — undocumented binary risk")))</f>
        <v/>
      </c>
      <c r="L38" s="141" t="str">
        <f aca="false">IF('Implied-Return Calculator'!S39="","",'Implied-Return Calculator'!S39)</f>
        <v/>
      </c>
      <c r="M38" s="141" t="str">
        <f aca="false">IF('Implied-Return Calculator'!T39="","",'Implied-Return Calculator'!T39)</f>
        <v/>
      </c>
      <c r="N38" s="141" t="str">
        <f aca="false">IF('Implied-Return Calculator'!U39="","",'Implied-Return Calculator'!U39)</f>
        <v/>
      </c>
      <c r="O38" s="141"/>
      <c r="P38" s="141"/>
      <c r="Q38" s="143" t="str">
        <f aca="false">IF(OR(O38="",P38=""),"",IF(O38&lt;=50,"PASS — within ceiling",IF(AND(P38&gt;0.3,M38="PASS"),"PASS — growth+bear case exception met","FAIL — exceeds 50x, exception not met")))</f>
        <v/>
      </c>
      <c r="R38" s="142" t="str">
        <f aca="false">IF(OR(C38="",D38="",E38="",K38="",L38="",M38="",N38="",Q38=""),"",IF(AND(C38="PASS",D38="PASS",LEFT(E38,4)="PASS",LEFT(K38,4)="PASS",L38="PASS",M38="PASS",N38="OK",LEFT(Q38,4)="PASS"),"YES","NO — see failing rule(s)"))</f>
        <v/>
      </c>
      <c r="S38" s="142" t="str">
        <f aca="false">IF(R38="","",IF(R38="YES","Initiate: "&amp;H38,"DO NOT ENTER — resolve failing Entry Rule(s) above first"))</f>
        <v/>
      </c>
    </row>
    <row r="39" customFormat="false" ht="15" hidden="false" customHeight="true" outlineLevel="0" collapsed="false">
      <c r="A39" s="141" t="str">
        <f aca="false">IF(Scoring!A39="","",Scoring!A39)</f>
        <v>GOOS</v>
      </c>
      <c r="B39" s="142" t="str">
        <f aca="false">IF(Scoring!B39="","",Scoring!B39)</f>
        <v>Canada Goose Holdings</v>
      </c>
      <c r="C39" s="141" t="str">
        <f aca="false">IF(Scoring!AG39="","",IF(OR(Scoring!AG39="STRONG BUY",Scoring!AG39="BUY"),"PASS","FAIL"))</f>
        <v/>
      </c>
      <c r="D39" s="141" t="str">
        <f aca="false">IF(Scoring!AH39="","",IF(Scoring!AH39="OK","PASS","FAIL"))</f>
        <v>FAIL</v>
      </c>
      <c r="E39" s="143" t="str">
        <f aca="false">IF(Scoring!AI39="","",IF(Scoring!AI39="OK","PASS","FAIL — mandatory review required"))</f>
        <v>FAIL — mandatory review required</v>
      </c>
      <c r="F39" s="141"/>
      <c r="G39" s="141"/>
      <c r="H39" s="142" t="str">
        <f aca="false">IF(OR(F39="",G39=""),"",IF(AND(F39="Y",G39="Y"),"Standard initial size","50% of normal initial size + 90-day technical review"))</f>
        <v/>
      </c>
      <c r="I39" s="141"/>
      <c r="J39" s="141"/>
      <c r="K39" s="143" t="str">
        <f aca="false">IF(I39="","",IF(I39="N","PASS",IF(J39="Y","PASS — risk documented in thesis","FAIL — undocumented binary risk")))</f>
        <v/>
      </c>
      <c r="L39" s="141" t="str">
        <f aca="false">IF('Implied-Return Calculator'!S40="","",'Implied-Return Calculator'!S40)</f>
        <v/>
      </c>
      <c r="M39" s="141" t="str">
        <f aca="false">IF('Implied-Return Calculator'!T40="","",'Implied-Return Calculator'!T40)</f>
        <v/>
      </c>
      <c r="N39" s="141" t="str">
        <f aca="false">IF('Implied-Return Calculator'!U40="","",'Implied-Return Calculator'!U40)</f>
        <v/>
      </c>
      <c r="O39" s="141"/>
      <c r="P39" s="141"/>
      <c r="Q39" s="143" t="str">
        <f aca="false">IF(OR(O39="",P39=""),"",IF(O39&lt;=50,"PASS — within ceiling",IF(AND(P39&gt;0.3,M39="PASS"),"PASS — growth+bear case exception met","FAIL — exceeds 50x, exception not met")))</f>
        <v/>
      </c>
      <c r="R39" s="142" t="str">
        <f aca="false">IF(OR(C39="",D39="",E39="",K39="",L39="",M39="",N39="",Q39=""),"",IF(AND(C39="PASS",D39="PASS",LEFT(E39,4)="PASS",LEFT(K39,4)="PASS",L39="PASS",M39="PASS",N39="OK",LEFT(Q39,4)="PASS"),"YES","NO — see failing rule(s)"))</f>
        <v/>
      </c>
      <c r="S39" s="142" t="str">
        <f aca="false">IF(R39="","",IF(R39="YES","Initiate: "&amp;H39,"DO NOT ENTER — resolve failing Entry Rule(s) above first"))</f>
        <v/>
      </c>
    </row>
    <row r="40" customFormat="false" ht="15" hidden="false" customHeight="true" outlineLevel="0" collapsed="false">
      <c r="A40" s="141" t="str">
        <f aca="false">IF(Scoring!A40="","",Scoring!A40)</f>
        <v>AAP</v>
      </c>
      <c r="B40" s="142" t="str">
        <f aca="false">IF(Scoring!B40="","",Scoring!B40)</f>
        <v>Advance Auto Parts Inc.</v>
      </c>
      <c r="C40" s="141" t="str">
        <f aca="false">IF(Scoring!AG40="","",IF(OR(Scoring!AG40="STRONG BUY",Scoring!AG40="BUY"),"PASS","FAIL"))</f>
        <v/>
      </c>
      <c r="D40" s="141" t="str">
        <f aca="false">IF(Scoring!AH40="","",IF(Scoring!AH40="OK","PASS","FAIL"))</f>
        <v>FAIL</v>
      </c>
      <c r="E40" s="143" t="str">
        <f aca="false">IF(Scoring!AI40="","",IF(Scoring!AI40="OK","PASS","FAIL — mandatory review required"))</f>
        <v>FAIL — mandatory review required</v>
      </c>
      <c r="F40" s="141"/>
      <c r="G40" s="141"/>
      <c r="H40" s="142" t="str">
        <f aca="false">IF(OR(F40="",G40=""),"",IF(AND(F40="Y",G40="Y"),"Standard initial size","50% of normal initial size + 90-day technical review"))</f>
        <v/>
      </c>
      <c r="I40" s="141"/>
      <c r="J40" s="141"/>
      <c r="K40" s="143" t="str">
        <f aca="false">IF(I40="","",IF(I40="N","PASS",IF(J40="Y","PASS — risk documented in thesis","FAIL — undocumented binary risk")))</f>
        <v/>
      </c>
      <c r="L40" s="141" t="str">
        <f aca="false">IF('Implied-Return Calculator'!S41="","",'Implied-Return Calculator'!S41)</f>
        <v/>
      </c>
      <c r="M40" s="141" t="str">
        <f aca="false">IF('Implied-Return Calculator'!T41="","",'Implied-Return Calculator'!T41)</f>
        <v/>
      </c>
      <c r="N40" s="141" t="str">
        <f aca="false">IF('Implied-Return Calculator'!U41="","",'Implied-Return Calculator'!U41)</f>
        <v/>
      </c>
      <c r="O40" s="141"/>
      <c r="P40" s="141"/>
      <c r="Q40" s="143" t="str">
        <f aca="false">IF(OR(O40="",P40=""),"",IF(O40&lt;=50,"PASS — within ceiling",IF(AND(P40&gt;0.3,M40="PASS"),"PASS — growth+bear case exception met","FAIL — exceeds 50x, exception not met")))</f>
        <v/>
      </c>
      <c r="R40" s="142" t="str">
        <f aca="false">IF(OR(C40="",D40="",E40="",K40="",L40="",M40="",N40="",Q40=""),"",IF(AND(C40="PASS",D40="PASS",LEFT(E40,4)="PASS",LEFT(K40,4)="PASS",L40="PASS",M40="PASS",N40="OK",LEFT(Q40,4)="PASS"),"YES","NO — see failing rule(s)"))</f>
        <v/>
      </c>
      <c r="S40" s="142" t="str">
        <f aca="false">IF(R40="","",IF(R40="YES","Initiate: "&amp;H40,"DO NOT ENTER — resolve failing Entry Rule(s) above first"))</f>
        <v/>
      </c>
    </row>
    <row r="41" customFormat="false" ht="15" hidden="false" customHeight="true" outlineLevel="0" collapsed="false">
      <c r="A41" s="141" t="str">
        <f aca="false">IF(Scoring!A41="","",Scoring!A41)</f>
        <v>BABA</v>
      </c>
      <c r="B41" s="142" t="str">
        <f aca="false">IF(Scoring!B41="","",Scoring!B41)</f>
        <v>Alibaba Group Holding Ltd.</v>
      </c>
      <c r="C41" s="141" t="str">
        <f aca="false">IF(Scoring!AG41="","",IF(OR(Scoring!AG41="STRONG BUY",Scoring!AG41="BUY"),"PASS","FAIL"))</f>
        <v/>
      </c>
      <c r="D41" s="141" t="str">
        <f aca="false">IF(Scoring!AH41="","",IF(Scoring!AH41="OK","PASS","FAIL"))</f>
        <v>FAIL</v>
      </c>
      <c r="E41" s="141" t="str">
        <f aca="false">IF(Scoring!AI41="","",IF(Scoring!AI41="OK","PASS","FAIL — mandatory review required"))</f>
        <v>PASS</v>
      </c>
      <c r="F41" s="141"/>
      <c r="G41" s="141"/>
      <c r="H41" s="142" t="str">
        <f aca="false">IF(OR(F41="",G41=""),"",IF(AND(F41="Y",G41="Y"),"Standard initial size","50% of normal initial size + 90-day technical review"))</f>
        <v/>
      </c>
      <c r="I41" s="141"/>
      <c r="J41" s="141"/>
      <c r="K41" s="143" t="str">
        <f aca="false">IF(I41="","",IF(I41="N","PASS",IF(J41="Y","PASS — risk documented in thesis","FAIL — undocumented binary risk")))</f>
        <v/>
      </c>
      <c r="L41" s="141" t="str">
        <f aca="false">IF('Implied-Return Calculator'!S42="","",'Implied-Return Calculator'!S42)</f>
        <v/>
      </c>
      <c r="M41" s="141" t="str">
        <f aca="false">IF('Implied-Return Calculator'!T42="","",'Implied-Return Calculator'!T42)</f>
        <v/>
      </c>
      <c r="N41" s="141" t="str">
        <f aca="false">IF('Implied-Return Calculator'!U42="","",'Implied-Return Calculator'!U42)</f>
        <v/>
      </c>
      <c r="O41" s="141"/>
      <c r="P41" s="141"/>
      <c r="Q41" s="143" t="str">
        <f aca="false">IF(OR(O41="",P41=""),"",IF(O41&lt;=50,"PASS — within ceiling",IF(AND(P41&gt;0.3,M41="PASS"),"PASS — growth+bear case exception met","FAIL — exceeds 50x, exception not met")))</f>
        <v/>
      </c>
      <c r="R41" s="142" t="str">
        <f aca="false">IF(OR(C41="",D41="",E41="",K41="",L41="",M41="",N41="",Q41=""),"",IF(AND(C41="PASS",D41="PASS",LEFT(E41,4)="PASS",LEFT(K41,4)="PASS",L41="PASS",M41="PASS",N41="OK",LEFT(Q41,4)="PASS"),"YES","NO — see failing rule(s)"))</f>
        <v/>
      </c>
      <c r="S41" s="142" t="str">
        <f aca="false">IF(R41="","",IF(R41="YES","Initiate: "&amp;H41,"DO NOT ENTER — resolve failing Entry Rule(s) above first"))</f>
        <v/>
      </c>
    </row>
    <row r="42" customFormat="false" ht="15" hidden="false" customHeight="true" outlineLevel="0" collapsed="false">
      <c r="A42" s="141" t="str">
        <f aca="false">IF(Scoring!A42="","",Scoring!A42)</f>
        <v>ETSY</v>
      </c>
      <c r="B42" s="142" t="str">
        <f aca="false">IF(Scoring!B42="","",Scoring!B42)</f>
        <v>Etsy Inc.</v>
      </c>
      <c r="C42" s="141" t="str">
        <f aca="false">IF(Scoring!AG42="","",IF(OR(Scoring!AG42="STRONG BUY",Scoring!AG42="BUY"),"PASS","FAIL"))</f>
        <v/>
      </c>
      <c r="D42" s="141" t="str">
        <f aca="false">IF(Scoring!AH42="","",IF(Scoring!AH42="OK","PASS","FAIL"))</f>
        <v>PASS</v>
      </c>
      <c r="E42" s="141" t="str">
        <f aca="false">IF(Scoring!AI42="","",IF(Scoring!AI42="OK","PASS","FAIL — mandatory review required"))</f>
        <v>PASS</v>
      </c>
      <c r="F42" s="141"/>
      <c r="G42" s="141"/>
      <c r="H42" s="142" t="str">
        <f aca="false">IF(OR(F42="",G42=""),"",IF(AND(F42="Y",G42="Y"),"Standard initial size","50% of normal initial size + 90-day technical review"))</f>
        <v/>
      </c>
      <c r="I42" s="141"/>
      <c r="J42" s="141"/>
      <c r="K42" s="143" t="str">
        <f aca="false">IF(I42="","",IF(I42="N","PASS",IF(J42="Y","PASS — risk documented in thesis","FAIL — undocumented binary risk")))</f>
        <v/>
      </c>
      <c r="L42" s="141" t="str">
        <f aca="false">IF('Implied-Return Calculator'!S43="","",'Implied-Return Calculator'!S43)</f>
        <v/>
      </c>
      <c r="M42" s="141" t="str">
        <f aca="false">IF('Implied-Return Calculator'!T43="","",'Implied-Return Calculator'!T43)</f>
        <v/>
      </c>
      <c r="N42" s="141" t="str">
        <f aca="false">IF('Implied-Return Calculator'!U43="","",'Implied-Return Calculator'!U43)</f>
        <v/>
      </c>
      <c r="O42" s="141"/>
      <c r="P42" s="141"/>
      <c r="Q42" s="143" t="str">
        <f aca="false">IF(OR(O42="",P42=""),"",IF(O42&lt;=50,"PASS — within ceiling",IF(AND(P42&gt;0.3,M42="PASS"),"PASS — growth+bear case exception met","FAIL — exceeds 50x, exception not met")))</f>
        <v/>
      </c>
      <c r="R42" s="142" t="str">
        <f aca="false">IF(OR(C42="",D42="",E42="",K42="",L42="",M42="",N42="",Q42=""),"",IF(AND(C42="PASS",D42="PASS",LEFT(E42,4)="PASS",LEFT(K42,4)="PASS",L42="PASS",M42="PASS",N42="OK",LEFT(Q42,4)="PASS"),"YES","NO — see failing rule(s)"))</f>
        <v/>
      </c>
      <c r="S42" s="142" t="str">
        <f aca="false">IF(R42="","",IF(R42="YES","Initiate: "&amp;H42,"DO NOT ENTER — resolve failing Entry Rule(s) above first"))</f>
        <v/>
      </c>
    </row>
    <row r="43" customFormat="false" ht="15" hidden="false" customHeight="true" outlineLevel="0" collapsed="false">
      <c r="A43" s="141" t="str">
        <f aca="false">IF(Scoring!A43="","",Scoring!A43)</f>
        <v>GE</v>
      </c>
      <c r="B43" s="142" t="str">
        <f aca="false">IF(Scoring!B43="","",Scoring!B43)</f>
        <v>GE Aerospace</v>
      </c>
      <c r="C43" s="141" t="str">
        <f aca="false">IF(Scoring!AG43="","",IF(OR(Scoring!AG43="STRONG BUY",Scoring!AG43="BUY"),"PASS","FAIL"))</f>
        <v>PASS</v>
      </c>
      <c r="D43" s="141" t="str">
        <f aca="false">IF(Scoring!AH43="","",IF(Scoring!AH43="OK","PASS","FAIL"))</f>
        <v>PASS</v>
      </c>
      <c r="E43" s="141" t="str">
        <f aca="false">IF(Scoring!AI43="","",IF(Scoring!AI43="OK","PASS","FAIL — mandatory review required"))</f>
        <v>PASS</v>
      </c>
      <c r="F43" s="141" t="s">
        <v>222</v>
      </c>
      <c r="G43" s="141" t="s">
        <v>222</v>
      </c>
      <c r="H43" s="142" t="str">
        <f aca="false">IF(OR(F43="",G43=""),"",IF(AND(F43="Y",G43="Y"),"Standard initial size","50% of normal initial size + 90-day technical review"))</f>
        <v>Standard initial size</v>
      </c>
      <c r="I43" s="141" t="s">
        <v>224</v>
      </c>
      <c r="J43" s="141"/>
      <c r="K43" s="143" t="str">
        <f aca="false">IF(I43="","",IF(I43="N","PASS",IF(J43="Y","PASS — risk documented in thesis","FAIL — undocumented binary risk")))</f>
        <v>PASS</v>
      </c>
      <c r="L43" s="141" t="str">
        <f aca="false">IF('Implied-Return Calculator'!S44="","",'Implied-Return Calculator'!S44)</f>
        <v>PASS</v>
      </c>
      <c r="M43" s="141" t="str">
        <f aca="false">IF('Implied-Return Calculator'!T44="","",'Implied-Return Calculator'!T44)</f>
        <v>PASS</v>
      </c>
      <c r="N43" s="141" t="str">
        <f aca="false">IF('Implied-Return Calculator'!U44="","",'Implied-Return Calculator'!U44)</f>
        <v>OK</v>
      </c>
      <c r="O43" s="141" t="n">
        <v>40.9</v>
      </c>
      <c r="P43" s="141" t="n">
        <v>0.147</v>
      </c>
      <c r="Q43" s="143" t="str">
        <f aca="false">IF(OR(O43="",P43=""),"",IF(O43&lt;=50,"PASS — within ceiling",IF(AND(P43&gt;0.3,M43="PASS"),"PASS — growth+bear case exception met","FAIL — exceeds 50x, exception not met")))</f>
        <v>PASS — within ceiling</v>
      </c>
      <c r="R43" s="142" t="str">
        <f aca="false">IF(OR(C43="",D43="",E43="",K43="",L43="",M43="",N43="",Q43=""),"",IF(AND(C43="PASS",D43="PASS",LEFT(E43,4)="PASS",LEFT(K43,4)="PASS",L43="PASS",M43="PASS",N43="OK",LEFT(Q43,4)="PASS"),"YES","NO — see failing rule(s)"))</f>
        <v>YES</v>
      </c>
      <c r="S43" s="142" t="str">
        <f aca="false">IF(R43="","",IF(R43="YES","Initiate: "&amp;H43,"DO NOT ENTER — resolve failing Entry Rule(s) above first"))</f>
        <v>Initiate: Standard initial size</v>
      </c>
    </row>
    <row r="44" customFormat="false" ht="15" hidden="false" customHeight="true" outlineLevel="0" collapsed="false">
      <c r="A44" s="141" t="str">
        <f aca="false">IF(Scoring!A44="","",Scoring!A44)</f>
        <v>PH</v>
      </c>
      <c r="B44" s="142" t="str">
        <f aca="false">IF(Scoring!B44="","",Scoring!B44)</f>
        <v>Parker-Hannifin Corporation</v>
      </c>
      <c r="C44" s="141" t="str">
        <f aca="false">IF(Scoring!AG44="","",IF(OR(Scoring!AG44="STRONG BUY",Scoring!AG44="BUY"),"PASS","FAIL"))</f>
        <v/>
      </c>
      <c r="D44" s="141" t="str">
        <f aca="false">IF(Scoring!AH44="","",IF(Scoring!AH44="OK","PASS","FAIL"))</f>
        <v>PASS</v>
      </c>
      <c r="E44" s="141" t="str">
        <f aca="false">IF(Scoring!AI44="","",IF(Scoring!AI44="OK","PASS","FAIL — mandatory review required"))</f>
        <v>PASS</v>
      </c>
      <c r="F44" s="141"/>
      <c r="G44" s="141"/>
      <c r="H44" s="142" t="str">
        <f aca="false">IF(OR(F44="",G44=""),"",IF(AND(F44="Y",G44="Y"),"Standard initial size","50% of normal initial size + 90-day technical review"))</f>
        <v/>
      </c>
      <c r="I44" s="141"/>
      <c r="J44" s="141"/>
      <c r="K44" s="143" t="str">
        <f aca="false">IF(I44="","",IF(I44="N","PASS",IF(J44="Y","PASS — risk documented in thesis","FAIL — undocumented binary risk")))</f>
        <v/>
      </c>
      <c r="L44" s="141" t="str">
        <f aca="false">IF('Implied-Return Calculator'!S45="","",'Implied-Return Calculator'!S45)</f>
        <v/>
      </c>
      <c r="M44" s="141" t="str">
        <f aca="false">IF('Implied-Return Calculator'!T45="","",'Implied-Return Calculator'!T45)</f>
        <v/>
      </c>
      <c r="N44" s="141" t="str">
        <f aca="false">IF('Implied-Return Calculator'!U45="","",'Implied-Return Calculator'!U45)</f>
        <v/>
      </c>
      <c r="O44" s="141"/>
      <c r="P44" s="141"/>
      <c r="Q44" s="143" t="str">
        <f aca="false">IF(OR(O44="",P44=""),"",IF(O44&lt;=50,"PASS — within ceiling",IF(AND(P44&gt;0.3,M44="PASS"),"PASS — growth+bear case exception met","FAIL — exceeds 50x, exception not met")))</f>
        <v/>
      </c>
      <c r="R44" s="142" t="str">
        <f aca="false">IF(OR(C44="",D44="",E44="",K44="",L44="",M44="",N44="",Q44=""),"",IF(AND(C44="PASS",D44="PASS",LEFT(E44,4)="PASS",LEFT(K44,4)="PASS",L44="PASS",M44="PASS",N44="OK",LEFT(Q44,4)="PASS"),"YES","NO — see failing rule(s)"))</f>
        <v/>
      </c>
      <c r="S44" s="142" t="str">
        <f aca="false">IF(R44="","",IF(R44="YES","Initiate: "&amp;H44,"DO NOT ENTER — resolve failing Entry Rule(s) above first"))</f>
        <v/>
      </c>
    </row>
    <row r="45" customFormat="false" ht="15" hidden="false" customHeight="true" outlineLevel="0" collapsed="false">
      <c r="A45" s="141" t="str">
        <f aca="false">IF(Scoring!A45="","",Scoring!A45)</f>
        <v>ETN</v>
      </c>
      <c r="B45" s="142" t="str">
        <f aca="false">IF(Scoring!B45="","",Scoring!B45)</f>
        <v>Eaton Corporation plc</v>
      </c>
      <c r="C45" s="141" t="str">
        <f aca="false">IF(Scoring!AG45="","",IF(OR(Scoring!AG45="STRONG BUY",Scoring!AG45="BUY"),"PASS","FAIL"))</f>
        <v/>
      </c>
      <c r="D45" s="141" t="str">
        <f aca="false">IF(Scoring!AH45="","",IF(Scoring!AH45="OK","PASS","FAIL"))</f>
        <v>PASS</v>
      </c>
      <c r="E45" s="141" t="str">
        <f aca="false">IF(Scoring!AI45="","",IF(Scoring!AI45="OK","PASS","FAIL — mandatory review required"))</f>
        <v>PASS</v>
      </c>
      <c r="F45" s="141"/>
      <c r="G45" s="141"/>
      <c r="H45" s="142" t="str">
        <f aca="false">IF(OR(F45="",G45=""),"",IF(AND(F45="Y",G45="Y"),"Standard initial size","50% of normal initial size + 90-day technical review"))</f>
        <v/>
      </c>
      <c r="I45" s="141"/>
      <c r="J45" s="141"/>
      <c r="K45" s="143" t="str">
        <f aca="false">IF(I45="","",IF(I45="N","PASS",IF(J45="Y","PASS — risk documented in thesis","FAIL — undocumented binary risk")))</f>
        <v/>
      </c>
      <c r="L45" s="141" t="str">
        <f aca="false">IF('Implied-Return Calculator'!S46="","",'Implied-Return Calculator'!S46)</f>
        <v/>
      </c>
      <c r="M45" s="141" t="str">
        <f aca="false">IF('Implied-Return Calculator'!T46="","",'Implied-Return Calculator'!T46)</f>
        <v/>
      </c>
      <c r="N45" s="141" t="str">
        <f aca="false">IF('Implied-Return Calculator'!U46="","",'Implied-Return Calculator'!U46)</f>
        <v/>
      </c>
      <c r="O45" s="141"/>
      <c r="P45" s="141"/>
      <c r="Q45" s="143" t="str">
        <f aca="false">IF(OR(O45="",P45=""),"",IF(O45&lt;=50,"PASS — within ceiling",IF(AND(P45&gt;0.3,M45="PASS"),"PASS — growth+bear case exception met","FAIL — exceeds 50x, exception not met")))</f>
        <v/>
      </c>
      <c r="R45" s="142" t="str">
        <f aca="false">IF(OR(C45="",D45="",E45="",K45="",L45="",M45="",N45="",Q45=""),"",IF(AND(C45="PASS",D45="PASS",LEFT(E45,4)="PASS",LEFT(K45,4)="PASS",L45="PASS",M45="PASS",N45="OK",LEFT(Q45,4)="PASS"),"YES","NO — see failing rule(s)"))</f>
        <v/>
      </c>
      <c r="S45" s="142" t="str">
        <f aca="false">IF(R45="","",IF(R45="YES","Initiate: "&amp;H45,"DO NOT ENTER — resolve failing Entry Rule(s) above first"))</f>
        <v/>
      </c>
    </row>
    <row r="46" customFormat="false" ht="15" hidden="false" customHeight="true" outlineLevel="0" collapsed="false">
      <c r="A46" s="141" t="str">
        <f aca="false">IF(Scoring!A46="","",Scoring!A46)</f>
        <v>DIS</v>
      </c>
      <c r="B46" s="142" t="str">
        <f aca="false">IF(Scoring!B46="","",Scoring!B46)</f>
        <v>The Walt Disney Company</v>
      </c>
      <c r="C46" s="141" t="str">
        <f aca="false">IF(Scoring!AG46="","",IF(OR(Scoring!AG46="STRONG BUY",Scoring!AG46="BUY"),"PASS","FAIL"))</f>
        <v/>
      </c>
      <c r="D46" s="141" t="str">
        <f aca="false">IF(Scoring!AH46="","",IF(Scoring!AH46="OK","PASS","FAIL"))</f>
        <v>FAIL</v>
      </c>
      <c r="E46" s="141" t="str">
        <f aca="false">IF(Scoring!AI46="","",IF(Scoring!AI46="OK","PASS","FAIL — mandatory review required"))</f>
        <v>PASS</v>
      </c>
      <c r="F46" s="141"/>
      <c r="G46" s="141"/>
      <c r="H46" s="142" t="str">
        <f aca="false">IF(OR(F46="",G46=""),"",IF(AND(F46="Y",G46="Y"),"Standard initial size","50% of normal initial size + 90-day technical review"))</f>
        <v/>
      </c>
      <c r="I46" s="141"/>
      <c r="J46" s="141"/>
      <c r="K46" s="143" t="str">
        <f aca="false">IF(I46="","",IF(I46="N","PASS",IF(J46="Y","PASS — risk documented in thesis","FAIL — undocumented binary risk")))</f>
        <v/>
      </c>
      <c r="L46" s="141" t="str">
        <f aca="false">IF('Implied-Return Calculator'!S47="","",'Implied-Return Calculator'!S47)</f>
        <v/>
      </c>
      <c r="M46" s="141" t="str">
        <f aca="false">IF('Implied-Return Calculator'!T47="","",'Implied-Return Calculator'!T47)</f>
        <v/>
      </c>
      <c r="N46" s="141" t="str">
        <f aca="false">IF('Implied-Return Calculator'!U47="","",'Implied-Return Calculator'!U47)</f>
        <v/>
      </c>
      <c r="O46" s="141"/>
      <c r="P46" s="141"/>
      <c r="Q46" s="143" t="str">
        <f aca="false">IF(OR(O46="",P46=""),"",IF(O46&lt;=50,"PASS — within ceiling",IF(AND(P46&gt;0.3,M46="PASS"),"PASS — growth+bear case exception met","FAIL — exceeds 50x, exception not met")))</f>
        <v/>
      </c>
      <c r="R46" s="142" t="str">
        <f aca="false">IF(OR(C46="",D46="",E46="",K46="",L46="",M46="",N46="",Q46=""),"",IF(AND(C46="PASS",D46="PASS",LEFT(E46,4)="PASS",LEFT(K46,4)="PASS",L46="PASS",M46="PASS",N46="OK",LEFT(Q46,4)="PASS"),"YES","NO — see failing rule(s)"))</f>
        <v/>
      </c>
      <c r="S46" s="142" t="str">
        <f aca="false">IF(R46="","",IF(R46="YES","Initiate: "&amp;H46,"DO NOT ENTER — resolve failing Entry Rule(s) above first"))</f>
        <v/>
      </c>
    </row>
    <row r="47" customFormat="false" ht="15" hidden="false" customHeight="true" outlineLevel="0" collapsed="false">
      <c r="A47" s="141" t="str">
        <f aca="false">IF(Scoring!A47="","",Scoring!A47)</f>
        <v>NFLX</v>
      </c>
      <c r="B47" s="142" t="str">
        <f aca="false">IF(Scoring!B47="","",Scoring!B47)</f>
        <v>Netflix, Inc.</v>
      </c>
      <c r="C47" s="141" t="str">
        <f aca="false">IF(Scoring!AG47="","",IF(OR(Scoring!AG47="STRONG BUY",Scoring!AG47="BUY"),"PASS","FAIL"))</f>
        <v>PASS</v>
      </c>
      <c r="D47" s="141" t="str">
        <f aca="false">IF(Scoring!AH47="","",IF(Scoring!AH47="OK","PASS","FAIL"))</f>
        <v>PASS</v>
      </c>
      <c r="E47" s="141" t="str">
        <f aca="false">IF(Scoring!AI47="","",IF(Scoring!AI47="OK","PASS","FAIL — mandatory review required"))</f>
        <v>PASS</v>
      </c>
      <c r="F47" s="141" t="s">
        <v>224</v>
      </c>
      <c r="G47" s="141" t="s">
        <v>224</v>
      </c>
      <c r="H47" s="142" t="str">
        <f aca="false">IF(OR(F47="",G47=""),"",IF(AND(F47="Y",G47="Y"),"Standard initial size","50% of normal initial size + 90-day technical review"))</f>
        <v>50% of normal initial size + 90-day technical review</v>
      </c>
      <c r="I47" s="141" t="s">
        <v>224</v>
      </c>
      <c r="J47" s="141"/>
      <c r="K47" s="143" t="str">
        <f aca="false">IF(I47="","",IF(I47="N","PASS",IF(J47="Y","PASS — risk documented in thesis","FAIL — undocumented binary risk")))</f>
        <v>PASS</v>
      </c>
      <c r="L47" s="141" t="str">
        <f aca="false">IF('Implied-Return Calculator'!S48="","",'Implied-Return Calculator'!S48)</f>
        <v>PASS</v>
      </c>
      <c r="M47" s="141" t="str">
        <f aca="false">IF('Implied-Return Calculator'!T48="","",'Implied-Return Calculator'!T48)</f>
        <v>PASS</v>
      </c>
      <c r="N47" s="141" t="str">
        <f aca="false">IF('Implied-Return Calculator'!U48="","",'Implied-Return Calculator'!U48)</f>
        <v>OK</v>
      </c>
      <c r="O47" s="141" t="n">
        <v>37.8</v>
      </c>
      <c r="P47" s="141" t="n">
        <v>0.15</v>
      </c>
      <c r="Q47" s="143" t="str">
        <f aca="false">IF(OR(O47="",P47=""),"",IF(O47&lt;=50,"PASS — within ceiling",IF(AND(P47&gt;0.3,M47="PASS"),"PASS — growth+bear case exception met","FAIL — exceeds 50x, exception not met")))</f>
        <v>PASS — within ceiling</v>
      </c>
      <c r="R47" s="142" t="str">
        <f aca="false">IF(OR(C47="",D47="",E47="",K47="",L47="",M47="",N47="",Q47=""),"",IF(AND(C47="PASS",D47="PASS",LEFT(E47,4)="PASS",LEFT(K47,4)="PASS",L47="PASS",M47="PASS",N47="OK",LEFT(Q47,4)="PASS"),"YES","NO — see failing rule(s)"))</f>
        <v>YES</v>
      </c>
      <c r="S47" s="142" t="str">
        <f aca="false">IF(R47="","",IF(R47="YES","Initiate: "&amp;H47,"DO NOT ENTER — resolve failing Entry Rule(s) above first"))</f>
        <v>Initiate: 50% of normal initial size + 90-day technical review</v>
      </c>
    </row>
    <row r="48" customFormat="false" ht="15" hidden="false" customHeight="true" outlineLevel="0" collapsed="false">
      <c r="A48" s="141" t="str">
        <f aca="false">IF(Scoring!A48="","",Scoring!A48)</f>
        <v>KGS</v>
      </c>
      <c r="B48" s="142" t="str">
        <f aca="false">IF(Scoring!B48="","",Scoring!B48)</f>
        <v>Kodiak Gas Services, Inc.</v>
      </c>
      <c r="C48" s="141" t="str">
        <f aca="false">IF(Scoring!AG48="","",IF(OR(Scoring!AG48="STRONG BUY",Scoring!AG48="BUY"),"PASS","FAIL"))</f>
        <v/>
      </c>
      <c r="D48" s="141" t="str">
        <f aca="false">IF(Scoring!AH48="","",IF(Scoring!AH48="OK","PASS","FAIL"))</f>
        <v>PASS</v>
      </c>
      <c r="E48" s="141" t="str">
        <f aca="false">IF(Scoring!AI48="","",IF(Scoring!AI48="OK","PASS","FAIL — mandatory review required"))</f>
        <v>PASS</v>
      </c>
      <c r="F48" s="141"/>
      <c r="G48" s="141"/>
      <c r="H48" s="142" t="str">
        <f aca="false">IF(OR(F48="",G48=""),"",IF(AND(F48="Y",G48="Y"),"Standard initial size","50% of normal initial size + 90-day technical review"))</f>
        <v/>
      </c>
      <c r="I48" s="141"/>
      <c r="J48" s="141"/>
      <c r="K48" s="143" t="str">
        <f aca="false">IF(I48="","",IF(I48="N","PASS",IF(J48="Y","PASS — risk documented in thesis","FAIL — undocumented binary risk")))</f>
        <v/>
      </c>
      <c r="L48" s="141" t="str">
        <f aca="false">IF('Implied-Return Calculator'!S49="","",'Implied-Return Calculator'!S49)</f>
        <v/>
      </c>
      <c r="M48" s="141" t="str">
        <f aca="false">IF('Implied-Return Calculator'!T49="","",'Implied-Return Calculator'!T49)</f>
        <v/>
      </c>
      <c r="N48" s="141" t="str">
        <f aca="false">IF('Implied-Return Calculator'!U49="","",'Implied-Return Calculator'!U49)</f>
        <v/>
      </c>
      <c r="O48" s="141"/>
      <c r="P48" s="141"/>
      <c r="Q48" s="143" t="str">
        <f aca="false">IF(OR(O48="",P48=""),"",IF(O48&lt;=50,"PASS — within ceiling",IF(AND(P48&gt;0.3,M48="PASS"),"PASS — growth+bear case exception met","FAIL — exceeds 50x, exception not met")))</f>
        <v/>
      </c>
      <c r="R48" s="142" t="str">
        <f aca="false">IF(OR(C48="",D48="",E48="",K48="",L48="",M48="",N48="",Q48=""),"",IF(AND(C48="PASS",D48="PASS",LEFT(E48,4)="PASS",LEFT(K48,4)="PASS",L48="PASS",M48="PASS",N48="OK",LEFT(Q48,4)="PASS"),"YES","NO — see failing rule(s)"))</f>
        <v/>
      </c>
      <c r="S48" s="142" t="str">
        <f aca="false">IF(R48="","",IF(R48="YES","Initiate: "&amp;H48,"DO NOT ENTER — resolve failing Entry Rule(s) above first"))</f>
        <v/>
      </c>
    </row>
    <row r="49" customFormat="false" ht="15" hidden="false" customHeight="true" outlineLevel="0" collapsed="false">
      <c r="A49" s="141" t="str">
        <f aca="false">IF(Scoring!A49="","",Scoring!A49)</f>
        <v>ABT</v>
      </c>
      <c r="B49" s="142" t="str">
        <f aca="false">IF(Scoring!B49="","",Scoring!B49)</f>
        <v>Abbott Laboratories</v>
      </c>
      <c r="C49" s="141" t="str">
        <f aca="false">IF(Scoring!AG49="","",IF(OR(Scoring!AG49="STRONG BUY",Scoring!AG49="BUY"),"PASS","FAIL"))</f>
        <v>PASS</v>
      </c>
      <c r="D49" s="141" t="str">
        <f aca="false">IF(Scoring!AH49="","",IF(Scoring!AH49="OK","PASS","FAIL"))</f>
        <v>PASS</v>
      </c>
      <c r="E49" s="141" t="str">
        <f aca="false">IF(Scoring!AI49="","",IF(Scoring!AI49="OK","PASS","FAIL — mandatory review required"))</f>
        <v>PASS</v>
      </c>
      <c r="F49" s="141"/>
      <c r="G49" s="141"/>
      <c r="H49" s="142" t="str">
        <f aca="false">IF(OR(F49="",G49=""),"",IF(AND(F49="Y",G49="Y"),"Standard initial size","50% of normal initial size + 90-day technical review"))</f>
        <v/>
      </c>
      <c r="I49" s="141"/>
      <c r="J49" s="141"/>
      <c r="K49" s="143" t="str">
        <f aca="false">IF(I49="","",IF(I49="N","PASS",IF(J49="Y","PASS — risk documented in thesis","FAIL — undocumented binary risk")))</f>
        <v/>
      </c>
      <c r="L49" s="141" t="str">
        <f aca="false">IF('Implied-Return Calculator'!S50="","",'Implied-Return Calculator'!S50)</f>
        <v/>
      </c>
      <c r="M49" s="141" t="str">
        <f aca="false">IF('Implied-Return Calculator'!T50="","",'Implied-Return Calculator'!T50)</f>
        <v/>
      </c>
      <c r="N49" s="141" t="str">
        <f aca="false">IF('Implied-Return Calculator'!U50="","",'Implied-Return Calculator'!U50)</f>
        <v/>
      </c>
      <c r="O49" s="141"/>
      <c r="P49" s="141"/>
      <c r="Q49" s="143" t="str">
        <f aca="false">IF(OR(O49="",P49=""),"",IF(O49&lt;=50,"PASS — within ceiling",IF(AND(P49&gt;0.3,M49="PASS"),"PASS — growth+bear case exception met","FAIL — exceeds 50x, exception not met")))</f>
        <v/>
      </c>
      <c r="R49" s="142" t="str">
        <f aca="false">IF(OR(C49="",D49="",E49="",K49="",L49="",M49="",N49="",Q49=""),"",IF(AND(C49="PASS",D49="PASS",LEFT(E49,4)="PASS",LEFT(K49,4)="PASS",L49="PASS",M49="PASS",N49="OK",LEFT(Q49,4)="PASS"),"YES","NO — see failing rule(s)"))</f>
        <v/>
      </c>
      <c r="S49" s="142" t="str">
        <f aca="false">IF(R49="","",IF(R49="YES","Initiate: "&amp;H49,"DO NOT ENTER — resolve failing Entry Rule(s) above first"))</f>
        <v/>
      </c>
    </row>
    <row r="50" customFormat="false" ht="15" hidden="false" customHeight="true" outlineLevel="0" collapsed="false">
      <c r="A50" s="141" t="str">
        <f aca="false">IF(Scoring!A50="","",Scoring!A50)</f>
        <v>SLB</v>
      </c>
      <c r="B50" s="142" t="str">
        <f aca="false">IF(Scoring!B50="","",Scoring!B50)</f>
        <v>SLB N.V.</v>
      </c>
      <c r="C50" s="141" t="str">
        <f aca="false">IF(Scoring!AG50="","",IF(OR(Scoring!AG50="STRONG BUY",Scoring!AG50="BUY"),"PASS","FAIL"))</f>
        <v>PASS</v>
      </c>
      <c r="D50" s="141" t="str">
        <f aca="false">IF(Scoring!AH50="","",IF(Scoring!AH50="OK","PASS","FAIL"))</f>
        <v>PASS</v>
      </c>
      <c r="E50" s="141" t="str">
        <f aca="false">IF(Scoring!AI50="","",IF(Scoring!AI50="OK","PASS","FAIL — mandatory review required"))</f>
        <v>PASS</v>
      </c>
      <c r="F50" s="141" t="s">
        <v>222</v>
      </c>
      <c r="G50" s="141" t="s">
        <v>222</v>
      </c>
      <c r="H50" s="142" t="str">
        <f aca="false">IF(OR(F50="",G50=""),"",IF(AND(F50="Y",G50="Y"),"Standard initial size","50% of normal initial size + 90-day technical review"))</f>
        <v>Standard initial size</v>
      </c>
      <c r="I50" s="141" t="s">
        <v>224</v>
      </c>
      <c r="J50" s="141"/>
      <c r="K50" s="143" t="str">
        <f aca="false">IF(I50="","",IF(I50="N","PASS",IF(J50="Y","PASS — risk documented in thesis","FAIL — undocumented binary risk")))</f>
        <v>PASS</v>
      </c>
      <c r="L50" s="141" t="str">
        <f aca="false">IF('Implied-Return Calculator'!S51="","",'Implied-Return Calculator'!S51)</f>
        <v>FAIL</v>
      </c>
      <c r="M50" s="141" t="str">
        <f aca="false">IF('Implied-Return Calculator'!T51="","",'Implied-Return Calculator'!T51)</f>
        <v>FAIL</v>
      </c>
      <c r="N50" s="141" t="str">
        <f aca="false">IF('Implied-Return Calculator'!U51="","",'Implied-Return Calculator'!U51)</f>
        <v>OK</v>
      </c>
      <c r="O50" s="141" t="n">
        <v>17.7</v>
      </c>
      <c r="P50" s="141" t="n">
        <v>0.047</v>
      </c>
      <c r="Q50" s="143" t="str">
        <f aca="false">IF(OR(O50="",P50=""),"",IF(O50&lt;=50,"PASS — within ceiling",IF(AND(P50&gt;0.3,M50="PASS"),"PASS — growth+bear case exception met","FAIL — exceeds 50x, exception not met")))</f>
        <v>PASS — within ceiling</v>
      </c>
      <c r="R50" s="142" t="str">
        <f aca="false">IF(OR(C50="",D50="",E50="",K50="",L50="",M50="",N50="",Q50=""),"",IF(AND(C50="PASS",D50="PASS",LEFT(E50,4)="PASS",LEFT(K50,4)="PASS",L50="PASS",M50="PASS",N50="OK",LEFT(Q50,4)="PASS"),"YES","NO — see failing rule(s)"))</f>
        <v>NO — see failing rule(s)</v>
      </c>
      <c r="S50" s="142" t="str">
        <f aca="false">IF(R50="","",IF(R50="YES","Initiate: "&amp;H50,"DO NOT ENTER — resolve failing Entry Rule(s) above first"))</f>
        <v>DO NOT ENTER — resolve failing Entry Rule(s) above first</v>
      </c>
    </row>
    <row r="51" customFormat="false" ht="15" hidden="false" customHeight="true" outlineLevel="0" collapsed="false">
      <c r="A51" s="141" t="str">
        <f aca="false">IF(Scoring!A51="","",Scoring!A51)</f>
        <v>VEEV</v>
      </c>
      <c r="B51" s="142" t="str">
        <f aca="false">IF(Scoring!B51="","",Scoring!B51)</f>
        <v>Veeva Systems Inc.</v>
      </c>
      <c r="C51" s="141" t="str">
        <f aca="false">IF(Scoring!AG51="","",IF(OR(Scoring!AG51="STRONG BUY",Scoring!AG51="BUY"),"PASS","FAIL"))</f>
        <v>PASS</v>
      </c>
      <c r="D51" s="141" t="str">
        <f aca="false">IF(Scoring!AH51="","",IF(Scoring!AH51="OK","PASS","FAIL"))</f>
        <v>PASS</v>
      </c>
      <c r="E51" s="141" t="str">
        <f aca="false">IF(Scoring!AI51="","",IF(Scoring!AI51="OK","PASS","FAIL — mandatory review required"))</f>
        <v>PASS</v>
      </c>
      <c r="F51" s="141" t="s">
        <v>222</v>
      </c>
      <c r="G51" s="141" t="s">
        <v>222</v>
      </c>
      <c r="H51" s="142" t="str">
        <f aca="false">IF(OR(F51="",G51=""),"",IF(AND(F51="Y",G51="Y"),"Standard initial size","50% of normal initial size + 90-day technical review"))</f>
        <v>Standard initial size</v>
      </c>
      <c r="I51" s="141" t="s">
        <v>224</v>
      </c>
      <c r="J51" s="141"/>
      <c r="K51" s="143" t="str">
        <f aca="false">IF(I51="","",IF(I51="N","PASS",IF(J51="Y","PASS — risk documented in thesis","FAIL — undocumented binary risk")))</f>
        <v>PASS</v>
      </c>
      <c r="L51" s="141" t="str">
        <f aca="false">IF('Implied-Return Calculator'!S52="","",'Implied-Return Calculator'!S52)</f>
        <v>PASS</v>
      </c>
      <c r="M51" s="141" t="str">
        <f aca="false">IF('Implied-Return Calculator'!T52="","",'Implied-Return Calculator'!T52)</f>
        <v>PASS</v>
      </c>
      <c r="N51" s="141" t="str">
        <f aca="false">IF('Implied-Return Calculator'!U52="","",'Implied-Return Calculator'!U52)</f>
        <v>OK</v>
      </c>
      <c r="O51" s="141" t="n">
        <v>40.4</v>
      </c>
      <c r="P51" s="141" t="n">
        <v>0.125</v>
      </c>
      <c r="Q51" s="143" t="str">
        <f aca="false">IF(OR(O51="",P51=""),"",IF(O51&lt;=50,"PASS — within ceiling",IF(AND(P51&gt;0.3,M51="PASS"),"PASS — growth+bear case exception met","FAIL — exceeds 50x, exception not met")))</f>
        <v>PASS — within ceiling</v>
      </c>
      <c r="R51" s="142" t="str">
        <f aca="false">IF(OR(C51="",D51="",E51="",K51="",L51="",M51="",N51="",Q51=""),"",IF(AND(C51="PASS",D51="PASS",LEFT(E51,4)="PASS",LEFT(K51,4)="PASS",L51="PASS",M51="PASS",N51="OK",LEFT(Q51,4)="PASS"),"YES","NO — see failing rule(s)"))</f>
        <v>YES</v>
      </c>
      <c r="S51" s="142" t="str">
        <f aca="false">IF(R51="","",IF(R51="YES","Initiate: "&amp;H51,"DO NOT ENTER — resolve failing Entry Rule(s) above first"))</f>
        <v>Initiate: Standard initial size</v>
      </c>
    </row>
    <row r="52" customFormat="false" ht="15" hidden="false" customHeight="true" outlineLevel="0" collapsed="false">
      <c r="K52" s="144"/>
      <c r="Q52" s="144"/>
    </row>
    <row r="53" customFormat="false" ht="15" hidden="false" customHeight="true" outlineLevel="0" collapsed="false">
      <c r="K53" s="144"/>
      <c r="Q53" s="144"/>
    </row>
    <row r="54" customFormat="false" ht="15" hidden="false" customHeight="true" outlineLevel="0" collapsed="false">
      <c r="K54" s="144"/>
      <c r="Q54" s="144"/>
    </row>
    <row r="55" customFormat="false" ht="15" hidden="false" customHeight="true" outlineLevel="0" collapsed="false">
      <c r="K55" s="144"/>
      <c r="Q55" s="144"/>
    </row>
    <row r="56" customFormat="false" ht="15" hidden="false" customHeight="true" outlineLevel="0" collapsed="false">
      <c r="K56" s="144"/>
      <c r="Q56" s="144"/>
    </row>
    <row r="57" customFormat="false" ht="15" hidden="false" customHeight="true" outlineLevel="0" collapsed="false">
      <c r="K57" s="144"/>
      <c r="Q57" s="144"/>
    </row>
    <row r="58" customFormat="false" ht="15" hidden="false" customHeight="true" outlineLevel="0" collapsed="false">
      <c r="K58" s="144"/>
      <c r="Q58" s="144"/>
    </row>
    <row r="59" customFormat="false" ht="15" hidden="false" customHeight="true" outlineLevel="0" collapsed="false">
      <c r="K59" s="144"/>
      <c r="Q59" s="144"/>
    </row>
    <row r="60" customFormat="false" ht="15" hidden="false" customHeight="true" outlineLevel="0" collapsed="false">
      <c r="K60" s="144"/>
      <c r="Q60" s="144"/>
    </row>
    <row r="61" customFormat="false" ht="15" hidden="false" customHeight="true" outlineLevel="0" collapsed="false">
      <c r="K61" s="144"/>
      <c r="Q61" s="144"/>
    </row>
    <row r="62" customFormat="false" ht="15" hidden="false" customHeight="true" outlineLevel="0" collapsed="false">
      <c r="K62" s="144"/>
      <c r="Q62" s="144"/>
    </row>
    <row r="63" customFormat="false" ht="15" hidden="false" customHeight="true" outlineLevel="0" collapsed="false">
      <c r="K63" s="144"/>
      <c r="Q63" s="144"/>
    </row>
    <row r="64" customFormat="false" ht="15" hidden="false" customHeight="true" outlineLevel="0" collapsed="false">
      <c r="K64" s="144"/>
      <c r="Q64" s="144"/>
    </row>
    <row r="65" customFormat="false" ht="15" hidden="false" customHeight="true" outlineLevel="0" collapsed="false">
      <c r="K65" s="144"/>
      <c r="Q65" s="144"/>
    </row>
    <row r="66" customFormat="false" ht="15" hidden="false" customHeight="true" outlineLevel="0" collapsed="false">
      <c r="K66" s="144"/>
      <c r="Q66" s="144"/>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8">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8">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7.67"/>
    <col collapsed="false" customWidth="true" hidden="false" outlineLevel="0" max="2" min="2" style="14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7.67"/>
    <col collapsed="false" customWidth="true" hidden="false" outlineLevel="0" max="9" min="9" style="1" width="8.5"/>
  </cols>
  <sheetData>
    <row r="1" customFormat="false" ht="42" hidden="false" customHeight="true" outlineLevel="0" collapsed="false">
      <c r="A1" s="145" t="s">
        <v>443</v>
      </c>
      <c r="B1" s="145"/>
      <c r="C1" s="145"/>
      <c r="D1" s="145"/>
      <c r="E1" s="145"/>
      <c r="F1" s="145"/>
      <c r="G1" s="145"/>
      <c r="H1" s="145"/>
      <c r="I1" s="145"/>
    </row>
    <row r="2" customFormat="false" ht="25.5" hidden="false" customHeight="true" outlineLevel="0" collapsed="false">
      <c r="A2" s="121" t="s">
        <v>82</v>
      </c>
      <c r="B2" s="121" t="s">
        <v>296</v>
      </c>
      <c r="C2" s="121" t="s">
        <v>444</v>
      </c>
      <c r="D2" s="121" t="s">
        <v>445</v>
      </c>
      <c r="E2" s="121" t="s">
        <v>446</v>
      </c>
      <c r="F2" s="121" t="s">
        <v>447</v>
      </c>
      <c r="G2" s="121" t="s">
        <v>448</v>
      </c>
      <c r="H2" s="121" t="s">
        <v>449</v>
      </c>
      <c r="I2" s="121" t="s">
        <v>450</v>
      </c>
    </row>
    <row r="3" customFormat="false" ht="15" hidden="false" customHeight="true" outlineLevel="0" collapsed="false">
      <c r="A3" s="125" t="s">
        <v>287</v>
      </c>
      <c r="B3" s="123" t="s">
        <v>420</v>
      </c>
      <c r="C3" s="146" t="n">
        <v>99.6</v>
      </c>
      <c r="D3" s="130" t="n">
        <v>6961418</v>
      </c>
      <c r="E3" s="147" t="n">
        <v>172346.179584</v>
      </c>
      <c r="F3" s="148" t="n">
        <v>32.129032</v>
      </c>
      <c r="G3" s="146" t="n">
        <v>81.97</v>
      </c>
      <c r="H3" s="146" t="n">
        <v>133.34</v>
      </c>
      <c r="I3" s="132" t="n">
        <v>2.53</v>
      </c>
    </row>
    <row r="4" customFormat="false" ht="15" hidden="false" customHeight="true" outlineLevel="0" collapsed="false">
      <c r="A4" s="125" t="s">
        <v>96</v>
      </c>
      <c r="B4" s="123" t="s">
        <v>97</v>
      </c>
      <c r="C4" s="146" t="n">
        <v>242.27</v>
      </c>
      <c r="D4" s="130" t="n">
        <v>3881488</v>
      </c>
      <c r="E4" s="147" t="n">
        <v>94291.484672</v>
      </c>
      <c r="F4" s="148" t="n">
        <v>13.527081</v>
      </c>
      <c r="G4" s="146" t="n">
        <v>190.12</v>
      </c>
      <c r="H4" s="146" t="n">
        <v>363.7</v>
      </c>
      <c r="I4" s="132"/>
    </row>
    <row r="5" customFormat="false" ht="15" hidden="false" customHeight="true" outlineLevel="0" collapsed="false">
      <c r="A5" s="125" t="s">
        <v>101</v>
      </c>
      <c r="B5" s="123" t="s">
        <v>102</v>
      </c>
      <c r="C5" s="146" t="n">
        <v>216.74</v>
      </c>
      <c r="D5" s="130" t="n">
        <v>4326938</v>
      </c>
      <c r="E5" s="147" t="n">
        <v>273357.848576</v>
      </c>
      <c r="F5" s="148" t="n">
        <v>68.37224</v>
      </c>
      <c r="G5" s="146" t="n">
        <v>114.52</v>
      </c>
      <c r="H5" s="146" t="n">
        <v>217.41</v>
      </c>
      <c r="I5" s="132"/>
    </row>
    <row r="6" customFormat="false" ht="15" hidden="false" customHeight="true" outlineLevel="0" collapsed="false">
      <c r="A6" s="125" t="s">
        <v>103</v>
      </c>
      <c r="B6" s="123" t="s">
        <v>104</v>
      </c>
      <c r="C6" s="146" t="n">
        <v>1780.34</v>
      </c>
      <c r="D6" s="130" t="n">
        <v>1203224</v>
      </c>
      <c r="E6" s="147" t="n">
        <v>683828.576256</v>
      </c>
      <c r="F6" s="148" t="n">
        <v>57.784485</v>
      </c>
      <c r="G6" s="146" t="n">
        <v>946.11</v>
      </c>
      <c r="H6" s="146" t="n">
        <v>1999.96</v>
      </c>
      <c r="I6" s="132" t="n">
        <v>0.51</v>
      </c>
    </row>
    <row r="7" customFormat="false" ht="15" hidden="false" customHeight="true" outlineLevel="0" collapsed="false">
      <c r="A7" s="125" t="s">
        <v>172</v>
      </c>
      <c r="B7" s="123" t="s">
        <v>173</v>
      </c>
      <c r="C7" s="146" t="n">
        <v>361.54</v>
      </c>
      <c r="D7" s="130" t="n">
        <v>16467294</v>
      </c>
      <c r="E7" s="147" t="n">
        <v>1725858.185216</v>
      </c>
      <c r="F7" s="148" t="n">
        <v>46.17369</v>
      </c>
      <c r="G7" s="146" t="n">
        <v>289.96</v>
      </c>
      <c r="H7" s="146" t="n">
        <v>495</v>
      </c>
      <c r="I7" s="132" t="n">
        <v>0.72</v>
      </c>
    </row>
    <row r="8" customFormat="false" ht="15" hidden="false" customHeight="true" outlineLevel="0" collapsed="false">
      <c r="A8" s="125" t="s">
        <v>163</v>
      </c>
      <c r="B8" s="123" t="s">
        <v>164</v>
      </c>
      <c r="C8" s="146" t="n">
        <v>119.64</v>
      </c>
      <c r="D8" s="130" t="n">
        <v>1370867</v>
      </c>
      <c r="E8" s="147"/>
      <c r="F8" s="148" t="n">
        <v>11.864966</v>
      </c>
      <c r="G8" s="146" t="n">
        <v>93.87</v>
      </c>
      <c r="H8" s="146" t="n">
        <v>129.05</v>
      </c>
      <c r="I8" s="132" t="n">
        <v>1.29</v>
      </c>
    </row>
    <row r="9" customFormat="false" ht="15" hidden="false" customHeight="true" outlineLevel="0" collapsed="false">
      <c r="A9" s="125" t="s">
        <v>242</v>
      </c>
      <c r="B9" s="123" t="s">
        <v>398</v>
      </c>
      <c r="C9" s="146" t="n">
        <v>31.59</v>
      </c>
      <c r="D9" s="130" t="n">
        <v>20054983</v>
      </c>
      <c r="E9" s="147" t="n">
        <v>39974.555648</v>
      </c>
      <c r="F9" s="148" t="n">
        <v>28.981651</v>
      </c>
      <c r="G9" s="146" t="n">
        <v>28.04</v>
      </c>
      <c r="H9" s="146" t="n">
        <v>42.82</v>
      </c>
      <c r="I9" s="132"/>
    </row>
    <row r="10" customFormat="false" ht="15" hidden="false" customHeight="true" outlineLevel="0" collapsed="false">
      <c r="A10" s="125" t="s">
        <v>244</v>
      </c>
      <c r="B10" s="123" t="s">
        <v>369</v>
      </c>
      <c r="C10" s="146" t="n">
        <v>946.92</v>
      </c>
      <c r="D10" s="130" t="n">
        <v>1493334</v>
      </c>
      <c r="E10" s="147" t="n">
        <v>419608.035328</v>
      </c>
      <c r="F10" s="148" t="n">
        <v>45.612717</v>
      </c>
      <c r="G10" s="146" t="n">
        <v>844.06</v>
      </c>
      <c r="H10" s="146" t="n">
        <v>1096.5</v>
      </c>
      <c r="I10" s="132" t="n">
        <v>0.62</v>
      </c>
    </row>
    <row r="11" customFormat="false" ht="15" hidden="false" customHeight="true" outlineLevel="0" collapsed="false">
      <c r="A11" s="125" t="s">
        <v>105</v>
      </c>
      <c r="B11" s="123" t="s">
        <v>106</v>
      </c>
      <c r="C11" s="146" t="n">
        <v>275.04</v>
      </c>
      <c r="D11" s="130" t="n">
        <v>7041009</v>
      </c>
      <c r="E11" s="147" t="n">
        <v>281623.035904</v>
      </c>
      <c r="F11" s="148" t="n">
        <v>4584.0005</v>
      </c>
      <c r="G11" s="146" t="n">
        <v>85.68</v>
      </c>
      <c r="H11" s="146" t="n">
        <v>286.99</v>
      </c>
      <c r="I11" s="132"/>
    </row>
    <row r="12" customFormat="false" ht="15" hidden="false" customHeight="true" outlineLevel="0" collapsed="false">
      <c r="A12" s="125" t="s">
        <v>249</v>
      </c>
      <c r="B12" s="123" t="s">
        <v>400</v>
      </c>
      <c r="C12" s="146" t="n">
        <v>309.36</v>
      </c>
      <c r="D12" s="130" t="n">
        <v>612867</v>
      </c>
      <c r="E12" s="147" t="n">
        <v>10234.165248</v>
      </c>
      <c r="F12" s="148" t="n">
        <v>17.537415</v>
      </c>
      <c r="G12" s="146" t="n">
        <v>282</v>
      </c>
      <c r="H12" s="146" t="n">
        <v>442.35</v>
      </c>
      <c r="I12" s="132" t="n">
        <v>2.57</v>
      </c>
    </row>
    <row r="13" customFormat="false" ht="15" hidden="false" customHeight="true" outlineLevel="0" collapsed="false">
      <c r="A13" s="125" t="s">
        <v>128</v>
      </c>
      <c r="B13" s="123" t="s">
        <v>129</v>
      </c>
      <c r="C13" s="146" t="n">
        <v>154.36</v>
      </c>
      <c r="D13" s="130" t="n">
        <v>241093</v>
      </c>
      <c r="E13" s="147"/>
      <c r="F13" s="148" t="n">
        <v>14.888321</v>
      </c>
      <c r="G13" s="146" t="n">
        <v>137.16</v>
      </c>
      <c r="H13" s="146" t="n">
        <v>167.06</v>
      </c>
      <c r="I13" s="132" t="n">
        <v>3.51</v>
      </c>
    </row>
    <row r="14" customFormat="false" ht="15" hidden="false" customHeight="true" outlineLevel="0" collapsed="false">
      <c r="A14" s="125" t="s">
        <v>252</v>
      </c>
      <c r="B14" s="123" t="s">
        <v>379</v>
      </c>
      <c r="C14" s="146" t="n">
        <v>20.41</v>
      </c>
      <c r="D14" s="130" t="n">
        <v>6310471</v>
      </c>
      <c r="E14" s="147" t="n">
        <v>70277.742592</v>
      </c>
      <c r="F14" s="148" t="n">
        <v>13.979451</v>
      </c>
      <c r="G14" s="146" t="n">
        <v>16.18</v>
      </c>
      <c r="H14" s="146" t="n">
        <v>21.84</v>
      </c>
      <c r="I14" s="132" t="n">
        <v>6.56</v>
      </c>
    </row>
    <row r="15" customFormat="false" ht="15" hidden="false" customHeight="true" outlineLevel="0" collapsed="false">
      <c r="A15" s="125" t="s">
        <v>254</v>
      </c>
      <c r="B15" s="123" t="s">
        <v>415</v>
      </c>
      <c r="C15" s="146" t="n">
        <v>429.65</v>
      </c>
      <c r="D15" s="130" t="n">
        <v>1632666</v>
      </c>
      <c r="E15" s="147" t="n">
        <v>166876.053504</v>
      </c>
      <c r="F15" s="148" t="n">
        <v>43.708035</v>
      </c>
      <c r="G15" s="146" t="n">
        <v>311.92</v>
      </c>
      <c r="H15" s="146" t="n">
        <v>478</v>
      </c>
      <c r="I15" s="132" t="n">
        <v>1.02</v>
      </c>
    </row>
    <row r="16" customFormat="false" ht="15" hidden="false" customHeight="true" outlineLevel="0" collapsed="false">
      <c r="A16" s="125" t="s">
        <v>256</v>
      </c>
      <c r="B16" s="123" t="s">
        <v>411</v>
      </c>
      <c r="C16" s="146" t="n">
        <v>76.71</v>
      </c>
      <c r="D16" s="130" t="n">
        <v>2974813</v>
      </c>
      <c r="E16" s="147" t="n">
        <v>7040.577536</v>
      </c>
      <c r="F16" s="148" t="n">
        <v>22.429823</v>
      </c>
      <c r="G16" s="146" t="n">
        <v>44</v>
      </c>
      <c r="H16" s="146" t="n">
        <v>87.974</v>
      </c>
      <c r="I16" s="132"/>
    </row>
    <row r="17" customFormat="false" ht="15" hidden="false" customHeight="true" outlineLevel="0" collapsed="false">
      <c r="A17" s="125" t="s">
        <v>143</v>
      </c>
      <c r="B17" s="123" t="s">
        <v>144</v>
      </c>
      <c r="C17" s="146" t="n">
        <v>308.2</v>
      </c>
      <c r="D17" s="130" t="n">
        <v>2947220</v>
      </c>
      <c r="E17" s="147" t="n">
        <v>319776.784384</v>
      </c>
      <c r="F17" s="148" t="n">
        <v>36.34434</v>
      </c>
      <c r="G17" s="146" t="n">
        <v>268.91</v>
      </c>
      <c r="H17" s="146" t="n">
        <v>388.84</v>
      </c>
      <c r="I17" s="132" t="n">
        <v>0.61</v>
      </c>
    </row>
    <row r="18" customFormat="false" ht="15" hidden="false" customHeight="true" outlineLevel="0" collapsed="false">
      <c r="A18" s="125" t="s">
        <v>169</v>
      </c>
      <c r="B18" s="123" t="s">
        <v>170</v>
      </c>
      <c r="C18" s="146" t="n">
        <v>69.97</v>
      </c>
      <c r="D18" s="130" t="n">
        <v>301323</v>
      </c>
      <c r="E18" s="147"/>
      <c r="F18" s="148" t="n">
        <v>24.034523</v>
      </c>
      <c r="G18" s="146" t="n">
        <v>63.24</v>
      </c>
      <c r="H18" s="146" t="n">
        <v>70.23</v>
      </c>
      <c r="I18" s="132" t="n">
        <v>0.57</v>
      </c>
    </row>
    <row r="19" customFormat="false" ht="15" hidden="false" customHeight="true" outlineLevel="0" collapsed="false">
      <c r="A19" s="125" t="s">
        <v>195</v>
      </c>
      <c r="B19" s="123" t="s">
        <v>196</v>
      </c>
      <c r="C19" s="146" t="n">
        <v>56.77</v>
      </c>
      <c r="D19" s="130" t="n">
        <v>3335798</v>
      </c>
      <c r="E19" s="147"/>
      <c r="F19" s="148" t="n">
        <v>24.62999</v>
      </c>
      <c r="G19" s="146" t="n">
        <v>55.1</v>
      </c>
      <c r="H19" s="146" t="n">
        <v>59.9</v>
      </c>
      <c r="I19" s="132" t="n">
        <v>8.16</v>
      </c>
    </row>
    <row r="20" customFormat="false" ht="15" hidden="false" customHeight="true" outlineLevel="0" collapsed="false">
      <c r="A20" s="125" t="s">
        <v>159</v>
      </c>
      <c r="B20" s="123" t="s">
        <v>160</v>
      </c>
      <c r="C20" s="146" t="n">
        <v>61.09</v>
      </c>
      <c r="D20" s="130" t="n">
        <v>3617727</v>
      </c>
      <c r="E20" s="147" t="n">
        <v>225986.3</v>
      </c>
      <c r="F20" s="148" t="n">
        <v>28.11519</v>
      </c>
      <c r="G20" s="146" t="n">
        <v>53.51</v>
      </c>
      <c r="H20" s="146" t="n">
        <v>61.72</v>
      </c>
      <c r="I20" s="132" t="n">
        <v>11.05</v>
      </c>
    </row>
    <row r="21" customFormat="false" ht="15" hidden="false" customHeight="true" outlineLevel="0" collapsed="false">
      <c r="A21" s="125" t="s">
        <v>285</v>
      </c>
      <c r="B21" s="123" t="s">
        <v>419</v>
      </c>
      <c r="C21" s="146" t="n">
        <v>53.47</v>
      </c>
      <c r="D21" s="130" t="n">
        <v>823110</v>
      </c>
      <c r="E21" s="147" t="n">
        <v>5406.032896</v>
      </c>
      <c r="F21" s="148" t="n">
        <v>62.17442</v>
      </c>
      <c r="G21" s="146" t="n">
        <v>32.55</v>
      </c>
      <c r="H21" s="146" t="n">
        <v>77.68</v>
      </c>
      <c r="I21" s="132" t="n">
        <v>3.67</v>
      </c>
    </row>
    <row r="22" customFormat="false" ht="15" hidden="false" customHeight="true" outlineLevel="0" collapsed="false">
      <c r="A22" s="125" t="s">
        <v>107</v>
      </c>
      <c r="B22" s="123" t="s">
        <v>108</v>
      </c>
      <c r="C22" s="146" t="n">
        <v>195.57</v>
      </c>
      <c r="D22" s="130" t="n">
        <v>5293176</v>
      </c>
      <c r="E22" s="147" t="n">
        <v>255220.1216</v>
      </c>
      <c r="F22" s="148" t="n">
        <v>53.434425</v>
      </c>
      <c r="G22" s="146" t="n">
        <v>99.855</v>
      </c>
      <c r="H22" s="146" t="n">
        <v>307.37</v>
      </c>
      <c r="I22" s="132" t="n">
        <v>0.47</v>
      </c>
    </row>
    <row r="23" customFormat="false" ht="15" hidden="false" customHeight="true" outlineLevel="0" collapsed="false">
      <c r="A23" s="125" t="s">
        <v>262</v>
      </c>
      <c r="B23" s="123" t="s">
        <v>389</v>
      </c>
      <c r="C23" s="146" t="n">
        <v>483.73</v>
      </c>
      <c r="D23" s="130" t="n">
        <v>1576874</v>
      </c>
      <c r="E23" s="147" t="n">
        <v>222989.942784</v>
      </c>
      <c r="F23" s="148" t="n">
        <v>31.228537</v>
      </c>
      <c r="G23" s="146" t="n">
        <v>387.78</v>
      </c>
      <c r="H23" s="146" t="n">
        <v>548.2</v>
      </c>
      <c r="I23" s="132" t="n">
        <v>1.32</v>
      </c>
    </row>
    <row r="24" customFormat="false" ht="15" hidden="false" customHeight="true" outlineLevel="0" collapsed="false">
      <c r="A24" s="125" t="s">
        <v>138</v>
      </c>
      <c r="B24" s="123" t="s">
        <v>139</v>
      </c>
      <c r="C24" s="146" t="n">
        <v>52.08</v>
      </c>
      <c r="D24" s="130" t="n">
        <v>365317</v>
      </c>
      <c r="E24" s="147"/>
      <c r="F24" s="148" t="n">
        <v>18.460522</v>
      </c>
      <c r="G24" s="146" t="n">
        <v>49.15</v>
      </c>
      <c r="H24" s="146" t="n">
        <v>58.47</v>
      </c>
      <c r="I24" s="132"/>
    </row>
    <row r="25" customFormat="false" ht="15" hidden="false" customHeight="true" outlineLevel="0" collapsed="false">
      <c r="A25" s="125" t="s">
        <v>109</v>
      </c>
      <c r="B25" s="123" t="s">
        <v>110</v>
      </c>
      <c r="C25" s="146" t="n">
        <v>1029</v>
      </c>
      <c r="D25" s="130" t="n">
        <v>19765706</v>
      </c>
      <c r="E25" s="147" t="n">
        <v>1164234.457088</v>
      </c>
      <c r="F25" s="148" t="n">
        <v>13.84367</v>
      </c>
      <c r="G25" s="146" t="n">
        <v>186.25</v>
      </c>
      <c r="H25" s="146" t="n">
        <v>1255</v>
      </c>
      <c r="I25" s="132" t="n">
        <v>0.06</v>
      </c>
    </row>
    <row r="26" customFormat="false" ht="15" hidden="false" customHeight="true" outlineLevel="0" collapsed="false">
      <c r="A26" s="125" t="s">
        <v>146</v>
      </c>
      <c r="B26" s="123" t="s">
        <v>147</v>
      </c>
      <c r="C26" s="146" t="n">
        <v>70.3</v>
      </c>
      <c r="D26" s="130" t="n">
        <v>29022504</v>
      </c>
      <c r="E26" s="147" t="n">
        <v>292724.965376</v>
      </c>
      <c r="F26" s="148" t="n">
        <v>22.106918</v>
      </c>
      <c r="G26" s="146" t="n">
        <v>65.08</v>
      </c>
      <c r="H26" s="146" t="n">
        <v>124.86</v>
      </c>
      <c r="I26" s="132"/>
    </row>
    <row r="27" customFormat="false" ht="15" hidden="false" customHeight="true" outlineLevel="0" collapsed="false">
      <c r="A27" s="125" t="s">
        <v>111</v>
      </c>
      <c r="B27" s="123" t="s">
        <v>112</v>
      </c>
      <c r="C27" s="146" t="n">
        <v>229.28</v>
      </c>
      <c r="D27" s="130" t="n">
        <v>84307452</v>
      </c>
      <c r="E27" s="147" t="n">
        <v>5536424.132608</v>
      </c>
      <c r="F27" s="148" t="n">
        <v>28.986094</v>
      </c>
      <c r="G27" s="146" t="n">
        <v>164.27</v>
      </c>
      <c r="H27" s="146" t="n">
        <v>243.37</v>
      </c>
      <c r="I27" s="132" t="n">
        <v>0.44</v>
      </c>
    </row>
    <row r="28" customFormat="false" ht="15" hidden="false" customHeight="true" outlineLevel="0" collapsed="false">
      <c r="A28" s="125" t="s">
        <v>273</v>
      </c>
      <c r="B28" s="123" t="s">
        <v>397</v>
      </c>
      <c r="C28" s="146" t="n">
        <v>151.23</v>
      </c>
      <c r="D28" s="130" t="n">
        <v>6145400</v>
      </c>
      <c r="E28" s="147" t="n">
        <v>351257.72288</v>
      </c>
      <c r="F28" s="148" t="n">
        <v>22.84441</v>
      </c>
      <c r="G28" s="146" t="n">
        <v>137.62</v>
      </c>
      <c r="H28" s="146" t="n">
        <v>167.25</v>
      </c>
      <c r="I28" s="132" t="n">
        <v>2.88</v>
      </c>
    </row>
    <row r="29" customFormat="false" ht="15" hidden="false" customHeight="true" outlineLevel="0" collapsed="false">
      <c r="A29" s="125" t="s">
        <v>275</v>
      </c>
      <c r="B29" s="123" t="s">
        <v>413</v>
      </c>
      <c r="C29" s="146" t="n">
        <v>962.56</v>
      </c>
      <c r="D29" s="130" t="n">
        <v>354579</v>
      </c>
      <c r="E29" s="147" t="n">
        <v>121390.768128</v>
      </c>
      <c r="F29" s="148" t="n">
        <v>33.797752</v>
      </c>
      <c r="G29" s="146" t="n">
        <v>717.02</v>
      </c>
      <c r="H29" s="146" t="n">
        <v>1099.94</v>
      </c>
      <c r="I29" s="132" t="n">
        <v>0.83</v>
      </c>
    </row>
    <row r="30" customFormat="false" ht="15" hidden="false" customHeight="true" outlineLevel="0" collapsed="false">
      <c r="A30" s="125" t="s">
        <v>177</v>
      </c>
      <c r="B30" s="123" t="s">
        <v>355</v>
      </c>
      <c r="C30" s="146" t="n">
        <v>129.49</v>
      </c>
      <c r="D30" s="130" t="n">
        <v>3310448</v>
      </c>
      <c r="E30" s="147" t="n">
        <v>125876.117504</v>
      </c>
      <c r="F30" s="148" t="n">
        <v>28.775557</v>
      </c>
      <c r="G30" s="146" t="n">
        <v>111.38</v>
      </c>
      <c r="H30" s="146" t="n">
        <v>153.35</v>
      </c>
      <c r="I30" s="132" t="n">
        <v>3.31</v>
      </c>
    </row>
    <row r="31" customFormat="false" ht="15" hidden="false" customHeight="true" outlineLevel="0" collapsed="false">
      <c r="A31" s="125" t="s">
        <v>113</v>
      </c>
      <c r="B31" s="123" t="s">
        <v>114</v>
      </c>
      <c r="C31" s="146" t="n">
        <v>209.05</v>
      </c>
      <c r="D31" s="130" t="n">
        <v>37389859</v>
      </c>
      <c r="E31" s="147" t="n">
        <v>502359.359488</v>
      </c>
      <c r="F31" s="148" t="n">
        <v>180.21553</v>
      </c>
      <c r="G31" s="146" t="n">
        <v>106.37</v>
      </c>
      <c r="H31" s="146" t="n">
        <v>209.58</v>
      </c>
      <c r="I31" s="132"/>
    </row>
    <row r="32" customFormat="false" ht="15" hidden="false" customHeight="true" outlineLevel="0" collapsed="false">
      <c r="A32" s="125" t="s">
        <v>134</v>
      </c>
      <c r="B32" s="123" t="s">
        <v>135</v>
      </c>
      <c r="C32" s="146" t="n">
        <v>33.04</v>
      </c>
      <c r="D32" s="130" t="n">
        <v>17747145</v>
      </c>
      <c r="E32" s="147"/>
      <c r="F32" s="148" t="n">
        <v>18.456802</v>
      </c>
      <c r="G32" s="146" t="n">
        <v>26.32</v>
      </c>
      <c r="H32" s="146" t="n">
        <v>35.31</v>
      </c>
      <c r="I32" s="132" t="n">
        <v>3.24</v>
      </c>
    </row>
    <row r="33" customFormat="false" ht="15" hidden="false" customHeight="true" outlineLevel="0" collapsed="false">
      <c r="A33" s="125" t="s">
        <v>289</v>
      </c>
      <c r="B33" s="123" t="s">
        <v>422</v>
      </c>
      <c r="C33" s="146" t="n">
        <v>48.95</v>
      </c>
      <c r="D33" s="130" t="n">
        <v>7578625</v>
      </c>
      <c r="E33" s="147" t="n">
        <v>72648.810496</v>
      </c>
      <c r="F33" s="148" t="n">
        <v>23.647345</v>
      </c>
      <c r="G33" s="146" t="n">
        <v>31.64</v>
      </c>
      <c r="H33" s="146" t="n">
        <v>60.46</v>
      </c>
      <c r="I33" s="132" t="n">
        <v>2.41</v>
      </c>
    </row>
    <row r="34" customFormat="false" ht="15" hidden="false" customHeight="true" outlineLevel="0" collapsed="false">
      <c r="A34" s="125" t="s">
        <v>140</v>
      </c>
      <c r="B34" s="123" t="s">
        <v>141</v>
      </c>
      <c r="C34" s="146" t="n">
        <v>151.16</v>
      </c>
      <c r="D34" s="130" t="n">
        <v>1336750</v>
      </c>
      <c r="E34" s="147" t="n">
        <v>100824.6</v>
      </c>
      <c r="F34" s="148" t="n">
        <v>24.583378</v>
      </c>
      <c r="G34" s="146" t="n">
        <v>107.24</v>
      </c>
      <c r="H34" s="146" t="n">
        <v>162.3</v>
      </c>
      <c r="I34" s="132" t="n">
        <v>0.73</v>
      </c>
    </row>
    <row r="35" customFormat="false" ht="15" hidden="false" customHeight="true" outlineLevel="0" collapsed="false">
      <c r="A35" s="125" t="s">
        <v>115</v>
      </c>
      <c r="B35" s="123" t="s">
        <v>366</v>
      </c>
      <c r="C35" s="146" t="n">
        <v>453.31</v>
      </c>
      <c r="D35" s="130" t="n">
        <v>9207499</v>
      </c>
      <c r="E35" s="147" t="n">
        <v>2351080.40704</v>
      </c>
      <c r="F35" s="148" t="n">
        <v>32.94404</v>
      </c>
      <c r="G35" s="146" t="n">
        <v>266.82</v>
      </c>
      <c r="H35" s="146" t="n">
        <v>487.47</v>
      </c>
      <c r="I35" s="132" t="n">
        <v>0.83</v>
      </c>
    </row>
    <row r="36" customFormat="false" ht="15" hidden="false" customHeight="true" outlineLevel="0" collapsed="false">
      <c r="A36" s="125" t="s">
        <v>119</v>
      </c>
      <c r="B36" s="123" t="s">
        <v>120</v>
      </c>
      <c r="C36" s="146" t="n">
        <v>385.45</v>
      </c>
      <c r="D36" s="130" t="n">
        <v>5826430</v>
      </c>
      <c r="E36" s="147" t="n">
        <v>723626.622976</v>
      </c>
      <c r="F36" s="148" t="n">
        <v>32.804256</v>
      </c>
      <c r="G36" s="146" t="n">
        <v>293.89</v>
      </c>
      <c r="H36" s="146" t="n">
        <v>386.84</v>
      </c>
      <c r="I36" s="132" t="n">
        <v>0.7</v>
      </c>
    </row>
    <row r="37" customFormat="false" ht="15" hidden="false" customHeight="true" outlineLevel="0" collapsed="false">
      <c r="A37" s="125" t="s">
        <v>149</v>
      </c>
      <c r="B37" s="123" t="s">
        <v>423</v>
      </c>
      <c r="C37" s="146" t="n">
        <v>296.13</v>
      </c>
      <c r="D37" s="130" t="n">
        <v>1846000</v>
      </c>
      <c r="E37" s="147" t="n">
        <v>47946.067968</v>
      </c>
      <c r="F37" s="148" t="n">
        <v>48.545902</v>
      </c>
      <c r="G37" s="146" t="n">
        <v>148.05</v>
      </c>
      <c r="H37" s="146" t="n">
        <v>302.17</v>
      </c>
      <c r="I37" s="132"/>
    </row>
    <row r="38" customFormat="false" ht="15" hidden="false" customHeight="true" outlineLevel="0" collapsed="false">
      <c r="A38" s="125" t="s">
        <v>131</v>
      </c>
      <c r="B38" s="123" t="s">
        <v>132</v>
      </c>
      <c r="C38" s="146" t="n">
        <v>52.84</v>
      </c>
      <c r="D38" s="130" t="n">
        <v>1592293</v>
      </c>
      <c r="E38" s="147"/>
      <c r="F38" s="148" t="n">
        <v>16.372257</v>
      </c>
      <c r="G38" s="146" t="n">
        <v>36.61</v>
      </c>
      <c r="H38" s="146" t="n">
        <v>56.44</v>
      </c>
      <c r="I38" s="132" t="n">
        <v>1.02</v>
      </c>
    </row>
    <row r="39" customFormat="false" ht="15" hidden="false" customHeight="true" outlineLevel="0" collapsed="false">
      <c r="A39" s="125" t="s">
        <v>117</v>
      </c>
      <c r="B39" s="123" t="s">
        <v>118</v>
      </c>
      <c r="C39" s="146" t="n">
        <v>242.78</v>
      </c>
      <c r="D39" s="130" t="n">
        <v>3419680</v>
      </c>
      <c r="E39" s="147" t="n">
        <v>93467.426816</v>
      </c>
      <c r="F39" s="148" t="n">
        <v>54.9276</v>
      </c>
      <c r="G39" s="146" t="n">
        <v>147.82</v>
      </c>
      <c r="H39" s="146" t="n">
        <v>379.935</v>
      </c>
      <c r="I39" s="132" t="n">
        <v>0.1</v>
      </c>
    </row>
    <row r="40" customFormat="false" ht="15" hidden="false" customHeight="true" outlineLevel="0" collapsed="false">
      <c r="A40" s="125" t="s">
        <v>174</v>
      </c>
      <c r="B40" s="123" t="s">
        <v>175</v>
      </c>
      <c r="C40" s="146" t="n">
        <v>510.08</v>
      </c>
      <c r="D40" s="130" t="n">
        <v>1469287</v>
      </c>
      <c r="E40" s="147" t="n">
        <v>129285.349376</v>
      </c>
      <c r="F40" s="148" t="n">
        <v>29.707628</v>
      </c>
      <c r="G40" s="146" t="n">
        <v>402.58</v>
      </c>
      <c r="H40" s="146" t="n">
        <v>560.25</v>
      </c>
      <c r="I40" s="132"/>
    </row>
    <row r="41" customFormat="false" ht="15" hidden="false" customHeight="true" outlineLevel="0" collapsed="false">
      <c r="A41" s="125" t="s">
        <v>136</v>
      </c>
      <c r="B41" s="123" t="s">
        <v>137</v>
      </c>
      <c r="C41" s="146" t="n">
        <v>158.75</v>
      </c>
      <c r="D41" s="130" t="n">
        <v>935798</v>
      </c>
      <c r="E41" s="147"/>
      <c r="F41" s="148" t="n">
        <v>19.941454</v>
      </c>
      <c r="G41" s="146" t="n">
        <v>138.27</v>
      </c>
      <c r="H41" s="146" t="n">
        <v>167.61</v>
      </c>
      <c r="I41" s="132" t="n">
        <v>2.37</v>
      </c>
    </row>
    <row r="42" customFormat="false" ht="15" hidden="false" customHeight="true" outlineLevel="0" collapsed="false">
      <c r="A42" s="125" t="s">
        <v>283</v>
      </c>
      <c r="B42" s="123" t="s">
        <v>402</v>
      </c>
      <c r="C42" s="146" t="n">
        <v>144.82</v>
      </c>
      <c r="D42" s="130" t="n">
        <v>3138484</v>
      </c>
      <c r="E42" s="147" t="n">
        <v>39521.538048</v>
      </c>
      <c r="F42" s="148" t="n">
        <v>18.01244</v>
      </c>
      <c r="G42" s="146" t="n">
        <v>134.26</v>
      </c>
      <c r="H42" s="146" t="n">
        <v>170.14</v>
      </c>
      <c r="I42" s="132" t="n">
        <v>2.07</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63"/>
  <sheetViews>
    <sheetView showFormulas="false" showGridLines="false" showRowColHeaders="true" showZeros="true" rightToLeft="false" tabSelected="false" showOutlineSymbols="true" defaultGridColor="true" view="normal" topLeftCell="A194" colorId="64" zoomScale="100" zoomScaleNormal="100" zoomScalePageLayoutView="100" workbookViewId="0">
      <selection pane="topLeft" activeCell="L25" activeCellId="0" sqref="L25"/>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7" min="42" style="1" width="4.16"/>
  </cols>
  <sheetData>
    <row r="1" customFormat="false" ht="27" hidden="false" customHeight="true" outlineLevel="0" collapsed="false">
      <c r="A1" s="149" t="s">
        <v>451</v>
      </c>
      <c r="B1" s="149"/>
      <c r="C1" s="149"/>
      <c r="D1" s="149"/>
      <c r="E1" s="149"/>
      <c r="F1" s="149"/>
      <c r="G1" s="149"/>
      <c r="H1" s="149"/>
      <c r="I1" s="149"/>
      <c r="J1" s="149"/>
      <c r="K1" s="149"/>
      <c r="L1" s="149"/>
      <c r="M1" s="149"/>
      <c r="N1" s="149"/>
      <c r="O1" s="149"/>
      <c r="P1" s="149"/>
      <c r="Q1" s="149"/>
      <c r="R1" s="149"/>
      <c r="S1" s="149"/>
      <c r="T1" s="149"/>
      <c r="U1" s="149"/>
    </row>
    <row r="2" customFormat="false" ht="15" hidden="false" customHeight="true" outlineLevel="0" collapsed="false">
      <c r="A2" s="121" t="s">
        <v>294</v>
      </c>
      <c r="B2" s="121" t="str">
        <f aca="false">'Price History'!B2</f>
        <v>ADBE</v>
      </c>
      <c r="C2" s="121" t="str">
        <f aca="false">'Price History'!C2</f>
        <v>ANET</v>
      </c>
      <c r="D2" s="121" t="str">
        <f aca="false">'Price History'!D2</f>
        <v>ASML</v>
      </c>
      <c r="E2" s="121" t="str">
        <f aca="false">'Price History'!E2</f>
        <v>AVGO</v>
      </c>
      <c r="F2" s="121" t="str">
        <f aca="false">'Price History'!F2</f>
        <v>CRWD</v>
      </c>
      <c r="G2" s="121" t="str">
        <f aca="false">'Price History'!G2</f>
        <v>KLAC</v>
      </c>
      <c r="H2" s="121" t="str">
        <f aca="false">'Price History'!H2</f>
        <v>MU</v>
      </c>
      <c r="I2" s="121" t="str">
        <f aca="false">'Price History'!I2</f>
        <v>NVDA</v>
      </c>
      <c r="J2" s="121" t="str">
        <f aca="false">'Price History'!J2</f>
        <v>PLD</v>
      </c>
      <c r="K2" s="121" t="str">
        <f aca="false">'Price History'!K2</f>
        <v>PLTR</v>
      </c>
      <c r="L2" s="121" t="str">
        <f aca="false">'Price History'!L2</f>
        <v>TSM</v>
      </c>
      <c r="M2" s="121" t="str">
        <f aca="false">'Price History'!M2</f>
        <v>VRT</v>
      </c>
      <c r="N2" s="121" t="str">
        <f aca="false">'Price History'!N2</f>
        <v>VRTX</v>
      </c>
      <c r="O2" s="121" t="str">
        <f aca="false">'Price History'!O2</f>
        <v>AVUV</v>
      </c>
      <c r="P2" s="121" t="str">
        <f aca="false">'Price History'!P2</f>
        <v>DVY</v>
      </c>
      <c r="Q2" s="121" t="str">
        <f aca="false">'Price History'!Q2</f>
        <v>HELO</v>
      </c>
      <c r="R2" s="121" t="str">
        <f aca="false">'Price History'!R2</f>
        <v>JEPQ</v>
      </c>
      <c r="S2" s="121" t="str">
        <f aca="false">'Price History'!S2</f>
        <v>SPMO</v>
      </c>
      <c r="T2" s="121" t="str">
        <f aca="false">'Price History'!T2</f>
        <v>VFLO</v>
      </c>
      <c r="U2" s="121" t="str">
        <f aca="false">'Price History'!U2</f>
        <v>SCHD</v>
      </c>
      <c r="V2" s="150" t="str">
        <f aca="false">'Price History'!V2</f>
        <v>V</v>
      </c>
      <c r="W2" s="151" t="s">
        <v>452</v>
      </c>
      <c r="X2" s="151" t="s">
        <v>453</v>
      </c>
      <c r="Y2" s="151" t="s">
        <v>454</v>
      </c>
      <c r="Z2" s="151" t="s">
        <v>455</v>
      </c>
      <c r="AA2" s="151" t="s">
        <v>456</v>
      </c>
      <c r="AB2" s="151" t="s">
        <v>457</v>
      </c>
      <c r="AC2" s="151" t="s">
        <v>458</v>
      </c>
      <c r="AD2" s="151" t="s">
        <v>459</v>
      </c>
      <c r="AE2" s="151" t="s">
        <v>460</v>
      </c>
      <c r="AF2" s="151" t="s">
        <v>461</v>
      </c>
      <c r="AG2" s="151" t="s">
        <v>462</v>
      </c>
      <c r="AH2" s="151" t="s">
        <v>463</v>
      </c>
      <c r="AI2" s="151" t="s">
        <v>464</v>
      </c>
      <c r="AJ2" s="151" t="s">
        <v>465</v>
      </c>
      <c r="AK2" s="151" t="s">
        <v>466</v>
      </c>
      <c r="AL2" s="151" t="s">
        <v>467</v>
      </c>
      <c r="AM2" s="151" t="s">
        <v>468</v>
      </c>
      <c r="AN2" s="151" t="s">
        <v>469</v>
      </c>
      <c r="AO2" s="150" t="s">
        <v>470</v>
      </c>
      <c r="AP2" s="150" t="str">
        <f aca="false">'Price History'!W2</f>
        <v>VYM</v>
      </c>
      <c r="AQ2" s="150" t="str">
        <f aca="false">'Price History'!X2</f>
        <v>MLPI</v>
      </c>
      <c r="AR2" s="150" t="str">
        <f aca="false">'Price History'!Y2</f>
        <v>JEPI</v>
      </c>
      <c r="AS2" s="150" t="str">
        <f aca="false">'Price History'!Z2</f>
        <v>GE</v>
      </c>
      <c r="AT2" s="150" t="str">
        <f aca="false">'Price History'!AA2</f>
        <v>NFLX</v>
      </c>
      <c r="AU2" s="150" t="str">
        <f aca="false">'Price History'!AB2</f>
        <v>VEEV</v>
      </c>
    </row>
    <row r="3" customFormat="false" ht="15" hidden="false" customHeight="true" outlineLevel="0" collapsed="false">
      <c r="A3" s="152" t="n">
        <f aca="false">IF('Price History'!A4="","",'Price History'!A4)</f>
        <v>45191</v>
      </c>
      <c r="B3" s="153" t="n">
        <f aca="false">IFERROR(IF(OR(NOT(ISNUMBER('Price History'!B4)),NOT(ISNUMBER('Price History'!B3)),'Price History'!B3=0),"",'Price History'!B4/'Price History'!B3-1),"")</f>
        <v>-0.0302331297623325</v>
      </c>
      <c r="C3" s="153" t="n">
        <f aca="false">IFERROR(IF(OR(NOT(ISNUMBER('Price History'!C4)),NOT(ISNUMBER('Price History'!C3)),'Price History'!C3=0),"",'Price History'!C4/'Price History'!C3-1),"")</f>
        <v>-0.0238198354265916</v>
      </c>
      <c r="D3" s="153" t="n">
        <f aca="false">IFERROR(IF(OR(NOT(ISNUMBER('Price History'!D4)),NOT(ISNUMBER('Price History'!D3)),'Price History'!D3=0),"",'Price History'!D4/'Price History'!D3-1),"")</f>
        <v>-0.016013470558925</v>
      </c>
      <c r="E3" s="153" t="n">
        <f aca="false">IFERROR(IF(OR(NOT(ISNUMBER('Price History'!E4)),NOT(ISNUMBER('Price History'!E3)),'Price History'!E3=0),"",'Price History'!E4/'Price History'!E3-1),"")</f>
        <v>-0.0212195121951219</v>
      </c>
      <c r="F3" s="153" t="n">
        <f aca="false">IFERROR(IF(OR(NOT(ISNUMBER('Price History'!F4)),NOT(ISNUMBER('Price History'!F3)),'Price History'!F3=0),"",'Price History'!F4/'Price History'!F3-1),"")</f>
        <v>-0.0174081237911025</v>
      </c>
      <c r="G3" s="153" t="n">
        <f aca="false">IFERROR(IF(OR(NOT(ISNUMBER('Price History'!G4)),NOT(ISNUMBER('Price History'!G3)),'Price History'!G3=0),"",'Price History'!G4/'Price History'!G3-1),"")</f>
        <v>-0.00518602029312298</v>
      </c>
      <c r="H3" s="153" t="n">
        <f aca="false">IFERROR(IF(OR(NOT(ISNUMBER('Price History'!H4)),NOT(ISNUMBER('Price History'!H3)),'Price History'!H3=0),"",'Price History'!H4/'Price History'!H3-1),"")</f>
        <v>-0.0143249891477354</v>
      </c>
      <c r="I3" s="153" t="n">
        <f aca="false">IFERROR(IF(OR(NOT(ISNUMBER('Price History'!I4)),NOT(ISNUMBER('Price History'!I3)),'Price History'!I3=0),"",'Price History'!I4/'Price History'!I3-1),"")</f>
        <v>-0.0520904729266621</v>
      </c>
      <c r="J3" s="153" t="n">
        <f aca="false">IFERROR(IF(OR(NOT(ISNUMBER('Price History'!J4)),NOT(ISNUMBER('Price History'!J3)),'Price History'!J3=0),"",'Price History'!J4/'Price History'!J3-1),"")</f>
        <v>-0.073944921316166</v>
      </c>
      <c r="K3" s="153" t="n">
        <f aca="false">IFERROR(IF(OR(NOT(ISNUMBER('Price History'!K4)),NOT(ISNUMBER('Price History'!K3)),'Price History'!K3=0),"",'Price History'!K4/'Price History'!K3-1),"")</f>
        <v>-0.0782778864970646</v>
      </c>
      <c r="L3" s="153" t="n">
        <f aca="false">IFERROR(IF(OR(NOT(ISNUMBER('Price History'!L4)),NOT(ISNUMBER('Price History'!L3)),'Price History'!L3=0),"",'Price History'!L4/'Price History'!L3-1),"")</f>
        <v>-0.040466472303207</v>
      </c>
      <c r="M3" s="153" t="n">
        <f aca="false">IFERROR(IF(OR(NOT(ISNUMBER('Price History'!M4)),NOT(ISNUMBER('Price History'!M3)),'Price History'!M3=0),"",'Price History'!M4/'Price History'!M3-1),"")</f>
        <v>-0.0449763282482903</v>
      </c>
      <c r="N3" s="153" t="n">
        <f aca="false">IFERROR(IF(OR(NOT(ISNUMBER('Price History'!N4)),NOT(ISNUMBER('Price History'!N3)),'Price History'!N3=0),"",'Price History'!N4/'Price History'!N3-1),"")</f>
        <v>0.00180567497850381</v>
      </c>
      <c r="O3" s="153" t="n">
        <f aca="false">IFERROR(IF(OR(NOT(ISNUMBER('Price History'!O4)),NOT(ISNUMBER('Price History'!O3)),'Price History'!O3=0),"",'Price History'!O4/'Price History'!O3-1),"")</f>
        <v>-0.0292125879697251</v>
      </c>
      <c r="P3" s="153" t="n">
        <f aca="false">IFERROR(IF(OR(NOT(ISNUMBER('Price History'!P4)),NOT(ISNUMBER('Price History'!P3)),'Price History'!P3=0),"",'Price History'!P4/'Price History'!P3-1),"")</f>
        <v>-0.021373894025251</v>
      </c>
      <c r="Q3" s="153" t="str">
        <f aca="false">IFERROR(IF(OR(NOT(ISNUMBER('Price History'!Q4)),NOT(ISNUMBER('Price History'!Q3)),'Price History'!Q3=0),"",'Price History'!Q4/'Price History'!Q3-1),"")</f>
        <v/>
      </c>
      <c r="R3" s="153" t="n">
        <f aca="false">IFERROR(IF(OR(NOT(ISNUMBER('Price History'!R4)),NOT(ISNUMBER('Price History'!R3)),'Price History'!R3=0),"",'Price History'!R4/'Price History'!R3-1),"")</f>
        <v>-0.0269721577726219</v>
      </c>
      <c r="S3" s="153" t="n">
        <f aca="false">IFERROR(IF(OR(NOT(ISNUMBER('Price History'!S4)),NOT(ISNUMBER('Price History'!S3)),'Price History'!S3=0),"",'Price History'!S4/'Price History'!S3-1),"")</f>
        <v>-0.0242929030019088</v>
      </c>
      <c r="T3" s="153" t="n">
        <f aca="false">IFERROR(IF(OR(NOT(ISNUMBER('Price History'!T4)),NOT(ISNUMBER('Price History'!T3)),'Price History'!T3=0),"",'Price History'!T4/'Price History'!T3-1),"")</f>
        <v>-0.0146883684001589</v>
      </c>
      <c r="U3" s="153" t="n">
        <f aca="false">IFERROR(IF(OR(NOT(ISNUMBER('Price History'!U4)),NOT(ISNUMBER('Price History'!U3)),'Price History'!U3=0),"",'Price History'!U4/'Price History'!U3-1),"")</f>
        <v>-0.0229357798165137</v>
      </c>
      <c r="V3" s="154" t="n">
        <f aca="false">IFERROR(IF(OR(NOT(ISNUMBER('Price History'!V4)),NOT(ISNUMBER('Price History'!V3)),'Price History'!V3=0),"",'Price History'!V4/'Price History'!V3-1),"")</f>
        <v>-0.0248270593727454</v>
      </c>
      <c r="W3" s="155" t="n">
        <f aca="false">IFERROR('Price History'!B3+(INDEX('Price History'!B:B,MATCH(9.99E+307,'Returns (Calc)'!$A:$A)+1)-'Price History'!B3)*(ROW()-3)/(MATCH(9.99E+307,'Returns (Calc)'!$A:$A)-3),"")</f>
        <v>528.89</v>
      </c>
      <c r="X3" s="155" t="n">
        <f aca="false">IFERROR('Price History'!C3+(INDEX('Price History'!C:C,MATCH(9.99E+307,'Returns (Calc)'!$A:$A)+1)-'Price History'!C3)*(ROW()-3)/(MATCH(9.99E+307,'Returns (Calc)'!$A:$A)-3),"")</f>
        <v>46.18</v>
      </c>
      <c r="Y3" s="155" t="n">
        <f aca="false">IFERROR('Price History'!D3+(INDEX('Price History'!D:D,MATCH(9.99E+307,'Returns (Calc)'!$A:$A)+1)-'Price History'!D3)*(ROW()-3)/(MATCH(9.99E+307,'Returns (Calc)'!$A:$A)-3),"")</f>
        <v>582.01</v>
      </c>
      <c r="Z3" s="155" t="n">
        <f aca="false">IFERROR('Price History'!E3+(INDEX('Price History'!E:E,MATCH(9.99E+307,'Returns (Calc)'!$A:$A)+1)-'Price History'!E3)*(ROW()-3)/(MATCH(9.99E+307,'Returns (Calc)'!$A:$A)-3),"")</f>
        <v>82</v>
      </c>
      <c r="AA3" s="155" t="n">
        <f aca="false">IFERROR('Price History'!F3+(INDEX('Price History'!F:F,MATCH(9.99E+307,'Returns (Calc)'!$A:$A)+1)-'Price History'!F3)*(ROW()-3)/(MATCH(9.99E+307,'Returns (Calc)'!$A:$A)-3),"")</f>
        <v>41.36</v>
      </c>
      <c r="AB3" s="155" t="n">
        <f aca="false">IFERROR('Price History'!G3+(INDEX('Price History'!G:G,MATCH(9.99E+307,'Returns (Calc)'!$A:$A)+1)-'Price History'!G3)*(ROW()-3)/(MATCH(9.99E+307,'Returns (Calc)'!$A:$A)-3),"")</f>
        <v>44.35</v>
      </c>
      <c r="AC3" s="155" t="n">
        <f aca="false">IFERROR('Price History'!H3+(INDEX('Price History'!H:H,MATCH(9.99E+307,'Returns (Calc)'!$A:$A)+1)-'Price History'!H3)*(ROW()-3)/(MATCH(9.99E+307,'Returns (Calc)'!$A:$A)-3),"")</f>
        <v>69.11</v>
      </c>
      <c r="AD3" s="155" t="n">
        <f aca="false">IFERROR('Price History'!I3+(INDEX('Price History'!I:I,MATCH(9.99E+307,'Returns (Calc)'!$A:$A)+1)-'Price History'!I3)*(ROW()-3)/(MATCH(9.99E+307,'Returns (Calc)'!$A:$A)-3),"")</f>
        <v>43.77</v>
      </c>
      <c r="AE3" s="155" t="n">
        <f aca="false">IFERROR('Price History'!J3+(INDEX('Price History'!J:J,MATCH(9.99E+307,'Returns (Calc)'!$A:$A)+1)-'Price History'!J3)*(ROW()-3)/(MATCH(9.99E+307,'Returns (Calc)'!$A:$A)-3),"")</f>
        <v>111.84</v>
      </c>
      <c r="AF3" s="155" t="n">
        <f aca="false">IFERROR('Price History'!K3+(INDEX('Price History'!K:K,MATCH(9.99E+307,'Returns (Calc)'!$A:$A)+1)-'Price History'!K3)*(ROW()-3)/(MATCH(9.99E+307,'Returns (Calc)'!$A:$A)-3),"")</f>
        <v>15.33</v>
      </c>
      <c r="AG3" s="155" t="n">
        <f aca="false">IFERROR('Price History'!L3+(INDEX('Price History'!L:L,MATCH(9.99E+307,'Returns (Calc)'!$A:$A)+1)-'Price History'!L3)*(ROW()-3)/(MATCH(9.99E+307,'Returns (Calc)'!$A:$A)-3),"")</f>
        <v>85.75</v>
      </c>
      <c r="AH3" s="155" t="n">
        <f aca="false">IFERROR('Price History'!M3+(INDEX('Price History'!M:M,MATCH(9.99E+307,'Returns (Calc)'!$A:$A)+1)-'Price History'!M3)*(ROW()-3)/(MATCH(9.99E+307,'Returns (Calc)'!$A:$A)-3),"")</f>
        <v>38.02</v>
      </c>
      <c r="AI3" s="155" t="n">
        <f aca="false">IFERROR('Price History'!N3+(INDEX('Price History'!N:N,MATCH(9.99E+307,'Returns (Calc)'!$A:$A)+1)-'Price History'!N3)*(ROW()-3)/(MATCH(9.99E+307,'Returns (Calc)'!$A:$A)-3),"")</f>
        <v>348.9</v>
      </c>
      <c r="AJ3" s="155" t="n">
        <f aca="false">IFERROR('Price History'!O3+(INDEX('Price History'!O:O,MATCH(9.99E+307,'Returns (Calc)'!$A:$A)+1)-'Price History'!O3)*(ROW()-3)/(MATCH(9.99E+307,'Returns (Calc)'!$A:$A)-3),"")</f>
        <v>75.31</v>
      </c>
      <c r="AK3" s="155" t="n">
        <f aca="false">IFERROR('Price History'!Q3+(INDEX('Price History'!Q:Q,MATCH(9.99E+307,'Returns (Calc)'!$A:$A)+1)-'Price History'!Q3)*(ROW()-3)/(MATCH(9.99E+307,'Returns (Calc)'!$A:$A)-3),"")</f>
        <v>0</v>
      </c>
      <c r="AL3" s="155" t="n">
        <f aca="false">IFERROR('Price History'!R3+(INDEX('Price History'!R:R,MATCH(9.99E+307,'Returns (Calc)'!$A:$A)+1)-'Price History'!R3)*(ROW()-3)/(MATCH(9.99E+307,'Returns (Calc)'!$A:$A)-3),"")</f>
        <v>34.48</v>
      </c>
      <c r="AM3" s="155" t="n">
        <f aca="false">IFERROR('Price History'!S3+(INDEX('Price History'!S:S,MATCH(9.99E+307,'Returns (Calc)'!$A:$A)+1)-'Price History'!S3)*(ROW()-3)/(MATCH(9.99E+307,'Returns (Calc)'!$A:$A)-3),"")</f>
        <v>57.63</v>
      </c>
      <c r="AN3" s="155" t="n">
        <f aca="false">IFERROR('Price History'!T3+(INDEX('Price History'!T:T,MATCH(9.99E+307,'Returns (Calc)'!$A:$A)+1)-'Price History'!T3)*(ROW()-3)/(MATCH(9.99E+307,'Returns (Calc)'!$A:$A)-3),"")</f>
        <v>25.19</v>
      </c>
      <c r="AO3" s="156" t="n">
        <f aca="false">IFERROR('Price History'!V3+(INDEX('Price History'!V:V,MATCH(9.99E+307,'Returns (Calc)'!$A:$A)+1)-'Price History'!V3)*(ROW()-3)/(MATCH(9.99E+307,'Returns (Calc)'!$A:$A)-3),"")</f>
        <v>235.63</v>
      </c>
      <c r="AP3" s="154" t="n">
        <f aca="false">IFERROR(IF(OR(NOT(ISNUMBER('Price History'!W4)),NOT(ISNUMBER('Price History'!W3)),'Price History'!W3=0),"",'Price History'!W4/'Price History'!W3-1),"")</f>
        <v>-0.0218074855462015</v>
      </c>
      <c r="AQ3" s="154" t="str">
        <f aca="false">IFERROR(IF(OR(NOT(ISNUMBER('Price History'!X4)),NOT(ISNUMBER('Price History'!X3)),'Price History'!X3=0),"",'Price History'!X4/'Price History'!X3-1),"")</f>
        <v/>
      </c>
      <c r="AR3" s="154" t="n">
        <f aca="false">IFERROR(IF(OR(NOT(ISNUMBER('Price History'!Y4)),NOT(ISNUMBER('Price History'!Y3)),'Price History'!Y3=0),"",'Price History'!Y4/'Price History'!Y3-1),"")</f>
        <v>-0.0187369882026369</v>
      </c>
      <c r="AS3" s="154" t="n">
        <f aca="false">IFERROR(IF(OR(NOT(ISNUMBER('Price History'!Z4)),NOT(ISNUMBER('Price History'!Z3)),'Price History'!Z3=0),"",'Price History'!Z4/'Price History'!Z3-1),"")</f>
        <v>-0.0366688756350785</v>
      </c>
      <c r="AT3" s="154" t="n">
        <f aca="false">IFERROR(IF(OR(NOT(ISNUMBER('Price History'!AA4)),NOT(ISNUMBER('Price History'!AA3)),'Price History'!AA3=0),"",'Price History'!AA4/'Price History'!AA3-1),"")</f>
        <v>-0.0430839002267573</v>
      </c>
      <c r="AU3" s="154" t="n">
        <f aca="false">IFERROR(IF(OR(NOT(ISNUMBER('Price History'!AB4)),NOT(ISNUMBER('Price History'!AB3)),'Price History'!AB3=0),"",'Price History'!AB4/'Price History'!AB3-1),"")</f>
        <v>-0.0280847806325056</v>
      </c>
    </row>
    <row r="4" customFormat="false" ht="15" hidden="false" customHeight="true" outlineLevel="0" collapsed="false">
      <c r="A4" s="152" t="n">
        <f aca="false">IF('Price History'!A5="","",'Price History'!A5)</f>
        <v>45198</v>
      </c>
      <c r="B4" s="153" t="n">
        <f aca="false">IFERROR(IF(OR(NOT(ISNUMBER('Price History'!B5)),NOT(ISNUMBER('Price History'!B4)),'Price History'!B4=0),"",'Price History'!B5/'Price History'!B4-1),"")</f>
        <v>-0.00584909339052442</v>
      </c>
      <c r="C4" s="153" t="n">
        <f aca="false">IFERROR(IF(OR(NOT(ISNUMBER('Price History'!C5)),NOT(ISNUMBER('Price History'!C4)),'Price History'!C4=0),"",'Price History'!C5/'Price History'!C4-1),"")</f>
        <v>0.0199645075421473</v>
      </c>
      <c r="D4" s="153" t="n">
        <f aca="false">IFERROR(IF(OR(NOT(ISNUMBER('Price History'!D5)),NOT(ISNUMBER('Price History'!D4)),'Price History'!D4=0),"",'Price History'!D5/'Price History'!D4-1),"")</f>
        <v>0.00265414098377836</v>
      </c>
      <c r="E4" s="153" t="n">
        <f aca="false">IFERROR(IF(OR(NOT(ISNUMBER('Price History'!E5)),NOT(ISNUMBER('Price History'!E4)),'Price History'!E4=0),"",'Price History'!E5/'Price History'!E4-1),"")</f>
        <v>0.00186892599053068</v>
      </c>
      <c r="F4" s="153" t="n">
        <f aca="false">IFERROR(IF(OR(NOT(ISNUMBER('Price History'!F5)),NOT(ISNUMBER('Price History'!F4)),'Price History'!F4=0),"",'Price History'!F5/'Price History'!F4-1),"")</f>
        <v>0.0297736220472442</v>
      </c>
      <c r="G4" s="153" t="n">
        <f aca="false">IFERROR(IF(OR(NOT(ISNUMBER('Price History'!G5)),NOT(ISNUMBER('Price History'!G4)),'Price History'!G4=0),"",'Price History'!G5/'Price History'!G4-1),"")</f>
        <v>0.0151858567543064</v>
      </c>
      <c r="H4" s="153" t="n">
        <f aca="false">IFERROR(IF(OR(NOT(ISNUMBER('Price History'!H5)),NOT(ISNUMBER('Price History'!H4)),'Price History'!H4=0),"",'Price History'!H5/'Price History'!H4-1),"")</f>
        <v>-0.0123311802701116</v>
      </c>
      <c r="I4" s="153" t="n">
        <f aca="false">IFERROR(IF(OR(NOT(ISNUMBER('Price History'!I5)),NOT(ISNUMBER('Price History'!I4)),'Price History'!I4=0),"",'Price History'!I5/'Price History'!I4-1),"")</f>
        <v>0.0453121234032297</v>
      </c>
      <c r="J4" s="153" t="n">
        <f aca="false">IFERROR(IF(OR(NOT(ISNUMBER('Price History'!J5)),NOT(ISNUMBER('Price History'!J4)),'Price History'!J4=0),"",'Price History'!J5/'Price History'!J4-1),"")</f>
        <v>-0.0163174664478131</v>
      </c>
      <c r="K4" s="153" t="n">
        <f aca="false">IFERROR(IF(OR(NOT(ISNUMBER('Price History'!K5)),NOT(ISNUMBER('Price History'!K4)),'Price History'!K4=0),"",'Price History'!K5/'Price History'!K4-1),"")</f>
        <v>0.132342533616419</v>
      </c>
      <c r="L4" s="153" t="n">
        <f aca="false">IFERROR(IF(OR(NOT(ISNUMBER('Price History'!L5)),NOT(ISNUMBER('Price History'!L4)),'Price History'!L4=0),"",'Price History'!L5/'Price History'!L4-1),"")</f>
        <v>0.0147058823529411</v>
      </c>
      <c r="M4" s="153" t="n">
        <f aca="false">IFERROR(IF(OR(NOT(ISNUMBER('Price History'!M5)),NOT(ISNUMBER('Price History'!M4)),'Price History'!M4=0),"",'Price History'!M5/'Price History'!M4-1),"")</f>
        <v>0.0206554668135499</v>
      </c>
      <c r="N4" s="153" t="n">
        <f aca="false">IFERROR(IF(OR(NOT(ISNUMBER('Price History'!N5)),NOT(ISNUMBER('Price History'!N4)),'Price History'!N4=0),"",'Price History'!N5/'Price History'!N4-1),"")</f>
        <v>-0.00512116270420271</v>
      </c>
      <c r="O4" s="153" t="n">
        <f aca="false">IFERROR(IF(OR(NOT(ISNUMBER('Price History'!O5)),NOT(ISNUMBER('Price History'!O4)),'Price History'!O4=0),"",'Price History'!O5/'Price History'!O4-1),"")</f>
        <v>0.0164136233073451</v>
      </c>
      <c r="P4" s="153" t="n">
        <f aca="false">IFERROR(IF(OR(NOT(ISNUMBER('Price History'!P5)),NOT(ISNUMBER('Price History'!P4)),'Price History'!P4=0),"",'Price History'!P5/'Price History'!P4-1),"")</f>
        <v>-0.0187931735067045</v>
      </c>
      <c r="Q4" s="153" t="str">
        <f aca="false">IFERROR(IF(OR(NOT(ISNUMBER('Price History'!Q5)),NOT(ISNUMBER('Price History'!Q4)),'Price History'!Q4=0),"",'Price History'!Q5/'Price History'!Q4-1),"")</f>
        <v/>
      </c>
      <c r="R4" s="153" t="n">
        <f aca="false">IFERROR(IF(OR(NOT(ISNUMBER('Price History'!R5)),NOT(ISNUMBER('Price History'!R4)),'Price History'!R4=0),"",'Price History'!R5/'Price History'!R4-1),"")</f>
        <v>0.000596125186289154</v>
      </c>
      <c r="S4" s="153" t="n">
        <f aca="false">IFERROR(IF(OR(NOT(ISNUMBER('Price History'!S5)),NOT(ISNUMBER('Price History'!S4)),'Price History'!S4=0),"",'Price History'!S5/'Price History'!S4-1),"")</f>
        <v>-0.00302329717232785</v>
      </c>
      <c r="T4" s="153" t="n">
        <f aca="false">IFERROR(IF(OR(NOT(ISNUMBER('Price History'!T5)),NOT(ISNUMBER('Price History'!T4)),'Price History'!T4=0),"",'Price History'!T5/'Price History'!T4-1),"")</f>
        <v>0.00282030620467366</v>
      </c>
      <c r="U4" s="153" t="n">
        <f aca="false">IFERROR(IF(OR(NOT(ISNUMBER('Price History'!U5)),NOT(ISNUMBER('Price History'!U4)),'Price History'!U4=0),"",'Price History'!U5/'Price History'!U4-1),"")</f>
        <v>-0.00751173708920183</v>
      </c>
      <c r="V4" s="154" t="n">
        <f aca="false">IFERROR(IF(OR(NOT(ISNUMBER('Price History'!V5)),NOT(ISNUMBER('Price History'!V4)),'Price History'!V4=0),"",'Price History'!V5/'Price History'!V4-1),"")</f>
        <v>-0.0215858647401863</v>
      </c>
      <c r="W4" s="155" t="n">
        <f aca="false">IFERROR('Price History'!B3+(INDEX('Price History'!B:B,MATCH(9.99E+307,'Returns (Calc)'!$A:$A)+1)-'Price History'!B3)*(ROW()-3)/(MATCH(9.99E+307,'Returns (Calc)'!$A:$A)-3),"")</f>
        <v>527.087358490566</v>
      </c>
      <c r="X4" s="155" t="n">
        <f aca="false">IFERROR('Price History'!C3+(INDEX('Price History'!C:C,MATCH(9.99E+307,'Returns (Calc)'!$A:$A)+1)-'Price History'!C3)*(ROW()-3)/(MATCH(9.99E+307,'Returns (Calc)'!$A:$A)-3),"")</f>
        <v>47.2527044025157</v>
      </c>
      <c r="Y4" s="155" t="n">
        <f aca="false">IFERROR('Price History'!D3+(INDEX('Price History'!D:D,MATCH(9.99E+307,'Returns (Calc)'!$A:$A)+1)-'Price History'!D3)*(ROW()-3)/(MATCH(9.99E+307,'Returns (Calc)'!$A:$A)-3),"")</f>
        <v>589.546666666667</v>
      </c>
      <c r="Z4" s="155" t="n">
        <f aca="false">IFERROR('Price History'!E3+(INDEX('Price History'!E:E,MATCH(9.99E+307,'Returns (Calc)'!$A:$A)+1)-'Price History'!E3)*(ROW()-3)/(MATCH(9.99E+307,'Returns (Calc)'!$A:$A)-3),"")</f>
        <v>83.7581132075472</v>
      </c>
      <c r="AA4" s="155" t="n">
        <f aca="false">IFERROR('Price History'!F3+(INDEX('Price History'!F:F,MATCH(9.99E+307,'Returns (Calc)'!$A:$A)+1)-'Price History'!F3)*(ROW()-3)/(MATCH(9.99E+307,'Returns (Calc)'!$A:$A)-3),"")</f>
        <v>42.8296855345912</v>
      </c>
      <c r="AB4" s="155" t="n">
        <f aca="false">IFERROR('Price History'!G3+(INDEX('Price History'!G:G,MATCH(9.99E+307,'Returns (Calc)'!$A:$A)+1)-'Price History'!G3)*(ROW()-3)/(MATCH(9.99E+307,'Returns (Calc)'!$A:$A)-3),"")</f>
        <v>45.3010691823899</v>
      </c>
      <c r="AC4" s="155" t="n">
        <f aca="false">IFERROR('Price History'!H3+(INDEX('Price History'!H:H,MATCH(9.99E+307,'Returns (Calc)'!$A:$A)+1)-'Price History'!H3)*(ROW()-3)/(MATCH(9.99E+307,'Returns (Calc)'!$A:$A)-3),"")</f>
        <v>75.1470440251572</v>
      </c>
      <c r="AD4" s="155" t="n">
        <f aca="false">IFERROR('Price History'!I3+(INDEX('Price History'!I:I,MATCH(9.99E+307,'Returns (Calc)'!$A:$A)+1)-'Price History'!I3)*(ROW()-3)/(MATCH(9.99E+307,'Returns (Calc)'!$A:$A)-3),"")</f>
        <v>44.9367295597484</v>
      </c>
      <c r="AE4" s="155" t="n">
        <f aca="false">IFERROR('Price History'!J3+(INDEX('Price History'!J:J,MATCH(9.99E+307,'Returns (Calc)'!$A:$A)+1)-'Price History'!J3)*(ROW()-3)/(MATCH(9.99E+307,'Returns (Calc)'!$A:$A)-3),"")</f>
        <v>111.951006289308</v>
      </c>
      <c r="AF4" s="155" t="n">
        <f aca="false">IFERROR('Price History'!K3+(INDEX('Price History'!K:K,MATCH(9.99E+307,'Returns (Calc)'!$A:$A)+1)-'Price History'!K3)*(ROW()-3)/(MATCH(9.99E+307,'Returns (Calc)'!$A:$A)-3),"")</f>
        <v>16.5483647798742</v>
      </c>
      <c r="AG4" s="155" t="n">
        <f aca="false">IFERROR('Price History'!L3+(INDEX('Price History'!L:L,MATCH(9.99E+307,'Returns (Calc)'!$A:$A)+1)-'Price History'!L3)*(ROW()-3)/(MATCH(9.99E+307,'Returns (Calc)'!$A:$A)-3),"")</f>
        <v>88.0616981132075</v>
      </c>
      <c r="AH4" s="155" t="n">
        <f aca="false">IFERROR('Price History'!M3+(INDEX('Price History'!M:M,MATCH(9.99E+307,'Returns (Calc)'!$A:$A)+1)-'Price History'!M3)*(ROW()-3)/(MATCH(9.99E+307,'Returns (Calc)'!$A:$A)-3),"")</f>
        <v>39.3077987421384</v>
      </c>
      <c r="AI4" s="155" t="n">
        <f aca="false">IFERROR('Price History'!N3+(INDEX('Price History'!N:N,MATCH(9.99E+307,'Returns (Calc)'!$A:$A)+1)-'Price History'!N3)*(ROW()-3)/(MATCH(9.99E+307,'Returns (Calc)'!$A:$A)-3),"")</f>
        <v>349.913710691824</v>
      </c>
      <c r="AJ4" s="155" t="n">
        <f aca="false">IFERROR('Price History'!O3+(INDEX('Price History'!O:O,MATCH(9.99E+307,'Returns (Calc)'!$A:$A)+1)-'Price History'!O3)*(ROW()-3)/(MATCH(9.99E+307,'Returns (Calc)'!$A:$A)-3),"")</f>
        <v>75.5888050314465</v>
      </c>
      <c r="AK4" s="155" t="n">
        <f aca="false">IFERROR('Price History'!Q3+(INDEX('Price History'!Q:Q,MATCH(9.99E+307,'Returns (Calc)'!$A:$A)+1)-'Price History'!Q3)*(ROW()-3)/(MATCH(9.99E+307,'Returns (Calc)'!$A:$A)-3),"")</f>
        <v>0.440062893081761</v>
      </c>
      <c r="AL4" s="155" t="n">
        <f aca="false">IFERROR('Price History'!R3+(INDEX('Price History'!R:R,MATCH(9.99E+307,'Returns (Calc)'!$A:$A)+1)-'Price History'!R3)*(ROW()-3)/(MATCH(9.99E+307,'Returns (Calc)'!$A:$A)-3),"")</f>
        <v>34.647358490566</v>
      </c>
      <c r="AM4" s="155" t="n">
        <f aca="false">IFERROR('Price History'!S3+(INDEX('Price History'!S:S,MATCH(9.99E+307,'Returns (Calc)'!$A:$A)+1)-'Price History'!S3)*(ROW()-3)/(MATCH(9.99E+307,'Returns (Calc)'!$A:$A)-3),"")</f>
        <v>58.2182389937107</v>
      </c>
      <c r="AN4" s="155" t="n">
        <f aca="false">IFERROR('Price History'!T3+(INDEX('Price History'!T:T,MATCH(9.99E+307,'Returns (Calc)'!$A:$A)+1)-'Price History'!T3)*(ROW()-3)/(MATCH(9.99E+307,'Returns (Calc)'!$A:$A)-3),"")</f>
        <v>25.3638993710692</v>
      </c>
      <c r="AO4" s="156" t="n">
        <f aca="false">IFERROR('Price History'!V3+(INDEX('Price History'!V:V,MATCH(9.99E+307,'Returns (Calc)'!$A:$A)+1)-'Price History'!V3)*(ROW()-3)/(MATCH(9.99E+307,'Returns (Calc)'!$A:$A)-3),"")</f>
        <v>236.572264150943</v>
      </c>
      <c r="AP4" s="154" t="n">
        <f aca="false">IFERROR(IF(OR(NOT(ISNUMBER('Price History'!W5)),NOT(ISNUMBER('Price History'!W4)),'Price History'!W4=0),"",'Price History'!W5/'Price History'!W4-1),"")</f>
        <v>-0.0127540439651598</v>
      </c>
      <c r="AQ4" s="154" t="str">
        <f aca="false">IFERROR(IF(OR(NOT(ISNUMBER('Price History'!X5)),NOT(ISNUMBER('Price History'!X4)),'Price History'!X4=0),"",'Price History'!X5/'Price History'!X4-1),"")</f>
        <v/>
      </c>
      <c r="AR4" s="154" t="n">
        <f aca="false">IFERROR(IF(OR(NOT(ISNUMBER('Price History'!Y5)),NOT(ISNUMBER('Price History'!Y4)),'Price History'!Y4=0),"",'Price History'!Y5/'Price History'!Y4-1),"")</f>
        <v>-0.011079679396511</v>
      </c>
      <c r="AS4" s="154" t="n">
        <f aca="false">IFERROR(IF(OR(NOT(ISNUMBER('Price History'!Z5)),NOT(ISNUMBER('Price History'!Z4)),'Price History'!Z4=0),"",'Price History'!Z5/'Price History'!Z4-1),"")</f>
        <v>-0.00561797752808979</v>
      </c>
      <c r="AT4" s="154" t="n">
        <f aca="false">IFERROR(IF(OR(NOT(ISNUMBER('Price History'!AA5)),NOT(ISNUMBER('Price History'!AA4)),'Price History'!AA4=0),"",'Price History'!AA5/'Price History'!AA4-1),"")</f>
        <v>-0.00579252238020012</v>
      </c>
      <c r="AU4" s="154" t="n">
        <f aca="false">IFERROR(IF(OR(NOT(ISNUMBER('Price History'!AB5)),NOT(ISNUMBER('Price History'!AB4)),'Price History'!AB4=0),"",'Price History'!AB5/'Price History'!AB4-1),"")</f>
        <v>0.00152604115388399</v>
      </c>
    </row>
    <row r="5" customFormat="false" ht="15" hidden="false" customHeight="true" outlineLevel="0" collapsed="false">
      <c r="A5" s="152" t="n">
        <f aca="false">IF('Price History'!A6="","",'Price History'!A6)</f>
        <v>45205</v>
      </c>
      <c r="B5" s="153" t="n">
        <f aca="false">IFERROR(IF(OR(NOT(ISNUMBER('Price History'!B6)),NOT(ISNUMBER('Price History'!B5)),'Price History'!B5=0),"",'Price History'!B6/'Price History'!B5-1),"")</f>
        <v>0.0329084134143949</v>
      </c>
      <c r="C5" s="153" t="n">
        <f aca="false">IFERROR(IF(OR(NOT(ISNUMBER('Price History'!C6)),NOT(ISNUMBER('Price History'!C5)),'Price History'!C5=0),"",'Price History'!C6/'Price History'!C5-1),"")</f>
        <v>0.0550239234449761</v>
      </c>
      <c r="D5" s="153" t="n">
        <f aca="false">IFERROR(IF(OR(NOT(ISNUMBER('Price History'!D6)),NOT(ISNUMBER('Price History'!D5)),'Price History'!D5=0),"",'Price History'!D6/'Price History'!D5-1),"")</f>
        <v>0.0147681161944238</v>
      </c>
      <c r="E5" s="153" t="n">
        <f aca="false">IFERROR(IF(OR(NOT(ISNUMBER('Price History'!E6)),NOT(ISNUMBER('Price History'!E5)),'Price History'!E5=0),"",'Price History'!E6/'Price History'!E5-1),"")</f>
        <v>0.0176594950876756</v>
      </c>
      <c r="F5" s="153" t="n">
        <f aca="false">IFERROR(IF(OR(NOT(ISNUMBER('Price History'!F6)),NOT(ISNUMBER('Price History'!F5)),'Price History'!F5=0),"",'Price History'!F6/'Price History'!F5-1),"")</f>
        <v>0.055436081242533</v>
      </c>
      <c r="G5" s="153" t="n">
        <f aca="false">IFERROR(IF(OR(NOT(ISNUMBER('Price History'!G6)),NOT(ISNUMBER('Price History'!G5)),'Price History'!G5=0),"",'Price History'!G6/'Price History'!G5-1),"")</f>
        <v>0.0203170350524671</v>
      </c>
      <c r="H5" s="153" t="n">
        <f aca="false">IFERROR(IF(OR(NOT(ISNUMBER('Price History'!H6)),NOT(ISNUMBER('Price History'!H5)),'Price History'!H5=0),"",'Price History'!H6/'Price History'!H5-1),"")</f>
        <v>0.0300237812128419</v>
      </c>
      <c r="I5" s="153" t="n">
        <f aca="false">IFERROR(IF(OR(NOT(ISNUMBER('Price History'!I6)),NOT(ISNUMBER('Price History'!I5)),'Price History'!I5=0),"",'Price History'!I6/'Price History'!I5-1),"")</f>
        <v>0.0521097532856816</v>
      </c>
      <c r="J5" s="153" t="n">
        <f aca="false">IFERROR(IF(OR(NOT(ISNUMBER('Price History'!J6)),NOT(ISNUMBER('Price History'!J5)),'Price History'!J5=0),"",'Price History'!J6/'Price History'!J5-1),"")</f>
        <v>-0.0294464075382803</v>
      </c>
      <c r="K5" s="153" t="n">
        <f aca="false">IFERROR(IF(OR(NOT(ISNUMBER('Price History'!K6)),NOT(ISNUMBER('Price History'!K5)),'Price History'!K5=0),"",'Price History'!K6/'Price History'!K5-1),"")</f>
        <v>0.038125</v>
      </c>
      <c r="L5" s="153" t="n">
        <f aca="false">IFERROR(IF(OR(NOT(ISNUMBER('Price History'!L6)),NOT(ISNUMBER('Price History'!L5)),'Price History'!L5=0),"",'Price History'!L6/'Price History'!L5-1),"")</f>
        <v>0.0275482093663912</v>
      </c>
      <c r="M5" s="153" t="n">
        <f aca="false">IFERROR(IF(OR(NOT(ISNUMBER('Price History'!M6)),NOT(ISNUMBER('Price History'!M5)),'Price History'!M5=0),"",'Price History'!M6/'Price History'!M5-1),"")</f>
        <v>0.0690771721532648</v>
      </c>
      <c r="N5" s="153" t="n">
        <f aca="false">IFERROR(IF(OR(NOT(ISNUMBER('Price History'!N6)),NOT(ISNUMBER('Price History'!N5)),'Price History'!N5=0),"",'Price History'!N6/'Price History'!N5-1),"")</f>
        <v>0.0370391671938806</v>
      </c>
      <c r="O5" s="153" t="n">
        <f aca="false">IFERROR(IF(OR(NOT(ISNUMBER('Price History'!O6)),NOT(ISNUMBER('Price History'!O5)),'Price History'!O5=0),"",'Price History'!O6/'Price History'!O5-1),"")</f>
        <v>-0.0301439913874312</v>
      </c>
      <c r="P5" s="153" t="n">
        <f aca="false">IFERROR(IF(OR(NOT(ISNUMBER('Price History'!P6)),NOT(ISNUMBER('Price History'!P5)),'Price History'!P5=0),"",'Price History'!P6/'Price History'!P5-1),"")</f>
        <v>-0.0222590330261933</v>
      </c>
      <c r="Q5" s="153" t="n">
        <f aca="false">IFERROR(IF(OR(NOT(ISNUMBER('Price History'!Q6)),NOT(ISNUMBER('Price History'!Q5)),'Price History'!Q5=0),"",'Price History'!Q6/'Price History'!Q5-1),"")</f>
        <v>0.00327198364008185</v>
      </c>
      <c r="R5" s="153" t="n">
        <f aca="false">IFERROR(IF(OR(NOT(ISNUMBER('Price History'!R6)),NOT(ISNUMBER('Price History'!R5)),'Price History'!R5=0),"",'Price History'!R6/'Price History'!R5-1),"")</f>
        <v>0.0131069407208817</v>
      </c>
      <c r="S5" s="153" t="n">
        <f aca="false">IFERROR(IF(OR(NOT(ISNUMBER('Price History'!S6)),NOT(ISNUMBER('Price History'!S5)),'Price History'!S5=0),"",'Price History'!S6/'Price History'!S5-1),"")</f>
        <v>0.0110595790224759</v>
      </c>
      <c r="T5" s="153" t="n">
        <f aca="false">IFERROR(IF(OR(NOT(ISNUMBER('Price History'!T6)),NOT(ISNUMBER('Price History'!T5)),'Price History'!T5=0),"",'Price History'!T6/'Price History'!T5-1),"")</f>
        <v>-0.0184813177983126</v>
      </c>
      <c r="U5" s="153" t="n">
        <f aca="false">IFERROR(IF(OR(NOT(ISNUMBER('Price History'!U6)),NOT(ISNUMBER('Price History'!U5)),'Price History'!U5=0),"",'Price History'!U6/'Price History'!U5-1),"")</f>
        <v>-0.0160832544938505</v>
      </c>
      <c r="V5" s="154" t="n">
        <f aca="false">IFERROR(IF(OR(NOT(ISNUMBER('Price History'!V6)),NOT(ISNUMBER('Price History'!V5)),'Price History'!V5=0),"",'Price History'!V6/'Price History'!V5-1),"")</f>
        <v>0.0218841740058715</v>
      </c>
      <c r="W5" s="155" t="n">
        <f aca="false">IFERROR('Price History'!B3+(INDEX('Price History'!B:B,MATCH(9.99E+307,'Returns (Calc)'!$A:$A)+1)-'Price History'!B3)*(ROW()-3)/(MATCH(9.99E+307,'Returns (Calc)'!$A:$A)-3),"")</f>
        <v>525.284716981132</v>
      </c>
      <c r="X5" s="155" t="n">
        <f aca="false">IFERROR('Price History'!C3+(INDEX('Price History'!C:C,MATCH(9.99E+307,'Returns (Calc)'!$A:$A)+1)-'Price History'!C3)*(ROW()-3)/(MATCH(9.99E+307,'Returns (Calc)'!$A:$A)-3),"")</f>
        <v>48.3254088050314</v>
      </c>
      <c r="Y5" s="155" t="n">
        <f aca="false">IFERROR('Price History'!D3+(INDEX('Price History'!D:D,MATCH(9.99E+307,'Returns (Calc)'!$A:$A)+1)-'Price History'!D3)*(ROW()-3)/(MATCH(9.99E+307,'Returns (Calc)'!$A:$A)-3),"")</f>
        <v>597.083333333333</v>
      </c>
      <c r="Z5" s="155" t="n">
        <f aca="false">IFERROR('Price History'!E3+(INDEX('Price History'!E:E,MATCH(9.99E+307,'Returns (Calc)'!$A:$A)+1)-'Price History'!E3)*(ROW()-3)/(MATCH(9.99E+307,'Returns (Calc)'!$A:$A)-3),"")</f>
        <v>85.5162264150943</v>
      </c>
      <c r="AA5" s="155" t="n">
        <f aca="false">IFERROR('Price History'!F3+(INDEX('Price History'!F:F,MATCH(9.99E+307,'Returns (Calc)'!$A:$A)+1)-'Price History'!F3)*(ROW()-3)/(MATCH(9.99E+307,'Returns (Calc)'!$A:$A)-3),"")</f>
        <v>44.2993710691824</v>
      </c>
      <c r="AB5" s="155" t="n">
        <f aca="false">IFERROR('Price History'!G3+(INDEX('Price History'!G:G,MATCH(9.99E+307,'Returns (Calc)'!$A:$A)+1)-'Price History'!G3)*(ROW()-3)/(MATCH(9.99E+307,'Returns (Calc)'!$A:$A)-3),"")</f>
        <v>46.2521383647799</v>
      </c>
      <c r="AC5" s="155" t="n">
        <f aca="false">IFERROR('Price History'!H3+(INDEX('Price History'!H:H,MATCH(9.99E+307,'Returns (Calc)'!$A:$A)+1)-'Price History'!H3)*(ROW()-3)/(MATCH(9.99E+307,'Returns (Calc)'!$A:$A)-3),"")</f>
        <v>81.1840880503145</v>
      </c>
      <c r="AD5" s="155" t="n">
        <f aca="false">IFERROR('Price History'!I3+(INDEX('Price History'!I:I,MATCH(9.99E+307,'Returns (Calc)'!$A:$A)+1)-'Price History'!I3)*(ROW()-3)/(MATCH(9.99E+307,'Returns (Calc)'!$A:$A)-3),"")</f>
        <v>46.1034591194969</v>
      </c>
      <c r="AE5" s="155" t="n">
        <f aca="false">IFERROR('Price History'!J3+(INDEX('Price History'!J:J,MATCH(9.99E+307,'Returns (Calc)'!$A:$A)+1)-'Price History'!J3)*(ROW()-3)/(MATCH(9.99E+307,'Returns (Calc)'!$A:$A)-3),"")</f>
        <v>112.062012578616</v>
      </c>
      <c r="AF5" s="155" t="n">
        <f aca="false">IFERROR('Price History'!K3+(INDEX('Price History'!K:K,MATCH(9.99E+307,'Returns (Calc)'!$A:$A)+1)-'Price History'!K3)*(ROW()-3)/(MATCH(9.99E+307,'Returns (Calc)'!$A:$A)-3),"")</f>
        <v>17.7667295597484</v>
      </c>
      <c r="AG5" s="155" t="n">
        <f aca="false">IFERROR('Price History'!L3+(INDEX('Price History'!L:L,MATCH(9.99E+307,'Returns (Calc)'!$A:$A)+1)-'Price History'!L3)*(ROW()-3)/(MATCH(9.99E+307,'Returns (Calc)'!$A:$A)-3),"")</f>
        <v>90.3733962264151</v>
      </c>
      <c r="AH5" s="155" t="n">
        <f aca="false">IFERROR('Price History'!M3+(INDEX('Price History'!M:M,MATCH(9.99E+307,'Returns (Calc)'!$A:$A)+1)-'Price History'!M3)*(ROW()-3)/(MATCH(9.99E+307,'Returns (Calc)'!$A:$A)-3),"")</f>
        <v>40.5955974842767</v>
      </c>
      <c r="AI5" s="155" t="n">
        <f aca="false">IFERROR('Price History'!N3+(INDEX('Price History'!N:N,MATCH(9.99E+307,'Returns (Calc)'!$A:$A)+1)-'Price History'!N3)*(ROW()-3)/(MATCH(9.99E+307,'Returns (Calc)'!$A:$A)-3),"")</f>
        <v>350.927421383648</v>
      </c>
      <c r="AJ5" s="155" t="n">
        <f aca="false">IFERROR('Price History'!O3+(INDEX('Price History'!O:O,MATCH(9.99E+307,'Returns (Calc)'!$A:$A)+1)-'Price History'!O3)*(ROW()-3)/(MATCH(9.99E+307,'Returns (Calc)'!$A:$A)-3),"")</f>
        <v>75.8676100628931</v>
      </c>
      <c r="AK5" s="155" t="n">
        <f aca="false">IFERROR('Price History'!Q3+(INDEX('Price History'!Q:Q,MATCH(9.99E+307,'Returns (Calc)'!$A:$A)+1)-'Price History'!Q3)*(ROW()-3)/(MATCH(9.99E+307,'Returns (Calc)'!$A:$A)-3),"")</f>
        <v>0.880125786163522</v>
      </c>
      <c r="AL5" s="155" t="n">
        <f aca="false">IFERROR('Price History'!R3+(INDEX('Price History'!R:R,MATCH(9.99E+307,'Returns (Calc)'!$A:$A)+1)-'Price History'!R3)*(ROW()-3)/(MATCH(9.99E+307,'Returns (Calc)'!$A:$A)-3),"")</f>
        <v>34.8147169811321</v>
      </c>
      <c r="AM5" s="155" t="n">
        <f aca="false">IFERROR('Price History'!S3+(INDEX('Price History'!S:S,MATCH(9.99E+307,'Returns (Calc)'!$A:$A)+1)-'Price History'!S3)*(ROW()-3)/(MATCH(9.99E+307,'Returns (Calc)'!$A:$A)-3),"")</f>
        <v>58.8064779874214</v>
      </c>
      <c r="AN5" s="155" t="n">
        <f aca="false">IFERROR('Price History'!T3+(INDEX('Price History'!T:T,MATCH(9.99E+307,'Returns (Calc)'!$A:$A)+1)-'Price History'!T3)*(ROW()-3)/(MATCH(9.99E+307,'Returns (Calc)'!$A:$A)-3),"")</f>
        <v>25.5377987421384</v>
      </c>
      <c r="AO5" s="156" t="n">
        <f aca="false">IFERROR('Price History'!V3+(INDEX('Price History'!V:V,MATCH(9.99E+307,'Returns (Calc)'!$A:$A)+1)-'Price History'!V3)*(ROW()-3)/(MATCH(9.99E+307,'Returns (Calc)'!$A:$A)-3),"")</f>
        <v>237.514528301887</v>
      </c>
      <c r="AP5" s="154" t="n">
        <f aca="false">IFERROR(IF(OR(NOT(ISNUMBER('Price History'!W6)),NOT(ISNUMBER('Price History'!W5)),'Price History'!W5=0),"",'Price History'!W6/'Price History'!W5-1),"")</f>
        <v>-0.0194307320659594</v>
      </c>
      <c r="AQ5" s="154" t="str">
        <f aca="false">IFERROR(IF(OR(NOT(ISNUMBER('Price History'!X6)),NOT(ISNUMBER('Price History'!X5)),'Price History'!X5=0),"",'Price History'!X6/'Price History'!X5-1),"")</f>
        <v/>
      </c>
      <c r="AR5" s="154" t="n">
        <f aca="false">IFERROR(IF(OR(NOT(ISNUMBER('Price History'!Y6)),NOT(ISNUMBER('Price History'!Y5)),'Price History'!Y5=0),"",'Price History'!Y6/'Price History'!Y5-1),"")</f>
        <v>-0.00357568533969022</v>
      </c>
      <c r="AS5" s="154" t="n">
        <f aca="false">IFERROR(IF(OR(NOT(ISNUMBER('Price History'!Z6)),NOT(ISNUMBER('Price History'!Z5)),'Price History'!Z5=0),"",'Price History'!Z6/'Price History'!Z5-1),"")</f>
        <v>0.00830162573503968</v>
      </c>
      <c r="AT5" s="154" t="n">
        <f aca="false">IFERROR(IF(OR(NOT(ISNUMBER('Price History'!AA6)),NOT(ISNUMBER('Price History'!AA5)),'Price History'!AA5=0),"",'Price History'!AA6/'Price History'!AA5-1),"")</f>
        <v>0.0103283898305084</v>
      </c>
      <c r="AU5" s="154" t="n">
        <f aca="false">IFERROR(IF(OR(NOT(ISNUMBER('Price History'!AB6)),NOT(ISNUMBER('Price History'!AB5)),'Price History'!AB5=0),"",'Price History'!AB6/'Price History'!AB5-1),"")</f>
        <v>0.0302285573851069</v>
      </c>
    </row>
    <row r="6" customFormat="false" ht="15" hidden="false" customHeight="true" outlineLevel="0" collapsed="false">
      <c r="A6" s="152" t="n">
        <f aca="false">IF('Price History'!A7="","",'Price History'!A7)</f>
        <v>45212</v>
      </c>
      <c r="B6" s="153" t="n">
        <f aca="false">IFERROR(IF(OR(NOT(ISNUMBER('Price History'!B7)),NOT(ISNUMBER('Price History'!B6)),'Price History'!B6=0),"",'Price History'!B7/'Price History'!B6-1),"")</f>
        <v>0.0419229892914104</v>
      </c>
      <c r="C6" s="153" t="n">
        <f aca="false">IFERROR(IF(OR(NOT(ISNUMBER('Price History'!C7)),NOT(ISNUMBER('Price History'!C6)),'Price History'!C6=0),"",'Price History'!C7/'Price History'!C6-1),"")</f>
        <v>-0.0216450216450216</v>
      </c>
      <c r="D6" s="153" t="n">
        <f aca="false">IFERROR(IF(OR(NOT(ISNUMBER('Price History'!D7)),NOT(ISNUMBER('Price History'!D6)),'Price History'!D6=0),"",'Price History'!D7/'Price History'!D6-1),"")</f>
        <v>0.00401585748854427</v>
      </c>
      <c r="E6" s="153" t="n">
        <f aca="false">IFERROR(IF(OR(NOT(ISNUMBER('Price History'!E7)),NOT(ISNUMBER('Price History'!E6)),'Price History'!E6=0),"",'Price History'!E7/'Price History'!E6-1),"")</f>
        <v>0.044849077355493</v>
      </c>
      <c r="F6" s="153" t="n">
        <f aca="false">IFERROR(IF(OR(NOT(ISNUMBER('Price History'!F7)),NOT(ISNUMBER('Price History'!F6)),'Price History'!F6=0),"",'Price History'!F7/'Price History'!F6-1),"")</f>
        <v>0.0511659497396422</v>
      </c>
      <c r="G6" s="153" t="n">
        <f aca="false">IFERROR(IF(OR(NOT(ISNUMBER('Price History'!G7)),NOT(ISNUMBER('Price History'!G6)),'Price History'!G6=0),"",'Price History'!G7/'Price History'!G6-1),"")</f>
        <v>0.0402625820568927</v>
      </c>
      <c r="H6" s="153" t="n">
        <f aca="false">IFERROR(IF(OR(NOT(ISNUMBER('Price History'!H7)),NOT(ISNUMBER('Price History'!H6)),'Price History'!H6=0),"",'Price History'!H7/'Price History'!H6-1),"")</f>
        <v>-0.0106782106782106</v>
      </c>
      <c r="I6" s="153" t="n">
        <f aca="false">IFERROR(IF(OR(NOT(ISNUMBER('Price History'!I7)),NOT(ISNUMBER('Price History'!I6)),'Price History'!I6=0),"",'Price History'!I7/'Price History'!I6-1),"")</f>
        <v>-0.00657462195923741</v>
      </c>
      <c r="J6" s="153" t="n">
        <f aca="false">IFERROR(IF(OR(NOT(ISNUMBER('Price History'!J7)),NOT(ISNUMBER('Price History'!J6)),'Price History'!J6=0),"",'Price History'!J7/'Price History'!J6-1),"")</f>
        <v>0.00687702265372181</v>
      </c>
      <c r="K6" s="153" t="n">
        <f aca="false">IFERROR(IF(OR(NOT(ISNUMBER('Price History'!K7)),NOT(ISNUMBER('Price History'!K6)),'Price History'!K6=0),"",'Price History'!K7/'Price History'!K6-1),"")</f>
        <v>0.0451535219747141</v>
      </c>
      <c r="L6" s="153" t="n">
        <f aca="false">IFERROR(IF(OR(NOT(ISNUMBER('Price History'!L7)),NOT(ISNUMBER('Price History'!L6)),'Price History'!L6=0),"",'Price History'!L7/'Price History'!L6-1),"")</f>
        <v>0.0131716983331389</v>
      </c>
      <c r="M6" s="153" t="n">
        <f aca="false">IFERROR(IF(OR(NOT(ISNUMBER('Price History'!M7)),NOT(ISNUMBER('Price History'!M6)),'Price History'!M6=0),"",'Price History'!M7/'Price History'!M6-1),"")</f>
        <v>-0.0169106511862694</v>
      </c>
      <c r="N6" s="153" t="n">
        <f aca="false">IFERROR(IF(OR(NOT(ISNUMBER('Price History'!N7)),NOT(ISNUMBER('Price History'!N6)),'Price History'!N6=0),"",'Price History'!N7/'Price History'!N6-1),"")</f>
        <v>0.0287837612999833</v>
      </c>
      <c r="O6" s="153" t="n">
        <f aca="false">IFERROR(IF(OR(NOT(ISNUMBER('Price History'!O7)),NOT(ISNUMBER('Price History'!O6)),'Price History'!O6=0),"",'Price History'!O7/'Price History'!O6-1),"")</f>
        <v>0.00263632579436668</v>
      </c>
      <c r="P6" s="153" t="n">
        <f aca="false">IFERROR(IF(OR(NOT(ISNUMBER('Price History'!P7)),NOT(ISNUMBER('Price History'!P6)),'Price History'!P6=0),"",'Price History'!P7/'Price History'!P6-1),"")</f>
        <v>0.0136594663278273</v>
      </c>
      <c r="Q6" s="153" t="n">
        <f aca="false">IFERROR(IF(OR(NOT(ISNUMBER('Price History'!Q7)),NOT(ISNUMBER('Price History'!Q6)),'Price History'!Q6=0),"",'Price History'!Q7/'Price History'!Q6-1),"")</f>
        <v>0.0034651447207501</v>
      </c>
      <c r="R6" s="153" t="n">
        <f aca="false">IFERROR(IF(OR(NOT(ISNUMBER('Price History'!R7)),NOT(ISNUMBER('Price History'!R6)),'Price History'!R6=0),"",'Price History'!R7/'Price History'!R6-1),"")</f>
        <v>0.00264628050573368</v>
      </c>
      <c r="S6" s="153" t="n">
        <f aca="false">IFERROR(IF(OR(NOT(ISNUMBER('Price History'!S7)),NOT(ISNUMBER('Price History'!S6)),'Price History'!S6=0),"",'Price History'!S7/'Price History'!S6-1),"")</f>
        <v>0.00564573041637262</v>
      </c>
      <c r="T6" s="153" t="n">
        <f aca="false">IFERROR(IF(OR(NOT(ISNUMBER('Price History'!T7)),NOT(ISNUMBER('Price History'!T6)),'Price History'!T6=0),"",'Price History'!T7/'Price History'!T6-1),"")</f>
        <v>0.0143266475644699</v>
      </c>
      <c r="U6" s="153" t="n">
        <f aca="false">IFERROR(IF(OR(NOT(ISNUMBER('Price History'!U7)),NOT(ISNUMBER('Price History'!U6)),'Price History'!U6=0),"",'Price History'!U7/'Price History'!U6-1),"")</f>
        <v>0.0100961538461539</v>
      </c>
      <c r="V6" s="154" t="n">
        <f aca="false">IFERROR(IF(OR(NOT(ISNUMBER('Price History'!V7)),NOT(ISNUMBER('Price History'!V6)),'Price History'!V6=0),"",'Price History'!V7/'Price History'!V6-1),"")</f>
        <v>0.0111865587185513</v>
      </c>
      <c r="W6" s="155" t="n">
        <f aca="false">IFERROR('Price History'!B3+(INDEX('Price History'!B:B,MATCH(9.99E+307,'Returns (Calc)'!$A:$A)+1)-'Price History'!B3)*(ROW()-3)/(MATCH(9.99E+307,'Returns (Calc)'!$A:$A)-3),"")</f>
        <v>523.482075471698</v>
      </c>
      <c r="X6" s="155" t="n">
        <f aca="false">IFERROR('Price History'!C3+(INDEX('Price History'!C:C,MATCH(9.99E+307,'Returns (Calc)'!$A:$A)+1)-'Price History'!C3)*(ROW()-3)/(MATCH(9.99E+307,'Returns (Calc)'!$A:$A)-3),"")</f>
        <v>49.3981132075472</v>
      </c>
      <c r="Y6" s="155" t="n">
        <f aca="false">IFERROR('Price History'!D3+(INDEX('Price History'!D:D,MATCH(9.99E+307,'Returns (Calc)'!$A:$A)+1)-'Price History'!D3)*(ROW()-3)/(MATCH(9.99E+307,'Returns (Calc)'!$A:$A)-3),"")</f>
        <v>604.62</v>
      </c>
      <c r="Z6" s="155" t="n">
        <f aca="false">IFERROR('Price History'!E3+(INDEX('Price History'!E:E,MATCH(9.99E+307,'Returns (Calc)'!$A:$A)+1)-'Price History'!E3)*(ROW()-3)/(MATCH(9.99E+307,'Returns (Calc)'!$A:$A)-3),"")</f>
        <v>87.2743396226415</v>
      </c>
      <c r="AA6" s="155" t="n">
        <f aca="false">IFERROR('Price History'!F3+(INDEX('Price History'!F:F,MATCH(9.99E+307,'Returns (Calc)'!$A:$A)+1)-'Price History'!F3)*(ROW()-3)/(MATCH(9.99E+307,'Returns (Calc)'!$A:$A)-3),"")</f>
        <v>45.7690566037736</v>
      </c>
      <c r="AB6" s="155" t="n">
        <f aca="false">IFERROR('Price History'!G3+(INDEX('Price History'!G:G,MATCH(9.99E+307,'Returns (Calc)'!$A:$A)+1)-'Price History'!G3)*(ROW()-3)/(MATCH(9.99E+307,'Returns (Calc)'!$A:$A)-3),"")</f>
        <v>47.2032075471698</v>
      </c>
      <c r="AC6" s="155" t="n">
        <f aca="false">IFERROR('Price History'!H3+(INDEX('Price History'!H:H,MATCH(9.99E+307,'Returns (Calc)'!$A:$A)+1)-'Price History'!H3)*(ROW()-3)/(MATCH(9.99E+307,'Returns (Calc)'!$A:$A)-3),"")</f>
        <v>87.2211320754717</v>
      </c>
      <c r="AD6" s="155" t="n">
        <f aca="false">IFERROR('Price History'!I3+(INDEX('Price History'!I:I,MATCH(9.99E+307,'Returns (Calc)'!$A:$A)+1)-'Price History'!I3)*(ROW()-3)/(MATCH(9.99E+307,'Returns (Calc)'!$A:$A)-3),"")</f>
        <v>47.2701886792453</v>
      </c>
      <c r="AE6" s="155" t="n">
        <f aca="false">IFERROR('Price History'!J3+(INDEX('Price History'!J:J,MATCH(9.99E+307,'Returns (Calc)'!$A:$A)+1)-'Price History'!J3)*(ROW()-3)/(MATCH(9.99E+307,'Returns (Calc)'!$A:$A)-3),"")</f>
        <v>112.173018867925</v>
      </c>
      <c r="AF6" s="155" t="n">
        <f aca="false">IFERROR('Price History'!K3+(INDEX('Price History'!K:K,MATCH(9.99E+307,'Returns (Calc)'!$A:$A)+1)-'Price History'!K3)*(ROW()-3)/(MATCH(9.99E+307,'Returns (Calc)'!$A:$A)-3),"")</f>
        <v>18.9850943396226</v>
      </c>
      <c r="AG6" s="155" t="n">
        <f aca="false">IFERROR('Price History'!L3+(INDEX('Price History'!L:L,MATCH(9.99E+307,'Returns (Calc)'!$A:$A)+1)-'Price History'!L3)*(ROW()-3)/(MATCH(9.99E+307,'Returns (Calc)'!$A:$A)-3),"")</f>
        <v>92.6850943396226</v>
      </c>
      <c r="AH6" s="155" t="n">
        <f aca="false">IFERROR('Price History'!M3+(INDEX('Price History'!M:M,MATCH(9.99E+307,'Returns (Calc)'!$A:$A)+1)-'Price History'!M3)*(ROW()-3)/(MATCH(9.99E+307,'Returns (Calc)'!$A:$A)-3),"")</f>
        <v>41.8833962264151</v>
      </c>
      <c r="AI6" s="155" t="n">
        <f aca="false">IFERROR('Price History'!N3+(INDEX('Price History'!N:N,MATCH(9.99E+307,'Returns (Calc)'!$A:$A)+1)-'Price History'!N3)*(ROW()-3)/(MATCH(9.99E+307,'Returns (Calc)'!$A:$A)-3),"")</f>
        <v>351.941132075472</v>
      </c>
      <c r="AJ6" s="155" t="n">
        <f aca="false">IFERROR('Price History'!O3+(INDEX('Price History'!O:O,MATCH(9.99E+307,'Returns (Calc)'!$A:$A)+1)-'Price History'!O3)*(ROW()-3)/(MATCH(9.99E+307,'Returns (Calc)'!$A:$A)-3),"")</f>
        <v>76.1464150943396</v>
      </c>
      <c r="AK6" s="155" t="n">
        <f aca="false">IFERROR('Price History'!Q3+(INDEX('Price History'!Q:Q,MATCH(9.99E+307,'Returns (Calc)'!$A:$A)+1)-'Price History'!Q3)*(ROW()-3)/(MATCH(9.99E+307,'Returns (Calc)'!$A:$A)-3),"")</f>
        <v>1.32018867924528</v>
      </c>
      <c r="AL6" s="155" t="n">
        <f aca="false">IFERROR('Price History'!R3+(INDEX('Price History'!R:R,MATCH(9.99E+307,'Returns (Calc)'!$A:$A)+1)-'Price History'!R3)*(ROW()-3)/(MATCH(9.99E+307,'Returns (Calc)'!$A:$A)-3),"")</f>
        <v>34.9820754716981</v>
      </c>
      <c r="AM6" s="155" t="n">
        <f aca="false">IFERROR('Price History'!S3+(INDEX('Price History'!S:S,MATCH(9.99E+307,'Returns (Calc)'!$A:$A)+1)-'Price History'!S3)*(ROW()-3)/(MATCH(9.99E+307,'Returns (Calc)'!$A:$A)-3),"")</f>
        <v>59.3947169811321</v>
      </c>
      <c r="AN6" s="155" t="n">
        <f aca="false">IFERROR('Price History'!T3+(INDEX('Price History'!T:T,MATCH(9.99E+307,'Returns (Calc)'!$A:$A)+1)-'Price History'!T3)*(ROW()-3)/(MATCH(9.99E+307,'Returns (Calc)'!$A:$A)-3),"")</f>
        <v>25.7116981132076</v>
      </c>
      <c r="AO6" s="156" t="n">
        <f aca="false">IFERROR('Price History'!V3+(INDEX('Price History'!V:V,MATCH(9.99E+307,'Returns (Calc)'!$A:$A)+1)-'Price History'!V3)*(ROW()-3)/(MATCH(9.99E+307,'Returns (Calc)'!$A:$A)-3),"")</f>
        <v>238.45679245283</v>
      </c>
      <c r="AP6" s="154" t="n">
        <f aca="false">IFERROR(IF(OR(NOT(ISNUMBER('Price History'!W7)),NOT(ISNUMBER('Price History'!W6)),'Price History'!W6=0),"",'Price History'!W7/'Price History'!W6-1),"")</f>
        <v>0.0113538988860327</v>
      </c>
      <c r="AQ6" s="154" t="str">
        <f aca="false">IFERROR(IF(OR(NOT(ISNUMBER('Price History'!X7)),NOT(ISNUMBER('Price History'!X6)),'Price History'!X6=0),"",'Price History'!X7/'Price History'!X6-1),"")</f>
        <v/>
      </c>
      <c r="AR6" s="154" t="n">
        <f aca="false">IFERROR(IF(OR(NOT(ISNUMBER('Price History'!Y7)),NOT(ISNUMBER('Price History'!Y6)),'Price History'!Y6=0),"",'Price History'!Y7/'Price History'!Y6-1),"")</f>
        <v>0.00861244019138763</v>
      </c>
      <c r="AS6" s="154" t="n">
        <f aca="false">IFERROR(IF(OR(NOT(ISNUMBER('Price History'!Z7)),NOT(ISNUMBER('Price History'!Z6)),'Price History'!Z6=0),"",'Price History'!Z7/'Price History'!Z6-1),"")</f>
        <v>-0.0187535734705546</v>
      </c>
      <c r="AT6" s="154" t="n">
        <f aca="false">IFERROR(IF(OR(NOT(ISNUMBER('Price History'!AA7)),NOT(ISNUMBER('Price History'!AA6)),'Price History'!AA6=0),"",'Price History'!AA7/'Price History'!AA6-1),"")</f>
        <v>-0.0676277850589777</v>
      </c>
      <c r="AU6" s="154" t="n">
        <f aca="false">IFERROR(IF(OR(NOT(ISNUMBER('Price History'!AB7)),NOT(ISNUMBER('Price History'!AB6)),'Price History'!AB6=0),"",'Price History'!AB7/'Price History'!AB6-1),"")</f>
        <v>0.0310591603053436</v>
      </c>
    </row>
    <row r="7" customFormat="false" ht="15" hidden="false" customHeight="true" outlineLevel="0" collapsed="false">
      <c r="A7" s="152" t="n">
        <f aca="false">IF('Price History'!A8="","",'Price History'!A8)</f>
        <v>45219</v>
      </c>
      <c r="B7" s="153" t="n">
        <f aca="false">IFERROR(IF(OR(NOT(ISNUMBER('Price History'!B8)),NOT(ISNUMBER('Price History'!B7)),'Price History'!B7=0),"",'Price History'!B8/'Price History'!B7-1),"")</f>
        <v>-0.0142138639842553</v>
      </c>
      <c r="C7" s="153" t="n">
        <f aca="false">IFERROR(IF(OR(NOT(ISNUMBER('Price History'!C8)),NOT(ISNUMBER('Price History'!C7)),'Price History'!C7=0),"",'Price History'!C8/'Price History'!C7-1),"")</f>
        <v>-0.0195954487989887</v>
      </c>
      <c r="D7" s="153" t="n">
        <f aca="false">IFERROR(IF(OR(NOT(ISNUMBER('Price History'!D8)),NOT(ISNUMBER('Price History'!D7)),'Price History'!D7=0),"",'Price History'!D8/'Price History'!D7-1),"")</f>
        <v>-0.0327675503820316</v>
      </c>
      <c r="E7" s="153" t="n">
        <f aca="false">IFERROR(IF(OR(NOT(ISNUMBER('Price History'!E8)),NOT(ISNUMBER('Price History'!E7)),'Price History'!E7=0),"",'Price History'!E8/'Price History'!E7-1),"")</f>
        <v>-0.0334502923976608</v>
      </c>
      <c r="F7" s="153" t="n">
        <f aca="false">IFERROR(IF(OR(NOT(ISNUMBER('Price History'!F8)),NOT(ISNUMBER('Price History'!F7)),'Price History'!F7=0),"",'Price History'!F8/'Price History'!F7-1),"")</f>
        <v>-0.0374757699763084</v>
      </c>
      <c r="G7" s="153" t="n">
        <f aca="false">IFERROR(IF(OR(NOT(ISNUMBER('Price History'!G8)),NOT(ISNUMBER('Price History'!G7)),'Price History'!G7=0),"",'Price History'!G8/'Price History'!G7-1),"")</f>
        <v>-0.0500631047538915</v>
      </c>
      <c r="H7" s="153" t="n">
        <f aca="false">IFERROR(IF(OR(NOT(ISNUMBER('Price History'!H8)),NOT(ISNUMBER('Price History'!H7)),'Price History'!H7=0),"",'Price History'!H8/'Price History'!H7-1),"")</f>
        <v>-0.0287339556592765</v>
      </c>
      <c r="I7" s="153" t="n">
        <f aca="false">IFERROR(IF(OR(NOT(ISNUMBER('Price History'!I8)),NOT(ISNUMBER('Price History'!I7)),'Price History'!I7=0),"",'Price History'!I8/'Price History'!I7-1),"")</f>
        <v>-0.0897860136774763</v>
      </c>
      <c r="J7" s="153" t="n">
        <f aca="false">IFERROR(IF(OR(NOT(ISNUMBER('Price History'!J8)),NOT(ISNUMBER('Price History'!J7)),'Price History'!J7=0),"",'Price History'!J8/'Price History'!J7-1),"")</f>
        <v>-0.0658899156287666</v>
      </c>
      <c r="K7" s="153" t="n">
        <f aca="false">IFERROR(IF(OR(NOT(ISNUMBER('Price History'!K8)),NOT(ISNUMBER('Price History'!K7)),'Price History'!K7=0),"",'Price History'!K8/'Price History'!K7-1),"")</f>
        <v>-0.0720046082949308</v>
      </c>
      <c r="L7" s="153" t="n">
        <f aca="false">IFERROR(IF(OR(NOT(ISNUMBER('Price History'!L8)),NOT(ISNUMBER('Price History'!L7)),'Price History'!L7=0),"",'Price History'!L8/'Price History'!L7-1),"")</f>
        <v>0.00931891394385653</v>
      </c>
      <c r="M7" s="153" t="n">
        <f aca="false">IFERROR(IF(OR(NOT(ISNUMBER('Price History'!M8)),NOT(ISNUMBER('Price History'!M7)),'Price History'!M7=0),"",'Price History'!M8/'Price History'!M7-1),"")</f>
        <v>-0.0603337612323492</v>
      </c>
      <c r="N7" s="153" t="n">
        <f aca="false">IFERROR(IF(OR(NOT(ISNUMBER('Price History'!N8)),NOT(ISNUMBER('Price History'!N7)),'Price History'!N7=0),"",'Price History'!N8/'Price History'!N7-1),"")</f>
        <v>-0.0246361185983827</v>
      </c>
      <c r="O7" s="153" t="n">
        <f aca="false">IFERROR(IF(OR(NOT(ISNUMBER('Price History'!O8)),NOT(ISNUMBER('Price History'!O7)),'Price History'!O7=0),"",'Price History'!O8/'Price History'!O7-1),"")</f>
        <v>-0.0167450871851648</v>
      </c>
      <c r="P7" s="153" t="n">
        <f aca="false">IFERROR(IF(OR(NOT(ISNUMBER('Price History'!P8)),NOT(ISNUMBER('Price History'!P7)),'Price History'!P7=0),"",'Price History'!P8/'Price History'!P7-1),"")</f>
        <v>-0.019011804032174</v>
      </c>
      <c r="Q7" s="153" t="n">
        <f aca="false">IFERROR(IF(OR(NOT(ISNUMBER('Price History'!Q8)),NOT(ISNUMBER('Price History'!Q7)),'Price History'!Q7=0),"",'Price History'!Q8/'Price History'!Q7-1),"")</f>
        <v>-0.011375177737152</v>
      </c>
      <c r="R7" s="153" t="n">
        <f aca="false">IFERROR(IF(OR(NOT(ISNUMBER('Price History'!R8)),NOT(ISNUMBER('Price History'!R7)),'Price History'!R7=0),"",'Price History'!R8/'Price History'!R7-1),"")</f>
        <v>-0.0196480938416422</v>
      </c>
      <c r="S7" s="153" t="n">
        <f aca="false">IFERROR(IF(OR(NOT(ISNUMBER('Price History'!S8)),NOT(ISNUMBER('Price History'!S7)),'Price History'!S7=0),"",'Price History'!S8/'Price History'!S7-1),"")</f>
        <v>-0.0289473684210526</v>
      </c>
      <c r="T7" s="153" t="n">
        <f aca="false">IFERROR(IF(OR(NOT(ISNUMBER('Price History'!T8)),NOT(ISNUMBER('Price History'!T7)),'Price History'!T7=0),"",'Price History'!T8/'Price History'!T7-1),"")</f>
        <v>-0.0129136400322841</v>
      </c>
      <c r="U7" s="153" t="n">
        <f aca="false">IFERROR(IF(OR(NOT(ISNUMBER('Price History'!U8)),NOT(ISNUMBER('Price History'!U7)),'Price History'!U7=0),"",'Price History'!U8/'Price History'!U7-1),"")</f>
        <v>-0.0147548786292243</v>
      </c>
      <c r="V7" s="154" t="n">
        <f aca="false">IFERROR(IF(OR(NOT(ISNUMBER('Price History'!V8)),NOT(ISNUMBER('Price History'!V7)),'Price History'!V7=0),"",'Price History'!V8/'Price History'!V7-1),"")</f>
        <v>-0.0180362446730662</v>
      </c>
      <c r="W7" s="155" t="n">
        <f aca="false">IFERROR('Price History'!B3+(INDEX('Price History'!B:B,MATCH(9.99E+307,'Returns (Calc)'!$A:$A)+1)-'Price History'!B3)*(ROW()-3)/(MATCH(9.99E+307,'Returns (Calc)'!$A:$A)-3),"")</f>
        <v>521.679433962264</v>
      </c>
      <c r="X7" s="155" t="n">
        <f aca="false">IFERROR('Price History'!C3+(INDEX('Price History'!C:C,MATCH(9.99E+307,'Returns (Calc)'!$A:$A)+1)-'Price History'!C3)*(ROW()-3)/(MATCH(9.99E+307,'Returns (Calc)'!$A:$A)-3),"")</f>
        <v>50.4708176100629</v>
      </c>
      <c r="Y7" s="155" t="n">
        <f aca="false">IFERROR('Price History'!D3+(INDEX('Price History'!D:D,MATCH(9.99E+307,'Returns (Calc)'!$A:$A)+1)-'Price History'!D3)*(ROW()-3)/(MATCH(9.99E+307,'Returns (Calc)'!$A:$A)-3),"")</f>
        <v>612.156666666667</v>
      </c>
      <c r="Z7" s="155" t="n">
        <f aca="false">IFERROR('Price History'!E3+(INDEX('Price History'!E:E,MATCH(9.99E+307,'Returns (Calc)'!$A:$A)+1)-'Price History'!E3)*(ROW()-3)/(MATCH(9.99E+307,'Returns (Calc)'!$A:$A)-3),"")</f>
        <v>89.0324528301887</v>
      </c>
      <c r="AA7" s="155" t="n">
        <f aca="false">IFERROR('Price History'!F3+(INDEX('Price History'!F:F,MATCH(9.99E+307,'Returns (Calc)'!$A:$A)+1)-'Price History'!F3)*(ROW()-3)/(MATCH(9.99E+307,'Returns (Calc)'!$A:$A)-3),"")</f>
        <v>47.2387421383648</v>
      </c>
      <c r="AB7" s="155" t="n">
        <f aca="false">IFERROR('Price History'!G3+(INDEX('Price History'!G:G,MATCH(9.99E+307,'Returns (Calc)'!$A:$A)+1)-'Price History'!G3)*(ROW()-3)/(MATCH(9.99E+307,'Returns (Calc)'!$A:$A)-3),"")</f>
        <v>48.1542767295598</v>
      </c>
      <c r="AC7" s="155" t="n">
        <f aca="false">IFERROR('Price History'!H3+(INDEX('Price History'!H:H,MATCH(9.99E+307,'Returns (Calc)'!$A:$A)+1)-'Price History'!H3)*(ROW()-3)/(MATCH(9.99E+307,'Returns (Calc)'!$A:$A)-3),"")</f>
        <v>93.2581761006289</v>
      </c>
      <c r="AD7" s="155" t="n">
        <f aca="false">IFERROR('Price History'!I3+(INDEX('Price History'!I:I,MATCH(9.99E+307,'Returns (Calc)'!$A:$A)+1)-'Price History'!I3)*(ROW()-3)/(MATCH(9.99E+307,'Returns (Calc)'!$A:$A)-3),"")</f>
        <v>48.4369182389937</v>
      </c>
      <c r="AE7" s="155" t="n">
        <f aca="false">IFERROR('Price History'!J3+(INDEX('Price History'!J:J,MATCH(9.99E+307,'Returns (Calc)'!$A:$A)+1)-'Price History'!J3)*(ROW()-3)/(MATCH(9.99E+307,'Returns (Calc)'!$A:$A)-3),"")</f>
        <v>112.284025157233</v>
      </c>
      <c r="AF7" s="155" t="n">
        <f aca="false">IFERROR('Price History'!K3+(INDEX('Price History'!K:K,MATCH(9.99E+307,'Returns (Calc)'!$A:$A)+1)-'Price History'!K3)*(ROW()-3)/(MATCH(9.99E+307,'Returns (Calc)'!$A:$A)-3),"")</f>
        <v>20.2034591194969</v>
      </c>
      <c r="AG7" s="155" t="n">
        <f aca="false">IFERROR('Price History'!L3+(INDEX('Price History'!L:L,MATCH(9.99E+307,'Returns (Calc)'!$A:$A)+1)-'Price History'!L3)*(ROW()-3)/(MATCH(9.99E+307,'Returns (Calc)'!$A:$A)-3),"")</f>
        <v>94.9967924528302</v>
      </c>
      <c r="AH7" s="155" t="n">
        <f aca="false">IFERROR('Price History'!M3+(INDEX('Price History'!M:M,MATCH(9.99E+307,'Returns (Calc)'!$A:$A)+1)-'Price History'!M3)*(ROW()-3)/(MATCH(9.99E+307,'Returns (Calc)'!$A:$A)-3),"")</f>
        <v>43.1711949685535</v>
      </c>
      <c r="AI7" s="155" t="n">
        <f aca="false">IFERROR('Price History'!N3+(INDEX('Price History'!N:N,MATCH(9.99E+307,'Returns (Calc)'!$A:$A)+1)-'Price History'!N3)*(ROW()-3)/(MATCH(9.99E+307,'Returns (Calc)'!$A:$A)-3),"")</f>
        <v>352.954842767296</v>
      </c>
      <c r="AJ7" s="155" t="n">
        <f aca="false">IFERROR('Price History'!O3+(INDEX('Price History'!O:O,MATCH(9.99E+307,'Returns (Calc)'!$A:$A)+1)-'Price History'!O3)*(ROW()-3)/(MATCH(9.99E+307,'Returns (Calc)'!$A:$A)-3),"")</f>
        <v>76.4252201257862</v>
      </c>
      <c r="AK7" s="155" t="n">
        <f aca="false">IFERROR('Price History'!Q3+(INDEX('Price History'!Q:Q,MATCH(9.99E+307,'Returns (Calc)'!$A:$A)+1)-'Price History'!Q3)*(ROW()-3)/(MATCH(9.99E+307,'Returns (Calc)'!$A:$A)-3),"")</f>
        <v>1.76025157232704</v>
      </c>
      <c r="AL7" s="155" t="n">
        <f aca="false">IFERROR('Price History'!R3+(INDEX('Price History'!R:R,MATCH(9.99E+307,'Returns (Calc)'!$A:$A)+1)-'Price History'!R3)*(ROW()-3)/(MATCH(9.99E+307,'Returns (Calc)'!$A:$A)-3),"")</f>
        <v>35.1494339622642</v>
      </c>
      <c r="AM7" s="155" t="n">
        <f aca="false">IFERROR('Price History'!S3+(INDEX('Price History'!S:S,MATCH(9.99E+307,'Returns (Calc)'!$A:$A)+1)-'Price History'!S3)*(ROW()-3)/(MATCH(9.99E+307,'Returns (Calc)'!$A:$A)-3),"")</f>
        <v>59.9829559748428</v>
      </c>
      <c r="AN7" s="155" t="n">
        <f aca="false">IFERROR('Price History'!T3+(INDEX('Price History'!T:T,MATCH(9.99E+307,'Returns (Calc)'!$A:$A)+1)-'Price History'!T3)*(ROW()-3)/(MATCH(9.99E+307,'Returns (Calc)'!$A:$A)-3),"")</f>
        <v>25.8855974842767</v>
      </c>
      <c r="AO7" s="156" t="n">
        <f aca="false">IFERROR('Price History'!V3+(INDEX('Price History'!V:V,MATCH(9.99E+307,'Returns (Calc)'!$A:$A)+1)-'Price History'!V3)*(ROW()-3)/(MATCH(9.99E+307,'Returns (Calc)'!$A:$A)-3),"")</f>
        <v>239.399056603774</v>
      </c>
      <c r="AP7" s="154" t="n">
        <f aca="false">IFERROR(IF(OR(NOT(ISNUMBER('Price History'!W8)),NOT(ISNUMBER('Price History'!W7)),'Price History'!W7=0),"",'Price History'!W8/'Price History'!W7-1),"")</f>
        <v>-0.0121796229612371</v>
      </c>
      <c r="AQ7" s="154" t="str">
        <f aca="false">IFERROR(IF(OR(NOT(ISNUMBER('Price History'!X8)),NOT(ISNUMBER('Price History'!X7)),'Price History'!X7=0),"",'Price History'!X8/'Price History'!X7-1),"")</f>
        <v/>
      </c>
      <c r="AR7" s="154" t="n">
        <f aca="false">IFERROR(IF(OR(NOT(ISNUMBER('Price History'!Y8)),NOT(ISNUMBER('Price History'!Y7)),'Price History'!Y7=0),"",'Price History'!Y8/'Price History'!Y7-1),"")</f>
        <v>-0.0147058823529411</v>
      </c>
      <c r="AS7" s="154" t="n">
        <f aca="false">IFERROR(IF(OR(NOT(ISNUMBER('Price History'!Z8)),NOT(ISNUMBER('Price History'!Z7)),'Price History'!Z7=0),"",'Price History'!Z8/'Price History'!Z7-1),"")</f>
        <v>-0.0301829623586994</v>
      </c>
      <c r="AT7" s="154" t="n">
        <f aca="false">IFERROR(IF(OR(NOT(ISNUMBER('Price History'!AA8)),NOT(ISNUMBER('Price History'!AA7)),'Price History'!AA7=0),"",'Price History'!AA8/'Price History'!AA7-1),"")</f>
        <v>0.127354512229407</v>
      </c>
      <c r="AU7" s="154" t="n">
        <f aca="false">IFERROR(IF(OR(NOT(ISNUMBER('Price History'!AB8)),NOT(ISNUMBER('Price History'!AB7)),'Price History'!AB7=0),"",'Price History'!AB8/'Price History'!AB7-1),"")</f>
        <v>-0.0727407338855214</v>
      </c>
    </row>
    <row r="8" customFormat="false" ht="15" hidden="false" customHeight="true" outlineLevel="0" collapsed="false">
      <c r="A8" s="152" t="n">
        <f aca="false">IF('Price History'!A9="","",'Price History'!A9)</f>
        <v>45226</v>
      </c>
      <c r="B8" s="153" t="n">
        <f aca="false">IFERROR(IF(OR(NOT(ISNUMBER('Price History'!B9)),NOT(ISNUMBER('Price History'!B8)),'Price History'!B8=0),"",'Price History'!B9/'Price History'!B8-1),"")</f>
        <v>-0.0607068914522331</v>
      </c>
      <c r="C8" s="153" t="n">
        <f aca="false">IFERROR(IF(OR(NOT(ISNUMBER('Price History'!C9)),NOT(ISNUMBER('Price History'!C8)),'Price History'!C8=0),"",'Price History'!C9/'Price History'!C8-1),"")</f>
        <v>-0.0532989469159683</v>
      </c>
      <c r="D8" s="153" t="n">
        <f aca="false">IFERROR(IF(OR(NOT(ISNUMBER('Price History'!D9)),NOT(ISNUMBER('Price History'!D8)),'Price History'!D8=0),"",'Price History'!D9/'Price History'!D8-1),"")</f>
        <v>0.0170713604071677</v>
      </c>
      <c r="E8" s="153" t="n">
        <f aca="false">IFERROR(IF(OR(NOT(ISNUMBER('Price History'!E9)),NOT(ISNUMBER('Price History'!E8)),'Price History'!E8=0),"",'Price History'!E9/'Price History'!E8-1),"")</f>
        <v>-0.0179090029041626</v>
      </c>
      <c r="F8" s="153" t="n">
        <f aca="false">IFERROR(IF(OR(NOT(ISNUMBER('Price History'!F9)),NOT(ISNUMBER('Price History'!F8)),'Price History'!F8=0),"",'Price History'!F9/'Price History'!F8-1),"")</f>
        <v>-0.0331170284179906</v>
      </c>
      <c r="G8" s="153" t="n">
        <f aca="false">IFERROR(IF(OR(NOT(ISNUMBER('Price History'!G9)),NOT(ISNUMBER('Price History'!G8)),'Price History'!G8=0),"",'Price History'!G9/'Price History'!G8-1),"")</f>
        <v>-0.00974313551815764</v>
      </c>
      <c r="H8" s="153" t="n">
        <f aca="false">IFERROR(IF(OR(NOT(ISNUMBER('Price History'!H9)),NOT(ISNUMBER('Price History'!H8)),'Price History'!H8=0),"",'Price History'!H9/'Price History'!H8-1),"")</f>
        <v>-0.0234269409821295</v>
      </c>
      <c r="I8" s="153" t="n">
        <f aca="false">IFERROR(IF(OR(NOT(ISNUMBER('Price History'!I9)),NOT(ISNUMBER('Price History'!I8)),'Price History'!I8=0),"",'Price History'!I9/'Price History'!I8-1),"")</f>
        <v>-0.0213281628696073</v>
      </c>
      <c r="J8" s="153" t="n">
        <f aca="false">IFERROR(IF(OR(NOT(ISNUMBER('Price History'!J9)),NOT(ISNUMBER('Price History'!J8)),'Price History'!J8=0),"",'Price History'!J9/'Price History'!J8-1),"")</f>
        <v>-0.0498924731182796</v>
      </c>
      <c r="K8" s="153" t="n">
        <f aca="false">IFERROR(IF(OR(NOT(ISNUMBER('Price History'!K9)),NOT(ISNUMBER('Price History'!K8)),'Price History'!K8=0),"",'Price History'!K9/'Price History'!K8-1),"")</f>
        <v>-0.0645561762880198</v>
      </c>
      <c r="L8" s="153" t="n">
        <f aca="false">IFERROR(IF(OR(NOT(ISNUMBER('Price History'!L9)),NOT(ISNUMBER('Price History'!L8)),'Price History'!L8=0),"",'Price History'!L9/'Price History'!L8-1),"")</f>
        <v>-0.0582468938789468</v>
      </c>
      <c r="M8" s="153" t="n">
        <f aca="false">IFERROR(IF(OR(NOT(ISNUMBER('Price History'!M9)),NOT(ISNUMBER('Price History'!M8)),'Price History'!M8=0),"",'Price History'!M9/'Price History'!M8-1),"")</f>
        <v>-0.00874316939890707</v>
      </c>
      <c r="N8" s="153" t="n">
        <f aca="false">IFERROR(IF(OR(NOT(ISNUMBER('Price History'!N9)),NOT(ISNUMBER('Price History'!N8)),'Price History'!N8=0),"",'Price History'!N9/'Price History'!N8-1),"")</f>
        <v>-0.018183827999779</v>
      </c>
      <c r="O8" s="153" t="n">
        <f aca="false">IFERROR(IF(OR(NOT(ISNUMBER('Price History'!O9)),NOT(ISNUMBER('Price History'!O8)),'Price History'!O8=0),"",'Price History'!O9/'Price History'!O8-1),"")</f>
        <v>-0.0154820548909218</v>
      </c>
      <c r="P8" s="153" t="n">
        <f aca="false">IFERROR(IF(OR(NOT(ISNUMBER('Price History'!P9)),NOT(ISNUMBER('Price History'!P8)),'Price History'!P8=0),"",'Price History'!P9/'Price History'!P8-1),"")</f>
        <v>-0.0160792247896921</v>
      </c>
      <c r="Q8" s="153" t="n">
        <f aca="false">IFERROR(IF(OR(NOT(ISNUMBER('Price History'!Q9)),NOT(ISNUMBER('Price History'!Q8)),'Price History'!Q8=0),"",'Price History'!Q9/'Price History'!Q8-1),"")</f>
        <v>-0.0172590918430245</v>
      </c>
      <c r="R8" s="153" t="n">
        <f aca="false">IFERROR(IF(OR(NOT(ISNUMBER('Price History'!R9)),NOT(ISNUMBER('Price History'!R8)),'Price History'!R8=0),"",'Price History'!R9/'Price History'!R8-1),"")</f>
        <v>-0.0209392760993121</v>
      </c>
      <c r="S8" s="153" t="n">
        <f aca="false">IFERROR(IF(OR(NOT(ISNUMBER('Price History'!S9)),NOT(ISNUMBER('Price History'!S8)),'Price History'!S8=0),"",'Price History'!S9/'Price History'!S8-1),"")</f>
        <v>-0.0202348690153569</v>
      </c>
      <c r="T8" s="153" t="n">
        <f aca="false">IFERROR(IF(OR(NOT(ISNUMBER('Price History'!T9)),NOT(ISNUMBER('Price History'!T8)),'Price History'!T8=0),"",'Price History'!T9/'Price History'!T8-1),"")</f>
        <v>-0.0327064595257564</v>
      </c>
      <c r="U8" s="153" t="n">
        <f aca="false">IFERROR(IF(OR(NOT(ISNUMBER('Price History'!U9)),NOT(ISNUMBER('Price History'!U8)),'Price History'!U8=0),"",'Price History'!U9/'Price History'!U8-1),"")</f>
        <v>-0.0342995169082126</v>
      </c>
      <c r="V8" s="154" t="n">
        <f aca="false">IFERROR(IF(OR(NOT(ISNUMBER('Price History'!V9)),NOT(ISNUMBER('Price History'!V8)),'Price History'!V8=0),"",'Price History'!V9/'Price History'!V8-1),"")</f>
        <v>-0.0176223040504998</v>
      </c>
      <c r="W8" s="155" t="n">
        <f aca="false">IFERROR('Price History'!B3+(INDEX('Price History'!B:B,MATCH(9.99E+307,'Returns (Calc)'!$A:$A)+1)-'Price History'!B3)*(ROW()-3)/(MATCH(9.99E+307,'Returns (Calc)'!$A:$A)-3),"")</f>
        <v>519.87679245283</v>
      </c>
      <c r="X8" s="155" t="n">
        <f aca="false">IFERROR('Price History'!C3+(INDEX('Price History'!C:C,MATCH(9.99E+307,'Returns (Calc)'!$A:$A)+1)-'Price History'!C3)*(ROW()-3)/(MATCH(9.99E+307,'Returns (Calc)'!$A:$A)-3),"")</f>
        <v>51.5435220125786</v>
      </c>
      <c r="Y8" s="155" t="n">
        <f aca="false">IFERROR('Price History'!D3+(INDEX('Price History'!D:D,MATCH(9.99E+307,'Returns (Calc)'!$A:$A)+1)-'Price History'!D3)*(ROW()-3)/(MATCH(9.99E+307,'Returns (Calc)'!$A:$A)-3),"")</f>
        <v>619.693333333333</v>
      </c>
      <c r="Z8" s="155" t="n">
        <f aca="false">IFERROR('Price History'!E3+(INDEX('Price History'!E:E,MATCH(9.99E+307,'Returns (Calc)'!$A:$A)+1)-'Price History'!E3)*(ROW()-3)/(MATCH(9.99E+307,'Returns (Calc)'!$A:$A)-3),"")</f>
        <v>90.7905660377359</v>
      </c>
      <c r="AA8" s="155" t="n">
        <f aca="false">IFERROR('Price History'!F3+(INDEX('Price History'!F:F,MATCH(9.99E+307,'Returns (Calc)'!$A:$A)+1)-'Price History'!F3)*(ROW()-3)/(MATCH(9.99E+307,'Returns (Calc)'!$A:$A)-3),"")</f>
        <v>48.708427672956</v>
      </c>
      <c r="AB8" s="155" t="n">
        <f aca="false">IFERROR('Price History'!G3+(INDEX('Price History'!G:G,MATCH(9.99E+307,'Returns (Calc)'!$A:$A)+1)-'Price History'!G3)*(ROW()-3)/(MATCH(9.99E+307,'Returns (Calc)'!$A:$A)-3),"")</f>
        <v>49.1053459119497</v>
      </c>
      <c r="AC8" s="155" t="n">
        <f aca="false">IFERROR('Price History'!H3+(INDEX('Price History'!H:H,MATCH(9.99E+307,'Returns (Calc)'!$A:$A)+1)-'Price History'!H3)*(ROW()-3)/(MATCH(9.99E+307,'Returns (Calc)'!$A:$A)-3),"")</f>
        <v>99.2952201257862</v>
      </c>
      <c r="AD8" s="155" t="n">
        <f aca="false">IFERROR('Price History'!I3+(INDEX('Price History'!I:I,MATCH(9.99E+307,'Returns (Calc)'!$A:$A)+1)-'Price History'!I3)*(ROW()-3)/(MATCH(9.99E+307,'Returns (Calc)'!$A:$A)-3),"")</f>
        <v>49.6036477987421</v>
      </c>
      <c r="AE8" s="155" t="n">
        <f aca="false">IFERROR('Price History'!J3+(INDEX('Price History'!J:J,MATCH(9.99E+307,'Returns (Calc)'!$A:$A)+1)-'Price History'!J3)*(ROW()-3)/(MATCH(9.99E+307,'Returns (Calc)'!$A:$A)-3),"")</f>
        <v>112.395031446541</v>
      </c>
      <c r="AF8" s="155" t="n">
        <f aca="false">IFERROR('Price History'!K3+(INDEX('Price History'!K:K,MATCH(9.99E+307,'Returns (Calc)'!$A:$A)+1)-'Price History'!K3)*(ROW()-3)/(MATCH(9.99E+307,'Returns (Calc)'!$A:$A)-3),"")</f>
        <v>21.4218238993711</v>
      </c>
      <c r="AG8" s="155" t="n">
        <f aca="false">IFERROR('Price History'!L3+(INDEX('Price History'!L:L,MATCH(9.99E+307,'Returns (Calc)'!$A:$A)+1)-'Price History'!L3)*(ROW()-3)/(MATCH(9.99E+307,'Returns (Calc)'!$A:$A)-3),"")</f>
        <v>97.3084905660377</v>
      </c>
      <c r="AH8" s="155" t="n">
        <f aca="false">IFERROR('Price History'!M3+(INDEX('Price History'!M:M,MATCH(9.99E+307,'Returns (Calc)'!$A:$A)+1)-'Price History'!M3)*(ROW()-3)/(MATCH(9.99E+307,'Returns (Calc)'!$A:$A)-3),"")</f>
        <v>44.4589937106918</v>
      </c>
      <c r="AI8" s="155" t="n">
        <f aca="false">IFERROR('Price History'!N3+(INDEX('Price History'!N:N,MATCH(9.99E+307,'Returns (Calc)'!$A:$A)+1)-'Price History'!N3)*(ROW()-3)/(MATCH(9.99E+307,'Returns (Calc)'!$A:$A)-3),"")</f>
        <v>353.968553459119</v>
      </c>
      <c r="AJ8" s="155" t="n">
        <f aca="false">IFERROR('Price History'!O3+(INDEX('Price History'!O:O,MATCH(9.99E+307,'Returns (Calc)'!$A:$A)+1)-'Price History'!O3)*(ROW()-3)/(MATCH(9.99E+307,'Returns (Calc)'!$A:$A)-3),"")</f>
        <v>76.7040251572327</v>
      </c>
      <c r="AK8" s="155" t="n">
        <f aca="false">IFERROR('Price History'!Q3+(INDEX('Price History'!Q:Q,MATCH(9.99E+307,'Returns (Calc)'!$A:$A)+1)-'Price History'!Q3)*(ROW()-3)/(MATCH(9.99E+307,'Returns (Calc)'!$A:$A)-3),"")</f>
        <v>2.20031446540881</v>
      </c>
      <c r="AL8" s="155" t="n">
        <f aca="false">IFERROR('Price History'!R3+(INDEX('Price History'!R:R,MATCH(9.99E+307,'Returns (Calc)'!$A:$A)+1)-'Price History'!R3)*(ROW()-3)/(MATCH(9.99E+307,'Returns (Calc)'!$A:$A)-3),"")</f>
        <v>35.3167924528302</v>
      </c>
      <c r="AM8" s="155" t="n">
        <f aca="false">IFERROR('Price History'!S3+(INDEX('Price History'!S:S,MATCH(9.99E+307,'Returns (Calc)'!$A:$A)+1)-'Price History'!S3)*(ROW()-3)/(MATCH(9.99E+307,'Returns (Calc)'!$A:$A)-3),"")</f>
        <v>60.5711949685535</v>
      </c>
      <c r="AN8" s="155" t="n">
        <f aca="false">IFERROR('Price History'!T3+(INDEX('Price History'!T:T,MATCH(9.99E+307,'Returns (Calc)'!$A:$A)+1)-'Price History'!T3)*(ROW()-3)/(MATCH(9.99E+307,'Returns (Calc)'!$A:$A)-3),"")</f>
        <v>26.0594968553459</v>
      </c>
      <c r="AO8" s="156" t="n">
        <f aca="false">IFERROR('Price History'!V3+(INDEX('Price History'!V:V,MATCH(9.99E+307,'Returns (Calc)'!$A:$A)+1)-'Price History'!V3)*(ROW()-3)/(MATCH(9.99E+307,'Returns (Calc)'!$A:$A)-3),"")</f>
        <v>240.341320754717</v>
      </c>
      <c r="AP8" s="154" t="n">
        <f aca="false">IFERROR(IF(OR(NOT(ISNUMBER('Price History'!W9)),NOT(ISNUMBER('Price History'!W8)),'Price History'!W8=0),"",'Price History'!W9/'Price History'!W8-1),"")</f>
        <v>-0.0247668060469605</v>
      </c>
      <c r="AQ8" s="154" t="str">
        <f aca="false">IFERROR(IF(OR(NOT(ISNUMBER('Price History'!X9)),NOT(ISNUMBER('Price History'!X8)),'Price History'!X8=0),"",'Price History'!X9/'Price History'!X8-1),"")</f>
        <v/>
      </c>
      <c r="AR8" s="154" t="n">
        <f aca="false">IFERROR(IF(OR(NOT(ISNUMBER('Price History'!Y9)),NOT(ISNUMBER('Price History'!Y8)),'Price History'!Y8=0),"",'Price History'!Y9/'Price History'!Y8-1),"")</f>
        <v>-0.0221473278767453</v>
      </c>
      <c r="AS8" s="154" t="n">
        <f aca="false">IFERROR(IF(OR(NOT(ISNUMBER('Price History'!Z9)),NOT(ISNUMBER('Price History'!Z8)),'Price History'!Z8=0),"",'Price History'!Z9/'Price History'!Z8-1),"")</f>
        <v>0.00264359528959379</v>
      </c>
      <c r="AT8" s="154" t="n">
        <f aca="false">IFERROR(IF(OR(NOT(ISNUMBER('Price History'!AA9)),NOT(ISNUMBER('Price History'!AA8)),'Price History'!AA8=0),"",'Price History'!AA9/'Price History'!AA8-1),"")</f>
        <v>-0.00773067331670829</v>
      </c>
      <c r="AU8" s="154" t="n">
        <f aca="false">IFERROR(IF(OR(NOT(ISNUMBER('Price History'!AB9)),NOT(ISNUMBER('Price History'!AB8)),'Price History'!AB8=0),"",'Price History'!AB9/'Price History'!AB8-1),"")</f>
        <v>-0.0542442237636608</v>
      </c>
    </row>
    <row r="9" customFormat="false" ht="15" hidden="false" customHeight="true" outlineLevel="0" collapsed="false">
      <c r="A9" s="152" t="n">
        <f aca="false">IF('Price History'!A10="","",'Price History'!A10)</f>
        <v>45233</v>
      </c>
      <c r="B9" s="153" t="n">
        <f aca="false">IFERROR(IF(OR(NOT(ISNUMBER('Price History'!B10)),NOT(ISNUMBER('Price History'!B9)),'Price History'!B9=0),"",'Price History'!B10/'Price History'!B9-1),"")</f>
        <v>0.10930488860899</v>
      </c>
      <c r="C9" s="153" t="n">
        <f aca="false">IFERROR(IF(OR(NOT(ISNUMBER('Price History'!C10)),NOT(ISNUMBER('Price History'!C9)),'Price History'!C9=0),"",'Price History'!C10/'Price History'!C9-1),"")</f>
        <v>0.205902383654938</v>
      </c>
      <c r="D9" s="153" t="n">
        <f aca="false">IFERROR(IF(OR(NOT(ISNUMBER('Price History'!D10)),NOT(ISNUMBER('Price History'!D9)),'Price History'!D9=0),"",'Price History'!D10/'Price History'!D9-1),"")</f>
        <v>0.0916041145398945</v>
      </c>
      <c r="E9" s="153" t="n">
        <f aca="false">IFERROR(IF(OR(NOT(ISNUMBER('Price History'!E10)),NOT(ISNUMBER('Price History'!E9)),'Price History'!E9=0),"",'Price History'!E10/'Price History'!E9-1),"")</f>
        <v>0.0528585510103501</v>
      </c>
      <c r="F9" s="153" t="n">
        <f aca="false">IFERROR(IF(OR(NOT(ISNUMBER('Price History'!F10)),NOT(ISNUMBER('Price History'!F9)),'Price History'!F9=0),"",'Price History'!F10/'Price History'!F9-1),"")</f>
        <v>0.0890997454292988</v>
      </c>
      <c r="G9" s="153" t="n">
        <f aca="false">IFERROR(IF(OR(NOT(ISNUMBER('Price History'!G10)),NOT(ISNUMBER('Price History'!G9)),'Price History'!G9=0),"",'Price History'!G10/'Price History'!G9-1),"")</f>
        <v>0.091010733452594</v>
      </c>
      <c r="H9" s="153" t="n">
        <f aca="false">IFERROR(IF(OR(NOT(ISNUMBER('Price History'!H10)),NOT(ISNUMBER('Price History'!H9)),'Price History'!H9=0),"",'Price History'!H10/'Price History'!H9-1),"")</f>
        <v>0.10564354913117</v>
      </c>
      <c r="I9" s="153" t="n">
        <f aca="false">IFERROR(IF(OR(NOT(ISNUMBER('Price History'!I10)),NOT(ISNUMBER('Price History'!I9)),'Price History'!I9=0),"",'Price History'!I10/'Price History'!I9-1),"")</f>
        <v>0.111193660227835</v>
      </c>
      <c r="J9" s="153" t="n">
        <f aca="false">IFERROR(IF(OR(NOT(ISNUMBER('Price History'!J10)),NOT(ISNUMBER('Price History'!J9)),'Price History'!J9=0),"",'Price History'!J10/'Price History'!J9-1),"")</f>
        <v>0.0948392937980986</v>
      </c>
      <c r="K9" s="153" t="n">
        <f aca="false">IFERROR(IF(OR(NOT(ISNUMBER('Price History'!K10)),NOT(ISNUMBER('Price History'!K9)),'Price History'!K9=0),"",'Price History'!K10/'Price History'!K9-1),"")</f>
        <v>0.253483742534838</v>
      </c>
      <c r="L9" s="153" t="n">
        <f aca="false">IFERROR(IF(OR(NOT(ISNUMBER('Price History'!L10)),NOT(ISNUMBER('Price History'!L9)),'Price History'!L9=0),"",'Price History'!L10/'Price History'!L9-1),"")</f>
        <v>0.0674170902929072</v>
      </c>
      <c r="M9" s="153" t="n">
        <f aca="false">IFERROR(IF(OR(NOT(ISNUMBER('Price History'!M10)),NOT(ISNUMBER('Price History'!M9)),'Price History'!M9=0),"",'Price History'!M10/'Price History'!M9-1),"")</f>
        <v>0.110253583241455</v>
      </c>
      <c r="N9" s="153" t="n">
        <f aca="false">IFERROR(IF(OR(NOT(ISNUMBER('Price History'!N10)),NOT(ISNUMBER('Price History'!N9)),'Price History'!N9=0),"",'Price History'!N10/'Price History'!N9-1),"")</f>
        <v>0.0588831344291827</v>
      </c>
      <c r="O9" s="153" t="n">
        <f aca="false">IFERROR(IF(OR(NOT(ISNUMBER('Price History'!O10)),NOT(ISNUMBER('Price History'!O9)),'Price History'!O9=0),"",'Price History'!O10/'Price History'!O9-1),"")</f>
        <v>0.0716225875625445</v>
      </c>
      <c r="P9" s="153" t="n">
        <f aca="false">IFERROR(IF(OR(NOT(ISNUMBER('Price History'!P10)),NOT(ISNUMBER('Price History'!P9)),'Price History'!P9=0),"",'Price History'!P10/'Price History'!P9-1),"")</f>
        <v>0.0586580086580084</v>
      </c>
      <c r="Q9" s="153" t="n">
        <f aca="false">IFERROR(IF(OR(NOT(ISNUMBER('Price History'!Q10)),NOT(ISNUMBER('Price History'!Q9)),'Price History'!Q9=0),"",'Price History'!Q10/'Price History'!Q9-1),"")</f>
        <v>0.0403512439891283</v>
      </c>
      <c r="R9" s="153" t="n">
        <f aca="false">IFERROR(IF(OR(NOT(ISNUMBER('Price History'!R10)),NOT(ISNUMBER('Price History'!R9)),'Price History'!R9=0),"",'Price History'!R10/'Price History'!R9-1),"")</f>
        <v>0.0574396578062939</v>
      </c>
      <c r="S9" s="153" t="n">
        <f aca="false">IFERROR(IF(OR(NOT(ISNUMBER('Price History'!S10)),NOT(ISNUMBER('Price History'!S9)),'Price History'!S9=0),"",'Price History'!S10/'Price History'!S9-1),"")</f>
        <v>0.0584547298543243</v>
      </c>
      <c r="T9" s="153" t="n">
        <f aca="false">IFERROR(IF(OR(NOT(ISNUMBER('Price History'!T10)),NOT(ISNUMBER('Price History'!T9)),'Price History'!T9=0),"",'Price History'!T10/'Price History'!T9-1),"")</f>
        <v>0.058748943364328</v>
      </c>
      <c r="U9" s="153" t="n">
        <f aca="false">IFERROR(IF(OR(NOT(ISNUMBER('Price History'!U10)),NOT(ISNUMBER('Price History'!U9)),'Price History'!U9=0),"",'Price History'!U10/'Price History'!U9-1),"")</f>
        <v>0.0500250125062531</v>
      </c>
      <c r="V9" s="154" t="n">
        <f aca="false">IFERROR(IF(OR(NOT(ISNUMBER('Price History'!V10)),NOT(ISNUMBER('Price History'!V9)),'Price History'!V9=0),"",'Price History'!V10/'Price History'!V9-1),"")</f>
        <v>0.062516733601071</v>
      </c>
      <c r="W9" s="155" t="n">
        <f aca="false">IFERROR('Price History'!B3+(INDEX('Price History'!B:B,MATCH(9.99E+307,'Returns (Calc)'!$A:$A)+1)-'Price History'!B3)*(ROW()-3)/(MATCH(9.99E+307,'Returns (Calc)'!$A:$A)-3),"")</f>
        <v>518.074150943396</v>
      </c>
      <c r="X9" s="155" t="n">
        <f aca="false">IFERROR('Price History'!C3+(INDEX('Price History'!C:C,MATCH(9.99E+307,'Returns (Calc)'!$A:$A)+1)-'Price History'!C3)*(ROW()-3)/(MATCH(9.99E+307,'Returns (Calc)'!$A:$A)-3),"")</f>
        <v>52.6162264150943</v>
      </c>
      <c r="Y9" s="155" t="n">
        <f aca="false">IFERROR('Price History'!D3+(INDEX('Price History'!D:D,MATCH(9.99E+307,'Returns (Calc)'!$A:$A)+1)-'Price History'!D3)*(ROW()-3)/(MATCH(9.99E+307,'Returns (Calc)'!$A:$A)-3),"")</f>
        <v>627.23</v>
      </c>
      <c r="Z9" s="155" t="n">
        <f aca="false">IFERROR('Price History'!E3+(INDEX('Price History'!E:E,MATCH(9.99E+307,'Returns (Calc)'!$A:$A)+1)-'Price History'!E3)*(ROW()-3)/(MATCH(9.99E+307,'Returns (Calc)'!$A:$A)-3),"")</f>
        <v>92.548679245283</v>
      </c>
      <c r="AA9" s="155" t="n">
        <f aca="false">IFERROR('Price History'!F3+(INDEX('Price History'!F:F,MATCH(9.99E+307,'Returns (Calc)'!$A:$A)+1)-'Price History'!F3)*(ROW()-3)/(MATCH(9.99E+307,'Returns (Calc)'!$A:$A)-3),"")</f>
        <v>50.1781132075472</v>
      </c>
      <c r="AB9" s="155" t="n">
        <f aca="false">IFERROR('Price History'!G3+(INDEX('Price History'!G:G,MATCH(9.99E+307,'Returns (Calc)'!$A:$A)+1)-'Price History'!G3)*(ROW()-3)/(MATCH(9.99E+307,'Returns (Calc)'!$A:$A)-3),"")</f>
        <v>50.0564150943396</v>
      </c>
      <c r="AC9" s="155" t="n">
        <f aca="false">IFERROR('Price History'!H3+(INDEX('Price History'!H:H,MATCH(9.99E+307,'Returns (Calc)'!$A:$A)+1)-'Price History'!H3)*(ROW()-3)/(MATCH(9.99E+307,'Returns (Calc)'!$A:$A)-3),"")</f>
        <v>105.332264150943</v>
      </c>
      <c r="AD9" s="155" t="n">
        <f aca="false">IFERROR('Price History'!I3+(INDEX('Price History'!I:I,MATCH(9.99E+307,'Returns (Calc)'!$A:$A)+1)-'Price History'!I3)*(ROW()-3)/(MATCH(9.99E+307,'Returns (Calc)'!$A:$A)-3),"")</f>
        <v>50.7703773584906</v>
      </c>
      <c r="AE9" s="155" t="n">
        <f aca="false">IFERROR('Price History'!J3+(INDEX('Price History'!J:J,MATCH(9.99E+307,'Returns (Calc)'!$A:$A)+1)-'Price History'!J3)*(ROW()-3)/(MATCH(9.99E+307,'Returns (Calc)'!$A:$A)-3),"")</f>
        <v>112.506037735849</v>
      </c>
      <c r="AF9" s="155" t="n">
        <f aca="false">IFERROR('Price History'!K3+(INDEX('Price History'!K:K,MATCH(9.99E+307,'Returns (Calc)'!$A:$A)+1)-'Price History'!K3)*(ROW()-3)/(MATCH(9.99E+307,'Returns (Calc)'!$A:$A)-3),"")</f>
        <v>22.6401886792453</v>
      </c>
      <c r="AG9" s="155" t="n">
        <f aca="false">IFERROR('Price History'!L3+(INDEX('Price History'!L:L,MATCH(9.99E+307,'Returns (Calc)'!$A:$A)+1)-'Price History'!L3)*(ROW()-3)/(MATCH(9.99E+307,'Returns (Calc)'!$A:$A)-3),"")</f>
        <v>99.6201886792453</v>
      </c>
      <c r="AH9" s="155" t="n">
        <f aca="false">IFERROR('Price History'!M3+(INDEX('Price History'!M:M,MATCH(9.99E+307,'Returns (Calc)'!$A:$A)+1)-'Price History'!M3)*(ROW()-3)/(MATCH(9.99E+307,'Returns (Calc)'!$A:$A)-3),"")</f>
        <v>45.7467924528302</v>
      </c>
      <c r="AI9" s="155" t="n">
        <f aca="false">IFERROR('Price History'!N3+(INDEX('Price History'!N:N,MATCH(9.99E+307,'Returns (Calc)'!$A:$A)+1)-'Price History'!N3)*(ROW()-3)/(MATCH(9.99E+307,'Returns (Calc)'!$A:$A)-3),"")</f>
        <v>354.982264150943</v>
      </c>
      <c r="AJ9" s="155" t="n">
        <f aca="false">IFERROR('Price History'!O3+(INDEX('Price History'!O:O,MATCH(9.99E+307,'Returns (Calc)'!$A:$A)+1)-'Price History'!O3)*(ROW()-3)/(MATCH(9.99E+307,'Returns (Calc)'!$A:$A)-3),"")</f>
        <v>76.9828301886792</v>
      </c>
      <c r="AK9" s="155" t="n">
        <f aca="false">IFERROR('Price History'!Q3+(INDEX('Price History'!Q:Q,MATCH(9.99E+307,'Returns (Calc)'!$A:$A)+1)-'Price History'!Q3)*(ROW()-3)/(MATCH(9.99E+307,'Returns (Calc)'!$A:$A)-3),"")</f>
        <v>2.64037735849057</v>
      </c>
      <c r="AL9" s="155" t="n">
        <f aca="false">IFERROR('Price History'!R3+(INDEX('Price History'!R:R,MATCH(9.99E+307,'Returns (Calc)'!$A:$A)+1)-'Price History'!R3)*(ROW()-3)/(MATCH(9.99E+307,'Returns (Calc)'!$A:$A)-3),"")</f>
        <v>35.4841509433962</v>
      </c>
      <c r="AM9" s="155" t="n">
        <f aca="false">IFERROR('Price History'!S3+(INDEX('Price History'!S:S,MATCH(9.99E+307,'Returns (Calc)'!$A:$A)+1)-'Price History'!S3)*(ROW()-3)/(MATCH(9.99E+307,'Returns (Calc)'!$A:$A)-3),"")</f>
        <v>61.1594339622642</v>
      </c>
      <c r="AN9" s="155" t="n">
        <f aca="false">IFERROR('Price History'!T3+(INDEX('Price History'!T:T,MATCH(9.99E+307,'Returns (Calc)'!$A:$A)+1)-'Price History'!T3)*(ROW()-3)/(MATCH(9.99E+307,'Returns (Calc)'!$A:$A)-3),"")</f>
        <v>26.2333962264151</v>
      </c>
      <c r="AO9" s="156" t="n">
        <f aca="false">IFERROR('Price History'!V3+(INDEX('Price History'!V:V,MATCH(9.99E+307,'Returns (Calc)'!$A:$A)+1)-'Price History'!V3)*(ROW()-3)/(MATCH(9.99E+307,'Returns (Calc)'!$A:$A)-3),"")</f>
        <v>241.28358490566</v>
      </c>
      <c r="AP9" s="154" t="n">
        <f aca="false">IFERROR(IF(OR(NOT(ISNUMBER('Price History'!W10)),NOT(ISNUMBER('Price History'!W9)),'Price History'!W9=0),"",'Price History'!W10/'Price History'!W9-1),"")</f>
        <v>0.0517810026385226</v>
      </c>
      <c r="AQ9" s="154" t="str">
        <f aca="false">IFERROR(IF(OR(NOT(ISNUMBER('Price History'!X10)),NOT(ISNUMBER('Price History'!X9)),'Price History'!X9=0),"",'Price History'!X10/'Price History'!X9-1),"")</f>
        <v/>
      </c>
      <c r="AR9" s="154" t="n">
        <f aca="false">IFERROR(IF(OR(NOT(ISNUMBER('Price History'!Y10)),NOT(ISNUMBER('Price History'!Y9)),'Price History'!Y9=0),"",'Price History'!Y10/'Price History'!Y9-1),"")</f>
        <v>0.0475135401280158</v>
      </c>
      <c r="AS9" s="154" t="n">
        <f aca="false">IFERROR(IF(OR(NOT(ISNUMBER('Price History'!Z10)),NOT(ISNUMBER('Price History'!Z9)),'Price History'!Z9=0),"",'Price History'!Z10/'Price History'!Z9-1),"")</f>
        <v>0.0240891658676894</v>
      </c>
      <c r="AT9" s="154" t="n">
        <f aca="false">IFERROR(IF(OR(NOT(ISNUMBER('Price History'!AA10)),NOT(ISNUMBER('Price History'!AA9)),'Price History'!AA9=0),"",'Price History'!AA10/'Price History'!AA9-1),"")</f>
        <v>0.0867052023121389</v>
      </c>
      <c r="AU9" s="154" t="n">
        <f aca="false">IFERROR(IF(OR(NOT(ISNUMBER('Price History'!AB10)),NOT(ISNUMBER('Price History'!AB9)),'Price History'!AB9=0),"",'Price History'!AB10/'Price History'!AB9-1),"")</f>
        <v>0.0267517940059097</v>
      </c>
    </row>
    <row r="10" customFormat="false" ht="15" hidden="false" customHeight="true" outlineLevel="0" collapsed="false">
      <c r="A10" s="152" t="n">
        <f aca="false">IF('Price History'!A11="","",'Price History'!A11)</f>
        <v>45240</v>
      </c>
      <c r="B10" s="153" t="n">
        <f aca="false">IFERROR(IF(OR(NOT(ISNUMBER('Price History'!B11)),NOT(ISNUMBER('Price History'!B10)),'Price History'!B10=0),"",'Price History'!B11/'Price History'!B10-1),"")</f>
        <v>0.0595394386687012</v>
      </c>
      <c r="C10" s="153" t="n">
        <f aca="false">IFERROR(IF(OR(NOT(ISNUMBER('Price History'!C11)),NOT(ISNUMBER('Price History'!C10)),'Price History'!C10=0),"",'Price History'!C11/'Price History'!C10-1),"")</f>
        <v>-0.0265436746987952</v>
      </c>
      <c r="D10" s="153" t="n">
        <f aca="false">IFERROR(IF(OR(NOT(ISNUMBER('Price History'!D11)),NOT(ISNUMBER('Price History'!D10)),'Price History'!D10=0),"",'Price History'!D11/'Price History'!D10-1),"")</f>
        <v>0.0293836750286516</v>
      </c>
      <c r="E10" s="153" t="n">
        <f aca="false">IFERROR(IF(OR(NOT(ISNUMBER('Price History'!E11)),NOT(ISNUMBER('Price History'!E10)),'Price History'!E10=0),"",'Price History'!E11/'Price History'!E10-1),"")</f>
        <v>0.0847279110590988</v>
      </c>
      <c r="F10" s="153" t="n">
        <f aca="false">IFERROR(IF(OR(NOT(ISNUMBER('Price History'!F11)),NOT(ISNUMBER('Price History'!F10)),'Price History'!F10=0),"",'Price History'!F11/'Price History'!F10-1),"")</f>
        <v>0.0429239269018273</v>
      </c>
      <c r="G10" s="153" t="n">
        <f aca="false">IFERROR(IF(OR(NOT(ISNUMBER('Price History'!G11)),NOT(ISNUMBER('Price History'!G10)),'Price History'!G10=0),"",'Price History'!G11/'Price History'!G10-1),"")</f>
        <v>0.0692764910842387</v>
      </c>
      <c r="H10" s="153" t="n">
        <f aca="false">IFERROR(IF(OR(NOT(ISNUMBER('Price History'!H11)),NOT(ISNUMBER('Price History'!H10)),'Price History'!H10=0),"",'Price History'!H11/'Price History'!H10-1),"")</f>
        <v>0.0382475660639778</v>
      </c>
      <c r="I10" s="153" t="n">
        <f aca="false">IFERROR(IF(OR(NOT(ISNUMBER('Price History'!I11)),NOT(ISNUMBER('Price History'!I10)),'Price History'!I10=0),"",'Price History'!I11/'Price History'!I10-1),"")</f>
        <v>0.0739915310898149</v>
      </c>
      <c r="J10" s="153" t="n">
        <f aca="false">IFERROR(IF(OR(NOT(ISNUMBER('Price History'!J11)),NOT(ISNUMBER('Price History'!J10)),'Price History'!J10=0),"",'Price History'!J11/'Price History'!J10-1),"")</f>
        <v>-0.0187099441802769</v>
      </c>
      <c r="K10" s="153" t="n">
        <f aca="false">IFERROR(IF(OR(NOT(ISNUMBER('Price History'!K11)),NOT(ISNUMBER('Price History'!K10)),'Price History'!K10=0),"",'Price History'!K11/'Price History'!K10-1),"")</f>
        <v>0.0412916887241928</v>
      </c>
      <c r="L10" s="153" t="n">
        <f aca="false">IFERROR(IF(OR(NOT(ISNUMBER('Price History'!L11)),NOT(ISNUMBER('Price History'!L10)),'Price History'!L10=0),"",'Price History'!L11/'Price History'!L10-1),"")</f>
        <v>0.061571606758136</v>
      </c>
      <c r="M10" s="153" t="n">
        <f aca="false">IFERROR(IF(OR(NOT(ISNUMBER('Price History'!M11)),NOT(ISNUMBER('Price History'!M10)),'Price History'!M10=0),"",'Price History'!M11/'Price History'!M10-1),"")</f>
        <v>0.0345084409136047</v>
      </c>
      <c r="N10" s="153" t="n">
        <f aca="false">IFERROR(IF(OR(NOT(ISNUMBER('Price History'!N11)),NOT(ISNUMBER('Price History'!N10)),'Price History'!N10=0),"",'Price History'!N11/'Price History'!N10-1),"")</f>
        <v>-0.00677830940988844</v>
      </c>
      <c r="O10" s="153" t="n">
        <f aca="false">IFERROR(IF(OR(NOT(ISNUMBER('Price History'!O11)),NOT(ISNUMBER('Price History'!O10)),'Price History'!O10=0),"",'Price History'!O11/'Price History'!O10-1),"")</f>
        <v>-0.0341515474919956</v>
      </c>
      <c r="P10" s="153" t="n">
        <f aca="false">IFERROR(IF(OR(NOT(ISNUMBER('Price History'!P11)),NOT(ISNUMBER('Price History'!P10)),'Price History'!P10=0),"",'Price History'!P11/'Price History'!P10-1),"")</f>
        <v>-0.0225925168677161</v>
      </c>
      <c r="Q10" s="153" t="n">
        <f aca="false">IFERROR(IF(OR(NOT(ISNUMBER('Price History'!Q11)),NOT(ISNUMBER('Price History'!Q10)),'Price History'!Q10=0),"",'Price History'!Q11/'Price History'!Q10-1),"")</f>
        <v>0.010048231511254</v>
      </c>
      <c r="R10" s="153" t="n">
        <f aca="false">IFERROR(IF(OR(NOT(ISNUMBER('Price History'!R11)),NOT(ISNUMBER('Price History'!R10)),'Price History'!R10=0),"",'Price History'!R11/'Price History'!R10-1),"")</f>
        <v>0.0208032360589425</v>
      </c>
      <c r="S10" s="153" t="n">
        <f aca="false">IFERROR(IF(OR(NOT(ISNUMBER('Price History'!S11)),NOT(ISNUMBER('Price History'!S10)),'Price History'!S10=0),"",'Price History'!S11/'Price History'!S10-1),"")</f>
        <v>0.0294425087108015</v>
      </c>
      <c r="T10" s="153" t="n">
        <f aca="false">IFERROR(IF(OR(NOT(ISNUMBER('Price History'!T11)),NOT(ISNUMBER('Price History'!T10)),'Price History'!T10=0),"",'Price History'!T11/'Price History'!T10-1),"")</f>
        <v>-0.00638722554890225</v>
      </c>
      <c r="U10" s="153" t="n">
        <f aca="false">IFERROR(IF(OR(NOT(ISNUMBER('Price History'!U11)),NOT(ISNUMBER('Price History'!U10)),'Price History'!U10=0),"",'Price History'!U11/'Price History'!U10-1),"")</f>
        <v>-0.0114340161981895</v>
      </c>
      <c r="V10" s="154" t="n">
        <f aca="false">IFERROR(IF(OR(NOT(ISNUMBER('Price History'!V11)),NOT(ISNUMBER('Price History'!V10)),'Price History'!V10=0),"",'Price History'!V11/'Price History'!V10-1),"")</f>
        <v>0.00890344798622467</v>
      </c>
      <c r="W10" s="155" t="n">
        <f aca="false">IFERROR('Price History'!B3+(INDEX('Price History'!B:B,MATCH(9.99E+307,'Returns (Calc)'!$A:$A)+1)-'Price History'!B3)*(ROW()-3)/(MATCH(9.99E+307,'Returns (Calc)'!$A:$A)-3),"")</f>
        <v>516.271509433962</v>
      </c>
      <c r="X10" s="155" t="n">
        <f aca="false">IFERROR('Price History'!C3+(INDEX('Price History'!C:C,MATCH(9.99E+307,'Returns (Calc)'!$A:$A)+1)-'Price History'!C3)*(ROW()-3)/(MATCH(9.99E+307,'Returns (Calc)'!$A:$A)-3),"")</f>
        <v>53.6889308176101</v>
      </c>
      <c r="Y10" s="155" t="n">
        <f aca="false">IFERROR('Price History'!D3+(INDEX('Price History'!D:D,MATCH(9.99E+307,'Returns (Calc)'!$A:$A)+1)-'Price History'!D3)*(ROW()-3)/(MATCH(9.99E+307,'Returns (Calc)'!$A:$A)-3),"")</f>
        <v>634.766666666667</v>
      </c>
      <c r="Z10" s="155" t="n">
        <f aca="false">IFERROR('Price History'!E3+(INDEX('Price History'!E:E,MATCH(9.99E+307,'Returns (Calc)'!$A:$A)+1)-'Price History'!E3)*(ROW()-3)/(MATCH(9.99E+307,'Returns (Calc)'!$A:$A)-3),"")</f>
        <v>94.3067924528302</v>
      </c>
      <c r="AA10" s="155" t="n">
        <f aca="false">IFERROR('Price History'!F3+(INDEX('Price History'!F:F,MATCH(9.99E+307,'Returns (Calc)'!$A:$A)+1)-'Price History'!F3)*(ROW()-3)/(MATCH(9.99E+307,'Returns (Calc)'!$A:$A)-3),"")</f>
        <v>51.6477987421384</v>
      </c>
      <c r="AB10" s="155" t="n">
        <f aca="false">IFERROR('Price History'!G3+(INDEX('Price History'!G:G,MATCH(9.99E+307,'Returns (Calc)'!$A:$A)+1)-'Price History'!G3)*(ROW()-3)/(MATCH(9.99E+307,'Returns (Calc)'!$A:$A)-3),"")</f>
        <v>51.0074842767296</v>
      </c>
      <c r="AC10" s="155" t="n">
        <f aca="false">IFERROR('Price History'!H3+(INDEX('Price History'!H:H,MATCH(9.99E+307,'Returns (Calc)'!$A:$A)+1)-'Price History'!H3)*(ROW()-3)/(MATCH(9.99E+307,'Returns (Calc)'!$A:$A)-3),"")</f>
        <v>111.369308176101</v>
      </c>
      <c r="AD10" s="155" t="n">
        <f aca="false">IFERROR('Price History'!I3+(INDEX('Price History'!I:I,MATCH(9.99E+307,'Returns (Calc)'!$A:$A)+1)-'Price History'!I3)*(ROW()-3)/(MATCH(9.99E+307,'Returns (Calc)'!$A:$A)-3),"")</f>
        <v>51.937106918239</v>
      </c>
      <c r="AE10" s="155" t="n">
        <f aca="false">IFERROR('Price History'!J3+(INDEX('Price History'!J:J,MATCH(9.99E+307,'Returns (Calc)'!$A:$A)+1)-'Price History'!J3)*(ROW()-3)/(MATCH(9.99E+307,'Returns (Calc)'!$A:$A)-3),"")</f>
        <v>112.617044025157</v>
      </c>
      <c r="AF10" s="155" t="n">
        <f aca="false">IFERROR('Price History'!K3+(INDEX('Price History'!K:K,MATCH(9.99E+307,'Returns (Calc)'!$A:$A)+1)-'Price History'!K3)*(ROW()-3)/(MATCH(9.99E+307,'Returns (Calc)'!$A:$A)-3),"")</f>
        <v>23.8585534591195</v>
      </c>
      <c r="AG10" s="155" t="n">
        <f aca="false">IFERROR('Price History'!L3+(INDEX('Price History'!L:L,MATCH(9.99E+307,'Returns (Calc)'!$A:$A)+1)-'Price History'!L3)*(ROW()-3)/(MATCH(9.99E+307,'Returns (Calc)'!$A:$A)-3),"")</f>
        <v>101.931886792453</v>
      </c>
      <c r="AH10" s="155" t="n">
        <f aca="false">IFERROR('Price History'!M3+(INDEX('Price History'!M:M,MATCH(9.99E+307,'Returns (Calc)'!$A:$A)+1)-'Price History'!M3)*(ROW()-3)/(MATCH(9.99E+307,'Returns (Calc)'!$A:$A)-3),"")</f>
        <v>47.0345911949686</v>
      </c>
      <c r="AI10" s="155" t="n">
        <f aca="false">IFERROR('Price History'!N3+(INDEX('Price History'!N:N,MATCH(9.99E+307,'Returns (Calc)'!$A:$A)+1)-'Price History'!N3)*(ROW()-3)/(MATCH(9.99E+307,'Returns (Calc)'!$A:$A)-3),"")</f>
        <v>355.995974842767</v>
      </c>
      <c r="AJ10" s="155" t="n">
        <f aca="false">IFERROR('Price History'!O3+(INDEX('Price History'!O:O,MATCH(9.99E+307,'Returns (Calc)'!$A:$A)+1)-'Price History'!O3)*(ROW()-3)/(MATCH(9.99E+307,'Returns (Calc)'!$A:$A)-3),"")</f>
        <v>77.2616352201258</v>
      </c>
      <c r="AK10" s="155" t="n">
        <f aca="false">IFERROR('Price History'!Q3+(INDEX('Price History'!Q:Q,MATCH(9.99E+307,'Returns (Calc)'!$A:$A)+1)-'Price History'!Q3)*(ROW()-3)/(MATCH(9.99E+307,'Returns (Calc)'!$A:$A)-3),"")</f>
        <v>3.08044025157233</v>
      </c>
      <c r="AL10" s="155" t="n">
        <f aca="false">IFERROR('Price History'!R3+(INDEX('Price History'!R:R,MATCH(9.99E+307,'Returns (Calc)'!$A:$A)+1)-'Price History'!R3)*(ROW()-3)/(MATCH(9.99E+307,'Returns (Calc)'!$A:$A)-3),"")</f>
        <v>35.6515094339623</v>
      </c>
      <c r="AM10" s="155" t="n">
        <f aca="false">IFERROR('Price History'!S3+(INDEX('Price History'!S:S,MATCH(9.99E+307,'Returns (Calc)'!$A:$A)+1)-'Price History'!S3)*(ROW()-3)/(MATCH(9.99E+307,'Returns (Calc)'!$A:$A)-3),"")</f>
        <v>61.7476729559749</v>
      </c>
      <c r="AN10" s="155" t="n">
        <f aca="false">IFERROR('Price History'!T3+(INDEX('Price History'!T:T,MATCH(9.99E+307,'Returns (Calc)'!$A:$A)+1)-'Price History'!T3)*(ROW()-3)/(MATCH(9.99E+307,'Returns (Calc)'!$A:$A)-3),"")</f>
        <v>26.4072955974843</v>
      </c>
      <c r="AO10" s="156" t="n">
        <f aca="false">IFERROR('Price History'!V3+(INDEX('Price History'!V:V,MATCH(9.99E+307,'Returns (Calc)'!$A:$A)+1)-'Price History'!V3)*(ROW()-3)/(MATCH(9.99E+307,'Returns (Calc)'!$A:$A)-3),"")</f>
        <v>242.225849056604</v>
      </c>
      <c r="AP10" s="154" t="n">
        <f aca="false">IFERROR(IF(OR(NOT(ISNUMBER('Price History'!W11)),NOT(ISNUMBER('Price History'!W10)),'Price History'!W10=0),"",'Price History'!W11/'Price History'!W10-1),"")</f>
        <v>-0.0112888052681092</v>
      </c>
      <c r="AQ10" s="154" t="str">
        <f aca="false">IFERROR(IF(OR(NOT(ISNUMBER('Price History'!X11)),NOT(ISNUMBER('Price History'!X10)),'Price History'!X10=0),"",'Price History'!X11/'Price History'!X10-1),"")</f>
        <v/>
      </c>
      <c r="AR10" s="154" t="n">
        <f aca="false">IFERROR(IF(OR(NOT(ISNUMBER('Price History'!Y11)),NOT(ISNUMBER('Price History'!Y10)),'Price History'!Y10=0),"",'Price History'!Y11/'Price History'!Y10-1),"")</f>
        <v>0.00399529964747369</v>
      </c>
      <c r="AS10" s="154" t="n">
        <f aca="false">IFERROR(IF(OR(NOT(ISNUMBER('Price History'!Z11)),NOT(ISNUMBER('Price History'!Z10)),'Price History'!Z10=0),"",'Price History'!Z11/'Price History'!Z10-1),"")</f>
        <v>0.0582796957284963</v>
      </c>
      <c r="AT10" s="154" t="n">
        <f aca="false">IFERROR(IF(OR(NOT(ISNUMBER('Price History'!AA11)),NOT(ISNUMBER('Price History'!AA10)),'Price History'!AA10=0),"",'Price History'!AA11/'Price History'!AA10-1),"")</f>
        <v>0.0342275670675301</v>
      </c>
      <c r="AU10" s="154" t="n">
        <f aca="false">IFERROR(IF(OR(NOT(ISNUMBER('Price History'!AB11)),NOT(ISNUMBER('Price History'!AB10)),'Price History'!AB10=0),"",'Price History'!AB11/'Price History'!AB10-1),"")</f>
        <v>-0.151652191787862</v>
      </c>
    </row>
    <row r="11" customFormat="false" ht="15" hidden="false" customHeight="true" outlineLevel="0" collapsed="false">
      <c r="A11" s="152" t="n">
        <f aca="false">IF('Price History'!A12="","",'Price History'!A12)</f>
        <v>45247</v>
      </c>
      <c r="B11" s="153" t="n">
        <f aca="false">IFERROR(IF(OR(NOT(ISNUMBER('Price History'!B12)),NOT(ISNUMBER('Price History'!B11)),'Price History'!B11=0),"",'Price History'!B12/'Price History'!B11-1),"")</f>
        <v>0.00910887110277603</v>
      </c>
      <c r="C11" s="153" t="n">
        <f aca="false">IFERROR(IF(OR(NOT(ISNUMBER('Price History'!C12)),NOT(ISNUMBER('Price History'!C11)),'Price History'!C11=0),"",'Price History'!C12/'Price History'!C11-1),"")</f>
        <v>0.0377103074840455</v>
      </c>
      <c r="D11" s="153" t="n">
        <f aca="false">IFERROR(IF(OR(NOT(ISNUMBER('Price History'!D12)),NOT(ISNUMBER('Price History'!D11)),'Price History'!D11=0),"",'Price History'!D12/'Price History'!D11-1),"")</f>
        <v>0.0375135302304004</v>
      </c>
      <c r="E11" s="153" t="n">
        <f aca="false">IFERROR(IF(OR(NOT(ISNUMBER('Price History'!E12)),NOT(ISNUMBER('Price History'!E11)),'Price History'!E11=0),"",'Price History'!E12/'Price History'!E11-1),"")</f>
        <v>0.0211457546660914</v>
      </c>
      <c r="F11" s="153" t="n">
        <f aca="false">IFERROR(IF(OR(NOT(ISNUMBER('Price History'!F12)),NOT(ISNUMBER('Price History'!F11)),'Price History'!F11=0),"",'Price History'!F12/'Price History'!F11-1),"")</f>
        <v>0.0548084759576204</v>
      </c>
      <c r="G11" s="153" t="n">
        <f aca="false">IFERROR(IF(OR(NOT(ISNUMBER('Price History'!G12)),NOT(ISNUMBER('Price History'!G11)),'Price History'!G11=0),"",'Price History'!G12/'Price History'!G11-1),"")</f>
        <v>0.0220433199156602</v>
      </c>
      <c r="H11" s="153" t="n">
        <f aca="false">IFERROR(IF(OR(NOT(ISNUMBER('Price History'!H12)),NOT(ISNUMBER('Price History'!H11)),'Price History'!H11=0),"",'Price History'!H12/'Price History'!H11-1),"")</f>
        <v>0.029202947086403</v>
      </c>
      <c r="I11" s="153" t="n">
        <f aca="false">IFERROR(IF(OR(NOT(ISNUMBER('Price History'!I12)),NOT(ISNUMBER('Price History'!I11)),'Price History'!I11=0),"",'Price History'!I12/'Price History'!I11-1),"")</f>
        <v>0.0199211454658643</v>
      </c>
      <c r="J11" s="153" t="n">
        <f aca="false">IFERROR(IF(OR(NOT(ISNUMBER('Price History'!J12)),NOT(ISNUMBER('Price History'!J11)),'Price History'!J11=0),"",'Price History'!J12/'Price History'!J11-1),"")</f>
        <v>0.0527757294848834</v>
      </c>
      <c r="K11" s="153" t="n">
        <f aca="false">IFERROR(IF(OR(NOT(ISNUMBER('Price History'!K12)),NOT(ISNUMBER('Price History'!K11)),'Price History'!K11=0),"",'Price History'!K12/'Price History'!K11-1),"")</f>
        <v>0.0416878495170308</v>
      </c>
      <c r="L11" s="153" t="n">
        <f aca="false">IFERROR(IF(OR(NOT(ISNUMBER('Price History'!L12)),NOT(ISNUMBER('Price History'!L11)),'Price History'!L11=0),"",'Price History'!L12/'Price History'!L11-1),"")</f>
        <v>0.022003845332194</v>
      </c>
      <c r="M11" s="153" t="n">
        <f aca="false">IFERROR(IF(OR(NOT(ISNUMBER('Price History'!M12)),NOT(ISNUMBER('Price History'!M11)),'Price History'!M11=0),"",'Price History'!M12/'Price History'!M11-1),"")</f>
        <v>0.0347972162227022</v>
      </c>
      <c r="N11" s="153" t="n">
        <f aca="false">IFERROR(IF(OR(NOT(ISNUMBER('Price History'!N12)),NOT(ISNUMBER('Price History'!N11)),'Price History'!N11=0),"",'Price History'!N12/'Price History'!N11-1),"")</f>
        <v>-0.06195637628797</v>
      </c>
      <c r="O11" s="153" t="n">
        <f aca="false">IFERROR(IF(OR(NOT(ISNUMBER('Price History'!O12)),NOT(ISNUMBER('Price History'!O11)),'Price History'!O11=0),"",'Price History'!O12/'Price History'!O11-1),"")</f>
        <v>0.055524861878453</v>
      </c>
      <c r="P11" s="153" t="n">
        <f aca="false">IFERROR(IF(OR(NOT(ISNUMBER('Price History'!P12)),NOT(ISNUMBER('Price History'!P11)),'Price History'!P11=0),"",'Price History'!P12/'Price History'!P11-1),"")</f>
        <v>0.0354565422026985</v>
      </c>
      <c r="Q11" s="153" t="n">
        <f aca="false">IFERROR(IF(OR(NOT(ISNUMBER('Price History'!Q12)),NOT(ISNUMBER('Price History'!Q11)),'Price History'!Q11=0),"",'Price History'!Q12/'Price History'!Q11-1),"")</f>
        <v>0.0129327497015519</v>
      </c>
      <c r="R11" s="153" t="n">
        <f aca="false">IFERROR(IF(OR(NOT(ISNUMBER('Price History'!R12)),NOT(ISNUMBER('Price History'!R11)),'Price History'!R11=0),"",'Price History'!R12/'Price History'!R11-1),"")</f>
        <v>0.00934050382111518</v>
      </c>
      <c r="S11" s="153" t="n">
        <f aca="false">IFERROR(IF(OR(NOT(ISNUMBER('Price History'!S12)),NOT(ISNUMBER('Price History'!S11)),'Price History'!S11=0),"",'Price History'!S12/'Price History'!S11-1),"")</f>
        <v>0.0216618717211032</v>
      </c>
      <c r="T11" s="153" t="n">
        <f aca="false">IFERROR(IF(OR(NOT(ISNUMBER('Price History'!T12)),NOT(ISNUMBER('Price History'!T11)),'Price History'!T11=0),"",'Price History'!T12/'Price History'!T11-1),"")</f>
        <v>0.025713137806348</v>
      </c>
      <c r="U11" s="153" t="n">
        <f aca="false">IFERROR(IF(OR(NOT(ISNUMBER('Price History'!U12)),NOT(ISNUMBER('Price History'!U11)),'Price History'!U11=0),"",'Price History'!U12/'Price History'!U11-1),"")</f>
        <v>0.0240963855421688</v>
      </c>
      <c r="V11" s="154" t="n">
        <f aca="false">IFERROR(IF(OR(NOT(ISNUMBER('Price History'!V12)),NOT(ISNUMBER('Price History'!V11)),'Price History'!V11=0),"",'Price History'!V12/'Price History'!V11-1),"")</f>
        <v>0.0175664987720101</v>
      </c>
      <c r="W11" s="155" t="n">
        <f aca="false">IFERROR('Price History'!B3+(INDEX('Price History'!B:B,MATCH(9.99E+307,'Returns (Calc)'!$A:$A)+1)-'Price History'!B3)*(ROW()-3)/(MATCH(9.99E+307,'Returns (Calc)'!$A:$A)-3),"")</f>
        <v>514.468867924528</v>
      </c>
      <c r="X11" s="155" t="n">
        <f aca="false">IFERROR('Price History'!C3+(INDEX('Price History'!C:C,MATCH(9.99E+307,'Returns (Calc)'!$A:$A)+1)-'Price History'!C3)*(ROW()-3)/(MATCH(9.99E+307,'Returns (Calc)'!$A:$A)-3),"")</f>
        <v>54.7616352201258</v>
      </c>
      <c r="Y11" s="155" t="n">
        <f aca="false">IFERROR('Price History'!D3+(INDEX('Price History'!D:D,MATCH(9.99E+307,'Returns (Calc)'!$A:$A)+1)-'Price History'!D3)*(ROW()-3)/(MATCH(9.99E+307,'Returns (Calc)'!$A:$A)-3),"")</f>
        <v>642.303333333333</v>
      </c>
      <c r="Z11" s="155" t="n">
        <f aca="false">IFERROR('Price History'!E3+(INDEX('Price History'!E:E,MATCH(9.99E+307,'Returns (Calc)'!$A:$A)+1)-'Price History'!E3)*(ROW()-3)/(MATCH(9.99E+307,'Returns (Calc)'!$A:$A)-3),"")</f>
        <v>96.0649056603774</v>
      </c>
      <c r="AA11" s="155" t="n">
        <f aca="false">IFERROR('Price History'!F3+(INDEX('Price History'!F:F,MATCH(9.99E+307,'Returns (Calc)'!$A:$A)+1)-'Price History'!F3)*(ROW()-3)/(MATCH(9.99E+307,'Returns (Calc)'!$A:$A)-3),"")</f>
        <v>53.1174842767296</v>
      </c>
      <c r="AB11" s="155" t="n">
        <f aca="false">IFERROR('Price History'!G3+(INDEX('Price History'!G:G,MATCH(9.99E+307,'Returns (Calc)'!$A:$A)+1)-'Price History'!G3)*(ROW()-3)/(MATCH(9.99E+307,'Returns (Calc)'!$A:$A)-3),"")</f>
        <v>51.9585534591195</v>
      </c>
      <c r="AC11" s="155" t="n">
        <f aca="false">IFERROR('Price History'!H3+(INDEX('Price History'!H:H,MATCH(9.99E+307,'Returns (Calc)'!$A:$A)+1)-'Price History'!H3)*(ROW()-3)/(MATCH(9.99E+307,'Returns (Calc)'!$A:$A)-3),"")</f>
        <v>117.406352201258</v>
      </c>
      <c r="AD11" s="155" t="n">
        <f aca="false">IFERROR('Price History'!I3+(INDEX('Price History'!I:I,MATCH(9.99E+307,'Returns (Calc)'!$A:$A)+1)-'Price History'!I3)*(ROW()-3)/(MATCH(9.99E+307,'Returns (Calc)'!$A:$A)-3),"")</f>
        <v>53.1038364779874</v>
      </c>
      <c r="AE11" s="155" t="n">
        <f aca="false">IFERROR('Price History'!J3+(INDEX('Price History'!J:J,MATCH(9.99E+307,'Returns (Calc)'!$A:$A)+1)-'Price History'!J3)*(ROW()-3)/(MATCH(9.99E+307,'Returns (Calc)'!$A:$A)-3),"")</f>
        <v>112.728050314465</v>
      </c>
      <c r="AF11" s="155" t="n">
        <f aca="false">IFERROR('Price History'!K3+(INDEX('Price History'!K:K,MATCH(9.99E+307,'Returns (Calc)'!$A:$A)+1)-'Price History'!K3)*(ROW()-3)/(MATCH(9.99E+307,'Returns (Calc)'!$A:$A)-3),"")</f>
        <v>25.0769182389937</v>
      </c>
      <c r="AG11" s="155" t="n">
        <f aca="false">IFERROR('Price History'!L3+(INDEX('Price History'!L:L,MATCH(9.99E+307,'Returns (Calc)'!$A:$A)+1)-'Price History'!L3)*(ROW()-3)/(MATCH(9.99E+307,'Returns (Calc)'!$A:$A)-3),"")</f>
        <v>104.24358490566</v>
      </c>
      <c r="AH11" s="155" t="n">
        <f aca="false">IFERROR('Price History'!M3+(INDEX('Price History'!M:M,MATCH(9.99E+307,'Returns (Calc)'!$A:$A)+1)-'Price History'!M3)*(ROW()-3)/(MATCH(9.99E+307,'Returns (Calc)'!$A:$A)-3),"")</f>
        <v>48.3223899371069</v>
      </c>
      <c r="AI11" s="155" t="n">
        <f aca="false">IFERROR('Price History'!N3+(INDEX('Price History'!N:N,MATCH(9.99E+307,'Returns (Calc)'!$A:$A)+1)-'Price History'!N3)*(ROW()-3)/(MATCH(9.99E+307,'Returns (Calc)'!$A:$A)-3),"")</f>
        <v>357.009685534591</v>
      </c>
      <c r="AJ11" s="155" t="n">
        <f aca="false">IFERROR('Price History'!O3+(INDEX('Price History'!O:O,MATCH(9.99E+307,'Returns (Calc)'!$A:$A)+1)-'Price History'!O3)*(ROW()-3)/(MATCH(9.99E+307,'Returns (Calc)'!$A:$A)-3),"")</f>
        <v>77.5404402515723</v>
      </c>
      <c r="AK11" s="155" t="n">
        <f aca="false">IFERROR('Price History'!Q3+(INDEX('Price History'!Q:Q,MATCH(9.99E+307,'Returns (Calc)'!$A:$A)+1)-'Price History'!Q3)*(ROW()-3)/(MATCH(9.99E+307,'Returns (Calc)'!$A:$A)-3),"")</f>
        <v>3.52050314465409</v>
      </c>
      <c r="AL11" s="155" t="n">
        <f aca="false">IFERROR('Price History'!R3+(INDEX('Price History'!R:R,MATCH(9.99E+307,'Returns (Calc)'!$A:$A)+1)-'Price History'!R3)*(ROW()-3)/(MATCH(9.99E+307,'Returns (Calc)'!$A:$A)-3),"")</f>
        <v>35.8188679245283</v>
      </c>
      <c r="AM11" s="155" t="n">
        <f aca="false">IFERROR('Price History'!S3+(INDEX('Price History'!S:S,MATCH(9.99E+307,'Returns (Calc)'!$A:$A)+1)-'Price History'!S3)*(ROW()-3)/(MATCH(9.99E+307,'Returns (Calc)'!$A:$A)-3),"")</f>
        <v>62.3359119496855</v>
      </c>
      <c r="AN11" s="155" t="n">
        <f aca="false">IFERROR('Price History'!T3+(INDEX('Price History'!T:T,MATCH(9.99E+307,'Returns (Calc)'!$A:$A)+1)-'Price History'!T3)*(ROW()-3)/(MATCH(9.99E+307,'Returns (Calc)'!$A:$A)-3),"")</f>
        <v>26.5811949685535</v>
      </c>
      <c r="AO11" s="156" t="n">
        <f aca="false">IFERROR('Price History'!V3+(INDEX('Price History'!V:V,MATCH(9.99E+307,'Returns (Calc)'!$A:$A)+1)-'Price History'!V3)*(ROW()-3)/(MATCH(9.99E+307,'Returns (Calc)'!$A:$A)-3),"")</f>
        <v>243.168113207547</v>
      </c>
      <c r="AP11" s="154" t="n">
        <f aca="false">IFERROR(IF(OR(NOT(ISNUMBER('Price History'!W12)),NOT(ISNUMBER('Price History'!W11)),'Price History'!W11=0),"",'Price History'!W12/'Price History'!W11-1),"")</f>
        <v>0.025584099799133</v>
      </c>
      <c r="AQ11" s="154" t="str">
        <f aca="false">IFERROR(IF(OR(NOT(ISNUMBER('Price History'!X12)),NOT(ISNUMBER('Price History'!X11)),'Price History'!X11=0),"",'Price History'!X12/'Price History'!X11-1),"")</f>
        <v/>
      </c>
      <c r="AR11" s="154" t="n">
        <f aca="false">IFERROR(IF(OR(NOT(ISNUMBER('Price History'!Y12)),NOT(ISNUMBER('Price History'!Y11)),'Price History'!Y11=0),"",'Price History'!Y12/'Price History'!Y11-1),"")</f>
        <v>0.00866104868913875</v>
      </c>
      <c r="AS11" s="154" t="n">
        <f aca="false">IFERROR(IF(OR(NOT(ISNUMBER('Price History'!Z12)),NOT(ISNUMBER('Price History'!Z11)),'Price History'!Z11=0),"",'Price History'!Z12/'Price History'!Z11-1),"")</f>
        <v>0.0404732942607542</v>
      </c>
      <c r="AT11" s="154" t="n">
        <f aca="false">IFERROR(IF(OR(NOT(ISNUMBER('Price History'!AA12)),NOT(ISNUMBER('Price History'!AA11)),'Price History'!AA11=0),"",'Price History'!AA12/'Price History'!AA11-1),"")</f>
        <v>0.0418157423971379</v>
      </c>
      <c r="AU11" s="154" t="n">
        <f aca="false">IFERROR(IF(OR(NOT(ISNUMBER('Price History'!AB12)),NOT(ISNUMBER('Price History'!AB11)),'Price History'!AB11=0),"",'Price History'!AB12/'Price History'!AB11-1),"")</f>
        <v>0.0694208868427428</v>
      </c>
    </row>
    <row r="12" customFormat="false" ht="15" hidden="false" customHeight="true" outlineLevel="0" collapsed="false">
      <c r="A12" s="152" t="n">
        <f aca="false">IF('Price History'!A13="","",'Price History'!A13)</f>
        <v>45254</v>
      </c>
      <c r="B12" s="153" t="n">
        <f aca="false">IFERROR(IF(OR(NOT(ISNUMBER('Price History'!B13)),NOT(ISNUMBER('Price History'!B12)),'Price History'!B12=0),"",'Price History'!B13/'Price History'!B12-1),"")</f>
        <v>0.02782663525039</v>
      </c>
      <c r="C12" s="153" t="n">
        <f aca="false">IFERROR(IF(OR(NOT(ISNUMBER('Price History'!C13)),NOT(ISNUMBER('Price History'!C12)),'Price History'!C12=0),"",'Price History'!C13/'Price History'!C12-1),"")</f>
        <v>0.0175177040626167</v>
      </c>
      <c r="D12" s="153" t="n">
        <f aca="false">IFERROR(IF(OR(NOT(ISNUMBER('Price History'!D13)),NOT(ISNUMBER('Price History'!D12)),'Price History'!D12=0),"",'Price History'!D13/'Price History'!D12-1),"")</f>
        <v>0.00742220102539637</v>
      </c>
      <c r="E12" s="153" t="n">
        <f aca="false">IFERROR(IF(OR(NOT(ISNUMBER('Price History'!E13)),NOT(ISNUMBER('Price History'!E12)),'Price History'!E12=0),"",'Price History'!E13/'Price History'!E12-1),"")</f>
        <v>0.001162176439514</v>
      </c>
      <c r="F12" s="153" t="n">
        <f aca="false">IFERROR(IF(OR(NOT(ISNUMBER('Price History'!F13)),NOT(ISNUMBER('Price History'!F12)),'Price History'!F12=0),"",'Price History'!F13/'Price History'!F12-1),"")</f>
        <v>0.0173845856673749</v>
      </c>
      <c r="G12" s="153" t="n">
        <f aca="false">IFERROR(IF(OR(NOT(ISNUMBER('Price History'!G13)),NOT(ISNUMBER('Price History'!G12)),'Price History'!G12=0),"",'Price History'!G13/'Price History'!G12-1),"")</f>
        <v>0.0204426106526632</v>
      </c>
      <c r="H12" s="153" t="n">
        <f aca="false">IFERROR(IF(OR(NOT(ISNUMBER('Price History'!H13)),NOT(ISNUMBER('Price History'!H12)),'Price History'!H12=0),"",'Price History'!H13/'Price History'!H12-1),"")</f>
        <v>-0.00885070935832344</v>
      </c>
      <c r="I12" s="153" t="n">
        <f aca="false">IFERROR(IF(OR(NOT(ISNUMBER('Price History'!I13)),NOT(ISNUMBER('Price History'!I12)),'Price History'!I12=0),"",'Price History'!I13/'Price History'!I12-1),"")</f>
        <v>-0.0309257375381484</v>
      </c>
      <c r="J12" s="153" t="n">
        <f aca="false">IFERROR(IF(OR(NOT(ISNUMBER('Price History'!J13)),NOT(ISNUMBER('Price History'!J12)),'Price History'!J12=0),"",'Price History'!J13/'Price History'!J12-1),"")</f>
        <v>0.0175105063037824</v>
      </c>
      <c r="K12" s="153" t="n">
        <f aca="false">IFERROR(IF(OR(NOT(ISNUMBER('Price History'!K13)),NOT(ISNUMBER('Price History'!K12)),'Price History'!K12=0),"",'Price History'!K13/'Price History'!K12-1),"")</f>
        <v>-0.0629575402635432</v>
      </c>
      <c r="L12" s="153" t="n">
        <f aca="false">IFERROR(IF(OR(NOT(ISNUMBER('Price History'!L13)),NOT(ISNUMBER('Price History'!L12)),'Price History'!L12=0),"",'Price History'!L13/'Price History'!L12-1),"")</f>
        <v>-0.0175585284280937</v>
      </c>
      <c r="M12" s="153" t="n">
        <f aca="false">IFERROR(IF(OR(NOT(ISNUMBER('Price History'!M13)),NOT(ISNUMBER('Price History'!M12)),'Price History'!M12=0),"",'Price History'!M13/'Price History'!M12-1),"")</f>
        <v>-0.0139146567717995</v>
      </c>
      <c r="N12" s="153" t="n">
        <f aca="false">IFERROR(IF(OR(NOT(ISNUMBER('Price History'!N13)),NOT(ISNUMBER('Price History'!N12)),'Price History'!N12=0),"",'Price History'!N13/'Price History'!N12-1),"")</f>
        <v>0.00724679029957209</v>
      </c>
      <c r="O12" s="153" t="n">
        <f aca="false">IFERROR(IF(OR(NOT(ISNUMBER('Price History'!O13)),NOT(ISNUMBER('Price History'!O12)),'Price History'!O12=0),"",'Price History'!O13/'Price History'!O12-1),"")</f>
        <v>0.000130855796911966</v>
      </c>
      <c r="P12" s="153" t="n">
        <f aca="false">IFERROR(IF(OR(NOT(ISNUMBER('Price History'!P13)),NOT(ISNUMBER('Price History'!P12)),'Price History'!P12=0),"",'Price History'!P13/'Price History'!P12-1),"")</f>
        <v>0.0035353535353535</v>
      </c>
      <c r="Q12" s="153" t="n">
        <f aca="false">IFERROR(IF(OR(NOT(ISNUMBER('Price History'!Q13)),NOT(ISNUMBER('Price History'!Q12)),'Price History'!Q12=0),"",'Price History'!Q13/'Price History'!Q12-1),"")</f>
        <v>0.00432135140443934</v>
      </c>
      <c r="R12" s="153" t="n">
        <f aca="false">IFERROR(IF(OR(NOT(ISNUMBER('Price History'!R13)),NOT(ISNUMBER('Price History'!R12)),'Price History'!R12=0),"",'Price History'!R13/'Price History'!R12-1),"")</f>
        <v>0.00532809871003948</v>
      </c>
      <c r="S12" s="153" t="n">
        <f aca="false">IFERROR(IF(OR(NOT(ISNUMBER('Price History'!S13)),NOT(ISNUMBER('Price History'!S12)),'Price History'!S12=0),"",'Price History'!S13/'Price History'!S12-1),"")</f>
        <v>0.00546629120424069</v>
      </c>
      <c r="T12" s="153" t="n">
        <f aca="false">IFERROR(IF(OR(NOT(ISNUMBER('Price History'!T13)),NOT(ISNUMBER('Price History'!T12)),'Price History'!T12=0),"",'Price History'!T13/'Price History'!T12-1),"")</f>
        <v>0.00705052878965917</v>
      </c>
      <c r="U12" s="153" t="n">
        <f aca="false">IFERROR(IF(OR(NOT(ISNUMBER('Price History'!U13)),NOT(ISNUMBER('Price History'!U12)),'Price History'!U12=0),"",'Price History'!U13/'Price History'!U12-1),"")</f>
        <v>0.00941176470588223</v>
      </c>
      <c r="V12" s="154" t="n">
        <f aca="false">IFERROR(IF(OR(NOT(ISNUMBER('Price History'!V13)),NOT(ISNUMBER('Price History'!V12)),'Price History'!V12=0),"",'Price History'!V13/'Price History'!V12-1),"")</f>
        <v>0.019022294947842</v>
      </c>
      <c r="W12" s="155" t="n">
        <f aca="false">IFERROR('Price History'!B3+(INDEX('Price History'!B:B,MATCH(9.99E+307,'Returns (Calc)'!$A:$A)+1)-'Price History'!B3)*(ROW()-3)/(MATCH(9.99E+307,'Returns (Calc)'!$A:$A)-3),"")</f>
        <v>512.666226415094</v>
      </c>
      <c r="X12" s="155" t="n">
        <f aca="false">IFERROR('Price History'!C3+(INDEX('Price History'!C:C,MATCH(9.99E+307,'Returns (Calc)'!$A:$A)+1)-'Price History'!C3)*(ROW()-3)/(MATCH(9.99E+307,'Returns (Calc)'!$A:$A)-3),"")</f>
        <v>55.8343396226415</v>
      </c>
      <c r="Y12" s="155" t="n">
        <f aca="false">IFERROR('Price History'!D3+(INDEX('Price History'!D:D,MATCH(9.99E+307,'Returns (Calc)'!$A:$A)+1)-'Price History'!D3)*(ROW()-3)/(MATCH(9.99E+307,'Returns (Calc)'!$A:$A)-3),"")</f>
        <v>649.84</v>
      </c>
      <c r="Z12" s="155" t="n">
        <f aca="false">IFERROR('Price History'!E3+(INDEX('Price History'!E:E,MATCH(9.99E+307,'Returns (Calc)'!$A:$A)+1)-'Price History'!E3)*(ROW()-3)/(MATCH(9.99E+307,'Returns (Calc)'!$A:$A)-3),"")</f>
        <v>97.8230188679245</v>
      </c>
      <c r="AA12" s="155" t="n">
        <f aca="false">IFERROR('Price History'!F3+(INDEX('Price History'!F:F,MATCH(9.99E+307,'Returns (Calc)'!$A:$A)+1)-'Price History'!F3)*(ROW()-3)/(MATCH(9.99E+307,'Returns (Calc)'!$A:$A)-3),"")</f>
        <v>54.5871698113208</v>
      </c>
      <c r="AB12" s="155" t="n">
        <f aca="false">IFERROR('Price History'!G3+(INDEX('Price History'!G:G,MATCH(9.99E+307,'Returns (Calc)'!$A:$A)+1)-'Price History'!G3)*(ROW()-3)/(MATCH(9.99E+307,'Returns (Calc)'!$A:$A)-3),"")</f>
        <v>52.9096226415094</v>
      </c>
      <c r="AC12" s="155" t="n">
        <f aca="false">IFERROR('Price History'!H3+(INDEX('Price History'!H:H,MATCH(9.99E+307,'Returns (Calc)'!$A:$A)+1)-'Price History'!H3)*(ROW()-3)/(MATCH(9.99E+307,'Returns (Calc)'!$A:$A)-3),"")</f>
        <v>123.443396226415</v>
      </c>
      <c r="AD12" s="155" t="n">
        <f aca="false">IFERROR('Price History'!I3+(INDEX('Price History'!I:I,MATCH(9.99E+307,'Returns (Calc)'!$A:$A)+1)-'Price History'!I3)*(ROW()-3)/(MATCH(9.99E+307,'Returns (Calc)'!$A:$A)-3),"")</f>
        <v>54.2705660377359</v>
      </c>
      <c r="AE12" s="155" t="n">
        <f aca="false">IFERROR('Price History'!J3+(INDEX('Price History'!J:J,MATCH(9.99E+307,'Returns (Calc)'!$A:$A)+1)-'Price History'!J3)*(ROW()-3)/(MATCH(9.99E+307,'Returns (Calc)'!$A:$A)-3),"")</f>
        <v>112.839056603774</v>
      </c>
      <c r="AF12" s="155" t="n">
        <f aca="false">IFERROR('Price History'!K3+(INDEX('Price History'!K:K,MATCH(9.99E+307,'Returns (Calc)'!$A:$A)+1)-'Price History'!K3)*(ROW()-3)/(MATCH(9.99E+307,'Returns (Calc)'!$A:$A)-3),"")</f>
        <v>26.2952830188679</v>
      </c>
      <c r="AG12" s="155" t="n">
        <f aca="false">IFERROR('Price History'!L3+(INDEX('Price History'!L:L,MATCH(9.99E+307,'Returns (Calc)'!$A:$A)+1)-'Price History'!L3)*(ROW()-3)/(MATCH(9.99E+307,'Returns (Calc)'!$A:$A)-3),"")</f>
        <v>106.555283018868</v>
      </c>
      <c r="AH12" s="155" t="n">
        <f aca="false">IFERROR('Price History'!M3+(INDEX('Price History'!M:M,MATCH(9.99E+307,'Returns (Calc)'!$A:$A)+1)-'Price History'!M3)*(ROW()-3)/(MATCH(9.99E+307,'Returns (Calc)'!$A:$A)-3),"")</f>
        <v>49.6101886792453</v>
      </c>
      <c r="AI12" s="155" t="n">
        <f aca="false">IFERROR('Price History'!N3+(INDEX('Price History'!N:N,MATCH(9.99E+307,'Returns (Calc)'!$A:$A)+1)-'Price History'!N3)*(ROW()-3)/(MATCH(9.99E+307,'Returns (Calc)'!$A:$A)-3),"")</f>
        <v>358.023396226415</v>
      </c>
      <c r="AJ12" s="155" t="n">
        <f aca="false">IFERROR('Price History'!O3+(INDEX('Price History'!O:O,MATCH(9.99E+307,'Returns (Calc)'!$A:$A)+1)-'Price History'!O3)*(ROW()-3)/(MATCH(9.99E+307,'Returns (Calc)'!$A:$A)-3),"")</f>
        <v>77.8192452830189</v>
      </c>
      <c r="AK12" s="155" t="n">
        <f aca="false">IFERROR('Price History'!Q3+(INDEX('Price History'!Q:Q,MATCH(9.99E+307,'Returns (Calc)'!$A:$A)+1)-'Price History'!Q3)*(ROW()-3)/(MATCH(9.99E+307,'Returns (Calc)'!$A:$A)-3),"")</f>
        <v>3.96056603773585</v>
      </c>
      <c r="AL12" s="155" t="n">
        <f aca="false">IFERROR('Price History'!R3+(INDEX('Price History'!R:R,MATCH(9.99E+307,'Returns (Calc)'!$A:$A)+1)-'Price History'!R3)*(ROW()-3)/(MATCH(9.99E+307,'Returns (Calc)'!$A:$A)-3),"")</f>
        <v>35.9862264150943</v>
      </c>
      <c r="AM12" s="155" t="n">
        <f aca="false">IFERROR('Price History'!S3+(INDEX('Price History'!S:S,MATCH(9.99E+307,'Returns (Calc)'!$A:$A)+1)-'Price History'!S3)*(ROW()-3)/(MATCH(9.99E+307,'Returns (Calc)'!$A:$A)-3),"")</f>
        <v>62.9241509433962</v>
      </c>
      <c r="AN12" s="155" t="n">
        <f aca="false">IFERROR('Price History'!T3+(INDEX('Price History'!T:T,MATCH(9.99E+307,'Returns (Calc)'!$A:$A)+1)-'Price History'!T3)*(ROW()-3)/(MATCH(9.99E+307,'Returns (Calc)'!$A:$A)-3),"")</f>
        <v>26.7550943396226</v>
      </c>
      <c r="AO12" s="156" t="n">
        <f aca="false">IFERROR('Price History'!V3+(INDEX('Price History'!V:V,MATCH(9.99E+307,'Returns (Calc)'!$A:$A)+1)-'Price History'!V3)*(ROW()-3)/(MATCH(9.99E+307,'Returns (Calc)'!$A:$A)-3),"")</f>
        <v>244.110377358491</v>
      </c>
      <c r="AP12" s="154" t="n">
        <f aca="false">IFERROR(IF(OR(NOT(ISNUMBER('Price History'!W13)),NOT(ISNUMBER('Price History'!W12)),'Price History'!W12=0),"",'Price History'!W13/'Price History'!W12-1),"")</f>
        <v>0.0070095866405524</v>
      </c>
      <c r="AQ12" s="154" t="str">
        <f aca="false">IFERROR(IF(OR(NOT(ISNUMBER('Price History'!X13)),NOT(ISNUMBER('Price History'!X12)),'Price History'!X12=0),"",'Price History'!X13/'Price History'!X12-1),"")</f>
        <v/>
      </c>
      <c r="AR12" s="154" t="n">
        <f aca="false">IFERROR(IF(OR(NOT(ISNUMBER('Price History'!Y13)),NOT(ISNUMBER('Price History'!Y12)),'Price History'!Y12=0),"",'Price History'!Y13/'Price History'!Y12-1),"")</f>
        <v>0.00765838941749819</v>
      </c>
      <c r="AS12" s="154" t="n">
        <f aca="false">IFERROR(IF(OR(NOT(ISNUMBER('Price History'!Z13)),NOT(ISNUMBER('Price History'!Z12)),'Price History'!Z12=0),"",'Price History'!Z13/'Price History'!Z12-1),"")</f>
        <v>0.000318843660325197</v>
      </c>
      <c r="AT12" s="154" t="n">
        <f aca="false">IFERROR(IF(OR(NOT(ISNUMBER('Price History'!AA13)),NOT(ISNUMBER('Price History'!AA12)),'Price History'!AA12=0),"",'Price History'!AA13/'Price History'!AA12-1),"")</f>
        <v>0.0294054518136939</v>
      </c>
      <c r="AU12" s="154" t="n">
        <f aca="false">IFERROR(IF(OR(NOT(ISNUMBER('Price History'!AB13)),NOT(ISNUMBER('Price History'!AB12)),'Price History'!AB12=0),"",'Price History'!AB13/'Price History'!AB12-1),"")</f>
        <v>0.000169933159623881</v>
      </c>
    </row>
    <row r="13" customFormat="false" ht="15" hidden="false" customHeight="true" outlineLevel="0" collapsed="false">
      <c r="A13" s="152" t="n">
        <f aca="false">IF('Price History'!A14="","",'Price History'!A14)</f>
        <v>45261</v>
      </c>
      <c r="B13" s="153" t="n">
        <f aca="false">IFERROR(IF(OR(NOT(ISNUMBER('Price History'!B14)),NOT(ISNUMBER('Price History'!B13)),'Price History'!B13=0),"",'Price History'!B14/'Price History'!B13-1),"")</f>
        <v>-0.0112361364480247</v>
      </c>
      <c r="C13" s="153" t="n">
        <f aca="false">IFERROR(IF(OR(NOT(ISNUMBER('Price History'!C14)),NOT(ISNUMBER('Price History'!C13)),'Price History'!C13=0),"",'Price History'!C14/'Price History'!C13-1),"")</f>
        <v>-0.00805860805860814</v>
      </c>
      <c r="D13" s="153" t="n">
        <f aca="false">IFERROR(IF(OR(NOT(ISNUMBER('Price History'!D14)),NOT(ISNUMBER('Price History'!D13)),'Price History'!D13=0),"",'Price History'!D14/'Price History'!D13-1),"")</f>
        <v>0.00147942125040679</v>
      </c>
      <c r="E13" s="153" t="n">
        <f aca="false">IFERROR(IF(OR(NOT(ISNUMBER('Price History'!E14)),NOT(ISNUMBER('Price History'!E13)),'Price History'!E13=0),"",'Price History'!E14/'Price History'!E13-1),"")</f>
        <v>-0.0499155761924863</v>
      </c>
      <c r="F13" s="153" t="n">
        <f aca="false">IFERROR(IF(OR(NOT(ISNUMBER('Price History'!F14)),NOT(ISNUMBER('Price History'!F13)),'Price History'!F13=0),"",'Price History'!F14/'Price History'!F13-1),"")</f>
        <v>0.115625593316879</v>
      </c>
      <c r="G13" s="153" t="n">
        <f aca="false">IFERROR(IF(OR(NOT(ISNUMBER('Price History'!G14)),NOT(ISNUMBER('Price History'!G13)),'Price History'!G13=0),"",'Price History'!G14/'Price History'!G13-1),"")</f>
        <v>-0.0119463333945966</v>
      </c>
      <c r="H13" s="153" t="n">
        <f aca="false">IFERROR(IF(OR(NOT(ISNUMBER('Price History'!H14)),NOT(ISNUMBER('Price History'!H13)),'Price History'!H13=0),"",'Price History'!H14/'Price History'!H13-1),"")</f>
        <v>-0.0122127380170717</v>
      </c>
      <c r="I13" s="153" t="n">
        <f aca="false">IFERROR(IF(OR(NOT(ISNUMBER('Price History'!I14)),NOT(ISNUMBER('Price History'!I13)),'Price History'!I13=0),"",'Price History'!I14/'Price History'!I13-1),"")</f>
        <v>-0.0209951711106445</v>
      </c>
      <c r="J13" s="153" t="n">
        <f aca="false">IFERROR(IF(OR(NOT(ISNUMBER('Price History'!J14)),NOT(ISNUMBER('Price History'!J13)),'Price History'!J13=0),"",'Price History'!J14/'Price History'!J13-1),"")</f>
        <v>0.0558560330415971</v>
      </c>
      <c r="K13" s="153" t="n">
        <f aca="false">IFERROR(IF(OR(NOT(ISNUMBER('Price History'!K14)),NOT(ISNUMBER('Price History'!K13)),'Price History'!K13=0),"",'Price History'!K14/'Price History'!K13-1),"")</f>
        <v>0.0557291666666666</v>
      </c>
      <c r="L13" s="153" t="n">
        <f aca="false">IFERROR(IF(OR(NOT(ISNUMBER('Price History'!L14)),NOT(ISNUMBER('Price History'!L13)),'Price History'!L13=0),"",'Price History'!L14/'Price History'!L13-1),"")</f>
        <v>0.00734042553191494</v>
      </c>
      <c r="M13" s="153" t="n">
        <f aca="false">IFERROR(IF(OR(NOT(ISNUMBER('Price History'!M14)),NOT(ISNUMBER('Price History'!M13)),'Price History'!M13=0),"",'Price History'!M14/'Price History'!M13-1),"")</f>
        <v>0.0576199435559737</v>
      </c>
      <c r="N13" s="153" t="n">
        <f aca="false">IFERROR(IF(OR(NOT(ISNUMBER('Price History'!N14)),NOT(ISNUMBER('Price History'!N13)),'Price History'!N13=0),"",'Price History'!N14/'Price History'!N13-1),"")</f>
        <v>-0.00532517561749379</v>
      </c>
      <c r="O13" s="153" t="n">
        <f aca="false">IFERROR(IF(OR(NOT(ISNUMBER('Price History'!O14)),NOT(ISNUMBER('Price History'!O13)),'Price History'!O13=0),"",'Price History'!O14/'Price History'!O13-1),"")</f>
        <v>0.0334947010336253</v>
      </c>
      <c r="P13" s="153" t="n">
        <f aca="false">IFERROR(IF(OR(NOT(ISNUMBER('Price History'!P14)),NOT(ISNUMBER('Price History'!P13)),'Price History'!P13=0),"",'Price History'!P14/'Price History'!P13-1),"")</f>
        <v>0.0292903875188728</v>
      </c>
      <c r="Q13" s="153" t="n">
        <f aca="false">IFERROR(IF(OR(NOT(ISNUMBER('Price History'!Q14)),NOT(ISNUMBER('Price History'!Q13)),'Price History'!Q13=0),"",'Price History'!Q14/'Price History'!Q13-1),"")</f>
        <v>0.000977899471934274</v>
      </c>
      <c r="R13" s="153" t="n">
        <f aca="false">IFERROR(IF(OR(NOT(ISNUMBER('Price History'!R14)),NOT(ISNUMBER('Price History'!R13)),'Price History'!R13=0),"",'Price History'!R14/'Price History'!R13-1),"")</f>
        <v>0.00195258019525801</v>
      </c>
      <c r="S13" s="153" t="n">
        <f aca="false">IFERROR(IF(OR(NOT(ISNUMBER('Price History'!S14)),NOT(ISNUMBER('Price History'!S13)),'Price History'!S13=0),"",'Price History'!S14/'Price History'!S13-1),"")</f>
        <v>-0.0021416803953872</v>
      </c>
      <c r="T13" s="153" t="n">
        <f aca="false">IFERROR(IF(OR(NOT(ISNUMBER('Price History'!T14)),NOT(ISNUMBER('Price History'!T13)),'Price History'!T13=0),"",'Price History'!T14/'Price History'!T13-1),"")</f>
        <v>0.0136133800077789</v>
      </c>
      <c r="U13" s="153" t="n">
        <f aca="false">IFERROR(IF(OR(NOT(ISNUMBER('Price History'!U14)),NOT(ISNUMBER('Price History'!U13)),'Price History'!U13=0),"",'Price History'!U14/'Price History'!U13-1),"")</f>
        <v>0.0186480186480187</v>
      </c>
      <c r="V13" s="154" t="n">
        <f aca="false">IFERROR(IF(OR(NOT(ISNUMBER('Price History'!V14)),NOT(ISNUMBER('Price History'!V13)),'Price History'!V13=0),"",'Price History'!V14/'Price History'!V13-1),"")</f>
        <v>0.00843034925732633</v>
      </c>
      <c r="W13" s="155" t="n">
        <f aca="false">IFERROR('Price History'!B3+(INDEX('Price History'!B:B,MATCH(9.99E+307,'Returns (Calc)'!$A:$A)+1)-'Price History'!B3)*(ROW()-3)/(MATCH(9.99E+307,'Returns (Calc)'!$A:$A)-3),"")</f>
        <v>510.86358490566</v>
      </c>
      <c r="X13" s="155" t="n">
        <f aca="false">IFERROR('Price History'!C3+(INDEX('Price History'!C:C,MATCH(9.99E+307,'Returns (Calc)'!$A:$A)+1)-'Price History'!C3)*(ROW()-3)/(MATCH(9.99E+307,'Returns (Calc)'!$A:$A)-3),"")</f>
        <v>56.9070440251572</v>
      </c>
      <c r="Y13" s="155" t="n">
        <f aca="false">IFERROR('Price History'!D3+(INDEX('Price History'!D:D,MATCH(9.99E+307,'Returns (Calc)'!$A:$A)+1)-'Price History'!D3)*(ROW()-3)/(MATCH(9.99E+307,'Returns (Calc)'!$A:$A)-3),"")</f>
        <v>657.376666666667</v>
      </c>
      <c r="Z13" s="155" t="n">
        <f aca="false">IFERROR('Price History'!E3+(INDEX('Price History'!E:E,MATCH(9.99E+307,'Returns (Calc)'!$A:$A)+1)-'Price History'!E3)*(ROW()-3)/(MATCH(9.99E+307,'Returns (Calc)'!$A:$A)-3),"")</f>
        <v>99.5811320754717</v>
      </c>
      <c r="AA13" s="155" t="n">
        <f aca="false">IFERROR('Price History'!F3+(INDEX('Price History'!F:F,MATCH(9.99E+307,'Returns (Calc)'!$A:$A)+1)-'Price History'!F3)*(ROW()-3)/(MATCH(9.99E+307,'Returns (Calc)'!$A:$A)-3),"")</f>
        <v>56.056855345912</v>
      </c>
      <c r="AB13" s="155" t="n">
        <f aca="false">IFERROR('Price History'!G3+(INDEX('Price History'!G:G,MATCH(9.99E+307,'Returns (Calc)'!$A:$A)+1)-'Price History'!G3)*(ROW()-3)/(MATCH(9.99E+307,'Returns (Calc)'!$A:$A)-3),"")</f>
        <v>53.8606918238994</v>
      </c>
      <c r="AC13" s="155" t="n">
        <f aca="false">IFERROR('Price History'!H3+(INDEX('Price History'!H:H,MATCH(9.99E+307,'Returns (Calc)'!$A:$A)+1)-'Price History'!H3)*(ROW()-3)/(MATCH(9.99E+307,'Returns (Calc)'!$A:$A)-3),"")</f>
        <v>129.480440251572</v>
      </c>
      <c r="AD13" s="155" t="n">
        <f aca="false">IFERROR('Price History'!I3+(INDEX('Price History'!I:I,MATCH(9.99E+307,'Returns (Calc)'!$A:$A)+1)-'Price History'!I3)*(ROW()-3)/(MATCH(9.99E+307,'Returns (Calc)'!$A:$A)-3),"")</f>
        <v>55.4372955974843</v>
      </c>
      <c r="AE13" s="155" t="n">
        <f aca="false">IFERROR('Price History'!J3+(INDEX('Price History'!J:J,MATCH(9.99E+307,'Returns (Calc)'!$A:$A)+1)-'Price History'!J3)*(ROW()-3)/(MATCH(9.99E+307,'Returns (Calc)'!$A:$A)-3),"")</f>
        <v>112.950062893082</v>
      </c>
      <c r="AF13" s="155" t="n">
        <f aca="false">IFERROR('Price History'!K3+(INDEX('Price History'!K:K,MATCH(9.99E+307,'Returns (Calc)'!$A:$A)+1)-'Price History'!K3)*(ROW()-3)/(MATCH(9.99E+307,'Returns (Calc)'!$A:$A)-3),"")</f>
        <v>27.5136477987421</v>
      </c>
      <c r="AG13" s="155" t="n">
        <f aca="false">IFERROR('Price History'!L3+(INDEX('Price History'!L:L,MATCH(9.99E+307,'Returns (Calc)'!$A:$A)+1)-'Price History'!L3)*(ROW()-3)/(MATCH(9.99E+307,'Returns (Calc)'!$A:$A)-3),"")</f>
        <v>108.866981132075</v>
      </c>
      <c r="AH13" s="155" t="n">
        <f aca="false">IFERROR('Price History'!M3+(INDEX('Price History'!M:M,MATCH(9.99E+307,'Returns (Calc)'!$A:$A)+1)-'Price History'!M3)*(ROW()-3)/(MATCH(9.99E+307,'Returns (Calc)'!$A:$A)-3),"")</f>
        <v>50.8979874213837</v>
      </c>
      <c r="AI13" s="155" t="n">
        <f aca="false">IFERROR('Price History'!N3+(INDEX('Price History'!N:N,MATCH(9.99E+307,'Returns (Calc)'!$A:$A)+1)-'Price History'!N3)*(ROW()-3)/(MATCH(9.99E+307,'Returns (Calc)'!$A:$A)-3),"")</f>
        <v>359.037106918239</v>
      </c>
      <c r="AJ13" s="155" t="n">
        <f aca="false">IFERROR('Price History'!O3+(INDEX('Price History'!O:O,MATCH(9.99E+307,'Returns (Calc)'!$A:$A)+1)-'Price History'!O3)*(ROW()-3)/(MATCH(9.99E+307,'Returns (Calc)'!$A:$A)-3),"")</f>
        <v>78.0980503144654</v>
      </c>
      <c r="AK13" s="155" t="n">
        <f aca="false">IFERROR('Price History'!Q3+(INDEX('Price History'!Q:Q,MATCH(9.99E+307,'Returns (Calc)'!$A:$A)+1)-'Price History'!Q3)*(ROW()-3)/(MATCH(9.99E+307,'Returns (Calc)'!$A:$A)-3),"")</f>
        <v>4.40062893081761</v>
      </c>
      <c r="AL13" s="155" t="n">
        <f aca="false">IFERROR('Price History'!R3+(INDEX('Price History'!R:R,MATCH(9.99E+307,'Returns (Calc)'!$A:$A)+1)-'Price History'!R3)*(ROW()-3)/(MATCH(9.99E+307,'Returns (Calc)'!$A:$A)-3),"")</f>
        <v>36.1535849056604</v>
      </c>
      <c r="AM13" s="155" t="n">
        <f aca="false">IFERROR('Price History'!S3+(INDEX('Price History'!S:S,MATCH(9.99E+307,'Returns (Calc)'!$A:$A)+1)-'Price History'!S3)*(ROW()-3)/(MATCH(9.99E+307,'Returns (Calc)'!$A:$A)-3),"")</f>
        <v>63.5123899371069</v>
      </c>
      <c r="AN13" s="155" t="n">
        <f aca="false">IFERROR('Price History'!T3+(INDEX('Price History'!T:T,MATCH(9.99E+307,'Returns (Calc)'!$A:$A)+1)-'Price History'!T3)*(ROW()-3)/(MATCH(9.99E+307,'Returns (Calc)'!$A:$A)-3),"")</f>
        <v>26.9289937106918</v>
      </c>
      <c r="AO13" s="156" t="n">
        <f aca="false">IFERROR('Price History'!V3+(INDEX('Price History'!V:V,MATCH(9.99E+307,'Returns (Calc)'!$A:$A)+1)-'Price History'!V3)*(ROW()-3)/(MATCH(9.99E+307,'Returns (Calc)'!$A:$A)-3),"")</f>
        <v>245.052641509434</v>
      </c>
      <c r="AP13" s="154" t="n">
        <f aca="false">IFERROR(IF(OR(NOT(ISNUMBER('Price History'!W14)),NOT(ISNUMBER('Price History'!W13)),'Price History'!W13=0),"",'Price History'!W14/'Price History'!W13-1),"")</f>
        <v>0.0172996212508956</v>
      </c>
      <c r="AQ13" s="154" t="str">
        <f aca="false">IFERROR(IF(OR(NOT(ISNUMBER('Price History'!X14)),NOT(ISNUMBER('Price History'!X13)),'Price History'!X13=0),"",'Price History'!X14/'Price History'!X13-1),"")</f>
        <v/>
      </c>
      <c r="AR13" s="154" t="n">
        <f aca="false">IFERROR(IF(OR(NOT(ISNUMBER('Price History'!Y14)),NOT(ISNUMBER('Price History'!Y13)),'Price History'!Y13=0),"",'Price History'!Y14/'Price History'!Y13-1),"")</f>
        <v>0.00460617227084281</v>
      </c>
      <c r="AS13" s="154" t="n">
        <f aca="false">IFERROR(IF(OR(NOT(ISNUMBER('Price History'!Z14)),NOT(ISNUMBER('Price History'!Z13)),'Price History'!Z13=0),"",'Price History'!Z14/'Price History'!Z13-1),"")</f>
        <v>0.0211432214194645</v>
      </c>
      <c r="AT13" s="154" t="n">
        <f aca="false">IFERROR(IF(OR(NOT(ISNUMBER('Price History'!AA14)),NOT(ISNUMBER('Price History'!AA13)),'Price History'!AA13=0),"",'Price History'!AA14/'Price History'!AA13-1),"")</f>
        <v>-0.0289824854045038</v>
      </c>
      <c r="AU13" s="154" t="n">
        <f aca="false">IFERROR(IF(OR(NOT(ISNUMBER('Price History'!AB14)),NOT(ISNUMBER('Price History'!AB13)),'Price History'!AB13=0),"",'Price History'!AB14/'Price History'!AB13-1),"")</f>
        <v>0.0128560910686981</v>
      </c>
    </row>
    <row r="14" customFormat="false" ht="15" hidden="false" customHeight="true" outlineLevel="0" collapsed="false">
      <c r="A14" s="152" t="n">
        <f aca="false">IF('Price History'!A15="","",'Price History'!A15)</f>
        <v>45268</v>
      </c>
      <c r="B14" s="153" t="n">
        <f aca="false">IFERROR(IF(OR(NOT(ISNUMBER('Price History'!B15)),NOT(ISNUMBER('Price History'!B14)),'Price History'!B14=0),"",'Price History'!B15/'Price History'!B14-1),"")</f>
        <v>-0.00401652325828206</v>
      </c>
      <c r="C14" s="153" t="n">
        <f aca="false">IFERROR(IF(OR(NOT(ISNUMBER('Price History'!C15)),NOT(ISNUMBER('Price History'!C14)),'Price History'!C14=0),"",'Price History'!C15/'Price History'!C14-1),"")</f>
        <v>0.0341580502215657</v>
      </c>
      <c r="D14" s="153" t="n">
        <f aca="false">IFERROR(IF(OR(NOT(ISNUMBER('Price History'!D15)),NOT(ISNUMBER('Price History'!D14)),'Price History'!D14=0),"",'Price History'!D15/'Price History'!D14-1),"")</f>
        <v>0.00610098383904045</v>
      </c>
      <c r="E14" s="153" t="n">
        <f aca="false">IFERROR(IF(OR(NOT(ISNUMBER('Price History'!E15)),NOT(ISNUMBER('Price History'!E14)),'Price History'!E14=0),"",'Price History'!E15/'Price History'!E14-1),"")</f>
        <v>0.0153282239253583</v>
      </c>
      <c r="F14" s="153" t="n">
        <f aca="false">IFERROR(IF(OR(NOT(ISNUMBER('Price History'!F15)),NOT(ISNUMBER('Price History'!F14)),'Price History'!F14=0),"",'Price History'!F15/'Price History'!F14-1),"")</f>
        <v>0.0319945541184479</v>
      </c>
      <c r="G14" s="153" t="n">
        <f aca="false">IFERROR(IF(OR(NOT(ISNUMBER('Price History'!G15)),NOT(ISNUMBER('Price History'!G14)),'Price History'!G14=0),"",'Price History'!G15/'Price History'!G14-1),"")</f>
        <v>-0.0265997023809523</v>
      </c>
      <c r="H14" s="153" t="n">
        <f aca="false">IFERROR(IF(OR(NOT(ISNUMBER('Price History'!H15)),NOT(ISNUMBER('Price History'!H14)),'Price History'!H14=0),"",'Price History'!H15/'Price History'!H14-1),"")</f>
        <v>-0.0127625631480989</v>
      </c>
      <c r="I14" s="153" t="n">
        <f aca="false">IFERROR(IF(OR(NOT(ISNUMBER('Price History'!I15)),NOT(ISNUMBER('Price History'!I14)),'Price History'!I14=0),"",'Price History'!I15/'Price History'!I14-1),"")</f>
        <v>0.0158696118378725</v>
      </c>
      <c r="J14" s="153" t="n">
        <f aca="false">IFERROR(IF(OR(NOT(ISNUMBER('Price History'!J15)),NOT(ISNUMBER('Price History'!J14)),'Price History'!J14=0),"",'Price History'!J15/'Price History'!J14-1),"")</f>
        <v>0.0135047033622053</v>
      </c>
      <c r="K14" s="153" t="n">
        <f aca="false">IFERROR(IF(OR(NOT(ISNUMBER('Price History'!K15)),NOT(ISNUMBER('Price History'!K14)),'Price History'!K14=0),"",'Price History'!K15/'Price History'!K14-1),"")</f>
        <v>-0.123334977799704</v>
      </c>
      <c r="L14" s="153" t="n">
        <f aca="false">IFERROR(IF(OR(NOT(ISNUMBER('Price History'!L15)),NOT(ISNUMBER('Price History'!L14)),'Price History'!L14=0),"",'Price History'!L15/'Price History'!L14-1),"")</f>
        <v>0.0182701446826488</v>
      </c>
      <c r="M14" s="153" t="n">
        <f aca="false">IFERROR(IF(OR(NOT(ISNUMBER('Price History'!M15)),NOT(ISNUMBER('Price History'!M14)),'Price History'!M14=0),"",'Price History'!M15/'Price History'!M14-1),"")</f>
        <v>0.0446964643095396</v>
      </c>
      <c r="N14" s="153" t="n">
        <f aca="false">IFERROR(IF(OR(NOT(ISNUMBER('Price History'!N15)),NOT(ISNUMBER('Price History'!N14)),'Price History'!N14=0),"",'Price History'!N15/'Price History'!N14-1),"")</f>
        <v>-0.0028761817974714</v>
      </c>
      <c r="O14" s="153" t="n">
        <f aca="false">IFERROR(IF(OR(NOT(ISNUMBER('Price History'!O15)),NOT(ISNUMBER('Price History'!O14)),'Price History'!O14=0),"",'Price History'!O15/'Price History'!O14-1),"")</f>
        <v>0.00835548803646047</v>
      </c>
      <c r="P14" s="153" t="n">
        <f aca="false">IFERROR(IF(OR(NOT(ISNUMBER('Price History'!P15)),NOT(ISNUMBER('Price History'!P14)),'Price History'!P14=0),"",'Price History'!P15/'Price History'!P14-1),"")</f>
        <v>0.00215137883825545</v>
      </c>
      <c r="Q14" s="153" t="n">
        <f aca="false">IFERROR(IF(OR(NOT(ISNUMBER('Price History'!Q15)),NOT(ISNUMBER('Price History'!Q14)),'Price History'!Q14=0),"",'Price History'!Q15/'Price History'!Q14-1),"")</f>
        <v>0.00371238765142623</v>
      </c>
      <c r="R14" s="153" t="n">
        <f aca="false">IFERROR(IF(OR(NOT(ISNUMBER('Price History'!R15)),NOT(ISNUMBER('Price History'!R14)),'Price History'!R14=0),"",'Price History'!R15/'Price History'!R14-1),"")</f>
        <v>0.0072383073496658</v>
      </c>
      <c r="S14" s="153" t="n">
        <f aca="false">IFERROR(IF(OR(NOT(ISNUMBER('Price History'!S15)),NOT(ISNUMBER('Price History'!S14)),'Price History'!S14=0),"",'Price History'!S15/'Price History'!S14-1),"")</f>
        <v>0.00363216113587583</v>
      </c>
      <c r="T14" s="153" t="n">
        <f aca="false">IFERROR(IF(OR(NOT(ISNUMBER('Price History'!T15)),NOT(ISNUMBER('Price History'!T14)),'Price History'!T14=0),"",'Price History'!T15/'Price History'!T14-1),"")</f>
        <v>0.00844205679201848</v>
      </c>
      <c r="U14" s="153" t="n">
        <f aca="false">IFERROR(IF(OR(NOT(ISNUMBER('Price History'!U15)),NOT(ISNUMBER('Price History'!U14)),'Price History'!U14=0),"",'Price History'!U15/'Price History'!U14-1),"")</f>
        <v>0.0018306636155605</v>
      </c>
      <c r="V14" s="154" t="n">
        <f aca="false">IFERROR(IF(OR(NOT(ISNUMBER('Price History'!V15)),NOT(ISNUMBER('Price History'!V14)),'Price History'!V14=0),"",'Price History'!V15/'Price History'!V14-1),"")</f>
        <v>-0.00274681528662424</v>
      </c>
      <c r="W14" s="155" t="n">
        <f aca="false">IFERROR('Price History'!B3+(INDEX('Price History'!B:B,MATCH(9.99E+307,'Returns (Calc)'!$A:$A)+1)-'Price History'!B3)*(ROW()-3)/(MATCH(9.99E+307,'Returns (Calc)'!$A:$A)-3),"")</f>
        <v>509.060943396226</v>
      </c>
      <c r="X14" s="155" t="n">
        <f aca="false">IFERROR('Price History'!C3+(INDEX('Price History'!C:C,MATCH(9.99E+307,'Returns (Calc)'!$A:$A)+1)-'Price History'!C3)*(ROW()-3)/(MATCH(9.99E+307,'Returns (Calc)'!$A:$A)-3),"")</f>
        <v>57.979748427673</v>
      </c>
      <c r="Y14" s="155" t="n">
        <f aca="false">IFERROR('Price History'!D3+(INDEX('Price History'!D:D,MATCH(9.99E+307,'Returns (Calc)'!$A:$A)+1)-'Price History'!D3)*(ROW()-3)/(MATCH(9.99E+307,'Returns (Calc)'!$A:$A)-3),"")</f>
        <v>664.913333333333</v>
      </c>
      <c r="Z14" s="155" t="n">
        <f aca="false">IFERROR('Price History'!E3+(INDEX('Price History'!E:E,MATCH(9.99E+307,'Returns (Calc)'!$A:$A)+1)-'Price History'!E3)*(ROW()-3)/(MATCH(9.99E+307,'Returns (Calc)'!$A:$A)-3),"")</f>
        <v>101.339245283019</v>
      </c>
      <c r="AA14" s="155" t="n">
        <f aca="false">IFERROR('Price History'!F3+(INDEX('Price History'!F:F,MATCH(9.99E+307,'Returns (Calc)'!$A:$A)+1)-'Price History'!F3)*(ROW()-3)/(MATCH(9.99E+307,'Returns (Calc)'!$A:$A)-3),"")</f>
        <v>57.5265408805032</v>
      </c>
      <c r="AB14" s="155" t="n">
        <f aca="false">IFERROR('Price History'!G3+(INDEX('Price History'!G:G,MATCH(9.99E+307,'Returns (Calc)'!$A:$A)+1)-'Price History'!G3)*(ROW()-3)/(MATCH(9.99E+307,'Returns (Calc)'!$A:$A)-3),"")</f>
        <v>54.8117610062893</v>
      </c>
      <c r="AC14" s="155" t="n">
        <f aca="false">IFERROR('Price History'!H3+(INDEX('Price History'!H:H,MATCH(9.99E+307,'Returns (Calc)'!$A:$A)+1)-'Price History'!H3)*(ROW()-3)/(MATCH(9.99E+307,'Returns (Calc)'!$A:$A)-3),"")</f>
        <v>135.51748427673</v>
      </c>
      <c r="AD14" s="155" t="n">
        <f aca="false">IFERROR('Price History'!I3+(INDEX('Price History'!I:I,MATCH(9.99E+307,'Returns (Calc)'!$A:$A)+1)-'Price History'!I3)*(ROW()-3)/(MATCH(9.99E+307,'Returns (Calc)'!$A:$A)-3),"")</f>
        <v>56.6040251572327</v>
      </c>
      <c r="AE14" s="155" t="n">
        <f aca="false">IFERROR('Price History'!J3+(INDEX('Price History'!J:J,MATCH(9.99E+307,'Returns (Calc)'!$A:$A)+1)-'Price History'!J3)*(ROW()-3)/(MATCH(9.99E+307,'Returns (Calc)'!$A:$A)-3),"")</f>
        <v>113.06106918239</v>
      </c>
      <c r="AF14" s="155" t="n">
        <f aca="false">IFERROR('Price History'!K3+(INDEX('Price History'!K:K,MATCH(9.99E+307,'Returns (Calc)'!$A:$A)+1)-'Price History'!K3)*(ROW()-3)/(MATCH(9.99E+307,'Returns (Calc)'!$A:$A)-3),"")</f>
        <v>28.7320125786164</v>
      </c>
      <c r="AG14" s="155" t="n">
        <f aca="false">IFERROR('Price History'!L3+(INDEX('Price History'!L:L,MATCH(9.99E+307,'Returns (Calc)'!$A:$A)+1)-'Price History'!L3)*(ROW()-3)/(MATCH(9.99E+307,'Returns (Calc)'!$A:$A)-3),"")</f>
        <v>111.178679245283</v>
      </c>
      <c r="AH14" s="155" t="n">
        <f aca="false">IFERROR('Price History'!M3+(INDEX('Price History'!M:M,MATCH(9.99E+307,'Returns (Calc)'!$A:$A)+1)-'Price History'!M3)*(ROW()-3)/(MATCH(9.99E+307,'Returns (Calc)'!$A:$A)-3),"")</f>
        <v>52.185786163522</v>
      </c>
      <c r="AI14" s="155" t="n">
        <f aca="false">IFERROR('Price History'!N3+(INDEX('Price History'!N:N,MATCH(9.99E+307,'Returns (Calc)'!$A:$A)+1)-'Price History'!N3)*(ROW()-3)/(MATCH(9.99E+307,'Returns (Calc)'!$A:$A)-3),"")</f>
        <v>360.050817610063</v>
      </c>
      <c r="AJ14" s="155" t="n">
        <f aca="false">IFERROR('Price History'!O3+(INDEX('Price History'!O:O,MATCH(9.99E+307,'Returns (Calc)'!$A:$A)+1)-'Price History'!O3)*(ROW()-3)/(MATCH(9.99E+307,'Returns (Calc)'!$A:$A)-3),"")</f>
        <v>78.376855345912</v>
      </c>
      <c r="AK14" s="155" t="n">
        <f aca="false">IFERROR('Price History'!Q3+(INDEX('Price History'!Q:Q,MATCH(9.99E+307,'Returns (Calc)'!$A:$A)+1)-'Price History'!Q3)*(ROW()-3)/(MATCH(9.99E+307,'Returns (Calc)'!$A:$A)-3),"")</f>
        <v>4.84069182389937</v>
      </c>
      <c r="AL14" s="155" t="n">
        <f aca="false">IFERROR('Price History'!R3+(INDEX('Price History'!R:R,MATCH(9.99E+307,'Returns (Calc)'!$A:$A)+1)-'Price History'!R3)*(ROW()-3)/(MATCH(9.99E+307,'Returns (Calc)'!$A:$A)-3),"")</f>
        <v>36.3209433962264</v>
      </c>
      <c r="AM14" s="155" t="n">
        <f aca="false">IFERROR('Price History'!S3+(INDEX('Price History'!S:S,MATCH(9.99E+307,'Returns (Calc)'!$A:$A)+1)-'Price History'!S3)*(ROW()-3)/(MATCH(9.99E+307,'Returns (Calc)'!$A:$A)-3),"")</f>
        <v>64.1006289308176</v>
      </c>
      <c r="AN14" s="155" t="n">
        <f aca="false">IFERROR('Price History'!T3+(INDEX('Price History'!T:T,MATCH(9.99E+307,'Returns (Calc)'!$A:$A)+1)-'Price History'!T3)*(ROW()-3)/(MATCH(9.99E+307,'Returns (Calc)'!$A:$A)-3),"")</f>
        <v>27.102893081761</v>
      </c>
      <c r="AO14" s="156" t="n">
        <f aca="false">IFERROR('Price History'!V3+(INDEX('Price History'!V:V,MATCH(9.99E+307,'Returns (Calc)'!$A:$A)+1)-'Price History'!V3)*(ROW()-3)/(MATCH(9.99E+307,'Returns (Calc)'!$A:$A)-3),"")</f>
        <v>245.994905660377</v>
      </c>
      <c r="AP14" s="154" t="n">
        <f aca="false">IFERROR(IF(OR(NOT(ISNUMBER('Price History'!W15)),NOT(ISNUMBER('Price History'!W14)),'Price History'!W14=0),"",'Price History'!W15/'Price History'!W14-1),"")</f>
        <v>-0.00231434896357408</v>
      </c>
      <c r="AQ14" s="154" t="str">
        <f aca="false">IFERROR(IF(OR(NOT(ISNUMBER('Price History'!X15)),NOT(ISNUMBER('Price History'!X14)),'Price History'!X14=0),"",'Price History'!X15/'Price History'!X14-1),"")</f>
        <v/>
      </c>
      <c r="AR14" s="154" t="n">
        <f aca="false">IFERROR(IF(OR(NOT(ISNUMBER('Price History'!Y15)),NOT(ISNUMBER('Price History'!Y14)),'Price History'!Y14=0),"",'Price History'!Y15/'Price History'!Y14-1),"")</f>
        <v>-0.00298028427326902</v>
      </c>
      <c r="AS14" s="154" t="n">
        <f aca="false">IFERROR(IF(OR(NOT(ISNUMBER('Price History'!Z15)),NOT(ISNUMBER('Price History'!Z14)),'Price History'!Z14=0),"",'Price History'!Z15/'Price History'!Z14-1),"")</f>
        <v>-0.0156071168452815</v>
      </c>
      <c r="AT14" s="154" t="n">
        <f aca="false">IFERROR(IF(OR(NOT(ISNUMBER('Price History'!AA15)),NOT(ISNUMBER('Price History'!AA14)),'Price History'!AA14=0),"",'Price History'!AA15/'Price History'!AA14-1),"")</f>
        <v>-0.0255529310715052</v>
      </c>
      <c r="AU14" s="154" t="n">
        <f aca="false">IFERROR(IF(OR(NOT(ISNUMBER('Price History'!AB15)),NOT(ISNUMBER('Price History'!AB14)),'Price History'!AB14=0),"",'Price History'!AB15/'Price History'!AB14-1),"")</f>
        <v>-0.0342764482218743</v>
      </c>
    </row>
    <row r="15" customFormat="false" ht="15" hidden="false" customHeight="true" outlineLevel="0" collapsed="false">
      <c r="A15" s="152" t="n">
        <f aca="false">IF('Price History'!A16="","",'Price History'!A16)</f>
        <v>45275</v>
      </c>
      <c r="B15" s="153" t="n">
        <f aca="false">IFERROR(IF(OR(NOT(ISNUMBER('Price History'!B16)),NOT(ISNUMBER('Price History'!B15)),'Price History'!B15=0),"",'Price History'!B16/'Price History'!B15-1),"")</f>
        <v>-0.0415239094441076</v>
      </c>
      <c r="C15" s="153" t="n">
        <f aca="false">IFERROR(IF(OR(NOT(ISNUMBER('Price History'!C16)),NOT(ISNUMBER('Price History'!C15)),'Price History'!C15=0),"",'Price History'!C16/'Price History'!C15-1),"")</f>
        <v>0.0515979289412605</v>
      </c>
      <c r="D15" s="153" t="n">
        <f aca="false">IFERROR(IF(OR(NOT(ISNUMBER('Price History'!D16)),NOT(ISNUMBER('Price History'!D15)),'Price History'!D15=0),"",'Price History'!D16/'Price History'!D15-1),"")</f>
        <v>0.0811810827080917</v>
      </c>
      <c r="E15" s="153" t="n">
        <f aca="false">IFERROR(IF(OR(NOT(ISNUMBER('Price History'!E16)),NOT(ISNUMBER('Price History'!E15)),'Price History'!E15=0),"",'Price History'!E16/'Price History'!E15-1),"")</f>
        <v>0.1964774094738</v>
      </c>
      <c r="F15" s="153" t="n">
        <f aca="false">IFERROR(IF(OR(NOT(ISNUMBER('Price History'!F16)),NOT(ISNUMBER('Price History'!F15)),'Price History'!F15=0),"",'Price History'!F16/'Price History'!F15-1),"")</f>
        <v>0.0722295514511873</v>
      </c>
      <c r="G15" s="153" t="n">
        <f aca="false">IFERROR(IF(OR(NOT(ISNUMBER('Price History'!G16)),NOT(ISNUMBER('Price History'!G15)),'Price History'!G15=0),"",'Price History'!G16/'Price History'!G15-1),"")</f>
        <v>0.0947831072042806</v>
      </c>
      <c r="H15" s="153" t="n">
        <f aca="false">IFERROR(IF(OR(NOT(ISNUMBER('Price History'!H16)),NOT(ISNUMBER('Price History'!H15)),'Price History'!H15=0),"",'Price History'!H16/'Price History'!H15-1),"")</f>
        <v>0.0859143549690278</v>
      </c>
      <c r="I15" s="153" t="n">
        <f aca="false">IFERROR(IF(OR(NOT(ISNUMBER('Price History'!I16)),NOT(ISNUMBER('Price History'!I15)),'Price History'!I15=0),"",'Price History'!I16/'Price History'!I15-1),"")</f>
        <v>0.0291323622545916</v>
      </c>
      <c r="J15" s="153" t="n">
        <f aca="false">IFERROR(IF(OR(NOT(ISNUMBER('Price History'!J16)),NOT(ISNUMBER('Price History'!J15)),'Price History'!J15=0),"",'Price History'!J16/'Price History'!J15-1),"")</f>
        <v>0.127366292960853</v>
      </c>
      <c r="K15" s="153" t="n">
        <f aca="false">IFERROR(IF(OR(NOT(ISNUMBER('Price History'!K16)),NOT(ISNUMBER('Price History'!K15)),'Price History'!K15=0),"",'Price History'!K16/'Price History'!K15-1),"")</f>
        <v>0.024198086662915</v>
      </c>
      <c r="L15" s="153" t="n">
        <f aca="false">IFERROR(IF(OR(NOT(ISNUMBER('Price History'!L16)),NOT(ISNUMBER('Price History'!L15)),'Price History'!L15=0),"",'Price History'!L16/'Price History'!L15-1),"")</f>
        <v>0.0266542211159511</v>
      </c>
      <c r="M15" s="153" t="n">
        <f aca="false">IFERROR(IF(OR(NOT(ISNUMBER('Price History'!M16)),NOT(ISNUMBER('Price History'!M15)),'Price History'!M15=0),"",'Price History'!M16/'Price History'!M15-1),"")</f>
        <v>0.0125585355470415</v>
      </c>
      <c r="N15" s="153" t="n">
        <f aca="false">IFERROR(IF(OR(NOT(ISNUMBER('Price History'!N16)),NOT(ISNUMBER('Price History'!N15)),'Price History'!N15=0),"",'Price History'!N16/'Price History'!N15-1),"")</f>
        <v>0.172868770526917</v>
      </c>
      <c r="O15" s="153" t="n">
        <f aca="false">IFERROR(IF(OR(NOT(ISNUMBER('Price History'!O16)),NOT(ISNUMBER('Price History'!O15)),'Price History'!O15=0),"",'Price History'!O16/'Price History'!O15-1),"")</f>
        <v>0.0548650345260513</v>
      </c>
      <c r="P15" s="153" t="n">
        <f aca="false">IFERROR(IF(OR(NOT(ISNUMBER('Price History'!P16)),NOT(ISNUMBER('Price History'!P15)),'Price History'!P15=0),"",'Price History'!P16/'Price History'!P15-1),"")</f>
        <v>0.0298594847775175</v>
      </c>
      <c r="Q15" s="153" t="n">
        <f aca="false">IFERROR(IF(OR(NOT(ISNUMBER('Price History'!Q16)),NOT(ISNUMBER('Price History'!Q15)),'Price History'!Q15=0),"",'Price History'!Q16/'Price History'!Q15-1),"")</f>
        <v>0.00914930893517618</v>
      </c>
      <c r="R15" s="153" t="n">
        <f aca="false">IFERROR(IF(OR(NOT(ISNUMBER('Price History'!R16)),NOT(ISNUMBER('Price History'!R15)),'Price History'!R15=0),"",'Price History'!R16/'Price History'!R15-1),"")</f>
        <v>0.0152017689331121</v>
      </c>
      <c r="S15" s="153" t="n">
        <f aca="false">IFERROR(IF(OR(NOT(ISNUMBER('Price History'!S16)),NOT(ISNUMBER('Price History'!S15)),'Price History'!S15=0),"",'Price History'!S16/'Price History'!S15-1),"")</f>
        <v>0.0342161539726928</v>
      </c>
      <c r="T15" s="153" t="n">
        <f aca="false">IFERROR(IF(OR(NOT(ISNUMBER('Price History'!T16)),NOT(ISNUMBER('Price History'!T15)),'Price History'!T15=0),"",'Price History'!T16/'Price History'!T15-1),"")</f>
        <v>0.0277777777777779</v>
      </c>
      <c r="U15" s="153" t="n">
        <f aca="false">IFERROR(IF(OR(NOT(ISNUMBER('Price History'!U16)),NOT(ISNUMBER('Price History'!U15)),'Price History'!U15=0),"",'Price History'!U16/'Price History'!U15-1),"")</f>
        <v>0.0402010050251256</v>
      </c>
      <c r="V15" s="154" t="n">
        <f aca="false">IFERROR(IF(OR(NOT(ISNUMBER('Price History'!V16)),NOT(ISNUMBER('Price History'!V15)),'Price History'!V15=0),"",'Price History'!V16/'Price History'!V15-1),"")</f>
        <v>0.00894175881202353</v>
      </c>
      <c r="W15" s="155" t="n">
        <f aca="false">IFERROR('Price History'!B3+(INDEX('Price History'!B:B,MATCH(9.99E+307,'Returns (Calc)'!$A:$A)+1)-'Price History'!B3)*(ROW()-3)/(MATCH(9.99E+307,'Returns (Calc)'!$A:$A)-3),"")</f>
        <v>507.258301886792</v>
      </c>
      <c r="X15" s="155" t="n">
        <f aca="false">IFERROR('Price History'!C3+(INDEX('Price History'!C:C,MATCH(9.99E+307,'Returns (Calc)'!$A:$A)+1)-'Price History'!C3)*(ROW()-3)/(MATCH(9.99E+307,'Returns (Calc)'!$A:$A)-3),"")</f>
        <v>59.0524528301887</v>
      </c>
      <c r="Y15" s="155" t="n">
        <f aca="false">IFERROR('Price History'!D3+(INDEX('Price History'!D:D,MATCH(9.99E+307,'Returns (Calc)'!$A:$A)+1)-'Price History'!D3)*(ROW()-3)/(MATCH(9.99E+307,'Returns (Calc)'!$A:$A)-3),"")</f>
        <v>672.45</v>
      </c>
      <c r="Z15" s="155" t="n">
        <f aca="false">IFERROR('Price History'!E3+(INDEX('Price History'!E:E,MATCH(9.99E+307,'Returns (Calc)'!$A:$A)+1)-'Price History'!E3)*(ROW()-3)/(MATCH(9.99E+307,'Returns (Calc)'!$A:$A)-3),"")</f>
        <v>103.097358490566</v>
      </c>
      <c r="AA15" s="155" t="n">
        <f aca="false">IFERROR('Price History'!F3+(INDEX('Price History'!F:F,MATCH(9.99E+307,'Returns (Calc)'!$A:$A)+1)-'Price History'!F3)*(ROW()-3)/(MATCH(9.99E+307,'Returns (Calc)'!$A:$A)-3),"")</f>
        <v>58.9962264150943</v>
      </c>
      <c r="AB15" s="155" t="n">
        <f aca="false">IFERROR('Price History'!G3+(INDEX('Price History'!G:G,MATCH(9.99E+307,'Returns (Calc)'!$A:$A)+1)-'Price History'!G3)*(ROW()-3)/(MATCH(9.99E+307,'Returns (Calc)'!$A:$A)-3),"")</f>
        <v>55.7628301886792</v>
      </c>
      <c r="AC15" s="155" t="n">
        <f aca="false">IFERROR('Price History'!H3+(INDEX('Price History'!H:H,MATCH(9.99E+307,'Returns (Calc)'!$A:$A)+1)-'Price History'!H3)*(ROW()-3)/(MATCH(9.99E+307,'Returns (Calc)'!$A:$A)-3),"")</f>
        <v>141.554528301887</v>
      </c>
      <c r="AD15" s="155" t="n">
        <f aca="false">IFERROR('Price History'!I3+(INDEX('Price History'!I:I,MATCH(9.99E+307,'Returns (Calc)'!$A:$A)+1)-'Price History'!I3)*(ROW()-3)/(MATCH(9.99E+307,'Returns (Calc)'!$A:$A)-3),"")</f>
        <v>57.7707547169811</v>
      </c>
      <c r="AE15" s="155" t="n">
        <f aca="false">IFERROR('Price History'!J3+(INDEX('Price History'!J:J,MATCH(9.99E+307,'Returns (Calc)'!$A:$A)+1)-'Price History'!J3)*(ROW()-3)/(MATCH(9.99E+307,'Returns (Calc)'!$A:$A)-3),"")</f>
        <v>113.172075471698</v>
      </c>
      <c r="AF15" s="155" t="n">
        <f aca="false">IFERROR('Price History'!K3+(INDEX('Price History'!K:K,MATCH(9.99E+307,'Returns (Calc)'!$A:$A)+1)-'Price History'!K3)*(ROW()-3)/(MATCH(9.99E+307,'Returns (Calc)'!$A:$A)-3),"")</f>
        <v>29.9503773584906</v>
      </c>
      <c r="AG15" s="155" t="n">
        <f aca="false">IFERROR('Price History'!L3+(INDEX('Price History'!L:L,MATCH(9.99E+307,'Returns (Calc)'!$A:$A)+1)-'Price History'!L3)*(ROW()-3)/(MATCH(9.99E+307,'Returns (Calc)'!$A:$A)-3),"")</f>
        <v>113.490377358491</v>
      </c>
      <c r="AH15" s="155" t="n">
        <f aca="false">IFERROR('Price History'!M3+(INDEX('Price History'!M:M,MATCH(9.99E+307,'Returns (Calc)'!$A:$A)+1)-'Price History'!M3)*(ROW()-3)/(MATCH(9.99E+307,'Returns (Calc)'!$A:$A)-3),"")</f>
        <v>53.4735849056604</v>
      </c>
      <c r="AI15" s="155" t="n">
        <f aca="false">IFERROR('Price History'!N3+(INDEX('Price History'!N:N,MATCH(9.99E+307,'Returns (Calc)'!$A:$A)+1)-'Price History'!N3)*(ROW()-3)/(MATCH(9.99E+307,'Returns (Calc)'!$A:$A)-3),"")</f>
        <v>361.064528301887</v>
      </c>
      <c r="AJ15" s="155" t="n">
        <f aca="false">IFERROR('Price History'!O3+(INDEX('Price History'!O:O,MATCH(9.99E+307,'Returns (Calc)'!$A:$A)+1)-'Price History'!O3)*(ROW()-3)/(MATCH(9.99E+307,'Returns (Calc)'!$A:$A)-3),"")</f>
        <v>78.6556603773585</v>
      </c>
      <c r="AK15" s="155" t="n">
        <f aca="false">IFERROR('Price History'!Q3+(INDEX('Price History'!Q:Q,MATCH(9.99E+307,'Returns (Calc)'!$A:$A)+1)-'Price History'!Q3)*(ROW()-3)/(MATCH(9.99E+307,'Returns (Calc)'!$A:$A)-3),"")</f>
        <v>5.28075471698113</v>
      </c>
      <c r="AL15" s="155" t="n">
        <f aca="false">IFERROR('Price History'!R3+(INDEX('Price History'!R:R,MATCH(9.99E+307,'Returns (Calc)'!$A:$A)+1)-'Price History'!R3)*(ROW()-3)/(MATCH(9.99E+307,'Returns (Calc)'!$A:$A)-3),"")</f>
        <v>36.4883018867925</v>
      </c>
      <c r="AM15" s="155" t="n">
        <f aca="false">IFERROR('Price History'!S3+(INDEX('Price History'!S:S,MATCH(9.99E+307,'Returns (Calc)'!$A:$A)+1)-'Price History'!S3)*(ROW()-3)/(MATCH(9.99E+307,'Returns (Calc)'!$A:$A)-3),"")</f>
        <v>64.6888679245283</v>
      </c>
      <c r="AN15" s="155" t="n">
        <f aca="false">IFERROR('Price History'!T3+(INDEX('Price History'!T:T,MATCH(9.99E+307,'Returns (Calc)'!$A:$A)+1)-'Price History'!T3)*(ROW()-3)/(MATCH(9.99E+307,'Returns (Calc)'!$A:$A)-3),"")</f>
        <v>27.2767924528302</v>
      </c>
      <c r="AO15" s="156" t="n">
        <f aca="false">IFERROR('Price History'!V3+(INDEX('Price History'!V:V,MATCH(9.99E+307,'Returns (Calc)'!$A:$A)+1)-'Price History'!V3)*(ROW()-3)/(MATCH(9.99E+307,'Returns (Calc)'!$A:$A)-3),"")</f>
        <v>246.937169811321</v>
      </c>
      <c r="AP15" s="154" t="n">
        <f aca="false">IFERROR(IF(OR(NOT(ISNUMBER('Price History'!W16)),NOT(ISNUMBER('Price History'!W15)),'Price History'!W15=0),"",'Price History'!W16/'Price History'!W15-1),"")</f>
        <v>0.0343923348461925</v>
      </c>
      <c r="AQ15" s="154" t="str">
        <f aca="false">IFERROR(IF(OR(NOT(ISNUMBER('Price History'!X16)),NOT(ISNUMBER('Price History'!X15)),'Price History'!X15=0),"",'Price History'!X16/'Price History'!X15-1),"")</f>
        <v/>
      </c>
      <c r="AR15" s="154" t="n">
        <f aca="false">IFERROR(IF(OR(NOT(ISNUMBER('Price History'!Y16)),NOT(ISNUMBER('Price History'!Y15)),'Price History'!Y15=0),"",'Price History'!Y16/'Price History'!Y15-1),"")</f>
        <v>0.0121867095884112</v>
      </c>
      <c r="AS15" s="154" t="n">
        <f aca="false">IFERROR(IF(OR(NOT(ISNUMBER('Price History'!Z16)),NOT(ISNUMBER('Price History'!Z15)),'Price History'!Z15=0),"",'Price History'!Z16/'Price History'!Z15-1),"")</f>
        <v>0.0218792939435579</v>
      </c>
      <c r="AT15" s="154" t="n">
        <f aca="false">IFERROR(IF(OR(NOT(ISNUMBER('Price History'!AA16)),NOT(ISNUMBER('Price History'!AA15)),'Price History'!AA15=0),"",'Price History'!AA16/'Price History'!AA15-1),"")</f>
        <v>0.0403261348611723</v>
      </c>
      <c r="AU15" s="154" t="n">
        <f aca="false">IFERROR(IF(OR(NOT(ISNUMBER('Price History'!AB16)),NOT(ISNUMBER('Price History'!AB15)),'Price History'!AB15=0),"",'Price History'!AB16/'Price History'!AB15-1),"")</f>
        <v>0.0460888194082565</v>
      </c>
    </row>
    <row r="16" customFormat="false" ht="15" hidden="false" customHeight="true" outlineLevel="0" collapsed="false">
      <c r="A16" s="152" t="n">
        <f aca="false">IF('Price History'!A17="","",'Price History'!A17)</f>
        <v>45282</v>
      </c>
      <c r="B16" s="153" t="n">
        <f aca="false">IFERROR(IF(OR(NOT(ISNUMBER('Price History'!B17)),NOT(ISNUMBER('Price History'!B16)),'Price History'!B16=0),"",'Price History'!B17/'Price History'!B16-1),"")</f>
        <v>0.0240644455086545</v>
      </c>
      <c r="C16" s="153" t="n">
        <f aca="false">IFERROR(IF(OR(NOT(ISNUMBER('Price History'!C17)),NOT(ISNUMBER('Price History'!C16)),'Price History'!C16=0),"",'Price History'!C17/'Price History'!C16-1),"")</f>
        <v>0.0112054329371818</v>
      </c>
      <c r="D16" s="153" t="n">
        <f aca="false">IFERROR(IF(OR(NOT(ISNUMBER('Price History'!D17)),NOT(ISNUMBER('Price History'!D16)),'Price History'!D16=0),"",'Price History'!D17/'Price History'!D16-1),"")</f>
        <v>-0.000570373187028017</v>
      </c>
      <c r="E16" s="153" t="n">
        <f aca="false">IFERROR(IF(OR(NOT(ISNUMBER('Price History'!E17)),NOT(ISNUMBER('Price History'!E16)),'Price History'!E16=0),"",'Price History'!E17/'Price History'!E16-1),"")</f>
        <v>-0.00237725153149859</v>
      </c>
      <c r="F16" s="153" t="n">
        <f aca="false">IFERROR(IF(OR(NOT(ISNUMBER('Price History'!F17)),NOT(ISNUMBER('Price History'!F16)),'Price History'!F16=0),"",'Price History'!F17/'Price History'!F16-1),"")</f>
        <v>-0.0170716702553061</v>
      </c>
      <c r="G16" s="153" t="n">
        <f aca="false">IFERROR(IF(OR(NOT(ISNUMBER('Price History'!G17)),NOT(ISNUMBER('Price History'!G16)),'Price History'!G16=0),"",'Price History'!G17/'Price History'!G16-1),"")</f>
        <v>-0.00418921277709905</v>
      </c>
      <c r="H16" s="153" t="n">
        <f aca="false">IFERROR(IF(OR(NOT(ISNUMBER('Price History'!H17)),NOT(ISNUMBER('Price History'!H16)),'Price History'!H16=0),"",'Price History'!H17/'Price History'!H16-1),"")</f>
        <v>0.0625</v>
      </c>
      <c r="I16" s="153" t="n">
        <f aca="false">IFERROR(IF(OR(NOT(ISNUMBER('Price History'!I17)),NOT(ISNUMBER('Price History'!I16)),'Price History'!I16=0),"",'Price History'!I17/'Price History'!I16-1),"")</f>
        <v>-0.00123076923076926</v>
      </c>
      <c r="J16" s="153" t="n">
        <f aca="false">IFERROR(IF(OR(NOT(ISNUMBER('Price History'!J17)),NOT(ISNUMBER('Price History'!J16)),'Price History'!J16=0),"",'Price History'!J17/'Price History'!J16-1),"")</f>
        <v>-0.013857189435931</v>
      </c>
      <c r="K16" s="153" t="n">
        <f aca="false">IFERROR(IF(OR(NOT(ISNUMBER('Price History'!K17)),NOT(ISNUMBER('Price History'!K16)),'Price History'!K16=0),"",'Price History'!K17/'Price History'!K16-1),"")</f>
        <v>-0.0434065934065934</v>
      </c>
      <c r="L16" s="153" t="n">
        <f aca="false">IFERROR(IF(OR(NOT(ISNUMBER('Price History'!L17)),NOT(ISNUMBER('Price History'!L16)),'Price History'!L16=0),"",'Price History'!L17/'Price History'!L16-1),"")</f>
        <v>0.00585917769471656</v>
      </c>
      <c r="M16" s="153" t="n">
        <f aca="false">IFERROR(IF(OR(NOT(ISNUMBER('Price History'!M17)),NOT(ISNUMBER('Price History'!M16)),'Price History'!M16=0),"",'Price History'!M17/'Price History'!M16-1),"")</f>
        <v>0.0220727349169645</v>
      </c>
      <c r="N16" s="153" t="n">
        <f aca="false">IFERROR(IF(OR(NOT(ISNUMBER('Price History'!N17)),NOT(ISNUMBER('Price History'!N16)),'Price History'!N16=0),"",'Price History'!N17/'Price History'!N16-1),"")</f>
        <v>-0.0132219733125548</v>
      </c>
      <c r="O16" s="153" t="n">
        <f aca="false">IFERROR(IF(OR(NOT(ISNUMBER('Price History'!O17)),NOT(ISNUMBER('Price History'!O16)),'Price History'!O16=0),"",'Price History'!O17/'Price History'!O16-1),"")</f>
        <v>0.0277314925017853</v>
      </c>
      <c r="P16" s="153" t="n">
        <f aca="false">IFERROR(IF(OR(NOT(ISNUMBER('Price History'!P17)),NOT(ISNUMBER('Price History'!P16)),'Price History'!P16=0),"",'Price History'!P17/'Price History'!P16-1),"")</f>
        <v>0.00265302255069155</v>
      </c>
      <c r="Q16" s="153" t="n">
        <f aca="false">IFERROR(IF(OR(NOT(ISNUMBER('Price History'!Q17)),NOT(ISNUMBER('Price History'!Q16)),'Price History'!Q16=0),"",'Price History'!Q17/'Price History'!Q16-1),"")</f>
        <v>0.00115740740740722</v>
      </c>
      <c r="R16" s="153" t="n">
        <f aca="false">IFERROR(IF(OR(NOT(ISNUMBER('Price History'!R17)),NOT(ISNUMBER('Price History'!R16)),'Price History'!R16=0),"",'Price History'!R17/'Price History'!R16-1),"")</f>
        <v>0.00299482711679833</v>
      </c>
      <c r="S16" s="153" t="n">
        <f aca="false">IFERROR(IF(OR(NOT(ISNUMBER('Price History'!S17)),NOT(ISNUMBER('Price History'!S16)),'Price History'!S16=0),"",'Price History'!S17/'Price History'!S16-1),"")</f>
        <v>0.014951487195801</v>
      </c>
      <c r="T16" s="153" t="n">
        <f aca="false">IFERROR(IF(OR(NOT(ISNUMBER('Price History'!T17)),NOT(ISNUMBER('Price History'!T16)),'Price History'!T16=0),"",'Price History'!T17/'Price History'!T16-1),"")</f>
        <v>0.0122176971492038</v>
      </c>
      <c r="U16" s="153" t="n">
        <f aca="false">IFERROR(IF(OR(NOT(ISNUMBER('Price History'!U17)),NOT(ISNUMBER('Price History'!U16)),'Price History'!U16=0),"",'Price History'!U17/'Price History'!U16-1),"")</f>
        <v>0.00527009222661401</v>
      </c>
      <c r="V16" s="154" t="n">
        <f aca="false">IFERROR(IF(OR(NOT(ISNUMBER('Price History'!V17)),NOT(ISNUMBER('Price History'!V16)),'Price History'!V16=0),"",'Price History'!V17/'Price History'!V16-1),"")</f>
        <v>0.0015430267062313</v>
      </c>
      <c r="W16" s="155" t="n">
        <f aca="false">IFERROR('Price History'!B3+(INDEX('Price History'!B:B,MATCH(9.99E+307,'Returns (Calc)'!$A:$A)+1)-'Price History'!B3)*(ROW()-3)/(MATCH(9.99E+307,'Returns (Calc)'!$A:$A)-3),"")</f>
        <v>505.455660377358</v>
      </c>
      <c r="X16" s="155" t="n">
        <f aca="false">IFERROR('Price History'!C3+(INDEX('Price History'!C:C,MATCH(9.99E+307,'Returns (Calc)'!$A:$A)+1)-'Price History'!C3)*(ROW()-3)/(MATCH(9.99E+307,'Returns (Calc)'!$A:$A)-3),"")</f>
        <v>60.1251572327044</v>
      </c>
      <c r="Y16" s="155" t="n">
        <f aca="false">IFERROR('Price History'!D3+(INDEX('Price History'!D:D,MATCH(9.99E+307,'Returns (Calc)'!$A:$A)+1)-'Price History'!D3)*(ROW()-3)/(MATCH(9.99E+307,'Returns (Calc)'!$A:$A)-3),"")</f>
        <v>679.986666666667</v>
      </c>
      <c r="Z16" s="155" t="n">
        <f aca="false">IFERROR('Price History'!E3+(INDEX('Price History'!E:E,MATCH(9.99E+307,'Returns (Calc)'!$A:$A)+1)-'Price History'!E3)*(ROW()-3)/(MATCH(9.99E+307,'Returns (Calc)'!$A:$A)-3),"")</f>
        <v>104.855471698113</v>
      </c>
      <c r="AA16" s="155" t="n">
        <f aca="false">IFERROR('Price History'!F3+(INDEX('Price History'!F:F,MATCH(9.99E+307,'Returns (Calc)'!$A:$A)+1)-'Price History'!F3)*(ROW()-3)/(MATCH(9.99E+307,'Returns (Calc)'!$A:$A)-3),"")</f>
        <v>60.4659119496855</v>
      </c>
      <c r="AB16" s="155" t="n">
        <f aca="false">IFERROR('Price History'!G3+(INDEX('Price History'!G:G,MATCH(9.99E+307,'Returns (Calc)'!$A:$A)+1)-'Price History'!G3)*(ROW()-3)/(MATCH(9.99E+307,'Returns (Calc)'!$A:$A)-3),"")</f>
        <v>56.7138993710692</v>
      </c>
      <c r="AC16" s="155" t="n">
        <f aca="false">IFERROR('Price History'!H3+(INDEX('Price History'!H:H,MATCH(9.99E+307,'Returns (Calc)'!$A:$A)+1)-'Price History'!H3)*(ROW()-3)/(MATCH(9.99E+307,'Returns (Calc)'!$A:$A)-3),"")</f>
        <v>147.591572327044</v>
      </c>
      <c r="AD16" s="155" t="n">
        <f aca="false">IFERROR('Price History'!I3+(INDEX('Price History'!I:I,MATCH(9.99E+307,'Returns (Calc)'!$A:$A)+1)-'Price History'!I3)*(ROW()-3)/(MATCH(9.99E+307,'Returns (Calc)'!$A:$A)-3),"")</f>
        <v>58.9374842767296</v>
      </c>
      <c r="AE16" s="155" t="n">
        <f aca="false">IFERROR('Price History'!J3+(INDEX('Price History'!J:J,MATCH(9.99E+307,'Returns (Calc)'!$A:$A)+1)-'Price History'!J3)*(ROW()-3)/(MATCH(9.99E+307,'Returns (Calc)'!$A:$A)-3),"")</f>
        <v>113.283081761006</v>
      </c>
      <c r="AF16" s="155" t="n">
        <f aca="false">IFERROR('Price History'!K3+(INDEX('Price History'!K:K,MATCH(9.99E+307,'Returns (Calc)'!$A:$A)+1)-'Price History'!K3)*(ROW()-3)/(MATCH(9.99E+307,'Returns (Calc)'!$A:$A)-3),"")</f>
        <v>31.1687421383648</v>
      </c>
      <c r="AG16" s="155" t="n">
        <f aca="false">IFERROR('Price History'!L3+(INDEX('Price History'!L:L,MATCH(9.99E+307,'Returns (Calc)'!$A:$A)+1)-'Price History'!L3)*(ROW()-3)/(MATCH(9.99E+307,'Returns (Calc)'!$A:$A)-3),"")</f>
        <v>115.802075471698</v>
      </c>
      <c r="AH16" s="155" t="n">
        <f aca="false">IFERROR('Price History'!M3+(INDEX('Price History'!M:M,MATCH(9.99E+307,'Returns (Calc)'!$A:$A)+1)-'Price History'!M3)*(ROW()-3)/(MATCH(9.99E+307,'Returns (Calc)'!$A:$A)-3),"")</f>
        <v>54.7613836477987</v>
      </c>
      <c r="AI16" s="155" t="n">
        <f aca="false">IFERROR('Price History'!N3+(INDEX('Price History'!N:N,MATCH(9.99E+307,'Returns (Calc)'!$A:$A)+1)-'Price History'!N3)*(ROW()-3)/(MATCH(9.99E+307,'Returns (Calc)'!$A:$A)-3),"")</f>
        <v>362.078238993711</v>
      </c>
      <c r="AJ16" s="155" t="n">
        <f aca="false">IFERROR('Price History'!O3+(INDEX('Price History'!O:O,MATCH(9.99E+307,'Returns (Calc)'!$A:$A)+1)-'Price History'!O3)*(ROW()-3)/(MATCH(9.99E+307,'Returns (Calc)'!$A:$A)-3),"")</f>
        <v>78.934465408805</v>
      </c>
      <c r="AK16" s="155" t="n">
        <f aca="false">IFERROR('Price History'!Q3+(INDEX('Price History'!Q:Q,MATCH(9.99E+307,'Returns (Calc)'!$A:$A)+1)-'Price History'!Q3)*(ROW()-3)/(MATCH(9.99E+307,'Returns (Calc)'!$A:$A)-3),"")</f>
        <v>5.72081761006289</v>
      </c>
      <c r="AL16" s="155" t="n">
        <f aca="false">IFERROR('Price History'!R3+(INDEX('Price History'!R:R,MATCH(9.99E+307,'Returns (Calc)'!$A:$A)+1)-'Price History'!R3)*(ROW()-3)/(MATCH(9.99E+307,'Returns (Calc)'!$A:$A)-3),"")</f>
        <v>36.6556603773585</v>
      </c>
      <c r="AM16" s="155" t="n">
        <f aca="false">IFERROR('Price History'!S3+(INDEX('Price History'!S:S,MATCH(9.99E+307,'Returns (Calc)'!$A:$A)+1)-'Price History'!S3)*(ROW()-3)/(MATCH(9.99E+307,'Returns (Calc)'!$A:$A)-3),"")</f>
        <v>65.277106918239</v>
      </c>
      <c r="AN16" s="155" t="n">
        <f aca="false">IFERROR('Price History'!T3+(INDEX('Price History'!T:T,MATCH(9.99E+307,'Returns (Calc)'!$A:$A)+1)-'Price History'!T3)*(ROW()-3)/(MATCH(9.99E+307,'Returns (Calc)'!$A:$A)-3),"")</f>
        <v>27.4506918238994</v>
      </c>
      <c r="AO16" s="156" t="n">
        <f aca="false">IFERROR('Price History'!V3+(INDEX('Price History'!V:V,MATCH(9.99E+307,'Returns (Calc)'!$A:$A)+1)-'Price History'!V3)*(ROW()-3)/(MATCH(9.99E+307,'Returns (Calc)'!$A:$A)-3),"")</f>
        <v>247.879433962264</v>
      </c>
      <c r="AP16" s="154" t="n">
        <f aca="false">IFERROR(IF(OR(NOT(ISNUMBER('Price History'!W17)),NOT(ISNUMBER('Price History'!W16)),'Price History'!W16=0),"",'Price History'!W17/'Price History'!W16-1),"")</f>
        <v>0.0068252730109204</v>
      </c>
      <c r="AQ16" s="154" t="str">
        <f aca="false">IFERROR(IF(OR(NOT(ISNUMBER('Price History'!X17)),NOT(ISNUMBER('Price History'!X16)),'Price History'!X16=0),"",'Price History'!X17/'Price History'!X16-1),"")</f>
        <v/>
      </c>
      <c r="AR16" s="154" t="n">
        <f aca="false">IFERROR(IF(OR(NOT(ISNUMBER('Price History'!Y17)),NOT(ISNUMBER('Price History'!Y16)),'Price History'!Y16=0),"",'Price History'!Y17/'Price History'!Y16-1),"")</f>
        <v>0.00136301681054052</v>
      </c>
      <c r="AS16" s="154" t="n">
        <f aca="false">IFERROR(IF(OR(NOT(ISNUMBER('Price History'!Z17)),NOT(ISNUMBER('Price History'!Z16)),'Price History'!Z16=0),"",'Price History'!Z17/'Price History'!Z16-1),"")</f>
        <v>0.0280306164666941</v>
      </c>
      <c r="AT16" s="154" t="n">
        <f aca="false">IFERROR(IF(OR(NOT(ISNUMBER('Price History'!AA17)),NOT(ISNUMBER('Price History'!AA16)),'Price History'!AA16=0),"",'Price History'!AA17/'Price History'!AA16-1),"")</f>
        <v>0.0311374708748147</v>
      </c>
      <c r="AU16" s="154" t="n">
        <f aca="false">IFERROR(IF(OR(NOT(ISNUMBER('Price History'!AB17)),NOT(ISNUMBER('Price History'!AB16)),'Price History'!AB16=0),"",'Price History'!AB17/'Price History'!AB16-1),"")</f>
        <v>0.0563458238777883</v>
      </c>
    </row>
    <row r="17" customFormat="false" ht="15" hidden="false" customHeight="true" outlineLevel="0" collapsed="false">
      <c r="A17" s="152" t="n">
        <f aca="false">IF('Price History'!A18="","",'Price History'!A18)</f>
        <v>45289</v>
      </c>
      <c r="B17" s="153" t="n">
        <f aca="false">IFERROR(IF(OR(NOT(ISNUMBER('Price History'!B18)),NOT(ISNUMBER('Price History'!B17)),'Price History'!B17=0),"",'Price History'!B18/'Price History'!B17-1),"")</f>
        <v>-0.00359081419624219</v>
      </c>
      <c r="C17" s="153" t="n">
        <f aca="false">IFERROR(IF(OR(NOT(ISNUMBER('Price History'!C18)),NOT(ISNUMBER('Price History'!C17)),'Price History'!C17=0),"",'Price History'!C18/'Price History'!C17-1),"")</f>
        <v>-0.0114170584284755</v>
      </c>
      <c r="D17" s="153" t="n">
        <f aca="false">IFERROR(IF(OR(NOT(ISNUMBER('Price History'!D18)),NOT(ISNUMBER('Price History'!D17)),'Price History'!D17=0),"",'Price History'!D18/'Price History'!D17-1),"")</f>
        <v>0.00582927956083368</v>
      </c>
      <c r="E17" s="153" t="n">
        <f aca="false">IFERROR(IF(OR(NOT(ISNUMBER('Price History'!E18)),NOT(ISNUMBER('Price History'!E17)),'Price History'!E17=0),"",'Price History'!E18/'Price History'!E17-1),"")</f>
        <v>-0.00504078452937395</v>
      </c>
      <c r="F17" s="153" t="n">
        <f aca="false">IFERROR(IF(OR(NOT(ISNUMBER('Price History'!F18)),NOT(ISNUMBER('Price History'!F17)),'Price History'!F17=0),"",'Price History'!F18/'Price History'!F17-1),"")</f>
        <v>-0.00125176028790486</v>
      </c>
      <c r="G17" s="153" t="n">
        <f aca="false">IFERROR(IF(OR(NOT(ISNUMBER('Price History'!G18)),NOT(ISNUMBER('Price History'!G17)),'Price History'!G17=0),"",'Price History'!G18/'Price History'!G17-1),"")</f>
        <v>-0.00227870289219978</v>
      </c>
      <c r="H17" s="153" t="n">
        <f aca="false">IFERROR(IF(OR(NOT(ISNUMBER('Price History'!H18)),NOT(ISNUMBER('Price History'!H17)),'Price History'!H17=0),"",'Price History'!H18/'Price History'!H17-1),"")</f>
        <v>-0.0120214752567693</v>
      </c>
      <c r="I17" s="153" t="n">
        <f aca="false">IFERROR(IF(OR(NOT(ISNUMBER('Price History'!I18)),NOT(ISNUMBER('Price History'!I17)),'Price History'!I17=0),"",'Price History'!I18/'Price History'!I17-1),"")</f>
        <v>0.0141712877387554</v>
      </c>
      <c r="J17" s="153" t="n">
        <f aca="false">IFERROR(IF(OR(NOT(ISNUMBER('Price History'!J18)),NOT(ISNUMBER('Price History'!J17)),'Price History'!J17=0),"",'Price History'!J18/'Price History'!J17-1),"")</f>
        <v>0.00677797983137696</v>
      </c>
      <c r="K17" s="153" t="n">
        <f aca="false">IFERROR(IF(OR(NOT(ISNUMBER('Price History'!K18)),NOT(ISNUMBER('Price History'!K17)),'Price History'!K17=0),"",'Price History'!K18/'Price History'!K17-1),"")</f>
        <v>-0.0137851809304996</v>
      </c>
      <c r="L17" s="153" t="n">
        <f aca="false">IFERROR(IF(OR(NOT(ISNUMBER('Price History'!L18)),NOT(ISNUMBER('Price History'!L17)),'Price History'!L17=0),"",'Price History'!L18/'Price History'!L17-1),"")</f>
        <v>0.00833584412975807</v>
      </c>
      <c r="M17" s="153" t="n">
        <f aca="false">IFERROR(IF(OR(NOT(ISNUMBER('Price History'!M18)),NOT(ISNUMBER('Price History'!M17)),'Price History'!M17=0),"",'Price History'!M18/'Price History'!M17-1),"")</f>
        <v>-0.0154257507198684</v>
      </c>
      <c r="N17" s="153" t="n">
        <f aca="false">IFERROR(IF(OR(NOT(ISNUMBER('Price History'!N18)),NOT(ISNUMBER('Price History'!N17)),'Price History'!N17=0),"",'Price History'!N18/'Price History'!N17-1),"")</f>
        <v>0.00404688463911174</v>
      </c>
      <c r="O17" s="153" t="n">
        <f aca="false">IFERROR(IF(OR(NOT(ISNUMBER('Price History'!O18)),NOT(ISNUMBER('Price History'!O17)),'Price History'!O17=0),"",'Price History'!O18/'Price History'!O17-1),"")</f>
        <v>-0.00370584829183551</v>
      </c>
      <c r="P17" s="153" t="n">
        <f aca="false">IFERROR(IF(OR(NOT(ISNUMBER('Price History'!P18)),NOT(ISNUMBER('Price History'!P17)),'Price History'!P17=0),"",'Price History'!P18/'Price History'!P17-1),"")</f>
        <v>0.0040635040635042</v>
      </c>
      <c r="Q17" s="153" t="n">
        <f aca="false">IFERROR(IF(OR(NOT(ISNUMBER('Price History'!Q18)),NOT(ISNUMBER('Price History'!Q17)),'Price History'!Q17=0),"",'Price History'!Q18/'Price History'!Q17-1),"")</f>
        <v>0.00173410404624286</v>
      </c>
      <c r="R17" s="153" t="n">
        <f aca="false">IFERROR(IF(OR(NOT(ISNUMBER('Price History'!R18)),NOT(ISNUMBER('Price History'!R17)),'Price History'!R17=0),"",'Price History'!R18/'Price History'!R17-1),"")</f>
        <v>0.00325732899022801</v>
      </c>
      <c r="S17" s="153" t="n">
        <f aca="false">IFERROR(IF(OR(NOT(ISNUMBER('Price History'!S18)),NOT(ISNUMBER('Price History'!S17)),'Price History'!S17=0),"",'Price History'!S18/'Price History'!S17-1),"")</f>
        <v>0.00705218617771508</v>
      </c>
      <c r="T17" s="153" t="n">
        <f aca="false">IFERROR(IF(OR(NOT(ISNUMBER('Price History'!T18)),NOT(ISNUMBER('Price History'!T17)),'Price History'!T17=0),"",'Price History'!T18/'Price History'!T17-1),"")</f>
        <v>-0.00219458668617401</v>
      </c>
      <c r="U17" s="153" t="n">
        <f aca="false">IFERROR(IF(OR(NOT(ISNUMBER('Price History'!U18)),NOT(ISNUMBER('Price History'!U17)),'Price History'!U17=0),"",'Price History'!U18/'Price History'!U17-1),"")</f>
        <v>0.00393184796854529</v>
      </c>
      <c r="V17" s="154" t="n">
        <f aca="false">IFERROR(IF(OR(NOT(ISNUMBER('Price History'!V18)),NOT(ISNUMBER('Price History'!V17)),'Price History'!V17=0),"",'Price History'!V18/'Price History'!V17-1),"")</f>
        <v>0.00742672039187808</v>
      </c>
      <c r="W17" s="155" t="n">
        <f aca="false">IFERROR('Price History'!B3+(INDEX('Price History'!B:B,MATCH(9.99E+307,'Returns (Calc)'!$A:$A)+1)-'Price History'!B3)*(ROW()-3)/(MATCH(9.99E+307,'Returns (Calc)'!$A:$A)-3),"")</f>
        <v>503.653018867925</v>
      </c>
      <c r="X17" s="155" t="n">
        <f aca="false">IFERROR('Price History'!C3+(INDEX('Price History'!C:C,MATCH(9.99E+307,'Returns (Calc)'!$A:$A)+1)-'Price History'!C3)*(ROW()-3)/(MATCH(9.99E+307,'Returns (Calc)'!$A:$A)-3),"")</f>
        <v>61.1978616352201</v>
      </c>
      <c r="Y17" s="155" t="n">
        <f aca="false">IFERROR('Price History'!D3+(INDEX('Price History'!D:D,MATCH(9.99E+307,'Returns (Calc)'!$A:$A)+1)-'Price History'!D3)*(ROW()-3)/(MATCH(9.99E+307,'Returns (Calc)'!$A:$A)-3),"")</f>
        <v>687.523333333333</v>
      </c>
      <c r="Z17" s="155" t="n">
        <f aca="false">IFERROR('Price History'!E3+(INDEX('Price History'!E:E,MATCH(9.99E+307,'Returns (Calc)'!$A:$A)+1)-'Price History'!E3)*(ROW()-3)/(MATCH(9.99E+307,'Returns (Calc)'!$A:$A)-3),"")</f>
        <v>106.61358490566</v>
      </c>
      <c r="AA17" s="155" t="n">
        <f aca="false">IFERROR('Price History'!F3+(INDEX('Price History'!F:F,MATCH(9.99E+307,'Returns (Calc)'!$A:$A)+1)-'Price History'!F3)*(ROW()-3)/(MATCH(9.99E+307,'Returns (Calc)'!$A:$A)-3),"")</f>
        <v>61.9355974842767</v>
      </c>
      <c r="AB17" s="155" t="n">
        <f aca="false">IFERROR('Price History'!G3+(INDEX('Price History'!G:G,MATCH(9.99E+307,'Returns (Calc)'!$A:$A)+1)-'Price History'!G3)*(ROW()-3)/(MATCH(9.99E+307,'Returns (Calc)'!$A:$A)-3),"")</f>
        <v>57.6649685534591</v>
      </c>
      <c r="AC17" s="155" t="n">
        <f aca="false">IFERROR('Price History'!H3+(INDEX('Price History'!H:H,MATCH(9.99E+307,'Returns (Calc)'!$A:$A)+1)-'Price History'!H3)*(ROW()-3)/(MATCH(9.99E+307,'Returns (Calc)'!$A:$A)-3),"")</f>
        <v>153.628616352201</v>
      </c>
      <c r="AD17" s="155" t="n">
        <f aca="false">IFERROR('Price History'!I3+(INDEX('Price History'!I:I,MATCH(9.99E+307,'Returns (Calc)'!$A:$A)+1)-'Price History'!I3)*(ROW()-3)/(MATCH(9.99E+307,'Returns (Calc)'!$A:$A)-3),"")</f>
        <v>60.104213836478</v>
      </c>
      <c r="AE17" s="155" t="n">
        <f aca="false">IFERROR('Price History'!J3+(INDEX('Price History'!J:J,MATCH(9.99E+307,'Returns (Calc)'!$A:$A)+1)-'Price History'!J3)*(ROW()-3)/(MATCH(9.99E+307,'Returns (Calc)'!$A:$A)-3),"")</f>
        <v>113.394088050314</v>
      </c>
      <c r="AF17" s="155" t="n">
        <f aca="false">IFERROR('Price History'!K3+(INDEX('Price History'!K:K,MATCH(9.99E+307,'Returns (Calc)'!$A:$A)+1)-'Price History'!K3)*(ROW()-3)/(MATCH(9.99E+307,'Returns (Calc)'!$A:$A)-3),"")</f>
        <v>32.387106918239</v>
      </c>
      <c r="AG17" s="155" t="n">
        <f aca="false">IFERROR('Price History'!L3+(INDEX('Price History'!L:L,MATCH(9.99E+307,'Returns (Calc)'!$A:$A)+1)-'Price History'!L3)*(ROW()-3)/(MATCH(9.99E+307,'Returns (Calc)'!$A:$A)-3),"")</f>
        <v>118.113773584906</v>
      </c>
      <c r="AH17" s="155" t="n">
        <f aca="false">IFERROR('Price History'!M3+(INDEX('Price History'!M:M,MATCH(9.99E+307,'Returns (Calc)'!$A:$A)+1)-'Price History'!M3)*(ROW()-3)/(MATCH(9.99E+307,'Returns (Calc)'!$A:$A)-3),"")</f>
        <v>56.0491823899371</v>
      </c>
      <c r="AI17" s="155" t="n">
        <f aca="false">IFERROR('Price History'!N3+(INDEX('Price History'!N:N,MATCH(9.99E+307,'Returns (Calc)'!$A:$A)+1)-'Price History'!N3)*(ROW()-3)/(MATCH(9.99E+307,'Returns (Calc)'!$A:$A)-3),"")</f>
        <v>363.091949685535</v>
      </c>
      <c r="AJ17" s="155" t="n">
        <f aca="false">IFERROR('Price History'!O3+(INDEX('Price History'!O:O,MATCH(9.99E+307,'Returns (Calc)'!$A:$A)+1)-'Price History'!O3)*(ROW()-3)/(MATCH(9.99E+307,'Returns (Calc)'!$A:$A)-3),"")</f>
        <v>79.2132704402516</v>
      </c>
      <c r="AK17" s="155" t="n">
        <f aca="false">IFERROR('Price History'!Q3+(INDEX('Price History'!Q:Q,MATCH(9.99E+307,'Returns (Calc)'!$A:$A)+1)-'Price History'!Q3)*(ROW()-3)/(MATCH(9.99E+307,'Returns (Calc)'!$A:$A)-3),"")</f>
        <v>6.16088050314465</v>
      </c>
      <c r="AL17" s="155" t="n">
        <f aca="false">IFERROR('Price History'!R3+(INDEX('Price History'!R:R,MATCH(9.99E+307,'Returns (Calc)'!$A:$A)+1)-'Price History'!R3)*(ROW()-3)/(MATCH(9.99E+307,'Returns (Calc)'!$A:$A)-3),"")</f>
        <v>36.8230188679245</v>
      </c>
      <c r="AM17" s="155" t="n">
        <f aca="false">IFERROR('Price History'!S3+(INDEX('Price History'!S:S,MATCH(9.99E+307,'Returns (Calc)'!$A:$A)+1)-'Price History'!S3)*(ROW()-3)/(MATCH(9.99E+307,'Returns (Calc)'!$A:$A)-3),"")</f>
        <v>65.8653459119497</v>
      </c>
      <c r="AN17" s="155" t="n">
        <f aca="false">IFERROR('Price History'!T3+(INDEX('Price History'!T:T,MATCH(9.99E+307,'Returns (Calc)'!$A:$A)+1)-'Price History'!T3)*(ROW()-3)/(MATCH(9.99E+307,'Returns (Calc)'!$A:$A)-3),"")</f>
        <v>27.6245911949686</v>
      </c>
      <c r="AO17" s="156" t="n">
        <f aca="false">IFERROR('Price History'!V3+(INDEX('Price History'!V:V,MATCH(9.99E+307,'Returns (Calc)'!$A:$A)+1)-'Price History'!V3)*(ROW()-3)/(MATCH(9.99E+307,'Returns (Calc)'!$A:$A)-3),"")</f>
        <v>248.821698113208</v>
      </c>
      <c r="AP17" s="154" t="n">
        <f aca="false">IFERROR(IF(OR(NOT(ISNUMBER('Price History'!W18)),NOT(ISNUMBER('Price History'!W17)),'Price History'!W17=0),"",'Price History'!W18/'Price History'!W17-1),"")</f>
        <v>0.00610110400929687</v>
      </c>
      <c r="AQ17" s="154" t="str">
        <f aca="false">IFERROR(IF(OR(NOT(ISNUMBER('Price History'!X18)),NOT(ISNUMBER('Price History'!X17)),'Price History'!X17=0),"",'Price History'!X18/'Price History'!X17-1),"")</f>
        <v/>
      </c>
      <c r="AR17" s="154" t="n">
        <f aca="false">IFERROR(IF(OR(NOT(ISNUMBER('Price History'!Y18)),NOT(ISNUMBER('Price History'!Y17)),'Price History'!Y17=0),"",'Price History'!Y18/'Price History'!Y17-1),"")</f>
        <v>0.00521778584392019</v>
      </c>
      <c r="AS17" s="154" t="n">
        <f aca="false">IFERROR(IF(OR(NOT(ISNUMBER('Price History'!Z18)),NOT(ISNUMBER('Price History'!Z17)),'Price History'!Z17=0),"",'Price History'!Z18/'Price History'!Z17-1),"")</f>
        <v>0.00804909950699262</v>
      </c>
      <c r="AT17" s="154" t="n">
        <f aca="false">IFERROR(IF(OR(NOT(ISNUMBER('Price History'!AA18)),NOT(ISNUMBER('Price History'!AA17)),'Price History'!AA17=0),"",'Price History'!AA18/'Price History'!AA17-1),"")</f>
        <v>0.000205423171733665</v>
      </c>
      <c r="AU17" s="154" t="n">
        <f aca="false">IFERROR(IF(OR(NOT(ISNUMBER('Price History'!AB18)),NOT(ISNUMBER('Price History'!AB17)),'Price History'!AB17=0),"",'Price History'!AB18/'Price History'!AB17-1),"")</f>
        <v>0.00875032748231597</v>
      </c>
    </row>
    <row r="18" customFormat="false" ht="15" hidden="false" customHeight="true" outlineLevel="0" collapsed="false">
      <c r="A18" s="152" t="n">
        <f aca="false">IF('Price History'!A19="","",'Price History'!A19)</f>
        <v>45296</v>
      </c>
      <c r="B18" s="153" t="n">
        <f aca="false">IFERROR(IF(OR(NOT(ISNUMBER('Price History'!B19)),NOT(ISNUMBER('Price History'!B18)),'Price History'!B18=0),"",'Price History'!B19/'Price History'!B18-1),"")</f>
        <v>-0.0536372779081462</v>
      </c>
      <c r="C18" s="153" t="n">
        <f aca="false">IFERROR(IF(OR(NOT(ISNUMBER('Price History'!C19)),NOT(ISNUMBER('Price History'!C18)),'Price History'!C18=0),"",'Price History'!C19/'Price History'!C18-1),"")</f>
        <v>-0.0195312500000001</v>
      </c>
      <c r="D18" s="153" t="n">
        <f aca="false">IFERROR(IF(OR(NOT(ISNUMBER('Price History'!D19)),NOT(ISNUMBER('Price History'!D18)),'Price History'!D18=0),"",'Price History'!D19/'Price History'!D18-1),"")</f>
        <v>-0.0707888088837253</v>
      </c>
      <c r="E18" s="153" t="n">
        <f aca="false">IFERROR(IF(OR(NOT(ISNUMBER('Price History'!E19)),NOT(ISNUMBER('Price History'!E18)),'Price History'!E18=0),"",'Price History'!E19/'Price History'!E18-1),"")</f>
        <v>-0.0600589535740604</v>
      </c>
      <c r="F18" s="153" t="n">
        <f aca="false">IFERROR(IF(OR(NOT(ISNUMBER('Price History'!F19)),NOT(ISNUMBER('Price History'!F18)),'Price History'!F18=0),"",'Price History'!F19/'Price History'!F18-1),"")</f>
        <v>-0.0307065643114524</v>
      </c>
      <c r="G18" s="153" t="n">
        <f aca="false">IFERROR(IF(OR(NOT(ISNUMBER('Price History'!G19)),NOT(ISNUMBER('Price History'!G18)),'Price History'!G18=0),"",'Price History'!G19/'Price History'!G18-1),"")</f>
        <v>-0.0635980323260718</v>
      </c>
      <c r="H18" s="153" t="n">
        <f aca="false">IFERROR(IF(OR(NOT(ISNUMBER('Price History'!H19)),NOT(ISNUMBER('Price History'!H18)),'Price History'!H18=0),"",'Price History'!H19/'Price History'!H18-1),"")</f>
        <v>-0.0220909627879504</v>
      </c>
      <c r="I18" s="153" t="n">
        <f aca="false">IFERROR(IF(OR(NOT(ISNUMBER('Price History'!I19)),NOT(ISNUMBER('Price History'!I18)),'Price History'!I18=0),"",'Price History'!I19/'Price History'!I18-1),"")</f>
        <v>-0.00850546780072903</v>
      </c>
      <c r="J18" s="153" t="n">
        <f aca="false">IFERROR(IF(OR(NOT(ISNUMBER('Price History'!J19)),NOT(ISNUMBER('Price History'!J18)),'Price History'!J18=0),"",'Price History'!J19/'Price History'!J18-1),"")</f>
        <v>-0.0205254515599344</v>
      </c>
      <c r="K18" s="153" t="n">
        <f aca="false">IFERROR(IF(OR(NOT(ISNUMBER('Price History'!K19)),NOT(ISNUMBER('Price History'!K18)),'Price History'!K18=0),"",'Price History'!K19/'Price History'!K18-1),"")</f>
        <v>-0.0693069306930694</v>
      </c>
      <c r="L18" s="153" t="n">
        <f aca="false">IFERROR(IF(OR(NOT(ISNUMBER('Price History'!L19)),NOT(ISNUMBER('Price History'!L18)),'Price History'!L18=0),"",'Price History'!L19/'Price History'!L18-1),"")</f>
        <v>-0.0422310756972113</v>
      </c>
      <c r="M18" s="153" t="n">
        <f aca="false">IFERROR(IF(OR(NOT(ISNUMBER('Price History'!M19)),NOT(ISNUMBER('Price History'!M18)),'Price History'!M18=0),"",'Price History'!M19/'Price History'!M18-1),"")</f>
        <v>-0.0357217463964905</v>
      </c>
      <c r="N18" s="153" t="n">
        <f aca="false">IFERROR(IF(OR(NOT(ISNUMBER('Price History'!N19)),NOT(ISNUMBER('Price History'!N18)),'Price History'!N18=0),"",'Price History'!N19/'Price History'!N18-1),"")</f>
        <v>0.0236181769028485</v>
      </c>
      <c r="O18" s="153" t="n">
        <f aca="false">IFERROR(IF(OR(NOT(ISNUMBER('Price History'!O19)),NOT(ISNUMBER('Price History'!O18)),'Price History'!O18=0),"",'Price History'!O19/'Price History'!O18-1),"")</f>
        <v>-0.0259211902824597</v>
      </c>
      <c r="P18" s="153" t="n">
        <f aca="false">IFERROR(IF(OR(NOT(ISNUMBER('Price History'!P19)),NOT(ISNUMBER('Price History'!P18)),'Price History'!P18=0),"",'Price History'!P19/'Price History'!P18-1),"")</f>
        <v>0.00705882352941178</v>
      </c>
      <c r="Q18" s="153" t="n">
        <f aca="false">IFERROR(IF(OR(NOT(ISNUMBER('Price History'!Q19)),NOT(ISNUMBER('Price History'!Q18)),'Price History'!Q18=0),"",'Price History'!Q19/'Price History'!Q18-1),"")</f>
        <v>-0.00442392767839972</v>
      </c>
      <c r="R18" s="153" t="n">
        <f aca="false">IFERROR(IF(OR(NOT(ISNUMBER('Price History'!R19)),NOT(ISNUMBER('Price History'!R18)),'Price History'!R18=0),"",'Price History'!R19/'Price History'!R18-1),"")</f>
        <v>-0.0156926406926406</v>
      </c>
      <c r="S18" s="153" t="n">
        <f aca="false">IFERROR(IF(OR(NOT(ISNUMBER('Price History'!S19)),NOT(ISNUMBER('Price History'!S18)),'Price History'!S18=0),"",'Price History'!S19/'Price History'!S18-1),"")</f>
        <v>-0.0102707749766574</v>
      </c>
      <c r="T18" s="153" t="n">
        <f aca="false">IFERROR(IF(OR(NOT(ISNUMBER('Price History'!T19)),NOT(ISNUMBER('Price History'!T18)),'Price History'!T18=0),"",'Price History'!T19/'Price History'!T18-1),"")</f>
        <v>0.000733137829912023</v>
      </c>
      <c r="U18" s="153" t="n">
        <f aca="false">IFERROR(IF(OR(NOT(ISNUMBER('Price History'!U19)),NOT(ISNUMBER('Price History'!U18)),'Price History'!U18=0),"",'Price History'!U19/'Price History'!U18-1),"")</f>
        <v>0.00304612706701479</v>
      </c>
      <c r="V18" s="154" t="n">
        <f aca="false">IFERROR(IF(OR(NOT(ISNUMBER('Price History'!V19)),NOT(ISNUMBER('Price History'!V18)),'Price History'!V18=0),"",'Price History'!V19/'Price History'!V18-1),"")</f>
        <v>-0.0025096070896401</v>
      </c>
      <c r="W18" s="155" t="n">
        <f aca="false">IFERROR('Price History'!B3+(INDEX('Price History'!B:B,MATCH(9.99E+307,'Returns (Calc)'!$A:$A)+1)-'Price History'!B3)*(ROW()-3)/(MATCH(9.99E+307,'Returns (Calc)'!$A:$A)-3),"")</f>
        <v>501.850377358491</v>
      </c>
      <c r="X18" s="155" t="n">
        <f aca="false">IFERROR('Price History'!C3+(INDEX('Price History'!C:C,MATCH(9.99E+307,'Returns (Calc)'!$A:$A)+1)-'Price History'!C3)*(ROW()-3)/(MATCH(9.99E+307,'Returns (Calc)'!$A:$A)-3),"")</f>
        <v>62.2705660377359</v>
      </c>
      <c r="Y18" s="155" t="n">
        <f aca="false">IFERROR('Price History'!D3+(INDEX('Price History'!D:D,MATCH(9.99E+307,'Returns (Calc)'!$A:$A)+1)-'Price History'!D3)*(ROW()-3)/(MATCH(9.99E+307,'Returns (Calc)'!$A:$A)-3),"")</f>
        <v>695.06</v>
      </c>
      <c r="Z18" s="155" t="n">
        <f aca="false">IFERROR('Price History'!E3+(INDEX('Price History'!E:E,MATCH(9.99E+307,'Returns (Calc)'!$A:$A)+1)-'Price History'!E3)*(ROW()-3)/(MATCH(9.99E+307,'Returns (Calc)'!$A:$A)-3),"")</f>
        <v>108.371698113208</v>
      </c>
      <c r="AA18" s="155" t="n">
        <f aca="false">IFERROR('Price History'!F3+(INDEX('Price History'!F:F,MATCH(9.99E+307,'Returns (Calc)'!$A:$A)+1)-'Price History'!F3)*(ROW()-3)/(MATCH(9.99E+307,'Returns (Calc)'!$A:$A)-3),"")</f>
        <v>63.4052830188679</v>
      </c>
      <c r="AB18" s="155" t="n">
        <f aca="false">IFERROR('Price History'!G3+(INDEX('Price History'!G:G,MATCH(9.99E+307,'Returns (Calc)'!$A:$A)+1)-'Price History'!G3)*(ROW()-3)/(MATCH(9.99E+307,'Returns (Calc)'!$A:$A)-3),"")</f>
        <v>58.6160377358491</v>
      </c>
      <c r="AC18" s="155" t="n">
        <f aca="false">IFERROR('Price History'!H3+(INDEX('Price History'!H:H,MATCH(9.99E+307,'Returns (Calc)'!$A:$A)+1)-'Price History'!H3)*(ROW()-3)/(MATCH(9.99E+307,'Returns (Calc)'!$A:$A)-3),"")</f>
        <v>159.665660377359</v>
      </c>
      <c r="AD18" s="155" t="n">
        <f aca="false">IFERROR('Price History'!I3+(INDEX('Price History'!I:I,MATCH(9.99E+307,'Returns (Calc)'!$A:$A)+1)-'Price History'!I3)*(ROW()-3)/(MATCH(9.99E+307,'Returns (Calc)'!$A:$A)-3),"")</f>
        <v>61.2709433962264</v>
      </c>
      <c r="AE18" s="155" t="n">
        <f aca="false">IFERROR('Price History'!J3+(INDEX('Price History'!J:J,MATCH(9.99E+307,'Returns (Calc)'!$A:$A)+1)-'Price History'!J3)*(ROW()-3)/(MATCH(9.99E+307,'Returns (Calc)'!$A:$A)-3),"")</f>
        <v>113.505094339623</v>
      </c>
      <c r="AF18" s="155" t="n">
        <f aca="false">IFERROR('Price History'!K3+(INDEX('Price History'!K:K,MATCH(9.99E+307,'Returns (Calc)'!$A:$A)+1)-'Price History'!K3)*(ROW()-3)/(MATCH(9.99E+307,'Returns (Calc)'!$A:$A)-3),"")</f>
        <v>33.6054716981132</v>
      </c>
      <c r="AG18" s="155" t="n">
        <f aca="false">IFERROR('Price History'!L3+(INDEX('Price History'!L:L,MATCH(9.99E+307,'Returns (Calc)'!$A:$A)+1)-'Price History'!L3)*(ROW()-3)/(MATCH(9.99E+307,'Returns (Calc)'!$A:$A)-3),"")</f>
        <v>120.425471698113</v>
      </c>
      <c r="AH18" s="155" t="n">
        <f aca="false">IFERROR('Price History'!M3+(INDEX('Price History'!M:M,MATCH(9.99E+307,'Returns (Calc)'!$A:$A)+1)-'Price History'!M3)*(ROW()-3)/(MATCH(9.99E+307,'Returns (Calc)'!$A:$A)-3),"")</f>
        <v>57.3369811320755</v>
      </c>
      <c r="AI18" s="155" t="n">
        <f aca="false">IFERROR('Price History'!N3+(INDEX('Price History'!N:N,MATCH(9.99E+307,'Returns (Calc)'!$A:$A)+1)-'Price History'!N3)*(ROW()-3)/(MATCH(9.99E+307,'Returns (Calc)'!$A:$A)-3),"")</f>
        <v>364.105660377358</v>
      </c>
      <c r="AJ18" s="155" t="n">
        <f aca="false">IFERROR('Price History'!O3+(INDEX('Price History'!O:O,MATCH(9.99E+307,'Returns (Calc)'!$A:$A)+1)-'Price History'!O3)*(ROW()-3)/(MATCH(9.99E+307,'Returns (Calc)'!$A:$A)-3),"")</f>
        <v>79.4920754716981</v>
      </c>
      <c r="AK18" s="155" t="n">
        <f aca="false">IFERROR('Price History'!Q3+(INDEX('Price History'!Q:Q,MATCH(9.99E+307,'Returns (Calc)'!$A:$A)+1)-'Price History'!Q3)*(ROW()-3)/(MATCH(9.99E+307,'Returns (Calc)'!$A:$A)-3),"")</f>
        <v>6.60094339622642</v>
      </c>
      <c r="AL18" s="155" t="n">
        <f aca="false">IFERROR('Price History'!R3+(INDEX('Price History'!R:R,MATCH(9.99E+307,'Returns (Calc)'!$A:$A)+1)-'Price History'!R3)*(ROW()-3)/(MATCH(9.99E+307,'Returns (Calc)'!$A:$A)-3),"")</f>
        <v>36.9903773584906</v>
      </c>
      <c r="AM18" s="155" t="n">
        <f aca="false">IFERROR('Price History'!S3+(INDEX('Price History'!S:S,MATCH(9.99E+307,'Returns (Calc)'!$A:$A)+1)-'Price History'!S3)*(ROW()-3)/(MATCH(9.99E+307,'Returns (Calc)'!$A:$A)-3),"")</f>
        <v>66.4535849056604</v>
      </c>
      <c r="AN18" s="155" t="n">
        <f aca="false">IFERROR('Price History'!T3+(INDEX('Price History'!T:T,MATCH(9.99E+307,'Returns (Calc)'!$A:$A)+1)-'Price History'!T3)*(ROW()-3)/(MATCH(9.99E+307,'Returns (Calc)'!$A:$A)-3),"")</f>
        <v>27.7984905660377</v>
      </c>
      <c r="AO18" s="156" t="n">
        <f aca="false">IFERROR('Price History'!V3+(INDEX('Price History'!V:V,MATCH(9.99E+307,'Returns (Calc)'!$A:$A)+1)-'Price History'!V3)*(ROW()-3)/(MATCH(9.99E+307,'Returns (Calc)'!$A:$A)-3),"")</f>
        <v>249.763962264151</v>
      </c>
      <c r="AP18" s="154" t="n">
        <f aca="false">IFERROR(IF(OR(NOT(ISNUMBER('Price History'!W19)),NOT(ISNUMBER('Price History'!W18)),'Price History'!W18=0),"",'Price History'!W19/'Price History'!W18-1),"")</f>
        <v>0.00221388006545387</v>
      </c>
      <c r="AQ18" s="154" t="str">
        <f aca="false">IFERROR(IF(OR(NOT(ISNUMBER('Price History'!X19)),NOT(ISNUMBER('Price History'!X18)),'Price History'!X18=0),"",'Price History'!X19/'Price History'!X18-1),"")</f>
        <v/>
      </c>
      <c r="AR18" s="154" t="n">
        <f aca="false">IFERROR(IF(OR(NOT(ISNUMBER('Price History'!Y19)),NOT(ISNUMBER('Price History'!Y18)),'Price History'!Y18=0),"",'Price History'!Y19/'Price History'!Y18-1),"")</f>
        <v>-0.00428797111261581</v>
      </c>
      <c r="AS18" s="154" t="n">
        <f aca="false">IFERROR(IF(OR(NOT(ISNUMBER('Price History'!Z19)),NOT(ISNUMBER('Price History'!Z18)),'Price History'!Z18=0),"",'Price History'!Z19/'Price History'!Z18-1),"")</f>
        <v>-0.010480087833117</v>
      </c>
      <c r="AT18" s="154" t="n">
        <f aca="false">IFERROR(IF(OR(NOT(ISNUMBER('Price History'!AA19)),NOT(ISNUMBER('Price History'!AA18)),'Price History'!AA18=0),"",'Price History'!AA19/'Price History'!AA18-1),"")</f>
        <v>-0.0262887656602999</v>
      </c>
      <c r="AU18" s="154" t="n">
        <f aca="false">IFERROR(IF(OR(NOT(ISNUMBER('Price History'!AB19)),NOT(ISNUMBER('Price History'!AB18)),'Price History'!AB18=0),"",'Price History'!AB19/'Price History'!AB18-1),"")</f>
        <v>-0.0354768335757325</v>
      </c>
    </row>
    <row r="19" customFormat="false" ht="15" hidden="false" customHeight="true" outlineLevel="0" collapsed="false">
      <c r="A19" s="152" t="n">
        <f aca="false">IF('Price History'!A20="","",'Price History'!A20)</f>
        <v>45303</v>
      </c>
      <c r="B19" s="153" t="n">
        <f aca="false">IFERROR(IF(OR(NOT(ISNUMBER('Price History'!B20)),NOT(ISNUMBER('Price History'!B19)),'Price History'!B19=0),"",'Price History'!B20/'Price History'!B19-1),"")</f>
        <v>0.0565710237336166</v>
      </c>
      <c r="C19" s="153" t="n">
        <f aca="false">IFERROR(IF(OR(NOT(ISNUMBER('Price History'!C20)),NOT(ISNUMBER('Price History'!C19)),'Price History'!C19=0),"",'Price History'!C20/'Price History'!C19-1),"")</f>
        <v>0.0914602459726313</v>
      </c>
      <c r="D19" s="153" t="n">
        <f aca="false">IFERROR(IF(OR(NOT(ISNUMBER('Price History'!D20)),NOT(ISNUMBER('Price History'!D19)),'Price History'!D19=0),"",'Price History'!D20/'Price History'!D19-1),"")</f>
        <v>0.0140441678903216</v>
      </c>
      <c r="E19" s="153" t="n">
        <f aca="false">IFERROR(IF(OR(NOT(ISNUMBER('Price History'!E20)),NOT(ISNUMBER('Price History'!E19)),'Price History'!E19=0),"",'Price History'!E20/'Price History'!E19-1),"")</f>
        <v>0.0556644453155624</v>
      </c>
      <c r="F19" s="153" t="n">
        <f aca="false">IFERROR(IF(OR(NOT(ISNUMBER('Price History'!F20)),NOT(ISNUMBER('Price History'!F19)),'Price History'!F19=0),"",'Price History'!F20/'Price History'!F19-1),"")</f>
        <v>0.144981412639405</v>
      </c>
      <c r="G19" s="153" t="n">
        <f aca="false">IFERROR(IF(OR(NOT(ISNUMBER('Price History'!G20)),NOT(ISNUMBER('Price History'!G19)),'Price History'!G19=0),"",'Price History'!G20/'Price History'!G19-1),"")</f>
        <v>0.0298311444652908</v>
      </c>
      <c r="H19" s="153" t="n">
        <f aca="false">IFERROR(IF(OR(NOT(ISNUMBER('Price History'!H20)),NOT(ISNUMBER('Price History'!H19)),'Price History'!H19=0),"",'Price History'!H20/'Price History'!H19-1),"")</f>
        <v>-0.0128050253684465</v>
      </c>
      <c r="I19" s="153" t="n">
        <f aca="false">IFERROR(IF(OR(NOT(ISNUMBER('Price History'!I20)),NOT(ISNUMBER('Price History'!I19)),'Price History'!I19=0),"",'Price History'!I20/'Price History'!I19-1),"")</f>
        <v>0.114174836601307</v>
      </c>
      <c r="J19" s="153" t="n">
        <f aca="false">IFERROR(IF(OR(NOT(ISNUMBER('Price History'!J20)),NOT(ISNUMBER('Price History'!J19)),'Price History'!J19=0),"",'Price History'!J20/'Price History'!J19-1),"")</f>
        <v>0.0075440067057837</v>
      </c>
      <c r="K19" s="153" t="n">
        <f aca="false">IFERROR(IF(OR(NOT(ISNUMBER('Price History'!K20)),NOT(ISNUMBER('Price History'!K19)),'Price History'!K19=0),"",'Price History'!K20/'Price History'!K19-1),"")</f>
        <v>0.0488110137672091</v>
      </c>
      <c r="L19" s="153" t="n">
        <f aca="false">IFERROR(IF(OR(NOT(ISNUMBER('Price History'!L20)),NOT(ISNUMBER('Price History'!L19)),'Price History'!L19=0),"",'Price History'!L20/'Price History'!L19-1),"")</f>
        <v>0.0163269550748753</v>
      </c>
      <c r="M19" s="153" t="n">
        <f aca="false">IFERROR(IF(OR(NOT(ISNUMBER('Price History'!M20)),NOT(ISNUMBER('Price History'!M19)),'Price History'!M19=0),"",'Price History'!M20/'Price History'!M19-1),"")</f>
        <v>0.0693240901213172</v>
      </c>
      <c r="N19" s="153" t="n">
        <f aca="false">IFERROR(IF(OR(NOT(ISNUMBER('Price History'!N20)),NOT(ISNUMBER('Price History'!N19)),'Price History'!N19=0),"",'Price History'!N20/'Price History'!N19-1),"")</f>
        <v>0.0405762304921968</v>
      </c>
      <c r="O19" s="153" t="n">
        <f aca="false">IFERROR(IF(OR(NOT(ISNUMBER('Price History'!O20)),NOT(ISNUMBER('Price History'!O19)),'Price History'!O19=0),"",'Price History'!O20/'Price History'!O19-1),"")</f>
        <v>-0.0113365155131265</v>
      </c>
      <c r="P19" s="153" t="n">
        <f aca="false">IFERROR(IF(OR(NOT(ISNUMBER('Price History'!P20)),NOT(ISNUMBER('Price History'!P19)),'Price History'!P19=0),"",'Price History'!P20/'Price History'!P19-1),"")</f>
        <v>-0.0138317757009346</v>
      </c>
      <c r="Q19" s="153" t="n">
        <f aca="false">IFERROR(IF(OR(NOT(ISNUMBER('Price History'!Q20)),NOT(ISNUMBER('Price History'!Q19)),'Price History'!Q19=0),"",'Price History'!Q20/'Price History'!Q19-1),"")</f>
        <v>0.00985316846986106</v>
      </c>
      <c r="R19" s="153" t="n">
        <f aca="false">IFERROR(IF(OR(NOT(ISNUMBER('Price History'!R20)),NOT(ISNUMBER('Price History'!R19)),'Price History'!R19=0),"",'Price History'!R20/'Price History'!R19-1),"")</f>
        <v>0.0274876305662453</v>
      </c>
      <c r="S19" s="153" t="n">
        <f aca="false">IFERROR(IF(OR(NOT(ISNUMBER('Price History'!S20)),NOT(ISNUMBER('Price History'!S19)),'Price History'!S19=0),"",'Price History'!S20/'Price History'!S19-1),"")</f>
        <v>0.0309748427672956</v>
      </c>
      <c r="T19" s="153" t="n">
        <f aca="false">IFERROR(IF(OR(NOT(ISNUMBER('Price History'!T20)),NOT(ISNUMBER('Price History'!T19)),'Price History'!T19=0),"",'Price History'!T20/'Price History'!T19-1),"")</f>
        <v>-0.0021978021978023</v>
      </c>
      <c r="U19" s="153" t="n">
        <f aca="false">IFERROR(IF(OR(NOT(ISNUMBER('Price History'!U20)),NOT(ISNUMBER('Price History'!U19)),'Price History'!U19=0),"",'Price History'!U20/'Price History'!U19-1),"")</f>
        <v>-0.00130151843817794</v>
      </c>
      <c r="V19" s="154" t="n">
        <f aca="false">IFERROR(IF(OR(NOT(ISNUMBER('Price History'!V20)),NOT(ISNUMBER('Price History'!V19)),'Price History'!V19=0),"",'Price History'!V20/'Price History'!V19-1),"")</f>
        <v>0.0172183347747463</v>
      </c>
      <c r="W19" s="155" t="n">
        <f aca="false">IFERROR('Price History'!B3+(INDEX('Price History'!B:B,MATCH(9.99E+307,'Returns (Calc)'!$A:$A)+1)-'Price History'!B3)*(ROW()-3)/(MATCH(9.99E+307,'Returns (Calc)'!$A:$A)-3),"")</f>
        <v>500.047735849057</v>
      </c>
      <c r="X19" s="155" t="n">
        <f aca="false">IFERROR('Price History'!C3+(INDEX('Price History'!C:C,MATCH(9.99E+307,'Returns (Calc)'!$A:$A)+1)-'Price History'!C3)*(ROW()-3)/(MATCH(9.99E+307,'Returns (Calc)'!$A:$A)-3),"")</f>
        <v>63.3432704402516</v>
      </c>
      <c r="Y19" s="155" t="n">
        <f aca="false">IFERROR('Price History'!D3+(INDEX('Price History'!D:D,MATCH(9.99E+307,'Returns (Calc)'!$A:$A)+1)-'Price History'!D3)*(ROW()-3)/(MATCH(9.99E+307,'Returns (Calc)'!$A:$A)-3),"")</f>
        <v>702.596666666667</v>
      </c>
      <c r="Z19" s="155" t="n">
        <f aca="false">IFERROR('Price History'!E3+(INDEX('Price History'!E:E,MATCH(9.99E+307,'Returns (Calc)'!$A:$A)+1)-'Price History'!E3)*(ROW()-3)/(MATCH(9.99E+307,'Returns (Calc)'!$A:$A)-3),"")</f>
        <v>110.129811320755</v>
      </c>
      <c r="AA19" s="155" t="n">
        <f aca="false">IFERROR('Price History'!F3+(INDEX('Price History'!F:F,MATCH(9.99E+307,'Returns (Calc)'!$A:$A)+1)-'Price History'!F3)*(ROW()-3)/(MATCH(9.99E+307,'Returns (Calc)'!$A:$A)-3),"")</f>
        <v>64.8749685534591</v>
      </c>
      <c r="AB19" s="155" t="n">
        <f aca="false">IFERROR('Price History'!G3+(INDEX('Price History'!G:G,MATCH(9.99E+307,'Returns (Calc)'!$A:$A)+1)-'Price History'!G3)*(ROW()-3)/(MATCH(9.99E+307,'Returns (Calc)'!$A:$A)-3),"")</f>
        <v>59.567106918239</v>
      </c>
      <c r="AC19" s="155" t="n">
        <f aca="false">IFERROR('Price History'!H3+(INDEX('Price History'!H:H,MATCH(9.99E+307,'Returns (Calc)'!$A:$A)+1)-'Price History'!H3)*(ROW()-3)/(MATCH(9.99E+307,'Returns (Calc)'!$A:$A)-3),"")</f>
        <v>165.702704402516</v>
      </c>
      <c r="AD19" s="155" t="n">
        <f aca="false">IFERROR('Price History'!I3+(INDEX('Price History'!I:I,MATCH(9.99E+307,'Returns (Calc)'!$A:$A)+1)-'Price History'!I3)*(ROW()-3)/(MATCH(9.99E+307,'Returns (Calc)'!$A:$A)-3),"")</f>
        <v>62.4376729559749</v>
      </c>
      <c r="AE19" s="155" t="n">
        <f aca="false">IFERROR('Price History'!J3+(INDEX('Price History'!J:J,MATCH(9.99E+307,'Returns (Calc)'!$A:$A)+1)-'Price History'!J3)*(ROW()-3)/(MATCH(9.99E+307,'Returns (Calc)'!$A:$A)-3),"")</f>
        <v>113.616100628931</v>
      </c>
      <c r="AF19" s="155" t="n">
        <f aca="false">IFERROR('Price History'!K3+(INDEX('Price History'!K:K,MATCH(9.99E+307,'Returns (Calc)'!$A:$A)+1)-'Price History'!K3)*(ROW()-3)/(MATCH(9.99E+307,'Returns (Calc)'!$A:$A)-3),"")</f>
        <v>34.8238364779874</v>
      </c>
      <c r="AG19" s="155" t="n">
        <f aca="false">IFERROR('Price History'!L3+(INDEX('Price History'!L:L,MATCH(9.99E+307,'Returns (Calc)'!$A:$A)+1)-'Price History'!L3)*(ROW()-3)/(MATCH(9.99E+307,'Returns (Calc)'!$A:$A)-3),"")</f>
        <v>122.737169811321</v>
      </c>
      <c r="AH19" s="155" t="n">
        <f aca="false">IFERROR('Price History'!M3+(INDEX('Price History'!M:M,MATCH(9.99E+307,'Returns (Calc)'!$A:$A)+1)-'Price History'!M3)*(ROW()-3)/(MATCH(9.99E+307,'Returns (Calc)'!$A:$A)-3),"")</f>
        <v>58.6247798742138</v>
      </c>
      <c r="AI19" s="155" t="n">
        <f aca="false">IFERROR('Price History'!N3+(INDEX('Price History'!N:N,MATCH(9.99E+307,'Returns (Calc)'!$A:$A)+1)-'Price History'!N3)*(ROW()-3)/(MATCH(9.99E+307,'Returns (Calc)'!$A:$A)-3),"")</f>
        <v>365.119371069182</v>
      </c>
      <c r="AJ19" s="155" t="n">
        <f aca="false">IFERROR('Price History'!O3+(INDEX('Price History'!O:O,MATCH(9.99E+307,'Returns (Calc)'!$A:$A)+1)-'Price History'!O3)*(ROW()-3)/(MATCH(9.99E+307,'Returns (Calc)'!$A:$A)-3),"")</f>
        <v>79.7708805031447</v>
      </c>
      <c r="AK19" s="155" t="n">
        <f aca="false">IFERROR('Price History'!Q3+(INDEX('Price History'!Q:Q,MATCH(9.99E+307,'Returns (Calc)'!$A:$A)+1)-'Price History'!Q3)*(ROW()-3)/(MATCH(9.99E+307,'Returns (Calc)'!$A:$A)-3),"")</f>
        <v>7.04100628930818</v>
      </c>
      <c r="AL19" s="155" t="n">
        <f aca="false">IFERROR('Price History'!R3+(INDEX('Price History'!R:R,MATCH(9.99E+307,'Returns (Calc)'!$A:$A)+1)-'Price History'!R3)*(ROW()-3)/(MATCH(9.99E+307,'Returns (Calc)'!$A:$A)-3),"")</f>
        <v>37.1577358490566</v>
      </c>
      <c r="AM19" s="155" t="n">
        <f aca="false">IFERROR('Price History'!S3+(INDEX('Price History'!S:S,MATCH(9.99E+307,'Returns (Calc)'!$A:$A)+1)-'Price History'!S3)*(ROW()-3)/(MATCH(9.99E+307,'Returns (Calc)'!$A:$A)-3),"")</f>
        <v>67.0418238993711</v>
      </c>
      <c r="AN19" s="155" t="n">
        <f aca="false">IFERROR('Price History'!T3+(INDEX('Price History'!T:T,MATCH(9.99E+307,'Returns (Calc)'!$A:$A)+1)-'Price History'!T3)*(ROW()-3)/(MATCH(9.99E+307,'Returns (Calc)'!$A:$A)-3),"")</f>
        <v>27.9723899371069</v>
      </c>
      <c r="AO19" s="156" t="n">
        <f aca="false">IFERROR('Price History'!V3+(INDEX('Price History'!V:V,MATCH(9.99E+307,'Returns (Calc)'!$A:$A)+1)-'Price History'!V3)*(ROW()-3)/(MATCH(9.99E+307,'Returns (Calc)'!$A:$A)-3),"")</f>
        <v>250.706226415094</v>
      </c>
      <c r="AP19" s="154" t="n">
        <f aca="false">IFERROR(IF(OR(NOT(ISNUMBER('Price History'!W20)),NOT(ISNUMBER('Price History'!W19)),'Price History'!W19=0),"",'Price History'!W20/'Price History'!W19-1),"")</f>
        <v>-0.00345754898194395</v>
      </c>
      <c r="AQ19" s="154" t="str">
        <f aca="false">IFERROR(IF(OR(NOT(ISNUMBER('Price History'!X20)),NOT(ISNUMBER('Price History'!X19)),'Price History'!X19=0),"",'Price History'!X20/'Price History'!X19-1),"")</f>
        <v/>
      </c>
      <c r="AR19" s="154" t="n">
        <f aca="false">IFERROR(IF(OR(NOT(ISNUMBER('Price History'!Y20)),NOT(ISNUMBER('Price History'!Y19)),'Price History'!Y19=0),"",'Price History'!Y20/'Price History'!Y19-1),"")</f>
        <v>0.010199456029012</v>
      </c>
      <c r="AS19" s="154" t="n">
        <f aca="false">IFERROR(IF(OR(NOT(ISNUMBER('Price History'!Z20)),NOT(ISNUMBER('Price History'!Z19)),'Price History'!Z19=0),"",'Price History'!Z20/'Price History'!Z19-1),"")</f>
        <v>0.0277385515432722</v>
      </c>
      <c r="AT19" s="154" t="n">
        <f aca="false">IFERROR(IF(OR(NOT(ISNUMBER('Price History'!AA20)),NOT(ISNUMBER('Price History'!AA19)),'Price History'!AA19=0),"",'Price History'!AA20/'Price History'!AA19-1),"")</f>
        <v>0.0381775996625184</v>
      </c>
      <c r="AU19" s="154" t="n">
        <f aca="false">IFERROR(IF(OR(NOT(ISNUMBER('Price History'!AB20)),NOT(ISNUMBER('Price History'!AB19)),'Price History'!AB19=0),"",'Price History'!AB20/'Price History'!AB19-1),"")</f>
        <v>0.123862351230545</v>
      </c>
    </row>
    <row r="20" customFormat="false" ht="15" hidden="false" customHeight="true" outlineLevel="0" collapsed="false">
      <c r="A20" s="152" t="n">
        <f aca="false">IF('Price History'!A21="","",'Price History'!A21)</f>
        <v>45310</v>
      </c>
      <c r="B20" s="153" t="n">
        <f aca="false">IFERROR(IF(OR(NOT(ISNUMBER('Price History'!B21)),NOT(ISNUMBER('Price History'!B20)),'Price History'!B20=0),"",'Price History'!B21/'Price History'!B20-1),"")</f>
        <v>0.0251617661850001</v>
      </c>
      <c r="C20" s="153" t="n">
        <f aca="false">IFERROR(IF(OR(NOT(ISNUMBER('Price History'!C21)),NOT(ISNUMBER('Price History'!C20)),'Price History'!C20=0),"",'Price History'!C21/'Price History'!C20-1),"")</f>
        <v>0.0455483256625933</v>
      </c>
      <c r="D20" s="153" t="n">
        <f aca="false">IFERROR(IF(OR(NOT(ISNUMBER('Price History'!D21)),NOT(ISNUMBER('Price History'!D20)),'Price History'!D20=0),"",'Price History'!D21/'Price History'!D20-1),"")</f>
        <v>0.0625528681414787</v>
      </c>
      <c r="E20" s="153" t="n">
        <f aca="false">IFERROR(IF(OR(NOT(ISNUMBER('Price History'!E21)),NOT(ISNUMBER('Price History'!E20)),'Price History'!E20=0),"",'Price History'!E21/'Price History'!E20-1),"")</f>
        <v>0.0934831043445972</v>
      </c>
      <c r="F20" s="153" t="n">
        <f aca="false">IFERROR(IF(OR(NOT(ISNUMBER('Price History'!F21)),NOT(ISNUMBER('Price History'!F20)),'Price History'!F20=0),"",'Price History'!F21/'Price History'!F20-1),"")</f>
        <v>0.0254093732354601</v>
      </c>
      <c r="G20" s="153" t="n">
        <f aca="false">IFERROR(IF(OR(NOT(ISNUMBER('Price History'!G21)),NOT(ISNUMBER('Price History'!G20)),'Price History'!G20=0),"",'Price History'!G21/'Price History'!G20-1),"")</f>
        <v>0.093459646565859</v>
      </c>
      <c r="H20" s="153" t="n">
        <f aca="false">IFERROR(IF(OR(NOT(ISNUMBER('Price History'!H21)),NOT(ISNUMBER('Price History'!H20)),'Price History'!H20=0),"",'Price History'!H21/'Price History'!H20-1),"")</f>
        <v>0.062163485070974</v>
      </c>
      <c r="I20" s="153" t="n">
        <f aca="false">IFERROR(IF(OR(NOT(ISNUMBER('Price History'!I21)),NOT(ISNUMBER('Price History'!I20)),'Price History'!I20=0),"",'Price History'!I21/'Price History'!I20-1),"")</f>
        <v>0.0874427131072411</v>
      </c>
      <c r="J20" s="153" t="n">
        <f aca="false">IFERROR(IF(OR(NOT(ISNUMBER('Price History'!J21)),NOT(ISNUMBER('Price History'!J20)),'Price History'!J20=0),"",'Price History'!J21/'Price History'!J20-1),"")</f>
        <v>-0.0236272878535774</v>
      </c>
      <c r="K20" s="153" t="n">
        <f aca="false">IFERROR(IF(OR(NOT(ISNUMBER('Price History'!K21)),NOT(ISNUMBER('Price History'!K20)),'Price History'!K20=0),"",'Price History'!K21/'Price History'!K20-1),"")</f>
        <v>0.00119331742243434</v>
      </c>
      <c r="L20" s="153" t="n">
        <f aca="false">IFERROR(IF(OR(NOT(ISNUMBER('Price History'!L21)),NOT(ISNUMBER('Price History'!L20)),'Price History'!L20=0),"",'Price History'!L21/'Price History'!L20-1),"")</f>
        <v>0.128005730072649</v>
      </c>
      <c r="M20" s="153" t="n">
        <f aca="false">IFERROR(IF(OR(NOT(ISNUMBER('Price History'!M21)),NOT(ISNUMBER('Price History'!M20)),'Price History'!M20=0),"",'Price History'!M21/'Price History'!M20-1),"")</f>
        <v>0.0836709886547813</v>
      </c>
      <c r="N20" s="153" t="n">
        <f aca="false">IFERROR(IF(OR(NOT(ISNUMBER('Price History'!N21)),NOT(ISNUMBER('Price History'!N20)),'Price History'!N20=0),"",'Price History'!N21/'Price History'!N20-1),"")</f>
        <v>0.00373788647900319</v>
      </c>
      <c r="O20" s="153" t="n">
        <f aca="false">IFERROR(IF(OR(NOT(ISNUMBER('Price History'!O21)),NOT(ISNUMBER('Price History'!O20)),'Price History'!O20=0),"",'Price History'!O21/'Price History'!O20-1),"")</f>
        <v>0.0030175015087508</v>
      </c>
      <c r="P20" s="153" t="n">
        <f aca="false">IFERROR(IF(OR(NOT(ISNUMBER('Price History'!P21)),NOT(ISNUMBER('Price History'!P20)),'Price History'!P20=0),"",'Price History'!P21/'Price History'!P20-1),"")</f>
        <v>-0.0131728582259287</v>
      </c>
      <c r="Q20" s="153" t="n">
        <f aca="false">IFERROR(IF(OR(NOT(ISNUMBER('Price History'!Q21)),NOT(ISNUMBER('Price History'!Q20)),'Price History'!Q20=0),"",'Price History'!Q21/'Price History'!Q20-1),"")</f>
        <v>0.00593074421274142</v>
      </c>
      <c r="R20" s="153" t="n">
        <f aca="false">IFERROR(IF(OR(NOT(ISNUMBER('Price History'!R21)),NOT(ISNUMBER('Price History'!R20)),'Price History'!R20=0),"",'Price History'!R21/'Price History'!R20-1),"")</f>
        <v>0.0176565008025682</v>
      </c>
      <c r="S20" s="153" t="n">
        <f aca="false">IFERROR(IF(OR(NOT(ISNUMBER('Price History'!S21)),NOT(ISNUMBER('Price History'!S20)),'Price History'!S20=0),"",'Price History'!S21/'Price History'!S20-1),"")</f>
        <v>0.0211987189263383</v>
      </c>
      <c r="T20" s="153" t="n">
        <f aca="false">IFERROR(IF(OR(NOT(ISNUMBER('Price History'!T21)),NOT(ISNUMBER('Price History'!T20)),'Price History'!T20=0),"",'Price History'!T21/'Price History'!T20-1),"")</f>
        <v>-0.00954478707782669</v>
      </c>
      <c r="U20" s="153" t="n">
        <f aca="false">IFERROR(IF(OR(NOT(ISNUMBER('Price History'!U21)),NOT(ISNUMBER('Price History'!U20)),'Price History'!U20=0),"",'Price History'!U21/'Price History'!U20-1),"")</f>
        <v>0.00434404865334503</v>
      </c>
      <c r="V20" s="154" t="n">
        <f aca="false">IFERROR(IF(OR(NOT(ISNUMBER('Price History'!V21)),NOT(ISNUMBER('Price History'!V20)),'Price History'!V20=0),"",'Price History'!V21/'Price History'!V20-1),"")</f>
        <v>0.0255062606276086</v>
      </c>
      <c r="W20" s="155" t="n">
        <f aca="false">IFERROR('Price History'!B3+(INDEX('Price History'!B:B,MATCH(9.99E+307,'Returns (Calc)'!$A:$A)+1)-'Price History'!B3)*(ROW()-3)/(MATCH(9.99E+307,'Returns (Calc)'!$A:$A)-3),"")</f>
        <v>498.245094339623</v>
      </c>
      <c r="X20" s="155" t="n">
        <f aca="false">IFERROR('Price History'!C3+(INDEX('Price History'!C:C,MATCH(9.99E+307,'Returns (Calc)'!$A:$A)+1)-'Price History'!C3)*(ROW()-3)/(MATCH(9.99E+307,'Returns (Calc)'!$A:$A)-3),"")</f>
        <v>64.4159748427673</v>
      </c>
      <c r="Y20" s="155" t="n">
        <f aca="false">IFERROR('Price History'!D3+(INDEX('Price History'!D:D,MATCH(9.99E+307,'Returns (Calc)'!$A:$A)+1)-'Price History'!D3)*(ROW()-3)/(MATCH(9.99E+307,'Returns (Calc)'!$A:$A)-3),"")</f>
        <v>710.133333333333</v>
      </c>
      <c r="Z20" s="155" t="n">
        <f aca="false">IFERROR('Price History'!E3+(INDEX('Price History'!E:E,MATCH(9.99E+307,'Returns (Calc)'!$A:$A)+1)-'Price History'!E3)*(ROW()-3)/(MATCH(9.99E+307,'Returns (Calc)'!$A:$A)-3),"")</f>
        <v>111.887924528302</v>
      </c>
      <c r="AA20" s="155" t="n">
        <f aca="false">IFERROR('Price History'!F3+(INDEX('Price History'!F:F,MATCH(9.99E+307,'Returns (Calc)'!$A:$A)+1)-'Price History'!F3)*(ROW()-3)/(MATCH(9.99E+307,'Returns (Calc)'!$A:$A)-3),"")</f>
        <v>66.3446540880503</v>
      </c>
      <c r="AB20" s="155" t="n">
        <f aca="false">IFERROR('Price History'!G3+(INDEX('Price History'!G:G,MATCH(9.99E+307,'Returns (Calc)'!$A:$A)+1)-'Price History'!G3)*(ROW()-3)/(MATCH(9.99E+307,'Returns (Calc)'!$A:$A)-3),"")</f>
        <v>60.5181761006289</v>
      </c>
      <c r="AC20" s="155" t="n">
        <f aca="false">IFERROR('Price History'!H3+(INDEX('Price History'!H:H,MATCH(9.99E+307,'Returns (Calc)'!$A:$A)+1)-'Price History'!H3)*(ROW()-3)/(MATCH(9.99E+307,'Returns (Calc)'!$A:$A)-3),"")</f>
        <v>171.739748427673</v>
      </c>
      <c r="AD20" s="155" t="n">
        <f aca="false">IFERROR('Price History'!I3+(INDEX('Price History'!I:I,MATCH(9.99E+307,'Returns (Calc)'!$A:$A)+1)-'Price History'!I3)*(ROW()-3)/(MATCH(9.99E+307,'Returns (Calc)'!$A:$A)-3),"")</f>
        <v>63.6044025157233</v>
      </c>
      <c r="AE20" s="155" t="n">
        <f aca="false">IFERROR('Price History'!J3+(INDEX('Price History'!J:J,MATCH(9.99E+307,'Returns (Calc)'!$A:$A)+1)-'Price History'!J3)*(ROW()-3)/(MATCH(9.99E+307,'Returns (Calc)'!$A:$A)-3),"")</f>
        <v>113.727106918239</v>
      </c>
      <c r="AF20" s="155" t="n">
        <f aca="false">IFERROR('Price History'!K3+(INDEX('Price History'!K:K,MATCH(9.99E+307,'Returns (Calc)'!$A:$A)+1)-'Price History'!K3)*(ROW()-3)/(MATCH(9.99E+307,'Returns (Calc)'!$A:$A)-3),"")</f>
        <v>36.0422012578616</v>
      </c>
      <c r="AG20" s="155" t="n">
        <f aca="false">IFERROR('Price History'!L3+(INDEX('Price History'!L:L,MATCH(9.99E+307,'Returns (Calc)'!$A:$A)+1)-'Price History'!L3)*(ROW()-3)/(MATCH(9.99E+307,'Returns (Calc)'!$A:$A)-3),"")</f>
        <v>125.048867924528</v>
      </c>
      <c r="AH20" s="155" t="n">
        <f aca="false">IFERROR('Price History'!M3+(INDEX('Price History'!M:M,MATCH(9.99E+307,'Returns (Calc)'!$A:$A)+1)-'Price History'!M3)*(ROW()-3)/(MATCH(9.99E+307,'Returns (Calc)'!$A:$A)-3),"")</f>
        <v>59.9125786163522</v>
      </c>
      <c r="AI20" s="155" t="n">
        <f aca="false">IFERROR('Price History'!N3+(INDEX('Price History'!N:N,MATCH(9.99E+307,'Returns (Calc)'!$A:$A)+1)-'Price History'!N3)*(ROW()-3)/(MATCH(9.99E+307,'Returns (Calc)'!$A:$A)-3),"")</f>
        <v>366.133081761006</v>
      </c>
      <c r="AJ20" s="155" t="n">
        <f aca="false">IFERROR('Price History'!O3+(INDEX('Price History'!O:O,MATCH(9.99E+307,'Returns (Calc)'!$A:$A)+1)-'Price History'!O3)*(ROW()-3)/(MATCH(9.99E+307,'Returns (Calc)'!$A:$A)-3),"")</f>
        <v>80.0496855345912</v>
      </c>
      <c r="AK20" s="155" t="n">
        <f aca="false">IFERROR('Price History'!Q3+(INDEX('Price History'!Q:Q,MATCH(9.99E+307,'Returns (Calc)'!$A:$A)+1)-'Price History'!Q3)*(ROW()-3)/(MATCH(9.99E+307,'Returns (Calc)'!$A:$A)-3),"")</f>
        <v>7.48106918238994</v>
      </c>
      <c r="AL20" s="155" t="n">
        <f aca="false">IFERROR('Price History'!R3+(INDEX('Price History'!R:R,MATCH(9.99E+307,'Returns (Calc)'!$A:$A)+1)-'Price History'!R3)*(ROW()-3)/(MATCH(9.99E+307,'Returns (Calc)'!$A:$A)-3),"")</f>
        <v>37.3250943396226</v>
      </c>
      <c r="AM20" s="155" t="n">
        <f aca="false">IFERROR('Price History'!S3+(INDEX('Price History'!S:S,MATCH(9.99E+307,'Returns (Calc)'!$A:$A)+1)-'Price History'!S3)*(ROW()-3)/(MATCH(9.99E+307,'Returns (Calc)'!$A:$A)-3),"")</f>
        <v>67.6300628930818</v>
      </c>
      <c r="AN20" s="155" t="n">
        <f aca="false">IFERROR('Price History'!T3+(INDEX('Price History'!T:T,MATCH(9.99E+307,'Returns (Calc)'!$A:$A)+1)-'Price History'!T3)*(ROW()-3)/(MATCH(9.99E+307,'Returns (Calc)'!$A:$A)-3),"")</f>
        <v>28.1462893081761</v>
      </c>
      <c r="AO20" s="156" t="n">
        <f aca="false">IFERROR('Price History'!V3+(INDEX('Price History'!V:V,MATCH(9.99E+307,'Returns (Calc)'!$A:$A)+1)-'Price History'!V3)*(ROW()-3)/(MATCH(9.99E+307,'Returns (Calc)'!$A:$A)-3),"")</f>
        <v>251.648490566038</v>
      </c>
      <c r="AP20" s="154" t="n">
        <f aca="false">IFERROR(IF(OR(NOT(ISNUMBER('Price History'!W21)),NOT(ISNUMBER('Price History'!W20)),'Price History'!W20=0),"",'Price History'!W21/'Price History'!W20-1),"")</f>
        <v>0.00125289128758666</v>
      </c>
      <c r="AQ20" s="154" t="str">
        <f aca="false">IFERROR(IF(OR(NOT(ISNUMBER('Price History'!X21)),NOT(ISNUMBER('Price History'!X20)),'Price History'!X20=0),"",'Price History'!X21/'Price History'!X20-1),"")</f>
        <v/>
      </c>
      <c r="AR20" s="154" t="n">
        <f aca="false">IFERROR(IF(OR(NOT(ISNUMBER('Price History'!Y21)),NOT(ISNUMBER('Price History'!Y20)),'Price History'!Y20=0),"",'Price History'!Y21/'Price History'!Y20-1),"")</f>
        <v>0.00291676015256903</v>
      </c>
      <c r="AS20" s="154" t="n">
        <f aca="false">IFERROR(IF(OR(NOT(ISNUMBER('Price History'!Z21)),NOT(ISNUMBER('Price History'!Z20)),'Price History'!Z20=0),"",'Price History'!Z21/'Price History'!Z20-1),"")</f>
        <v>0.000196290116792675</v>
      </c>
      <c r="AT20" s="154" t="n">
        <f aca="false">IFERROR(IF(OR(NOT(ISNUMBER('Price History'!AA21)),NOT(ISNUMBER('Price History'!AA20)),'Price History'!AA20=0),"",'Price History'!AA21/'Price History'!AA20-1),"")</f>
        <v>-0.0188947582283624</v>
      </c>
      <c r="AU20" s="154" t="n">
        <f aca="false">IFERROR(IF(OR(NOT(ISNUMBER('Price History'!AB21)),NOT(ISNUMBER('Price History'!AB20)),'Price History'!AB20=0),"",'Price History'!AB21/'Price History'!AB20-1),"")</f>
        <v>-0.00737936652450999</v>
      </c>
    </row>
    <row r="21" customFormat="false" ht="15" hidden="false" customHeight="true" outlineLevel="0" collapsed="false">
      <c r="A21" s="152" t="n">
        <f aca="false">IF('Price History'!A22="","",'Price History'!A22)</f>
        <v>45317</v>
      </c>
      <c r="B21" s="153" t="n">
        <f aca="false">IFERROR(IF(OR(NOT(ISNUMBER('Price History'!B22)),NOT(ISNUMBER('Price History'!B21)),'Price History'!B21=0),"",'Price History'!B22/'Price History'!B21-1),"")</f>
        <v>0.00389175047011681</v>
      </c>
      <c r="C21" s="153" t="n">
        <f aca="false">IFERROR(IF(OR(NOT(ISNUMBER('Price History'!C22)),NOT(ISNUMBER('Price History'!C21)),'Price History'!C21=0),"",'Price History'!C22/'Price History'!C21-1),"")</f>
        <v>0.00333940497874918</v>
      </c>
      <c r="D21" s="153" t="n">
        <f aca="false">IFERROR(IF(OR(NOT(ISNUMBER('Price History'!D22)),NOT(ISNUMBER('Price History'!D21)),'Price History'!D21=0),"",'Price History'!D22/'Price History'!D21-1),"")</f>
        <v>0.145037240932643</v>
      </c>
      <c r="E21" s="153" t="n">
        <f aca="false">IFERROR(IF(OR(NOT(ISNUMBER('Price History'!E22)),NOT(ISNUMBER('Price History'!E21)),'Price History'!E21=0),"",'Price History'!E22/'Price History'!E21-1),"")</f>
        <v>-0.00517870786993802</v>
      </c>
      <c r="F21" s="153" t="n">
        <f aca="false">IFERROR(IF(OR(NOT(ISNUMBER('Price History'!F22)),NOT(ISNUMBER('Price History'!F21)),'Price History'!F21=0),"",'Price History'!F22/'Price History'!F21-1),"")</f>
        <v>-0.000825991189427389</v>
      </c>
      <c r="G21" s="153" t="n">
        <f aca="false">IFERROR(IF(OR(NOT(ISNUMBER('Price History'!G22)),NOT(ISNUMBER('Price History'!G21)),'Price History'!G21=0),"",'Price History'!G22/'Price History'!G21-1),"")</f>
        <v>-0.0221592802399201</v>
      </c>
      <c r="H21" s="153" t="n">
        <f aca="false">IFERROR(IF(OR(NOT(ISNUMBER('Price History'!H22)),NOT(ISNUMBER('Price History'!H21)),'Price History'!H21=0),"",'Price History'!H22/'Price History'!H21-1),"")</f>
        <v>0.00622119815668221</v>
      </c>
      <c r="I21" s="153" t="n">
        <f aca="false">IFERROR(IF(OR(NOT(ISNUMBER('Price History'!I22)),NOT(ISNUMBER('Price History'!I21)),'Price History'!I21=0),"",'Price History'!I22/'Price History'!I21-1),"")</f>
        <v>0.0257923128792987</v>
      </c>
      <c r="J21" s="153" t="n">
        <f aca="false">IFERROR(IF(OR(NOT(ISNUMBER('Price History'!J22)),NOT(ISNUMBER('Price History'!J21)),'Price History'!J21=0),"",'Price History'!J22/'Price History'!J21-1),"")</f>
        <v>-0.0121847307430129</v>
      </c>
      <c r="K21" s="153" t="n">
        <f aca="false">IFERROR(IF(OR(NOT(ISNUMBER('Price History'!K22)),NOT(ISNUMBER('Price History'!K21)),'Price History'!K21=0),"",'Price History'!K22/'Price History'!K21-1),"")</f>
        <v>-0.0256257449344458</v>
      </c>
      <c r="L21" s="153" t="n">
        <f aca="false">IFERROR(IF(OR(NOT(ISNUMBER('Price History'!L22)),NOT(ISNUMBER('Price History'!L21)),'Price History'!L21=0),"",'Price History'!L22/'Price History'!L21-1),"")</f>
        <v>0.0268505079825836</v>
      </c>
      <c r="M21" s="153" t="n">
        <f aca="false">IFERROR(IF(OR(NOT(ISNUMBER('Price History'!M22)),NOT(ISNUMBER('Price History'!M21)),'Price History'!M21=0),"",'Price History'!M22/'Price History'!M21-1),"")</f>
        <v>-0.00392596747055529</v>
      </c>
      <c r="N21" s="153" t="n">
        <f aca="false">IFERROR(IF(OR(NOT(ISNUMBER('Price History'!N22)),NOT(ISNUMBER('Price History'!N21)),'Price History'!N21=0),"",'Price History'!N22/'Price History'!N21-1),"")</f>
        <v>-0.0111489126936691</v>
      </c>
      <c r="O21" s="153" t="n">
        <f aca="false">IFERROR(IF(OR(NOT(ISNUMBER('Price History'!O22)),NOT(ISNUMBER('Price History'!O21)),'Price History'!O21=0),"",'Price History'!O22/'Price History'!O21-1),"")</f>
        <v>0.023586040914561</v>
      </c>
      <c r="P21" s="153" t="n">
        <f aca="false">IFERROR(IF(OR(NOT(ISNUMBER('Price History'!P22)),NOT(ISNUMBER('Price History'!P21)),'Price History'!P21=0),"",'Price History'!P22/'Price History'!P21-1),"")</f>
        <v>0.0157495438394315</v>
      </c>
      <c r="Q21" s="153" t="n">
        <f aca="false">IFERROR(IF(OR(NOT(ISNUMBER('Price History'!Q22)),NOT(ISNUMBER('Price History'!Q21)),'Price History'!Q21=0),"",'Price History'!Q22/'Price History'!Q21-1),"")</f>
        <v>0.006276150627615</v>
      </c>
      <c r="R21" s="153" t="n">
        <f aca="false">IFERROR(IF(OR(NOT(ISNUMBER('Price History'!R22)),NOT(ISNUMBER('Price History'!R21)),'Price History'!R21=0),"",'Price History'!R22/'Price History'!R21-1),"")</f>
        <v>0.00788643533123046</v>
      </c>
      <c r="S21" s="153" t="n">
        <f aca="false">IFERROR(IF(OR(NOT(ISNUMBER('Price History'!S22)),NOT(ISNUMBER('Price History'!S21)),'Price History'!S21=0),"",'Price History'!S22/'Price History'!S21-1),"")</f>
        <v>0.0161290322580647</v>
      </c>
      <c r="T21" s="153" t="n">
        <f aca="false">IFERROR(IF(OR(NOT(ISNUMBER('Price History'!T22)),NOT(ISNUMBER('Price History'!T21)),'Price History'!T21=0),"",'Price History'!T22/'Price History'!T21-1),"")</f>
        <v>0.00815418828762038</v>
      </c>
      <c r="U21" s="153" t="n">
        <f aca="false">IFERROR(IF(OR(NOT(ISNUMBER('Price History'!U22)),NOT(ISNUMBER('Price History'!U21)),'Price History'!U21=0),"",'Price History'!U22/'Price History'!U21-1),"")</f>
        <v>0.00562283737024227</v>
      </c>
      <c r="V21" s="154" t="n">
        <f aca="false">IFERROR(IF(OR(NOT(ISNUMBER('Price History'!V22)),NOT(ISNUMBER('Price History'!V21)),'Price History'!V21=0),"",'Price History'!V22/'Price History'!V21-1),"")</f>
        <v>-0.0109285498944831</v>
      </c>
      <c r="W21" s="155" t="n">
        <f aca="false">IFERROR('Price History'!B3+(INDEX('Price History'!B:B,MATCH(9.99E+307,'Returns (Calc)'!$A:$A)+1)-'Price History'!B3)*(ROW()-3)/(MATCH(9.99E+307,'Returns (Calc)'!$A:$A)-3),"")</f>
        <v>496.442452830189</v>
      </c>
      <c r="X21" s="155" t="n">
        <f aca="false">IFERROR('Price History'!C3+(INDEX('Price History'!C:C,MATCH(9.99E+307,'Returns (Calc)'!$A:$A)+1)-'Price History'!C3)*(ROW()-3)/(MATCH(9.99E+307,'Returns (Calc)'!$A:$A)-3),"")</f>
        <v>65.488679245283</v>
      </c>
      <c r="Y21" s="155" t="n">
        <f aca="false">IFERROR('Price History'!D3+(INDEX('Price History'!D:D,MATCH(9.99E+307,'Returns (Calc)'!$A:$A)+1)-'Price History'!D3)*(ROW()-3)/(MATCH(9.99E+307,'Returns (Calc)'!$A:$A)-3),"")</f>
        <v>717.67</v>
      </c>
      <c r="Z21" s="155" t="n">
        <f aca="false">IFERROR('Price History'!E3+(INDEX('Price History'!E:E,MATCH(9.99E+307,'Returns (Calc)'!$A:$A)+1)-'Price History'!E3)*(ROW()-3)/(MATCH(9.99E+307,'Returns (Calc)'!$A:$A)-3),"")</f>
        <v>113.646037735849</v>
      </c>
      <c r="AA21" s="155" t="n">
        <f aca="false">IFERROR('Price History'!F3+(INDEX('Price History'!F:F,MATCH(9.99E+307,'Returns (Calc)'!$A:$A)+1)-'Price History'!F3)*(ROW()-3)/(MATCH(9.99E+307,'Returns (Calc)'!$A:$A)-3),"")</f>
        <v>67.8143396226415</v>
      </c>
      <c r="AB21" s="155" t="n">
        <f aca="false">IFERROR('Price History'!G3+(INDEX('Price History'!G:G,MATCH(9.99E+307,'Returns (Calc)'!$A:$A)+1)-'Price History'!G3)*(ROW()-3)/(MATCH(9.99E+307,'Returns (Calc)'!$A:$A)-3),"")</f>
        <v>61.4692452830189</v>
      </c>
      <c r="AC21" s="155" t="n">
        <f aca="false">IFERROR('Price History'!H3+(INDEX('Price History'!H:H,MATCH(9.99E+307,'Returns (Calc)'!$A:$A)+1)-'Price History'!H3)*(ROW()-3)/(MATCH(9.99E+307,'Returns (Calc)'!$A:$A)-3),"")</f>
        <v>177.77679245283</v>
      </c>
      <c r="AD21" s="155" t="n">
        <f aca="false">IFERROR('Price History'!I3+(INDEX('Price History'!I:I,MATCH(9.99E+307,'Returns (Calc)'!$A:$A)+1)-'Price History'!I3)*(ROW()-3)/(MATCH(9.99E+307,'Returns (Calc)'!$A:$A)-3),"")</f>
        <v>64.7711320754717</v>
      </c>
      <c r="AE21" s="155" t="n">
        <f aca="false">IFERROR('Price History'!J3+(INDEX('Price History'!J:J,MATCH(9.99E+307,'Returns (Calc)'!$A:$A)+1)-'Price History'!J3)*(ROW()-3)/(MATCH(9.99E+307,'Returns (Calc)'!$A:$A)-3),"")</f>
        <v>113.838113207547</v>
      </c>
      <c r="AF21" s="155" t="n">
        <f aca="false">IFERROR('Price History'!K3+(INDEX('Price History'!K:K,MATCH(9.99E+307,'Returns (Calc)'!$A:$A)+1)-'Price History'!K3)*(ROW()-3)/(MATCH(9.99E+307,'Returns (Calc)'!$A:$A)-3),"")</f>
        <v>37.2605660377359</v>
      </c>
      <c r="AG21" s="155" t="n">
        <f aca="false">IFERROR('Price History'!L3+(INDEX('Price History'!L:L,MATCH(9.99E+307,'Returns (Calc)'!$A:$A)+1)-'Price History'!L3)*(ROW()-3)/(MATCH(9.99E+307,'Returns (Calc)'!$A:$A)-3),"")</f>
        <v>127.360566037736</v>
      </c>
      <c r="AH21" s="155" t="n">
        <f aca="false">IFERROR('Price History'!M3+(INDEX('Price History'!M:M,MATCH(9.99E+307,'Returns (Calc)'!$A:$A)+1)-'Price History'!M3)*(ROW()-3)/(MATCH(9.99E+307,'Returns (Calc)'!$A:$A)-3),"")</f>
        <v>61.2003773584906</v>
      </c>
      <c r="AI21" s="155" t="n">
        <f aca="false">IFERROR('Price History'!N3+(INDEX('Price History'!N:N,MATCH(9.99E+307,'Returns (Calc)'!$A:$A)+1)-'Price History'!N3)*(ROW()-3)/(MATCH(9.99E+307,'Returns (Calc)'!$A:$A)-3),"")</f>
        <v>367.14679245283</v>
      </c>
      <c r="AJ21" s="155" t="n">
        <f aca="false">IFERROR('Price History'!O3+(INDEX('Price History'!O:O,MATCH(9.99E+307,'Returns (Calc)'!$A:$A)+1)-'Price History'!O3)*(ROW()-3)/(MATCH(9.99E+307,'Returns (Calc)'!$A:$A)-3),"")</f>
        <v>80.3284905660377</v>
      </c>
      <c r="AK21" s="155" t="n">
        <f aca="false">IFERROR('Price History'!Q3+(INDEX('Price History'!Q:Q,MATCH(9.99E+307,'Returns (Calc)'!$A:$A)+1)-'Price History'!Q3)*(ROW()-3)/(MATCH(9.99E+307,'Returns (Calc)'!$A:$A)-3),"")</f>
        <v>7.9211320754717</v>
      </c>
      <c r="AL21" s="155" t="n">
        <f aca="false">IFERROR('Price History'!R3+(INDEX('Price History'!R:R,MATCH(9.99E+307,'Returns (Calc)'!$A:$A)+1)-'Price History'!R3)*(ROW()-3)/(MATCH(9.99E+307,'Returns (Calc)'!$A:$A)-3),"")</f>
        <v>37.4924528301887</v>
      </c>
      <c r="AM21" s="155" t="n">
        <f aca="false">IFERROR('Price History'!S3+(INDEX('Price History'!S:S,MATCH(9.99E+307,'Returns (Calc)'!$A:$A)+1)-'Price History'!S3)*(ROW()-3)/(MATCH(9.99E+307,'Returns (Calc)'!$A:$A)-3),"")</f>
        <v>68.2183018867925</v>
      </c>
      <c r="AN21" s="155" t="n">
        <f aca="false">IFERROR('Price History'!T3+(INDEX('Price History'!T:T,MATCH(9.99E+307,'Returns (Calc)'!$A:$A)+1)-'Price History'!T3)*(ROW()-3)/(MATCH(9.99E+307,'Returns (Calc)'!$A:$A)-3),"")</f>
        <v>28.3201886792453</v>
      </c>
      <c r="AO21" s="156" t="n">
        <f aca="false">IFERROR('Price History'!V3+(INDEX('Price History'!V:V,MATCH(9.99E+307,'Returns (Calc)'!$A:$A)+1)-'Price History'!V3)*(ROW()-3)/(MATCH(9.99E+307,'Returns (Calc)'!$A:$A)-3),"")</f>
        <v>252.590754716981</v>
      </c>
      <c r="AP21" s="154" t="n">
        <f aca="false">IFERROR(IF(OR(NOT(ISNUMBER('Price History'!W22)),NOT(ISNUMBER('Price History'!W21)),'Price History'!W21=0),"",'Price History'!W22/'Price History'!W21-1),"")</f>
        <v>0.0122244681875059</v>
      </c>
      <c r="AQ21" s="154" t="str">
        <f aca="false">IFERROR(IF(OR(NOT(ISNUMBER('Price History'!X22)),NOT(ISNUMBER('Price History'!X21)),'Price History'!X21=0),"",'Price History'!X22/'Price History'!X21-1),"")</f>
        <v/>
      </c>
      <c r="AR21" s="154" t="n">
        <f aca="false">IFERROR(IF(OR(NOT(ISNUMBER('Price History'!Y22)),NOT(ISNUMBER('Price History'!Y21)),'Price History'!Y21=0),"",'Price History'!Y22/'Price History'!Y21-1),"")</f>
        <v>0.00850111856823266</v>
      </c>
      <c r="AS21" s="154" t="n">
        <f aca="false">IFERROR(IF(OR(NOT(ISNUMBER('Price History'!Z22)),NOT(ISNUMBER('Price History'!Z21)),'Price History'!Z21=0),"",'Price History'!Z22/'Price History'!Z21-1),"")</f>
        <v>0.0105975861053871</v>
      </c>
      <c r="AT21" s="154" t="n">
        <f aca="false">IFERROR(IF(OR(NOT(ISNUMBER('Price History'!AA22)),NOT(ISNUMBER('Price History'!AA21)),'Price History'!AA21=0),"",'Price History'!AA22/'Price History'!AA21-1),"")</f>
        <v>0.181196935183268</v>
      </c>
      <c r="AU21" s="154" t="n">
        <f aca="false">IFERROR(IF(OR(NOT(ISNUMBER('Price History'!AB22)),NOT(ISNUMBER('Price History'!AB21)),'Price History'!AB21=0),"",'Price History'!AB22/'Price History'!AB21-1),"")</f>
        <v>0.00762732319575177</v>
      </c>
    </row>
    <row r="22" customFormat="false" ht="15" hidden="false" customHeight="true" outlineLevel="0" collapsed="false">
      <c r="A22" s="152" t="n">
        <f aca="false">IF('Price History'!A23="","",'Price History'!A23)</f>
        <v>45324</v>
      </c>
      <c r="B22" s="153" t="n">
        <f aca="false">IFERROR(IF(OR(NOT(ISNUMBER('Price History'!B23)),NOT(ISNUMBER('Price History'!B22)),'Price History'!B22=0),"",'Price History'!B23/'Price History'!B22-1),"")</f>
        <v>0.0339289495545096</v>
      </c>
      <c r="C22" s="153" t="n">
        <f aca="false">IFERROR(IF(OR(NOT(ISNUMBER('Price History'!C23)),NOT(ISNUMBER('Price History'!C22)),'Price History'!C22=0),"",'Price History'!C23/'Price History'!C22-1),"")</f>
        <v>0.032980332829047</v>
      </c>
      <c r="D22" s="153" t="n">
        <f aca="false">IFERROR(IF(OR(NOT(ISNUMBER('Price History'!D23)),NOT(ISNUMBER('Price History'!D22)),'Price History'!D22=0),"",'Price History'!D23/'Price History'!D22-1),"")</f>
        <v>0.0264078905504295</v>
      </c>
      <c r="E22" s="153" t="n">
        <f aca="false">IFERROR(IF(OR(NOT(ISNUMBER('Price History'!E23)),NOT(ISNUMBER('Price History'!E22)),'Price History'!E22=0),"",'Price History'!E23/'Price History'!E22-1),"")</f>
        <v>0.0161290322580645</v>
      </c>
      <c r="F22" s="153" t="n">
        <f aca="false">IFERROR(IF(OR(NOT(ISNUMBER('Price History'!F23)),NOT(ISNUMBER('Price History'!F22)),'Price History'!F22=0),"",'Price History'!F23/'Price History'!F22-1),"")</f>
        <v>0.0456048498208874</v>
      </c>
      <c r="G22" s="153" t="n">
        <f aca="false">IFERROR(IF(OR(NOT(ISNUMBER('Price History'!G23)),NOT(ISNUMBER('Price History'!G22)),'Price History'!G22=0),"",'Price History'!G23/'Price History'!G22-1),"")</f>
        <v>0.0081785653433295</v>
      </c>
      <c r="H22" s="153" t="n">
        <f aca="false">IFERROR(IF(OR(NOT(ISNUMBER('Price History'!H23)),NOT(ISNUMBER('Price History'!H22)),'Price History'!H22=0),"",'Price History'!H23/'Price History'!H22-1),"")</f>
        <v>-0.0178612319670255</v>
      </c>
      <c r="I22" s="153" t="n">
        <f aca="false">IFERROR(IF(OR(NOT(ISNUMBER('Price History'!I23)),NOT(ISNUMBER('Price History'!I22)),'Price History'!I22=0),"",'Price History'!I23/'Price History'!I22-1),"")</f>
        <v>0.0841413311421528</v>
      </c>
      <c r="J22" s="153" t="n">
        <f aca="false">IFERROR(IF(OR(NOT(ISNUMBER('Price History'!J23)),NOT(ISNUMBER('Price History'!J22)),'Price History'!J22=0),"",'Price History'!J23/'Price History'!J22-1),"")</f>
        <v>0.0187181920124211</v>
      </c>
      <c r="K22" s="153" t="n">
        <f aca="false">IFERROR(IF(OR(NOT(ISNUMBER('Price History'!K23)),NOT(ISNUMBER('Price History'!K22)),'Price History'!K22=0),"",'Price History'!K23/'Price History'!K22-1),"")</f>
        <v>0.0409785932721711</v>
      </c>
      <c r="L22" s="153" t="n">
        <f aca="false">IFERROR(IF(OR(NOT(ISNUMBER('Price History'!L23)),NOT(ISNUMBER('Price History'!L22)),'Price History'!L22=0),"",'Price History'!L23/'Price History'!L22-1),"")</f>
        <v>-0.0128975265017669</v>
      </c>
      <c r="M22" s="153" t="n">
        <f aca="false">IFERROR(IF(OR(NOT(ISNUMBER('Price History'!M23)),NOT(ISNUMBER('Price History'!M22)),'Price History'!M22=0),"",'Price History'!M23/'Price History'!M22-1),"")</f>
        <v>0.149962462462462</v>
      </c>
      <c r="N22" s="153" t="n">
        <f aca="false">IFERROR(IF(OR(NOT(ISNUMBER('Price History'!N23)),NOT(ISNUMBER('Price History'!N22)),'Price History'!N22=0),"",'Price History'!N23/'Price History'!N22-1),"")</f>
        <v>-0.012762396261943</v>
      </c>
      <c r="O22" s="153" t="n">
        <f aca="false">IFERROR(IF(OR(NOT(ISNUMBER('Price History'!O23)),NOT(ISNUMBER('Price History'!O22)),'Price History'!O22=0),"",'Price History'!O23/'Price History'!O22-1),"")</f>
        <v>-0.0186926875146956</v>
      </c>
      <c r="P22" s="153" t="n">
        <f aca="false">IFERROR(IF(OR(NOT(ISNUMBER('Price History'!P23)),NOT(ISNUMBER('Price History'!P22)),'Price History'!P22=0),"",'Price History'!P23/'Price History'!P22-1),"")</f>
        <v>-0.0128580883048123</v>
      </c>
      <c r="Q22" s="153" t="n">
        <f aca="false">IFERROR(IF(OR(NOT(ISNUMBER('Price History'!Q23)),NOT(ISNUMBER('Price History'!Q22)),'Price History'!Q22=0),"",'Price History'!Q23/'Price History'!Q22-1),"")</f>
        <v>0.0141750141750141</v>
      </c>
      <c r="R22" s="153" t="n">
        <f aca="false">IFERROR(IF(OR(NOT(ISNUMBER('Price History'!R23)),NOT(ISNUMBER('Price History'!R22)),'Price History'!R22=0),"",'Price History'!R23/'Price History'!R22-1),"")</f>
        <v>0.0096504955659884</v>
      </c>
      <c r="S22" s="153" t="n">
        <f aca="false">IFERROR(IF(OR(NOT(ISNUMBER('Price History'!S23)),NOT(ISNUMBER('Price History'!S22)),'Price History'!S22=0),"",'Price History'!S23/'Price History'!S22-1),"")</f>
        <v>0.0457084068195179</v>
      </c>
      <c r="T22" s="153" t="n">
        <f aca="false">IFERROR(IF(OR(NOT(ISNUMBER('Price History'!T23)),NOT(ISNUMBER('Price History'!T22)),'Price History'!T22=0),"",'Price History'!T23/'Price History'!T22-1),"")</f>
        <v>0.00955882352941173</v>
      </c>
      <c r="U22" s="153" t="n">
        <f aca="false">IFERROR(IF(OR(NOT(ISNUMBER('Price History'!U23)),NOT(ISNUMBER('Price History'!U22)),'Price History'!U22=0),"",'Price History'!U23/'Price History'!U22-1),"")</f>
        <v>-0.000430107526881773</v>
      </c>
      <c r="V22" s="154" t="n">
        <f aca="false">IFERROR(IF(OR(NOT(ISNUMBER('Price History'!V23)),NOT(ISNUMBER('Price History'!V22)),'Price History'!V22=0),"",'Price History'!V23/'Price History'!V22-1),"")</f>
        <v>0.0344814447915873</v>
      </c>
      <c r="W22" s="155" t="n">
        <f aca="false">IFERROR('Price History'!B3+(INDEX('Price History'!B:B,MATCH(9.99E+307,'Returns (Calc)'!$A:$A)+1)-'Price History'!B3)*(ROW()-3)/(MATCH(9.99E+307,'Returns (Calc)'!$A:$A)-3),"")</f>
        <v>494.639811320755</v>
      </c>
      <c r="X22" s="155" t="n">
        <f aca="false">IFERROR('Price History'!C3+(INDEX('Price History'!C:C,MATCH(9.99E+307,'Returns (Calc)'!$A:$A)+1)-'Price History'!C3)*(ROW()-3)/(MATCH(9.99E+307,'Returns (Calc)'!$A:$A)-3),"")</f>
        <v>66.5613836477988</v>
      </c>
      <c r="Y22" s="155" t="n">
        <f aca="false">IFERROR('Price History'!D3+(INDEX('Price History'!D:D,MATCH(9.99E+307,'Returns (Calc)'!$A:$A)+1)-'Price History'!D3)*(ROW()-3)/(MATCH(9.99E+307,'Returns (Calc)'!$A:$A)-3),"")</f>
        <v>725.206666666667</v>
      </c>
      <c r="Z22" s="155" t="n">
        <f aca="false">IFERROR('Price History'!E3+(INDEX('Price History'!E:E,MATCH(9.99E+307,'Returns (Calc)'!$A:$A)+1)-'Price History'!E3)*(ROW()-3)/(MATCH(9.99E+307,'Returns (Calc)'!$A:$A)-3),"")</f>
        <v>115.404150943396</v>
      </c>
      <c r="AA22" s="155" t="n">
        <f aca="false">IFERROR('Price History'!F3+(INDEX('Price History'!F:F,MATCH(9.99E+307,'Returns (Calc)'!$A:$A)+1)-'Price History'!F3)*(ROW()-3)/(MATCH(9.99E+307,'Returns (Calc)'!$A:$A)-3),"")</f>
        <v>69.2840251572327</v>
      </c>
      <c r="AB22" s="155" t="n">
        <f aca="false">IFERROR('Price History'!G3+(INDEX('Price History'!G:G,MATCH(9.99E+307,'Returns (Calc)'!$A:$A)+1)-'Price History'!G3)*(ROW()-3)/(MATCH(9.99E+307,'Returns (Calc)'!$A:$A)-3),"")</f>
        <v>62.4203144654088</v>
      </c>
      <c r="AC22" s="155" t="n">
        <f aca="false">IFERROR('Price History'!H3+(INDEX('Price History'!H:H,MATCH(9.99E+307,'Returns (Calc)'!$A:$A)+1)-'Price History'!H3)*(ROW()-3)/(MATCH(9.99E+307,'Returns (Calc)'!$A:$A)-3),"")</f>
        <v>183.813836477987</v>
      </c>
      <c r="AD22" s="155" t="n">
        <f aca="false">IFERROR('Price History'!I3+(INDEX('Price History'!I:I,MATCH(9.99E+307,'Returns (Calc)'!$A:$A)+1)-'Price History'!I3)*(ROW()-3)/(MATCH(9.99E+307,'Returns (Calc)'!$A:$A)-3),"")</f>
        <v>65.9378616352201</v>
      </c>
      <c r="AE22" s="155" t="n">
        <f aca="false">IFERROR('Price History'!J3+(INDEX('Price History'!J:J,MATCH(9.99E+307,'Returns (Calc)'!$A:$A)+1)-'Price History'!J3)*(ROW()-3)/(MATCH(9.99E+307,'Returns (Calc)'!$A:$A)-3),"")</f>
        <v>113.949119496855</v>
      </c>
      <c r="AF22" s="155" t="n">
        <f aca="false">IFERROR('Price History'!K3+(INDEX('Price History'!K:K,MATCH(9.99E+307,'Returns (Calc)'!$A:$A)+1)-'Price History'!K3)*(ROW()-3)/(MATCH(9.99E+307,'Returns (Calc)'!$A:$A)-3),"")</f>
        <v>38.4789308176101</v>
      </c>
      <c r="AG22" s="155" t="n">
        <f aca="false">IFERROR('Price History'!L3+(INDEX('Price History'!L:L,MATCH(9.99E+307,'Returns (Calc)'!$A:$A)+1)-'Price History'!L3)*(ROW()-3)/(MATCH(9.99E+307,'Returns (Calc)'!$A:$A)-3),"")</f>
        <v>129.672264150943</v>
      </c>
      <c r="AH22" s="155" t="n">
        <f aca="false">IFERROR('Price History'!M3+(INDEX('Price History'!M:M,MATCH(9.99E+307,'Returns (Calc)'!$A:$A)+1)-'Price History'!M3)*(ROW()-3)/(MATCH(9.99E+307,'Returns (Calc)'!$A:$A)-3),"")</f>
        <v>62.4881761006289</v>
      </c>
      <c r="AI22" s="155" t="n">
        <f aca="false">IFERROR('Price History'!N3+(INDEX('Price History'!N:N,MATCH(9.99E+307,'Returns (Calc)'!$A:$A)+1)-'Price History'!N3)*(ROW()-3)/(MATCH(9.99E+307,'Returns (Calc)'!$A:$A)-3),"")</f>
        <v>368.160503144654</v>
      </c>
      <c r="AJ22" s="155" t="n">
        <f aca="false">IFERROR('Price History'!O3+(INDEX('Price History'!O:O,MATCH(9.99E+307,'Returns (Calc)'!$A:$A)+1)-'Price History'!O3)*(ROW()-3)/(MATCH(9.99E+307,'Returns (Calc)'!$A:$A)-3),"")</f>
        <v>80.6072955974843</v>
      </c>
      <c r="AK22" s="155" t="n">
        <f aca="false">IFERROR('Price History'!Q3+(INDEX('Price History'!Q:Q,MATCH(9.99E+307,'Returns (Calc)'!$A:$A)+1)-'Price History'!Q3)*(ROW()-3)/(MATCH(9.99E+307,'Returns (Calc)'!$A:$A)-3),"")</f>
        <v>8.36119496855346</v>
      </c>
      <c r="AL22" s="155" t="n">
        <f aca="false">IFERROR('Price History'!R3+(INDEX('Price History'!R:R,MATCH(9.99E+307,'Returns (Calc)'!$A:$A)+1)-'Price History'!R3)*(ROW()-3)/(MATCH(9.99E+307,'Returns (Calc)'!$A:$A)-3),"")</f>
        <v>37.6598113207547</v>
      </c>
      <c r="AM22" s="155" t="n">
        <f aca="false">IFERROR('Price History'!S3+(INDEX('Price History'!S:S,MATCH(9.99E+307,'Returns (Calc)'!$A:$A)+1)-'Price History'!S3)*(ROW()-3)/(MATCH(9.99E+307,'Returns (Calc)'!$A:$A)-3),"")</f>
        <v>68.8065408805032</v>
      </c>
      <c r="AN22" s="155" t="n">
        <f aca="false">IFERROR('Price History'!T3+(INDEX('Price History'!T:T,MATCH(9.99E+307,'Returns (Calc)'!$A:$A)+1)-'Price History'!T3)*(ROW()-3)/(MATCH(9.99E+307,'Returns (Calc)'!$A:$A)-3),"")</f>
        <v>28.4940880503145</v>
      </c>
      <c r="AO22" s="156" t="n">
        <f aca="false">IFERROR('Price History'!V3+(INDEX('Price History'!V:V,MATCH(9.99E+307,'Returns (Calc)'!$A:$A)+1)-'Price History'!V3)*(ROW()-3)/(MATCH(9.99E+307,'Returns (Calc)'!$A:$A)-3),"")</f>
        <v>253.533018867925</v>
      </c>
      <c r="AP22" s="154" t="n">
        <f aca="false">IFERROR(IF(OR(NOT(ISNUMBER('Price History'!W23)),NOT(ISNUMBER('Price History'!W22)),'Price History'!W22=0),"",'Price History'!W23/'Price History'!W22-1),"")</f>
        <v>0.0012362114872575</v>
      </c>
      <c r="AQ22" s="154" t="str">
        <f aca="false">IFERROR(IF(OR(NOT(ISNUMBER('Price History'!X23)),NOT(ISNUMBER('Price History'!X22)),'Price History'!X22=0),"",'Price History'!X23/'Price History'!X22-1),"")</f>
        <v/>
      </c>
      <c r="AR22" s="154" t="n">
        <f aca="false">IFERROR(IF(OR(NOT(ISNUMBER('Price History'!Y23)),NOT(ISNUMBER('Price History'!Y22)),'Price History'!Y22=0),"",'Price History'!Y23/'Price History'!Y22-1),"")</f>
        <v>0.00998225377107365</v>
      </c>
      <c r="AS22" s="154" t="n">
        <f aca="false">IFERROR(IF(OR(NOT(ISNUMBER('Price History'!Z23)),NOT(ISNUMBER('Price History'!Z22)),'Price History'!Z22=0),"",'Price History'!Z23/'Price History'!Z22-1),"")</f>
        <v>0.0407806583163415</v>
      </c>
      <c r="AT22" s="154" t="n">
        <f aca="false">IFERROR(IF(OR(NOT(ISNUMBER('Price History'!AA23)),NOT(ISNUMBER('Price History'!AA22)),'Price History'!AA22=0),"",'Price History'!AA23/'Price History'!AA22-1),"")</f>
        <v>-0.0101683029453015</v>
      </c>
      <c r="AU22" s="154" t="n">
        <f aca="false">IFERROR(IF(OR(NOT(ISNUMBER('Price History'!AB23)),NOT(ISNUMBER('Price History'!AB22)),'Price History'!AB22=0),"",'Price History'!AB23/'Price History'!AB22-1),"")</f>
        <v>-0.00924639486417855</v>
      </c>
    </row>
    <row r="23" customFormat="false" ht="15" hidden="false" customHeight="true" outlineLevel="0" collapsed="false">
      <c r="A23" s="152" t="n">
        <f aca="false">IF('Price History'!A24="","",'Price History'!A24)</f>
        <v>45331</v>
      </c>
      <c r="B23" s="153" t="n">
        <f aca="false">IFERROR(IF(OR(NOT(ISNUMBER('Price History'!B24)),NOT(ISNUMBER('Price History'!B23)),'Price History'!B23=0),"",'Price History'!B24/'Price History'!B23-1),"")</f>
        <v>-0.0118942592475896</v>
      </c>
      <c r="C23" s="153" t="n">
        <f aca="false">IFERROR(IF(OR(NOT(ISNUMBER('Price History'!C24)),NOT(ISNUMBER('Price History'!C23)),'Price History'!C23=0),"",'Price History'!C24/'Price History'!C23-1),"")</f>
        <v>0.0341241944932631</v>
      </c>
      <c r="D23" s="153" t="n">
        <f aca="false">IFERROR(IF(OR(NOT(ISNUMBER('Price History'!D24)),NOT(ISNUMBER('Price History'!D23)),'Price History'!D23=0),"",'Price History'!D24/'Price History'!D23-1),"")</f>
        <v>0.0680466579412642</v>
      </c>
      <c r="E23" s="153" t="n">
        <f aca="false">IFERROR(IF(OR(NOT(ISNUMBER('Price History'!E24)),NOT(ISNUMBER('Price History'!E23)),'Price History'!E23=0),"",'Price History'!E24/'Price History'!E23-1),"")</f>
        <v>0.0482909213067944</v>
      </c>
      <c r="F23" s="153" t="n">
        <f aca="false">IFERROR(IF(OR(NOT(ISNUMBER('Price History'!F24)),NOT(ISNUMBER('Price History'!F23)),'Price History'!F23=0),"",'Price History'!F24/'Price History'!F23-1),"")</f>
        <v>0.0848596653050469</v>
      </c>
      <c r="G23" s="153" t="n">
        <f aca="false">IFERROR(IF(OR(NOT(ISNUMBER('Price History'!G24)),NOT(ISNUMBER('Price History'!G23)),'Price History'!G23=0),"",'Price History'!G24/'Price History'!G23-1),"")</f>
        <v>0.0753760351529491</v>
      </c>
      <c r="H23" s="153" t="n">
        <f aca="false">IFERROR(IF(OR(NOT(ISNUMBER('Price History'!H24)),NOT(ISNUMBER('Price History'!H23)),'Price History'!H23=0),"",'Price History'!H24/'Price History'!H23-1),"")</f>
        <v>-0.0106085334576824</v>
      </c>
      <c r="I23" s="153" t="n">
        <f aca="false">IFERROR(IF(OR(NOT(ISNUMBER('Price History'!I24)),NOT(ISNUMBER('Price History'!I23)),'Price History'!I23=0),"",'Price History'!I24/'Price History'!I23-1),"")</f>
        <v>0.0901925117477642</v>
      </c>
      <c r="J23" s="153" t="n">
        <f aca="false">IFERROR(IF(OR(NOT(ISNUMBER('Price History'!J24)),NOT(ISNUMBER('Price History'!J23)),'Price History'!J23=0),"",'Price History'!J24/'Price History'!J23-1),"")</f>
        <v>0.0249788314987298</v>
      </c>
      <c r="K23" s="153" t="n">
        <f aca="false">IFERROR(IF(OR(NOT(ISNUMBER('Price History'!K24)),NOT(ISNUMBER('Price History'!K23)),'Price History'!K23=0),"",'Price History'!K24/'Price History'!K23-1),"")</f>
        <v>0.432432432432432</v>
      </c>
      <c r="L23" s="153" t="n">
        <f aca="false">IFERROR(IF(OR(NOT(ISNUMBER('Price History'!L24)),NOT(ISNUMBER('Price History'!L23)),'Price History'!L23=0),"",'Price History'!L24/'Price History'!L23-1),"")</f>
        <v>0.149991050653302</v>
      </c>
      <c r="M23" s="153" t="n">
        <f aca="false">IFERROR(IF(OR(NOT(ISNUMBER('Price History'!M24)),NOT(ISNUMBER('Price History'!M23)),'Price History'!M23=0),"",'Price History'!M24/'Price History'!M23-1),"")</f>
        <v>0.0332952505304391</v>
      </c>
      <c r="N23" s="153" t="n">
        <f aca="false">IFERROR(IF(OR(NOT(ISNUMBER('Price History'!N24)),NOT(ISNUMBER('Price History'!N23)),'Price History'!N23=0),"",'Price History'!N24/'Price History'!N23-1),"")</f>
        <v>-0.00416784402373549</v>
      </c>
      <c r="O23" s="153" t="n">
        <f aca="false">IFERROR(IF(OR(NOT(ISNUMBER('Price History'!O24)),NOT(ISNUMBER('Price History'!O23)),'Price History'!O23=0),"",'Price History'!O24/'Price History'!O23-1),"")</f>
        <v>0.00898526416676648</v>
      </c>
      <c r="P23" s="153" t="n">
        <f aca="false">IFERROR(IF(OR(NOT(ISNUMBER('Price History'!P24)),NOT(ISNUMBER('Price History'!P23)),'Price History'!P23=0),"",'Price History'!P24/'Price History'!P23-1),"")</f>
        <v>-0.00890719279762464</v>
      </c>
      <c r="Q23" s="153" t="n">
        <f aca="false">IFERROR(IF(OR(NOT(ISNUMBER('Price History'!Q24)),NOT(ISNUMBER('Price History'!Q23)),'Price History'!Q23=0),"",'Price History'!Q24/'Price History'!Q23-1),"")</f>
        <v>0.00428624673872546</v>
      </c>
      <c r="R23" s="153" t="n">
        <f aca="false">IFERROR(IF(OR(NOT(ISNUMBER('Price History'!R24)),NOT(ISNUMBER('Price History'!R23)),'Price History'!R23=0),"",'Price History'!R24/'Price History'!R23-1),"")</f>
        <v>0.0105915784035133</v>
      </c>
      <c r="S23" s="153" t="n">
        <f aca="false">IFERROR(IF(OR(NOT(ISNUMBER('Price History'!S24)),NOT(ISNUMBER('Price History'!S23)),'Price History'!S23=0),"",'Price History'!S24/'Price History'!S23-1),"")</f>
        <v>0.0238931834153195</v>
      </c>
      <c r="T23" s="153" t="n">
        <f aca="false">IFERROR(IF(OR(NOT(ISNUMBER('Price History'!T24)),NOT(ISNUMBER('Price History'!T23)),'Price History'!T23=0),"",'Price History'!T24/'Price History'!T23-1),"")</f>
        <v>0.00509832483612538</v>
      </c>
      <c r="U23" s="153" t="n">
        <f aca="false">IFERROR(IF(OR(NOT(ISNUMBER('Price History'!U24)),NOT(ISNUMBER('Price History'!U23)),'Price History'!U23=0),"",'Price History'!U24/'Price History'!U23-1),"")</f>
        <v>-0.00258175559380369</v>
      </c>
      <c r="V23" s="154" t="n">
        <f aca="false">IFERROR(IF(OR(NOT(ISNUMBER('Price History'!V24)),NOT(ISNUMBER('Price History'!V23)),'Price History'!V23=0),"",'Price History'!V24/'Price History'!V23-1),"")</f>
        <v>-0.000847114286766648</v>
      </c>
      <c r="W23" s="155" t="n">
        <f aca="false">IFERROR('Price History'!B3+(INDEX('Price History'!B:B,MATCH(9.99E+307,'Returns (Calc)'!$A:$A)+1)-'Price History'!B3)*(ROW()-3)/(MATCH(9.99E+307,'Returns (Calc)'!$A:$A)-3),"")</f>
        <v>492.837169811321</v>
      </c>
      <c r="X23" s="155" t="n">
        <f aca="false">IFERROR('Price History'!C3+(INDEX('Price History'!C:C,MATCH(9.99E+307,'Returns (Calc)'!$A:$A)+1)-'Price History'!C3)*(ROW()-3)/(MATCH(9.99E+307,'Returns (Calc)'!$A:$A)-3),"")</f>
        <v>67.6340880503145</v>
      </c>
      <c r="Y23" s="155" t="n">
        <f aca="false">IFERROR('Price History'!D3+(INDEX('Price History'!D:D,MATCH(9.99E+307,'Returns (Calc)'!$A:$A)+1)-'Price History'!D3)*(ROW()-3)/(MATCH(9.99E+307,'Returns (Calc)'!$A:$A)-3),"")</f>
        <v>732.743333333333</v>
      </c>
      <c r="Z23" s="155" t="n">
        <f aca="false">IFERROR('Price History'!E3+(INDEX('Price History'!E:E,MATCH(9.99E+307,'Returns (Calc)'!$A:$A)+1)-'Price History'!E3)*(ROW()-3)/(MATCH(9.99E+307,'Returns (Calc)'!$A:$A)-3),"")</f>
        <v>117.162264150943</v>
      </c>
      <c r="AA23" s="155" t="n">
        <f aca="false">IFERROR('Price History'!F3+(INDEX('Price History'!F:F,MATCH(9.99E+307,'Returns (Calc)'!$A:$A)+1)-'Price History'!F3)*(ROW()-3)/(MATCH(9.99E+307,'Returns (Calc)'!$A:$A)-3),"")</f>
        <v>70.7537106918239</v>
      </c>
      <c r="AB23" s="155" t="n">
        <f aca="false">IFERROR('Price History'!G3+(INDEX('Price History'!G:G,MATCH(9.99E+307,'Returns (Calc)'!$A:$A)+1)-'Price History'!G3)*(ROW()-3)/(MATCH(9.99E+307,'Returns (Calc)'!$A:$A)-3),"")</f>
        <v>63.3713836477987</v>
      </c>
      <c r="AC23" s="155" t="n">
        <f aca="false">IFERROR('Price History'!H3+(INDEX('Price History'!H:H,MATCH(9.99E+307,'Returns (Calc)'!$A:$A)+1)-'Price History'!H3)*(ROW()-3)/(MATCH(9.99E+307,'Returns (Calc)'!$A:$A)-3),"")</f>
        <v>189.850880503145</v>
      </c>
      <c r="AD23" s="155" t="n">
        <f aca="false">IFERROR('Price History'!I3+(INDEX('Price History'!I:I,MATCH(9.99E+307,'Returns (Calc)'!$A:$A)+1)-'Price History'!I3)*(ROW()-3)/(MATCH(9.99E+307,'Returns (Calc)'!$A:$A)-3),"")</f>
        <v>67.1045911949686</v>
      </c>
      <c r="AE23" s="155" t="n">
        <f aca="false">IFERROR('Price History'!J3+(INDEX('Price History'!J:J,MATCH(9.99E+307,'Returns (Calc)'!$A:$A)+1)-'Price History'!J3)*(ROW()-3)/(MATCH(9.99E+307,'Returns (Calc)'!$A:$A)-3),"")</f>
        <v>114.060125786164</v>
      </c>
      <c r="AF23" s="155" t="n">
        <f aca="false">IFERROR('Price History'!K3+(INDEX('Price History'!K:K,MATCH(9.99E+307,'Returns (Calc)'!$A:$A)+1)-'Price History'!K3)*(ROW()-3)/(MATCH(9.99E+307,'Returns (Calc)'!$A:$A)-3),"")</f>
        <v>39.6972955974843</v>
      </c>
      <c r="AG23" s="155" t="n">
        <f aca="false">IFERROR('Price History'!L3+(INDEX('Price History'!L:L,MATCH(9.99E+307,'Returns (Calc)'!$A:$A)+1)-'Price History'!L3)*(ROW()-3)/(MATCH(9.99E+307,'Returns (Calc)'!$A:$A)-3),"")</f>
        <v>131.983962264151</v>
      </c>
      <c r="AH23" s="155" t="n">
        <f aca="false">IFERROR('Price History'!M3+(INDEX('Price History'!M:M,MATCH(9.99E+307,'Returns (Calc)'!$A:$A)+1)-'Price History'!M3)*(ROW()-3)/(MATCH(9.99E+307,'Returns (Calc)'!$A:$A)-3),"")</f>
        <v>63.7759748427673</v>
      </c>
      <c r="AI23" s="155" t="n">
        <f aca="false">IFERROR('Price History'!N3+(INDEX('Price History'!N:N,MATCH(9.99E+307,'Returns (Calc)'!$A:$A)+1)-'Price History'!N3)*(ROW()-3)/(MATCH(9.99E+307,'Returns (Calc)'!$A:$A)-3),"")</f>
        <v>369.174213836478</v>
      </c>
      <c r="AJ23" s="155" t="n">
        <f aca="false">IFERROR('Price History'!O3+(INDEX('Price History'!O:O,MATCH(9.99E+307,'Returns (Calc)'!$A:$A)+1)-'Price History'!O3)*(ROW()-3)/(MATCH(9.99E+307,'Returns (Calc)'!$A:$A)-3),"")</f>
        <v>80.8861006289308</v>
      </c>
      <c r="AK23" s="155" t="n">
        <f aca="false">IFERROR('Price History'!Q3+(INDEX('Price History'!Q:Q,MATCH(9.99E+307,'Returns (Calc)'!$A:$A)+1)-'Price History'!Q3)*(ROW()-3)/(MATCH(9.99E+307,'Returns (Calc)'!$A:$A)-3),"")</f>
        <v>8.80125786163522</v>
      </c>
      <c r="AL23" s="155" t="n">
        <f aca="false">IFERROR('Price History'!R3+(INDEX('Price History'!R:R,MATCH(9.99E+307,'Returns (Calc)'!$A:$A)+1)-'Price History'!R3)*(ROW()-3)/(MATCH(9.99E+307,'Returns (Calc)'!$A:$A)-3),"")</f>
        <v>37.8271698113208</v>
      </c>
      <c r="AM23" s="155" t="n">
        <f aca="false">IFERROR('Price History'!S3+(INDEX('Price History'!S:S,MATCH(9.99E+307,'Returns (Calc)'!$A:$A)+1)-'Price History'!S3)*(ROW()-3)/(MATCH(9.99E+307,'Returns (Calc)'!$A:$A)-3),"")</f>
        <v>69.3947798742138</v>
      </c>
      <c r="AN23" s="155" t="n">
        <f aca="false">IFERROR('Price History'!T3+(INDEX('Price History'!T:T,MATCH(9.99E+307,'Returns (Calc)'!$A:$A)+1)-'Price History'!T3)*(ROW()-3)/(MATCH(9.99E+307,'Returns (Calc)'!$A:$A)-3),"")</f>
        <v>28.6679874213837</v>
      </c>
      <c r="AO23" s="156" t="n">
        <f aca="false">IFERROR('Price History'!V3+(INDEX('Price History'!V:V,MATCH(9.99E+307,'Returns (Calc)'!$A:$A)+1)-'Price History'!V3)*(ROW()-3)/(MATCH(9.99E+307,'Returns (Calc)'!$A:$A)-3),"")</f>
        <v>254.475283018868</v>
      </c>
      <c r="AP23" s="154" t="n">
        <f aca="false">IFERROR(IF(OR(NOT(ISNUMBER('Price History'!W24)),NOT(ISNUMBER('Price History'!W23)),'Price History'!W23=0),"",'Price History'!W24/'Price History'!W23-1),"")</f>
        <v>-0.00218444296704345</v>
      </c>
      <c r="AQ23" s="154" t="str">
        <f aca="false">IFERROR(IF(OR(NOT(ISNUMBER('Price History'!X24)),NOT(ISNUMBER('Price History'!X23)),'Price History'!X23=0),"",'Price History'!X24/'Price History'!X23-1),"")</f>
        <v/>
      </c>
      <c r="AR23" s="154" t="n">
        <f aca="false">IFERROR(IF(OR(NOT(ISNUMBER('Price History'!Y24)),NOT(ISNUMBER('Price History'!Y23)),'Price History'!Y23=0),"",'Price History'!Y24/'Price History'!Y23-1),"")</f>
        <v>-0.000658906215681987</v>
      </c>
      <c r="AS23" s="154" t="n">
        <f aca="false">IFERROR(IF(OR(NOT(ISNUMBER('Price History'!Z24)),NOT(ISNUMBER('Price History'!Z23)),'Price History'!Z23=0),"",'Price History'!Z24/'Price History'!Z23-1),"")</f>
        <v>0.0200578412165315</v>
      </c>
      <c r="AT23" s="154" t="n">
        <f aca="false">IFERROR(IF(OR(NOT(ISNUMBER('Price History'!AA24)),NOT(ISNUMBER('Price History'!AA23)),'Price History'!AA23=0),"",'Price History'!AA24/'Price History'!AA23-1),"")</f>
        <v>-0.00584484590860779</v>
      </c>
      <c r="AU23" s="154" t="n">
        <f aca="false">IFERROR(IF(OR(NOT(ISNUMBER('Price History'!AB24)),NOT(ISNUMBER('Price History'!AB23)),'Price History'!AB23=0),"",'Price History'!AB24/'Price History'!AB23-1),"")</f>
        <v>0.0481624758220502</v>
      </c>
    </row>
    <row r="24" customFormat="false" ht="15" hidden="false" customHeight="true" outlineLevel="0" collapsed="false">
      <c r="A24" s="152" t="n">
        <f aca="false">IF('Price History'!A25="","",'Price History'!A25)</f>
        <v>45338</v>
      </c>
      <c r="B24" s="153" t="n">
        <f aca="false">IFERROR(IF(OR(NOT(ISNUMBER('Price History'!B25)),NOT(ISNUMBER('Price History'!B24)),'Price History'!B24=0),"",'Price History'!B25/'Price History'!B24-1),"")</f>
        <v>-0.128425886066868</v>
      </c>
      <c r="C24" s="153" t="n">
        <f aca="false">IFERROR(IF(OR(NOT(ISNUMBER('Price History'!C25)),NOT(ISNUMBER('Price History'!C24)),'Price History'!C24=0),"",'Price History'!C25/'Price History'!C24-1),"")</f>
        <v>-0.0732190907803427</v>
      </c>
      <c r="D24" s="153" t="n">
        <f aca="false">IFERROR(IF(OR(NOT(ISNUMBER('Price History'!D25)),NOT(ISNUMBER('Price History'!D24)),'Price History'!D24=0),"",'Price History'!D25/'Price History'!D24-1),"")</f>
        <v>-0.0217566565264595</v>
      </c>
      <c r="E24" s="153" t="n">
        <f aca="false">IFERROR(IF(OR(NOT(ISNUMBER('Price History'!E25)),NOT(ISNUMBER('Price History'!E24)),'Price History'!E24=0),"",'Price History'!E25/'Price History'!E24-1),"")</f>
        <v>-0.0296426854670725</v>
      </c>
      <c r="F24" s="153" t="n">
        <f aca="false">IFERROR(IF(OR(NOT(ISNUMBER('Price History'!F25)),NOT(ISNUMBER('Price History'!F24)),'Price History'!F24=0),"",'Price History'!F25/'Price History'!F24-1),"")</f>
        <v>-0.000242924814769729</v>
      </c>
      <c r="G24" s="153" t="n">
        <f aca="false">IFERROR(IF(OR(NOT(ISNUMBER('Price History'!G25)),NOT(ISNUMBER('Price History'!G24)),'Price History'!G24=0),"",'Price History'!G25/'Price History'!G24-1),"")</f>
        <v>0.0199591387710201</v>
      </c>
      <c r="H24" s="153" t="n">
        <f aca="false">IFERROR(IF(OR(NOT(ISNUMBER('Price History'!H25)),NOT(ISNUMBER('Price History'!H24)),'Price History'!H24=0),"",'Price History'!H25/'Price History'!H24-1),"")</f>
        <v>-0.0708141864027336</v>
      </c>
      <c r="I24" s="153" t="n">
        <f aca="false">IFERROR(IF(OR(NOT(ISNUMBER('Price History'!I25)),NOT(ISNUMBER('Price History'!I24)),'Price History'!I24=0),"",'Price History'!I25/'Price History'!I24-1),"")</f>
        <v>0.00667408231368194</v>
      </c>
      <c r="J24" s="153" t="n">
        <f aca="false">IFERROR(IF(OR(NOT(ISNUMBER('Price History'!J25)),NOT(ISNUMBER('Price History'!J24)),'Price History'!J24=0),"",'Price History'!J25/'Price History'!J24-1),"")</f>
        <v>0.00685667079719132</v>
      </c>
      <c r="K24" s="153" t="n">
        <f aca="false">IFERROR(IF(OR(NOT(ISNUMBER('Price History'!K25)),NOT(ISNUMBER('Price History'!K24)),'Price History'!K24=0),"",'Price History'!K25/'Price History'!K24-1),"")</f>
        <v>0.00246103363412642</v>
      </c>
      <c r="L24" s="153" t="n">
        <f aca="false">IFERROR(IF(OR(NOT(ISNUMBER('Price History'!L25)),NOT(ISNUMBER('Price History'!L24)),'Price History'!L24=0),"",'Price History'!L25/'Price History'!L24-1),"")</f>
        <v>-0.0482490272373541</v>
      </c>
      <c r="M24" s="153" t="n">
        <f aca="false">IFERROR(IF(OR(NOT(ISNUMBER('Price History'!M25)),NOT(ISNUMBER('Price History'!M24)),'Price History'!M24=0),"",'Price History'!M25/'Price History'!M24-1),"")</f>
        <v>-0.00868741115147698</v>
      </c>
      <c r="N24" s="153" t="n">
        <f aca="false">IFERROR(IF(OR(NOT(ISNUMBER('Price History'!N25)),NOT(ISNUMBER('Price History'!N24)),'Price History'!N24=0),"",'Price History'!N25/'Price History'!N24-1),"")</f>
        <v>-0.00167884419852937</v>
      </c>
      <c r="O24" s="153" t="n">
        <f aca="false">IFERROR(IF(OR(NOT(ISNUMBER('Price History'!O25)),NOT(ISNUMBER('Price History'!O24)),'Price History'!O24=0),"",'Price History'!O25/'Price History'!O24-1),"")</f>
        <v>0.00712419852766555</v>
      </c>
      <c r="P24" s="153" t="n">
        <f aca="false">IFERROR(IF(OR(NOT(ISNUMBER('Price History'!P25)),NOT(ISNUMBER('Price History'!P24)),'Price History'!P24=0),"",'Price History'!P25/'Price History'!P24-1),"")</f>
        <v>0.011693080788558</v>
      </c>
      <c r="Q24" s="153" t="n">
        <f aca="false">IFERROR(IF(OR(NOT(ISNUMBER('Price History'!Q25)),NOT(ISNUMBER('Price History'!Q24)),'Price History'!Q24=0),"",'Price History'!Q25/'Price History'!Q24-1),"")</f>
        <v>-0.00556689552792722</v>
      </c>
      <c r="R24" s="153" t="n">
        <f aca="false">IFERROR(IF(OR(NOT(ISNUMBER('Price History'!R25)),NOT(ISNUMBER('Price History'!R24)),'Price History'!R24=0),"",'Price History'!R25/'Price History'!R24-1),"")</f>
        <v>-0.00332310838445793</v>
      </c>
      <c r="S24" s="153" t="n">
        <f aca="false">IFERROR(IF(OR(NOT(ISNUMBER('Price History'!S25)),NOT(ISNUMBER('Price History'!S24)),'Price History'!S24=0),"",'Price History'!S25/'Price History'!S24-1),"")</f>
        <v>0.00837336993822913</v>
      </c>
      <c r="T24" s="153" t="n">
        <f aca="false">IFERROR(IF(OR(NOT(ISNUMBER('Price History'!T25)),NOT(ISNUMBER('Price History'!T24)),'Price History'!T24=0),"",'Price History'!T25/'Price History'!T24-1),"")</f>
        <v>0.0083333333333333</v>
      </c>
      <c r="U24" s="153" t="n">
        <f aca="false">IFERROR(IF(OR(NOT(ISNUMBER('Price History'!U25)),NOT(ISNUMBER('Price History'!U24)),'Price History'!U24=0),"",'Price History'!U25/'Price History'!U24-1),"")</f>
        <v>0.002588438308887</v>
      </c>
      <c r="V24" s="154" t="n">
        <f aca="false">IFERROR(IF(OR(NOT(ISNUMBER('Price History'!V25)),NOT(ISNUMBER('Price History'!V24)),'Price History'!V24=0),"",'Price History'!V25/'Price History'!V24-1),"")</f>
        <v>0.00770421704511959</v>
      </c>
      <c r="W24" s="155" t="n">
        <f aca="false">IFERROR('Price History'!B3+(INDEX('Price History'!B:B,MATCH(9.99E+307,'Returns (Calc)'!$A:$A)+1)-'Price History'!B3)*(ROW()-3)/(MATCH(9.99E+307,'Returns (Calc)'!$A:$A)-3),"")</f>
        <v>491.034528301887</v>
      </c>
      <c r="X24" s="155" t="n">
        <f aca="false">IFERROR('Price History'!C3+(INDEX('Price History'!C:C,MATCH(9.99E+307,'Returns (Calc)'!$A:$A)+1)-'Price History'!C3)*(ROW()-3)/(MATCH(9.99E+307,'Returns (Calc)'!$A:$A)-3),"")</f>
        <v>68.7067924528302</v>
      </c>
      <c r="Y24" s="155" t="n">
        <f aca="false">IFERROR('Price History'!D3+(INDEX('Price History'!D:D,MATCH(9.99E+307,'Returns (Calc)'!$A:$A)+1)-'Price History'!D3)*(ROW()-3)/(MATCH(9.99E+307,'Returns (Calc)'!$A:$A)-3),"")</f>
        <v>740.28</v>
      </c>
      <c r="Z24" s="155" t="n">
        <f aca="false">IFERROR('Price History'!E3+(INDEX('Price History'!E:E,MATCH(9.99E+307,'Returns (Calc)'!$A:$A)+1)-'Price History'!E3)*(ROW()-3)/(MATCH(9.99E+307,'Returns (Calc)'!$A:$A)-3),"")</f>
        <v>118.920377358491</v>
      </c>
      <c r="AA24" s="155" t="n">
        <f aca="false">IFERROR('Price History'!F3+(INDEX('Price History'!F:F,MATCH(9.99E+307,'Returns (Calc)'!$A:$A)+1)-'Price History'!F3)*(ROW()-3)/(MATCH(9.99E+307,'Returns (Calc)'!$A:$A)-3),"")</f>
        <v>72.2233962264151</v>
      </c>
      <c r="AB24" s="155" t="n">
        <f aca="false">IFERROR('Price History'!G3+(INDEX('Price History'!G:G,MATCH(9.99E+307,'Returns (Calc)'!$A:$A)+1)-'Price History'!G3)*(ROW()-3)/(MATCH(9.99E+307,'Returns (Calc)'!$A:$A)-3),"")</f>
        <v>64.3224528301887</v>
      </c>
      <c r="AC24" s="155" t="n">
        <f aca="false">IFERROR('Price History'!H3+(INDEX('Price History'!H:H,MATCH(9.99E+307,'Returns (Calc)'!$A:$A)+1)-'Price History'!H3)*(ROW()-3)/(MATCH(9.99E+307,'Returns (Calc)'!$A:$A)-3),"")</f>
        <v>195.887924528302</v>
      </c>
      <c r="AD24" s="155" t="n">
        <f aca="false">IFERROR('Price History'!I3+(INDEX('Price History'!I:I,MATCH(9.99E+307,'Returns (Calc)'!$A:$A)+1)-'Price History'!I3)*(ROW()-3)/(MATCH(9.99E+307,'Returns (Calc)'!$A:$A)-3),"")</f>
        <v>68.271320754717</v>
      </c>
      <c r="AE24" s="155" t="n">
        <f aca="false">IFERROR('Price History'!J3+(INDEX('Price History'!J:J,MATCH(9.99E+307,'Returns (Calc)'!$A:$A)+1)-'Price History'!J3)*(ROW()-3)/(MATCH(9.99E+307,'Returns (Calc)'!$A:$A)-3),"")</f>
        <v>114.171132075472</v>
      </c>
      <c r="AF24" s="155" t="n">
        <f aca="false">IFERROR('Price History'!K3+(INDEX('Price History'!K:K,MATCH(9.99E+307,'Returns (Calc)'!$A:$A)+1)-'Price History'!K3)*(ROW()-3)/(MATCH(9.99E+307,'Returns (Calc)'!$A:$A)-3),"")</f>
        <v>40.9156603773585</v>
      </c>
      <c r="AG24" s="155" t="n">
        <f aca="false">IFERROR('Price History'!L3+(INDEX('Price History'!L:L,MATCH(9.99E+307,'Returns (Calc)'!$A:$A)+1)-'Price History'!L3)*(ROW()-3)/(MATCH(9.99E+307,'Returns (Calc)'!$A:$A)-3),"")</f>
        <v>134.295660377359</v>
      </c>
      <c r="AH24" s="155" t="n">
        <f aca="false">IFERROR('Price History'!M3+(INDEX('Price History'!M:M,MATCH(9.99E+307,'Returns (Calc)'!$A:$A)+1)-'Price History'!M3)*(ROW()-3)/(MATCH(9.99E+307,'Returns (Calc)'!$A:$A)-3),"")</f>
        <v>65.0637735849057</v>
      </c>
      <c r="AI24" s="155" t="n">
        <f aca="false">IFERROR('Price History'!N3+(INDEX('Price History'!N:N,MATCH(9.99E+307,'Returns (Calc)'!$A:$A)+1)-'Price History'!N3)*(ROW()-3)/(MATCH(9.99E+307,'Returns (Calc)'!$A:$A)-3),"")</f>
        <v>370.187924528302</v>
      </c>
      <c r="AJ24" s="155" t="n">
        <f aca="false">IFERROR('Price History'!O3+(INDEX('Price History'!O:O,MATCH(9.99E+307,'Returns (Calc)'!$A:$A)+1)-'Price History'!O3)*(ROW()-3)/(MATCH(9.99E+307,'Returns (Calc)'!$A:$A)-3),"")</f>
        <v>81.1649056603774</v>
      </c>
      <c r="AK24" s="155" t="n">
        <f aca="false">IFERROR('Price History'!Q3+(INDEX('Price History'!Q:Q,MATCH(9.99E+307,'Returns (Calc)'!$A:$A)+1)-'Price History'!Q3)*(ROW()-3)/(MATCH(9.99E+307,'Returns (Calc)'!$A:$A)-3),"")</f>
        <v>9.24132075471698</v>
      </c>
      <c r="AL24" s="155" t="n">
        <f aca="false">IFERROR('Price History'!R3+(INDEX('Price History'!R:R,MATCH(9.99E+307,'Returns (Calc)'!$A:$A)+1)-'Price History'!R3)*(ROW()-3)/(MATCH(9.99E+307,'Returns (Calc)'!$A:$A)-3),"")</f>
        <v>37.9945283018868</v>
      </c>
      <c r="AM24" s="155" t="n">
        <f aca="false">IFERROR('Price History'!S3+(INDEX('Price History'!S:S,MATCH(9.99E+307,'Returns (Calc)'!$A:$A)+1)-'Price History'!S3)*(ROW()-3)/(MATCH(9.99E+307,'Returns (Calc)'!$A:$A)-3),"")</f>
        <v>69.9830188679245</v>
      </c>
      <c r="AN24" s="155" t="n">
        <f aca="false">IFERROR('Price History'!T3+(INDEX('Price History'!T:T,MATCH(9.99E+307,'Returns (Calc)'!$A:$A)+1)-'Price History'!T3)*(ROW()-3)/(MATCH(9.99E+307,'Returns (Calc)'!$A:$A)-3),"")</f>
        <v>28.8418867924528</v>
      </c>
      <c r="AO24" s="156" t="n">
        <f aca="false">IFERROR('Price History'!V3+(INDEX('Price History'!V:V,MATCH(9.99E+307,'Returns (Calc)'!$A:$A)+1)-'Price History'!V3)*(ROW()-3)/(MATCH(9.99E+307,'Returns (Calc)'!$A:$A)-3),"")</f>
        <v>255.417547169811</v>
      </c>
      <c r="AP24" s="154" t="n">
        <f aca="false">IFERROR(IF(OR(NOT(ISNUMBER('Price History'!W25)),NOT(ISNUMBER('Price History'!W24)),'Price History'!W24=0),"",'Price History'!W25/'Price History'!W24-1),"")</f>
        <v>0.00932800304587866</v>
      </c>
      <c r="AQ24" s="154" t="str">
        <f aca="false">IFERROR(IF(OR(NOT(ISNUMBER('Price History'!X25)),NOT(ISNUMBER('Price History'!X24)),'Price History'!X24=0),"",'Price History'!X25/'Price History'!X24-1),"")</f>
        <v/>
      </c>
      <c r="AR24" s="154" t="n">
        <f aca="false">IFERROR(IF(OR(NOT(ISNUMBER('Price History'!Y25)),NOT(ISNUMBER('Price History'!Y24)),'Price History'!Y24=0),"",'Price History'!Y25/'Price History'!Y24-1),"")</f>
        <v>0.0013186813186814</v>
      </c>
      <c r="AS24" s="154" t="n">
        <f aca="false">IFERROR(IF(OR(NOT(ISNUMBER('Price History'!Z25)),NOT(ISNUMBER('Price History'!Z24)),'Price History'!Z24=0),"",'Price History'!Z25/'Price History'!Z24-1),"")</f>
        <v>0.0709712822388877</v>
      </c>
      <c r="AT24" s="154" t="n">
        <f aca="false">IFERROR(IF(OR(NOT(ISNUMBER('Price History'!AA25)),NOT(ISNUMBER('Price History'!AA24)),'Price History'!AA24=0),"",'Price History'!AA25/'Price History'!AA24-1),"")</f>
        <v>0.0404418314626758</v>
      </c>
      <c r="AU24" s="154" t="n">
        <f aca="false">IFERROR(IF(OR(NOT(ISNUMBER('Price History'!AB25)),NOT(ISNUMBER('Price History'!AB24)),'Price History'!AB24=0),"",'Price History'!AB25/'Price History'!AB24-1),"")</f>
        <v>0.0119486990219597</v>
      </c>
    </row>
    <row r="25" customFormat="false" ht="15" hidden="false" customHeight="true" outlineLevel="0" collapsed="false">
      <c r="A25" s="152" t="n">
        <f aca="false">IF('Price History'!A26="","",'Price History'!A26)</f>
        <v>45345</v>
      </c>
      <c r="B25" s="153" t="n">
        <f aca="false">IFERROR(IF(OR(NOT(ISNUMBER('Price History'!B26)),NOT(ISNUMBER('Price History'!B25)),'Price History'!B25=0),"",'Price History'!B26/'Price History'!B25-1),"")</f>
        <v>0.0124025902754914</v>
      </c>
      <c r="C25" s="153" t="n">
        <f aca="false">IFERROR(IF(OR(NOT(ISNUMBER('Price History'!C26)),NOT(ISNUMBER('Price History'!C25)),'Price History'!C25=0),"",'Price History'!C26/'Price History'!C25-1),"")</f>
        <v>0.0226161369193154</v>
      </c>
      <c r="D25" s="153" t="n">
        <f aca="false">IFERROR(IF(OR(NOT(ISNUMBER('Price History'!D26)),NOT(ISNUMBER('Price History'!D25)),'Price History'!D25=0),"",'Price History'!D26/'Price History'!D25-1),"")</f>
        <v>0.00463710785121707</v>
      </c>
      <c r="E25" s="153" t="n">
        <f aca="false">IFERROR(IF(OR(NOT(ISNUMBER('Price History'!E26)),NOT(ISNUMBER('Price History'!E25)),'Price History'!E25=0),"",'Price History'!E26/'Price History'!E25-1),"")</f>
        <v>0.0408685601056802</v>
      </c>
      <c r="F25" s="153" t="n">
        <f aca="false">IFERROR(IF(OR(NOT(ISNUMBER('Price History'!F26)),NOT(ISNUMBER('Price History'!F25)),'Price History'!F25=0),"",'Price History'!F26/'Price History'!F25-1),"")</f>
        <v>-0.0539424128295468</v>
      </c>
      <c r="G25" s="153" t="n">
        <f aca="false">IFERROR(IF(OR(NOT(ISNUMBER('Price History'!G26)),NOT(ISNUMBER('Price History'!G25)),'Price History'!G25=0),"",'Price History'!G26/'Price History'!G25-1),"")</f>
        <v>0.0112480739599381</v>
      </c>
      <c r="H25" s="153" t="n">
        <f aca="false">IFERROR(IF(OR(NOT(ISNUMBER('Price History'!H26)),NOT(ISNUMBER('Price History'!H25)),'Price History'!H25=0),"",'Price History'!H26/'Price History'!H25-1),"")</f>
        <v>0.0817905148364191</v>
      </c>
      <c r="I25" s="153" t="n">
        <f aca="false">IFERROR(IF(OR(NOT(ISNUMBER('Price History'!I26)),NOT(ISNUMBER('Price History'!I25)),'Price History'!I25=0),"",'Price History'!I26/'Price History'!I25-1),"")</f>
        <v>0.0854972375690608</v>
      </c>
      <c r="J25" s="153" t="n">
        <f aca="false">IFERROR(IF(OR(NOT(ISNUMBER('Price History'!J26)),NOT(ISNUMBER('Price History'!J25)),'Price History'!J25=0),"",'Price History'!J26/'Price History'!J25-1),"")</f>
        <v>-0.00131276665572688</v>
      </c>
      <c r="K25" s="153" t="n">
        <f aca="false">IFERROR(IF(OR(NOT(ISNUMBER('Price History'!K26)),NOT(ISNUMBER('Price History'!K25)),'Price History'!K25=0),"",'Price History'!K26/'Price History'!K25-1),"")</f>
        <v>-0.0601472995090018</v>
      </c>
      <c r="L25" s="153" t="n">
        <f aca="false">IFERROR(IF(OR(NOT(ISNUMBER('Price History'!L26)),NOT(ISNUMBER('Price History'!L25)),'Price History'!L25=0),"",'Price History'!L26/'Price History'!L25-1),"")</f>
        <v>0.0224039247751431</v>
      </c>
      <c r="M25" s="153" t="n">
        <f aca="false">IFERROR(IF(OR(NOT(ISNUMBER('Price History'!M26)),NOT(ISNUMBER('Price History'!M25)),'Price History'!M25=0),"",'Price History'!M26/'Price History'!M25-1),"")</f>
        <v>-0.00430210325047797</v>
      </c>
      <c r="N25" s="153" t="n">
        <f aca="false">IFERROR(IF(OR(NOT(ISNUMBER('Price History'!N26)),NOT(ISNUMBER('Price History'!N25)),'Price History'!N25=0),"",'Price History'!N26/'Price History'!N25-1),"")</f>
        <v>0.0187351965892941</v>
      </c>
      <c r="O25" s="153" t="n">
        <f aca="false">IFERROR(IF(OR(NOT(ISNUMBER('Price History'!O26)),NOT(ISNUMBER('Price History'!O25)),'Price History'!O25=0),"",'Price History'!O26/'Price History'!O25-1),"")</f>
        <v>-0.00330110822919105</v>
      </c>
      <c r="P25" s="153" t="n">
        <f aca="false">IFERROR(IF(OR(NOT(ISNUMBER('Price History'!P26)),NOT(ISNUMBER('Price History'!P25)),'Price History'!P25=0),"",'Price History'!P26/'Price History'!P25-1),"")</f>
        <v>0.0084057694144617</v>
      </c>
      <c r="Q25" s="153" t="n">
        <f aca="false">IFERROR(IF(OR(NOT(ISNUMBER('Price History'!Q26)),NOT(ISNUMBER('Price History'!Q25)),'Price History'!Q25=0),"",'Price History'!Q26/'Price History'!Q25-1),"")</f>
        <v>0.00765068109721967</v>
      </c>
      <c r="R25" s="153" t="n">
        <f aca="false">IFERROR(IF(OR(NOT(ISNUMBER('Price History'!R26)),NOT(ISNUMBER('Price History'!R25)),'Price History'!R25=0),"",'Price History'!R26/'Price History'!R25-1),"")</f>
        <v>0.0125673249551166</v>
      </c>
      <c r="S25" s="153" t="n">
        <f aca="false">IFERROR(IF(OR(NOT(ISNUMBER('Price History'!S26)),NOT(ISNUMBER('Price History'!S25)),'Price History'!S25=0),"",'Price History'!S26/'Price History'!S25-1),"")</f>
        <v>0.022325074870678</v>
      </c>
      <c r="T25" s="153" t="n">
        <f aca="false">IFERROR(IF(OR(NOT(ISNUMBER('Price History'!T26)),NOT(ISNUMBER('Price History'!T25)),'Price History'!T25=0),"",'Price History'!T26/'Price History'!T25-1),"")</f>
        <v>0.021918792669781</v>
      </c>
      <c r="U25" s="153" t="n">
        <f aca="false">IFERROR(IF(OR(NOT(ISNUMBER('Price History'!U26)),NOT(ISNUMBER('Price History'!U25)),'Price History'!U25=0),"",'Price History'!U26/'Price History'!U25-1),"")</f>
        <v>0.0116179001721173</v>
      </c>
      <c r="V25" s="154" t="n">
        <f aca="false">IFERROR(IF(OR(NOT(ISNUMBER('Price History'!V26)),NOT(ISNUMBER('Price History'!V25)),'Price History'!V25=0),"",'Price History'!V26/'Price History'!V25-1),"")</f>
        <v>0.0180707466071623</v>
      </c>
      <c r="W25" s="155" t="n">
        <f aca="false">IFERROR('Price History'!B3+(INDEX('Price History'!B:B,MATCH(9.99E+307,'Returns (Calc)'!$A:$A)+1)-'Price History'!B3)*(ROW()-3)/(MATCH(9.99E+307,'Returns (Calc)'!$A:$A)-3),"")</f>
        <v>489.231886792453</v>
      </c>
      <c r="X25" s="155" t="n">
        <f aca="false">IFERROR('Price History'!C3+(INDEX('Price History'!C:C,MATCH(9.99E+307,'Returns (Calc)'!$A:$A)+1)-'Price History'!C3)*(ROW()-3)/(MATCH(9.99E+307,'Returns (Calc)'!$A:$A)-3),"")</f>
        <v>69.7794968553459</v>
      </c>
      <c r="Y25" s="155" t="n">
        <f aca="false">IFERROR('Price History'!D3+(INDEX('Price History'!D:D,MATCH(9.99E+307,'Returns (Calc)'!$A:$A)+1)-'Price History'!D3)*(ROW()-3)/(MATCH(9.99E+307,'Returns (Calc)'!$A:$A)-3),"")</f>
        <v>747.816666666667</v>
      </c>
      <c r="Z25" s="155" t="n">
        <f aca="false">IFERROR('Price History'!E3+(INDEX('Price History'!E:E,MATCH(9.99E+307,'Returns (Calc)'!$A:$A)+1)-'Price History'!E3)*(ROW()-3)/(MATCH(9.99E+307,'Returns (Calc)'!$A:$A)-3),"")</f>
        <v>120.678490566038</v>
      </c>
      <c r="AA25" s="155" t="n">
        <f aca="false">IFERROR('Price History'!F3+(INDEX('Price History'!F:F,MATCH(9.99E+307,'Returns (Calc)'!$A:$A)+1)-'Price History'!F3)*(ROW()-3)/(MATCH(9.99E+307,'Returns (Calc)'!$A:$A)-3),"")</f>
        <v>73.6930817610063</v>
      </c>
      <c r="AB25" s="155" t="n">
        <f aca="false">IFERROR('Price History'!G3+(INDEX('Price History'!G:G,MATCH(9.99E+307,'Returns (Calc)'!$A:$A)+1)-'Price History'!G3)*(ROW()-3)/(MATCH(9.99E+307,'Returns (Calc)'!$A:$A)-3),"")</f>
        <v>65.2735220125786</v>
      </c>
      <c r="AC25" s="155" t="n">
        <f aca="false">IFERROR('Price History'!H3+(INDEX('Price History'!H:H,MATCH(9.99E+307,'Returns (Calc)'!$A:$A)+1)-'Price History'!H3)*(ROW()-3)/(MATCH(9.99E+307,'Returns (Calc)'!$A:$A)-3),"")</f>
        <v>201.924968553459</v>
      </c>
      <c r="AD25" s="155" t="n">
        <f aca="false">IFERROR('Price History'!I3+(INDEX('Price History'!I:I,MATCH(9.99E+307,'Returns (Calc)'!$A:$A)+1)-'Price History'!I3)*(ROW()-3)/(MATCH(9.99E+307,'Returns (Calc)'!$A:$A)-3),"")</f>
        <v>69.4380503144654</v>
      </c>
      <c r="AE25" s="155" t="n">
        <f aca="false">IFERROR('Price History'!J3+(INDEX('Price History'!J:J,MATCH(9.99E+307,'Returns (Calc)'!$A:$A)+1)-'Price History'!J3)*(ROW()-3)/(MATCH(9.99E+307,'Returns (Calc)'!$A:$A)-3),"")</f>
        <v>114.28213836478</v>
      </c>
      <c r="AF25" s="155" t="n">
        <f aca="false">IFERROR('Price History'!K3+(INDEX('Price History'!K:K,MATCH(9.99E+307,'Returns (Calc)'!$A:$A)+1)-'Price History'!K3)*(ROW()-3)/(MATCH(9.99E+307,'Returns (Calc)'!$A:$A)-3),"")</f>
        <v>42.1340251572327</v>
      </c>
      <c r="AG25" s="155" t="n">
        <f aca="false">IFERROR('Price History'!L3+(INDEX('Price History'!L:L,MATCH(9.99E+307,'Returns (Calc)'!$A:$A)+1)-'Price History'!L3)*(ROW()-3)/(MATCH(9.99E+307,'Returns (Calc)'!$A:$A)-3),"")</f>
        <v>136.607358490566</v>
      </c>
      <c r="AH25" s="155" t="n">
        <f aca="false">IFERROR('Price History'!M3+(INDEX('Price History'!M:M,MATCH(9.99E+307,'Returns (Calc)'!$A:$A)+1)-'Price History'!M3)*(ROW()-3)/(MATCH(9.99E+307,'Returns (Calc)'!$A:$A)-3),"")</f>
        <v>66.351572327044</v>
      </c>
      <c r="AI25" s="155" t="n">
        <f aca="false">IFERROR('Price History'!N3+(INDEX('Price History'!N:N,MATCH(9.99E+307,'Returns (Calc)'!$A:$A)+1)-'Price History'!N3)*(ROW()-3)/(MATCH(9.99E+307,'Returns (Calc)'!$A:$A)-3),"")</f>
        <v>371.201635220126</v>
      </c>
      <c r="AJ25" s="155" t="n">
        <f aca="false">IFERROR('Price History'!O3+(INDEX('Price History'!O:O,MATCH(9.99E+307,'Returns (Calc)'!$A:$A)+1)-'Price History'!O3)*(ROW()-3)/(MATCH(9.99E+307,'Returns (Calc)'!$A:$A)-3),"")</f>
        <v>81.4437106918239</v>
      </c>
      <c r="AK25" s="155" t="n">
        <f aca="false">IFERROR('Price History'!Q3+(INDEX('Price History'!Q:Q,MATCH(9.99E+307,'Returns (Calc)'!$A:$A)+1)-'Price History'!Q3)*(ROW()-3)/(MATCH(9.99E+307,'Returns (Calc)'!$A:$A)-3),"")</f>
        <v>9.68138364779874</v>
      </c>
      <c r="AL25" s="155" t="n">
        <f aca="false">IFERROR('Price History'!R3+(INDEX('Price History'!R:R,MATCH(9.99E+307,'Returns (Calc)'!$A:$A)+1)-'Price History'!R3)*(ROW()-3)/(MATCH(9.99E+307,'Returns (Calc)'!$A:$A)-3),"")</f>
        <v>38.1618867924528</v>
      </c>
      <c r="AM25" s="155" t="n">
        <f aca="false">IFERROR('Price History'!S3+(INDEX('Price History'!S:S,MATCH(9.99E+307,'Returns (Calc)'!$A:$A)+1)-'Price History'!S3)*(ROW()-3)/(MATCH(9.99E+307,'Returns (Calc)'!$A:$A)-3),"")</f>
        <v>70.5712578616352</v>
      </c>
      <c r="AN25" s="155" t="n">
        <f aca="false">IFERROR('Price History'!T3+(INDEX('Price History'!T:T,MATCH(9.99E+307,'Returns (Calc)'!$A:$A)+1)-'Price History'!T3)*(ROW()-3)/(MATCH(9.99E+307,'Returns (Calc)'!$A:$A)-3),"")</f>
        <v>29.015786163522</v>
      </c>
      <c r="AO25" s="156" t="n">
        <f aca="false">IFERROR('Price History'!V3+(INDEX('Price History'!V:V,MATCH(9.99E+307,'Returns (Calc)'!$A:$A)+1)-'Price History'!V3)*(ROW()-3)/(MATCH(9.99E+307,'Returns (Calc)'!$A:$A)-3),"")</f>
        <v>256.359811320755</v>
      </c>
      <c r="AP25" s="154" t="n">
        <f aca="false">IFERROR(IF(OR(NOT(ISNUMBER('Price History'!W26)),NOT(ISNUMBER('Price History'!W25)),'Price History'!W25=0),"",'Price History'!W26/'Price History'!W25-1),"")</f>
        <v>0.0142399094681251</v>
      </c>
      <c r="AQ25" s="154" t="str">
        <f aca="false">IFERROR(IF(OR(NOT(ISNUMBER('Price History'!X26)),NOT(ISNUMBER('Price History'!X25)),'Price History'!X25=0),"",'Price History'!X26/'Price History'!X25-1),"")</f>
        <v/>
      </c>
      <c r="AR25" s="154" t="n">
        <f aca="false">IFERROR(IF(OR(NOT(ISNUMBER('Price History'!Y26)),NOT(ISNUMBER('Price History'!Y25)),'Price History'!Y25=0),"",'Price History'!Y26/'Price History'!Y25-1),"")</f>
        <v>0.0116330114135206</v>
      </c>
      <c r="AS25" s="154" t="n">
        <f aca="false">IFERROR(IF(OR(NOT(ISNUMBER('Price History'!Z26)),NOT(ISNUMBER('Price History'!Z25)),'Price History'!Z25=0),"",'Price History'!Z26/'Price History'!Z25-1),"")</f>
        <v>0.0279248505550813</v>
      </c>
      <c r="AT25" s="154" t="n">
        <f aca="false">IFERROR(IF(OR(NOT(ISNUMBER('Price History'!AA26)),NOT(ISNUMBER('Price History'!AA25)),'Price History'!AA25=0),"",'Price History'!AA26/'Price History'!AA25-1),"")</f>
        <v>-0.00068493150684934</v>
      </c>
      <c r="AU25" s="154" t="n">
        <f aca="false">IFERROR(IF(OR(NOT(ISNUMBER('Price History'!AB26)),NOT(ISNUMBER('Price History'!AB25)),'Price History'!AB25=0),"",'Price History'!AB26/'Price History'!AB25-1),"")</f>
        <v>0.0104399361750627</v>
      </c>
    </row>
    <row r="26" customFormat="false" ht="15" hidden="false" customHeight="true" outlineLevel="0" collapsed="false">
      <c r="A26" s="152" t="n">
        <f aca="false">IF('Price History'!A27="","",'Price History'!A27)</f>
        <v>45352</v>
      </c>
      <c r="B26" s="153" t="n">
        <f aca="false">IFERROR(IF(OR(NOT(ISNUMBER('Price History'!B27)),NOT(ISNUMBER('Price History'!B26)),'Price History'!B26=0),"",'Price History'!B27/'Price History'!B26-1),"")</f>
        <v>0.0316023417172591</v>
      </c>
      <c r="C26" s="153" t="n">
        <f aca="false">IFERROR(IF(OR(NOT(ISNUMBER('Price History'!C27)),NOT(ISNUMBER('Price History'!C26)),'Price History'!C26=0),"",'Price History'!C27/'Price History'!C26-1),"")</f>
        <v>0.0748655110579797</v>
      </c>
      <c r="D26" s="153" t="n">
        <f aca="false">IFERROR(IF(OR(NOT(ISNUMBER('Price History'!D27)),NOT(ISNUMBER('Price History'!D26)),'Price History'!D26=0),"",'Price History'!D27/'Price History'!D26-1),"")</f>
        <v>0.0618088748400363</v>
      </c>
      <c r="E26" s="153" t="n">
        <f aca="false">IFERROR(IF(OR(NOT(ISNUMBER('Price History'!E27)),NOT(ISNUMBER('Price History'!E26)),'Price History'!E26=0),"",'Price History'!E27/'Price History'!E26-1),"")</f>
        <v>0.0793210121361148</v>
      </c>
      <c r="F26" s="153" t="n">
        <f aca="false">IFERROR(IF(OR(NOT(ISNUMBER('Price History'!F27)),NOT(ISNUMBER('Price History'!F26)),'Price History'!F26=0),"",'Price History'!F27/'Price History'!F26-1),"")</f>
        <v>0.010016694490818</v>
      </c>
      <c r="G26" s="153" t="n">
        <f aca="false">IFERROR(IF(OR(NOT(ISNUMBER('Price History'!G27)),NOT(ISNUMBER('Price History'!G26)),'Price History'!G26=0),"",'Price History'!G27/'Price History'!G26-1),"")</f>
        <v>0.0729849154350146</v>
      </c>
      <c r="H26" s="153" t="n">
        <f aca="false">IFERROR(IF(OR(NOT(ISNUMBER('Price History'!H27)),NOT(ISNUMBER('Price History'!H26)),'Price History'!H26=0),"",'Price History'!H27/'Price History'!H26-1),"")</f>
        <v>0.106318133864729</v>
      </c>
      <c r="I26" s="153" t="n">
        <f aca="false">IFERROR(IF(OR(NOT(ISNUMBER('Price History'!I27)),NOT(ISNUMBER('Price History'!I26)),'Price History'!I26=0),"",'Price History'!I27/'Price History'!I26-1),"")</f>
        <v>0.0438987148492176</v>
      </c>
      <c r="J26" s="153" t="n">
        <f aca="false">IFERROR(IF(OR(NOT(ISNUMBER('Price History'!J27)),NOT(ISNUMBER('Price History'!J26)),'Price History'!J26=0),"",'Price History'!J27/'Price History'!J26-1),"")</f>
        <v>0.0104337824515282</v>
      </c>
      <c r="K26" s="153" t="n">
        <f aca="false">IFERROR(IF(OR(NOT(ISNUMBER('Price History'!K27)),NOT(ISNUMBER('Price History'!K26)),'Price History'!K26=0),"",'Price History'!K27/'Price History'!K26-1),"")</f>
        <v>0.0853286895951242</v>
      </c>
      <c r="L26" s="153" t="n">
        <f aca="false">IFERROR(IF(OR(NOT(ISNUMBER('Price History'!L27)),NOT(ISNUMBER('Price History'!L26)),'Price History'!L26=0),"",'Price History'!L27/'Price History'!L26-1),"")</f>
        <v>0.0337492002559179</v>
      </c>
      <c r="M26" s="153" t="n">
        <f aca="false">IFERROR(IF(OR(NOT(ISNUMBER('Price History'!M27)),NOT(ISNUMBER('Price History'!M26)),'Price History'!M26=0),"",'Price History'!M27/'Price History'!M26-1),"")</f>
        <v>0.125620099215874</v>
      </c>
      <c r="N26" s="153" t="n">
        <f aca="false">IFERROR(IF(OR(NOT(ISNUMBER('Price History'!N27)),NOT(ISNUMBER('Price History'!N26)),'Price History'!N26=0),"",'Price History'!N27/'Price History'!N26-1),"")</f>
        <v>0.00616121457301611</v>
      </c>
      <c r="O26" s="153" t="n">
        <f aca="false">IFERROR(IF(OR(NOT(ISNUMBER('Price History'!O27)),NOT(ISNUMBER('Price History'!O26)),'Price History'!O26=0),"",'Price History'!O27/'Price History'!O26-1),"")</f>
        <v>0.0157321977762006</v>
      </c>
      <c r="P26" s="153" t="n">
        <f aca="false">IFERROR(IF(OR(NOT(ISNUMBER('Price History'!P27)),NOT(ISNUMBER('Price History'!P26)),'Price History'!P26=0),"",'Price History'!P27/'Price History'!P26-1),"")</f>
        <v>0.000189447759780359</v>
      </c>
      <c r="Q26" s="153" t="n">
        <f aca="false">IFERROR(IF(OR(NOT(ISNUMBER('Price History'!Q27)),NOT(ISNUMBER('Price History'!Q26)),'Price History'!Q26=0),"",'Price History'!Q27/'Price History'!Q26-1),"")</f>
        <v>0.00629629629629647</v>
      </c>
      <c r="R26" s="153" t="n">
        <f aca="false">IFERROR(IF(OR(NOT(ISNUMBER('Price History'!R27)),NOT(ISNUMBER('Price History'!R26)),'Price History'!R26=0),"",'Price History'!R27/'Price History'!R26-1),"")</f>
        <v>0.0126646403242148</v>
      </c>
      <c r="S26" s="153" t="n">
        <f aca="false">IFERROR(IF(OR(NOT(ISNUMBER('Price History'!S27)),NOT(ISNUMBER('Price History'!S26)),'Price History'!S26=0),"",'Price History'!S27/'Price History'!S26-1),"")</f>
        <v>0.0280958721704394</v>
      </c>
      <c r="T26" s="153" t="n">
        <f aca="false">IFERROR(IF(OR(NOT(ISNUMBER('Price History'!T27)),NOT(ISNUMBER('Price History'!T26)),'Price History'!T26=0),"",'Price History'!T27/'Price History'!T26-1),"")</f>
        <v>0.0218002812939522</v>
      </c>
      <c r="U26" s="153" t="n">
        <f aca="false">IFERROR(IF(OR(NOT(ISNUMBER('Price History'!U27)),NOT(ISNUMBER('Price History'!U26)),'Price History'!U26=0),"",'Price History'!U27/'Price History'!U26-1),"")</f>
        <v>0.00340280731603571</v>
      </c>
      <c r="V26" s="154" t="n">
        <f aca="false">IFERROR(IF(OR(NOT(ISNUMBER('Price History'!V27)),NOT(ISNUMBER('Price History'!V26)),'Price History'!V26=0),"",'Price History'!V27/'Price History'!V26-1),"")</f>
        <v>-0.00154503970392728</v>
      </c>
      <c r="W26" s="155" t="n">
        <f aca="false">IFERROR('Price History'!B3+(INDEX('Price History'!B:B,MATCH(9.99E+307,'Returns (Calc)'!$A:$A)+1)-'Price History'!B3)*(ROW()-3)/(MATCH(9.99E+307,'Returns (Calc)'!$A:$A)-3),"")</f>
        <v>487.429245283019</v>
      </c>
      <c r="X26" s="155" t="n">
        <f aca="false">IFERROR('Price History'!C3+(INDEX('Price History'!C:C,MATCH(9.99E+307,'Returns (Calc)'!$A:$A)+1)-'Price History'!C3)*(ROW()-3)/(MATCH(9.99E+307,'Returns (Calc)'!$A:$A)-3),"")</f>
        <v>70.8522012578616</v>
      </c>
      <c r="Y26" s="155" t="n">
        <f aca="false">IFERROR('Price History'!D3+(INDEX('Price History'!D:D,MATCH(9.99E+307,'Returns (Calc)'!$A:$A)+1)-'Price History'!D3)*(ROW()-3)/(MATCH(9.99E+307,'Returns (Calc)'!$A:$A)-3),"")</f>
        <v>755.353333333333</v>
      </c>
      <c r="Z26" s="155" t="n">
        <f aca="false">IFERROR('Price History'!E3+(INDEX('Price History'!E:E,MATCH(9.99E+307,'Returns (Calc)'!$A:$A)+1)-'Price History'!E3)*(ROW()-3)/(MATCH(9.99E+307,'Returns (Calc)'!$A:$A)-3),"")</f>
        <v>122.436603773585</v>
      </c>
      <c r="AA26" s="155" t="n">
        <f aca="false">IFERROR('Price History'!F3+(INDEX('Price History'!F:F,MATCH(9.99E+307,'Returns (Calc)'!$A:$A)+1)-'Price History'!F3)*(ROW()-3)/(MATCH(9.99E+307,'Returns (Calc)'!$A:$A)-3),"")</f>
        <v>75.1627672955975</v>
      </c>
      <c r="AB26" s="155" t="n">
        <f aca="false">IFERROR('Price History'!G3+(INDEX('Price History'!G:G,MATCH(9.99E+307,'Returns (Calc)'!$A:$A)+1)-'Price History'!G3)*(ROW()-3)/(MATCH(9.99E+307,'Returns (Calc)'!$A:$A)-3),"")</f>
        <v>66.2245911949686</v>
      </c>
      <c r="AC26" s="155" t="n">
        <f aca="false">IFERROR('Price History'!H3+(INDEX('Price History'!H:H,MATCH(9.99E+307,'Returns (Calc)'!$A:$A)+1)-'Price History'!H3)*(ROW()-3)/(MATCH(9.99E+307,'Returns (Calc)'!$A:$A)-3),"")</f>
        <v>207.962012578616</v>
      </c>
      <c r="AD26" s="155" t="n">
        <f aca="false">IFERROR('Price History'!I3+(INDEX('Price History'!I:I,MATCH(9.99E+307,'Returns (Calc)'!$A:$A)+1)-'Price History'!I3)*(ROW()-3)/(MATCH(9.99E+307,'Returns (Calc)'!$A:$A)-3),"")</f>
        <v>70.6047798742138</v>
      </c>
      <c r="AE26" s="155" t="n">
        <f aca="false">IFERROR('Price History'!J3+(INDEX('Price History'!J:J,MATCH(9.99E+307,'Returns (Calc)'!$A:$A)+1)-'Price History'!J3)*(ROW()-3)/(MATCH(9.99E+307,'Returns (Calc)'!$A:$A)-3),"")</f>
        <v>114.393144654088</v>
      </c>
      <c r="AF26" s="155" t="n">
        <f aca="false">IFERROR('Price History'!K3+(INDEX('Price History'!K:K,MATCH(9.99E+307,'Returns (Calc)'!$A:$A)+1)-'Price History'!K3)*(ROW()-3)/(MATCH(9.99E+307,'Returns (Calc)'!$A:$A)-3),"")</f>
        <v>43.3523899371069</v>
      </c>
      <c r="AG26" s="155" t="n">
        <f aca="false">IFERROR('Price History'!L3+(INDEX('Price History'!L:L,MATCH(9.99E+307,'Returns (Calc)'!$A:$A)+1)-'Price History'!L3)*(ROW()-3)/(MATCH(9.99E+307,'Returns (Calc)'!$A:$A)-3),"")</f>
        <v>138.919056603774</v>
      </c>
      <c r="AH26" s="155" t="n">
        <f aca="false">IFERROR('Price History'!M3+(INDEX('Price History'!M:M,MATCH(9.99E+307,'Returns (Calc)'!$A:$A)+1)-'Price History'!M3)*(ROW()-3)/(MATCH(9.99E+307,'Returns (Calc)'!$A:$A)-3),"")</f>
        <v>67.6393710691824</v>
      </c>
      <c r="AI26" s="155" t="n">
        <f aca="false">IFERROR('Price History'!N3+(INDEX('Price History'!N:N,MATCH(9.99E+307,'Returns (Calc)'!$A:$A)+1)-'Price History'!N3)*(ROW()-3)/(MATCH(9.99E+307,'Returns (Calc)'!$A:$A)-3),"")</f>
        <v>372.21534591195</v>
      </c>
      <c r="AJ26" s="155" t="n">
        <f aca="false">IFERROR('Price History'!O3+(INDEX('Price History'!O:O,MATCH(9.99E+307,'Returns (Calc)'!$A:$A)+1)-'Price History'!O3)*(ROW()-3)/(MATCH(9.99E+307,'Returns (Calc)'!$A:$A)-3),"")</f>
        <v>81.7225157232705</v>
      </c>
      <c r="AK26" s="155" t="n">
        <f aca="false">IFERROR('Price History'!Q3+(INDEX('Price History'!Q:Q,MATCH(9.99E+307,'Returns (Calc)'!$A:$A)+1)-'Price History'!Q3)*(ROW()-3)/(MATCH(9.99E+307,'Returns (Calc)'!$A:$A)-3),"")</f>
        <v>10.1214465408805</v>
      </c>
      <c r="AL26" s="155" t="n">
        <f aca="false">IFERROR('Price History'!R3+(INDEX('Price History'!R:R,MATCH(9.99E+307,'Returns (Calc)'!$A:$A)+1)-'Price History'!R3)*(ROW()-3)/(MATCH(9.99E+307,'Returns (Calc)'!$A:$A)-3),"")</f>
        <v>38.3292452830189</v>
      </c>
      <c r="AM26" s="155" t="n">
        <f aca="false">IFERROR('Price History'!S3+(INDEX('Price History'!S:S,MATCH(9.99E+307,'Returns (Calc)'!$A:$A)+1)-'Price History'!S3)*(ROW()-3)/(MATCH(9.99E+307,'Returns (Calc)'!$A:$A)-3),"")</f>
        <v>71.1594968553459</v>
      </c>
      <c r="AN26" s="155" t="n">
        <f aca="false">IFERROR('Price History'!T3+(INDEX('Price History'!T:T,MATCH(9.99E+307,'Returns (Calc)'!$A:$A)+1)-'Price History'!T3)*(ROW()-3)/(MATCH(9.99E+307,'Returns (Calc)'!$A:$A)-3),"")</f>
        <v>29.1896855345912</v>
      </c>
      <c r="AO26" s="156" t="n">
        <f aca="false">IFERROR('Price History'!V3+(INDEX('Price History'!V:V,MATCH(9.99E+307,'Returns (Calc)'!$A:$A)+1)-'Price History'!V3)*(ROW()-3)/(MATCH(9.99E+307,'Returns (Calc)'!$A:$A)-3),"")</f>
        <v>257.302075471698</v>
      </c>
      <c r="AP26" s="154" t="n">
        <f aca="false">IFERROR(IF(OR(NOT(ISNUMBER('Price History'!W27)),NOT(ISNUMBER('Price History'!W26)),'Price History'!W26=0),"",'Price History'!W27/'Price History'!W26-1),"")</f>
        <v>0.00520688052068818</v>
      </c>
      <c r="AQ26" s="154" t="str">
        <f aca="false">IFERROR(IF(OR(NOT(ISNUMBER('Price History'!X27)),NOT(ISNUMBER('Price History'!X26)),'Price History'!X26=0),"",'Price History'!X27/'Price History'!X26-1),"")</f>
        <v/>
      </c>
      <c r="AR26" s="154" t="n">
        <f aca="false">IFERROR(IF(OR(NOT(ISNUMBER('Price History'!Y27)),NOT(ISNUMBER('Price History'!Y26)),'Price History'!Y26=0),"",'Price History'!Y27/'Price History'!Y26-1),"")</f>
        <v>0.00412236927750054</v>
      </c>
      <c r="AS26" s="154" t="n">
        <f aca="false">IFERROR(IF(OR(NOT(ISNUMBER('Price History'!Z27)),NOT(ISNUMBER('Price History'!Z26)),'Price History'!Z26=0),"",'Price History'!Z27/'Price History'!Z26-1),"")</f>
        <v>0.0347262606961867</v>
      </c>
      <c r="AT26" s="154" t="n">
        <f aca="false">IFERROR(IF(OR(NOT(ISNUMBER('Price History'!AA27)),NOT(ISNUMBER('Price History'!AA26)),'Price History'!AA26=0),"",'Price History'!AA27/'Price History'!AA26-1),"")</f>
        <v>0.0611720356408498</v>
      </c>
      <c r="AU26" s="154" t="n">
        <f aca="false">IFERROR(IF(OR(NOT(ISNUMBER('Price History'!AB27)),NOT(ISNUMBER('Price History'!AB26)),'Price History'!AB26=0),"",'Price History'!AB27/'Price History'!AB26-1),"")</f>
        <v>0.00166937375924925</v>
      </c>
    </row>
    <row r="27" customFormat="false" ht="15" hidden="false" customHeight="true" outlineLevel="0" collapsed="false">
      <c r="A27" s="152" t="n">
        <f aca="false">IF('Price History'!A28="","",'Price History'!A28)</f>
        <v>45359</v>
      </c>
      <c r="B27" s="153" t="n">
        <f aca="false">IFERROR(IF(OR(NOT(ISNUMBER('Price History'!B28)),NOT(ISNUMBER('Price History'!B27)),'Price History'!B27=0),"",'Price History'!B28/'Price History'!B27-1),"")</f>
        <v>-0.0336994027288807</v>
      </c>
      <c r="C27" s="153" t="n">
        <f aca="false">IFERROR(IF(OR(NOT(ISNUMBER('Price History'!C28)),NOT(ISNUMBER('Price History'!C27)),'Price History'!C27=0),"",'Price History'!C28/'Price History'!C27-1),"")</f>
        <v>-0.0507437786737106</v>
      </c>
      <c r="D27" s="153" t="n">
        <f aca="false">IFERROR(IF(OR(NOT(ISNUMBER('Price History'!D28)),NOT(ISNUMBER('Price History'!D27)),'Price History'!D27=0),"",'Price History'!D28/'Price History'!D27-1),"")</f>
        <v>0.00343023136034937</v>
      </c>
      <c r="E27" s="153" t="n">
        <f aca="false">IFERROR(IF(OR(NOT(ISNUMBER('Price History'!E28)),NOT(ISNUMBER('Price History'!E27)),'Price History'!E27=0),"",'Price History'!E28/'Price History'!E27-1),"")</f>
        <v>-0.0646725949878739</v>
      </c>
      <c r="F27" s="153" t="n">
        <f aca="false">IFERROR(IF(OR(NOT(ISNUMBER('Price History'!F28)),NOT(ISNUMBER('Price History'!F27)),'Price History'!F27=0),"",'Price History'!F28/'Price History'!F27-1),"")</f>
        <v>0.0261919898283534</v>
      </c>
      <c r="G27" s="153" t="n">
        <f aca="false">IFERROR(IF(OR(NOT(ISNUMBER('Price History'!G28)),NOT(ISNUMBER('Price History'!G27)),'Price History'!G27=0),"",'Price History'!G28/'Price History'!G27-1),"")</f>
        <v>-0.0255609201931269</v>
      </c>
      <c r="H27" s="153" t="n">
        <f aca="false">IFERROR(IF(OR(NOT(ISNUMBER('Price History'!H28)),NOT(ISNUMBER('Price History'!H27)),'Price History'!H27=0),"",'Price History'!H28/'Price History'!H27-1),"")</f>
        <v>0.0259588895952532</v>
      </c>
      <c r="I27" s="153" t="n">
        <f aca="false">IFERROR(IF(OR(NOT(ISNUMBER('Price History'!I28)),NOT(ISNUMBER('Price History'!I27)),'Price History'!I27=0),"",'Price History'!I28/'Price History'!I27-1),"")</f>
        <v>0.0638712823013163</v>
      </c>
      <c r="J27" s="153" t="n">
        <f aca="false">IFERROR(IF(OR(NOT(ISNUMBER('Price History'!J28)),NOT(ISNUMBER('Price History'!J27)),'Price History'!J27=0),"",'Price History'!J28/'Price History'!J27-1),"")</f>
        <v>0.00349621920481336</v>
      </c>
      <c r="K27" s="153" t="n">
        <f aca="false">IFERROR(IF(OR(NOT(ISNUMBER('Price History'!K28)),NOT(ISNUMBER('Price History'!K27)),'Price History'!K27=0),"",'Price History'!K28/'Price History'!K27-1),"")</f>
        <v>0.0445246690734056</v>
      </c>
      <c r="L27" s="153" t="n">
        <f aca="false">IFERROR(IF(OR(NOT(ISNUMBER('Price History'!L28)),NOT(ISNUMBER('Price History'!L27)),'Price History'!L27=0),"",'Price History'!L28/'Price History'!L27-1),"")</f>
        <v>0.0931455980194957</v>
      </c>
      <c r="M27" s="153" t="n">
        <f aca="false">IFERROR(IF(OR(NOT(ISNUMBER('Price History'!M28)),NOT(ISNUMBER('Price History'!M27)),'Price History'!M27=0),"",'Price History'!M28/'Price History'!M27-1),"")</f>
        <v>-0.0170599943133353</v>
      </c>
      <c r="N27" s="153" t="n">
        <f aca="false">IFERROR(IF(OR(NOT(ISNUMBER('Price History'!N28)),NOT(ISNUMBER('Price History'!N27)),'Price History'!N27=0),"",'Price History'!N28/'Price History'!N27-1),"")</f>
        <v>-0.0442970699694981</v>
      </c>
      <c r="O27" s="153" t="n">
        <f aca="false">IFERROR(IF(OR(NOT(ISNUMBER('Price History'!O28)),NOT(ISNUMBER('Price History'!O27)),'Price History'!O27=0),"",'Price History'!O28/'Price History'!O27-1),"")</f>
        <v>0.00116455106556423</v>
      </c>
      <c r="P27" s="153" t="n">
        <f aca="false">IFERROR(IF(OR(NOT(ISNUMBER('Price History'!P28)),NOT(ISNUMBER('Price History'!P27)),'Price History'!P27=0),"",'Price History'!P28/'Price History'!P27-1),"")</f>
        <v>0.0267070745335731</v>
      </c>
      <c r="Q27" s="153" t="n">
        <f aca="false">IFERROR(IF(OR(NOT(ISNUMBER('Price History'!Q28)),NOT(ISNUMBER('Price History'!Q27)),'Price History'!Q27=0),"",'Price History'!Q28/'Price History'!Q27-1),"")</f>
        <v>0.0005520794994478</v>
      </c>
      <c r="R27" s="153" t="n">
        <f aca="false">IFERROR(IF(OR(NOT(ISNUMBER('Price History'!R28)),NOT(ISNUMBER('Price History'!R27)),'Price History'!R27=0),"",'Price History'!R28/'Price History'!R27-1),"")</f>
        <v>-0.00150075037518749</v>
      </c>
      <c r="S27" s="153" t="n">
        <f aca="false">IFERROR(IF(OR(NOT(ISNUMBER('Price History'!S28)),NOT(ISNUMBER('Price History'!S27)),'Price History'!S27=0),"",'Price History'!S28/'Price History'!S27-1),"")</f>
        <v>0.00388550705867141</v>
      </c>
      <c r="T27" s="153" t="n">
        <f aca="false">IFERROR(IF(OR(NOT(ISNUMBER('Price History'!T28)),NOT(ISNUMBER('Price History'!T27)),'Price History'!T27=0),"",'Price History'!T28/'Price History'!T27-1),"")</f>
        <v>0.0196145905024088</v>
      </c>
      <c r="U27" s="153" t="n">
        <f aca="false">IFERROR(IF(OR(NOT(ISNUMBER('Price History'!U28)),NOT(ISNUMBER('Price History'!U27)),'Price History'!U27=0),"",'Price History'!U28/'Price History'!U27-1),"")</f>
        <v>0.00339126748622309</v>
      </c>
      <c r="V27" s="154" t="n">
        <f aca="false">IFERROR(IF(OR(NOT(ISNUMBER('Price History'!V28)),NOT(ISNUMBER('Price History'!V27)),'Price History'!V27=0),"",'Price History'!V28/'Price History'!V27-1),"")</f>
        <v>-0.0110119476032819</v>
      </c>
      <c r="W27" s="155" t="n">
        <f aca="false">IFERROR('Price History'!B3+(INDEX('Price History'!B:B,MATCH(9.99E+307,'Returns (Calc)'!$A:$A)+1)-'Price History'!B3)*(ROW()-3)/(MATCH(9.99E+307,'Returns (Calc)'!$A:$A)-3),"")</f>
        <v>485.626603773585</v>
      </c>
      <c r="X27" s="155" t="n">
        <f aca="false">IFERROR('Price History'!C3+(INDEX('Price History'!C:C,MATCH(9.99E+307,'Returns (Calc)'!$A:$A)+1)-'Price History'!C3)*(ROW()-3)/(MATCH(9.99E+307,'Returns (Calc)'!$A:$A)-3),"")</f>
        <v>71.9249056603774</v>
      </c>
      <c r="Y27" s="155" t="n">
        <f aca="false">IFERROR('Price History'!D3+(INDEX('Price History'!D:D,MATCH(9.99E+307,'Returns (Calc)'!$A:$A)+1)-'Price History'!D3)*(ROW()-3)/(MATCH(9.99E+307,'Returns (Calc)'!$A:$A)-3),"")</f>
        <v>762.89</v>
      </c>
      <c r="Z27" s="155" t="n">
        <f aca="false">IFERROR('Price History'!E3+(INDEX('Price History'!E:E,MATCH(9.99E+307,'Returns (Calc)'!$A:$A)+1)-'Price History'!E3)*(ROW()-3)/(MATCH(9.99E+307,'Returns (Calc)'!$A:$A)-3),"")</f>
        <v>124.194716981132</v>
      </c>
      <c r="AA27" s="155" t="n">
        <f aca="false">IFERROR('Price History'!F3+(INDEX('Price History'!F:F,MATCH(9.99E+307,'Returns (Calc)'!$A:$A)+1)-'Price History'!F3)*(ROW()-3)/(MATCH(9.99E+307,'Returns (Calc)'!$A:$A)-3),"")</f>
        <v>76.6324528301887</v>
      </c>
      <c r="AB27" s="155" t="n">
        <f aca="false">IFERROR('Price History'!G3+(INDEX('Price History'!G:G,MATCH(9.99E+307,'Returns (Calc)'!$A:$A)+1)-'Price History'!G3)*(ROW()-3)/(MATCH(9.99E+307,'Returns (Calc)'!$A:$A)-3),"")</f>
        <v>67.1756603773585</v>
      </c>
      <c r="AC27" s="155" t="n">
        <f aca="false">IFERROR('Price History'!H3+(INDEX('Price History'!H:H,MATCH(9.99E+307,'Returns (Calc)'!$A:$A)+1)-'Price History'!H3)*(ROW()-3)/(MATCH(9.99E+307,'Returns (Calc)'!$A:$A)-3),"")</f>
        <v>213.999056603774</v>
      </c>
      <c r="AD27" s="155" t="n">
        <f aca="false">IFERROR('Price History'!I3+(INDEX('Price History'!I:I,MATCH(9.99E+307,'Returns (Calc)'!$A:$A)+1)-'Price History'!I3)*(ROW()-3)/(MATCH(9.99E+307,'Returns (Calc)'!$A:$A)-3),"")</f>
        <v>71.7715094339623</v>
      </c>
      <c r="AE27" s="155" t="n">
        <f aca="false">IFERROR('Price History'!J3+(INDEX('Price History'!J:J,MATCH(9.99E+307,'Returns (Calc)'!$A:$A)+1)-'Price History'!J3)*(ROW()-3)/(MATCH(9.99E+307,'Returns (Calc)'!$A:$A)-3),"")</f>
        <v>114.504150943396</v>
      </c>
      <c r="AF27" s="155" t="n">
        <f aca="false">IFERROR('Price History'!K3+(INDEX('Price History'!K:K,MATCH(9.99E+307,'Returns (Calc)'!$A:$A)+1)-'Price History'!K3)*(ROW()-3)/(MATCH(9.99E+307,'Returns (Calc)'!$A:$A)-3),"")</f>
        <v>44.5707547169811</v>
      </c>
      <c r="AG27" s="155" t="n">
        <f aca="false">IFERROR('Price History'!L3+(INDEX('Price History'!L:L,MATCH(9.99E+307,'Returns (Calc)'!$A:$A)+1)-'Price History'!L3)*(ROW()-3)/(MATCH(9.99E+307,'Returns (Calc)'!$A:$A)-3),"")</f>
        <v>141.230754716981</v>
      </c>
      <c r="AH27" s="155" t="n">
        <f aca="false">IFERROR('Price History'!M3+(INDEX('Price History'!M:M,MATCH(9.99E+307,'Returns (Calc)'!$A:$A)+1)-'Price History'!M3)*(ROW()-3)/(MATCH(9.99E+307,'Returns (Calc)'!$A:$A)-3),"")</f>
        <v>68.9271698113208</v>
      </c>
      <c r="AI27" s="155" t="n">
        <f aca="false">IFERROR('Price History'!N3+(INDEX('Price History'!N:N,MATCH(9.99E+307,'Returns (Calc)'!$A:$A)+1)-'Price History'!N3)*(ROW()-3)/(MATCH(9.99E+307,'Returns (Calc)'!$A:$A)-3),"")</f>
        <v>373.229056603774</v>
      </c>
      <c r="AJ27" s="155" t="n">
        <f aca="false">IFERROR('Price History'!O3+(INDEX('Price History'!O:O,MATCH(9.99E+307,'Returns (Calc)'!$A:$A)+1)-'Price History'!O3)*(ROW()-3)/(MATCH(9.99E+307,'Returns (Calc)'!$A:$A)-3),"")</f>
        <v>82.001320754717</v>
      </c>
      <c r="AK27" s="155" t="n">
        <f aca="false">IFERROR('Price History'!Q3+(INDEX('Price History'!Q:Q,MATCH(9.99E+307,'Returns (Calc)'!$A:$A)+1)-'Price History'!Q3)*(ROW()-3)/(MATCH(9.99E+307,'Returns (Calc)'!$A:$A)-3),"")</f>
        <v>10.5615094339623</v>
      </c>
      <c r="AL27" s="155" t="n">
        <f aca="false">IFERROR('Price History'!R3+(INDEX('Price History'!R:R,MATCH(9.99E+307,'Returns (Calc)'!$A:$A)+1)-'Price History'!R3)*(ROW()-3)/(MATCH(9.99E+307,'Returns (Calc)'!$A:$A)-3),"")</f>
        <v>38.4966037735849</v>
      </c>
      <c r="AM27" s="155" t="n">
        <f aca="false">IFERROR('Price History'!S3+(INDEX('Price History'!S:S,MATCH(9.99E+307,'Returns (Calc)'!$A:$A)+1)-'Price History'!S3)*(ROW()-3)/(MATCH(9.99E+307,'Returns (Calc)'!$A:$A)-3),"")</f>
        <v>71.7477358490566</v>
      </c>
      <c r="AN27" s="155" t="n">
        <f aca="false">IFERROR('Price History'!T3+(INDEX('Price History'!T:T,MATCH(9.99E+307,'Returns (Calc)'!$A:$A)+1)-'Price History'!T3)*(ROW()-3)/(MATCH(9.99E+307,'Returns (Calc)'!$A:$A)-3),"")</f>
        <v>29.3635849056604</v>
      </c>
      <c r="AO27" s="156" t="n">
        <f aca="false">IFERROR('Price History'!V3+(INDEX('Price History'!V:V,MATCH(9.99E+307,'Returns (Calc)'!$A:$A)+1)-'Price History'!V3)*(ROW()-3)/(MATCH(9.99E+307,'Returns (Calc)'!$A:$A)-3),"")</f>
        <v>258.244339622642</v>
      </c>
      <c r="AP27" s="154" t="n">
        <f aca="false">IFERROR(IF(OR(NOT(ISNUMBER('Price History'!W28)),NOT(ISNUMBER('Price History'!W27)),'Price History'!W27=0),"",'Price History'!W28/'Price History'!W27-1),"")</f>
        <v>0.0100823235593377</v>
      </c>
      <c r="AQ27" s="154" t="str">
        <f aca="false">IFERROR(IF(OR(NOT(ISNUMBER('Price History'!X28)),NOT(ISNUMBER('Price History'!X27)),'Price History'!X27=0),"",'Price History'!X28/'Price History'!X27-1),"")</f>
        <v/>
      </c>
      <c r="AR27" s="154" t="n">
        <f aca="false">IFERROR(IF(OR(NOT(ISNUMBER('Price History'!Y28)),NOT(ISNUMBER('Price History'!Y27)),'Price History'!Y27=0),"",'Price History'!Y28/'Price History'!Y27-1),"")</f>
        <v>0.00496974935177175</v>
      </c>
      <c r="AS27" s="154" t="n">
        <f aca="false">IFERROR(IF(OR(NOT(ISNUMBER('Price History'!Z28)),NOT(ISNUMBER('Price History'!Z27)),'Price History'!Z27=0),"",'Price History'!Z28/'Price History'!Z27-1),"")</f>
        <v>0.0586912886391009</v>
      </c>
      <c r="AT27" s="154" t="n">
        <f aca="false">IFERROR(IF(OR(NOT(ISNUMBER('Price History'!AA28)),NOT(ISNUMBER('Price History'!AA27)),'Price History'!AA27=0),"",'Price History'!AA28/'Price History'!AA27-1),"")</f>
        <v>-0.0234135314064267</v>
      </c>
      <c r="AU27" s="154" t="n">
        <f aca="false">IFERROR(IF(OR(NOT(ISNUMBER('Price History'!AB28)),NOT(ISNUMBER('Price History'!AB27)),'Price History'!AB27=0),"",'Price History'!AB28/'Price History'!AB27-1),"")</f>
        <v>0.0260348632944463</v>
      </c>
    </row>
    <row r="28" customFormat="false" ht="15" hidden="false" customHeight="true" outlineLevel="0" collapsed="false">
      <c r="A28" s="152" t="n">
        <f aca="false">IF('Price History'!A29="","",'Price History'!A29)</f>
        <v>45366</v>
      </c>
      <c r="B28" s="153" t="n">
        <f aca="false">IFERROR(IF(OR(NOT(ISNUMBER('Price History'!B29)),NOT(ISNUMBER('Price History'!B28)),'Price History'!B28=0),"",'Price History'!B29/'Price History'!B28-1),"")</f>
        <v>-0.107361017962987</v>
      </c>
      <c r="C28" s="153" t="n">
        <f aca="false">IFERROR(IF(OR(NOT(ISNUMBER('Price History'!C29)),NOT(ISNUMBER('Price History'!C28)),'Price History'!C28=0),"",'Price History'!C29/'Price History'!C28-1),"")</f>
        <v>0.0168424135910956</v>
      </c>
      <c r="D28" s="153" t="n">
        <f aca="false">IFERROR(IF(OR(NOT(ISNUMBER('Price History'!D29)),NOT(ISNUMBER('Price History'!D28)),'Price History'!D28=0),"",'Price History'!D29/'Price History'!D28-1),"")</f>
        <v>-0.054429171243494</v>
      </c>
      <c r="E28" s="153" t="n">
        <f aca="false">IFERROR(IF(OR(NOT(ISNUMBER('Price History'!E29)),NOT(ISNUMBER('Price History'!E28)),'Price History'!E28=0),"",'Price History'!E29/'Price History'!E28-1),"")</f>
        <v>-0.0559440559440558</v>
      </c>
      <c r="F28" s="153" t="n">
        <f aca="false">IFERROR(IF(OR(NOT(ISNUMBER('Price History'!F29)),NOT(ISNUMBER('Price History'!F28)),'Price History'!F28=0),"",'Price History'!F29/'Price History'!F28-1),"")</f>
        <v>-0.0223020691364143</v>
      </c>
      <c r="G28" s="153" t="n">
        <f aca="false">IFERROR(IF(OR(NOT(ISNUMBER('Price History'!G29)),NOT(ISNUMBER('Price History'!G28)),'Price History'!G28=0),"",'Price History'!G29/'Price History'!G28-1),"")</f>
        <v>-0.0220052462838823</v>
      </c>
      <c r="H28" s="153" t="n">
        <f aca="false">IFERROR(IF(OR(NOT(ISNUMBER('Price History'!H29)),NOT(ISNUMBER('Price History'!H28)),'Price History'!H28=0),"",'Price History'!H29/'Price History'!H28-1),"")</f>
        <v>-0.044717546215016</v>
      </c>
      <c r="I28" s="153" t="n">
        <f aca="false">IFERROR(IF(OR(NOT(ISNUMBER('Price History'!I29)),NOT(ISNUMBER('Price History'!I28)),'Price History'!I28=0),"",'Price History'!I29/'Price History'!I28-1),"")</f>
        <v>0.00355178735105421</v>
      </c>
      <c r="J28" s="153" t="n">
        <f aca="false">IFERROR(IF(OR(NOT(ISNUMBER('Price History'!J29)),NOT(ISNUMBER('Price History'!J28)),'Price History'!J28=0),"",'Price History'!J29/'Price History'!J28-1),"")</f>
        <v>-0.037757251660995</v>
      </c>
      <c r="K28" s="153" t="n">
        <f aca="false">IFERROR(IF(OR(NOT(ISNUMBER('Price History'!K29)),NOT(ISNUMBER('Price History'!K28)),'Price History'!K28=0),"",'Price History'!K29/'Price History'!K28-1),"")</f>
        <v>-0.097926267281106</v>
      </c>
      <c r="L28" s="153" t="n">
        <f aca="false">IFERROR(IF(OR(NOT(ISNUMBER('Price History'!L29)),NOT(ISNUMBER('Price History'!L28)),'Price History'!L28=0),"",'Price History'!L29/'Price History'!L28-1),"")</f>
        <v>-0.0641896673743809</v>
      </c>
      <c r="M28" s="153" t="n">
        <f aca="false">IFERROR(IF(OR(NOT(ISNUMBER('Price History'!M29)),NOT(ISNUMBER('Price History'!M28)),'Price History'!M28=0),"",'Price History'!M29/'Price History'!M28-1),"")</f>
        <v>0.068990454150998</v>
      </c>
      <c r="N28" s="153" t="n">
        <f aca="false">IFERROR(IF(OR(NOT(ISNUMBER('Price History'!N29)),NOT(ISNUMBER('Price History'!N28)),'Price History'!N28=0),"",'Price History'!N29/'Price History'!N28-1),"")</f>
        <v>-0.014265335235378</v>
      </c>
      <c r="O28" s="153" t="n">
        <f aca="false">IFERROR(IF(OR(NOT(ISNUMBER('Price History'!O29)),NOT(ISNUMBER('Price History'!O28)),'Price History'!O28=0),"",'Price History'!O29/'Price History'!O28-1),"")</f>
        <v>-0.00849133418634407</v>
      </c>
      <c r="P28" s="153" t="n">
        <f aca="false">IFERROR(IF(OR(NOT(ISNUMBER('Price History'!P29)),NOT(ISNUMBER('Price History'!P28)),'Price History'!P28=0),"",'Price History'!P29/'Price History'!P28-1),"")</f>
        <v>-0.0032284844571534</v>
      </c>
      <c r="Q28" s="153" t="n">
        <f aca="false">IFERROR(IF(OR(NOT(ISNUMBER('Price History'!Q29)),NOT(ISNUMBER('Price History'!Q28)),'Price History'!Q28=0),"",'Price History'!Q29/'Price History'!Q28-1),"")</f>
        <v>0.000183924958617077</v>
      </c>
      <c r="R28" s="153" t="n">
        <f aca="false">IFERROR(IF(OR(NOT(ISNUMBER('Price History'!R29)),NOT(ISNUMBER('Price History'!R28)),'Price History'!R28=0),"",'Price History'!R29/'Price History'!R28-1),"")</f>
        <v>-0.00526052104208419</v>
      </c>
      <c r="S28" s="153" t="n">
        <f aca="false">IFERROR(IF(OR(NOT(ISNUMBER('Price History'!S29)),NOT(ISNUMBER('Price History'!S28)),'Price History'!S28=0),"",'Price History'!S29/'Price History'!S28-1),"")</f>
        <v>-0.00516062443555676</v>
      </c>
      <c r="T28" s="153" t="n">
        <f aca="false">IFERROR(IF(OR(NOT(ISNUMBER('Price History'!T29)),NOT(ISNUMBER('Price History'!T28)),'Price History'!T28=0),"",'Price History'!T29/'Price History'!T28-1),"")</f>
        <v>0.0155248059399258</v>
      </c>
      <c r="U28" s="153" t="n">
        <f aca="false">IFERROR(IF(OR(NOT(ISNUMBER('Price History'!U29)),NOT(ISNUMBER('Price History'!U28)),'Price History'!U28=0),"",'Price History'!U29/'Price History'!U28-1),"")</f>
        <v>0.00168990283058723</v>
      </c>
      <c r="V28" s="154" t="n">
        <f aca="false">IFERROR(IF(OR(NOT(ISNUMBER('Price History'!V29)),NOT(ISNUMBER('Price History'!V28)),'Price History'!V28=0),"",'Price History'!V29/'Price History'!V28-1),"")</f>
        <v>0.0106979113601631</v>
      </c>
      <c r="W28" s="155" t="n">
        <f aca="false">IFERROR('Price History'!B3+(INDEX('Price History'!B:B,MATCH(9.99E+307,'Returns (Calc)'!$A:$A)+1)-'Price History'!B3)*(ROW()-3)/(MATCH(9.99E+307,'Returns (Calc)'!$A:$A)-3),"")</f>
        <v>483.823962264151</v>
      </c>
      <c r="X28" s="155" t="n">
        <f aca="false">IFERROR('Price History'!C3+(INDEX('Price History'!C:C,MATCH(9.99E+307,'Returns (Calc)'!$A:$A)+1)-'Price History'!C3)*(ROW()-3)/(MATCH(9.99E+307,'Returns (Calc)'!$A:$A)-3),"")</f>
        <v>72.9976100628931</v>
      </c>
      <c r="Y28" s="155" t="n">
        <f aca="false">IFERROR('Price History'!D3+(INDEX('Price History'!D:D,MATCH(9.99E+307,'Returns (Calc)'!$A:$A)+1)-'Price History'!D3)*(ROW()-3)/(MATCH(9.99E+307,'Returns (Calc)'!$A:$A)-3),"")</f>
        <v>770.426666666667</v>
      </c>
      <c r="Z28" s="155" t="n">
        <f aca="false">IFERROR('Price History'!E3+(INDEX('Price History'!E:E,MATCH(9.99E+307,'Returns (Calc)'!$A:$A)+1)-'Price History'!E3)*(ROW()-3)/(MATCH(9.99E+307,'Returns (Calc)'!$A:$A)-3),"")</f>
        <v>125.952830188679</v>
      </c>
      <c r="AA28" s="155" t="n">
        <f aca="false">IFERROR('Price History'!F3+(INDEX('Price History'!F:F,MATCH(9.99E+307,'Returns (Calc)'!$A:$A)+1)-'Price History'!F3)*(ROW()-3)/(MATCH(9.99E+307,'Returns (Calc)'!$A:$A)-3),"")</f>
        <v>78.1021383647799</v>
      </c>
      <c r="AB28" s="155" t="n">
        <f aca="false">IFERROR('Price History'!G3+(INDEX('Price History'!G:G,MATCH(9.99E+307,'Returns (Calc)'!$A:$A)+1)-'Price History'!G3)*(ROW()-3)/(MATCH(9.99E+307,'Returns (Calc)'!$A:$A)-3),"")</f>
        <v>68.1267295597484</v>
      </c>
      <c r="AC28" s="155" t="n">
        <f aca="false">IFERROR('Price History'!H3+(INDEX('Price History'!H:H,MATCH(9.99E+307,'Returns (Calc)'!$A:$A)+1)-'Price History'!H3)*(ROW()-3)/(MATCH(9.99E+307,'Returns (Calc)'!$A:$A)-3),"")</f>
        <v>220.036100628931</v>
      </c>
      <c r="AD28" s="155" t="n">
        <f aca="false">IFERROR('Price History'!I3+(INDEX('Price History'!I:I,MATCH(9.99E+307,'Returns (Calc)'!$A:$A)+1)-'Price History'!I3)*(ROW()-3)/(MATCH(9.99E+307,'Returns (Calc)'!$A:$A)-3),"")</f>
        <v>72.9382389937107</v>
      </c>
      <c r="AE28" s="155" t="n">
        <f aca="false">IFERROR('Price History'!J3+(INDEX('Price History'!J:J,MATCH(9.99E+307,'Returns (Calc)'!$A:$A)+1)-'Price History'!J3)*(ROW()-3)/(MATCH(9.99E+307,'Returns (Calc)'!$A:$A)-3),"")</f>
        <v>114.615157232704</v>
      </c>
      <c r="AF28" s="155" t="n">
        <f aca="false">IFERROR('Price History'!K3+(INDEX('Price History'!K:K,MATCH(9.99E+307,'Returns (Calc)'!$A:$A)+1)-'Price History'!K3)*(ROW()-3)/(MATCH(9.99E+307,'Returns (Calc)'!$A:$A)-3),"")</f>
        <v>45.7891194968554</v>
      </c>
      <c r="AG28" s="155" t="n">
        <f aca="false">IFERROR('Price History'!L3+(INDEX('Price History'!L:L,MATCH(9.99E+307,'Returns (Calc)'!$A:$A)+1)-'Price History'!L3)*(ROW()-3)/(MATCH(9.99E+307,'Returns (Calc)'!$A:$A)-3),"")</f>
        <v>143.542452830189</v>
      </c>
      <c r="AH28" s="155" t="n">
        <f aca="false">IFERROR('Price History'!M3+(INDEX('Price History'!M:M,MATCH(9.99E+307,'Returns (Calc)'!$A:$A)+1)-'Price History'!M3)*(ROW()-3)/(MATCH(9.99E+307,'Returns (Calc)'!$A:$A)-3),"")</f>
        <v>70.2149685534591</v>
      </c>
      <c r="AI28" s="155" t="n">
        <f aca="false">IFERROR('Price History'!N3+(INDEX('Price History'!N:N,MATCH(9.99E+307,'Returns (Calc)'!$A:$A)+1)-'Price History'!N3)*(ROW()-3)/(MATCH(9.99E+307,'Returns (Calc)'!$A:$A)-3),"")</f>
        <v>374.242767295597</v>
      </c>
      <c r="AJ28" s="155" t="n">
        <f aca="false">IFERROR('Price History'!O3+(INDEX('Price History'!O:O,MATCH(9.99E+307,'Returns (Calc)'!$A:$A)+1)-'Price History'!O3)*(ROW()-3)/(MATCH(9.99E+307,'Returns (Calc)'!$A:$A)-3),"")</f>
        <v>82.2801257861635</v>
      </c>
      <c r="AK28" s="155" t="n">
        <f aca="false">IFERROR('Price History'!Q3+(INDEX('Price History'!Q:Q,MATCH(9.99E+307,'Returns (Calc)'!$A:$A)+1)-'Price History'!Q3)*(ROW()-3)/(MATCH(9.99E+307,'Returns (Calc)'!$A:$A)-3),"")</f>
        <v>11.001572327044</v>
      </c>
      <c r="AL28" s="155" t="n">
        <f aca="false">IFERROR('Price History'!R3+(INDEX('Price History'!R:R,MATCH(9.99E+307,'Returns (Calc)'!$A:$A)+1)-'Price History'!R3)*(ROW()-3)/(MATCH(9.99E+307,'Returns (Calc)'!$A:$A)-3),"")</f>
        <v>38.6639622641509</v>
      </c>
      <c r="AM28" s="155" t="n">
        <f aca="false">IFERROR('Price History'!S3+(INDEX('Price History'!S:S,MATCH(9.99E+307,'Returns (Calc)'!$A:$A)+1)-'Price History'!S3)*(ROW()-3)/(MATCH(9.99E+307,'Returns (Calc)'!$A:$A)-3),"")</f>
        <v>72.3359748427673</v>
      </c>
      <c r="AN28" s="155" t="n">
        <f aca="false">IFERROR('Price History'!T3+(INDEX('Price History'!T:T,MATCH(9.99E+307,'Returns (Calc)'!$A:$A)+1)-'Price History'!T3)*(ROW()-3)/(MATCH(9.99E+307,'Returns (Calc)'!$A:$A)-3),"")</f>
        <v>29.5374842767296</v>
      </c>
      <c r="AO28" s="156" t="n">
        <f aca="false">IFERROR('Price History'!V3+(INDEX('Price History'!V:V,MATCH(9.99E+307,'Returns (Calc)'!$A:$A)+1)-'Price History'!V3)*(ROW()-3)/(MATCH(9.99E+307,'Returns (Calc)'!$A:$A)-3),"")</f>
        <v>259.186603773585</v>
      </c>
      <c r="AP28" s="154" t="n">
        <f aca="false">IFERROR(IF(OR(NOT(ISNUMBER('Price History'!W29)),NOT(ISNUMBER('Price History'!W28)),'Price History'!W28=0),"",'Price History'!W29/'Price History'!W28-1),"")</f>
        <v>0.0021062271062271</v>
      </c>
      <c r="AQ28" s="154" t="str">
        <f aca="false">IFERROR(IF(OR(NOT(ISNUMBER('Price History'!X29)),NOT(ISNUMBER('Price History'!X28)),'Price History'!X28=0),"",'Price History'!X29/'Price History'!X28-1),"")</f>
        <v/>
      </c>
      <c r="AR28" s="154" t="n">
        <f aca="false">IFERROR(IF(OR(NOT(ISNUMBER('Price History'!Y29)),NOT(ISNUMBER('Price History'!Y28)),'Price History'!Y28=0),"",'Price History'!Y29/'Price History'!Y28-1),"")</f>
        <v>-0.00215007525263389</v>
      </c>
      <c r="AS28" s="154" t="n">
        <f aca="false">IFERROR(IF(OR(NOT(ISNUMBER('Price History'!Z29)),NOT(ISNUMBER('Price History'!Z28)),'Price History'!Z28=0),"",'Price History'!Z29/'Price History'!Z28-1),"")</f>
        <v>0.00553617473077495</v>
      </c>
      <c r="AT28" s="154" t="n">
        <f aca="false">IFERROR(IF(OR(NOT(ISNUMBER('Price History'!AA29)),NOT(ISNUMBER('Price History'!AA28)),'Price History'!AA28=0),"",'Price History'!AA29/'Price History'!AA28-1),"")</f>
        <v>0.00181878306878325</v>
      </c>
      <c r="AU28" s="154" t="n">
        <f aca="false">IFERROR(IF(OR(NOT(ISNUMBER('Price History'!AB29)),NOT(ISNUMBER('Price History'!AB28)),'Price History'!AB28=0),"",'Price History'!AB29/'Price History'!AB28-1),"")</f>
        <v>-0.00355590675622286</v>
      </c>
    </row>
    <row r="29" customFormat="false" ht="15" hidden="false" customHeight="true" outlineLevel="0" collapsed="false">
      <c r="A29" s="152" t="n">
        <f aca="false">IF('Price History'!A30="","",'Price History'!A30)</f>
        <v>45373</v>
      </c>
      <c r="B29" s="153" t="n">
        <f aca="false">IFERROR(IF(OR(NOT(ISNUMBER('Price History'!B30)),NOT(ISNUMBER('Price History'!B29)),'Price History'!B29=0),"",'Price History'!B30/'Price History'!B29-1),"")</f>
        <v>0.0143361897412988</v>
      </c>
      <c r="C29" s="153" t="n">
        <f aca="false">IFERROR(IF(OR(NOT(ISNUMBER('Price History'!C30)),NOT(ISNUMBER('Price History'!C29)),'Price History'!C29=0),"",'Price History'!C30/'Price History'!C29-1),"")</f>
        <v>0.103413510010082</v>
      </c>
      <c r="D29" s="153" t="n">
        <f aca="false">IFERROR(IF(OR(NOT(ISNUMBER('Price History'!D30)),NOT(ISNUMBER('Price History'!D29)),'Price History'!D29=0),"",'Price History'!D30/'Price History'!D29-1),"")</f>
        <v>0.042275999088037</v>
      </c>
      <c r="E29" s="153" t="n">
        <f aca="false">IFERROR(IF(OR(NOT(ISNUMBER('Price History'!E30)),NOT(ISNUMBER('Price History'!E29)),'Price History'!E29=0),"",'Price History'!E30/'Price History'!E29-1),"")</f>
        <v>0.100208073241781</v>
      </c>
      <c r="F29" s="153" t="n">
        <f aca="false">IFERROR(IF(OR(NOT(ISNUMBER('Price History'!F30)),NOT(ISNUMBER('Price History'!F29)),'Price History'!F29=0),"",'Price History'!F30/'Price History'!F29-1),"")</f>
        <v>0.037764541883158</v>
      </c>
      <c r="G29" s="153" t="n">
        <f aca="false">IFERROR(IF(OR(NOT(ISNUMBER('Price History'!G30)),NOT(ISNUMBER('Price History'!G29)),'Price History'!G29=0),"",'Price History'!G30/'Price History'!G29-1),"")</f>
        <v>0.0390403814632694</v>
      </c>
      <c r="H29" s="153" t="n">
        <f aca="false">IFERROR(IF(OR(NOT(ISNUMBER('Price History'!H30)),NOT(ISNUMBER('Price History'!H29)),'Price History'!H29=0),"",'Price History'!H30/'Price History'!H29-1),"")</f>
        <v>0.181837837837838</v>
      </c>
      <c r="I29" s="153" t="n">
        <f aca="false">IFERROR(IF(OR(NOT(ISNUMBER('Price History'!I30)),NOT(ISNUMBER('Price History'!I29)),'Price History'!I29=0),"",'Price History'!I30/'Price History'!I29-1),"")</f>
        <v>0.0734102066445941</v>
      </c>
      <c r="J29" s="153" t="n">
        <f aca="false">IFERROR(IF(OR(NOT(ISNUMBER('Price History'!J30)),NOT(ISNUMBER('Price History'!J29)),'Price History'!J29=0),"",'Price History'!J30/'Price History'!J29-1),"")</f>
        <v>-0.00303132367800607</v>
      </c>
      <c r="K29" s="153" t="n">
        <f aca="false">IFERROR(IF(OR(NOT(ISNUMBER('Price History'!K30)),NOT(ISNUMBER('Price History'!K29)),'Price History'!K29=0),"",'Price History'!K30/'Price History'!K29-1),"")</f>
        <v>0.029374201787995</v>
      </c>
      <c r="L29" s="153" t="n">
        <f aca="false">IFERROR(IF(OR(NOT(ISNUMBER('Price History'!L30)),NOT(ISNUMBER('Price History'!L29)),'Price History'!L29=0),"",'Price History'!L30/'Price History'!L29-1),"")</f>
        <v>0.0301746956061408</v>
      </c>
      <c r="M29" s="153" t="n">
        <f aca="false">IFERROR(IF(OR(NOT(ISNUMBER('Price History'!M30)),NOT(ISNUMBER('Price History'!M29)),'Price History'!M29=0),"",'Price History'!M30/'Price History'!M29-1),"")</f>
        <v>0.112839940468137</v>
      </c>
      <c r="N29" s="153" t="n">
        <f aca="false">IFERROR(IF(OR(NOT(ISNUMBER('Price History'!N30)),NOT(ISNUMBER('Price History'!N29)),'Price History'!N29=0),"",'Price History'!N30/'Price History'!N29-1),"")</f>
        <v>0.0195491672594375</v>
      </c>
      <c r="O29" s="153" t="n">
        <f aca="false">IFERROR(IF(OR(NOT(ISNUMBER('Price History'!O30)),NOT(ISNUMBER('Price History'!O29)),'Price History'!O29=0),"",'Price History'!O30/'Price History'!O29-1),"")</f>
        <v>0.0273345847020179</v>
      </c>
      <c r="P29" s="153" t="n">
        <f aca="false">IFERROR(IF(OR(NOT(ISNUMBER('Price History'!P30)),NOT(ISNUMBER('Price History'!P29)),'Price History'!P29=0),"",'Price History'!P30/'Price History'!P29-1),"")</f>
        <v>0.0161947066444568</v>
      </c>
      <c r="Q29" s="153" t="n">
        <f aca="false">IFERROR(IF(OR(NOT(ISNUMBER('Price History'!Q30)),NOT(ISNUMBER('Price History'!Q29)),'Price History'!Q29=0),"",'Price History'!Q30/'Price History'!Q29-1),"")</f>
        <v>0.0121368150055168</v>
      </c>
      <c r="R29" s="153" t="n">
        <f aca="false">IFERROR(IF(OR(NOT(ISNUMBER('Price History'!R30)),NOT(ISNUMBER('Price History'!R29)),'Price History'!R29=0),"",'Price History'!R30/'Price History'!R29-1),"")</f>
        <v>0.0256862251322083</v>
      </c>
      <c r="S29" s="153" t="n">
        <f aca="false">IFERROR(IF(OR(NOT(ISNUMBER('Price History'!S30)),NOT(ISNUMBER('Price History'!S29)),'Price History'!S29=0),"",'Price History'!S30/'Price History'!S29-1),"")</f>
        <v>0.0300868888600701</v>
      </c>
      <c r="T29" s="153" t="n">
        <f aca="false">IFERROR(IF(OR(NOT(ISNUMBER('Price History'!T30)),NOT(ISNUMBER('Price History'!T29)),'Price History'!T29=0),"",'Price History'!T30/'Price History'!T29-1),"")</f>
        <v>0.0242605516782985</v>
      </c>
      <c r="U29" s="153" t="n">
        <f aca="false">IFERROR(IF(OR(NOT(ISNUMBER('Price History'!U30)),NOT(ISNUMBER('Price History'!U29)),'Price History'!U29=0),"",'Price History'!U30/'Price History'!U29-1),"")</f>
        <v>0.0185575706452972</v>
      </c>
      <c r="V29" s="154" t="n">
        <f aca="false">IFERROR(IF(OR(NOT(ISNUMBER('Price History'!V30)),NOT(ISNUMBER('Price History'!V29)),'Price History'!V29=0),"",'Price History'!V30/'Price History'!V29-1),"")</f>
        <v>0.000792050691244439</v>
      </c>
      <c r="W29" s="155" t="n">
        <f aca="false">IFERROR('Price History'!B3+(INDEX('Price History'!B:B,MATCH(9.99E+307,'Returns (Calc)'!$A:$A)+1)-'Price History'!B3)*(ROW()-3)/(MATCH(9.99E+307,'Returns (Calc)'!$A:$A)-3),"")</f>
        <v>482.021320754717</v>
      </c>
      <c r="X29" s="155" t="n">
        <f aca="false">IFERROR('Price History'!C3+(INDEX('Price History'!C:C,MATCH(9.99E+307,'Returns (Calc)'!$A:$A)+1)-'Price History'!C3)*(ROW()-3)/(MATCH(9.99E+307,'Returns (Calc)'!$A:$A)-3),"")</f>
        <v>74.0703144654088</v>
      </c>
      <c r="Y29" s="155" t="n">
        <f aca="false">IFERROR('Price History'!D3+(INDEX('Price History'!D:D,MATCH(9.99E+307,'Returns (Calc)'!$A:$A)+1)-'Price History'!D3)*(ROW()-3)/(MATCH(9.99E+307,'Returns (Calc)'!$A:$A)-3),"")</f>
        <v>777.963333333333</v>
      </c>
      <c r="Z29" s="155" t="n">
        <f aca="false">IFERROR('Price History'!E3+(INDEX('Price History'!E:E,MATCH(9.99E+307,'Returns (Calc)'!$A:$A)+1)-'Price History'!E3)*(ROW()-3)/(MATCH(9.99E+307,'Returns (Calc)'!$A:$A)-3),"")</f>
        <v>127.710943396226</v>
      </c>
      <c r="AA29" s="155" t="n">
        <f aca="false">IFERROR('Price History'!F3+(INDEX('Price History'!F:F,MATCH(9.99E+307,'Returns (Calc)'!$A:$A)+1)-'Price History'!F3)*(ROW()-3)/(MATCH(9.99E+307,'Returns (Calc)'!$A:$A)-3),"")</f>
        <v>79.5718238993711</v>
      </c>
      <c r="AB29" s="155" t="n">
        <f aca="false">IFERROR('Price History'!G3+(INDEX('Price History'!G:G,MATCH(9.99E+307,'Returns (Calc)'!$A:$A)+1)-'Price History'!G3)*(ROW()-3)/(MATCH(9.99E+307,'Returns (Calc)'!$A:$A)-3),"")</f>
        <v>69.0777987421384</v>
      </c>
      <c r="AC29" s="155" t="n">
        <f aca="false">IFERROR('Price History'!H3+(INDEX('Price History'!H:H,MATCH(9.99E+307,'Returns (Calc)'!$A:$A)+1)-'Price History'!H3)*(ROW()-3)/(MATCH(9.99E+307,'Returns (Calc)'!$A:$A)-3),"")</f>
        <v>226.073144654088</v>
      </c>
      <c r="AD29" s="155" t="n">
        <f aca="false">IFERROR('Price History'!I3+(INDEX('Price History'!I:I,MATCH(9.99E+307,'Returns (Calc)'!$A:$A)+1)-'Price History'!I3)*(ROW()-3)/(MATCH(9.99E+307,'Returns (Calc)'!$A:$A)-3),"")</f>
        <v>74.1049685534591</v>
      </c>
      <c r="AE29" s="155" t="n">
        <f aca="false">IFERROR('Price History'!J3+(INDEX('Price History'!J:J,MATCH(9.99E+307,'Returns (Calc)'!$A:$A)+1)-'Price History'!J3)*(ROW()-3)/(MATCH(9.99E+307,'Returns (Calc)'!$A:$A)-3),"")</f>
        <v>114.726163522013</v>
      </c>
      <c r="AF29" s="155" t="n">
        <f aca="false">IFERROR('Price History'!K3+(INDEX('Price History'!K:K,MATCH(9.99E+307,'Returns (Calc)'!$A:$A)+1)-'Price History'!K3)*(ROW()-3)/(MATCH(9.99E+307,'Returns (Calc)'!$A:$A)-3),"")</f>
        <v>47.0074842767296</v>
      </c>
      <c r="AG29" s="155" t="n">
        <f aca="false">IFERROR('Price History'!L3+(INDEX('Price History'!L:L,MATCH(9.99E+307,'Returns (Calc)'!$A:$A)+1)-'Price History'!L3)*(ROW()-3)/(MATCH(9.99E+307,'Returns (Calc)'!$A:$A)-3),"")</f>
        <v>145.854150943396</v>
      </c>
      <c r="AH29" s="155" t="n">
        <f aca="false">IFERROR('Price History'!M3+(INDEX('Price History'!M:M,MATCH(9.99E+307,'Returns (Calc)'!$A:$A)+1)-'Price History'!M3)*(ROW()-3)/(MATCH(9.99E+307,'Returns (Calc)'!$A:$A)-3),"")</f>
        <v>71.5027672955975</v>
      </c>
      <c r="AI29" s="155" t="n">
        <f aca="false">IFERROR('Price History'!N3+(INDEX('Price History'!N:N,MATCH(9.99E+307,'Returns (Calc)'!$A:$A)+1)-'Price History'!N3)*(ROW()-3)/(MATCH(9.99E+307,'Returns (Calc)'!$A:$A)-3),"")</f>
        <v>375.256477987421</v>
      </c>
      <c r="AJ29" s="155" t="n">
        <f aca="false">IFERROR('Price History'!O3+(INDEX('Price History'!O:O,MATCH(9.99E+307,'Returns (Calc)'!$A:$A)+1)-'Price History'!O3)*(ROW()-3)/(MATCH(9.99E+307,'Returns (Calc)'!$A:$A)-3),"")</f>
        <v>82.5589308176101</v>
      </c>
      <c r="AK29" s="155" t="n">
        <f aca="false">IFERROR('Price History'!Q3+(INDEX('Price History'!Q:Q,MATCH(9.99E+307,'Returns (Calc)'!$A:$A)+1)-'Price History'!Q3)*(ROW()-3)/(MATCH(9.99E+307,'Returns (Calc)'!$A:$A)-3),"")</f>
        <v>11.4416352201258</v>
      </c>
      <c r="AL29" s="155" t="n">
        <f aca="false">IFERROR('Price History'!R3+(INDEX('Price History'!R:R,MATCH(9.99E+307,'Returns (Calc)'!$A:$A)+1)-'Price History'!R3)*(ROW()-3)/(MATCH(9.99E+307,'Returns (Calc)'!$A:$A)-3),"")</f>
        <v>38.831320754717</v>
      </c>
      <c r="AM29" s="155" t="n">
        <f aca="false">IFERROR('Price History'!S3+(INDEX('Price History'!S:S,MATCH(9.99E+307,'Returns (Calc)'!$A:$A)+1)-'Price History'!S3)*(ROW()-3)/(MATCH(9.99E+307,'Returns (Calc)'!$A:$A)-3),"")</f>
        <v>72.924213836478</v>
      </c>
      <c r="AN29" s="155" t="n">
        <f aca="false">IFERROR('Price History'!T3+(INDEX('Price History'!T:T,MATCH(9.99E+307,'Returns (Calc)'!$A:$A)+1)-'Price History'!T3)*(ROW()-3)/(MATCH(9.99E+307,'Returns (Calc)'!$A:$A)-3),"")</f>
        <v>29.7113836477987</v>
      </c>
      <c r="AO29" s="156" t="n">
        <f aca="false">IFERROR('Price History'!V3+(INDEX('Price History'!V:V,MATCH(9.99E+307,'Returns (Calc)'!$A:$A)+1)-'Price History'!V3)*(ROW()-3)/(MATCH(9.99E+307,'Returns (Calc)'!$A:$A)-3),"")</f>
        <v>260.128867924528</v>
      </c>
      <c r="AP29" s="154" t="n">
        <f aca="false">IFERROR(IF(OR(NOT(ISNUMBER('Price History'!W30)),NOT(ISNUMBER('Price History'!W29)),'Price History'!W29=0),"",'Price History'!W30/'Price History'!W29-1),"")</f>
        <v>0.018459289043224</v>
      </c>
      <c r="AQ29" s="154" t="str">
        <f aca="false">IFERROR(IF(OR(NOT(ISNUMBER('Price History'!X30)),NOT(ISNUMBER('Price History'!X29)),'Price History'!X29=0),"",'Price History'!X30/'Price History'!X29-1),"")</f>
        <v/>
      </c>
      <c r="AR29" s="154" t="n">
        <f aca="false">IFERROR(IF(OR(NOT(ISNUMBER('Price History'!Y30)),NOT(ISNUMBER('Price History'!Y29)),'Price History'!Y29=0),"",'Price History'!Y30/'Price History'!Y29-1),"")</f>
        <v>0.0086188321482441</v>
      </c>
      <c r="AS29" s="154" t="n">
        <f aca="false">IFERROR(IF(OR(NOT(ISNUMBER('Price History'!Z30)),NOT(ISNUMBER('Price History'!Z29)),'Price History'!Z29=0),"",'Price History'!Z30/'Price History'!Z29-1),"")</f>
        <v>0.0370314503356211</v>
      </c>
      <c r="AT29" s="154" t="n">
        <f aca="false">IFERROR(IF(OR(NOT(ISNUMBER('Price History'!AA30)),NOT(ISNUMBER('Price History'!AA29)),'Price History'!AA29=0),"",'Price History'!AA30/'Price History'!AA29-1),"")</f>
        <v>0.0364746657864332</v>
      </c>
      <c r="AU29" s="154" t="n">
        <f aca="false">IFERROR(IF(OR(NOT(ISNUMBER('Price History'!AB30)),NOT(ISNUMBER('Price History'!AB29)),'Price History'!AB29=0),"",'Price History'!AB30/'Price History'!AB29-1),"")</f>
        <v>0.0151555203101594</v>
      </c>
    </row>
    <row r="30" customFormat="false" ht="15" hidden="false" customHeight="true" outlineLevel="0" collapsed="false">
      <c r="A30" s="152" t="n">
        <f aca="false">IF('Price History'!A31="","",'Price History'!A31)</f>
        <v>45380</v>
      </c>
      <c r="B30" s="153" t="n">
        <f aca="false">IFERROR(IF(OR(NOT(ISNUMBER('Price History'!B31)),NOT(ISNUMBER('Price History'!B30)),'Price History'!B30=0),"",'Price History'!B31/'Price History'!B30-1),"")</f>
        <v>0.0101697629724535</v>
      </c>
      <c r="C30" s="153" t="n">
        <f aca="false">IFERROR(IF(OR(NOT(ISNUMBER('Price History'!C31)),NOT(ISNUMBER('Price History'!C30)),'Price History'!C30=0),"",'Price History'!C31/'Price History'!C30-1),"")</f>
        <v>-0.0536483487795327</v>
      </c>
      <c r="D30" s="153" t="n">
        <f aca="false">IFERROR(IF(OR(NOT(ISNUMBER('Price History'!D31)),NOT(ISNUMBER('Price History'!D30)),'Price History'!D30=0),"",'Price History'!D31/'Price History'!D30-1),"")</f>
        <v>-0.00968719727508516</v>
      </c>
      <c r="E30" s="153" t="n">
        <f aca="false">IFERROR(IF(OR(NOT(ISNUMBER('Price History'!E31)),NOT(ISNUMBER('Price History'!E30)),'Price History'!E30=0),"",'Price History'!E31/'Price History'!E30-1),"")</f>
        <v>-0.0207277403737046</v>
      </c>
      <c r="F30" s="153" t="n">
        <f aca="false">IFERROR(IF(OR(NOT(ISNUMBER('Price History'!F31)),NOT(ISNUMBER('Price History'!F30)),'Price History'!F30=0),"",'Price History'!F31/'Price History'!F30-1),"")</f>
        <v>-0.0212480156307241</v>
      </c>
      <c r="G30" s="153" t="n">
        <f aca="false">IFERROR(IF(OR(NOT(ISNUMBER('Price History'!G31)),NOT(ISNUMBER('Price History'!G30)),'Price History'!G30=0),"",'Price History'!G31/'Price History'!G30-1),"")</f>
        <v>-0.0169224150293992</v>
      </c>
      <c r="H30" s="153" t="n">
        <f aca="false">IFERROR(IF(OR(NOT(ISNUMBER('Price History'!H31)),NOT(ISNUMBER('Price History'!H30)),'Price History'!H30=0),"",'Price History'!H31/'Price History'!H30-1),"")</f>
        <v>0.0707098426637396</v>
      </c>
      <c r="I30" s="153" t="n">
        <f aca="false">IFERROR(IF(OR(NOT(ISNUMBER('Price History'!I31)),NOT(ISNUMBER('Price History'!I30)),'Price History'!I30=0),"",'Price History'!I31/'Price History'!I30-1),"")</f>
        <v>-0.0416932567538821</v>
      </c>
      <c r="J30" s="153" t="n">
        <f aca="false">IFERROR(IF(OR(NOT(ISNUMBER('Price History'!J31)),NOT(ISNUMBER('Price History'!J30)),'Price History'!J30=0),"",'Price History'!J31/'Price History'!J30-1),"")</f>
        <v>0.0124155405405406</v>
      </c>
      <c r="K30" s="153" t="n">
        <f aca="false">IFERROR(IF(OR(NOT(ISNUMBER('Price History'!K31)),NOT(ISNUMBER('Price History'!K30)),'Price History'!K30=0),"",'Price History'!K31/'Price History'!K30-1),"")</f>
        <v>-0.0483870967741935</v>
      </c>
      <c r="L30" s="153" t="n">
        <f aca="false">IFERROR(IF(OR(NOT(ISNUMBER('Price History'!L31)),NOT(ISNUMBER('Price History'!L30)),'Price History'!L30=0),"",'Price History'!L31/'Price History'!L30-1),"")</f>
        <v>-0.0319336367640581</v>
      </c>
      <c r="M30" s="153" t="n">
        <f aca="false">IFERROR(IF(OR(NOT(ISNUMBER('Price History'!M31)),NOT(ISNUMBER('Price History'!M30)),'Price History'!M30=0),"",'Price History'!M31/'Price History'!M30-1),"")</f>
        <v>-0.00996960486322185</v>
      </c>
      <c r="N30" s="153" t="n">
        <f aca="false">IFERROR(IF(OR(NOT(ISNUMBER('Price History'!N31)),NOT(ISNUMBER('Price History'!N30)),'Price History'!N30=0),"",'Price History'!N31/'Price History'!N30-1),"")</f>
        <v>0.00565365924072547</v>
      </c>
      <c r="O30" s="153" t="n">
        <f aca="false">IFERROR(IF(OR(NOT(ISNUMBER('Price History'!O31)),NOT(ISNUMBER('Price History'!O30)),'Price History'!O30=0),"",'Price History'!O31/'Price History'!O30-1),"")</f>
        <v>0.0286627840584677</v>
      </c>
      <c r="P30" s="153" t="n">
        <f aca="false">IFERROR(IF(OR(NOT(ISNUMBER('Price History'!P31)),NOT(ISNUMBER('Price History'!P30)),'Price History'!P30=0),"",'Price History'!P31/'Price History'!P30-1),"")</f>
        <v>0.0252253893088061</v>
      </c>
      <c r="Q30" s="153" t="n">
        <f aca="false">IFERROR(IF(OR(NOT(ISNUMBER('Price History'!Q31)),NOT(ISNUMBER('Price History'!Q30)),'Price History'!Q30=0),"",'Price History'!Q31/'Price History'!Q30-1),"")</f>
        <v>0.000726744186046568</v>
      </c>
      <c r="R30" s="153" t="n">
        <f aca="false">IFERROR(IF(OR(NOT(ISNUMBER('Price History'!R31)),NOT(ISNUMBER('Price History'!R30)),'Price History'!R30=0),"",'Price History'!R31/'Price History'!R30-1),"")</f>
        <v>-0.000491038546525768</v>
      </c>
      <c r="S30" s="153" t="n">
        <f aca="false">IFERROR(IF(OR(NOT(ISNUMBER('Price History'!S31)),NOT(ISNUMBER('Price History'!S30)),'Price History'!S30=0),"",'Price History'!S31/'Price History'!S30-1),"")</f>
        <v>-0.00755382097444302</v>
      </c>
      <c r="T30" s="153" t="n">
        <f aca="false">IFERROR(IF(OR(NOT(ISNUMBER('Price History'!T31)),NOT(ISNUMBER('Price History'!T30)),'Price History'!T30=0),"",'Price History'!T31/'Price History'!T30-1),"")</f>
        <v>0.0155743024010384</v>
      </c>
      <c r="U30" s="153" t="n">
        <f aca="false">IFERROR(IF(OR(NOT(ISNUMBER('Price History'!U31)),NOT(ISNUMBER('Price History'!U30)),'Price History'!U30=0),"",'Price History'!U31/'Price History'!U30-1),"")</f>
        <v>0.0157349896480332</v>
      </c>
      <c r="V30" s="154" t="n">
        <f aca="false">IFERROR(IF(OR(NOT(ISNUMBER('Price History'!V31)),NOT(ISNUMBER('Price History'!V30)),'Price History'!V30=0),"",'Price History'!V31/'Price History'!V30-1),"")</f>
        <v>-0.0147492625368733</v>
      </c>
      <c r="W30" s="155" t="n">
        <f aca="false">IFERROR('Price History'!B3+(INDEX('Price History'!B:B,MATCH(9.99E+307,'Returns (Calc)'!$A:$A)+1)-'Price History'!B3)*(ROW()-3)/(MATCH(9.99E+307,'Returns (Calc)'!$A:$A)-3),"")</f>
        <v>480.218679245283</v>
      </c>
      <c r="X30" s="155" t="n">
        <f aca="false">IFERROR('Price History'!C3+(INDEX('Price History'!C:C,MATCH(9.99E+307,'Returns (Calc)'!$A:$A)+1)-'Price History'!C3)*(ROW()-3)/(MATCH(9.99E+307,'Returns (Calc)'!$A:$A)-3),"")</f>
        <v>75.1430188679245</v>
      </c>
      <c r="Y30" s="155" t="n">
        <f aca="false">IFERROR('Price History'!D3+(INDEX('Price History'!D:D,MATCH(9.99E+307,'Returns (Calc)'!$A:$A)+1)-'Price History'!D3)*(ROW()-3)/(MATCH(9.99E+307,'Returns (Calc)'!$A:$A)-3),"")</f>
        <v>785.5</v>
      </c>
      <c r="Z30" s="155" t="n">
        <f aca="false">IFERROR('Price History'!E3+(INDEX('Price History'!E:E,MATCH(9.99E+307,'Returns (Calc)'!$A:$A)+1)-'Price History'!E3)*(ROW()-3)/(MATCH(9.99E+307,'Returns (Calc)'!$A:$A)-3),"")</f>
        <v>129.469056603774</v>
      </c>
      <c r="AA30" s="155" t="n">
        <f aca="false">IFERROR('Price History'!F3+(INDEX('Price History'!F:F,MATCH(9.99E+307,'Returns (Calc)'!$A:$A)+1)-'Price History'!F3)*(ROW()-3)/(MATCH(9.99E+307,'Returns (Calc)'!$A:$A)-3),"")</f>
        <v>81.0415094339623</v>
      </c>
      <c r="AB30" s="155" t="n">
        <f aca="false">IFERROR('Price History'!G3+(INDEX('Price History'!G:G,MATCH(9.99E+307,'Returns (Calc)'!$A:$A)+1)-'Price History'!G3)*(ROW()-3)/(MATCH(9.99E+307,'Returns (Calc)'!$A:$A)-3),"")</f>
        <v>70.0288679245283</v>
      </c>
      <c r="AC30" s="155" t="n">
        <f aca="false">IFERROR('Price History'!H3+(INDEX('Price History'!H:H,MATCH(9.99E+307,'Returns (Calc)'!$A:$A)+1)-'Price History'!H3)*(ROW()-3)/(MATCH(9.99E+307,'Returns (Calc)'!$A:$A)-3),"")</f>
        <v>232.110188679245</v>
      </c>
      <c r="AD30" s="155" t="n">
        <f aca="false">IFERROR('Price History'!I3+(INDEX('Price History'!I:I,MATCH(9.99E+307,'Returns (Calc)'!$A:$A)+1)-'Price History'!I3)*(ROW()-3)/(MATCH(9.99E+307,'Returns (Calc)'!$A:$A)-3),"")</f>
        <v>75.2716981132076</v>
      </c>
      <c r="AE30" s="155" t="n">
        <f aca="false">IFERROR('Price History'!J3+(INDEX('Price History'!J:J,MATCH(9.99E+307,'Returns (Calc)'!$A:$A)+1)-'Price History'!J3)*(ROW()-3)/(MATCH(9.99E+307,'Returns (Calc)'!$A:$A)-3),"")</f>
        <v>114.837169811321</v>
      </c>
      <c r="AF30" s="155" t="n">
        <f aca="false">IFERROR('Price History'!K3+(INDEX('Price History'!K:K,MATCH(9.99E+307,'Returns (Calc)'!$A:$A)+1)-'Price History'!K3)*(ROW()-3)/(MATCH(9.99E+307,'Returns (Calc)'!$A:$A)-3),"")</f>
        <v>48.2258490566038</v>
      </c>
      <c r="AG30" s="155" t="n">
        <f aca="false">IFERROR('Price History'!L3+(INDEX('Price History'!L:L,MATCH(9.99E+307,'Returns (Calc)'!$A:$A)+1)-'Price History'!L3)*(ROW()-3)/(MATCH(9.99E+307,'Returns (Calc)'!$A:$A)-3),"")</f>
        <v>148.165849056604</v>
      </c>
      <c r="AH30" s="155" t="n">
        <f aca="false">IFERROR('Price History'!M3+(INDEX('Price History'!M:M,MATCH(9.99E+307,'Returns (Calc)'!$A:$A)+1)-'Price History'!M3)*(ROW()-3)/(MATCH(9.99E+307,'Returns (Calc)'!$A:$A)-3),"")</f>
        <v>72.7905660377359</v>
      </c>
      <c r="AI30" s="155" t="n">
        <f aca="false">IFERROR('Price History'!N3+(INDEX('Price History'!N:N,MATCH(9.99E+307,'Returns (Calc)'!$A:$A)+1)-'Price History'!N3)*(ROW()-3)/(MATCH(9.99E+307,'Returns (Calc)'!$A:$A)-3),"")</f>
        <v>376.270188679245</v>
      </c>
      <c r="AJ30" s="155" t="n">
        <f aca="false">IFERROR('Price History'!O3+(INDEX('Price History'!O:O,MATCH(9.99E+307,'Returns (Calc)'!$A:$A)+1)-'Price History'!O3)*(ROW()-3)/(MATCH(9.99E+307,'Returns (Calc)'!$A:$A)-3),"")</f>
        <v>82.8377358490566</v>
      </c>
      <c r="AK30" s="155" t="n">
        <f aca="false">IFERROR('Price History'!Q3+(INDEX('Price History'!Q:Q,MATCH(9.99E+307,'Returns (Calc)'!$A:$A)+1)-'Price History'!Q3)*(ROW()-3)/(MATCH(9.99E+307,'Returns (Calc)'!$A:$A)-3),"")</f>
        <v>11.8816981132075</v>
      </c>
      <c r="AL30" s="155" t="n">
        <f aca="false">IFERROR('Price History'!R3+(INDEX('Price History'!R:R,MATCH(9.99E+307,'Returns (Calc)'!$A:$A)+1)-'Price History'!R3)*(ROW()-3)/(MATCH(9.99E+307,'Returns (Calc)'!$A:$A)-3),"")</f>
        <v>38.998679245283</v>
      </c>
      <c r="AM30" s="155" t="n">
        <f aca="false">IFERROR('Price History'!S3+(INDEX('Price History'!S:S,MATCH(9.99E+307,'Returns (Calc)'!$A:$A)+1)-'Price History'!S3)*(ROW()-3)/(MATCH(9.99E+307,'Returns (Calc)'!$A:$A)-3),"")</f>
        <v>73.5124528301887</v>
      </c>
      <c r="AN30" s="155" t="n">
        <f aca="false">IFERROR('Price History'!T3+(INDEX('Price History'!T:T,MATCH(9.99E+307,'Returns (Calc)'!$A:$A)+1)-'Price History'!T3)*(ROW()-3)/(MATCH(9.99E+307,'Returns (Calc)'!$A:$A)-3),"")</f>
        <v>29.8852830188679</v>
      </c>
      <c r="AO30" s="156" t="n">
        <f aca="false">IFERROR('Price History'!V3+(INDEX('Price History'!V:V,MATCH(9.99E+307,'Returns (Calc)'!$A:$A)+1)-'Price History'!V3)*(ROW()-3)/(MATCH(9.99E+307,'Returns (Calc)'!$A:$A)-3),"")</f>
        <v>261.071132075472</v>
      </c>
      <c r="AP30" s="154" t="n">
        <f aca="false">IFERROR(IF(OR(NOT(ISNUMBER('Price History'!W31)),NOT(ISNUMBER('Price History'!W30)),'Price History'!W30=0),"",'Price History'!W31/'Price History'!W30-1),"")</f>
        <v>0.0160610139075819</v>
      </c>
      <c r="AQ30" s="154" t="str">
        <f aca="false">IFERROR(IF(OR(NOT(ISNUMBER('Price History'!X31)),NOT(ISNUMBER('Price History'!X30)),'Price History'!X30=0),"",'Price History'!X31/'Price History'!X30-1),"")</f>
        <v/>
      </c>
      <c r="AR30" s="154" t="n">
        <f aca="false">IFERROR(IF(OR(NOT(ISNUMBER('Price History'!Y31)),NOT(ISNUMBER('Price History'!Y30)),'Price History'!Y30=0),"",'Price History'!Y31/'Price History'!Y30-1),"")</f>
        <v>0.0068361461226234</v>
      </c>
      <c r="AS30" s="154" t="n">
        <f aca="false">IFERROR(IF(OR(NOT(ISNUMBER('Price History'!Z31)),NOT(ISNUMBER('Price History'!Z30)),'Price History'!Z30=0),"",'Price History'!Z31/'Price History'!Z30-1),"")</f>
        <v>0.00218181818181828</v>
      </c>
      <c r="AT30" s="154" t="n">
        <f aca="false">IFERROR(IF(OR(NOT(ISNUMBER('Price History'!AA31)),NOT(ISNUMBER('Price History'!AA30)),'Price History'!AA30=0),"",'Price History'!AA31/'Price History'!AA30-1),"")</f>
        <v>-0.0329617834394904</v>
      </c>
      <c r="AU30" s="154" t="n">
        <f aca="false">IFERROR(IF(OR(NOT(ISNUMBER('Price History'!AB31)),NOT(ISNUMBER('Price History'!AB30)),'Price History'!AB30=0),"",'Price History'!AB31/'Price History'!AB30-1),"")</f>
        <v>0.00551167433382527</v>
      </c>
    </row>
    <row r="31" customFormat="false" ht="15" hidden="false" customHeight="true" outlineLevel="0" collapsed="false">
      <c r="A31" s="152" t="n">
        <f aca="false">IF('Price History'!A32="","",'Price History'!A32)</f>
        <v>45387</v>
      </c>
      <c r="B31" s="153" t="n">
        <f aca="false">IFERROR(IF(OR(NOT(ISNUMBER('Price History'!B32)),NOT(ISNUMBER('Price History'!B31)),'Price History'!B31=0),"",'Price History'!B32/'Price History'!B31-1),"")</f>
        <v>-0.0386048355132779</v>
      </c>
      <c r="C31" s="153" t="n">
        <f aca="false">IFERROR(IF(OR(NOT(ISNUMBER('Price History'!C32)),NOT(ISNUMBER('Price History'!C31)),'Price History'!C31=0),"",'Price History'!C32/'Price History'!C31-1),"")</f>
        <v>0.0262068965517241</v>
      </c>
      <c r="D31" s="153" t="n">
        <f aca="false">IFERROR(IF(OR(NOT(ISNUMBER('Price History'!D32)),NOT(ISNUMBER('Price History'!D31)),'Price History'!D31=0),"",'Price History'!D32/'Price History'!D31-1),"")</f>
        <v>0.00936122768819736</v>
      </c>
      <c r="E31" s="153" t="n">
        <f aca="false">IFERROR(IF(OR(NOT(ISNUMBER('Price History'!E32)),NOT(ISNUMBER('Price History'!E31)),'Price History'!E31=0),"",'Price History'!E32/'Price History'!E31-1),"")</f>
        <v>0.010583236770954</v>
      </c>
      <c r="F31" s="153" t="n">
        <f aca="false">IFERROR(IF(OR(NOT(ISNUMBER('Price History'!F32)),NOT(ISNUMBER('Price History'!F31)),'Price History'!F31=0),"",'Price History'!F32/'Price History'!F31-1),"")</f>
        <v>-0.015845290081098</v>
      </c>
      <c r="G31" s="153" t="n">
        <f aca="false">IFERROR(IF(OR(NOT(ISNUMBER('Price History'!G32)),NOT(ISNUMBER('Price History'!G31)),'Price History'!G31=0),"",'Price History'!G32/'Price History'!G31-1),"")</f>
        <v>-0.022465353756382</v>
      </c>
      <c r="H31" s="153" t="n">
        <f aca="false">IFERROR(IF(OR(NOT(ISNUMBER('Price History'!H32)),NOT(ISNUMBER('Price History'!H31)),'Price History'!H31=0),"",'Price History'!H32/'Price History'!H31-1),"")</f>
        <v>0.0482699700982487</v>
      </c>
      <c r="I31" s="153" t="n">
        <f aca="false">IFERROR(IF(OR(NOT(ISNUMBER('Price History'!I32)),NOT(ISNUMBER('Price History'!I31)),'Price History'!I31=0),"",'Price History'!I32/'Price History'!I31-1),"")</f>
        <v>-0.0259711431742508</v>
      </c>
      <c r="J31" s="153" t="n">
        <f aca="false">IFERROR(IF(OR(NOT(ISNUMBER('Price History'!J32)),NOT(ISNUMBER('Price History'!J31)),'Price History'!J31=0),"",'Price History'!J32/'Price History'!J31-1),"")</f>
        <v>-0.0421289730541421</v>
      </c>
      <c r="K31" s="153" t="n">
        <f aca="false">IFERROR(IF(OR(NOT(ISNUMBER('Price History'!K32)),NOT(ISNUMBER('Price History'!K31)),'Price History'!K31=0),"",'Price History'!K32/'Price History'!K31-1),"")</f>
        <v>-0.00217296827466318</v>
      </c>
      <c r="L31" s="153" t="n">
        <f aca="false">IFERROR(IF(OR(NOT(ISNUMBER('Price History'!L32)),NOT(ISNUMBER('Price History'!L31)),'Price History'!L31=0),"",'Price History'!L32/'Price History'!L31-1),"")</f>
        <v>0.0389777811481002</v>
      </c>
      <c r="M31" s="153" t="n">
        <f aca="false">IFERROR(IF(OR(NOT(ISNUMBER('Price History'!M32)),NOT(ISNUMBER('Price History'!M31)),'Price History'!M31=0),"",'Price History'!M32/'Price History'!M31-1),"")</f>
        <v>0.0449465798845634</v>
      </c>
      <c r="N31" s="153" t="n">
        <f aca="false">IFERROR(IF(OR(NOT(ISNUMBER('Price History'!N32)),NOT(ISNUMBER('Price History'!N31)),'Price History'!N31=0),"",'Price History'!N32/'Price History'!N31-1),"")</f>
        <v>-0.0271285375947943</v>
      </c>
      <c r="O31" s="153" t="n">
        <f aca="false">IFERROR(IF(OR(NOT(ISNUMBER('Price History'!O32)),NOT(ISNUMBER('Price History'!O31)),'Price History'!O31=0),"",'Price History'!O32/'Price History'!O31-1),"")</f>
        <v>-0.0215364120781527</v>
      </c>
      <c r="P31" s="153" t="n">
        <f aca="false">IFERROR(IF(OR(NOT(ISNUMBER('Price History'!P32)),NOT(ISNUMBER('Price History'!P31)),'Price History'!P31=0),"",'Price History'!P32/'Price History'!P31-1),"")</f>
        <v>-0.0177651447859301</v>
      </c>
      <c r="Q31" s="153" t="n">
        <f aca="false">IFERROR(IF(OR(NOT(ISNUMBER('Price History'!Q32)),NOT(ISNUMBER('Price History'!Q31)),'Price History'!Q31=0),"",'Price History'!Q32/'Price History'!Q31-1),"")</f>
        <v>-0.00381263616557737</v>
      </c>
      <c r="R31" s="153" t="n">
        <f aca="false">IFERROR(IF(OR(NOT(ISNUMBER('Price History'!R32)),NOT(ISNUMBER('Price History'!R31)),'Price History'!R31=0),"",'Price History'!R32/'Price History'!R31-1),"")</f>
        <v>-0.00417587816261367</v>
      </c>
      <c r="S31" s="153" t="n">
        <f aca="false">IFERROR(IF(OR(NOT(ISNUMBER('Price History'!S32)),NOT(ISNUMBER('Price History'!S31)),'Price History'!S31=0),"",'Price History'!S32/'Price History'!S31-1),"")</f>
        <v>0.00291767093746032</v>
      </c>
      <c r="T31" s="153" t="n">
        <f aca="false">IFERROR(IF(OR(NOT(ISNUMBER('Price History'!T32)),NOT(ISNUMBER('Price History'!T31)),'Price History'!T31=0),"",'Price History'!T32/'Price History'!T31-1),"")</f>
        <v>-0.00255591054313109</v>
      </c>
      <c r="U31" s="153" t="n">
        <f aca="false">IFERROR(IF(OR(NOT(ISNUMBER('Price History'!U32)),NOT(ISNUMBER('Price History'!U31)),'Price History'!U31=0),"",'Price History'!U32/'Price History'!U31-1),"")</f>
        <v>-0.0203832042397065</v>
      </c>
      <c r="V31" s="154" t="n">
        <f aca="false">IFERROR(IF(OR(NOT(ISNUMBER('Price History'!V32)),NOT(ISNUMBER('Price History'!V31)),'Price History'!V31=0),"",'Price History'!V32/'Price History'!V31-1),"")</f>
        <v>-0.00697385716372123</v>
      </c>
      <c r="W31" s="155" t="n">
        <f aca="false">IFERROR('Price History'!B3+(INDEX('Price History'!B:B,MATCH(9.99E+307,'Returns (Calc)'!$A:$A)+1)-'Price History'!B3)*(ROW()-3)/(MATCH(9.99E+307,'Returns (Calc)'!$A:$A)-3),"")</f>
        <v>478.416037735849</v>
      </c>
      <c r="X31" s="155" t="n">
        <f aca="false">IFERROR('Price History'!C3+(INDEX('Price History'!C:C,MATCH(9.99E+307,'Returns (Calc)'!$A:$A)+1)-'Price History'!C3)*(ROW()-3)/(MATCH(9.99E+307,'Returns (Calc)'!$A:$A)-3),"")</f>
        <v>76.2157232704403</v>
      </c>
      <c r="Y31" s="155" t="n">
        <f aca="false">IFERROR('Price History'!D3+(INDEX('Price History'!D:D,MATCH(9.99E+307,'Returns (Calc)'!$A:$A)+1)-'Price History'!D3)*(ROW()-3)/(MATCH(9.99E+307,'Returns (Calc)'!$A:$A)-3),"")</f>
        <v>793.036666666667</v>
      </c>
      <c r="Z31" s="155" t="n">
        <f aca="false">IFERROR('Price History'!E3+(INDEX('Price History'!E:E,MATCH(9.99E+307,'Returns (Calc)'!$A:$A)+1)-'Price History'!E3)*(ROW()-3)/(MATCH(9.99E+307,'Returns (Calc)'!$A:$A)-3),"")</f>
        <v>131.227169811321</v>
      </c>
      <c r="AA31" s="155" t="n">
        <f aca="false">IFERROR('Price History'!F3+(INDEX('Price History'!F:F,MATCH(9.99E+307,'Returns (Calc)'!$A:$A)+1)-'Price History'!F3)*(ROW()-3)/(MATCH(9.99E+307,'Returns (Calc)'!$A:$A)-3),"")</f>
        <v>82.5111949685535</v>
      </c>
      <c r="AB31" s="155" t="n">
        <f aca="false">IFERROR('Price History'!G3+(INDEX('Price History'!G:G,MATCH(9.99E+307,'Returns (Calc)'!$A:$A)+1)-'Price History'!G3)*(ROW()-3)/(MATCH(9.99E+307,'Returns (Calc)'!$A:$A)-3),"")</f>
        <v>70.9799371069182</v>
      </c>
      <c r="AC31" s="155" t="n">
        <f aca="false">IFERROR('Price History'!H3+(INDEX('Price History'!H:H,MATCH(9.99E+307,'Returns (Calc)'!$A:$A)+1)-'Price History'!H3)*(ROW()-3)/(MATCH(9.99E+307,'Returns (Calc)'!$A:$A)-3),"")</f>
        <v>238.147232704402</v>
      </c>
      <c r="AD31" s="155" t="n">
        <f aca="false">IFERROR('Price History'!I3+(INDEX('Price History'!I:I,MATCH(9.99E+307,'Returns (Calc)'!$A:$A)+1)-'Price History'!I3)*(ROW()-3)/(MATCH(9.99E+307,'Returns (Calc)'!$A:$A)-3),"")</f>
        <v>76.438427672956</v>
      </c>
      <c r="AE31" s="155" t="n">
        <f aca="false">IFERROR('Price History'!J3+(INDEX('Price History'!J:J,MATCH(9.99E+307,'Returns (Calc)'!$A:$A)+1)-'Price History'!J3)*(ROW()-3)/(MATCH(9.99E+307,'Returns (Calc)'!$A:$A)-3),"")</f>
        <v>114.948176100629</v>
      </c>
      <c r="AF31" s="155" t="n">
        <f aca="false">IFERROR('Price History'!K3+(INDEX('Price History'!K:K,MATCH(9.99E+307,'Returns (Calc)'!$A:$A)+1)-'Price History'!K3)*(ROW()-3)/(MATCH(9.99E+307,'Returns (Calc)'!$A:$A)-3),"")</f>
        <v>49.444213836478</v>
      </c>
      <c r="AG31" s="155" t="n">
        <f aca="false">IFERROR('Price History'!L3+(INDEX('Price History'!L:L,MATCH(9.99E+307,'Returns (Calc)'!$A:$A)+1)-'Price History'!L3)*(ROW()-3)/(MATCH(9.99E+307,'Returns (Calc)'!$A:$A)-3),"")</f>
        <v>150.477547169811</v>
      </c>
      <c r="AH31" s="155" t="n">
        <f aca="false">IFERROR('Price History'!M3+(INDEX('Price History'!M:M,MATCH(9.99E+307,'Returns (Calc)'!$A:$A)+1)-'Price History'!M3)*(ROW()-3)/(MATCH(9.99E+307,'Returns (Calc)'!$A:$A)-3),"")</f>
        <v>74.0783647798742</v>
      </c>
      <c r="AI31" s="155" t="n">
        <f aca="false">IFERROR('Price History'!N3+(INDEX('Price History'!N:N,MATCH(9.99E+307,'Returns (Calc)'!$A:$A)+1)-'Price History'!N3)*(ROW()-3)/(MATCH(9.99E+307,'Returns (Calc)'!$A:$A)-3),"")</f>
        <v>377.283899371069</v>
      </c>
      <c r="AJ31" s="155" t="n">
        <f aca="false">IFERROR('Price History'!O3+(INDEX('Price History'!O:O,MATCH(9.99E+307,'Returns (Calc)'!$A:$A)+1)-'Price History'!O3)*(ROW()-3)/(MATCH(9.99E+307,'Returns (Calc)'!$A:$A)-3),"")</f>
        <v>83.1165408805032</v>
      </c>
      <c r="AK31" s="155" t="n">
        <f aca="false">IFERROR('Price History'!Q3+(INDEX('Price History'!Q:Q,MATCH(9.99E+307,'Returns (Calc)'!$A:$A)+1)-'Price History'!Q3)*(ROW()-3)/(MATCH(9.99E+307,'Returns (Calc)'!$A:$A)-3),"")</f>
        <v>12.3217610062893</v>
      </c>
      <c r="AL31" s="155" t="n">
        <f aca="false">IFERROR('Price History'!R3+(INDEX('Price History'!R:R,MATCH(9.99E+307,'Returns (Calc)'!$A:$A)+1)-'Price History'!R3)*(ROW()-3)/(MATCH(9.99E+307,'Returns (Calc)'!$A:$A)-3),"")</f>
        <v>39.1660377358491</v>
      </c>
      <c r="AM31" s="155" t="n">
        <f aca="false">IFERROR('Price History'!S3+(INDEX('Price History'!S:S,MATCH(9.99E+307,'Returns (Calc)'!$A:$A)+1)-'Price History'!S3)*(ROW()-3)/(MATCH(9.99E+307,'Returns (Calc)'!$A:$A)-3),"")</f>
        <v>74.1006918238994</v>
      </c>
      <c r="AN31" s="155" t="n">
        <f aca="false">IFERROR('Price History'!T3+(INDEX('Price History'!T:T,MATCH(9.99E+307,'Returns (Calc)'!$A:$A)+1)-'Price History'!T3)*(ROW()-3)/(MATCH(9.99E+307,'Returns (Calc)'!$A:$A)-3),"")</f>
        <v>30.0591823899371</v>
      </c>
      <c r="AO31" s="156" t="n">
        <f aca="false">IFERROR('Price History'!V3+(INDEX('Price History'!V:V,MATCH(9.99E+307,'Returns (Calc)'!$A:$A)+1)-'Price History'!V3)*(ROW()-3)/(MATCH(9.99E+307,'Returns (Calc)'!$A:$A)-3),"")</f>
        <v>262.013396226415</v>
      </c>
      <c r="AP31" s="154" t="n">
        <f aca="false">IFERROR(IF(OR(NOT(ISNUMBER('Price History'!W32)),NOT(ISNUMBER('Price History'!W31)),'Price History'!W31=0),"",'Price History'!W32/'Price History'!W31-1),"")</f>
        <v>-0.014305898975627</v>
      </c>
      <c r="AQ31" s="154" t="str">
        <f aca="false">IFERROR(IF(OR(NOT(ISNUMBER('Price History'!X32)),NOT(ISNUMBER('Price History'!X31)),'Price History'!X31=0),"",'Price History'!X32/'Price History'!X31-1),"")</f>
        <v/>
      </c>
      <c r="AR31" s="154" t="n">
        <f aca="false">IFERROR(IF(OR(NOT(ISNUMBER('Price History'!Y32)),NOT(ISNUMBER('Price History'!Y31)),'Price History'!Y31=0),"",'Price History'!Y32/'Price History'!Y31-1),"")</f>
        <v>-0.00763844684914061</v>
      </c>
      <c r="AS31" s="154" t="n">
        <f aca="false">IFERROR(IF(OR(NOT(ISNUMBER('Price History'!Z32)),NOT(ISNUMBER('Price History'!Z31)),'Price History'!Z31=0),"",'Price History'!Z32/'Price History'!Z31-1),"")</f>
        <v>0.115747460087083</v>
      </c>
      <c r="AT31" s="154" t="n">
        <f aca="false">IFERROR(IF(OR(NOT(ISNUMBER('Price History'!AA32)),NOT(ISNUMBER('Price History'!AA31)),'Price History'!AA31=0),"",'Price History'!AA32/'Price History'!AA31-1),"")</f>
        <v>0.0475876831878808</v>
      </c>
      <c r="AU31" s="154" t="n">
        <f aca="false">IFERROR(IF(OR(NOT(ISNUMBER('Price History'!AB32)),NOT(ISNUMBER('Price History'!AB31)),'Price History'!AB31=0),"",'Price History'!AB32/'Price History'!AB31-1),"")</f>
        <v>-0.0732012603047175</v>
      </c>
    </row>
    <row r="32" customFormat="false" ht="15" hidden="false" customHeight="true" outlineLevel="0" collapsed="false">
      <c r="A32" s="152" t="n">
        <f aca="false">IF('Price History'!A33="","",'Price History'!A33)</f>
        <v>45394</v>
      </c>
      <c r="B32" s="153" t="n">
        <f aca="false">IFERROR(IF(OR(NOT(ISNUMBER('Price History'!B33)),NOT(ISNUMBER('Price History'!B32)),'Price History'!B32=0),"",'Price History'!B33/'Price History'!B32-1),"")</f>
        <v>-0.0227366424802111</v>
      </c>
      <c r="C32" s="153" t="n">
        <f aca="false">IFERROR(IF(OR(NOT(ISNUMBER('Price History'!C33)),NOT(ISNUMBER('Price History'!C32)),'Price History'!C32=0),"",'Price History'!C33/'Price History'!C32-1),"")</f>
        <v>-0.0885752688172043</v>
      </c>
      <c r="D32" s="153" t="n">
        <f aca="false">IFERROR(IF(OR(NOT(ISNUMBER('Price History'!D33)),NOT(ISNUMBER('Price History'!D32)),'Price History'!D32=0),"",'Price History'!D33/'Price History'!D32-1),"")</f>
        <v>-0.01807988495566</v>
      </c>
      <c r="E32" s="153" t="n">
        <f aca="false">IFERROR(IF(OR(NOT(ISNUMBER('Price History'!E33)),NOT(ISNUMBER('Price History'!E32)),'Price History'!E32=0),"",'Price History'!E33/'Price History'!E32-1),"")</f>
        <v>0.00343984100290484</v>
      </c>
      <c r="F32" s="153" t="n">
        <f aca="false">IFERROR(IF(OR(NOT(ISNUMBER('Price History'!F33)),NOT(ISNUMBER('Price History'!F32)),'Price History'!F32=0),"",'Price History'!F33/'Price History'!F32-1),"")</f>
        <v>-0.0205375253549694</v>
      </c>
      <c r="G32" s="153" t="n">
        <f aca="false">IFERROR(IF(OR(NOT(ISNUMBER('Price History'!G33)),NOT(ISNUMBER('Price History'!G32)),'Price History'!G32=0),"",'Price History'!G33/'Price History'!G32-1),"")</f>
        <v>-0.00298462915982689</v>
      </c>
      <c r="H32" s="153" t="n">
        <f aca="false">IFERROR(IF(OR(NOT(ISNUMBER('Price History'!H33)),NOT(ISNUMBER('Price History'!H32)),'Price History'!H32=0),"",'Price History'!H33/'Price History'!H32-1),"")</f>
        <v>-0.00855745721271395</v>
      </c>
      <c r="I32" s="153" t="n">
        <f aca="false">IFERROR(IF(OR(NOT(ISNUMBER('Price History'!I33)),NOT(ISNUMBER('Price History'!I32)),'Price History'!I32=0),"",'Price History'!I33/'Price History'!I32-1),"")</f>
        <v>0.00205104831358249</v>
      </c>
      <c r="J32" s="153" t="n">
        <f aca="false">IFERROR(IF(OR(NOT(ISNUMBER('Price History'!J33)),NOT(ISNUMBER('Price History'!J32)),'Price History'!J32=0),"",'Price History'!J33/'Price History'!J32-1),"")</f>
        <v>-0.0459850200313533</v>
      </c>
      <c r="K32" s="153" t="n">
        <f aca="false">IFERROR(IF(OR(NOT(ISNUMBER('Price History'!K33)),NOT(ISNUMBER('Price History'!K32)),'Price History'!K32=0),"",'Price History'!K33/'Price History'!K32-1),"")</f>
        <v>-0.0126306620209059</v>
      </c>
      <c r="L32" s="153" t="n">
        <f aca="false">IFERROR(IF(OR(NOT(ISNUMBER('Price History'!L33)),NOT(ISNUMBER('Price History'!L32)),'Price History'!L32=0),"",'Price History'!L33/'Price History'!L32-1),"")</f>
        <v>0.00824757316984148</v>
      </c>
      <c r="M32" s="153" t="n">
        <f aca="false">IFERROR(IF(OR(NOT(ISNUMBER('Price History'!M33)),NOT(ISNUMBER('Price History'!M32)),'Price History'!M32=0),"",'Price History'!M33/'Price History'!M32-1),"")</f>
        <v>-0.0170407803502175</v>
      </c>
      <c r="N32" s="153" t="n">
        <f aca="false">IFERROR(IF(OR(NOT(ISNUMBER('Price History'!N33)),NOT(ISNUMBER('Price History'!N32)),'Price History'!N32=0),"",'Price History'!N33/'Price History'!N32-1),"")</f>
        <v>-0.0248850419258858</v>
      </c>
      <c r="O32" s="153" t="n">
        <f aca="false">IFERROR(IF(OR(NOT(ISNUMBER('Price History'!O33)),NOT(ISNUMBER('Price History'!O32)),'Price History'!O32=0),"",'Price History'!O33/'Price History'!O32-1),"")</f>
        <v>-0.0308599954617653</v>
      </c>
      <c r="P32" s="153" t="n">
        <f aca="false">IFERROR(IF(OR(NOT(ISNUMBER('Price History'!P33)),NOT(ISNUMBER('Price History'!P32)),'Price History'!P32=0),"",'Price History'!P33/'Price History'!P32-1),"")</f>
        <v>-0.0285765961294989</v>
      </c>
      <c r="Q32" s="153" t="n">
        <f aca="false">IFERROR(IF(OR(NOT(ISNUMBER('Price History'!Q33)),NOT(ISNUMBER('Price History'!Q32)),'Price History'!Q32=0),"",'Price History'!Q33/'Price History'!Q32-1),"")</f>
        <v>-0.00637871332239826</v>
      </c>
      <c r="R32" s="153" t="n">
        <f aca="false">IFERROR(IF(OR(NOT(ISNUMBER('Price History'!R33)),NOT(ISNUMBER('Price History'!R32)),'Price History'!R32=0),"",'Price History'!R33/'Price History'!R32-1),"")</f>
        <v>-0.00345337937839174</v>
      </c>
      <c r="S32" s="153" t="n">
        <f aca="false">IFERROR(IF(OR(NOT(ISNUMBER('Price History'!S33)),NOT(ISNUMBER('Price History'!S32)),'Price History'!S32=0),"",'Price History'!S33/'Price History'!S32-1),"")</f>
        <v>-0.0140399696433089</v>
      </c>
      <c r="T32" s="153" t="n">
        <f aca="false">IFERROR(IF(OR(NOT(ISNUMBER('Price History'!T33)),NOT(ISNUMBER('Price History'!T32)),'Price History'!T32=0),"",'Price History'!T33/'Price History'!T32-1),"")</f>
        <v>-0.0256245996156309</v>
      </c>
      <c r="U32" s="153" t="n">
        <f aca="false">IFERROR(IF(OR(NOT(ISNUMBER('Price History'!U33)),NOT(ISNUMBER('Price History'!U32)),'Price History'!U32=0),"",'Price History'!U33/'Price History'!U32-1),"")</f>
        <v>-0.0278818143986684</v>
      </c>
      <c r="V32" s="154" t="n">
        <f aca="false">IFERROR(IF(OR(NOT(ISNUMBER('Price History'!V33)),NOT(ISNUMBER('Price History'!V32)),'Price History'!V32=0),"",'Price History'!V33/'Price History'!V32-1),"")</f>
        <v>-0.00422840754494991</v>
      </c>
      <c r="W32" s="155" t="n">
        <f aca="false">IFERROR('Price History'!B3+(INDEX('Price History'!B:B,MATCH(9.99E+307,'Returns (Calc)'!$A:$A)+1)-'Price History'!B3)*(ROW()-3)/(MATCH(9.99E+307,'Returns (Calc)'!$A:$A)-3),"")</f>
        <v>476.613396226415</v>
      </c>
      <c r="X32" s="155" t="n">
        <f aca="false">IFERROR('Price History'!C3+(INDEX('Price History'!C:C,MATCH(9.99E+307,'Returns (Calc)'!$A:$A)+1)-'Price History'!C3)*(ROW()-3)/(MATCH(9.99E+307,'Returns (Calc)'!$A:$A)-3),"")</f>
        <v>77.288427672956</v>
      </c>
      <c r="Y32" s="155" t="n">
        <f aca="false">IFERROR('Price History'!D3+(INDEX('Price History'!D:D,MATCH(9.99E+307,'Returns (Calc)'!$A:$A)+1)-'Price History'!D3)*(ROW()-3)/(MATCH(9.99E+307,'Returns (Calc)'!$A:$A)-3),"")</f>
        <v>800.573333333333</v>
      </c>
      <c r="Z32" s="155" t="n">
        <f aca="false">IFERROR('Price History'!E3+(INDEX('Price History'!E:E,MATCH(9.99E+307,'Returns (Calc)'!$A:$A)+1)-'Price History'!E3)*(ROW()-3)/(MATCH(9.99E+307,'Returns (Calc)'!$A:$A)-3),"")</f>
        <v>132.985283018868</v>
      </c>
      <c r="AA32" s="155" t="n">
        <f aca="false">IFERROR('Price History'!F3+(INDEX('Price History'!F:F,MATCH(9.99E+307,'Returns (Calc)'!$A:$A)+1)-'Price History'!F3)*(ROW()-3)/(MATCH(9.99E+307,'Returns (Calc)'!$A:$A)-3),"")</f>
        <v>83.9808805031447</v>
      </c>
      <c r="AB32" s="155" t="n">
        <f aca="false">IFERROR('Price History'!G3+(INDEX('Price History'!G:G,MATCH(9.99E+307,'Returns (Calc)'!$A:$A)+1)-'Price History'!G3)*(ROW()-3)/(MATCH(9.99E+307,'Returns (Calc)'!$A:$A)-3),"")</f>
        <v>71.9310062893082</v>
      </c>
      <c r="AC32" s="155" t="n">
        <f aca="false">IFERROR('Price History'!H3+(INDEX('Price History'!H:H,MATCH(9.99E+307,'Returns (Calc)'!$A:$A)+1)-'Price History'!H3)*(ROW()-3)/(MATCH(9.99E+307,'Returns (Calc)'!$A:$A)-3),"")</f>
        <v>244.18427672956</v>
      </c>
      <c r="AD32" s="155" t="n">
        <f aca="false">IFERROR('Price History'!I3+(INDEX('Price History'!I:I,MATCH(9.99E+307,'Returns (Calc)'!$A:$A)+1)-'Price History'!I3)*(ROW()-3)/(MATCH(9.99E+307,'Returns (Calc)'!$A:$A)-3),"")</f>
        <v>77.6051572327044</v>
      </c>
      <c r="AE32" s="155" t="n">
        <f aca="false">IFERROR('Price History'!J3+(INDEX('Price History'!J:J,MATCH(9.99E+307,'Returns (Calc)'!$A:$A)+1)-'Price History'!J3)*(ROW()-3)/(MATCH(9.99E+307,'Returns (Calc)'!$A:$A)-3),"")</f>
        <v>115.059182389937</v>
      </c>
      <c r="AF32" s="155" t="n">
        <f aca="false">IFERROR('Price History'!K3+(INDEX('Price History'!K:K,MATCH(9.99E+307,'Returns (Calc)'!$A:$A)+1)-'Price History'!K3)*(ROW()-3)/(MATCH(9.99E+307,'Returns (Calc)'!$A:$A)-3),"")</f>
        <v>50.6625786163522</v>
      </c>
      <c r="AG32" s="155" t="n">
        <f aca="false">IFERROR('Price History'!L3+(INDEX('Price History'!L:L,MATCH(9.99E+307,'Returns (Calc)'!$A:$A)+1)-'Price History'!L3)*(ROW()-3)/(MATCH(9.99E+307,'Returns (Calc)'!$A:$A)-3),"")</f>
        <v>152.789245283019</v>
      </c>
      <c r="AH32" s="155" t="n">
        <f aca="false">IFERROR('Price History'!M3+(INDEX('Price History'!M:M,MATCH(9.99E+307,'Returns (Calc)'!$A:$A)+1)-'Price History'!M3)*(ROW()-3)/(MATCH(9.99E+307,'Returns (Calc)'!$A:$A)-3),"")</f>
        <v>75.3661635220126</v>
      </c>
      <c r="AI32" s="155" t="n">
        <f aca="false">IFERROR('Price History'!N3+(INDEX('Price History'!N:N,MATCH(9.99E+307,'Returns (Calc)'!$A:$A)+1)-'Price History'!N3)*(ROW()-3)/(MATCH(9.99E+307,'Returns (Calc)'!$A:$A)-3),"")</f>
        <v>378.297610062893</v>
      </c>
      <c r="AJ32" s="155" t="n">
        <f aca="false">IFERROR('Price History'!O3+(INDEX('Price History'!O:O,MATCH(9.99E+307,'Returns (Calc)'!$A:$A)+1)-'Price History'!O3)*(ROW()-3)/(MATCH(9.99E+307,'Returns (Calc)'!$A:$A)-3),"")</f>
        <v>83.3953459119497</v>
      </c>
      <c r="AK32" s="155" t="n">
        <f aca="false">IFERROR('Price History'!Q3+(INDEX('Price History'!Q:Q,MATCH(9.99E+307,'Returns (Calc)'!$A:$A)+1)-'Price History'!Q3)*(ROW()-3)/(MATCH(9.99E+307,'Returns (Calc)'!$A:$A)-3),"")</f>
        <v>12.7618238993711</v>
      </c>
      <c r="AL32" s="155" t="n">
        <f aca="false">IFERROR('Price History'!R3+(INDEX('Price History'!R:R,MATCH(9.99E+307,'Returns (Calc)'!$A:$A)+1)-'Price History'!R3)*(ROW()-3)/(MATCH(9.99E+307,'Returns (Calc)'!$A:$A)-3),"")</f>
        <v>39.3333962264151</v>
      </c>
      <c r="AM32" s="155" t="n">
        <f aca="false">IFERROR('Price History'!S3+(INDEX('Price History'!S:S,MATCH(9.99E+307,'Returns (Calc)'!$A:$A)+1)-'Price History'!S3)*(ROW()-3)/(MATCH(9.99E+307,'Returns (Calc)'!$A:$A)-3),"")</f>
        <v>74.6889308176101</v>
      </c>
      <c r="AN32" s="155" t="n">
        <f aca="false">IFERROR('Price History'!T3+(INDEX('Price History'!T:T,MATCH(9.99E+307,'Returns (Calc)'!$A:$A)+1)-'Price History'!T3)*(ROW()-3)/(MATCH(9.99E+307,'Returns (Calc)'!$A:$A)-3),"")</f>
        <v>30.2330817610063</v>
      </c>
      <c r="AO32" s="156" t="n">
        <f aca="false">IFERROR('Price History'!V3+(INDEX('Price History'!V:V,MATCH(9.99E+307,'Returns (Calc)'!$A:$A)+1)-'Price History'!V3)*(ROW()-3)/(MATCH(9.99E+307,'Returns (Calc)'!$A:$A)-3),"")</f>
        <v>262.955660377358</v>
      </c>
      <c r="AP32" s="154" t="n">
        <f aca="false">IFERROR(IF(OR(NOT(ISNUMBER('Price History'!W33)),NOT(ISNUMBER('Price History'!W32)),'Price History'!W32=0),"",'Price History'!W33/'Price History'!W32-1),"")</f>
        <v>-0.0265185450636087</v>
      </c>
      <c r="AQ32" s="154" t="str">
        <f aca="false">IFERROR(IF(OR(NOT(ISNUMBER('Price History'!X33)),NOT(ISNUMBER('Price History'!X32)),'Price History'!X32=0),"",'Price History'!X33/'Price History'!X32-1),"")</f>
        <v/>
      </c>
      <c r="AR32" s="154" t="n">
        <f aca="false">IFERROR(IF(OR(NOT(ISNUMBER('Price History'!Y33)),NOT(ISNUMBER('Price History'!Y32)),'Price History'!Y32=0),"",'Price History'!Y33/'Price History'!Y32-1),"")</f>
        <v>-0.0153944836433613</v>
      </c>
      <c r="AS32" s="154" t="n">
        <f aca="false">IFERROR(IF(OR(NOT(ISNUMBER('Price History'!Z33)),NOT(ISNUMBER('Price History'!Z32)),'Price History'!Z32=0),"",'Price History'!Z33/'Price History'!Z32-1),"")</f>
        <v>-0.00897560975609757</v>
      </c>
      <c r="AT32" s="154" t="n">
        <f aca="false">IFERROR(IF(OR(NOT(ISNUMBER('Price History'!AA33)),NOT(ISNUMBER('Price History'!AA32)),'Price History'!AA32=0),"",'Price History'!AA33/'Price History'!AA32-1),"")</f>
        <v>-0.0210625589437283</v>
      </c>
      <c r="AU32" s="154" t="n">
        <f aca="false">IFERROR(IF(OR(NOT(ISNUMBER('Price History'!AB33)),NOT(ISNUMBER('Price History'!AB32)),'Price History'!AB32=0),"",'Price History'!AB33/'Price History'!AB32-1),"")</f>
        <v>-0.0372095189307502</v>
      </c>
    </row>
    <row r="33" customFormat="false" ht="15" hidden="false" customHeight="true" outlineLevel="0" collapsed="false">
      <c r="A33" s="152" t="n">
        <f aca="false">IF('Price History'!A34="","",'Price History'!A34)</f>
        <v>45401</v>
      </c>
      <c r="B33" s="153" t="n">
        <f aca="false">IFERROR(IF(OR(NOT(ISNUMBER('Price History'!B34)),NOT(ISNUMBER('Price History'!B33)),'Price History'!B33=0),"",'Price History'!B34/'Price History'!B33-1),"")</f>
        <v>-0.0191313885549157</v>
      </c>
      <c r="C33" s="153" t="n">
        <f aca="false">IFERROR(IF(OR(NOT(ISNUMBER('Price History'!C34)),NOT(ISNUMBER('Price History'!C33)),'Price History'!C33=0),"",'Price History'!C34/'Price History'!C33-1),"")</f>
        <v>-0.0927591800619377</v>
      </c>
      <c r="D33" s="153" t="n">
        <f aca="false">IFERROR(IF(OR(NOT(ISNUMBER('Price History'!D34)),NOT(ISNUMBER('Price History'!D33)),'Price History'!D33=0),"",'Price History'!D34/'Price History'!D33-1),"")</f>
        <v>-0.106359044020886</v>
      </c>
      <c r="E33" s="153" t="n">
        <f aca="false">IFERROR(IF(OR(NOT(ISNUMBER('Price History'!E34)),NOT(ISNUMBER('Price History'!E33)),'Price History'!E33=0),"",'Price History'!E34/'Price History'!E33-1),"")</f>
        <v>-0.103679439323532</v>
      </c>
      <c r="F33" s="153" t="n">
        <f aca="false">IFERROR(IF(OR(NOT(ISNUMBER('Price History'!F34)),NOT(ISNUMBER('Price History'!F33)),'Price History'!F33=0),"",'Price History'!F34/'Price History'!F33-1),"")</f>
        <v>-0.0854258348433861</v>
      </c>
      <c r="G33" s="153" t="n">
        <f aca="false">IFERROR(IF(OR(NOT(ISNUMBER('Price History'!G34)),NOT(ISNUMBER('Price History'!G33)),'Price History'!G33=0),"",'Price History'!G34/'Price History'!G33-1),"")</f>
        <v>-0.0773836252058076</v>
      </c>
      <c r="H33" s="153" t="n">
        <f aca="false">IFERROR(IF(OR(NOT(ISNUMBER('Price History'!H34)),NOT(ISNUMBER('Price History'!H33)),'Price History'!H33=0),"",'Price History'!H34/'Price History'!H33-1),"")</f>
        <v>-0.128565556925606</v>
      </c>
      <c r="I33" s="153" t="n">
        <f aca="false">IFERROR(IF(OR(NOT(ISNUMBER('Price History'!I34)),NOT(ISNUMBER('Price History'!I33)),'Price History'!I33=0),"",'Price History'!I34/'Price History'!I33-1),"")</f>
        <v>-0.136001819422333</v>
      </c>
      <c r="J33" s="153" t="n">
        <f aca="false">IFERROR(IF(OR(NOT(ISNUMBER('Price History'!J34)),NOT(ISNUMBER('Price History'!J33)),'Price History'!J33=0),"",'Price History'!J34/'Price History'!J33-1),"")</f>
        <v>-0.130363337593573</v>
      </c>
      <c r="K33" s="153" t="n">
        <f aca="false">IFERROR(IF(OR(NOT(ISNUMBER('Price History'!K34)),NOT(ISNUMBER('Price History'!K33)),'Price History'!K33=0),"",'Price History'!K34/'Price History'!K33-1),"")</f>
        <v>-0.0970445522717248</v>
      </c>
      <c r="L33" s="153" t="n">
        <f aca="false">IFERROR(IF(OR(NOT(ISNUMBER('Price History'!L34)),NOT(ISNUMBER('Price History'!L33)),'Price History'!L33=0),"",'Price History'!L34/'Price History'!L33-1),"")</f>
        <v>-0.104024902273056</v>
      </c>
      <c r="M33" s="153" t="n">
        <f aca="false">IFERROR(IF(OR(NOT(ISNUMBER('Price History'!M34)),NOT(ISNUMBER('Price History'!M33)),'Price History'!M33=0),"",'Price History'!M34/'Price History'!M33-1),"")</f>
        <v>-0.105810616929699</v>
      </c>
      <c r="N33" s="153" t="n">
        <f aca="false">IFERROR(IF(OR(NOT(ISNUMBER('Price History'!N34)),NOT(ISNUMBER('Price History'!N33)),'Price History'!N33=0),"",'Price History'!N34/'Price History'!N33-1),"")</f>
        <v>-0.00572437271466408</v>
      </c>
      <c r="O33" s="153" t="n">
        <f aca="false">IFERROR(IF(OR(NOT(ISNUMBER('Price History'!O34)),NOT(ISNUMBER('Price History'!O33)),'Price History'!O33=0),"",'Price History'!O34/'Price History'!O33-1),"")</f>
        <v>-0.00901428236946844</v>
      </c>
      <c r="P33" s="153" t="n">
        <f aca="false">IFERROR(IF(OR(NOT(ISNUMBER('Price History'!P34)),NOT(ISNUMBER('Price History'!P33)),'Price History'!P33=0),"",'Price History'!P34/'Price History'!P33-1),"")</f>
        <v>0.00986780860175007</v>
      </c>
      <c r="Q33" s="153" t="n">
        <f aca="false">IFERROR(IF(OR(NOT(ISNUMBER('Price History'!Q34)),NOT(ISNUMBER('Price History'!Q33)),'Price History'!Q33=0),"",'Price History'!Q34/'Price History'!Q33-1),"")</f>
        <v>-0.0194424064563463</v>
      </c>
      <c r="R33" s="153" t="n">
        <f aca="false">IFERROR(IF(OR(NOT(ISNUMBER('Price History'!R34)),NOT(ISNUMBER('Price History'!R33)),'Price History'!R33=0),"",'Price History'!R34/'Price History'!R33-1),"")</f>
        <v>-0.048019801980198</v>
      </c>
      <c r="S33" s="153" t="n">
        <f aca="false">IFERROR(IF(OR(NOT(ISNUMBER('Price History'!S34)),NOT(ISNUMBER('Price History'!S33)),'Price History'!S33=0),"",'Price History'!S34/'Price History'!S33-1),"")</f>
        <v>-0.0568313021167416</v>
      </c>
      <c r="T33" s="153" t="n">
        <f aca="false">IFERROR(IF(OR(NOT(ISNUMBER('Price History'!T34)),NOT(ISNUMBER('Price History'!T33)),'Price History'!T33=0),"",'Price History'!T34/'Price History'!T33-1),"")</f>
        <v>-0.0177514792899409</v>
      </c>
      <c r="U33" s="153" t="n">
        <f aca="false">IFERROR(IF(OR(NOT(ISNUMBER('Price History'!U34)),NOT(ISNUMBER('Price History'!U33)),'Price History'!U33=0),"",'Price History'!U34/'Price History'!U33-1),"")</f>
        <v>-0.00171232876712324</v>
      </c>
      <c r="V33" s="154" t="n">
        <f aca="false">IFERROR(IF(OR(NOT(ISNUMBER('Price History'!V34)),NOT(ISNUMBER('Price History'!V33)),'Price History'!V33=0),"",'Price History'!V34/'Price History'!V33-1),"")</f>
        <v>-0.0224134111217783</v>
      </c>
      <c r="W33" s="155" t="n">
        <f aca="false">IFERROR('Price History'!B3+(INDEX('Price History'!B:B,MATCH(9.99E+307,'Returns (Calc)'!$A:$A)+1)-'Price History'!B3)*(ROW()-3)/(MATCH(9.99E+307,'Returns (Calc)'!$A:$A)-3),"")</f>
        <v>474.810754716981</v>
      </c>
      <c r="X33" s="155" t="n">
        <f aca="false">IFERROR('Price History'!C3+(INDEX('Price History'!C:C,MATCH(9.99E+307,'Returns (Calc)'!$A:$A)+1)-'Price History'!C3)*(ROW()-3)/(MATCH(9.99E+307,'Returns (Calc)'!$A:$A)-3),"")</f>
        <v>78.3611320754717</v>
      </c>
      <c r="Y33" s="155" t="n">
        <f aca="false">IFERROR('Price History'!D3+(INDEX('Price History'!D:D,MATCH(9.99E+307,'Returns (Calc)'!$A:$A)+1)-'Price History'!D3)*(ROW()-3)/(MATCH(9.99E+307,'Returns (Calc)'!$A:$A)-3),"")</f>
        <v>808.11</v>
      </c>
      <c r="Z33" s="155" t="n">
        <f aca="false">IFERROR('Price History'!E3+(INDEX('Price History'!E:E,MATCH(9.99E+307,'Returns (Calc)'!$A:$A)+1)-'Price History'!E3)*(ROW()-3)/(MATCH(9.99E+307,'Returns (Calc)'!$A:$A)-3),"")</f>
        <v>134.743396226415</v>
      </c>
      <c r="AA33" s="155" t="n">
        <f aca="false">IFERROR('Price History'!F3+(INDEX('Price History'!F:F,MATCH(9.99E+307,'Returns (Calc)'!$A:$A)+1)-'Price History'!F3)*(ROW()-3)/(MATCH(9.99E+307,'Returns (Calc)'!$A:$A)-3),"")</f>
        <v>85.4505660377359</v>
      </c>
      <c r="AB33" s="155" t="n">
        <f aca="false">IFERROR('Price History'!G3+(INDEX('Price History'!G:G,MATCH(9.99E+307,'Returns (Calc)'!$A:$A)+1)-'Price History'!G3)*(ROW()-3)/(MATCH(9.99E+307,'Returns (Calc)'!$A:$A)-3),"")</f>
        <v>72.8820754716981</v>
      </c>
      <c r="AC33" s="155" t="n">
        <f aca="false">IFERROR('Price History'!H3+(INDEX('Price History'!H:H,MATCH(9.99E+307,'Returns (Calc)'!$A:$A)+1)-'Price History'!H3)*(ROW()-3)/(MATCH(9.99E+307,'Returns (Calc)'!$A:$A)-3),"")</f>
        <v>250.221320754717</v>
      </c>
      <c r="AD33" s="155" t="n">
        <f aca="false">IFERROR('Price History'!I3+(INDEX('Price History'!I:I,MATCH(9.99E+307,'Returns (Calc)'!$A:$A)+1)-'Price History'!I3)*(ROW()-3)/(MATCH(9.99E+307,'Returns (Calc)'!$A:$A)-3),"")</f>
        <v>78.7718867924528</v>
      </c>
      <c r="AE33" s="155" t="n">
        <f aca="false">IFERROR('Price History'!J3+(INDEX('Price History'!J:J,MATCH(9.99E+307,'Returns (Calc)'!$A:$A)+1)-'Price History'!J3)*(ROW()-3)/(MATCH(9.99E+307,'Returns (Calc)'!$A:$A)-3),"")</f>
        <v>115.170188679245</v>
      </c>
      <c r="AF33" s="155" t="n">
        <f aca="false">IFERROR('Price History'!K3+(INDEX('Price History'!K:K,MATCH(9.99E+307,'Returns (Calc)'!$A:$A)+1)-'Price History'!K3)*(ROW()-3)/(MATCH(9.99E+307,'Returns (Calc)'!$A:$A)-3),"")</f>
        <v>51.8809433962264</v>
      </c>
      <c r="AG33" s="155" t="n">
        <f aca="false">IFERROR('Price History'!L3+(INDEX('Price History'!L:L,MATCH(9.99E+307,'Returns (Calc)'!$A:$A)+1)-'Price History'!L3)*(ROW()-3)/(MATCH(9.99E+307,'Returns (Calc)'!$A:$A)-3),"")</f>
        <v>155.100943396226</v>
      </c>
      <c r="AH33" s="155" t="n">
        <f aca="false">IFERROR('Price History'!M3+(INDEX('Price History'!M:M,MATCH(9.99E+307,'Returns (Calc)'!$A:$A)+1)-'Price History'!M3)*(ROW()-3)/(MATCH(9.99E+307,'Returns (Calc)'!$A:$A)-3),"")</f>
        <v>76.653962264151</v>
      </c>
      <c r="AI33" s="155" t="n">
        <f aca="false">IFERROR('Price History'!N3+(INDEX('Price History'!N:N,MATCH(9.99E+307,'Returns (Calc)'!$A:$A)+1)-'Price History'!N3)*(ROW()-3)/(MATCH(9.99E+307,'Returns (Calc)'!$A:$A)-3),"")</f>
        <v>379.311320754717</v>
      </c>
      <c r="AJ33" s="155" t="n">
        <f aca="false">IFERROR('Price History'!O3+(INDEX('Price History'!O:O,MATCH(9.99E+307,'Returns (Calc)'!$A:$A)+1)-'Price History'!O3)*(ROW()-3)/(MATCH(9.99E+307,'Returns (Calc)'!$A:$A)-3),"")</f>
        <v>83.6741509433962</v>
      </c>
      <c r="AK33" s="155" t="n">
        <f aca="false">IFERROR('Price History'!Q3+(INDEX('Price History'!Q:Q,MATCH(9.99E+307,'Returns (Calc)'!$A:$A)+1)-'Price History'!Q3)*(ROW()-3)/(MATCH(9.99E+307,'Returns (Calc)'!$A:$A)-3),"")</f>
        <v>13.2018867924528</v>
      </c>
      <c r="AL33" s="155" t="n">
        <f aca="false">IFERROR('Price History'!R3+(INDEX('Price History'!R:R,MATCH(9.99E+307,'Returns (Calc)'!$A:$A)+1)-'Price History'!R3)*(ROW()-3)/(MATCH(9.99E+307,'Returns (Calc)'!$A:$A)-3),"")</f>
        <v>39.5007547169811</v>
      </c>
      <c r="AM33" s="155" t="n">
        <f aca="false">IFERROR('Price History'!S3+(INDEX('Price History'!S:S,MATCH(9.99E+307,'Returns (Calc)'!$A:$A)+1)-'Price History'!S3)*(ROW()-3)/(MATCH(9.99E+307,'Returns (Calc)'!$A:$A)-3),"")</f>
        <v>75.2771698113208</v>
      </c>
      <c r="AN33" s="155" t="n">
        <f aca="false">IFERROR('Price History'!T3+(INDEX('Price History'!T:T,MATCH(9.99E+307,'Returns (Calc)'!$A:$A)+1)-'Price History'!T3)*(ROW()-3)/(MATCH(9.99E+307,'Returns (Calc)'!$A:$A)-3),"")</f>
        <v>30.4069811320755</v>
      </c>
      <c r="AO33" s="156" t="n">
        <f aca="false">IFERROR('Price History'!V3+(INDEX('Price History'!V:V,MATCH(9.99E+307,'Returns (Calc)'!$A:$A)+1)-'Price History'!V3)*(ROW()-3)/(MATCH(9.99E+307,'Returns (Calc)'!$A:$A)-3),"")</f>
        <v>263.897924528302</v>
      </c>
      <c r="AP33" s="154" t="n">
        <f aca="false">IFERROR(IF(OR(NOT(ISNUMBER('Price History'!W34)),NOT(ISNUMBER('Price History'!W33)),'Price History'!W33=0),"",'Price History'!W34/'Price History'!W33-1),"")</f>
        <v>-0.00138045278851451</v>
      </c>
      <c r="AQ33" s="154" t="str">
        <f aca="false">IFERROR(IF(OR(NOT(ISNUMBER('Price History'!X34)),NOT(ISNUMBER('Price History'!X33)),'Price History'!X33=0),"",'Price History'!X34/'Price History'!X33-1),"")</f>
        <v/>
      </c>
      <c r="AR33" s="154" t="n">
        <f aca="false">IFERROR(IF(OR(NOT(ISNUMBER('Price History'!Y34)),NOT(ISNUMBER('Price History'!Y33)),'Price History'!Y33=0),"",'Price History'!Y34/'Price History'!Y33-1),"")</f>
        <v>-0.0132464712269272</v>
      </c>
      <c r="AS33" s="154" t="n">
        <f aca="false">IFERROR(IF(OR(NOT(ISNUMBER('Price History'!Z34)),NOT(ISNUMBER('Price History'!Z33)),'Price History'!Z33=0),"",'Price History'!Z34/'Price History'!Z33-1),"")</f>
        <v>-0.0424624269869397</v>
      </c>
      <c r="AT33" s="154" t="n">
        <f aca="false">IFERROR(IF(OR(NOT(ISNUMBER('Price History'!AA34)),NOT(ISNUMBER('Price History'!AA33)),'Price History'!AA33=0),"",'Price History'!AA34/'Price History'!AA33-1),"")</f>
        <v>-0.108863198458574</v>
      </c>
      <c r="AU33" s="154" t="n">
        <f aca="false">IFERROR(IF(OR(NOT(ISNUMBER('Price History'!AB34)),NOT(ISNUMBER('Price History'!AB33)),'Price History'!AB33=0),"",'Price History'!AB34/'Price History'!AB33-1),"")</f>
        <v>-0.0404372641965755</v>
      </c>
    </row>
    <row r="34" customFormat="false" ht="15" hidden="false" customHeight="true" outlineLevel="0" collapsed="false">
      <c r="A34" s="152" t="n">
        <f aca="false">IF('Price History'!A35="","",'Price History'!A35)</f>
        <v>45408</v>
      </c>
      <c r="B34" s="153" t="n">
        <f aca="false">IFERROR(IF(OR(NOT(ISNUMBER('Price History'!B35)),NOT(ISNUMBER('Price History'!B34)),'Price History'!B34=0),"",'Price History'!B35/'Price History'!B34-1),"")</f>
        <v>0.0269665820824911</v>
      </c>
      <c r="C34" s="153" t="n">
        <f aca="false">IFERROR(IF(OR(NOT(ISNUMBER('Price History'!C35)),NOT(ISNUMBER('Price History'!C34)),'Price History'!C34=0),"",'Price History'!C35/'Price History'!C34-1),"")</f>
        <v>0.0757477243172953</v>
      </c>
      <c r="D34" s="153" t="n">
        <f aca="false">IFERROR(IF(OR(NOT(ISNUMBER('Price History'!D35)),NOT(ISNUMBER('Price History'!D34)),'Price History'!D34=0),"",'Price History'!D35/'Price History'!D34-1),"")</f>
        <v>0.0713607106381968</v>
      </c>
      <c r="E34" s="153" t="n">
        <f aca="false">IFERROR(IF(OR(NOT(ISNUMBER('Price History'!E35)),NOT(ISNUMBER('Price History'!E34)),'Price History'!E34=0),"",'Price History'!E35/'Price History'!E34-1),"")</f>
        <v>0.115672276049635</v>
      </c>
      <c r="F34" s="153" t="n">
        <f aca="false">IFERROR(IF(OR(NOT(ISNUMBER('Price History'!F35)),NOT(ISNUMBER('Price History'!F34)),'Price History'!F34=0),"",'Price History'!F35/'Price History'!F34-1),"")</f>
        <v>0.0758562128502689</v>
      </c>
      <c r="G34" s="153" t="n">
        <f aca="false">IFERROR(IF(OR(NOT(ISNUMBER('Price History'!G35)),NOT(ISNUMBER('Price History'!G34)),'Price History'!G34=0),"",'Price History'!G35/'Price History'!G34-1),"")</f>
        <v>0.124432186891629</v>
      </c>
      <c r="H34" s="153" t="n">
        <f aca="false">IFERROR(IF(OR(NOT(ISNUMBER('Price History'!H35)),NOT(ISNUMBER('Price History'!H34)),'Price History'!H34=0),"",'Price History'!H35/'Price History'!H34-1),"")</f>
        <v>0.0755589095368361</v>
      </c>
      <c r="I34" s="153" t="n">
        <f aca="false">IFERROR(IF(OR(NOT(ISNUMBER('Price History'!I35)),NOT(ISNUMBER('Price History'!I34)),'Price History'!I34=0),"",'Price History'!I35/'Price History'!I34-1),"")</f>
        <v>0.151487233482495</v>
      </c>
      <c r="J34" s="153" t="n">
        <f aca="false">IFERROR(IF(OR(NOT(ISNUMBER('Price History'!J35)),NOT(ISNUMBER('Price History'!J34)),'Price History'!J34=0),"",'Price History'!J35/'Price History'!J34-1),"")</f>
        <v>0.00556372034432084</v>
      </c>
      <c r="K34" s="153" t="n">
        <f aca="false">IFERROR(IF(OR(NOT(ISNUMBER('Price History'!K35)),NOT(ISNUMBER('Price History'!K34)),'Price History'!K34=0),"",'Price History'!K35/'Price History'!K34-1),"")</f>
        <v>0.100146555935515</v>
      </c>
      <c r="L34" s="153" t="n">
        <f aca="false">IFERROR(IF(OR(NOT(ISNUMBER('Price History'!L35)),NOT(ISNUMBER('Price History'!L34)),'Price History'!L34=0),"",'Price History'!L35/'Price History'!L34-1),"")</f>
        <v>0.0830572836713259</v>
      </c>
      <c r="M34" s="153" t="n">
        <f aca="false">IFERROR(IF(OR(NOT(ISNUMBER('Price History'!M35)),NOT(ISNUMBER('Price History'!M34)),'Price History'!M34=0),"",'Price History'!M35/'Price History'!M34-1),"")</f>
        <v>0.246289610910549</v>
      </c>
      <c r="N34" s="153" t="n">
        <f aca="false">IFERROR(IF(OR(NOT(ISNUMBER('Price History'!N35)),NOT(ISNUMBER('Price History'!N34)),'Price History'!N34=0),"",'Price History'!N35/'Price History'!N34-1),"")</f>
        <v>0.00811605965303852</v>
      </c>
      <c r="O34" s="153" t="n">
        <f aca="false">IFERROR(IF(OR(NOT(ISNUMBER('Price History'!O35)),NOT(ISNUMBER('Price History'!O34)),'Price History'!O34=0),"",'Price History'!O35/'Price History'!O34-1),"")</f>
        <v>0.0248080330773774</v>
      </c>
      <c r="P34" s="153" t="n">
        <f aca="false">IFERROR(IF(OR(NOT(ISNUMBER('Price History'!P35)),NOT(ISNUMBER('Price History'!P34)),'Price History'!P34=0),"",'Price History'!P35/'Price History'!P34-1),"")</f>
        <v>0.00912610619469012</v>
      </c>
      <c r="Q34" s="153" t="n">
        <f aca="false">IFERROR(IF(OR(NOT(ISNUMBER('Price History'!Q35)),NOT(ISNUMBER('Price History'!Q34)),'Price History'!Q34=0),"",'Price History'!Q35/'Price History'!Q34-1),"")</f>
        <v>0.0205761316872428</v>
      </c>
      <c r="R34" s="153" t="n">
        <f aca="false">IFERROR(IF(OR(NOT(ISNUMBER('Price History'!R35)),NOT(ISNUMBER('Price History'!R34)),'Price History'!R34=0),"",'Price History'!R35/'Price History'!R34-1),"")</f>
        <v>0.0358814352574104</v>
      </c>
      <c r="S34" s="153" t="n">
        <f aca="false">IFERROR(IF(OR(NOT(ISNUMBER('Price History'!S35)),NOT(ISNUMBER('Price History'!S34)),'Price History'!S34=0),"",'Price History'!S35/'Price History'!S34-1),"")</f>
        <v>0.0300598476605007</v>
      </c>
      <c r="T34" s="153" t="n">
        <f aca="false">IFERROR(IF(OR(NOT(ISNUMBER('Price History'!T35)),NOT(ISNUMBER('Price History'!T34)),'Price History'!T34=0),"",'Price History'!T35/'Price History'!T34-1),"")</f>
        <v>0.0127175368139225</v>
      </c>
      <c r="U34" s="153" t="n">
        <f aca="false">IFERROR(IF(OR(NOT(ISNUMBER('Price History'!U35)),NOT(ISNUMBER('Price History'!U34)),'Price History'!U34=0),"",'Price History'!U35/'Price History'!U34-1),"")</f>
        <v>0.010720411663808</v>
      </c>
      <c r="V34" s="154" t="n">
        <f aca="false">IFERROR(IF(OR(NOT(ISNUMBER('Price History'!V35)),NOT(ISNUMBER('Price History'!V34)),'Price History'!V34=0),"",'Price History'!V35/'Price History'!V34-1),"")</f>
        <v>0.0175637393767705</v>
      </c>
      <c r="W34" s="155" t="n">
        <f aca="false">IFERROR('Price History'!B3+(INDEX('Price History'!B:B,MATCH(9.99E+307,'Returns (Calc)'!$A:$A)+1)-'Price History'!B3)*(ROW()-3)/(MATCH(9.99E+307,'Returns (Calc)'!$A:$A)-3),"")</f>
        <v>473.008113207547</v>
      </c>
      <c r="X34" s="155" t="n">
        <f aca="false">IFERROR('Price History'!C3+(INDEX('Price History'!C:C,MATCH(9.99E+307,'Returns (Calc)'!$A:$A)+1)-'Price History'!C3)*(ROW()-3)/(MATCH(9.99E+307,'Returns (Calc)'!$A:$A)-3),"")</f>
        <v>79.4338364779874</v>
      </c>
      <c r="Y34" s="155" t="n">
        <f aca="false">IFERROR('Price History'!D3+(INDEX('Price History'!D:D,MATCH(9.99E+307,'Returns (Calc)'!$A:$A)+1)-'Price History'!D3)*(ROW()-3)/(MATCH(9.99E+307,'Returns (Calc)'!$A:$A)-3),"")</f>
        <v>815.646666666667</v>
      </c>
      <c r="Z34" s="155" t="n">
        <f aca="false">IFERROR('Price History'!E3+(INDEX('Price History'!E:E,MATCH(9.99E+307,'Returns (Calc)'!$A:$A)+1)-'Price History'!E3)*(ROW()-3)/(MATCH(9.99E+307,'Returns (Calc)'!$A:$A)-3),"")</f>
        <v>136.501509433962</v>
      </c>
      <c r="AA34" s="155" t="n">
        <f aca="false">IFERROR('Price History'!F3+(INDEX('Price History'!F:F,MATCH(9.99E+307,'Returns (Calc)'!$A:$A)+1)-'Price History'!F3)*(ROW()-3)/(MATCH(9.99E+307,'Returns (Calc)'!$A:$A)-3),"")</f>
        <v>86.920251572327</v>
      </c>
      <c r="AB34" s="155" t="n">
        <f aca="false">IFERROR('Price History'!G3+(INDEX('Price History'!G:G,MATCH(9.99E+307,'Returns (Calc)'!$A:$A)+1)-'Price History'!G3)*(ROW()-3)/(MATCH(9.99E+307,'Returns (Calc)'!$A:$A)-3),"")</f>
        <v>73.833144654088</v>
      </c>
      <c r="AC34" s="155" t="n">
        <f aca="false">IFERROR('Price History'!H3+(INDEX('Price History'!H:H,MATCH(9.99E+307,'Returns (Calc)'!$A:$A)+1)-'Price History'!H3)*(ROW()-3)/(MATCH(9.99E+307,'Returns (Calc)'!$A:$A)-3),"")</f>
        <v>256.258364779874</v>
      </c>
      <c r="AD34" s="155" t="n">
        <f aca="false">IFERROR('Price History'!I3+(INDEX('Price History'!I:I,MATCH(9.99E+307,'Returns (Calc)'!$A:$A)+1)-'Price History'!I3)*(ROW()-3)/(MATCH(9.99E+307,'Returns (Calc)'!$A:$A)-3),"")</f>
        <v>79.9386163522013</v>
      </c>
      <c r="AE34" s="155" t="n">
        <f aca="false">IFERROR('Price History'!J3+(INDEX('Price History'!J:J,MATCH(9.99E+307,'Returns (Calc)'!$A:$A)+1)-'Price History'!J3)*(ROW()-3)/(MATCH(9.99E+307,'Returns (Calc)'!$A:$A)-3),"")</f>
        <v>115.281194968553</v>
      </c>
      <c r="AF34" s="155" t="n">
        <f aca="false">IFERROR('Price History'!K3+(INDEX('Price History'!K:K,MATCH(9.99E+307,'Returns (Calc)'!$A:$A)+1)-'Price History'!K3)*(ROW()-3)/(MATCH(9.99E+307,'Returns (Calc)'!$A:$A)-3),"")</f>
        <v>53.0993081761006</v>
      </c>
      <c r="AG34" s="155" t="n">
        <f aca="false">IFERROR('Price History'!L3+(INDEX('Price History'!L:L,MATCH(9.99E+307,'Returns (Calc)'!$A:$A)+1)-'Price History'!L3)*(ROW()-3)/(MATCH(9.99E+307,'Returns (Calc)'!$A:$A)-3),"")</f>
        <v>157.412641509434</v>
      </c>
      <c r="AH34" s="155" t="n">
        <f aca="false">IFERROR('Price History'!M3+(INDEX('Price History'!M:M,MATCH(9.99E+307,'Returns (Calc)'!$A:$A)+1)-'Price History'!M3)*(ROW()-3)/(MATCH(9.99E+307,'Returns (Calc)'!$A:$A)-3),"")</f>
        <v>77.9417610062893</v>
      </c>
      <c r="AI34" s="155" t="n">
        <f aca="false">IFERROR('Price History'!N3+(INDEX('Price History'!N:N,MATCH(9.99E+307,'Returns (Calc)'!$A:$A)+1)-'Price History'!N3)*(ROW()-3)/(MATCH(9.99E+307,'Returns (Calc)'!$A:$A)-3),"")</f>
        <v>380.325031446541</v>
      </c>
      <c r="AJ34" s="155" t="n">
        <f aca="false">IFERROR('Price History'!O3+(INDEX('Price History'!O:O,MATCH(9.99E+307,'Returns (Calc)'!$A:$A)+1)-'Price History'!O3)*(ROW()-3)/(MATCH(9.99E+307,'Returns (Calc)'!$A:$A)-3),"")</f>
        <v>83.9529559748428</v>
      </c>
      <c r="AK34" s="155" t="n">
        <f aca="false">IFERROR('Price History'!Q3+(INDEX('Price History'!Q:Q,MATCH(9.99E+307,'Returns (Calc)'!$A:$A)+1)-'Price History'!Q3)*(ROW()-3)/(MATCH(9.99E+307,'Returns (Calc)'!$A:$A)-3),"")</f>
        <v>13.6419496855346</v>
      </c>
      <c r="AL34" s="155" t="n">
        <f aca="false">IFERROR('Price History'!R3+(INDEX('Price History'!R:R,MATCH(9.99E+307,'Returns (Calc)'!$A:$A)+1)-'Price History'!R3)*(ROW()-3)/(MATCH(9.99E+307,'Returns (Calc)'!$A:$A)-3),"")</f>
        <v>39.6681132075472</v>
      </c>
      <c r="AM34" s="155" t="n">
        <f aca="false">IFERROR('Price History'!S3+(INDEX('Price History'!S:S,MATCH(9.99E+307,'Returns (Calc)'!$A:$A)+1)-'Price History'!S3)*(ROW()-3)/(MATCH(9.99E+307,'Returns (Calc)'!$A:$A)-3),"")</f>
        <v>75.8654088050315</v>
      </c>
      <c r="AN34" s="155" t="n">
        <f aca="false">IFERROR('Price History'!T3+(INDEX('Price History'!T:T,MATCH(9.99E+307,'Returns (Calc)'!$A:$A)+1)-'Price History'!T3)*(ROW()-3)/(MATCH(9.99E+307,'Returns (Calc)'!$A:$A)-3),"")</f>
        <v>30.5808805031447</v>
      </c>
      <c r="AO34" s="156" t="n">
        <f aca="false">IFERROR('Price History'!V3+(INDEX('Price History'!V:V,MATCH(9.99E+307,'Returns (Calc)'!$A:$A)+1)-'Price History'!V3)*(ROW()-3)/(MATCH(9.99E+307,'Returns (Calc)'!$A:$A)-3),"")</f>
        <v>264.840188679245</v>
      </c>
      <c r="AP34" s="154" t="n">
        <f aca="false">IFERROR(IF(OR(NOT(ISNUMBER('Price History'!W35)),NOT(ISNUMBER('Price History'!W34)),'Price History'!W34=0),"",'Price History'!W35/'Price History'!W34-1),"")</f>
        <v>0.0123490922495622</v>
      </c>
      <c r="AQ34" s="154" t="str">
        <f aca="false">IFERROR(IF(OR(NOT(ISNUMBER('Price History'!X35)),NOT(ISNUMBER('Price History'!X34)),'Price History'!X34=0),"",'Price History'!X35/'Price History'!X34-1),"")</f>
        <v/>
      </c>
      <c r="AR34" s="154" t="n">
        <f aca="false">IFERROR(IF(OR(NOT(ISNUMBER('Price History'!Y35)),NOT(ISNUMBER('Price History'!Y34)),'Price History'!Y34=0),"",'Price History'!Y35/'Price History'!Y34-1),"")</f>
        <v>0.0149647887323943</v>
      </c>
      <c r="AS34" s="154" t="n">
        <f aca="false">IFERROR(IF(OR(NOT(ISNUMBER('Price History'!Z35)),NOT(ISNUMBER('Price History'!Z34)),'Price History'!Z34=0),"",'Price History'!Z35/'Price History'!Z34-1),"")</f>
        <v>0.0965044551062371</v>
      </c>
      <c r="AT34" s="154" t="n">
        <f aca="false">IFERROR(IF(OR(NOT(ISNUMBER('Price History'!AA35)),NOT(ISNUMBER('Price History'!AA34)),'Price History'!AA34=0),"",'Price History'!AA35/'Price History'!AA34-1),"")</f>
        <v>0.0111711711711711</v>
      </c>
      <c r="AU34" s="154" t="n">
        <f aca="false">IFERROR(IF(OR(NOT(ISNUMBER('Price History'!AB35)),NOT(ISNUMBER('Price History'!AB34)),'Price History'!AB34=0),"",'Price History'!AB35/'Price History'!AB34-1),"")</f>
        <v>0.0127533017441275</v>
      </c>
    </row>
    <row r="35" customFormat="false" ht="15" hidden="false" customHeight="true" outlineLevel="0" collapsed="false">
      <c r="A35" s="152" t="n">
        <f aca="false">IF('Price History'!A36="","",'Price History'!A36)</f>
        <v>45415</v>
      </c>
      <c r="B35" s="153" t="n">
        <f aca="false">IFERROR(IF(OR(NOT(ISNUMBER('Price History'!B36)),NOT(ISNUMBER('Price History'!B35)),'Price History'!B35=0),"",'Price History'!B36/'Price History'!B35-1),"")</f>
        <v>0.0180500879470642</v>
      </c>
      <c r="C35" s="153" t="n">
        <f aca="false">IFERROR(IF(OR(NOT(ISNUMBER('Price History'!C36)),NOT(ISNUMBER('Price History'!C35)),'Price History'!C35=0),"",'Price History'!C36/'Price History'!C35-1),"")</f>
        <v>0.0365669386521605</v>
      </c>
      <c r="D35" s="153" t="n">
        <f aca="false">IFERROR(IF(OR(NOT(ISNUMBER('Price History'!D36)),NOT(ISNUMBER('Price History'!D35)),'Price History'!D35=0),"",'Price History'!D36/'Price History'!D35-1),"")</f>
        <v>-0.0188660422324447</v>
      </c>
      <c r="E35" s="153" t="n">
        <f aca="false">IFERROR(IF(OR(NOT(ISNUMBER('Price History'!E36)),NOT(ISNUMBER('Price History'!E35)),'Price History'!E35=0),"",'Price History'!E36/'Price History'!E35-1),"")</f>
        <v>-0.0490591909804221</v>
      </c>
      <c r="F35" s="153" t="n">
        <f aca="false">IFERROR(IF(OR(NOT(ISNUMBER('Price History'!F36)),NOT(ISNUMBER('Price History'!F35)),'Price History'!F35=0),"",'Price History'!F36/'Price History'!F35-1),"")</f>
        <v>0.0201262825572217</v>
      </c>
      <c r="G35" s="153" t="n">
        <f aca="false">IFERROR(IF(OR(NOT(ISNUMBER('Price History'!G36)),NOT(ISNUMBER('Price History'!G35)),'Price History'!G35=0),"",'Price History'!G36/'Price History'!G35-1),"")</f>
        <v>-0.0137065358534122</v>
      </c>
      <c r="H35" s="153" t="n">
        <f aca="false">IFERROR(IF(OR(NOT(ISNUMBER('Price History'!H36)),NOT(ISNUMBER('Price History'!H35)),'Price History'!H35=0),"",'Price History'!H36/'Price History'!H35-1),"")</f>
        <v>-0.00122785476232246</v>
      </c>
      <c r="I35" s="153" t="n">
        <f aca="false">IFERROR(IF(OR(NOT(ISNUMBER('Price History'!I36)),NOT(ISNUMBER('Price History'!I35)),'Price History'!I35=0),"",'Price History'!I36/'Price History'!I35-1),"")</f>
        <v>0.0120013715853242</v>
      </c>
      <c r="J35" s="153" t="n">
        <f aca="false">IFERROR(IF(OR(NOT(ISNUMBER('Price History'!J36)),NOT(ISNUMBER('Price History'!J35)),'Price History'!J35=0),"",'Price History'!J36/'Price History'!J35-1),"")</f>
        <v>0.0175383651738177</v>
      </c>
      <c r="K35" s="153" t="n">
        <f aca="false">IFERROR(IF(OR(NOT(ISNUMBER('Price History'!K36)),NOT(ISNUMBER('Price History'!K35)),'Price History'!K35=0),"",'Price History'!K36/'Price History'!K35-1),"")</f>
        <v>0.0359680284191828</v>
      </c>
      <c r="L35" s="153" t="n">
        <f aca="false">IFERROR(IF(OR(NOT(ISNUMBER('Price History'!L36)),NOT(ISNUMBER('Price History'!L35)),'Price History'!L35=0),"",'Price History'!L36/'Price History'!L35-1),"")</f>
        <v>0.023573293547184</v>
      </c>
      <c r="M35" s="153" t="n">
        <f aca="false">IFERROR(IF(OR(NOT(ISNUMBER('Price History'!M36)),NOT(ISNUMBER('Price History'!M35)),'Price History'!M35=0),"",'Price History'!M36/'Price History'!M35-1),"")</f>
        <v>-0.0051496620534276</v>
      </c>
      <c r="N35" s="153" t="n">
        <f aca="false">IFERROR(IF(OR(NOT(ISNUMBER('Price History'!N36)),NOT(ISNUMBER('Price History'!N35)),'Price History'!N35=0),"",'Price History'!N36/'Price History'!N35-1),"")</f>
        <v>0.00905705947469038</v>
      </c>
      <c r="O35" s="153" t="n">
        <f aca="false">IFERROR(IF(OR(NOT(ISNUMBER('Price History'!O36)),NOT(ISNUMBER('Price History'!O35)),'Price History'!O35=0),"",'Price History'!O36/'Price History'!O35-1),"")</f>
        <v>0.00680115273775228</v>
      </c>
      <c r="P35" s="153" t="n">
        <f aca="false">IFERROR(IF(OR(NOT(ISNUMBER('Price History'!P36)),NOT(ISNUMBER('Price History'!P35)),'Price History'!P35=0),"",'Price History'!P36/'Price History'!P35-1),"")</f>
        <v>0.0122407965652691</v>
      </c>
      <c r="Q35" s="153" t="n">
        <f aca="false">IFERROR(IF(OR(NOT(ISNUMBER('Price History'!Q36)),NOT(ISNUMBER('Price History'!Q35)),'Price History'!Q35=0),"",'Price History'!Q36/'Price History'!Q35-1),"")</f>
        <v>0.00421554252199408</v>
      </c>
      <c r="R35" s="153" t="n">
        <f aca="false">IFERROR(IF(OR(NOT(ISNUMBER('Price History'!R36)),NOT(ISNUMBER('Price History'!R35)),'Price History'!R35=0),"",'Price History'!R36/'Price History'!R35-1),"")</f>
        <v>0.0100401606425702</v>
      </c>
      <c r="S35" s="153" t="n">
        <f aca="false">IFERROR(IF(OR(NOT(ISNUMBER('Price History'!S36)),NOT(ISNUMBER('Price History'!S35)),'Price History'!S35=0),"",'Price History'!S36/'Price History'!S35-1),"")</f>
        <v>0.00977155684669206</v>
      </c>
      <c r="T35" s="153" t="n">
        <f aca="false">IFERROR(IF(OR(NOT(ISNUMBER('Price History'!T36)),NOT(ISNUMBER('Price History'!T35)),'Price History'!T35=0),"",'Price History'!T36/'Price History'!T35-1),"")</f>
        <v>-0.0155320555188369</v>
      </c>
      <c r="U35" s="153" t="n">
        <f aca="false">IFERROR(IF(OR(NOT(ISNUMBER('Price History'!U36)),NOT(ISNUMBER('Price History'!U35)),'Price History'!U35=0),"",'Price History'!U36/'Price History'!U35-1),"")</f>
        <v>0.0063640220619432</v>
      </c>
      <c r="V35" s="154" t="n">
        <f aca="false">IFERROR(IF(OR(NOT(ISNUMBER('Price History'!V36)),NOT(ISNUMBER('Price History'!V35)),'Price History'!V35=0),"",'Price History'!V36/'Price History'!V35-1),"")</f>
        <v>-0.0219376391982181</v>
      </c>
      <c r="W35" s="155" t="n">
        <f aca="false">IFERROR('Price History'!B3+(INDEX('Price History'!B:B,MATCH(9.99E+307,'Returns (Calc)'!$A:$A)+1)-'Price History'!B3)*(ROW()-3)/(MATCH(9.99E+307,'Returns (Calc)'!$A:$A)-3),"")</f>
        <v>471.205471698113</v>
      </c>
      <c r="X35" s="155" t="n">
        <f aca="false">IFERROR('Price History'!C3+(INDEX('Price History'!C:C,MATCH(9.99E+307,'Returns (Calc)'!$A:$A)+1)-'Price History'!C3)*(ROW()-3)/(MATCH(9.99E+307,'Returns (Calc)'!$A:$A)-3),"")</f>
        <v>80.5065408805031</v>
      </c>
      <c r="Y35" s="155" t="n">
        <f aca="false">IFERROR('Price History'!D3+(INDEX('Price History'!D:D,MATCH(9.99E+307,'Returns (Calc)'!$A:$A)+1)-'Price History'!D3)*(ROW()-3)/(MATCH(9.99E+307,'Returns (Calc)'!$A:$A)-3),"")</f>
        <v>823.183333333333</v>
      </c>
      <c r="Z35" s="155" t="n">
        <f aca="false">IFERROR('Price History'!E3+(INDEX('Price History'!E:E,MATCH(9.99E+307,'Returns (Calc)'!$A:$A)+1)-'Price History'!E3)*(ROW()-3)/(MATCH(9.99E+307,'Returns (Calc)'!$A:$A)-3),"")</f>
        <v>138.259622641509</v>
      </c>
      <c r="AA35" s="155" t="n">
        <f aca="false">IFERROR('Price History'!F3+(INDEX('Price History'!F:F,MATCH(9.99E+307,'Returns (Calc)'!$A:$A)+1)-'Price History'!F3)*(ROW()-3)/(MATCH(9.99E+307,'Returns (Calc)'!$A:$A)-3),"")</f>
        <v>88.3899371069182</v>
      </c>
      <c r="AB35" s="155" t="n">
        <f aca="false">IFERROR('Price History'!G3+(INDEX('Price History'!G:G,MATCH(9.99E+307,'Returns (Calc)'!$A:$A)+1)-'Price History'!G3)*(ROW()-3)/(MATCH(9.99E+307,'Returns (Calc)'!$A:$A)-3),"")</f>
        <v>74.784213836478</v>
      </c>
      <c r="AC35" s="155" t="n">
        <f aca="false">IFERROR('Price History'!H3+(INDEX('Price History'!H:H,MATCH(9.99E+307,'Returns (Calc)'!$A:$A)+1)-'Price History'!H3)*(ROW()-3)/(MATCH(9.99E+307,'Returns (Calc)'!$A:$A)-3),"")</f>
        <v>262.295408805031</v>
      </c>
      <c r="AD35" s="155" t="n">
        <f aca="false">IFERROR('Price History'!I3+(INDEX('Price History'!I:I,MATCH(9.99E+307,'Returns (Calc)'!$A:$A)+1)-'Price History'!I3)*(ROW()-3)/(MATCH(9.99E+307,'Returns (Calc)'!$A:$A)-3),"")</f>
        <v>81.1053459119497</v>
      </c>
      <c r="AE35" s="155" t="n">
        <f aca="false">IFERROR('Price History'!J3+(INDEX('Price History'!J:J,MATCH(9.99E+307,'Returns (Calc)'!$A:$A)+1)-'Price History'!J3)*(ROW()-3)/(MATCH(9.99E+307,'Returns (Calc)'!$A:$A)-3),"")</f>
        <v>115.392201257862</v>
      </c>
      <c r="AF35" s="155" t="n">
        <f aca="false">IFERROR('Price History'!K3+(INDEX('Price History'!K:K,MATCH(9.99E+307,'Returns (Calc)'!$A:$A)+1)-'Price History'!K3)*(ROW()-3)/(MATCH(9.99E+307,'Returns (Calc)'!$A:$A)-3),"")</f>
        <v>54.3176729559748</v>
      </c>
      <c r="AG35" s="155" t="n">
        <f aca="false">IFERROR('Price History'!L3+(INDEX('Price History'!L:L,MATCH(9.99E+307,'Returns (Calc)'!$A:$A)+1)-'Price History'!L3)*(ROW()-3)/(MATCH(9.99E+307,'Returns (Calc)'!$A:$A)-3),"")</f>
        <v>159.724339622642</v>
      </c>
      <c r="AH35" s="155" t="n">
        <f aca="false">IFERROR('Price History'!M3+(INDEX('Price History'!M:M,MATCH(9.99E+307,'Returns (Calc)'!$A:$A)+1)-'Price History'!M3)*(ROW()-3)/(MATCH(9.99E+307,'Returns (Calc)'!$A:$A)-3),"")</f>
        <v>79.2295597484277</v>
      </c>
      <c r="AI35" s="155" t="n">
        <f aca="false">IFERROR('Price History'!N3+(INDEX('Price History'!N:N,MATCH(9.99E+307,'Returns (Calc)'!$A:$A)+1)-'Price History'!N3)*(ROW()-3)/(MATCH(9.99E+307,'Returns (Calc)'!$A:$A)-3),"")</f>
        <v>381.338742138365</v>
      </c>
      <c r="AJ35" s="155" t="n">
        <f aca="false">IFERROR('Price History'!O3+(INDEX('Price History'!O:O,MATCH(9.99E+307,'Returns (Calc)'!$A:$A)+1)-'Price History'!O3)*(ROW()-3)/(MATCH(9.99E+307,'Returns (Calc)'!$A:$A)-3),"")</f>
        <v>84.2317610062893</v>
      </c>
      <c r="AK35" s="155" t="n">
        <f aca="false">IFERROR('Price History'!Q3+(INDEX('Price History'!Q:Q,MATCH(9.99E+307,'Returns (Calc)'!$A:$A)+1)-'Price History'!Q3)*(ROW()-3)/(MATCH(9.99E+307,'Returns (Calc)'!$A:$A)-3),"")</f>
        <v>14.0820125786164</v>
      </c>
      <c r="AL35" s="155" t="n">
        <f aca="false">IFERROR('Price History'!R3+(INDEX('Price History'!R:R,MATCH(9.99E+307,'Returns (Calc)'!$A:$A)+1)-'Price History'!R3)*(ROW()-3)/(MATCH(9.99E+307,'Returns (Calc)'!$A:$A)-3),"")</f>
        <v>39.8354716981132</v>
      </c>
      <c r="AM35" s="155" t="n">
        <f aca="false">IFERROR('Price History'!S3+(INDEX('Price History'!S:S,MATCH(9.99E+307,'Returns (Calc)'!$A:$A)+1)-'Price History'!S3)*(ROW()-3)/(MATCH(9.99E+307,'Returns (Calc)'!$A:$A)-3),"")</f>
        <v>76.4536477987421</v>
      </c>
      <c r="AN35" s="155" t="n">
        <f aca="false">IFERROR('Price History'!T3+(INDEX('Price History'!T:T,MATCH(9.99E+307,'Returns (Calc)'!$A:$A)+1)-'Price History'!T3)*(ROW()-3)/(MATCH(9.99E+307,'Returns (Calc)'!$A:$A)-3),"")</f>
        <v>30.7547798742138</v>
      </c>
      <c r="AO35" s="156" t="n">
        <f aca="false">IFERROR('Price History'!V3+(INDEX('Price History'!V:V,MATCH(9.99E+307,'Returns (Calc)'!$A:$A)+1)-'Price History'!V3)*(ROW()-3)/(MATCH(9.99E+307,'Returns (Calc)'!$A:$A)-3),"")</f>
        <v>265.782452830189</v>
      </c>
      <c r="AP35" s="154" t="n">
        <f aca="false">IFERROR(IF(OR(NOT(ISNUMBER('Price History'!W36)),NOT(ISNUMBER('Price History'!W35)),'Price History'!W35=0),"",'Price History'!W36/'Price History'!W35-1),"")</f>
        <v>-0.0020937642239417</v>
      </c>
      <c r="AQ35" s="154" t="str">
        <f aca="false">IFERROR(IF(OR(NOT(ISNUMBER('Price History'!X36)),NOT(ISNUMBER('Price History'!X35)),'Price History'!X35=0),"",'Price History'!X36/'Price History'!X35-1),"")</f>
        <v/>
      </c>
      <c r="AR35" s="154" t="n">
        <f aca="false">IFERROR(IF(OR(NOT(ISNUMBER('Price History'!Y36)),NOT(ISNUMBER('Price History'!Y35)),'Price History'!Y35=0),"",'Price History'!Y36/'Price History'!Y35-1),"")</f>
        <v>0.0019514310494364</v>
      </c>
      <c r="AS35" s="154" t="n">
        <f aca="false">IFERROR(IF(OR(NOT(ISNUMBER('Price History'!Z36)),NOT(ISNUMBER('Price History'!Z35)),'Price History'!Z35=0),"",'Price History'!Z36/'Price History'!Z35-1),"")</f>
        <v>0.0108138517314667</v>
      </c>
      <c r="AT35" s="154" t="n">
        <f aca="false">IFERROR(IF(OR(NOT(ISNUMBER('Price History'!AA36)),NOT(ISNUMBER('Price History'!AA35)),'Price History'!AA35=0),"",'Price History'!AA36/'Price History'!AA35-1),"")</f>
        <v>0.0322523164647186</v>
      </c>
      <c r="AU35" s="154" t="n">
        <f aca="false">IFERROR(IF(OR(NOT(ISNUMBER('Price History'!AB36)),NOT(ISNUMBER('Price History'!AB35)),'Price History'!AB35=0),"",'Price History'!AB36/'Price History'!AB35-1),"")</f>
        <v>0.0126424767308744</v>
      </c>
    </row>
    <row r="36" customFormat="false" ht="15" hidden="false" customHeight="true" outlineLevel="0" collapsed="false">
      <c r="A36" s="152" t="n">
        <f aca="false">IF('Price History'!A37="","",'Price History'!A37)</f>
        <v>45422</v>
      </c>
      <c r="B36" s="153" t="n">
        <f aca="false">IFERROR(IF(OR(NOT(ISNUMBER('Price History'!B37)),NOT(ISNUMBER('Price History'!B36)),'Price History'!B36=0),"",'Price History'!B37/'Price History'!B36-1),"")</f>
        <v>-0.00800115183676819</v>
      </c>
      <c r="C36" s="153" t="n">
        <f aca="false">IFERROR(IF(OR(NOT(ISNUMBER('Price History'!C37)),NOT(ISNUMBER('Price History'!C36)),'Price History'!C36=0),"",'Price History'!C37/'Price History'!C36-1),"")</f>
        <v>0.144460641399417</v>
      </c>
      <c r="D36" s="153" t="n">
        <f aca="false">IFERROR(IF(OR(NOT(ISNUMBER('Price History'!D37)),NOT(ISNUMBER('Price History'!D36)),'Price History'!D36=0),"",'Price History'!D37/'Price History'!D36-1),"")</f>
        <v>0.031780642391513</v>
      </c>
      <c r="E36" s="153" t="n">
        <f aca="false">IFERROR(IF(OR(NOT(ISNUMBER('Price History'!E37)),NOT(ISNUMBER('Price History'!E36)),'Price History'!E36=0),"",'Price History'!E37/'Price History'!E36-1),"")</f>
        <v>0.0427781783225185</v>
      </c>
      <c r="F36" s="153" t="n">
        <f aca="false">IFERROR(IF(OR(NOT(ISNUMBER('Price History'!F37)),NOT(ISNUMBER('Price History'!F36)),'Price History'!F36=0),"",'Price History'!F37/'Price History'!F36-1),"")</f>
        <v>0.0340425531914894</v>
      </c>
      <c r="G36" s="153" t="n">
        <f aca="false">IFERROR(IF(OR(NOT(ISNUMBER('Price History'!G37)),NOT(ISNUMBER('Price History'!G36)),'Price History'!G36=0),"",'Price History'!G37/'Price History'!G36-1),"")</f>
        <v>0.031158572264482</v>
      </c>
      <c r="H36" s="153" t="n">
        <f aca="false">IFERROR(IF(OR(NOT(ISNUMBER('Price History'!H37)),NOT(ISNUMBER('Price History'!H36)),'Price History'!H36=0),"",'Price History'!H37/'Price History'!H36-1),"")</f>
        <v>0.0570776255707763</v>
      </c>
      <c r="I36" s="153" t="n">
        <f aca="false">IFERROR(IF(OR(NOT(ISNUMBER('Price History'!I37)),NOT(ISNUMBER('Price History'!I36)),'Price History'!I36=0),"",'Price History'!I37/'Price History'!I36-1),"")</f>
        <v>0.0121978766659137</v>
      </c>
      <c r="J36" s="153" t="n">
        <f aca="false">IFERROR(IF(OR(NOT(ISNUMBER('Price History'!J37)),NOT(ISNUMBER('Price History'!J36)),'Price History'!J36=0),"",'Price History'!J37/'Price History'!J36-1),"")</f>
        <v>0.0151841592284807</v>
      </c>
      <c r="K36" s="153" t="n">
        <f aca="false">IFERROR(IF(OR(NOT(ISNUMBER('Price History'!K37)),NOT(ISNUMBER('Price History'!K36)),'Price History'!K36=0),"",'Price History'!K37/'Price History'!K36-1),"")</f>
        <v>-0.11701671667381</v>
      </c>
      <c r="L36" s="153" t="n">
        <f aca="false">IFERROR(IF(OR(NOT(ISNUMBER('Price History'!L37)),NOT(ISNUMBER('Price History'!L36)),'Price History'!L36=0),"",'Price History'!L37/'Price History'!L36-1),"")</f>
        <v>0.0543692150717876</v>
      </c>
      <c r="M36" s="153" t="n">
        <f aca="false">IFERROR(IF(OR(NOT(ISNUMBER('Price History'!M37)),NOT(ISNUMBER('Price History'!M36)),'Price History'!M36=0),"",'Price History'!M37/'Price History'!M36-1),"")</f>
        <v>0.0257737517523995</v>
      </c>
      <c r="N36" s="153" t="n">
        <f aca="false">IFERROR(IF(OR(NOT(ISNUMBER('Price History'!N37)),NOT(ISNUMBER('Price History'!N36)),'Price History'!N36=0),"",'Price History'!N37/'Price History'!N36-1),"")</f>
        <v>0.0541039194175725</v>
      </c>
      <c r="O36" s="153" t="n">
        <f aca="false">IFERROR(IF(OR(NOT(ISNUMBER('Price History'!O37)),NOT(ISNUMBER('Price History'!O36)),'Price History'!O36=0),"",'Price History'!O37/'Price History'!O36-1),"")</f>
        <v>0.0172887565834667</v>
      </c>
      <c r="P36" s="153" t="n">
        <f aca="false">IFERROR(IF(OR(NOT(ISNUMBER('Price History'!P37)),NOT(ISNUMBER('Price History'!P36)),'Price History'!P36=0),"",'Price History'!P37/'Price History'!P36-1),"")</f>
        <v>0.0247270101976356</v>
      </c>
      <c r="Q36" s="153" t="n">
        <f aca="false">IFERROR(IF(OR(NOT(ISNUMBER('Price History'!Q37)),NOT(ISNUMBER('Price History'!Q36)),'Price History'!Q36=0),"",'Price History'!Q37/'Price History'!Q36-1),"")</f>
        <v>0.0155137798868408</v>
      </c>
      <c r="R36" s="153" t="n">
        <f aca="false">IFERROR(IF(OR(NOT(ISNUMBER('Price History'!R37)),NOT(ISNUMBER('Price History'!R36)),'Price History'!R36=0),"",'Price History'!R37/'Price History'!R36-1),"")</f>
        <v>0.0139165009940356</v>
      </c>
      <c r="S36" s="153" t="n">
        <f aca="false">IFERROR(IF(OR(NOT(ISNUMBER('Price History'!S37)),NOT(ISNUMBER('Price History'!S36)),'Price History'!S36=0),"",'Price History'!S37/'Price History'!S36-1),"")</f>
        <v>0.0222309402380019</v>
      </c>
      <c r="T36" s="153" t="n">
        <f aca="false">IFERROR(IF(OR(NOT(ISNUMBER('Price History'!T37)),NOT(ISNUMBER('Price History'!T36)),'Price History'!T36=0),"",'Price History'!T37/'Price History'!T36-1),"")</f>
        <v>0.0224907687143336</v>
      </c>
      <c r="U36" s="153" t="n">
        <f aca="false">IFERROR(IF(OR(NOT(ISNUMBER('Price History'!U37)),NOT(ISNUMBER('Price History'!U36)),'Price History'!U36=0),"",'Price History'!U37/'Price History'!U36-1),"")</f>
        <v>0.0168634064080946</v>
      </c>
      <c r="V36" s="154" t="n">
        <f aca="false">IFERROR(IF(OR(NOT(ISNUMBER('Price History'!V37)),NOT(ISNUMBER('Price History'!V36)),'Price History'!V36=0),"",'Price History'!V37/'Price History'!V36-1),"")</f>
        <v>0.045618429541918</v>
      </c>
      <c r="W36" s="155" t="n">
        <f aca="false">IFERROR('Price History'!B3+(INDEX('Price History'!B:B,MATCH(9.99E+307,'Returns (Calc)'!$A:$A)+1)-'Price History'!B3)*(ROW()-3)/(MATCH(9.99E+307,'Returns (Calc)'!$A:$A)-3),"")</f>
        <v>469.402830188679</v>
      </c>
      <c r="X36" s="155" t="n">
        <f aca="false">IFERROR('Price History'!C3+(INDEX('Price History'!C:C,MATCH(9.99E+307,'Returns (Calc)'!$A:$A)+1)-'Price History'!C3)*(ROW()-3)/(MATCH(9.99E+307,'Returns (Calc)'!$A:$A)-3),"")</f>
        <v>81.5792452830189</v>
      </c>
      <c r="Y36" s="155" t="n">
        <f aca="false">IFERROR('Price History'!D3+(INDEX('Price History'!D:D,MATCH(9.99E+307,'Returns (Calc)'!$A:$A)+1)-'Price History'!D3)*(ROW()-3)/(MATCH(9.99E+307,'Returns (Calc)'!$A:$A)-3),"")</f>
        <v>830.72</v>
      </c>
      <c r="Z36" s="155" t="n">
        <f aca="false">IFERROR('Price History'!E3+(INDEX('Price History'!E:E,MATCH(9.99E+307,'Returns (Calc)'!$A:$A)+1)-'Price History'!E3)*(ROW()-3)/(MATCH(9.99E+307,'Returns (Calc)'!$A:$A)-3),"")</f>
        <v>140.017735849057</v>
      </c>
      <c r="AA36" s="155" t="n">
        <f aca="false">IFERROR('Price History'!F3+(INDEX('Price History'!F:F,MATCH(9.99E+307,'Returns (Calc)'!$A:$A)+1)-'Price History'!F3)*(ROW()-3)/(MATCH(9.99E+307,'Returns (Calc)'!$A:$A)-3),"")</f>
        <v>89.8596226415095</v>
      </c>
      <c r="AB36" s="155" t="n">
        <f aca="false">IFERROR('Price History'!G3+(INDEX('Price History'!G:G,MATCH(9.99E+307,'Returns (Calc)'!$A:$A)+1)-'Price History'!G3)*(ROW()-3)/(MATCH(9.99E+307,'Returns (Calc)'!$A:$A)-3),"")</f>
        <v>75.7352830188679</v>
      </c>
      <c r="AC36" s="155" t="n">
        <f aca="false">IFERROR('Price History'!H3+(INDEX('Price History'!H:H,MATCH(9.99E+307,'Returns (Calc)'!$A:$A)+1)-'Price History'!H3)*(ROW()-3)/(MATCH(9.99E+307,'Returns (Calc)'!$A:$A)-3),"")</f>
        <v>268.332452830189</v>
      </c>
      <c r="AD36" s="155" t="n">
        <f aca="false">IFERROR('Price History'!I3+(INDEX('Price History'!I:I,MATCH(9.99E+307,'Returns (Calc)'!$A:$A)+1)-'Price History'!I3)*(ROW()-3)/(MATCH(9.99E+307,'Returns (Calc)'!$A:$A)-3),"")</f>
        <v>82.2720754716981</v>
      </c>
      <c r="AE36" s="155" t="n">
        <f aca="false">IFERROR('Price History'!J3+(INDEX('Price History'!J:J,MATCH(9.99E+307,'Returns (Calc)'!$A:$A)+1)-'Price History'!J3)*(ROW()-3)/(MATCH(9.99E+307,'Returns (Calc)'!$A:$A)-3),"")</f>
        <v>115.50320754717</v>
      </c>
      <c r="AF36" s="155" t="n">
        <f aca="false">IFERROR('Price History'!K3+(INDEX('Price History'!K:K,MATCH(9.99E+307,'Returns (Calc)'!$A:$A)+1)-'Price History'!K3)*(ROW()-3)/(MATCH(9.99E+307,'Returns (Calc)'!$A:$A)-3),"")</f>
        <v>55.5360377358491</v>
      </c>
      <c r="AG36" s="155" t="n">
        <f aca="false">IFERROR('Price History'!L3+(INDEX('Price History'!L:L,MATCH(9.99E+307,'Returns (Calc)'!$A:$A)+1)-'Price History'!L3)*(ROW()-3)/(MATCH(9.99E+307,'Returns (Calc)'!$A:$A)-3),"")</f>
        <v>162.036037735849</v>
      </c>
      <c r="AH36" s="155" t="n">
        <f aca="false">IFERROR('Price History'!M3+(INDEX('Price History'!M:M,MATCH(9.99E+307,'Returns (Calc)'!$A:$A)+1)-'Price History'!M3)*(ROW()-3)/(MATCH(9.99E+307,'Returns (Calc)'!$A:$A)-3),"")</f>
        <v>80.517358490566</v>
      </c>
      <c r="AI36" s="155" t="n">
        <f aca="false">IFERROR('Price History'!N3+(INDEX('Price History'!N:N,MATCH(9.99E+307,'Returns (Calc)'!$A:$A)+1)-'Price History'!N3)*(ROW()-3)/(MATCH(9.99E+307,'Returns (Calc)'!$A:$A)-3),"")</f>
        <v>382.352452830189</v>
      </c>
      <c r="AJ36" s="155" t="n">
        <f aca="false">IFERROR('Price History'!O3+(INDEX('Price History'!O:O,MATCH(9.99E+307,'Returns (Calc)'!$A:$A)+1)-'Price History'!O3)*(ROW()-3)/(MATCH(9.99E+307,'Returns (Calc)'!$A:$A)-3),"")</f>
        <v>84.5105660377359</v>
      </c>
      <c r="AK36" s="155" t="n">
        <f aca="false">IFERROR('Price History'!Q3+(INDEX('Price History'!Q:Q,MATCH(9.99E+307,'Returns (Calc)'!$A:$A)+1)-'Price History'!Q3)*(ROW()-3)/(MATCH(9.99E+307,'Returns (Calc)'!$A:$A)-3),"")</f>
        <v>14.5220754716981</v>
      </c>
      <c r="AL36" s="155" t="n">
        <f aca="false">IFERROR('Price History'!R3+(INDEX('Price History'!R:R,MATCH(9.99E+307,'Returns (Calc)'!$A:$A)+1)-'Price History'!R3)*(ROW()-3)/(MATCH(9.99E+307,'Returns (Calc)'!$A:$A)-3),"")</f>
        <v>40.0028301886792</v>
      </c>
      <c r="AM36" s="155" t="n">
        <f aca="false">IFERROR('Price History'!S3+(INDEX('Price History'!S:S,MATCH(9.99E+307,'Returns (Calc)'!$A:$A)+1)-'Price History'!S3)*(ROW()-3)/(MATCH(9.99E+307,'Returns (Calc)'!$A:$A)-3),"")</f>
        <v>77.0418867924528</v>
      </c>
      <c r="AN36" s="155" t="n">
        <f aca="false">IFERROR('Price History'!T3+(INDEX('Price History'!T:T,MATCH(9.99E+307,'Returns (Calc)'!$A:$A)+1)-'Price History'!T3)*(ROW()-3)/(MATCH(9.99E+307,'Returns (Calc)'!$A:$A)-3),"")</f>
        <v>30.928679245283</v>
      </c>
      <c r="AO36" s="156" t="n">
        <f aca="false">IFERROR('Price History'!V3+(INDEX('Price History'!V:V,MATCH(9.99E+307,'Returns (Calc)'!$A:$A)+1)-'Price History'!V3)*(ROW()-3)/(MATCH(9.99E+307,'Returns (Calc)'!$A:$A)-3),"")</f>
        <v>266.724716981132</v>
      </c>
      <c r="AP36" s="154" t="n">
        <f aca="false">IFERROR(IF(OR(NOT(ISNUMBER('Price History'!W37)),NOT(ISNUMBER('Price History'!W36)),'Price History'!W36=0),"",'Price History'!W37/'Price History'!W36-1),"")</f>
        <v>0.0234446268929027</v>
      </c>
      <c r="AQ36" s="154" t="str">
        <f aca="false">IFERROR(IF(OR(NOT(ISNUMBER('Price History'!X37)),NOT(ISNUMBER('Price History'!X36)),'Price History'!X36=0),"",'Price History'!X37/'Price History'!X36-1),"")</f>
        <v/>
      </c>
      <c r="AR36" s="154" t="n">
        <f aca="false">IFERROR(IF(OR(NOT(ISNUMBER('Price History'!Y37)),NOT(ISNUMBER('Price History'!Y36)),'Price History'!Y36=0),"",'Price History'!Y37/'Price History'!Y36-1),"")</f>
        <v>0.0186106903267691</v>
      </c>
      <c r="AS36" s="154" t="n">
        <f aca="false">IFERROR(IF(OR(NOT(ISNUMBER('Price History'!Z37)),NOT(ISNUMBER('Price History'!Z36)),'Price History'!Z36=0),"",'Price History'!Z37/'Price History'!Z36-1),"")</f>
        <v>-0.00439057572197144</v>
      </c>
      <c r="AT36" s="154" t="n">
        <f aca="false">IFERROR(IF(OR(NOT(ISNUMBER('Price History'!AA37)),NOT(ISNUMBER('Price History'!AA36)),'Price History'!AA36=0),"",'Price History'!AA37/'Price History'!AA36-1),"")</f>
        <v>0.0545485931296392</v>
      </c>
      <c r="AU36" s="154" t="n">
        <f aca="false">IFERROR(IF(OR(NOT(ISNUMBER('Price History'!AB37)),NOT(ISNUMBER('Price History'!AB36)),'Price History'!AB36=0),"",'Price History'!AB37/'Price History'!AB36-1),"")</f>
        <v>0.00162202015237156</v>
      </c>
    </row>
    <row r="37" customFormat="false" ht="15" hidden="false" customHeight="true" outlineLevel="0" collapsed="false">
      <c r="A37" s="152" t="n">
        <f aca="false">IF('Price History'!A38="","",'Price History'!A38)</f>
        <v>45429</v>
      </c>
      <c r="B37" s="153" t="n">
        <f aca="false">IFERROR(IF(OR(NOT(ISNUMBER('Price History'!B38)),NOT(ISNUMBER('Price History'!B37)),'Price History'!B37=0),"",'Price History'!B38/'Price History'!B37-1),"")</f>
        <v>0.00236372307118127</v>
      </c>
      <c r="C37" s="153" t="n">
        <f aca="false">IFERROR(IF(OR(NOT(ISNUMBER('Price History'!C38)),NOT(ISNUMBER('Price History'!C37)),'Price History'!C37=0),"",'Price History'!C38/'Price History'!C37-1),"")</f>
        <v>0.0185963571519552</v>
      </c>
      <c r="D37" s="153" t="n">
        <f aca="false">IFERROR(IF(OR(NOT(ISNUMBER('Price History'!D38)),NOT(ISNUMBER('Price History'!D37)),'Price History'!D37=0),"",'Price History'!D38/'Price History'!D37-1),"")</f>
        <v>-0.00571578739898826</v>
      </c>
      <c r="E37" s="153" t="n">
        <f aca="false">IFERROR(IF(OR(NOT(ISNUMBER('Price History'!E38)),NOT(ISNUMBER('Price History'!E37)),'Price History'!E37=0),"",'Price History'!E38/'Price History'!E37-1),"")</f>
        <v>0.0468617961127757</v>
      </c>
      <c r="F37" s="153" t="n">
        <f aca="false">IFERROR(IF(OR(NOT(ISNUMBER('Price History'!F38)),NOT(ISNUMBER('Price History'!F37)),'Price History'!F37=0),"",'Price History'!F38/'Price History'!F37-1),"")</f>
        <v>0.0784387080683378</v>
      </c>
      <c r="G37" s="153" t="n">
        <f aca="false">IFERROR(IF(OR(NOT(ISNUMBER('Price History'!G38)),NOT(ISNUMBER('Price History'!G37)),'Price History'!G37=0),"",'Price History'!G38/'Price History'!G37-1),"")</f>
        <v>0.0429848205419208</v>
      </c>
      <c r="H37" s="153" t="n">
        <f aca="false">IFERROR(IF(OR(NOT(ISNUMBER('Price History'!H38)),NOT(ISNUMBER('Price History'!H37)),'Price History'!H37=0),"",'Price History'!H38/'Price History'!H37-1),"")</f>
        <v>0.0333942515368002</v>
      </c>
      <c r="I37" s="153" t="n">
        <f aca="false">IFERROR(IF(OR(NOT(ISNUMBER('Price History'!I38)),NOT(ISNUMBER('Price History'!I37)),'Price History'!I37=0),"",'Price History'!I38/'Price History'!I37-1),"")</f>
        <v>0.029011381388083</v>
      </c>
      <c r="J37" s="153" t="n">
        <f aca="false">IFERROR(IF(OR(NOT(ISNUMBER('Price History'!J38)),NOT(ISNUMBER('Price History'!J37)),'Price History'!J37=0),"",'Price History'!J38/'Price History'!J37-1),"")</f>
        <v>0.0372915613946438</v>
      </c>
      <c r="K37" s="153" t="n">
        <f aca="false">IFERROR(IF(OR(NOT(ISNUMBER('Price History'!K38)),NOT(ISNUMBER('Price History'!K37)),'Price History'!K37=0),"",'Price History'!K38/'Price History'!K37-1),"")</f>
        <v>0.0563106796116506</v>
      </c>
      <c r="L37" s="153" t="n">
        <f aca="false">IFERROR(IF(OR(NOT(ISNUMBER('Price History'!L38)),NOT(ISNUMBER('Price History'!L37)),'Price History'!L37=0),"",'Price History'!L38/'Price History'!L37-1),"")</f>
        <v>0.0162438653487249</v>
      </c>
      <c r="M37" s="153" t="n">
        <f aca="false">IFERROR(IF(OR(NOT(ISNUMBER('Price History'!M38)),NOT(ISNUMBER('Price History'!M37)),'Price History'!M37=0),"",'Price History'!M38/'Price History'!M37-1),"")</f>
        <v>0.0147182506307821</v>
      </c>
      <c r="N37" s="153" t="n">
        <f aca="false">IFERROR(IF(OR(NOT(ISNUMBER('Price History'!N38)),NOT(ISNUMBER('Price History'!N37)),'Price History'!N37=0),"",'Price History'!N38/'Price History'!N37-1),"")</f>
        <v>0.0530535976157813</v>
      </c>
      <c r="O37" s="153" t="n">
        <f aca="false">IFERROR(IF(OR(NOT(ISNUMBER('Price History'!O38)),NOT(ISNUMBER('Price History'!O37)),'Price History'!O37=0),"",'Price History'!O38/'Price History'!O37-1),"")</f>
        <v>0.0110298255486776</v>
      </c>
      <c r="P37" s="153" t="n">
        <f aca="false">IFERROR(IF(OR(NOT(ISNUMBER('Price History'!P38)),NOT(ISNUMBER('Price History'!P37)),'Price History'!P37=0),"",'Price History'!P38/'Price History'!P37-1),"")</f>
        <v>0.0121532364597094</v>
      </c>
      <c r="Q37" s="153" t="n">
        <f aca="false">IFERROR(IF(OR(NOT(ISNUMBER('Price History'!Q38)),NOT(ISNUMBER('Price History'!Q37)),'Price History'!Q37=0),"",'Price History'!Q38/'Price History'!Q37-1),"")</f>
        <v>0.01078360891445</v>
      </c>
      <c r="R37" s="153" t="n">
        <f aca="false">IFERROR(IF(OR(NOT(ISNUMBER('Price History'!R38)),NOT(ISNUMBER('Price History'!R37)),'Price History'!R37=0),"",'Price History'!R38/'Price History'!R37-1),"")</f>
        <v>0.0120098039215686</v>
      </c>
      <c r="S37" s="153" t="n">
        <f aca="false">IFERROR(IF(OR(NOT(ISNUMBER('Price History'!S38)),NOT(ISNUMBER('Price History'!S37)),'Price History'!S37=0),"",'Price History'!S38/'Price History'!S37-1),"")</f>
        <v>0.0150953051042599</v>
      </c>
      <c r="T37" s="153" t="n">
        <f aca="false">IFERROR(IF(OR(NOT(ISNUMBER('Price History'!T38)),NOT(ISNUMBER('Price History'!T37)),'Price History'!T37=0),"",'Price History'!T38/'Price History'!T37-1),"")</f>
        <v>0.00919238345370976</v>
      </c>
      <c r="U37" s="153" t="n">
        <f aca="false">IFERROR(IF(OR(NOT(ISNUMBER('Price History'!U38)),NOT(ISNUMBER('Price History'!U37)),'Price History'!U37=0),"",'Price History'!U38/'Price History'!U37-1),"")</f>
        <v>0.00995024875621886</v>
      </c>
      <c r="V37" s="154" t="n">
        <f aca="false">IFERROR(IF(OR(NOT(ISNUMBER('Price History'!V38)),NOT(ISNUMBER('Price History'!V37)),'Price History'!V37=0),"",'Price History'!V38/'Price History'!V37-1),"")</f>
        <v>-0.000435555878189553</v>
      </c>
      <c r="W37" s="155" t="n">
        <f aca="false">IFERROR('Price History'!B3+(INDEX('Price History'!B:B,MATCH(9.99E+307,'Returns (Calc)'!$A:$A)+1)-'Price History'!B3)*(ROW()-3)/(MATCH(9.99E+307,'Returns (Calc)'!$A:$A)-3),"")</f>
        <v>467.600188679245</v>
      </c>
      <c r="X37" s="155" t="n">
        <f aca="false">IFERROR('Price History'!C3+(INDEX('Price History'!C:C,MATCH(9.99E+307,'Returns (Calc)'!$A:$A)+1)-'Price History'!C3)*(ROW()-3)/(MATCH(9.99E+307,'Returns (Calc)'!$A:$A)-3),"")</f>
        <v>82.6519496855346</v>
      </c>
      <c r="Y37" s="155" t="n">
        <f aca="false">IFERROR('Price History'!D3+(INDEX('Price History'!D:D,MATCH(9.99E+307,'Returns (Calc)'!$A:$A)+1)-'Price History'!D3)*(ROW()-3)/(MATCH(9.99E+307,'Returns (Calc)'!$A:$A)-3),"")</f>
        <v>838.256666666667</v>
      </c>
      <c r="Z37" s="155" t="n">
        <f aca="false">IFERROR('Price History'!E3+(INDEX('Price History'!E:E,MATCH(9.99E+307,'Returns (Calc)'!$A:$A)+1)-'Price History'!E3)*(ROW()-3)/(MATCH(9.99E+307,'Returns (Calc)'!$A:$A)-3),"")</f>
        <v>141.775849056604</v>
      </c>
      <c r="AA37" s="155" t="n">
        <f aca="false">IFERROR('Price History'!F3+(INDEX('Price History'!F:F,MATCH(9.99E+307,'Returns (Calc)'!$A:$A)+1)-'Price History'!F3)*(ROW()-3)/(MATCH(9.99E+307,'Returns (Calc)'!$A:$A)-3),"")</f>
        <v>91.3293081761006</v>
      </c>
      <c r="AB37" s="155" t="n">
        <f aca="false">IFERROR('Price History'!G3+(INDEX('Price History'!G:G,MATCH(9.99E+307,'Returns (Calc)'!$A:$A)+1)-'Price History'!G3)*(ROW()-3)/(MATCH(9.99E+307,'Returns (Calc)'!$A:$A)-3),"")</f>
        <v>76.6863522012579</v>
      </c>
      <c r="AC37" s="155" t="n">
        <f aca="false">IFERROR('Price History'!H3+(INDEX('Price History'!H:H,MATCH(9.99E+307,'Returns (Calc)'!$A:$A)+1)-'Price History'!H3)*(ROW()-3)/(MATCH(9.99E+307,'Returns (Calc)'!$A:$A)-3),"")</f>
        <v>274.369496855346</v>
      </c>
      <c r="AD37" s="155" t="n">
        <f aca="false">IFERROR('Price History'!I3+(INDEX('Price History'!I:I,MATCH(9.99E+307,'Returns (Calc)'!$A:$A)+1)-'Price History'!I3)*(ROW()-3)/(MATCH(9.99E+307,'Returns (Calc)'!$A:$A)-3),"")</f>
        <v>83.4388050314466</v>
      </c>
      <c r="AE37" s="155" t="n">
        <f aca="false">IFERROR('Price History'!J3+(INDEX('Price History'!J:J,MATCH(9.99E+307,'Returns (Calc)'!$A:$A)+1)-'Price History'!J3)*(ROW()-3)/(MATCH(9.99E+307,'Returns (Calc)'!$A:$A)-3),"")</f>
        <v>115.614213836478</v>
      </c>
      <c r="AF37" s="155" t="n">
        <f aca="false">IFERROR('Price History'!K3+(INDEX('Price History'!K:K,MATCH(9.99E+307,'Returns (Calc)'!$A:$A)+1)-'Price History'!K3)*(ROW()-3)/(MATCH(9.99E+307,'Returns (Calc)'!$A:$A)-3),"")</f>
        <v>56.7544025157233</v>
      </c>
      <c r="AG37" s="155" t="n">
        <f aca="false">IFERROR('Price History'!L3+(INDEX('Price History'!L:L,MATCH(9.99E+307,'Returns (Calc)'!$A:$A)+1)-'Price History'!L3)*(ROW()-3)/(MATCH(9.99E+307,'Returns (Calc)'!$A:$A)-3),"")</f>
        <v>164.347735849057</v>
      </c>
      <c r="AH37" s="155" t="n">
        <f aca="false">IFERROR('Price History'!M3+(INDEX('Price History'!M:M,MATCH(9.99E+307,'Returns (Calc)'!$A:$A)+1)-'Price History'!M3)*(ROW()-3)/(MATCH(9.99E+307,'Returns (Calc)'!$A:$A)-3),"")</f>
        <v>81.8051572327044</v>
      </c>
      <c r="AI37" s="155" t="n">
        <f aca="false">IFERROR('Price History'!N3+(INDEX('Price History'!N:N,MATCH(9.99E+307,'Returns (Calc)'!$A:$A)+1)-'Price History'!N3)*(ROW()-3)/(MATCH(9.99E+307,'Returns (Calc)'!$A:$A)-3),"")</f>
        <v>383.366163522013</v>
      </c>
      <c r="AJ37" s="155" t="n">
        <f aca="false">IFERROR('Price History'!O3+(INDEX('Price History'!O:O,MATCH(9.99E+307,'Returns (Calc)'!$A:$A)+1)-'Price History'!O3)*(ROW()-3)/(MATCH(9.99E+307,'Returns (Calc)'!$A:$A)-3),"")</f>
        <v>84.7893710691824</v>
      </c>
      <c r="AK37" s="155" t="n">
        <f aca="false">IFERROR('Price History'!Q3+(INDEX('Price History'!Q:Q,MATCH(9.99E+307,'Returns (Calc)'!$A:$A)+1)-'Price History'!Q3)*(ROW()-3)/(MATCH(9.99E+307,'Returns (Calc)'!$A:$A)-3),"")</f>
        <v>14.9621383647799</v>
      </c>
      <c r="AL37" s="155" t="n">
        <f aca="false">IFERROR('Price History'!R3+(INDEX('Price History'!R:R,MATCH(9.99E+307,'Returns (Calc)'!$A:$A)+1)-'Price History'!R3)*(ROW()-3)/(MATCH(9.99E+307,'Returns (Calc)'!$A:$A)-3),"")</f>
        <v>40.1701886792453</v>
      </c>
      <c r="AM37" s="155" t="n">
        <f aca="false">IFERROR('Price History'!S3+(INDEX('Price History'!S:S,MATCH(9.99E+307,'Returns (Calc)'!$A:$A)+1)-'Price History'!S3)*(ROW()-3)/(MATCH(9.99E+307,'Returns (Calc)'!$A:$A)-3),"")</f>
        <v>77.6301257861635</v>
      </c>
      <c r="AN37" s="155" t="n">
        <f aca="false">IFERROR('Price History'!T3+(INDEX('Price History'!T:T,MATCH(9.99E+307,'Returns (Calc)'!$A:$A)+1)-'Price History'!T3)*(ROW()-3)/(MATCH(9.99E+307,'Returns (Calc)'!$A:$A)-3),"")</f>
        <v>31.1025786163522</v>
      </c>
      <c r="AO37" s="156" t="n">
        <f aca="false">IFERROR('Price History'!V3+(INDEX('Price History'!V:V,MATCH(9.99E+307,'Returns (Calc)'!$A:$A)+1)-'Price History'!V3)*(ROW()-3)/(MATCH(9.99E+307,'Returns (Calc)'!$A:$A)-3),"")</f>
        <v>267.666981132076</v>
      </c>
      <c r="AP37" s="154" t="n">
        <f aca="false">IFERROR(IF(OR(NOT(ISNUMBER('Price History'!W38)),NOT(ISNUMBER('Price History'!W37)),'Price History'!W37=0),"",'Price History'!W38/'Price History'!W37-1),"")</f>
        <v>0.0136375791068724</v>
      </c>
      <c r="AQ37" s="154" t="str">
        <f aca="false">IFERROR(IF(OR(NOT(ISNUMBER('Price History'!X38)),NOT(ISNUMBER('Price History'!X37)),'Price History'!X37=0),"",'Price History'!X38/'Price History'!X37-1),"")</f>
        <v/>
      </c>
      <c r="AR37" s="154" t="n">
        <f aca="false">IFERROR(IF(OR(NOT(ISNUMBER('Price History'!Y38)),NOT(ISNUMBER('Price History'!Y37)),'Price History'!Y37=0),"",'Price History'!Y38/'Price History'!Y37-1),"")</f>
        <v>0.00488633949437012</v>
      </c>
      <c r="AS37" s="154" t="n">
        <f aca="false">IFERROR(IF(OR(NOT(ISNUMBER('Price History'!Z38)),NOT(ISNUMBER('Price History'!Z37)),'Price History'!Z37=0),"",'Price History'!Z38/'Price History'!Z37-1),"")</f>
        <v>-0.0213664596273292</v>
      </c>
      <c r="AT37" s="154" t="n">
        <f aca="false">IFERROR(IF(OR(NOT(ISNUMBER('Price History'!AA38)),NOT(ISNUMBER('Price History'!AA37)),'Price History'!AA37=0),"",'Price History'!AA38/'Price History'!AA37-1),"")</f>
        <v>0.0166966770338843</v>
      </c>
      <c r="AU37" s="154" t="n">
        <f aca="false">IFERROR(IF(OR(NOT(ISNUMBER('Price History'!AB38)),NOT(ISNUMBER('Price History'!AB37)),'Price History'!AB37=0),"",'Price History'!AB38/'Price History'!AB37-1),"")</f>
        <v>0.0318480714496026</v>
      </c>
    </row>
    <row r="38" customFormat="false" ht="15" hidden="false" customHeight="true" outlineLevel="0" collapsed="false">
      <c r="A38" s="152" t="n">
        <f aca="false">IF('Price History'!A39="","",'Price History'!A39)</f>
        <v>45436</v>
      </c>
      <c r="B38" s="153" t="n">
        <f aca="false">IFERROR(IF(OR(NOT(ISNUMBER('Price History'!B39)),NOT(ISNUMBER('Price History'!B38)),'Price History'!B38=0),"",'Price History'!B39/'Price History'!B38-1),"")</f>
        <v>-0.0165484144550401</v>
      </c>
      <c r="C38" s="153" t="n">
        <f aca="false">IFERROR(IF(OR(NOT(ISNUMBER('Price History'!C39)),NOT(ISNUMBER('Price History'!C38)),'Price History'!C38=0),"",'Price History'!C39/'Price History'!C38-1),"")</f>
        <v>-0.0416406152307115</v>
      </c>
      <c r="D38" s="153" t="n">
        <f aca="false">IFERROR(IF(OR(NOT(ISNUMBER('Price History'!D39)),NOT(ISNUMBER('Price History'!D38)),'Price History'!D38=0),"",'Price History'!D39/'Price History'!D38-1),"")</f>
        <v>0.0337870578388617</v>
      </c>
      <c r="E38" s="153" t="n">
        <f aca="false">IFERROR(IF(OR(NOT(ISNUMBER('Price History'!E39)),NOT(ISNUMBER('Price History'!E38)),'Price History'!E38=0),"",'Price History'!E39/'Price History'!E38-1),"")</f>
        <v>0.00902619798928583</v>
      </c>
      <c r="F38" s="153" t="n">
        <f aca="false">IFERROR(IF(OR(NOT(ISNUMBER('Price History'!F39)),NOT(ISNUMBER('Price History'!F38)),'Price History'!F38=0),"",'Price History'!F39/'Price History'!F38-1),"")</f>
        <v>0.0160730804810361</v>
      </c>
      <c r="G38" s="153" t="n">
        <f aca="false">IFERROR(IF(OR(NOT(ISNUMBER('Price History'!G39)),NOT(ISNUMBER('Price History'!G38)),'Price History'!G38=0),"",'Price History'!G39/'Price History'!G38-1),"")</f>
        <v>0.0420293797606095</v>
      </c>
      <c r="H38" s="153" t="n">
        <f aca="false">IFERROR(IF(OR(NOT(ISNUMBER('Price History'!H39)),NOT(ISNUMBER('Price History'!H38)),'Price History'!H38=0),"",'Price History'!H39/'Price History'!H38-1),"")</f>
        <v>0.0335209003215433</v>
      </c>
      <c r="I38" s="153" t="n">
        <f aca="false">IFERROR(IF(OR(NOT(ISNUMBER('Price History'!I39)),NOT(ISNUMBER('Price History'!I38)),'Price History'!I38=0),"",'Price History'!I39/'Price History'!I38-1),"")</f>
        <v>0.151268705270007</v>
      </c>
      <c r="J38" s="153" t="n">
        <f aca="false">IFERROR(IF(OR(NOT(ISNUMBER('Price History'!J39)),NOT(ISNUMBER('Price History'!J38)),'Price History'!J38=0),"",'Price History'!J39/'Price History'!J38-1),"")</f>
        <v>-0.0606001558846454</v>
      </c>
      <c r="K38" s="153" t="n">
        <f aca="false">IFERROR(IF(OR(NOT(ISNUMBER('Price History'!K39)),NOT(ISNUMBER('Price History'!K38)),'Price History'!K38=0),"",'Price History'!K39/'Price History'!K38-1),"")</f>
        <v>-0.0344669117647058</v>
      </c>
      <c r="L38" s="153" t="n">
        <f aca="false">IFERROR(IF(OR(NOT(ISNUMBER('Price History'!L39)),NOT(ISNUMBER('Price History'!L38)),'Price History'!L38=0),"",'Price History'!L39/'Price History'!L38-1),"")</f>
        <v>0.054822473132907</v>
      </c>
      <c r="M38" s="153" t="n">
        <f aca="false">IFERROR(IF(OR(NOT(ISNUMBER('Price History'!M39)),NOT(ISNUMBER('Price History'!M38)),'Price History'!M38=0),"",'Price History'!M39/'Price History'!M38-1),"")</f>
        <v>0.0966639038541235</v>
      </c>
      <c r="N38" s="153" t="n">
        <f aca="false">IFERROR(IF(OR(NOT(ISNUMBER('Price History'!N39)),NOT(ISNUMBER('Price History'!N38)),'Price History'!N38=0),"",'Price History'!N39/'Price History'!N38-1),"")</f>
        <v>0.0263695784012039</v>
      </c>
      <c r="O38" s="153" t="n">
        <f aca="false">IFERROR(IF(OR(NOT(ISNUMBER('Price History'!O39)),NOT(ISNUMBER('Price History'!O38)),'Price History'!O38=0),"",'Price History'!O39/'Price History'!O38-1),"")</f>
        <v>-0.0148057441834576</v>
      </c>
      <c r="P38" s="153" t="n">
        <f aca="false">IFERROR(IF(OR(NOT(ISNUMBER('Price History'!P39)),NOT(ISNUMBER('Price History'!P38)),'Price History'!P38=0),"",'Price History'!P39/'Price History'!P38-1),"")</f>
        <v>-0.0204472287479336</v>
      </c>
      <c r="Q38" s="153" t="n">
        <f aca="false">IFERROR(IF(OR(NOT(ISNUMBER('Price History'!Q39)),NOT(ISNUMBER('Price History'!Q38)),'Price History'!Q38=0),"",'Price History'!Q39/'Price History'!Q38-1),"")</f>
        <v>0.00106685633001424</v>
      </c>
      <c r="R38" s="153" t="n">
        <f aca="false">IFERROR(IF(OR(NOT(ISNUMBER('Price History'!R39)),NOT(ISNUMBER('Price History'!R38)),'Price History'!R38=0),"",'Price History'!R39/'Price History'!R38-1),"")</f>
        <v>0.00460159844998787</v>
      </c>
      <c r="S38" s="153" t="n">
        <f aca="false">IFERROR(IF(OR(NOT(ISNUMBER('Price History'!S39)),NOT(ISNUMBER('Price History'!S38)),'Price History'!S38=0),"",'Price History'!S39/'Price History'!S38-1),"")</f>
        <v>0.019533711405167</v>
      </c>
      <c r="T38" s="153" t="n">
        <f aca="false">IFERROR(IF(OR(NOT(ISNUMBER('Price History'!T39)),NOT(ISNUMBER('Price History'!T38)),'Price History'!T38=0),"",'Price History'!T39/'Price History'!T38-1),"")</f>
        <v>-0.0169160702667535</v>
      </c>
      <c r="U38" s="153" t="n">
        <f aca="false">IFERROR(IF(OR(NOT(ISNUMBER('Price History'!U39)),NOT(ISNUMBER('Price History'!U38)),'Price History'!U38=0),"",'Price History'!U39/'Price History'!U38-1),"")</f>
        <v>-0.024630541871921</v>
      </c>
      <c r="V38" s="154" t="n">
        <f aca="false">IFERROR(IF(OR(NOT(ISNUMBER('Price History'!V39)),NOT(ISNUMBER('Price History'!V38)),'Price History'!V38=0),"",'Price History'!V39/'Price History'!V38-1),"")</f>
        <v>-0.0200443008097606</v>
      </c>
      <c r="W38" s="155" t="n">
        <f aca="false">IFERROR('Price History'!B3+(INDEX('Price History'!B:B,MATCH(9.99E+307,'Returns (Calc)'!$A:$A)+1)-'Price History'!B3)*(ROW()-3)/(MATCH(9.99E+307,'Returns (Calc)'!$A:$A)-3),"")</f>
        <v>465.797547169811</v>
      </c>
      <c r="X38" s="155" t="n">
        <f aca="false">IFERROR('Price History'!C3+(INDEX('Price History'!C:C,MATCH(9.99E+307,'Returns (Calc)'!$A:$A)+1)-'Price History'!C3)*(ROW()-3)/(MATCH(9.99E+307,'Returns (Calc)'!$A:$A)-3),"")</f>
        <v>83.7246540880503</v>
      </c>
      <c r="Y38" s="155" t="n">
        <f aca="false">IFERROR('Price History'!D3+(INDEX('Price History'!D:D,MATCH(9.99E+307,'Returns (Calc)'!$A:$A)+1)-'Price History'!D3)*(ROW()-3)/(MATCH(9.99E+307,'Returns (Calc)'!$A:$A)-3),"")</f>
        <v>845.793333333333</v>
      </c>
      <c r="Z38" s="155" t="n">
        <f aca="false">IFERROR('Price History'!E3+(INDEX('Price History'!E:E,MATCH(9.99E+307,'Returns (Calc)'!$A:$A)+1)-'Price History'!E3)*(ROW()-3)/(MATCH(9.99E+307,'Returns (Calc)'!$A:$A)-3),"")</f>
        <v>143.533962264151</v>
      </c>
      <c r="AA38" s="155" t="n">
        <f aca="false">IFERROR('Price History'!F3+(INDEX('Price History'!F:F,MATCH(9.99E+307,'Returns (Calc)'!$A:$A)+1)-'Price History'!F3)*(ROW()-3)/(MATCH(9.99E+307,'Returns (Calc)'!$A:$A)-3),"")</f>
        <v>92.7989937106918</v>
      </c>
      <c r="AB38" s="155" t="n">
        <f aca="false">IFERROR('Price History'!G3+(INDEX('Price History'!G:G,MATCH(9.99E+307,'Returns (Calc)'!$A:$A)+1)-'Price History'!G3)*(ROW()-3)/(MATCH(9.99E+307,'Returns (Calc)'!$A:$A)-3),"")</f>
        <v>77.6374213836478</v>
      </c>
      <c r="AC38" s="155" t="n">
        <f aca="false">IFERROR('Price History'!H3+(INDEX('Price History'!H:H,MATCH(9.99E+307,'Returns (Calc)'!$A:$A)+1)-'Price History'!H3)*(ROW()-3)/(MATCH(9.99E+307,'Returns (Calc)'!$A:$A)-3),"")</f>
        <v>280.406540880503</v>
      </c>
      <c r="AD38" s="155" t="n">
        <f aca="false">IFERROR('Price History'!I3+(INDEX('Price History'!I:I,MATCH(9.99E+307,'Returns (Calc)'!$A:$A)+1)-'Price History'!I3)*(ROW()-3)/(MATCH(9.99E+307,'Returns (Calc)'!$A:$A)-3),"")</f>
        <v>84.605534591195</v>
      </c>
      <c r="AE38" s="155" t="n">
        <f aca="false">IFERROR('Price History'!J3+(INDEX('Price History'!J:J,MATCH(9.99E+307,'Returns (Calc)'!$A:$A)+1)-'Price History'!J3)*(ROW()-3)/(MATCH(9.99E+307,'Returns (Calc)'!$A:$A)-3),"")</f>
        <v>115.725220125786</v>
      </c>
      <c r="AF38" s="155" t="n">
        <f aca="false">IFERROR('Price History'!K3+(INDEX('Price History'!K:K,MATCH(9.99E+307,'Returns (Calc)'!$A:$A)+1)-'Price History'!K3)*(ROW()-3)/(MATCH(9.99E+307,'Returns (Calc)'!$A:$A)-3),"")</f>
        <v>57.9727672955975</v>
      </c>
      <c r="AG38" s="155" t="n">
        <f aca="false">IFERROR('Price History'!L3+(INDEX('Price History'!L:L,MATCH(9.99E+307,'Returns (Calc)'!$A:$A)+1)-'Price History'!L3)*(ROW()-3)/(MATCH(9.99E+307,'Returns (Calc)'!$A:$A)-3),"")</f>
        <v>166.659433962264</v>
      </c>
      <c r="AH38" s="155" t="n">
        <f aca="false">IFERROR('Price History'!M3+(INDEX('Price History'!M:M,MATCH(9.99E+307,'Returns (Calc)'!$A:$A)+1)-'Price History'!M3)*(ROW()-3)/(MATCH(9.99E+307,'Returns (Calc)'!$A:$A)-3),"")</f>
        <v>83.0929559748428</v>
      </c>
      <c r="AI38" s="155" t="n">
        <f aca="false">IFERROR('Price History'!N3+(INDEX('Price History'!N:N,MATCH(9.99E+307,'Returns (Calc)'!$A:$A)+1)-'Price History'!N3)*(ROW()-3)/(MATCH(9.99E+307,'Returns (Calc)'!$A:$A)-3),"")</f>
        <v>384.379874213836</v>
      </c>
      <c r="AJ38" s="155" t="n">
        <f aca="false">IFERROR('Price History'!O3+(INDEX('Price History'!O:O,MATCH(9.99E+307,'Returns (Calc)'!$A:$A)+1)-'Price History'!O3)*(ROW()-3)/(MATCH(9.99E+307,'Returns (Calc)'!$A:$A)-3),"")</f>
        <v>85.0681761006289</v>
      </c>
      <c r="AK38" s="155" t="n">
        <f aca="false">IFERROR('Price History'!Q3+(INDEX('Price History'!Q:Q,MATCH(9.99E+307,'Returns (Calc)'!$A:$A)+1)-'Price History'!Q3)*(ROW()-3)/(MATCH(9.99E+307,'Returns (Calc)'!$A:$A)-3),"")</f>
        <v>15.4022012578616</v>
      </c>
      <c r="AL38" s="155" t="n">
        <f aca="false">IFERROR('Price History'!R3+(INDEX('Price History'!R:R,MATCH(9.99E+307,'Returns (Calc)'!$A:$A)+1)-'Price History'!R3)*(ROW()-3)/(MATCH(9.99E+307,'Returns (Calc)'!$A:$A)-3),"")</f>
        <v>40.3375471698113</v>
      </c>
      <c r="AM38" s="155" t="n">
        <f aca="false">IFERROR('Price History'!S3+(INDEX('Price History'!S:S,MATCH(9.99E+307,'Returns (Calc)'!$A:$A)+1)-'Price History'!S3)*(ROW()-3)/(MATCH(9.99E+307,'Returns (Calc)'!$A:$A)-3),"")</f>
        <v>78.2183647798742</v>
      </c>
      <c r="AN38" s="155" t="n">
        <f aca="false">IFERROR('Price History'!T3+(INDEX('Price History'!T:T,MATCH(9.99E+307,'Returns (Calc)'!$A:$A)+1)-'Price History'!T3)*(ROW()-3)/(MATCH(9.99E+307,'Returns (Calc)'!$A:$A)-3),"")</f>
        <v>31.2764779874214</v>
      </c>
      <c r="AO38" s="156" t="n">
        <f aca="false">IFERROR('Price History'!V3+(INDEX('Price History'!V:V,MATCH(9.99E+307,'Returns (Calc)'!$A:$A)+1)-'Price History'!V3)*(ROW()-3)/(MATCH(9.99E+307,'Returns (Calc)'!$A:$A)-3),"")</f>
        <v>268.609245283019</v>
      </c>
      <c r="AP38" s="154" t="n">
        <f aca="false">IFERROR(IF(OR(NOT(ISNUMBER('Price History'!W39)),NOT(ISNUMBER('Price History'!W38)),'Price History'!W38=0),"",'Price History'!W39/'Price History'!W38-1),"")</f>
        <v>-0.0174991206472036</v>
      </c>
      <c r="AQ38" s="154" t="str">
        <f aca="false">IFERROR(IF(OR(NOT(ISNUMBER('Price History'!X39)),NOT(ISNUMBER('Price History'!X38)),'Price History'!X38=0),"",'Price History'!X39/'Price History'!X38-1),"")</f>
        <v/>
      </c>
      <c r="AR38" s="154" t="n">
        <f aca="false">IFERROR(IF(OR(NOT(ISNUMBER('Price History'!Y39)),NOT(ISNUMBER('Price History'!Y38)),'Price History'!Y38=0),"",'Price History'!Y39/'Price History'!Y38-1),"")</f>
        <v>-0.00803382663847774</v>
      </c>
      <c r="AS38" s="154" t="n">
        <f aca="false">IFERROR(IF(OR(NOT(ISNUMBER('Price History'!Z39)),NOT(ISNUMBER('Price History'!Z38)),'Price History'!Z38=0),"",'Price History'!Z39/'Price History'!Z38-1),"")</f>
        <v>0.0465219598882964</v>
      </c>
      <c r="AT38" s="154" t="n">
        <f aca="false">IFERROR(IF(OR(NOT(ISNUMBER('Price History'!AA39)),NOT(ISNUMBER('Price History'!AA38)),'Price History'!AA38=0),"",'Price History'!AA39/'Price History'!AA38-1),"")</f>
        <v>0.0413781999677991</v>
      </c>
      <c r="AU38" s="154" t="n">
        <f aca="false">IFERROR(IF(OR(NOT(ISNUMBER('Price History'!AB39)),NOT(ISNUMBER('Price History'!AB38)),'Price History'!AB38=0),"",'Price History'!AB39/'Price History'!AB38-1),"")</f>
        <v>-0.0303419413135494</v>
      </c>
    </row>
    <row r="39" customFormat="false" ht="15" hidden="false" customHeight="true" outlineLevel="0" collapsed="false">
      <c r="A39" s="152" t="n">
        <f aca="false">IF('Price History'!A40="","",'Price History'!A40)</f>
        <v>45443</v>
      </c>
      <c r="B39" s="153" t="n">
        <f aca="false">IFERROR(IF(OR(NOT(ISNUMBER('Price History'!B40)),NOT(ISNUMBER('Price History'!B39)),'Price History'!B39=0),"",'Price History'!B40/'Price History'!B39-1),"")</f>
        <v>-0.0645100225059421</v>
      </c>
      <c r="C39" s="153" t="n">
        <f aca="false">IFERROR(IF(OR(NOT(ISNUMBER('Price History'!C40)),NOT(ISNUMBER('Price History'!C39)),'Price History'!C39=0),"",'Price History'!C40/'Price History'!C39-1),"")</f>
        <v>-0.0290970772442589</v>
      </c>
      <c r="D39" s="153" t="n">
        <f aca="false">IFERROR(IF(OR(NOT(ISNUMBER('Price History'!D40)),NOT(ISNUMBER('Price History'!D39)),'Price History'!D39=0),"",'Price History'!D40/'Price History'!D39-1),"")</f>
        <v>0.00431438554627572</v>
      </c>
      <c r="E39" s="153" t="n">
        <f aca="false">IFERROR(IF(OR(NOT(ISNUMBER('Price History'!E40)),NOT(ISNUMBER('Price History'!E39)),'Price History'!E39=0),"",'Price History'!E40/'Price History'!E39-1),"")</f>
        <v>-0.0563636363636364</v>
      </c>
      <c r="F39" s="153" t="n">
        <f aca="false">IFERROR(IF(OR(NOT(ISNUMBER('Price History'!F40)),NOT(ISNUMBER('Price History'!F39)),'Price History'!F39=0),"",'Price History'!F40/'Price History'!F39-1),"")</f>
        <v>-0.107545237282349</v>
      </c>
      <c r="G39" s="153" t="n">
        <f aca="false">IFERROR(IF(OR(NOT(ISNUMBER('Price History'!G40)),NOT(ISNUMBER('Price History'!G39)),'Price History'!G39=0),"",'Price History'!G40/'Price History'!G39-1),"")</f>
        <v>-0.0250620023495628</v>
      </c>
      <c r="H39" s="153" t="n">
        <f aca="false">IFERROR(IF(OR(NOT(ISNUMBER('Price History'!H40)),NOT(ISNUMBER('Price History'!H39)),'Price History'!H39=0),"",'Price History'!H40/'Price History'!H39-1),"")</f>
        <v>-0.0346892743252703</v>
      </c>
      <c r="I39" s="153" t="n">
        <f aca="false">IFERROR(IF(OR(NOT(ISNUMBER('Price History'!I40)),NOT(ISNUMBER('Price History'!I39)),'Price History'!I39=0),"",'Price History'!I40/'Price History'!I39-1),"")</f>
        <v>0.0296693981350664</v>
      </c>
      <c r="J39" s="153" t="n">
        <f aca="false">IFERROR(IF(OR(NOT(ISNUMBER('Price History'!J40)),NOT(ISNUMBER('Price History'!J39)),'Price History'!J39=0),"",'Price History'!J40/'Price History'!J39-1),"")</f>
        <v>0.0548641360713544</v>
      </c>
      <c r="K39" s="153" t="n">
        <f aca="false">IFERROR(IF(OR(NOT(ISNUMBER('Price History'!K40)),NOT(ISNUMBER('Price History'!K39)),'Price History'!K39=0),"",'Price History'!K40/'Price History'!K39-1),"")</f>
        <v>0.031889576392194</v>
      </c>
      <c r="L39" s="153" t="n">
        <f aca="false">IFERROR(IF(OR(NOT(ISNUMBER('Price History'!L40)),NOT(ISNUMBER('Price History'!L39)),'Price History'!L39=0),"",'Price History'!L40/'Price History'!L39-1),"")</f>
        <v>-0.055971111684292</v>
      </c>
      <c r="M39" s="153" t="n">
        <f aca="false">IFERROR(IF(OR(NOT(ISNUMBER('Price History'!M40)),NOT(ISNUMBER('Price History'!M39)),'Price History'!M39=0),"",'Price History'!M40/'Price History'!M39-1),"")</f>
        <v>-0.0762399622106754</v>
      </c>
      <c r="N39" s="153" t="n">
        <f aca="false">IFERROR(IF(OR(NOT(ISNUMBER('Price History'!N40)),NOT(ISNUMBER('Price History'!N39)),'Price History'!N39=0),"",'Price History'!N40/'Price History'!N39-1),"")</f>
        <v>-0.00352336141809828</v>
      </c>
      <c r="O39" s="153" t="n">
        <f aca="false">IFERROR(IF(OR(NOT(ISNUMBER('Price History'!O40)),NOT(ISNUMBER('Price History'!O39)),'Price History'!O39=0),"",'Price History'!O40/'Price History'!O39-1),"")</f>
        <v>0.0107344632768362</v>
      </c>
      <c r="P39" s="153" t="n">
        <f aca="false">IFERROR(IF(OR(NOT(ISNUMBER('Price History'!P40)),NOT(ISNUMBER('Price History'!P39)),'Price History'!P39=0),"",'Price History'!P40/'Price History'!P39-1),"")</f>
        <v>0.0104814354236988</v>
      </c>
      <c r="Q39" s="153" t="n">
        <f aca="false">IFERROR(IF(OR(NOT(ISNUMBER('Price History'!Q40)),NOT(ISNUMBER('Price History'!Q39)),'Price History'!Q39=0),"",'Price History'!Q40/'Price History'!Q39-1),"")</f>
        <v>-0.00266429840142091</v>
      </c>
      <c r="R39" s="153" t="n">
        <f aca="false">IFERROR(IF(OR(NOT(ISNUMBER('Price History'!R40)),NOT(ISNUMBER('Price History'!R39)),'Price History'!R39=0),"",'Price History'!R40/'Price History'!R39-1),"")</f>
        <v>-0.00337512054001909</v>
      </c>
      <c r="S39" s="153" t="n">
        <f aca="false">IFERROR(IF(OR(NOT(ISNUMBER('Price History'!S40)),NOT(ISNUMBER('Price History'!S39)),'Price History'!S39=0),"",'Price History'!S40/'Price History'!S39-1),"")</f>
        <v>-0.0110012360939431</v>
      </c>
      <c r="T39" s="153" t="n">
        <f aca="false">IFERROR(IF(OR(NOT(ISNUMBER('Price History'!T40)),NOT(ISNUMBER('Price History'!T39)),'Price History'!T39=0),"",'Price History'!T40/'Price History'!T39-1),"")</f>
        <v>0.0112508272667107</v>
      </c>
      <c r="U39" s="153" t="n">
        <f aca="false">IFERROR(IF(OR(NOT(ISNUMBER('Price History'!U40)),NOT(ISNUMBER('Price History'!U39)),'Price History'!U39=0),"",'Price History'!U40/'Price History'!U39-1),"")</f>
        <v>0.00589225589225584</v>
      </c>
      <c r="V39" s="154" t="n">
        <f aca="false">IFERROR(IF(OR(NOT(ISNUMBER('Price History'!V40)),NOT(ISNUMBER('Price History'!V39)),'Price History'!V39=0),"",'Price History'!V40/'Price History'!V39-1),"")</f>
        <v>-0.00737392077667032</v>
      </c>
      <c r="W39" s="155" t="n">
        <f aca="false">IFERROR('Price History'!B3+(INDEX('Price History'!B:B,MATCH(9.99E+307,'Returns (Calc)'!$A:$A)+1)-'Price History'!B3)*(ROW()-3)/(MATCH(9.99E+307,'Returns (Calc)'!$A:$A)-3),"")</f>
        <v>463.994905660377</v>
      </c>
      <c r="X39" s="155" t="n">
        <f aca="false">IFERROR('Price History'!C3+(INDEX('Price History'!C:C,MATCH(9.99E+307,'Returns (Calc)'!$A:$A)+1)-'Price History'!C3)*(ROW()-3)/(MATCH(9.99E+307,'Returns (Calc)'!$A:$A)-3),"")</f>
        <v>84.797358490566</v>
      </c>
      <c r="Y39" s="155" t="n">
        <f aca="false">IFERROR('Price History'!D3+(INDEX('Price History'!D:D,MATCH(9.99E+307,'Returns (Calc)'!$A:$A)+1)-'Price History'!D3)*(ROW()-3)/(MATCH(9.99E+307,'Returns (Calc)'!$A:$A)-3),"")</f>
        <v>853.33</v>
      </c>
      <c r="Z39" s="155" t="n">
        <f aca="false">IFERROR('Price History'!E3+(INDEX('Price History'!E:E,MATCH(9.99E+307,'Returns (Calc)'!$A:$A)+1)-'Price History'!E3)*(ROW()-3)/(MATCH(9.99E+307,'Returns (Calc)'!$A:$A)-3),"")</f>
        <v>145.292075471698</v>
      </c>
      <c r="AA39" s="155" t="n">
        <f aca="false">IFERROR('Price History'!F3+(INDEX('Price History'!F:F,MATCH(9.99E+307,'Returns (Calc)'!$A:$A)+1)-'Price History'!F3)*(ROW()-3)/(MATCH(9.99E+307,'Returns (Calc)'!$A:$A)-3),"")</f>
        <v>94.268679245283</v>
      </c>
      <c r="AB39" s="155" t="n">
        <f aca="false">IFERROR('Price History'!G3+(INDEX('Price History'!G:G,MATCH(9.99E+307,'Returns (Calc)'!$A:$A)+1)-'Price History'!G3)*(ROW()-3)/(MATCH(9.99E+307,'Returns (Calc)'!$A:$A)-3),"")</f>
        <v>78.5884905660377</v>
      </c>
      <c r="AC39" s="155" t="n">
        <f aca="false">IFERROR('Price History'!H3+(INDEX('Price History'!H:H,MATCH(9.99E+307,'Returns (Calc)'!$A:$A)+1)-'Price History'!H3)*(ROW()-3)/(MATCH(9.99E+307,'Returns (Calc)'!$A:$A)-3),"")</f>
        <v>286.44358490566</v>
      </c>
      <c r="AD39" s="155" t="n">
        <f aca="false">IFERROR('Price History'!I3+(INDEX('Price History'!I:I,MATCH(9.99E+307,'Returns (Calc)'!$A:$A)+1)-'Price History'!I3)*(ROW()-3)/(MATCH(9.99E+307,'Returns (Calc)'!$A:$A)-3),"")</f>
        <v>85.7722641509434</v>
      </c>
      <c r="AE39" s="155" t="n">
        <f aca="false">IFERROR('Price History'!J3+(INDEX('Price History'!J:J,MATCH(9.99E+307,'Returns (Calc)'!$A:$A)+1)-'Price History'!J3)*(ROW()-3)/(MATCH(9.99E+307,'Returns (Calc)'!$A:$A)-3),"")</f>
        <v>115.836226415094</v>
      </c>
      <c r="AF39" s="155" t="n">
        <f aca="false">IFERROR('Price History'!K3+(INDEX('Price History'!K:K,MATCH(9.99E+307,'Returns (Calc)'!$A:$A)+1)-'Price History'!K3)*(ROW()-3)/(MATCH(9.99E+307,'Returns (Calc)'!$A:$A)-3),"")</f>
        <v>59.1911320754717</v>
      </c>
      <c r="AG39" s="155" t="n">
        <f aca="false">IFERROR('Price History'!L3+(INDEX('Price History'!L:L,MATCH(9.99E+307,'Returns (Calc)'!$A:$A)+1)-'Price History'!L3)*(ROW()-3)/(MATCH(9.99E+307,'Returns (Calc)'!$A:$A)-3),"")</f>
        <v>168.971132075472</v>
      </c>
      <c r="AH39" s="155" t="n">
        <f aca="false">IFERROR('Price History'!M3+(INDEX('Price History'!M:M,MATCH(9.99E+307,'Returns (Calc)'!$A:$A)+1)-'Price History'!M3)*(ROW()-3)/(MATCH(9.99E+307,'Returns (Calc)'!$A:$A)-3),"")</f>
        <v>84.3807547169811</v>
      </c>
      <c r="AI39" s="155" t="n">
        <f aca="false">IFERROR('Price History'!N3+(INDEX('Price History'!N:N,MATCH(9.99E+307,'Returns (Calc)'!$A:$A)+1)-'Price History'!N3)*(ROW()-3)/(MATCH(9.99E+307,'Returns (Calc)'!$A:$A)-3),"")</f>
        <v>385.39358490566</v>
      </c>
      <c r="AJ39" s="155" t="n">
        <f aca="false">IFERROR('Price History'!O3+(INDEX('Price History'!O:O,MATCH(9.99E+307,'Returns (Calc)'!$A:$A)+1)-'Price History'!O3)*(ROW()-3)/(MATCH(9.99E+307,'Returns (Calc)'!$A:$A)-3),"")</f>
        <v>85.3469811320755</v>
      </c>
      <c r="AK39" s="155" t="n">
        <f aca="false">IFERROR('Price History'!Q3+(INDEX('Price History'!Q:Q,MATCH(9.99E+307,'Returns (Calc)'!$A:$A)+1)-'Price History'!Q3)*(ROW()-3)/(MATCH(9.99E+307,'Returns (Calc)'!$A:$A)-3),"")</f>
        <v>15.8422641509434</v>
      </c>
      <c r="AL39" s="155" t="n">
        <f aca="false">IFERROR('Price History'!R3+(INDEX('Price History'!R:R,MATCH(9.99E+307,'Returns (Calc)'!$A:$A)+1)-'Price History'!R3)*(ROW()-3)/(MATCH(9.99E+307,'Returns (Calc)'!$A:$A)-3),"")</f>
        <v>40.5049056603774</v>
      </c>
      <c r="AM39" s="155" t="n">
        <f aca="false">IFERROR('Price History'!S3+(INDEX('Price History'!S:S,MATCH(9.99E+307,'Returns (Calc)'!$A:$A)+1)-'Price History'!S3)*(ROW()-3)/(MATCH(9.99E+307,'Returns (Calc)'!$A:$A)-3),"")</f>
        <v>78.8066037735849</v>
      </c>
      <c r="AN39" s="155" t="n">
        <f aca="false">IFERROR('Price History'!T3+(INDEX('Price History'!T:T,MATCH(9.99E+307,'Returns (Calc)'!$A:$A)+1)-'Price History'!T3)*(ROW()-3)/(MATCH(9.99E+307,'Returns (Calc)'!$A:$A)-3),"")</f>
        <v>31.4503773584906</v>
      </c>
      <c r="AO39" s="156" t="n">
        <f aca="false">IFERROR('Price History'!V3+(INDEX('Price History'!V:V,MATCH(9.99E+307,'Returns (Calc)'!$A:$A)+1)-'Price History'!V3)*(ROW()-3)/(MATCH(9.99E+307,'Returns (Calc)'!$A:$A)-3),"")</f>
        <v>269.551509433962</v>
      </c>
      <c r="AP39" s="154" t="n">
        <f aca="false">IFERROR(IF(OR(NOT(ISNUMBER('Price History'!W40)),NOT(ISNUMBER('Price History'!W39)),'Price History'!W39=0),"",'Price History'!W40/'Price History'!W39-1),"")</f>
        <v>0.00519108565291315</v>
      </c>
      <c r="AQ39" s="154" t="str">
        <f aca="false">IFERROR(IF(OR(NOT(ISNUMBER('Price History'!X40)),NOT(ISNUMBER('Price History'!X39)),'Price History'!X39=0),"",'Price History'!X40/'Price History'!X39-1),"")</f>
        <v/>
      </c>
      <c r="AR39" s="154" t="n">
        <f aca="false">IFERROR(IF(OR(NOT(ISNUMBER('Price History'!Y40)),NOT(ISNUMBER('Price History'!Y39)),'Price History'!Y39=0),"",'Price History'!Y40/'Price History'!Y39-1),"")</f>
        <v>-0.00170502983802212</v>
      </c>
      <c r="AS39" s="154" t="n">
        <f aca="false">IFERROR(IF(OR(NOT(ISNUMBER('Price History'!Z40)),NOT(ISNUMBER('Price History'!Z39)),'Price History'!Z39=0),"",'Price History'!Z40/'Price History'!Z39-1),"")</f>
        <v>-0.0130996421856996</v>
      </c>
      <c r="AT39" s="154" t="n">
        <f aca="false">IFERROR(IF(OR(NOT(ISNUMBER('Price History'!AA40)),NOT(ISNUMBER('Price History'!AA39)),'Price History'!AA39=0),"",'Price History'!AA40/'Price History'!AA39-1),"")</f>
        <v>-0.00803957946815104</v>
      </c>
      <c r="AU39" s="154" t="n">
        <f aca="false">IFERROR(IF(OR(NOT(ISNUMBER('Price History'!AB40)),NOT(ISNUMBER('Price History'!AB39)),'Price History'!AB39=0),"",'Price History'!AB40/'Price History'!AB39-1),"")</f>
        <v>-0.14537250478199</v>
      </c>
    </row>
    <row r="40" customFormat="false" ht="15" hidden="false" customHeight="true" outlineLevel="0" collapsed="false">
      <c r="A40" s="152" t="n">
        <f aca="false">IF('Price History'!A41="","",'Price History'!A41)</f>
        <v>45450</v>
      </c>
      <c r="B40" s="153" t="n">
        <f aca="false">IFERROR(IF(OR(NOT(ISNUMBER('Price History'!B41)),NOT(ISNUMBER('Price History'!B40)),'Price History'!B40=0),"",'Price History'!B41/'Price History'!B40-1),"")</f>
        <v>0.0464745031027971</v>
      </c>
      <c r="C40" s="153" t="n">
        <f aca="false">IFERROR(IF(OR(NOT(ISNUMBER('Price History'!C41)),NOT(ISNUMBER('Price History'!C40)),'Price History'!C40=0),"",'Price History'!C41/'Price History'!C40-1),"")</f>
        <v>-0.00282220131702715</v>
      </c>
      <c r="D40" s="153" t="n">
        <f aca="false">IFERROR(IF(OR(NOT(ISNUMBER('Price History'!D41)),NOT(ISNUMBER('Price History'!D40)),'Price History'!D40=0),"",'Price History'!D41/'Price History'!D40-1),"")</f>
        <v>0.0708868546941461</v>
      </c>
      <c r="E40" s="153" t="n">
        <f aca="false">IFERROR(IF(OR(NOT(ISNUMBER('Price History'!E41)),NOT(ISNUMBER('Price History'!E40)),'Price History'!E40=0),"",'Price History'!E41/'Price History'!E40-1),"")</f>
        <v>0.058805394990366</v>
      </c>
      <c r="F40" s="153" t="n">
        <f aca="false">IFERROR(IF(OR(NOT(ISNUMBER('Price History'!F41)),NOT(ISNUMBER('Price History'!F40)),'Price History'!F40=0),"",'Price History'!F41/'Price History'!F40-1),"")</f>
        <v>0.112981382300434</v>
      </c>
      <c r="G40" s="153" t="n">
        <f aca="false">IFERROR(IF(OR(NOT(ISNUMBER('Price History'!G41)),NOT(ISNUMBER('Price History'!G40)),'Price History'!G40=0),"",'Price History'!G41/'Price History'!G40-1),"")</f>
        <v>0.0123175793278887</v>
      </c>
      <c r="H40" s="153" t="n">
        <f aca="false">IFERROR(IF(OR(NOT(ISNUMBER('Price History'!H41)),NOT(ISNUMBER('Price History'!H40)),'Price History'!H40=0),"",'Price History'!H41/'Price History'!H40-1),"")</f>
        <v>0.0475384739344129</v>
      </c>
      <c r="I40" s="153" t="n">
        <f aca="false">IFERROR(IF(OR(NOT(ISNUMBER('Price History'!I41)),NOT(ISNUMBER('Price History'!I40)),'Price History'!I40=0),"",'Price History'!I41/'Price History'!I40-1),"")</f>
        <v>0.102634467618002</v>
      </c>
      <c r="J40" s="153" t="n">
        <f aca="false">IFERROR(IF(OR(NOT(ISNUMBER('Price History'!J41)),NOT(ISNUMBER('Price History'!J40)),'Price History'!J40=0),"",'Price History'!J41/'Price History'!J40-1),"")</f>
        <v>-0.00265460623340863</v>
      </c>
      <c r="K40" s="153" t="n">
        <f aca="false">IFERROR(IF(OR(NOT(ISNUMBER('Price History'!K41)),NOT(ISNUMBER('Price History'!K40)),'Price History'!K40=0),"",'Price History'!K41/'Price History'!K40-1),"")</f>
        <v>0.0751845018450184</v>
      </c>
      <c r="L40" s="153" t="n">
        <f aca="false">IFERROR(IF(OR(NOT(ISNUMBER('Price History'!L41)),NOT(ISNUMBER('Price History'!L40)),'Price History'!L40=0),"",'Price History'!L41/'Price History'!L40-1),"")</f>
        <v>0.0883879781420764</v>
      </c>
      <c r="M40" s="153" t="n">
        <f aca="false">IFERROR(IF(OR(NOT(ISNUMBER('Price History'!M41)),NOT(ISNUMBER('Price History'!M40)),'Price History'!M40=0),"",'Price History'!M41/'Price History'!M40-1),"")</f>
        <v>-0.105952137451422</v>
      </c>
      <c r="N40" s="153" t="n">
        <f aca="false">IFERROR(IF(OR(NOT(ISNUMBER('Price History'!N41)),NOT(ISNUMBER('Price History'!N40)),'Price History'!N40=0),"",'Price History'!N41/'Price History'!N40-1),"")</f>
        <v>0.0608336627574999</v>
      </c>
      <c r="O40" s="153" t="n">
        <f aca="false">IFERROR(IF(OR(NOT(ISNUMBER('Price History'!O41)),NOT(ISNUMBER('Price History'!O40)),'Price History'!O40=0),"",'Price History'!O41/'Price History'!O40-1),"")</f>
        <v>-0.0340972610396869</v>
      </c>
      <c r="P40" s="153" t="n">
        <f aca="false">IFERROR(IF(OR(NOT(ISNUMBER('Price History'!P41)),NOT(ISNUMBER('Price History'!P40)),'Price History'!P40=0),"",'Price History'!P41/'Price History'!P40-1),"")</f>
        <v>-0.0202180028129396</v>
      </c>
      <c r="Q40" s="153" t="n">
        <f aca="false">IFERROR(IF(OR(NOT(ISNUMBER('Price History'!Q41)),NOT(ISNUMBER('Price History'!Q40)),'Price History'!Q40=0),"",'Price History'!Q41/'Price History'!Q40-1),"")</f>
        <v>0.0110418521816564</v>
      </c>
      <c r="R40" s="153" t="n">
        <f aca="false">IFERROR(IF(OR(NOT(ISNUMBER('Price History'!R41)),NOT(ISNUMBER('Price History'!R40)),'Price History'!R40=0),"",'Price History'!R41/'Price History'!R40-1),"")</f>
        <v>0.0140299951620706</v>
      </c>
      <c r="S40" s="153" t="n">
        <f aca="false">IFERROR(IF(OR(NOT(ISNUMBER('Price History'!S41)),NOT(ISNUMBER('Price History'!S40)),'Price History'!S40=0),"",'Price History'!S41/'Price History'!S40-1),"")</f>
        <v>0.03037120359955</v>
      </c>
      <c r="T40" s="153" t="n">
        <f aca="false">IFERROR(IF(OR(NOT(ISNUMBER('Price History'!T41)),NOT(ISNUMBER('Price History'!T40)),'Price History'!T40=0),"",'Price History'!T41/'Price History'!T40-1),"")</f>
        <v>-0.0209424083769633</v>
      </c>
      <c r="U40" s="153" t="n">
        <f aca="false">IFERROR(IF(OR(NOT(ISNUMBER('Price History'!U41)),NOT(ISNUMBER('Price History'!U40)),'Price History'!U40=0),"",'Price History'!U41/'Price History'!U40-1),"")</f>
        <v>-0.00878661087866095</v>
      </c>
      <c r="V40" s="154" t="n">
        <f aca="false">IFERROR(IF(OR(NOT(ISNUMBER('Price History'!V41)),NOT(ISNUMBER('Price History'!V40)),'Price History'!V40=0),"",'Price History'!V41/'Price History'!V40-1),"")</f>
        <v>0.0227713901747051</v>
      </c>
      <c r="W40" s="155" t="n">
        <f aca="false">IFERROR('Price History'!B3+(INDEX('Price History'!B:B,MATCH(9.99E+307,'Returns (Calc)'!$A:$A)+1)-'Price History'!B3)*(ROW()-3)/(MATCH(9.99E+307,'Returns (Calc)'!$A:$A)-3),"")</f>
        <v>462.192264150943</v>
      </c>
      <c r="X40" s="155" t="n">
        <f aca="false">IFERROR('Price History'!C3+(INDEX('Price History'!C:C,MATCH(9.99E+307,'Returns (Calc)'!$A:$A)+1)-'Price History'!C3)*(ROW()-3)/(MATCH(9.99E+307,'Returns (Calc)'!$A:$A)-3),"")</f>
        <v>85.8700628930818</v>
      </c>
      <c r="Y40" s="155" t="n">
        <f aca="false">IFERROR('Price History'!D3+(INDEX('Price History'!D:D,MATCH(9.99E+307,'Returns (Calc)'!$A:$A)+1)-'Price History'!D3)*(ROW()-3)/(MATCH(9.99E+307,'Returns (Calc)'!$A:$A)-3),"")</f>
        <v>860.866666666667</v>
      </c>
      <c r="Z40" s="155" t="n">
        <f aca="false">IFERROR('Price History'!E3+(INDEX('Price History'!E:E,MATCH(9.99E+307,'Returns (Calc)'!$A:$A)+1)-'Price History'!E3)*(ROW()-3)/(MATCH(9.99E+307,'Returns (Calc)'!$A:$A)-3),"")</f>
        <v>147.050188679245</v>
      </c>
      <c r="AA40" s="155" t="n">
        <f aca="false">IFERROR('Price History'!F3+(INDEX('Price History'!F:F,MATCH(9.99E+307,'Returns (Calc)'!$A:$A)+1)-'Price History'!F3)*(ROW()-3)/(MATCH(9.99E+307,'Returns (Calc)'!$A:$A)-3),"")</f>
        <v>95.7383647798742</v>
      </c>
      <c r="AB40" s="155" t="n">
        <f aca="false">IFERROR('Price History'!G3+(INDEX('Price History'!G:G,MATCH(9.99E+307,'Returns (Calc)'!$A:$A)+1)-'Price History'!G3)*(ROW()-3)/(MATCH(9.99E+307,'Returns (Calc)'!$A:$A)-3),"")</f>
        <v>79.5395597484277</v>
      </c>
      <c r="AC40" s="155" t="n">
        <f aca="false">IFERROR('Price History'!H3+(INDEX('Price History'!H:H,MATCH(9.99E+307,'Returns (Calc)'!$A:$A)+1)-'Price History'!H3)*(ROW()-3)/(MATCH(9.99E+307,'Returns (Calc)'!$A:$A)-3),"")</f>
        <v>292.480628930818</v>
      </c>
      <c r="AD40" s="155" t="n">
        <f aca="false">IFERROR('Price History'!I3+(INDEX('Price History'!I:I,MATCH(9.99E+307,'Returns (Calc)'!$A:$A)+1)-'Price History'!I3)*(ROW()-3)/(MATCH(9.99E+307,'Returns (Calc)'!$A:$A)-3),"")</f>
        <v>86.9389937106918</v>
      </c>
      <c r="AE40" s="155" t="n">
        <f aca="false">IFERROR('Price History'!J3+(INDEX('Price History'!J:J,MATCH(9.99E+307,'Returns (Calc)'!$A:$A)+1)-'Price History'!J3)*(ROW()-3)/(MATCH(9.99E+307,'Returns (Calc)'!$A:$A)-3),"")</f>
        <v>115.947232704403</v>
      </c>
      <c r="AF40" s="155" t="n">
        <f aca="false">IFERROR('Price History'!K3+(INDEX('Price History'!K:K,MATCH(9.99E+307,'Returns (Calc)'!$A:$A)+1)-'Price History'!K3)*(ROW()-3)/(MATCH(9.99E+307,'Returns (Calc)'!$A:$A)-3),"")</f>
        <v>60.4094968553459</v>
      </c>
      <c r="AG40" s="155" t="n">
        <f aca="false">IFERROR('Price History'!L3+(INDEX('Price History'!L:L,MATCH(9.99E+307,'Returns (Calc)'!$A:$A)+1)-'Price History'!L3)*(ROW()-3)/(MATCH(9.99E+307,'Returns (Calc)'!$A:$A)-3),"")</f>
        <v>171.282830188679</v>
      </c>
      <c r="AH40" s="155" t="n">
        <f aca="false">IFERROR('Price History'!M3+(INDEX('Price History'!M:M,MATCH(9.99E+307,'Returns (Calc)'!$A:$A)+1)-'Price History'!M3)*(ROW()-3)/(MATCH(9.99E+307,'Returns (Calc)'!$A:$A)-3),"")</f>
        <v>85.6685534591195</v>
      </c>
      <c r="AI40" s="155" t="n">
        <f aca="false">IFERROR('Price History'!N3+(INDEX('Price History'!N:N,MATCH(9.99E+307,'Returns (Calc)'!$A:$A)+1)-'Price History'!N3)*(ROW()-3)/(MATCH(9.99E+307,'Returns (Calc)'!$A:$A)-3),"")</f>
        <v>386.407295597484</v>
      </c>
      <c r="AJ40" s="155" t="n">
        <f aca="false">IFERROR('Price History'!O3+(INDEX('Price History'!O:O,MATCH(9.99E+307,'Returns (Calc)'!$A:$A)+1)-'Price History'!O3)*(ROW()-3)/(MATCH(9.99E+307,'Returns (Calc)'!$A:$A)-3),"")</f>
        <v>85.625786163522</v>
      </c>
      <c r="AK40" s="155" t="n">
        <f aca="false">IFERROR('Price History'!Q3+(INDEX('Price History'!Q:Q,MATCH(9.99E+307,'Returns (Calc)'!$A:$A)+1)-'Price History'!Q3)*(ROW()-3)/(MATCH(9.99E+307,'Returns (Calc)'!$A:$A)-3),"")</f>
        <v>16.2823270440252</v>
      </c>
      <c r="AL40" s="155" t="n">
        <f aca="false">IFERROR('Price History'!R3+(INDEX('Price History'!R:R,MATCH(9.99E+307,'Returns (Calc)'!$A:$A)+1)-'Price History'!R3)*(ROW()-3)/(MATCH(9.99E+307,'Returns (Calc)'!$A:$A)-3),"")</f>
        <v>40.6722641509434</v>
      </c>
      <c r="AM40" s="155" t="n">
        <f aca="false">IFERROR('Price History'!S3+(INDEX('Price History'!S:S,MATCH(9.99E+307,'Returns (Calc)'!$A:$A)+1)-'Price History'!S3)*(ROW()-3)/(MATCH(9.99E+307,'Returns (Calc)'!$A:$A)-3),"")</f>
        <v>79.3948427672956</v>
      </c>
      <c r="AN40" s="155" t="n">
        <f aca="false">IFERROR('Price History'!T3+(INDEX('Price History'!T:T,MATCH(9.99E+307,'Returns (Calc)'!$A:$A)+1)-'Price History'!T3)*(ROW()-3)/(MATCH(9.99E+307,'Returns (Calc)'!$A:$A)-3),"")</f>
        <v>31.6242767295598</v>
      </c>
      <c r="AO40" s="156" t="n">
        <f aca="false">IFERROR('Price History'!V3+(INDEX('Price History'!V:V,MATCH(9.99E+307,'Returns (Calc)'!$A:$A)+1)-'Price History'!V3)*(ROW()-3)/(MATCH(9.99E+307,'Returns (Calc)'!$A:$A)-3),"")</f>
        <v>270.493773584906</v>
      </c>
      <c r="AP40" s="154" t="n">
        <f aca="false">IFERROR(IF(OR(NOT(ISNUMBER('Price History'!W41)),NOT(ISNUMBER('Price History'!W40)),'Price History'!W40=0),"",'Price History'!W41/'Price History'!W40-1),"")</f>
        <v>-0.00899296589796106</v>
      </c>
      <c r="AQ40" s="154" t="str">
        <f aca="false">IFERROR(IF(OR(NOT(ISNUMBER('Price History'!X41)),NOT(ISNUMBER('Price History'!X40)),'Price History'!X40=0),"",'Price History'!X41/'Price History'!X40-1),"")</f>
        <v/>
      </c>
      <c r="AR40" s="154" t="n">
        <f aca="false">IFERROR(IF(OR(NOT(ISNUMBER('Price History'!Y41)),NOT(ISNUMBER('Price History'!Y40)),'Price History'!Y40=0),"",'Price History'!Y41/'Price History'!Y40-1),"")</f>
        <v>0.000853970964987072</v>
      </c>
      <c r="AS40" s="154" t="n">
        <f aca="false">IFERROR(IF(OR(NOT(ISNUMBER('Price History'!Z41)),NOT(ISNUMBER('Price History'!Z40)),'Price History'!Z40=0),"",'Price History'!Z41/'Price History'!Z40-1),"")</f>
        <v>-0.0194801204449087</v>
      </c>
      <c r="AT40" s="154" t="n">
        <f aca="false">IFERROR(IF(OR(NOT(ISNUMBER('Price History'!AA41)),NOT(ISNUMBER('Price History'!AA40)),'Price History'!AA40=0),"",'Price History'!AA41/'Price History'!AA40-1),"")</f>
        <v>-0.000155860349127068</v>
      </c>
      <c r="AU40" s="154" t="n">
        <f aca="false">IFERROR(IF(OR(NOT(ISNUMBER('Price History'!AB41)),NOT(ISNUMBER('Price History'!AB40)),'Price History'!AB40=0),"",'Price History'!AB41/'Price History'!AB40-1),"")</f>
        <v>0.0510186513629842</v>
      </c>
    </row>
    <row r="41" customFormat="false" ht="15" hidden="false" customHeight="true" outlineLevel="0" collapsed="false">
      <c r="A41" s="152" t="n">
        <f aca="false">IF('Price History'!A42="","",'Price History'!A42)</f>
        <v>45457</v>
      </c>
      <c r="B41" s="153" t="n">
        <f aca="false">IFERROR(IF(OR(NOT(ISNUMBER('Price History'!B42)),NOT(ISNUMBER('Price History'!B41)),'Price History'!B41=0),"",'Price History'!B42/'Price History'!B41-1),"")</f>
        <v>0.128655222052725</v>
      </c>
      <c r="C41" s="153" t="n">
        <f aca="false">IFERROR(IF(OR(NOT(ISNUMBER('Price History'!C42)),NOT(ISNUMBER('Price History'!C41)),'Price History'!C41=0),"",'Price History'!C42/'Price History'!C41-1),"")</f>
        <v>0.106738544474394</v>
      </c>
      <c r="D41" s="153" t="n">
        <f aca="false">IFERROR(IF(OR(NOT(ISNUMBER('Price History'!D42)),NOT(ISNUMBER('Price History'!D41)),'Price History'!D41=0),"",'Price History'!D42/'Price History'!D41-1),"")</f>
        <v>-0.000505150554675149</v>
      </c>
      <c r="E41" s="153" t="n">
        <f aca="false">IFERROR(IF(OR(NOT(ISNUMBER('Price History'!E42)),NOT(ISNUMBER('Price History'!E41)),'Price History'!E41=0),"",'Price History'!E42/'Price History'!E41-1),"")</f>
        <v>0.233440093172223</v>
      </c>
      <c r="F41" s="153" t="n">
        <f aca="false">IFERROR(IF(OR(NOT(ISNUMBER('Price History'!F42)),NOT(ISNUMBER('Price History'!F41)),'Price History'!F41=0),"",'Price History'!F42/'Price History'!F41-1),"")</f>
        <v>0.104032997250229</v>
      </c>
      <c r="G41" s="153" t="n">
        <f aca="false">IFERROR(IF(OR(NOT(ISNUMBER('Price History'!G42)),NOT(ISNUMBER('Price History'!G41)),'Price History'!G41=0),"",'Price History'!G42/'Price History'!G41-1),"")</f>
        <v>0.0727417008332232</v>
      </c>
      <c r="H41" s="153" t="n">
        <f aca="false">IFERROR(IF(OR(NOT(ISNUMBER('Price History'!H42)),NOT(ISNUMBER('Price History'!H41)),'Price History'!H41=0),"",'Price History'!H42/'Price History'!H41-1),"")</f>
        <v>0.0795323436658719</v>
      </c>
      <c r="I41" s="153" t="n">
        <f aca="false">IFERROR(IF(OR(NOT(ISNUMBER('Price History'!I42)),NOT(ISNUMBER('Price History'!I41)),'Price History'!I41=0),"",'Price History'!I42/'Price History'!I41-1),"")</f>
        <v>0.0910900945744151</v>
      </c>
      <c r="J41" s="153" t="n">
        <f aca="false">IFERROR(IF(OR(NOT(ISNUMBER('Price History'!J42)),NOT(ISNUMBER('Price History'!J41)),'Price History'!J41=0),"",'Price History'!J42/'Price History'!J41-1),"")</f>
        <v>0.0189274447949528</v>
      </c>
      <c r="K41" s="153" t="n">
        <f aca="false">IFERROR(IF(OR(NOT(ISNUMBER('Price History'!K42)),NOT(ISNUMBER('Price History'!K41)),'Price History'!K41=0),"",'Price History'!K42/'Price History'!K41-1),"")</f>
        <v>0.0111540111540112</v>
      </c>
      <c r="L41" s="153" t="n">
        <f aca="false">IFERROR(IF(OR(NOT(ISNUMBER('Price History'!L42)),NOT(ISNUMBER('Price History'!L41)),'Price History'!L41=0),"",'Price History'!L42/'Price History'!L41-1),"")</f>
        <v>0.0526547006401406</v>
      </c>
      <c r="M41" s="153" t="n">
        <f aca="false">IFERROR(IF(OR(NOT(ISNUMBER('Price History'!M42)),NOT(ISNUMBER('Price History'!M41)),'Price History'!M41=0),"",'Price History'!M42/'Price History'!M41-1),"")</f>
        <v>0.0433539235872797</v>
      </c>
      <c r="N41" s="153" t="n">
        <f aca="false">IFERROR(IF(OR(NOT(ISNUMBER('Price History'!N42)),NOT(ISNUMBER('Price History'!N41)),'Price History'!N41=0),"",'Price History'!N42/'Price History'!N41-1),"")</f>
        <v>-0.00478221265319645</v>
      </c>
      <c r="O41" s="153" t="n">
        <f aca="false">IFERROR(IF(OR(NOT(ISNUMBER('Price History'!O42)),NOT(ISNUMBER('Price History'!O41)),'Price History'!O41=0),"",'Price History'!O42/'Price History'!O41-1),"")</f>
        <v>-0.0238425925925926</v>
      </c>
      <c r="P41" s="153" t="n">
        <f aca="false">IFERROR(IF(OR(NOT(ISNUMBER('Price History'!P42)),NOT(ISNUMBER('Price History'!P41)),'Price History'!P41=0),"",'Price History'!P42/'Price History'!P41-1),"")</f>
        <v>-0.0168670375022429</v>
      </c>
      <c r="Q41" s="153" t="n">
        <f aca="false">IFERROR(IF(OR(NOT(ISNUMBER('Price History'!Q42)),NOT(ISNUMBER('Price History'!Q41)),'Price History'!Q41=0),"",'Price History'!Q42/'Price History'!Q41-1),"")</f>
        <v>0.00915976748282543</v>
      </c>
      <c r="R41" s="153" t="n">
        <f aca="false">IFERROR(IF(OR(NOT(ISNUMBER('Price History'!R42)),NOT(ISNUMBER('Price History'!R41)),'Price History'!R41=0),"",'Price History'!R42/'Price History'!R41-1),"")</f>
        <v>0.0126431297709924</v>
      </c>
      <c r="S41" s="153" t="n">
        <f aca="false">IFERROR(IF(OR(NOT(ISNUMBER('Price History'!S42)),NOT(ISNUMBER('Price History'!S41)),'Price History'!S41=0),"",'Price History'!S42/'Price History'!S41-1),"")</f>
        <v>0.042212518195051</v>
      </c>
      <c r="T41" s="153" t="n">
        <f aca="false">IFERROR(IF(OR(NOT(ISNUMBER('Price History'!T42)),NOT(ISNUMBER('Price History'!T41)),'Price History'!T41=0),"",'Price History'!T42/'Price History'!T41-1),"")</f>
        <v>-0.00233957219251335</v>
      </c>
      <c r="U41" s="153" t="n">
        <f aca="false">IFERROR(IF(OR(NOT(ISNUMBER('Price History'!U42)),NOT(ISNUMBER('Price History'!U41)),'Price History'!U41=0),"",'Price History'!U42/'Price History'!U41-1),"")</f>
        <v>-0.0139299282397637</v>
      </c>
      <c r="V41" s="154" t="n">
        <f aca="false">IFERROR(IF(OR(NOT(ISNUMBER('Price History'!V42)),NOT(ISNUMBER('Price History'!V41)),'Price History'!V41=0),"",'Price History'!V42/'Price History'!V41-1),"")</f>
        <v>-0.0287247244324403</v>
      </c>
      <c r="W41" s="155" t="n">
        <f aca="false">IFERROR('Price History'!B3+(INDEX('Price History'!B:B,MATCH(9.99E+307,'Returns (Calc)'!$A:$A)+1)-'Price History'!B3)*(ROW()-3)/(MATCH(9.99E+307,'Returns (Calc)'!$A:$A)-3),"")</f>
        <v>460.389622641509</v>
      </c>
      <c r="X41" s="155" t="n">
        <f aca="false">IFERROR('Price History'!C3+(INDEX('Price History'!C:C,MATCH(9.99E+307,'Returns (Calc)'!$A:$A)+1)-'Price History'!C3)*(ROW()-3)/(MATCH(9.99E+307,'Returns (Calc)'!$A:$A)-3),"")</f>
        <v>86.9427672955975</v>
      </c>
      <c r="Y41" s="155" t="n">
        <f aca="false">IFERROR('Price History'!D3+(INDEX('Price History'!D:D,MATCH(9.99E+307,'Returns (Calc)'!$A:$A)+1)-'Price History'!D3)*(ROW()-3)/(MATCH(9.99E+307,'Returns (Calc)'!$A:$A)-3),"")</f>
        <v>868.403333333333</v>
      </c>
      <c r="Z41" s="155" t="n">
        <f aca="false">IFERROR('Price History'!E3+(INDEX('Price History'!E:E,MATCH(9.99E+307,'Returns (Calc)'!$A:$A)+1)-'Price History'!E3)*(ROW()-3)/(MATCH(9.99E+307,'Returns (Calc)'!$A:$A)-3),"")</f>
        <v>148.808301886792</v>
      </c>
      <c r="AA41" s="155" t="n">
        <f aca="false">IFERROR('Price History'!F3+(INDEX('Price History'!F:F,MATCH(9.99E+307,'Returns (Calc)'!$A:$A)+1)-'Price History'!F3)*(ROW()-3)/(MATCH(9.99E+307,'Returns (Calc)'!$A:$A)-3),"")</f>
        <v>97.2080503144654</v>
      </c>
      <c r="AB41" s="155" t="n">
        <f aca="false">IFERROR('Price History'!G3+(INDEX('Price History'!G:G,MATCH(9.99E+307,'Returns (Calc)'!$A:$A)+1)-'Price History'!G3)*(ROW()-3)/(MATCH(9.99E+307,'Returns (Calc)'!$A:$A)-3),"")</f>
        <v>80.4906289308176</v>
      </c>
      <c r="AC41" s="155" t="n">
        <f aca="false">IFERROR('Price History'!H3+(INDEX('Price History'!H:H,MATCH(9.99E+307,'Returns (Calc)'!$A:$A)+1)-'Price History'!H3)*(ROW()-3)/(MATCH(9.99E+307,'Returns (Calc)'!$A:$A)-3),"")</f>
        <v>298.517672955975</v>
      </c>
      <c r="AD41" s="155" t="n">
        <f aca="false">IFERROR('Price History'!I3+(INDEX('Price History'!I:I,MATCH(9.99E+307,'Returns (Calc)'!$A:$A)+1)-'Price History'!I3)*(ROW()-3)/(MATCH(9.99E+307,'Returns (Calc)'!$A:$A)-3),"")</f>
        <v>88.1057232704403</v>
      </c>
      <c r="AE41" s="155" t="n">
        <f aca="false">IFERROR('Price History'!J3+(INDEX('Price History'!J:J,MATCH(9.99E+307,'Returns (Calc)'!$A:$A)+1)-'Price History'!J3)*(ROW()-3)/(MATCH(9.99E+307,'Returns (Calc)'!$A:$A)-3),"")</f>
        <v>116.058238993711</v>
      </c>
      <c r="AF41" s="155" t="n">
        <f aca="false">IFERROR('Price History'!K3+(INDEX('Price History'!K:K,MATCH(9.99E+307,'Returns (Calc)'!$A:$A)+1)-'Price History'!K3)*(ROW()-3)/(MATCH(9.99E+307,'Returns (Calc)'!$A:$A)-3),"")</f>
        <v>61.6278616352201</v>
      </c>
      <c r="AG41" s="155" t="n">
        <f aca="false">IFERROR('Price History'!L3+(INDEX('Price History'!L:L,MATCH(9.99E+307,'Returns (Calc)'!$A:$A)+1)-'Price History'!L3)*(ROW()-3)/(MATCH(9.99E+307,'Returns (Calc)'!$A:$A)-3),"")</f>
        <v>173.594528301887</v>
      </c>
      <c r="AH41" s="155" t="n">
        <f aca="false">IFERROR('Price History'!M3+(INDEX('Price History'!M:M,MATCH(9.99E+307,'Returns (Calc)'!$A:$A)+1)-'Price History'!M3)*(ROW()-3)/(MATCH(9.99E+307,'Returns (Calc)'!$A:$A)-3),"")</f>
        <v>86.9563522012579</v>
      </c>
      <c r="AI41" s="155" t="n">
        <f aca="false">IFERROR('Price History'!N3+(INDEX('Price History'!N:N,MATCH(9.99E+307,'Returns (Calc)'!$A:$A)+1)-'Price History'!N3)*(ROW()-3)/(MATCH(9.99E+307,'Returns (Calc)'!$A:$A)-3),"")</f>
        <v>387.421006289308</v>
      </c>
      <c r="AJ41" s="155" t="n">
        <f aca="false">IFERROR('Price History'!O3+(INDEX('Price History'!O:O,MATCH(9.99E+307,'Returns (Calc)'!$A:$A)+1)-'Price History'!O3)*(ROW()-3)/(MATCH(9.99E+307,'Returns (Calc)'!$A:$A)-3),"")</f>
        <v>85.9045911949686</v>
      </c>
      <c r="AK41" s="155" t="n">
        <f aca="false">IFERROR('Price History'!Q3+(INDEX('Price History'!Q:Q,MATCH(9.99E+307,'Returns (Calc)'!$A:$A)+1)-'Price History'!Q3)*(ROW()-3)/(MATCH(9.99E+307,'Returns (Calc)'!$A:$A)-3),"")</f>
        <v>16.7223899371069</v>
      </c>
      <c r="AL41" s="155" t="n">
        <f aca="false">IFERROR('Price History'!R3+(INDEX('Price History'!R:R,MATCH(9.99E+307,'Returns (Calc)'!$A:$A)+1)-'Price History'!R3)*(ROW()-3)/(MATCH(9.99E+307,'Returns (Calc)'!$A:$A)-3),"")</f>
        <v>40.8396226415094</v>
      </c>
      <c r="AM41" s="155" t="n">
        <f aca="false">IFERROR('Price History'!S3+(INDEX('Price History'!S:S,MATCH(9.99E+307,'Returns (Calc)'!$A:$A)+1)-'Price History'!S3)*(ROW()-3)/(MATCH(9.99E+307,'Returns (Calc)'!$A:$A)-3),"")</f>
        <v>79.9830817610063</v>
      </c>
      <c r="AN41" s="155" t="n">
        <f aca="false">IFERROR('Price History'!T3+(INDEX('Price History'!T:T,MATCH(9.99E+307,'Returns (Calc)'!$A:$A)+1)-'Price History'!T3)*(ROW()-3)/(MATCH(9.99E+307,'Returns (Calc)'!$A:$A)-3),"")</f>
        <v>31.7981761006289</v>
      </c>
      <c r="AO41" s="156" t="n">
        <f aca="false">IFERROR('Price History'!V3+(INDEX('Price History'!V:V,MATCH(9.99E+307,'Returns (Calc)'!$A:$A)+1)-'Price History'!V3)*(ROW()-3)/(MATCH(9.99E+307,'Returns (Calc)'!$A:$A)-3),"")</f>
        <v>271.436037735849</v>
      </c>
      <c r="AP41" s="154" t="n">
        <f aca="false">IFERROR(IF(OR(NOT(ISNUMBER('Price History'!W42)),NOT(ISNUMBER('Price History'!W41)),'Price History'!W41=0),"",'Price History'!W42/'Price History'!W41-1),"")</f>
        <v>-0.00422282120395323</v>
      </c>
      <c r="AQ41" s="154" t="str">
        <f aca="false">IFERROR(IF(OR(NOT(ISNUMBER('Price History'!X42)),NOT(ISNUMBER('Price History'!X41)),'Price History'!X41=0),"",'Price History'!X42/'Price History'!X41-1),"")</f>
        <v/>
      </c>
      <c r="AR41" s="154" t="n">
        <f aca="false">IFERROR(IF(OR(NOT(ISNUMBER('Price History'!Y42)),NOT(ISNUMBER('Price History'!Y41)),'Price History'!Y41=0),"",'Price History'!Y42/'Price History'!Y41-1),"")</f>
        <v>-0.00554607508532434</v>
      </c>
      <c r="AS41" s="154" t="n">
        <f aca="false">IFERROR(IF(OR(NOT(ISNUMBER('Price History'!Z42)),NOT(ISNUMBER('Price History'!Z41)),'Price History'!Z41=0),"",'Price History'!Z42/'Price History'!Z41-1),"")</f>
        <v>-0.0373527199799449</v>
      </c>
      <c r="AT41" s="154" t="n">
        <f aca="false">IFERROR(IF(OR(NOT(ISNUMBER('Price History'!AA42)),NOT(ISNUMBER('Price History'!AA41)),'Price History'!AA41=0),"",'Price History'!AA42/'Price History'!AA41-1),"")</f>
        <v>0.0434918160561184</v>
      </c>
      <c r="AU41" s="154" t="n">
        <f aca="false">IFERROR(IF(OR(NOT(ISNUMBER('Price History'!AB42)),NOT(ISNUMBER('Price History'!AB41)),'Price History'!AB41=0),"",'Price History'!AB42/'Price History'!AB41-1),"")</f>
        <v>0.00851807360489243</v>
      </c>
    </row>
    <row r="42" customFormat="false" ht="15" hidden="false" customHeight="true" outlineLevel="0" collapsed="false">
      <c r="A42" s="152" t="n">
        <f aca="false">IF('Price History'!A43="","",'Price History'!A43)</f>
        <v>45464</v>
      </c>
      <c r="B42" s="153" t="n">
        <f aca="false">IFERROR(IF(OR(NOT(ISNUMBER('Price History'!B43)),NOT(ISNUMBER('Price History'!B42)),'Price History'!B42=0),"",'Price History'!B43/'Price History'!B42-1),"")</f>
        <v>0.0154765757362321</v>
      </c>
      <c r="C42" s="153" t="n">
        <f aca="false">IFERROR(IF(OR(NOT(ISNUMBER('Price History'!C43)),NOT(ISNUMBER('Price History'!C42)),'Price History'!C42=0),"",'Price History'!C43/'Price History'!C42-1),"")</f>
        <v>0.0270336093521675</v>
      </c>
      <c r="D42" s="153" t="n">
        <f aca="false">IFERROR(IF(OR(NOT(ISNUMBER('Price History'!D43)),NOT(ISNUMBER('Price History'!D42)),'Price History'!D42=0),"",'Price History'!D43/'Price History'!D42-1),"")</f>
        <v>0.00846307068745111</v>
      </c>
      <c r="E42" s="153" t="n">
        <f aca="false">IFERROR(IF(OR(NOT(ISNUMBER('Price History'!E43)),NOT(ISNUMBER('Price History'!E42)),'Price History'!E42=0),"",'Price History'!E43/'Price History'!E42-1),"")</f>
        <v>-0.0440247860725876</v>
      </c>
      <c r="F42" s="153" t="n">
        <f aca="false">IFERROR(IF(OR(NOT(ISNUMBER('Price History'!F43)),NOT(ISNUMBER('Price History'!F42)),'Price History'!F42=0),"",'Price History'!F43/'Price History'!F42-1),"")</f>
        <v>-0.0124533001245331</v>
      </c>
      <c r="G42" s="153" t="n">
        <f aca="false">IFERROR(IF(OR(NOT(ISNUMBER('Price History'!G43)),NOT(ISNUMBER('Price History'!G42)),'Price History'!G42=0),"",'Price History'!G43/'Price History'!G42-1),"")</f>
        <v>-0.010109727530514</v>
      </c>
      <c r="H42" s="153" t="n">
        <f aca="false">IFERROR(IF(OR(NOT(ISNUMBER('Price History'!H43)),NOT(ISNUMBER('Price History'!H42)),'Price History'!H42=0),"",'Price History'!H43/'Price History'!H42-1),"")</f>
        <v>-0.0128250801567509</v>
      </c>
      <c r="I42" s="153" t="n">
        <f aca="false">IFERROR(IF(OR(NOT(ISNUMBER('Price History'!I43)),NOT(ISNUMBER('Price History'!I42)),'Price History'!I42=0),"",'Price History'!I43/'Price History'!I42-1),"")</f>
        <v>-0.0402980535279807</v>
      </c>
      <c r="J42" s="153" t="n">
        <f aca="false">IFERROR(IF(OR(NOT(ISNUMBER('Price History'!J43)),NOT(ISNUMBER('Price History'!J42)),'Price History'!J42=0),"",'Price History'!J43/'Price History'!J42-1),"")</f>
        <v>-0.0173181114551084</v>
      </c>
      <c r="K42" s="153" t="n">
        <f aca="false">IFERROR(IF(OR(NOT(ISNUMBER('Price History'!K43)),NOT(ISNUMBER('Price History'!K42)),'Price History'!K42=0),"",'Price History'!K43/'Price History'!K42-1),"")</f>
        <v>0.0114552397114978</v>
      </c>
      <c r="L42" s="153" t="n">
        <f aca="false">IFERROR(IF(OR(NOT(ISNUMBER('Price History'!L43)),NOT(ISNUMBER('Price History'!L42)),'Price History'!L42=0),"",'Price History'!L43/'Price History'!L42-1),"")</f>
        <v>0.00840636737614031</v>
      </c>
      <c r="M42" s="153" t="n">
        <f aca="false">IFERROR(IF(OR(NOT(ISNUMBER('Price History'!M43)),NOT(ISNUMBER('Price History'!M42)),'Price History'!M42=0),"",'Price History'!M43/'Price History'!M42-1),"")</f>
        <v>-0.00909987939918866</v>
      </c>
      <c r="N42" s="153" t="n">
        <f aca="false">IFERROR(IF(OR(NOT(ISNUMBER('Price History'!N43)),NOT(ISNUMBER('Price History'!N42)),'Price History'!N42=0),"",'Price History'!N43/'Price History'!N42-1),"")</f>
        <v>-0.0250036402970483</v>
      </c>
      <c r="O42" s="153" t="n">
        <f aca="false">IFERROR(IF(OR(NOT(ISNUMBER('Price History'!O43)),NOT(ISNUMBER('Price History'!O42)),'Price History'!O42=0),"",'Price History'!O43/'Price History'!O42-1),"")</f>
        <v>0.0107896608963718</v>
      </c>
      <c r="P42" s="153" t="n">
        <f aca="false">IFERROR(IF(OR(NOT(ISNUMBER('Price History'!P43)),NOT(ISNUMBER('Price History'!P42)),'Price History'!P42=0),"",'Price History'!P43/'Price History'!P42-1),"")</f>
        <v>0.0137798868406644</v>
      </c>
      <c r="Q42" s="153" t="n">
        <f aca="false">IFERROR(IF(OR(NOT(ISNUMBER('Price History'!Q43)),NOT(ISNUMBER('Price History'!Q42)),'Price History'!Q42=0),"",'Price History'!Q43/'Price History'!Q42-1),"")</f>
        <v>0.00314190958282423</v>
      </c>
      <c r="R42" s="153" t="n">
        <f aca="false">IFERROR(IF(OR(NOT(ISNUMBER('Price History'!R43)),NOT(ISNUMBER('Price History'!R42)),'Price History'!R42=0),"",'Price History'!R43/'Price History'!R42-1),"")</f>
        <v>0.000942285041224844</v>
      </c>
      <c r="S42" s="153" t="n">
        <f aca="false">IFERROR(IF(OR(NOT(ISNUMBER('Price History'!S43)),NOT(ISNUMBER('Price History'!S42)),'Price History'!S42=0),"",'Price History'!S43/'Price History'!S42-1),"")</f>
        <v>-0.000814711359404141</v>
      </c>
      <c r="T42" s="153" t="n">
        <f aca="false">IFERROR(IF(OR(NOT(ISNUMBER('Price History'!T43)),NOT(ISNUMBER('Price History'!T42)),'Price History'!T42=0),"",'Price History'!T43/'Price History'!T42-1),"")</f>
        <v>0.00971524288107206</v>
      </c>
      <c r="U42" s="153" t="n">
        <f aca="false">IFERROR(IF(OR(NOT(ISNUMBER('Price History'!U43)),NOT(ISNUMBER('Price History'!U42)),'Price History'!U42=0),"",'Price History'!U43/'Price History'!U42-1),"")</f>
        <v>0.0171232876712331</v>
      </c>
      <c r="V42" s="154" t="n">
        <f aca="false">IFERROR(IF(OR(NOT(ISNUMBER('Price History'!V43)),NOT(ISNUMBER('Price History'!V42)),'Price History'!V42=0),"",'Price History'!V43/'Price History'!V42-1),"")</f>
        <v>0.0168351433617675</v>
      </c>
      <c r="W42" s="155" t="n">
        <f aca="false">IFERROR('Price History'!B3+(INDEX('Price History'!B:B,MATCH(9.99E+307,'Returns (Calc)'!$A:$A)+1)-'Price History'!B3)*(ROW()-3)/(MATCH(9.99E+307,'Returns (Calc)'!$A:$A)-3),"")</f>
        <v>458.586981132075</v>
      </c>
      <c r="X42" s="155" t="n">
        <f aca="false">IFERROR('Price History'!C3+(INDEX('Price History'!C:C,MATCH(9.99E+307,'Returns (Calc)'!$A:$A)+1)-'Price History'!C3)*(ROW()-3)/(MATCH(9.99E+307,'Returns (Calc)'!$A:$A)-3),"")</f>
        <v>88.0154716981132</v>
      </c>
      <c r="Y42" s="155" t="n">
        <f aca="false">IFERROR('Price History'!D3+(INDEX('Price History'!D:D,MATCH(9.99E+307,'Returns (Calc)'!$A:$A)+1)-'Price History'!D3)*(ROW()-3)/(MATCH(9.99E+307,'Returns (Calc)'!$A:$A)-3),"")</f>
        <v>875.94</v>
      </c>
      <c r="Z42" s="155" t="n">
        <f aca="false">IFERROR('Price History'!E3+(INDEX('Price History'!E:E,MATCH(9.99E+307,'Returns (Calc)'!$A:$A)+1)-'Price History'!E3)*(ROW()-3)/(MATCH(9.99E+307,'Returns (Calc)'!$A:$A)-3),"")</f>
        <v>150.56641509434</v>
      </c>
      <c r="AA42" s="155" t="n">
        <f aca="false">IFERROR('Price History'!F3+(INDEX('Price History'!F:F,MATCH(9.99E+307,'Returns (Calc)'!$A:$A)+1)-'Price History'!F3)*(ROW()-3)/(MATCH(9.99E+307,'Returns (Calc)'!$A:$A)-3),"")</f>
        <v>98.6777358490566</v>
      </c>
      <c r="AB42" s="155" t="n">
        <f aca="false">IFERROR('Price History'!G3+(INDEX('Price History'!G:G,MATCH(9.99E+307,'Returns (Calc)'!$A:$A)+1)-'Price History'!G3)*(ROW()-3)/(MATCH(9.99E+307,'Returns (Calc)'!$A:$A)-3),"")</f>
        <v>81.4416981132076</v>
      </c>
      <c r="AC42" s="155" t="n">
        <f aca="false">IFERROR('Price History'!H3+(INDEX('Price History'!H:H,MATCH(9.99E+307,'Returns (Calc)'!$A:$A)+1)-'Price History'!H3)*(ROW()-3)/(MATCH(9.99E+307,'Returns (Calc)'!$A:$A)-3),"")</f>
        <v>304.554716981132</v>
      </c>
      <c r="AD42" s="155" t="n">
        <f aca="false">IFERROR('Price History'!I3+(INDEX('Price History'!I:I,MATCH(9.99E+307,'Returns (Calc)'!$A:$A)+1)-'Price History'!I3)*(ROW()-3)/(MATCH(9.99E+307,'Returns (Calc)'!$A:$A)-3),"")</f>
        <v>89.2724528301887</v>
      </c>
      <c r="AE42" s="155" t="n">
        <f aca="false">IFERROR('Price History'!J3+(INDEX('Price History'!J:J,MATCH(9.99E+307,'Returns (Calc)'!$A:$A)+1)-'Price History'!J3)*(ROW()-3)/(MATCH(9.99E+307,'Returns (Calc)'!$A:$A)-3),"")</f>
        <v>116.169245283019</v>
      </c>
      <c r="AF42" s="155" t="n">
        <f aca="false">IFERROR('Price History'!K3+(INDEX('Price History'!K:K,MATCH(9.99E+307,'Returns (Calc)'!$A:$A)+1)-'Price History'!K3)*(ROW()-3)/(MATCH(9.99E+307,'Returns (Calc)'!$A:$A)-3),"")</f>
        <v>62.8462264150943</v>
      </c>
      <c r="AG42" s="155" t="n">
        <f aca="false">IFERROR('Price History'!L3+(INDEX('Price History'!L:L,MATCH(9.99E+307,'Returns (Calc)'!$A:$A)+1)-'Price History'!L3)*(ROW()-3)/(MATCH(9.99E+307,'Returns (Calc)'!$A:$A)-3),"")</f>
        <v>175.906226415094</v>
      </c>
      <c r="AH42" s="155" t="n">
        <f aca="false">IFERROR('Price History'!M3+(INDEX('Price History'!M:M,MATCH(9.99E+307,'Returns (Calc)'!$A:$A)+1)-'Price History'!M3)*(ROW()-3)/(MATCH(9.99E+307,'Returns (Calc)'!$A:$A)-3),"")</f>
        <v>88.2441509433962</v>
      </c>
      <c r="AI42" s="155" t="n">
        <f aca="false">IFERROR('Price History'!N3+(INDEX('Price History'!N:N,MATCH(9.99E+307,'Returns (Calc)'!$A:$A)+1)-'Price History'!N3)*(ROW()-3)/(MATCH(9.99E+307,'Returns (Calc)'!$A:$A)-3),"")</f>
        <v>388.434716981132</v>
      </c>
      <c r="AJ42" s="155" t="n">
        <f aca="false">IFERROR('Price History'!O3+(INDEX('Price History'!O:O,MATCH(9.99E+307,'Returns (Calc)'!$A:$A)+1)-'Price History'!O3)*(ROW()-3)/(MATCH(9.99E+307,'Returns (Calc)'!$A:$A)-3),"")</f>
        <v>86.1833962264151</v>
      </c>
      <c r="AK42" s="155" t="n">
        <f aca="false">IFERROR('Price History'!Q3+(INDEX('Price History'!Q:Q,MATCH(9.99E+307,'Returns (Calc)'!$A:$A)+1)-'Price History'!Q3)*(ROW()-3)/(MATCH(9.99E+307,'Returns (Calc)'!$A:$A)-3),"")</f>
        <v>17.1624528301887</v>
      </c>
      <c r="AL42" s="155" t="n">
        <f aca="false">IFERROR('Price History'!R3+(INDEX('Price History'!R:R,MATCH(9.99E+307,'Returns (Calc)'!$A:$A)+1)-'Price History'!R3)*(ROW()-3)/(MATCH(9.99E+307,'Returns (Calc)'!$A:$A)-3),"")</f>
        <v>41.0069811320755</v>
      </c>
      <c r="AM42" s="155" t="n">
        <f aca="false">IFERROR('Price History'!S3+(INDEX('Price History'!S:S,MATCH(9.99E+307,'Returns (Calc)'!$A:$A)+1)-'Price History'!S3)*(ROW()-3)/(MATCH(9.99E+307,'Returns (Calc)'!$A:$A)-3),"")</f>
        <v>80.571320754717</v>
      </c>
      <c r="AN42" s="155" t="n">
        <f aca="false">IFERROR('Price History'!T3+(INDEX('Price History'!T:T,MATCH(9.99E+307,'Returns (Calc)'!$A:$A)+1)-'Price History'!T3)*(ROW()-3)/(MATCH(9.99E+307,'Returns (Calc)'!$A:$A)-3),"")</f>
        <v>31.9720754716981</v>
      </c>
      <c r="AO42" s="156" t="n">
        <f aca="false">IFERROR('Price History'!V3+(INDEX('Price History'!V:V,MATCH(9.99E+307,'Returns (Calc)'!$A:$A)+1)-'Price History'!V3)*(ROW()-3)/(MATCH(9.99E+307,'Returns (Calc)'!$A:$A)-3),"")</f>
        <v>272.378301886792</v>
      </c>
      <c r="AP42" s="154" t="n">
        <f aca="false">IFERROR(IF(OR(NOT(ISNUMBER('Price History'!W43)),NOT(ISNUMBER('Price History'!W42)),'Price History'!W42=0),"",'Price History'!W43/'Price History'!W42-1),"")</f>
        <v>0.0125417305783633</v>
      </c>
      <c r="AQ42" s="154" t="str">
        <f aca="false">IFERROR(IF(OR(NOT(ISNUMBER('Price History'!X43)),NOT(ISNUMBER('Price History'!X42)),'Price History'!X42=0),"",'Price History'!X43/'Price History'!X42-1),"")</f>
        <v/>
      </c>
      <c r="AR42" s="154" t="n">
        <f aca="false">IFERROR(IF(OR(NOT(ISNUMBER('Price History'!Y43)),NOT(ISNUMBER('Price History'!Y42)),'Price History'!Y42=0),"",'Price History'!Y43/'Price History'!Y42-1),"")</f>
        <v>0.00879450879450894</v>
      </c>
      <c r="AS42" s="154" t="n">
        <f aca="false">IFERROR(IF(OR(NOT(ISNUMBER('Price History'!Z43)),NOT(ISNUMBER('Price History'!Z42)),'Price History'!Z42=0),"",'Price History'!Z43/'Price History'!Z42-1),"")</f>
        <v>0.0536458333333334</v>
      </c>
      <c r="AT42" s="154" t="n">
        <f aca="false">IFERROR(IF(OR(NOT(ISNUMBER('Price History'!AA43)),NOT(ISNUMBER('Price History'!AA42)),'Price History'!AA42=0),"",'Price History'!AA43/'Price History'!AA42-1),"")</f>
        <v>0.0249477143710786</v>
      </c>
      <c r="AU42" s="154" t="n">
        <f aca="false">IFERROR(IF(OR(NOT(ISNUMBER('Price History'!AB43)),NOT(ISNUMBER('Price History'!AB42)),'Price History'!AB42=0),"",'Price History'!AB43/'Price History'!AB42-1),"")</f>
        <v>0.000974553329723848</v>
      </c>
    </row>
    <row r="43" customFormat="false" ht="15" hidden="false" customHeight="true" outlineLevel="0" collapsed="false">
      <c r="A43" s="152" t="n">
        <f aca="false">IF('Price History'!A44="","",'Price History'!A44)</f>
        <v>45471</v>
      </c>
      <c r="B43" s="153" t="n">
        <f aca="false">IFERROR(IF(OR(NOT(ISNUMBER('Price History'!B44)),NOT(ISNUMBER('Price History'!B43)),'Price History'!B43=0),"",'Price History'!B44/'Price History'!B43-1),"")</f>
        <v>0.0414292141571684</v>
      </c>
      <c r="C43" s="153" t="n">
        <f aca="false">IFERROR(IF(OR(NOT(ISNUMBER('Price History'!C44)),NOT(ISNUMBER('Price History'!C43)),'Price History'!C43=0),"",'Price History'!C44/'Price History'!C43-1),"")</f>
        <v>0.0388902063078018</v>
      </c>
      <c r="D43" s="153" t="n">
        <f aca="false">IFERROR(IF(OR(NOT(ISNUMBER('Price History'!D44)),NOT(ISNUMBER('Price History'!D43)),'Price History'!D43=0),"",'Price History'!D44/'Price History'!D43-1),"")</f>
        <v>-0.0133840393856314</v>
      </c>
      <c r="E43" s="153" t="n">
        <f aca="false">IFERROR(IF(OR(NOT(ISNUMBER('Price History'!E44)),NOT(ISNUMBER('Price History'!E43)),'Price History'!E43=0),"",'Price History'!E44/'Price History'!E43-1),"")</f>
        <v>-0.0289524044694117</v>
      </c>
      <c r="F43" s="153" t="n">
        <f aca="false">IFERROR(IF(OR(NOT(ISNUMBER('Price History'!F44)),NOT(ISNUMBER('Price History'!F43)),'Price History'!F43=0),"",'Price History'!F44/'Price History'!F43-1),"")</f>
        <v>0.00672551492223628</v>
      </c>
      <c r="G43" s="153" t="n">
        <f aca="false">IFERROR(IF(OR(NOT(ISNUMBER('Price History'!G44)),NOT(ISNUMBER('Price History'!G43)),'Price History'!G43=0),"",'Price History'!G44/'Price History'!G43-1),"")</f>
        <v>0.00983933241997748</v>
      </c>
      <c r="H43" s="153" t="n">
        <f aca="false">IFERROR(IF(OR(NOT(ISNUMBER('Price History'!H44)),NOT(ISNUMBER('Price History'!H43)),'Price History'!H43=0),"",'Price History'!H44/'Price History'!H43-1),"")</f>
        <v>-0.0574521833273187</v>
      </c>
      <c r="I43" s="153" t="n">
        <f aca="false">IFERROR(IF(OR(NOT(ISNUMBER('Price History'!I44)),NOT(ISNUMBER('Price History'!I43)),'Price History'!I43=0),"",'Price History'!I44/'Price History'!I43-1),"")</f>
        <v>-0.0239264775788306</v>
      </c>
      <c r="J43" s="153" t="n">
        <f aca="false">IFERROR(IF(OR(NOT(ISNUMBER('Price History'!J44)),NOT(ISNUMBER('Price History'!J43)),'Price History'!J43=0),"",'Price History'!J44/'Price History'!J43-1),"")</f>
        <v>0.0265826523579797</v>
      </c>
      <c r="K43" s="153" t="n">
        <f aca="false">IFERROR(IF(OR(NOT(ISNUMBER('Price History'!K44)),NOT(ISNUMBER('Price History'!K43)),'Price History'!K43=0),"",'Price History'!K44/'Price History'!K43-1),"")</f>
        <v>0.0625</v>
      </c>
      <c r="L43" s="153" t="n">
        <f aca="false">IFERROR(IF(OR(NOT(ISNUMBER('Price History'!L44)),NOT(ISNUMBER('Price History'!L43)),'Price History'!L43=0),"",'Price History'!L44/'Price History'!L43-1),"")</f>
        <v>-0.000827716684403401</v>
      </c>
      <c r="M43" s="153" t="n">
        <f aca="false">IFERROR(IF(OR(NOT(ISNUMBER('Price History'!M44)),NOT(ISNUMBER('Price History'!M43)),'Price History'!M43=0),"",'Price History'!M44/'Price History'!M43-1),"")</f>
        <v>-0.0447001549015268</v>
      </c>
      <c r="N43" s="153" t="n">
        <f aca="false">IFERROR(IF(OR(NOT(ISNUMBER('Price History'!N44)),NOT(ISNUMBER('Price History'!N43)),'Price History'!N43=0),"",'Price History'!N44/'Price History'!N43-1),"")</f>
        <v>2.13351539333218E-005</v>
      </c>
      <c r="O43" s="153" t="n">
        <f aca="false">IFERROR(IF(OR(NOT(ISNUMBER('Price History'!O44)),NOT(ISNUMBER('Price History'!O43)),'Price History'!O43=0),"",'Price History'!O44/'Price History'!O43-1),"")</f>
        <v>0.0166568914956011</v>
      </c>
      <c r="P43" s="153" t="n">
        <f aca="false">IFERROR(IF(OR(NOT(ISNUMBER('Price History'!P44)),NOT(ISNUMBER('Price History'!P43)),'Price History'!P43=0),"",'Price History'!P44/'Price History'!P43-1),"")</f>
        <v>0.00297056440723731</v>
      </c>
      <c r="Q43" s="153" t="n">
        <f aca="false">IFERROR(IF(OR(NOT(ISNUMBER('Price History'!Q44)),NOT(ISNUMBER('Price History'!Q43)),'Price History'!Q43=0),"",'Price History'!Q44/'Price History'!Q43-1),"")</f>
        <v>0.00417609187402124</v>
      </c>
      <c r="R43" s="153" t="n">
        <f aca="false">IFERROR(IF(OR(NOT(ISNUMBER('Price History'!R44)),NOT(ISNUMBER('Price History'!R43)),'Price History'!R43=0),"",'Price History'!R44/'Price History'!R43-1),"")</f>
        <v>0.00470698987997165</v>
      </c>
      <c r="S43" s="153" t="n">
        <f aca="false">IFERROR(IF(OR(NOT(ISNUMBER('Price History'!S44)),NOT(ISNUMBER('Price History'!S43)),'Price History'!S43=0),"",'Price History'!S44/'Price History'!S43-1),"")</f>
        <v>0.00186371578334321</v>
      </c>
      <c r="T43" s="153" t="n">
        <f aca="false">IFERROR(IF(OR(NOT(ISNUMBER('Price History'!T44)),NOT(ISNUMBER('Price History'!T43)),'Price History'!T43=0),"",'Price History'!T44/'Price History'!T43-1),"")</f>
        <v>-0.00630391506303918</v>
      </c>
      <c r="U43" s="153" t="n">
        <f aca="false">IFERROR(IF(OR(NOT(ISNUMBER('Price History'!U44)),NOT(ISNUMBER('Price History'!U43)),'Price History'!U43=0),"",'Price History'!U44/'Price History'!U43-1),"")</f>
        <v>0.00589225589225584</v>
      </c>
      <c r="V43" s="154" t="n">
        <f aca="false">IFERROR(IF(OR(NOT(ISNUMBER('Price History'!V44)),NOT(ISNUMBER('Price History'!V43)),'Price History'!V43=0),"",'Price History'!V44/'Price History'!V43-1),"")</f>
        <v>-0.0463431760227649</v>
      </c>
      <c r="W43" s="155" t="n">
        <f aca="false">IFERROR('Price History'!B3+(INDEX('Price History'!B:B,MATCH(9.99E+307,'Returns (Calc)'!$A:$A)+1)-'Price History'!B3)*(ROW()-3)/(MATCH(9.99E+307,'Returns (Calc)'!$A:$A)-3),"")</f>
        <v>456.784339622642</v>
      </c>
      <c r="X43" s="155" t="n">
        <f aca="false">IFERROR('Price History'!C3+(INDEX('Price History'!C:C,MATCH(9.99E+307,'Returns (Calc)'!$A:$A)+1)-'Price History'!C3)*(ROW()-3)/(MATCH(9.99E+307,'Returns (Calc)'!$A:$A)-3),"")</f>
        <v>89.0881761006289</v>
      </c>
      <c r="Y43" s="155" t="n">
        <f aca="false">IFERROR('Price History'!D3+(INDEX('Price History'!D:D,MATCH(9.99E+307,'Returns (Calc)'!$A:$A)+1)-'Price History'!D3)*(ROW()-3)/(MATCH(9.99E+307,'Returns (Calc)'!$A:$A)-3),"")</f>
        <v>883.476666666667</v>
      </c>
      <c r="Z43" s="155" t="n">
        <f aca="false">IFERROR('Price History'!E3+(INDEX('Price History'!E:E,MATCH(9.99E+307,'Returns (Calc)'!$A:$A)+1)-'Price History'!E3)*(ROW()-3)/(MATCH(9.99E+307,'Returns (Calc)'!$A:$A)-3),"")</f>
        <v>152.324528301887</v>
      </c>
      <c r="AA43" s="155" t="n">
        <f aca="false">IFERROR('Price History'!F3+(INDEX('Price History'!F:F,MATCH(9.99E+307,'Returns (Calc)'!$A:$A)+1)-'Price History'!F3)*(ROW()-3)/(MATCH(9.99E+307,'Returns (Calc)'!$A:$A)-3),"")</f>
        <v>100.147421383648</v>
      </c>
      <c r="AB43" s="155" t="n">
        <f aca="false">IFERROR('Price History'!G3+(INDEX('Price History'!G:G,MATCH(9.99E+307,'Returns (Calc)'!$A:$A)+1)-'Price History'!G3)*(ROW()-3)/(MATCH(9.99E+307,'Returns (Calc)'!$A:$A)-3),"")</f>
        <v>82.3927672955975</v>
      </c>
      <c r="AC43" s="155" t="n">
        <f aca="false">IFERROR('Price History'!H3+(INDEX('Price History'!H:H,MATCH(9.99E+307,'Returns (Calc)'!$A:$A)+1)-'Price History'!H3)*(ROW()-3)/(MATCH(9.99E+307,'Returns (Calc)'!$A:$A)-3),"")</f>
        <v>310.591761006289</v>
      </c>
      <c r="AD43" s="155" t="n">
        <f aca="false">IFERROR('Price History'!I3+(INDEX('Price History'!I:I,MATCH(9.99E+307,'Returns (Calc)'!$A:$A)+1)-'Price History'!I3)*(ROW()-3)/(MATCH(9.99E+307,'Returns (Calc)'!$A:$A)-3),"")</f>
        <v>90.4391823899371</v>
      </c>
      <c r="AE43" s="155" t="n">
        <f aca="false">IFERROR('Price History'!J3+(INDEX('Price History'!J:J,MATCH(9.99E+307,'Returns (Calc)'!$A:$A)+1)-'Price History'!J3)*(ROW()-3)/(MATCH(9.99E+307,'Returns (Calc)'!$A:$A)-3),"")</f>
        <v>116.280251572327</v>
      </c>
      <c r="AF43" s="155" t="n">
        <f aca="false">IFERROR('Price History'!K3+(INDEX('Price History'!K:K,MATCH(9.99E+307,'Returns (Calc)'!$A:$A)+1)-'Price History'!K3)*(ROW()-3)/(MATCH(9.99E+307,'Returns (Calc)'!$A:$A)-3),"")</f>
        <v>64.0645911949686</v>
      </c>
      <c r="AG43" s="155" t="n">
        <f aca="false">IFERROR('Price History'!L3+(INDEX('Price History'!L:L,MATCH(9.99E+307,'Returns (Calc)'!$A:$A)+1)-'Price History'!L3)*(ROW()-3)/(MATCH(9.99E+307,'Returns (Calc)'!$A:$A)-3),"")</f>
        <v>178.217924528302</v>
      </c>
      <c r="AH43" s="155" t="n">
        <f aca="false">IFERROR('Price History'!M3+(INDEX('Price History'!M:M,MATCH(9.99E+307,'Returns (Calc)'!$A:$A)+1)-'Price History'!M3)*(ROW()-3)/(MATCH(9.99E+307,'Returns (Calc)'!$A:$A)-3),"")</f>
        <v>89.5319496855346</v>
      </c>
      <c r="AI43" s="155" t="n">
        <f aca="false">IFERROR('Price History'!N3+(INDEX('Price History'!N:N,MATCH(9.99E+307,'Returns (Calc)'!$A:$A)+1)-'Price History'!N3)*(ROW()-3)/(MATCH(9.99E+307,'Returns (Calc)'!$A:$A)-3),"")</f>
        <v>389.448427672956</v>
      </c>
      <c r="AJ43" s="155" t="n">
        <f aca="false">IFERROR('Price History'!O3+(INDEX('Price History'!O:O,MATCH(9.99E+307,'Returns (Calc)'!$A:$A)+1)-'Price History'!O3)*(ROW()-3)/(MATCH(9.99E+307,'Returns (Calc)'!$A:$A)-3),"")</f>
        <v>86.4622012578616</v>
      </c>
      <c r="AK43" s="155" t="n">
        <f aca="false">IFERROR('Price History'!Q3+(INDEX('Price History'!Q:Q,MATCH(9.99E+307,'Returns (Calc)'!$A:$A)+1)-'Price History'!Q3)*(ROW()-3)/(MATCH(9.99E+307,'Returns (Calc)'!$A:$A)-3),"")</f>
        <v>17.6025157232704</v>
      </c>
      <c r="AL43" s="155" t="n">
        <f aca="false">IFERROR('Price History'!R3+(INDEX('Price History'!R:R,MATCH(9.99E+307,'Returns (Calc)'!$A:$A)+1)-'Price History'!R3)*(ROW()-3)/(MATCH(9.99E+307,'Returns (Calc)'!$A:$A)-3),"")</f>
        <v>41.1743396226415</v>
      </c>
      <c r="AM43" s="155" t="n">
        <f aca="false">IFERROR('Price History'!S3+(INDEX('Price History'!S:S,MATCH(9.99E+307,'Returns (Calc)'!$A:$A)+1)-'Price History'!S3)*(ROW()-3)/(MATCH(9.99E+307,'Returns (Calc)'!$A:$A)-3),"")</f>
        <v>81.1595597484277</v>
      </c>
      <c r="AN43" s="155" t="n">
        <f aca="false">IFERROR('Price History'!T3+(INDEX('Price History'!T:T,MATCH(9.99E+307,'Returns (Calc)'!$A:$A)+1)-'Price History'!T3)*(ROW()-3)/(MATCH(9.99E+307,'Returns (Calc)'!$A:$A)-3),"")</f>
        <v>32.1459748427673</v>
      </c>
      <c r="AO43" s="156" t="n">
        <f aca="false">IFERROR('Price History'!V3+(INDEX('Price History'!V:V,MATCH(9.99E+307,'Returns (Calc)'!$A:$A)+1)-'Price History'!V3)*(ROW()-3)/(MATCH(9.99E+307,'Returns (Calc)'!$A:$A)-3),"")</f>
        <v>273.320566037736</v>
      </c>
      <c r="AP43" s="154" t="n">
        <f aca="false">IFERROR(IF(OR(NOT(ISNUMBER('Price History'!W44)),NOT(ISNUMBER('Price History'!W43)),'Price History'!W43=0),"",'Price History'!W44/'Price History'!W43-1),"")</f>
        <v>-0.0024059882373908</v>
      </c>
      <c r="AQ43" s="154" t="str">
        <f aca="false">IFERROR(IF(OR(NOT(ISNUMBER('Price History'!X44)),NOT(ISNUMBER('Price History'!X43)),'Price History'!X43=0),"",'Price History'!X44/'Price History'!X43-1),"")</f>
        <v/>
      </c>
      <c r="AR43" s="154" t="n">
        <f aca="false">IFERROR(IF(OR(NOT(ISNUMBER('Price History'!Y44)),NOT(ISNUMBER('Price History'!Y43)),'Price History'!Y43=0),"",'Price History'!Y44/'Price History'!Y43-1),"")</f>
        <v>-0.000212630236019473</v>
      </c>
      <c r="AS43" s="154" t="n">
        <f aca="false">IFERROR(IF(OR(NOT(ISNUMBER('Price History'!Z44)),NOT(ISNUMBER('Price History'!Z43)),'Price History'!Z43=0),"",'Price History'!Z44/'Price History'!Z43-1),"")</f>
        <v>-0.0320687098368759</v>
      </c>
      <c r="AT43" s="154" t="n">
        <f aca="false">IFERROR(IF(OR(NOT(ISNUMBER('Price History'!AA44)),NOT(ISNUMBER('Price History'!AA43)),'Price History'!AA43=0),"",'Price History'!AA44/'Price History'!AA43-1),"")</f>
        <v>-0.0163241509983968</v>
      </c>
      <c r="AU43" s="154" t="n">
        <f aca="false">IFERROR(IF(OR(NOT(ISNUMBER('Price History'!AB44)),NOT(ISNUMBER('Price History'!AB43)),'Price History'!AB43=0),"",'Price History'!AB44/'Price History'!AB43-1),"")</f>
        <v>-0.01011466897447</v>
      </c>
    </row>
    <row r="44" customFormat="false" ht="15" hidden="false" customHeight="true" outlineLevel="0" collapsed="false">
      <c r="A44" s="152" t="n">
        <f aca="false">IF('Price History'!A45="","",'Price History'!A45)</f>
        <v>45478</v>
      </c>
      <c r="B44" s="153" t="n">
        <f aca="false">IFERROR(IF(OR(NOT(ISNUMBER('Price History'!B45)),NOT(ISNUMBER('Price History'!B44)),'Price History'!B44=0),"",'Price History'!B45/'Price History'!B44-1),"")</f>
        <v>0.0410411491521765</v>
      </c>
      <c r="C44" s="153" t="n">
        <f aca="false">IFERROR(IF(OR(NOT(ISNUMBER('Price History'!C45)),NOT(ISNUMBER('Price History'!C44)),'Price History'!C44=0),"",'Price History'!C45/'Price History'!C44-1),"")</f>
        <v>0.0447386441451723</v>
      </c>
      <c r="D44" s="153" t="n">
        <f aca="false">IFERROR(IF(OR(NOT(ISNUMBER('Price History'!D45)),NOT(ISNUMBER('Price History'!D44)),'Price History'!D44=0),"",'Price History'!D45/'Price History'!D44-1),"")</f>
        <v>0.0505971056065178</v>
      </c>
      <c r="E44" s="153" t="n">
        <f aca="false">IFERROR(IF(OR(NOT(ISNUMBER('Price History'!E45)),NOT(ISNUMBER('Price History'!E44)),'Price History'!E44=0),"",'Price History'!E45/'Price History'!E44-1),"")</f>
        <v>0.0609027336300063</v>
      </c>
      <c r="F44" s="153" t="n">
        <f aca="false">IFERROR(IF(OR(NOT(ISNUMBER('Price History'!F45)),NOT(ISNUMBER('Price History'!F44)),'Price History'!F44=0),"",'Price History'!F45/'Price History'!F44-1),"")</f>
        <v>0.016910229645094</v>
      </c>
      <c r="G44" s="153" t="n">
        <f aca="false">IFERROR(IF(OR(NOT(ISNUMBER('Price History'!G45)),NOT(ISNUMBER('Price History'!G44)),'Price History'!G44=0),"",'Price History'!G45/'Price History'!G44-1),"")</f>
        <v>0.0372471632955105</v>
      </c>
      <c r="H44" s="153" t="n">
        <f aca="false">IFERROR(IF(OR(NOT(ISNUMBER('Price History'!H45)),NOT(ISNUMBER('Price History'!H44)),'Price History'!H44=0),"",'Price History'!H45/'Price History'!H44-1),"")</f>
        <v>0.000536028792403664</v>
      </c>
      <c r="I44" s="153" t="n">
        <f aca="false">IFERROR(IF(OR(NOT(ISNUMBER('Price History'!I45)),NOT(ISNUMBER('Price History'!I44)),'Price History'!I44=0),"",'Price History'!I45/'Price History'!I44-1),"")</f>
        <v>0.0185064935064936</v>
      </c>
      <c r="J44" s="153" t="n">
        <f aca="false">IFERROR(IF(OR(NOT(ISNUMBER('Price History'!J45)),NOT(ISNUMBER('Price History'!J44)),'Price History'!J44=0),"",'Price History'!J45/'Price History'!J44-1),"")</f>
        <v>0.0191809724753045</v>
      </c>
      <c r="K44" s="153" t="n">
        <f aca="false">IFERROR(IF(OR(NOT(ISNUMBER('Price History'!K45)),NOT(ISNUMBER('Price History'!K44)),'Price History'!K44=0),"",'Price History'!K45/'Price History'!K44-1),"")</f>
        <v>0.0750098697197001</v>
      </c>
      <c r="L44" s="153" t="n">
        <f aca="false">IFERROR(IF(OR(NOT(ISNUMBER('Price History'!L45)),NOT(ISNUMBER('Price History'!L44)),'Price History'!L44=0),"",'Price History'!L45/'Price History'!L44-1),"")</f>
        <v>0.0585798816568048</v>
      </c>
      <c r="M44" s="153" t="n">
        <f aca="false">IFERROR(IF(OR(NOT(ISNUMBER('Price History'!M45)),NOT(ISNUMBER('Price History'!M44)),'Price History'!M44=0),"",'Price History'!M45/'Price History'!M44-1),"")</f>
        <v>0.0601111883252259</v>
      </c>
      <c r="N44" s="153" t="n">
        <f aca="false">IFERROR(IF(OR(NOT(ISNUMBER('Price History'!N45)),NOT(ISNUMBER('Price History'!N44)),'Price History'!N44=0),"",'Price History'!N45/'Price History'!N44-1),"")</f>
        <v>0.0124807987711213</v>
      </c>
      <c r="O44" s="153" t="n">
        <f aca="false">IFERROR(IF(OR(NOT(ISNUMBER('Price History'!O45)),NOT(ISNUMBER('Price History'!O44)),'Price History'!O44=0),"",'Price History'!O45/'Price History'!O44-1),"")</f>
        <v>-0.0164993654090229</v>
      </c>
      <c r="P44" s="153" t="n">
        <f aca="false">IFERROR(IF(OR(NOT(ISNUMBER('Price History'!P45)),NOT(ISNUMBER('Price History'!P44)),'Price History'!P44=0),"",'Price History'!P45/'Price History'!P44-1),"")</f>
        <v>-0.00816729492012203</v>
      </c>
      <c r="Q44" s="153" t="n">
        <f aca="false">IFERROR(IF(OR(NOT(ISNUMBER('Price History'!Q45)),NOT(ISNUMBER('Price History'!Q44)),'Price History'!Q44=0),"",'Price History'!Q45/'Price History'!Q44-1),"")</f>
        <v>0.00710448795702656</v>
      </c>
      <c r="R44" s="153" t="n">
        <f aca="false">IFERROR(IF(OR(NOT(ISNUMBER('Price History'!R45)),NOT(ISNUMBER('Price History'!R44)),'Price History'!R44=0),"",'Price History'!R45/'Price History'!R44-1),"")</f>
        <v>0.0145233075661748</v>
      </c>
      <c r="S44" s="153" t="n">
        <f aca="false">IFERROR(IF(OR(NOT(ISNUMBER('Price History'!S45)),NOT(ISNUMBER('Price History'!S44)),'Price History'!S44=0),"",'Price History'!S45/'Price History'!S44-1),"")</f>
        <v>0.0310429019881409</v>
      </c>
      <c r="T44" s="153" t="n">
        <f aca="false">IFERROR(IF(OR(NOT(ISNUMBER('Price History'!T45)),NOT(ISNUMBER('Price History'!T44)),'Price History'!T44=0),"",'Price History'!T45/'Price History'!T44-1),"")</f>
        <v>-0.020033388981636</v>
      </c>
      <c r="U44" s="153" t="n">
        <f aca="false">IFERROR(IF(OR(NOT(ISNUMBER('Price History'!U45)),NOT(ISNUMBER('Price History'!U44)),'Price History'!U44=0),"",'Price History'!U45/'Price History'!U44-1),"")</f>
        <v>-0.00920502092050202</v>
      </c>
      <c r="V44" s="154" t="n">
        <f aca="false">IFERROR(IF(OR(NOT(ISNUMBER('Price History'!V45)),NOT(ISNUMBER('Price History'!V44)),'Price History'!V44=0),"",'Price History'!V45/'Price History'!V44-1),"")</f>
        <v>0.0300716915326487</v>
      </c>
      <c r="W44" s="155" t="n">
        <f aca="false">IFERROR('Price History'!B3+(INDEX('Price History'!B:B,MATCH(9.99E+307,'Returns (Calc)'!$A:$A)+1)-'Price History'!B3)*(ROW()-3)/(MATCH(9.99E+307,'Returns (Calc)'!$A:$A)-3),"")</f>
        <v>454.981698113208</v>
      </c>
      <c r="X44" s="155" t="n">
        <f aca="false">IFERROR('Price History'!C3+(INDEX('Price History'!C:C,MATCH(9.99E+307,'Returns (Calc)'!$A:$A)+1)-'Price History'!C3)*(ROW()-3)/(MATCH(9.99E+307,'Returns (Calc)'!$A:$A)-3),"")</f>
        <v>90.1608805031447</v>
      </c>
      <c r="Y44" s="155" t="n">
        <f aca="false">IFERROR('Price History'!D3+(INDEX('Price History'!D:D,MATCH(9.99E+307,'Returns (Calc)'!$A:$A)+1)-'Price History'!D3)*(ROW()-3)/(MATCH(9.99E+307,'Returns (Calc)'!$A:$A)-3),"")</f>
        <v>891.013333333333</v>
      </c>
      <c r="Z44" s="155" t="n">
        <f aca="false">IFERROR('Price History'!E3+(INDEX('Price History'!E:E,MATCH(9.99E+307,'Returns (Calc)'!$A:$A)+1)-'Price History'!E3)*(ROW()-3)/(MATCH(9.99E+307,'Returns (Calc)'!$A:$A)-3),"")</f>
        <v>154.082641509434</v>
      </c>
      <c r="AA44" s="155" t="n">
        <f aca="false">IFERROR('Price History'!F3+(INDEX('Price History'!F:F,MATCH(9.99E+307,'Returns (Calc)'!$A:$A)+1)-'Price History'!F3)*(ROW()-3)/(MATCH(9.99E+307,'Returns (Calc)'!$A:$A)-3),"")</f>
        <v>101.617106918239</v>
      </c>
      <c r="AB44" s="155" t="n">
        <f aca="false">IFERROR('Price History'!G3+(INDEX('Price History'!G:G,MATCH(9.99E+307,'Returns (Calc)'!$A:$A)+1)-'Price History'!G3)*(ROW()-3)/(MATCH(9.99E+307,'Returns (Calc)'!$A:$A)-3),"")</f>
        <v>83.3438364779874</v>
      </c>
      <c r="AC44" s="155" t="n">
        <f aca="false">IFERROR('Price History'!H3+(INDEX('Price History'!H:H,MATCH(9.99E+307,'Returns (Calc)'!$A:$A)+1)-'Price History'!H3)*(ROW()-3)/(MATCH(9.99E+307,'Returns (Calc)'!$A:$A)-3),"")</f>
        <v>316.628805031447</v>
      </c>
      <c r="AD44" s="155" t="n">
        <f aca="false">IFERROR('Price History'!I3+(INDEX('Price History'!I:I,MATCH(9.99E+307,'Returns (Calc)'!$A:$A)+1)-'Price History'!I3)*(ROW()-3)/(MATCH(9.99E+307,'Returns (Calc)'!$A:$A)-3),"")</f>
        <v>91.6059119496855</v>
      </c>
      <c r="AE44" s="155" t="n">
        <f aca="false">IFERROR('Price History'!J3+(INDEX('Price History'!J:J,MATCH(9.99E+307,'Returns (Calc)'!$A:$A)+1)-'Price History'!J3)*(ROW()-3)/(MATCH(9.99E+307,'Returns (Calc)'!$A:$A)-3),"")</f>
        <v>116.391257861635</v>
      </c>
      <c r="AF44" s="155" t="n">
        <f aca="false">IFERROR('Price History'!K3+(INDEX('Price History'!K:K,MATCH(9.99E+307,'Returns (Calc)'!$A:$A)+1)-'Price History'!K3)*(ROW()-3)/(MATCH(9.99E+307,'Returns (Calc)'!$A:$A)-3),"")</f>
        <v>65.2829559748428</v>
      </c>
      <c r="AG44" s="155" t="n">
        <f aca="false">IFERROR('Price History'!L3+(INDEX('Price History'!L:L,MATCH(9.99E+307,'Returns (Calc)'!$A:$A)+1)-'Price History'!L3)*(ROW()-3)/(MATCH(9.99E+307,'Returns (Calc)'!$A:$A)-3),"")</f>
        <v>180.529622641509</v>
      </c>
      <c r="AH44" s="155" t="n">
        <f aca="false">IFERROR('Price History'!M3+(INDEX('Price History'!M:M,MATCH(9.99E+307,'Returns (Calc)'!$A:$A)+1)-'Price History'!M3)*(ROW()-3)/(MATCH(9.99E+307,'Returns (Calc)'!$A:$A)-3),"")</f>
        <v>90.819748427673</v>
      </c>
      <c r="AI44" s="155" t="n">
        <f aca="false">IFERROR('Price History'!N3+(INDEX('Price History'!N:N,MATCH(9.99E+307,'Returns (Calc)'!$A:$A)+1)-'Price History'!N3)*(ROW()-3)/(MATCH(9.99E+307,'Returns (Calc)'!$A:$A)-3),"")</f>
        <v>390.46213836478</v>
      </c>
      <c r="AJ44" s="155" t="n">
        <f aca="false">IFERROR('Price History'!O3+(INDEX('Price History'!O:O,MATCH(9.99E+307,'Returns (Calc)'!$A:$A)+1)-'Price History'!O3)*(ROW()-3)/(MATCH(9.99E+307,'Returns (Calc)'!$A:$A)-3),"")</f>
        <v>86.7410062893082</v>
      </c>
      <c r="AK44" s="155" t="n">
        <f aca="false">IFERROR('Price History'!Q3+(INDEX('Price History'!Q:Q,MATCH(9.99E+307,'Returns (Calc)'!$A:$A)+1)-'Price History'!Q3)*(ROW()-3)/(MATCH(9.99E+307,'Returns (Calc)'!$A:$A)-3),"")</f>
        <v>18.0425786163522</v>
      </c>
      <c r="AL44" s="155" t="n">
        <f aca="false">IFERROR('Price History'!R3+(INDEX('Price History'!R:R,MATCH(9.99E+307,'Returns (Calc)'!$A:$A)+1)-'Price History'!R3)*(ROW()-3)/(MATCH(9.99E+307,'Returns (Calc)'!$A:$A)-3),"")</f>
        <v>41.3416981132075</v>
      </c>
      <c r="AM44" s="155" t="n">
        <f aca="false">IFERROR('Price History'!S3+(INDEX('Price History'!S:S,MATCH(9.99E+307,'Returns (Calc)'!$A:$A)+1)-'Price History'!S3)*(ROW()-3)/(MATCH(9.99E+307,'Returns (Calc)'!$A:$A)-3),"")</f>
        <v>81.7477987421384</v>
      </c>
      <c r="AN44" s="155" t="n">
        <f aca="false">IFERROR('Price History'!T3+(INDEX('Price History'!T:T,MATCH(9.99E+307,'Returns (Calc)'!$A:$A)+1)-'Price History'!T3)*(ROW()-3)/(MATCH(9.99E+307,'Returns (Calc)'!$A:$A)-3),"")</f>
        <v>32.3198742138365</v>
      </c>
      <c r="AO44" s="156" t="n">
        <f aca="false">IFERROR('Price History'!V3+(INDEX('Price History'!V:V,MATCH(9.99E+307,'Returns (Calc)'!$A:$A)+1)-'Price History'!V3)*(ROW()-3)/(MATCH(9.99E+307,'Returns (Calc)'!$A:$A)-3),"")</f>
        <v>274.262830188679</v>
      </c>
      <c r="AP44" s="154" t="n">
        <f aca="false">IFERROR(IF(OR(NOT(ISNUMBER('Price History'!W45)),NOT(ISNUMBER('Price History'!W44)),'Price History'!W44=0),"",'Price History'!W45/'Price History'!W44-1),"")</f>
        <v>-0.000178651183564083</v>
      </c>
      <c r="AQ44" s="154" t="str">
        <f aca="false">IFERROR(IF(OR(NOT(ISNUMBER('Price History'!X45)),NOT(ISNUMBER('Price History'!X44)),'Price History'!X44=0),"",'Price History'!X45/'Price History'!X44-1),"")</f>
        <v/>
      </c>
      <c r="AR44" s="154" t="n">
        <f aca="false">IFERROR(IF(OR(NOT(ISNUMBER('Price History'!Y45)),NOT(ISNUMBER('Price History'!Y44)),'Price History'!Y44=0),"",'Price History'!Y45/'Price History'!Y44-1),"")</f>
        <v>0.000425350914504463</v>
      </c>
      <c r="AS44" s="154" t="n">
        <f aca="false">IFERROR(IF(OR(NOT(ISNUMBER('Price History'!Z45)),NOT(ISNUMBER('Price History'!Z44)),'Price History'!Z44=0),"",'Price History'!Z45/'Price History'!Z44-1),"")</f>
        <v>0.00963932333226936</v>
      </c>
      <c r="AT44" s="154" t="n">
        <f aca="false">IFERROR(IF(OR(NOT(ISNUMBER('Price History'!AA45)),NOT(ISNUMBER('Price History'!AA44)),'Price History'!AA44=0),"",'Price History'!AA45/'Price History'!AA44-1),"")</f>
        <v>0.0234108756852867</v>
      </c>
      <c r="AU44" s="154" t="n">
        <f aca="false">IFERROR(IF(OR(NOT(ISNUMBER('Price History'!AB45)),NOT(ISNUMBER('Price History'!AB44)),'Price History'!AB44=0),"",'Price History'!AB45/'Price History'!AB44-1),"")</f>
        <v>0.00245888202830447</v>
      </c>
    </row>
    <row r="45" customFormat="false" ht="15" hidden="false" customHeight="true" outlineLevel="0" collapsed="false">
      <c r="A45" s="152" t="n">
        <f aca="false">IF('Price History'!A46="","",'Price History'!A46)</f>
        <v>45485</v>
      </c>
      <c r="B45" s="153" t="n">
        <f aca="false">IFERROR(IF(OR(NOT(ISNUMBER('Price History'!B46)),NOT(ISNUMBER('Price History'!B45)),'Price History'!B45=0),"",'Price History'!B46/'Price History'!B45-1),"")</f>
        <v>-0.0333540823736903</v>
      </c>
      <c r="C45" s="153" t="n">
        <f aca="false">IFERROR(IF(OR(NOT(ISNUMBER('Price History'!C46)),NOT(ISNUMBER('Price History'!C45)),'Price History'!C45=0),"",'Price History'!C46/'Price History'!C45-1),"")</f>
        <v>-0.0116888791785013</v>
      </c>
      <c r="D45" s="153" t="n">
        <f aca="false">IFERROR(IF(OR(NOT(ISNUMBER('Price History'!D46)),NOT(ISNUMBER('Price History'!D45)),'Price History'!D45=0),"",'Price History'!D46/'Price History'!D45-1),"")</f>
        <v>0.0100397227936786</v>
      </c>
      <c r="E45" s="153" t="n">
        <f aca="false">IFERROR(IF(OR(NOT(ISNUMBER('Price History'!E46)),NOT(ISNUMBER('Price History'!E45)),'Price History'!E45=0),"",'Price History'!E46/'Price History'!E45-1),"")</f>
        <v>-0.00155800575263654</v>
      </c>
      <c r="F45" s="153" t="n">
        <f aca="false">IFERROR(IF(OR(NOT(ISNUMBER('Price History'!F46)),NOT(ISNUMBER('Price History'!F45)),'Price History'!F45=0),"",'Price History'!F46/'Price History'!F45-1),"")</f>
        <v>-0.0471155820160132</v>
      </c>
      <c r="G45" s="153" t="n">
        <f aca="false">IFERROR(IF(OR(NOT(ISNUMBER('Price History'!G46)),NOT(ISNUMBER('Price History'!G45)),'Price History'!G45=0),"",'Price History'!G46/'Price History'!G45-1),"")</f>
        <v>0.00285374554102269</v>
      </c>
      <c r="H45" s="153" t="n">
        <f aca="false">IFERROR(IF(OR(NOT(ISNUMBER('Price History'!H46)),NOT(ISNUMBER('Price History'!H45)),'Price History'!H45=0),"",'Price History'!H46/'Price History'!H45-1),"")</f>
        <v>0.0157661105158426</v>
      </c>
      <c r="I45" s="153" t="n">
        <f aca="false">IFERROR(IF(OR(NOT(ISNUMBER('Price History'!I46)),NOT(ISNUMBER('Price History'!I45)),'Price History'!I45=0),"",'Price History'!I46/'Price History'!I45-1),"")</f>
        <v>0.0270959515460631</v>
      </c>
      <c r="J45" s="153" t="n">
        <f aca="false">IFERROR(IF(OR(NOT(ISNUMBER('Price History'!J46)),NOT(ISNUMBER('Price History'!J45)),'Price History'!J45=0),"",'Price History'!J46/'Price History'!J45-1),"")</f>
        <v>0.0496847652206645</v>
      </c>
      <c r="K45" s="153" t="n">
        <f aca="false">IFERROR(IF(OR(NOT(ISNUMBER('Price History'!K46)),NOT(ISNUMBER('Price History'!K45)),'Price History'!K45=0),"",'Price History'!K46/'Price History'!K45-1),"")</f>
        <v>0.0308483290488433</v>
      </c>
      <c r="L45" s="153" t="n">
        <f aca="false">IFERROR(IF(OR(NOT(ISNUMBER('Price History'!L46)),NOT(ISNUMBER('Price History'!L45)),'Price History'!L45=0),"",'Price History'!L46/'Price History'!L45-1),"")</f>
        <v>0.0182224706539966</v>
      </c>
      <c r="M45" s="153" t="n">
        <f aca="false">IFERROR(IF(OR(NOT(ISNUMBER('Price History'!M46)),NOT(ISNUMBER('Price History'!M45)),'Price History'!M45=0),"",'Price History'!M46/'Price History'!M45-1),"")</f>
        <v>-0.0229432972795804</v>
      </c>
      <c r="N45" s="153" t="n">
        <f aca="false">IFERROR(IF(OR(NOT(ISNUMBER('Price History'!N46)),NOT(ISNUMBER('Price History'!N45)),'Price History'!N45=0),"",'Price History'!N46/'Price History'!N45-1),"")</f>
        <v>0.0298586088459027</v>
      </c>
      <c r="O45" s="153" t="n">
        <f aca="false">IFERROR(IF(OR(NOT(ISNUMBER('Price History'!O46)),NOT(ISNUMBER('Price History'!O45)),'Price History'!O45=0),"",'Price History'!O46/'Price History'!O45-1),"")</f>
        <v>0.0557250117315815</v>
      </c>
      <c r="P45" s="153" t="n">
        <f aca="false">IFERROR(IF(OR(NOT(ISNUMBER('Price History'!P46)),NOT(ISNUMBER('Price History'!P45)),'Price History'!P45=0),"",'Price History'!P46/'Price History'!P45-1),"")</f>
        <v>0.0420776400325762</v>
      </c>
      <c r="Q45" s="153" t="n">
        <f aca="false">IFERROR(IF(OR(NOT(ISNUMBER('Price History'!Q46)),NOT(ISNUMBER('Price History'!Q45)),'Price History'!Q45=0),"",'Price History'!Q46/'Price History'!Q45-1),"")</f>
        <v>0.00344115622849284</v>
      </c>
      <c r="R45" s="153" t="n">
        <f aca="false">IFERROR(IF(OR(NOT(ISNUMBER('Price History'!R46)),NOT(ISNUMBER('Price History'!R45)),'Price History'!R45=0),"",'Price History'!R46/'Price History'!R45-1),"")</f>
        <v>-0.000692680674209245</v>
      </c>
      <c r="S45" s="153" t="n">
        <f aca="false">IFERROR(IF(OR(NOT(ISNUMBER('Price History'!S46)),NOT(ISNUMBER('Price History'!S45)),'Price History'!S45=0),"",'Price History'!S46/'Price History'!S45-1),"")</f>
        <v>-0.00202976995940463</v>
      </c>
      <c r="T45" s="153" t="n">
        <f aca="false">IFERROR(IF(OR(NOT(ISNUMBER('Price History'!T46)),NOT(ISNUMBER('Price History'!T45)),'Price History'!T45=0),"",'Price History'!T46/'Price History'!T45-1),"")</f>
        <v>0.0385008517887564</v>
      </c>
      <c r="U45" s="153" t="n">
        <f aca="false">IFERROR(IF(OR(NOT(ISNUMBER('Price History'!U46)),NOT(ISNUMBER('Price History'!U45)),'Price History'!U45=0),"",'Price History'!U46/'Price History'!U45-1),"")</f>
        <v>0.0337837837837838</v>
      </c>
      <c r="V45" s="154" t="n">
        <f aca="false">IFERROR(IF(OR(NOT(ISNUMBER('Price History'!V46)),NOT(ISNUMBER('Price History'!V45)),'Price History'!V45=0),"",'Price History'!V46/'Price History'!V45-1),"")</f>
        <v>-0.0170798690794177</v>
      </c>
      <c r="W45" s="155" t="n">
        <f aca="false">IFERROR('Price History'!B3+(INDEX('Price History'!B:B,MATCH(9.99E+307,'Returns (Calc)'!$A:$A)+1)-'Price History'!B3)*(ROW()-3)/(MATCH(9.99E+307,'Returns (Calc)'!$A:$A)-3),"")</f>
        <v>453.179056603774</v>
      </c>
      <c r="X45" s="155" t="n">
        <f aca="false">IFERROR('Price History'!C3+(INDEX('Price History'!C:C,MATCH(9.99E+307,'Returns (Calc)'!$A:$A)+1)-'Price History'!C3)*(ROW()-3)/(MATCH(9.99E+307,'Returns (Calc)'!$A:$A)-3),"")</f>
        <v>91.2335849056604</v>
      </c>
      <c r="Y45" s="155" t="n">
        <f aca="false">IFERROR('Price History'!D3+(INDEX('Price History'!D:D,MATCH(9.99E+307,'Returns (Calc)'!$A:$A)+1)-'Price History'!D3)*(ROW()-3)/(MATCH(9.99E+307,'Returns (Calc)'!$A:$A)-3),"")</f>
        <v>898.55</v>
      </c>
      <c r="Z45" s="155" t="n">
        <f aca="false">IFERROR('Price History'!E3+(INDEX('Price History'!E:E,MATCH(9.99E+307,'Returns (Calc)'!$A:$A)+1)-'Price History'!E3)*(ROW()-3)/(MATCH(9.99E+307,'Returns (Calc)'!$A:$A)-3),"")</f>
        <v>155.840754716981</v>
      </c>
      <c r="AA45" s="155" t="n">
        <f aca="false">IFERROR('Price History'!F3+(INDEX('Price History'!F:F,MATCH(9.99E+307,'Returns (Calc)'!$A:$A)+1)-'Price History'!F3)*(ROW()-3)/(MATCH(9.99E+307,'Returns (Calc)'!$A:$A)-3),"")</f>
        <v>103.08679245283</v>
      </c>
      <c r="AB45" s="155" t="n">
        <f aca="false">IFERROR('Price History'!G3+(INDEX('Price History'!G:G,MATCH(9.99E+307,'Returns (Calc)'!$A:$A)+1)-'Price History'!G3)*(ROW()-3)/(MATCH(9.99E+307,'Returns (Calc)'!$A:$A)-3),"")</f>
        <v>84.2949056603774</v>
      </c>
      <c r="AC45" s="155" t="n">
        <f aca="false">IFERROR('Price History'!H3+(INDEX('Price History'!H:H,MATCH(9.99E+307,'Returns (Calc)'!$A:$A)+1)-'Price History'!H3)*(ROW()-3)/(MATCH(9.99E+307,'Returns (Calc)'!$A:$A)-3),"")</f>
        <v>322.665849056604</v>
      </c>
      <c r="AD45" s="155" t="n">
        <f aca="false">IFERROR('Price History'!I3+(INDEX('Price History'!I:I,MATCH(9.99E+307,'Returns (Calc)'!$A:$A)+1)-'Price History'!I3)*(ROW()-3)/(MATCH(9.99E+307,'Returns (Calc)'!$A:$A)-3),"")</f>
        <v>92.772641509434</v>
      </c>
      <c r="AE45" s="155" t="n">
        <f aca="false">IFERROR('Price History'!J3+(INDEX('Price History'!J:J,MATCH(9.99E+307,'Returns (Calc)'!$A:$A)+1)-'Price History'!J3)*(ROW()-3)/(MATCH(9.99E+307,'Returns (Calc)'!$A:$A)-3),"")</f>
        <v>116.502264150943</v>
      </c>
      <c r="AF45" s="155" t="n">
        <f aca="false">IFERROR('Price History'!K3+(INDEX('Price History'!K:K,MATCH(9.99E+307,'Returns (Calc)'!$A:$A)+1)-'Price History'!K3)*(ROW()-3)/(MATCH(9.99E+307,'Returns (Calc)'!$A:$A)-3),"")</f>
        <v>66.501320754717</v>
      </c>
      <c r="AG45" s="155" t="n">
        <f aca="false">IFERROR('Price History'!L3+(INDEX('Price History'!L:L,MATCH(9.99E+307,'Returns (Calc)'!$A:$A)+1)-'Price History'!L3)*(ROW()-3)/(MATCH(9.99E+307,'Returns (Calc)'!$A:$A)-3),"")</f>
        <v>182.841320754717</v>
      </c>
      <c r="AH45" s="155" t="n">
        <f aca="false">IFERROR('Price History'!M3+(INDEX('Price History'!M:M,MATCH(9.99E+307,'Returns (Calc)'!$A:$A)+1)-'Price History'!M3)*(ROW()-3)/(MATCH(9.99E+307,'Returns (Calc)'!$A:$A)-3),"")</f>
        <v>92.1075471698113</v>
      </c>
      <c r="AI45" s="155" t="n">
        <f aca="false">IFERROR('Price History'!N3+(INDEX('Price History'!N:N,MATCH(9.99E+307,'Returns (Calc)'!$A:$A)+1)-'Price History'!N3)*(ROW()-3)/(MATCH(9.99E+307,'Returns (Calc)'!$A:$A)-3),"")</f>
        <v>391.475849056604</v>
      </c>
      <c r="AJ45" s="155" t="n">
        <f aca="false">IFERROR('Price History'!O3+(INDEX('Price History'!O:O,MATCH(9.99E+307,'Returns (Calc)'!$A:$A)+1)-'Price History'!O3)*(ROW()-3)/(MATCH(9.99E+307,'Returns (Calc)'!$A:$A)-3),"")</f>
        <v>87.0198113207547</v>
      </c>
      <c r="AK45" s="155" t="n">
        <f aca="false">IFERROR('Price History'!Q3+(INDEX('Price History'!Q:Q,MATCH(9.99E+307,'Returns (Calc)'!$A:$A)+1)-'Price History'!Q3)*(ROW()-3)/(MATCH(9.99E+307,'Returns (Calc)'!$A:$A)-3),"")</f>
        <v>18.482641509434</v>
      </c>
      <c r="AL45" s="155" t="n">
        <f aca="false">IFERROR('Price History'!R3+(INDEX('Price History'!R:R,MATCH(9.99E+307,'Returns (Calc)'!$A:$A)+1)-'Price History'!R3)*(ROW()-3)/(MATCH(9.99E+307,'Returns (Calc)'!$A:$A)-3),"")</f>
        <v>41.5090566037736</v>
      </c>
      <c r="AM45" s="155" t="n">
        <f aca="false">IFERROR('Price History'!S3+(INDEX('Price History'!S:S,MATCH(9.99E+307,'Returns (Calc)'!$A:$A)+1)-'Price History'!S3)*(ROW()-3)/(MATCH(9.99E+307,'Returns (Calc)'!$A:$A)-3),"")</f>
        <v>82.3360377358491</v>
      </c>
      <c r="AN45" s="155" t="n">
        <f aca="false">IFERROR('Price History'!T3+(INDEX('Price History'!T:T,MATCH(9.99E+307,'Returns (Calc)'!$A:$A)+1)-'Price History'!T3)*(ROW()-3)/(MATCH(9.99E+307,'Returns (Calc)'!$A:$A)-3),"")</f>
        <v>32.4937735849057</v>
      </c>
      <c r="AO45" s="156" t="n">
        <f aca="false">IFERROR('Price History'!V3+(INDEX('Price History'!V:V,MATCH(9.99E+307,'Returns (Calc)'!$A:$A)+1)-'Price History'!V3)*(ROW()-3)/(MATCH(9.99E+307,'Returns (Calc)'!$A:$A)-3),"")</f>
        <v>275.205094339623</v>
      </c>
      <c r="AP45" s="154" t="n">
        <f aca="false">IFERROR(IF(OR(NOT(ISNUMBER('Price History'!W46)),NOT(ISNUMBER('Price History'!W45)),'Price History'!W45=0),"",'Price History'!W46/'Price History'!W45-1),"")</f>
        <v>0.0244795854551951</v>
      </c>
      <c r="AQ45" s="154" t="str">
        <f aca="false">IFERROR(IF(OR(NOT(ISNUMBER('Price History'!X46)),NOT(ISNUMBER('Price History'!X45)),'Price History'!X45=0),"",'Price History'!X46/'Price History'!X45-1),"")</f>
        <v/>
      </c>
      <c r="AR45" s="154" t="n">
        <f aca="false">IFERROR(IF(OR(NOT(ISNUMBER('Price History'!Y46)),NOT(ISNUMBER('Price History'!Y45)),'Price History'!Y45=0),"",'Price History'!Y46/'Price History'!Y45-1),"")</f>
        <v>0.00935374149659851</v>
      </c>
      <c r="AS45" s="154" t="n">
        <f aca="false">IFERROR(IF(OR(NOT(ISNUMBER('Price History'!Z46)),NOT(ISNUMBER('Price History'!Z45)),'Price History'!Z45=0),"",'Price History'!Z46/'Price History'!Z45-1),"")</f>
        <v>-0.00765048052604966</v>
      </c>
      <c r="AT45" s="154" t="n">
        <f aca="false">IFERROR(IF(OR(NOT(ISNUMBER('Price History'!AA46)),NOT(ISNUMBER('Price History'!AA45)),'Price History'!AA45=0),"",'Price History'!AA46/'Price History'!AA45-1),"")</f>
        <v>-0.0624004632981032</v>
      </c>
      <c r="AU45" s="154" t="n">
        <f aca="false">IFERROR(IF(OR(NOT(ISNUMBER('Price History'!AB46)),NOT(ISNUMBER('Price History'!AB45)),'Price History'!AB45=0),"",'Price History'!AB46/'Price History'!AB45-1),"")</f>
        <v>0.0243104763981248</v>
      </c>
    </row>
    <row r="46" customFormat="false" ht="15" hidden="false" customHeight="true" outlineLevel="0" collapsed="false">
      <c r="A46" s="152" t="n">
        <f aca="false">IF('Price History'!A47="","",'Price History'!A47)</f>
        <v>45492</v>
      </c>
      <c r="B46" s="153" t="n">
        <f aca="false">IFERROR(IF(OR(NOT(ISNUMBER('Price History'!B47)),NOT(ISNUMBER('Price History'!B46)),'Price History'!B46=0),"",'Price History'!B47/'Price History'!B46-1),"")</f>
        <v>-0.0143994276003935</v>
      </c>
      <c r="C46" s="153" t="n">
        <f aca="false">IFERROR(IF(OR(NOT(ISNUMBER('Price History'!C47)),NOT(ISNUMBER('Price History'!C46)),'Price History'!C46=0),"",'Price History'!C47/'Price History'!C46-1),"")</f>
        <v>-0.0865480269702664</v>
      </c>
      <c r="D46" s="153" t="n">
        <f aca="false">IFERROR(IF(OR(NOT(ISNUMBER('Price History'!D47)),NOT(ISNUMBER('Price History'!D46)),'Price History'!D46=0),"",'Price History'!D47/'Price History'!D46-1),"")</f>
        <v>-0.174976534634879</v>
      </c>
      <c r="E46" s="153" t="n">
        <f aca="false">IFERROR(IF(OR(NOT(ISNUMBER('Price History'!E47)),NOT(ISNUMBER('Price History'!E46)),'Price History'!E46=0),"",'Price History'!E47/'Price History'!E46-1),"")</f>
        <v>-0.0747809386628257</v>
      </c>
      <c r="F46" s="153" t="n">
        <f aca="false">IFERROR(IF(OR(NOT(ISNUMBER('Price History'!F47)),NOT(ISNUMBER('Price History'!F46)),'Price History'!F46=0),"",'Price History'!F47/'Price History'!F46-1),"")</f>
        <v>-0.178713777873532</v>
      </c>
      <c r="G46" s="153" t="n">
        <f aca="false">IFERROR(IF(OR(NOT(ISNUMBER('Price History'!G47)),NOT(ISNUMBER('Price History'!G46)),'Price History'!G46=0),"",'Price History'!G47/'Price History'!G46-1),"")</f>
        <v>-0.110979369219825</v>
      </c>
      <c r="H46" s="153" t="n">
        <f aca="false">IFERROR(IF(OR(NOT(ISNUMBER('Price History'!H47)),NOT(ISNUMBER('Price History'!H46)),'Price History'!H46=0),"",'Price History'!H47/'Price History'!H46-1),"")</f>
        <v>-0.144439421338156</v>
      </c>
      <c r="I46" s="153" t="n">
        <f aca="false">IFERROR(IF(OR(NOT(ISNUMBER('Price History'!I47)),NOT(ISNUMBER('Price History'!I46)),'Price History'!I46=0),"",'Price History'!I47/'Price History'!I46-1),"")</f>
        <v>-0.0875232774674115</v>
      </c>
      <c r="J46" s="153" t="n">
        <f aca="false">IFERROR(IF(OR(NOT(ISNUMBER('Price History'!J47)),NOT(ISNUMBER('Price History'!J46)),'Price History'!J46=0),"",'Price History'!J47/'Price History'!J46-1),"")</f>
        <v>0.0300313760645452</v>
      </c>
      <c r="K46" s="153" t="n">
        <f aca="false">IFERROR(IF(OR(NOT(ISNUMBER('Price History'!K47)),NOT(ISNUMBER('Price History'!K46)),'Price History'!K46=0),"",'Price History'!K47/'Price History'!K46-1),"")</f>
        <v>0.0181688635553972</v>
      </c>
      <c r="L46" s="153" t="n">
        <f aca="false">IFERROR(IF(OR(NOT(ISNUMBER('Price History'!L47)),NOT(ISNUMBER('Price History'!L46)),'Price History'!L46=0),"",'Price History'!L47/'Price History'!L46-1),"")</f>
        <v>-0.115173473869126</v>
      </c>
      <c r="M46" s="153" t="n">
        <f aca="false">IFERROR(IF(OR(NOT(ISNUMBER('Price History'!M47)),NOT(ISNUMBER('Price History'!M46)),'Price History'!M46=0),"",'Price History'!M47/'Price History'!M46-1),"")</f>
        <v>-0.0486413955048642</v>
      </c>
      <c r="N46" s="153" t="n">
        <f aca="false">IFERROR(IF(OR(NOT(ISNUMBER('Price History'!N47)),NOT(ISNUMBER('Price History'!N46)),'Price History'!N46=0),"",'Price History'!N47/'Price History'!N46-1),"")</f>
        <v>0.00579039980357643</v>
      </c>
      <c r="O46" s="153" t="n">
        <f aca="false">IFERROR(IF(OR(NOT(ISNUMBER('Price History'!O47)),NOT(ISNUMBER('Price History'!O46)),'Price History'!O46=0),"",'Price History'!O47/'Price History'!O46-1),"")</f>
        <v>0.0264473830425604</v>
      </c>
      <c r="P46" s="153" t="n">
        <f aca="false">IFERROR(IF(OR(NOT(ISNUMBER('Price History'!P47)),NOT(ISNUMBER('Price History'!P46)),'Price History'!P46=0),"",'Price History'!P47/'Price History'!P46-1),"")</f>
        <v>0.0141542202153526</v>
      </c>
      <c r="Q46" s="153" t="n">
        <f aca="false">IFERROR(IF(OR(NOT(ISNUMBER('Price History'!Q47)),NOT(ISNUMBER('Price History'!Q46)),'Price History'!Q46=0),"",'Price History'!Q47/'Price History'!Q46-1),"")</f>
        <v>-0.00668724279835387</v>
      </c>
      <c r="R46" s="153" t="n">
        <f aca="false">IFERROR(IF(OR(NOT(ISNUMBER('Price History'!R47)),NOT(ISNUMBER('Price History'!R46)),'Price History'!R46=0),"",'Price History'!R47/'Price History'!R46-1),"")</f>
        <v>-0.0295748613678374</v>
      </c>
      <c r="S46" s="153" t="n">
        <f aca="false">IFERROR(IF(OR(NOT(ISNUMBER('Price History'!S47)),NOT(ISNUMBER('Price History'!S46)),'Price History'!S46=0),"",'Price History'!S47/'Price History'!S46-1),"")</f>
        <v>-0.0404519774011299</v>
      </c>
      <c r="T46" s="153" t="n">
        <f aca="false">IFERROR(IF(OR(NOT(ISNUMBER('Price History'!T47)),NOT(ISNUMBER('Price History'!T46)),'Price History'!T46=0),"",'Price History'!T47/'Price History'!T46-1),"")</f>
        <v>0.0154199475065617</v>
      </c>
      <c r="U46" s="153" t="n">
        <f aca="false">IFERROR(IF(OR(NOT(ISNUMBER('Price History'!U47)),NOT(ISNUMBER('Price History'!U46)),'Price History'!U46=0),"",'Price History'!U47/'Price History'!U46-1),"")</f>
        <v>0.0183823529411764</v>
      </c>
      <c r="V46" s="154" t="n">
        <f aca="false">IFERROR(IF(OR(NOT(ISNUMBER('Price History'!V47)),NOT(ISNUMBER('Price History'!V46)),'Price History'!V46=0),"",'Price History'!V47/'Price History'!V46-1),"")</f>
        <v>-0.00107168829180526</v>
      </c>
      <c r="W46" s="155" t="n">
        <f aca="false">IFERROR('Price History'!B3+(INDEX('Price History'!B:B,MATCH(9.99E+307,'Returns (Calc)'!$A:$A)+1)-'Price History'!B3)*(ROW()-3)/(MATCH(9.99E+307,'Returns (Calc)'!$A:$A)-3),"")</f>
        <v>451.37641509434</v>
      </c>
      <c r="X46" s="155" t="n">
        <f aca="false">IFERROR('Price History'!C3+(INDEX('Price History'!C:C,MATCH(9.99E+307,'Returns (Calc)'!$A:$A)+1)-'Price History'!C3)*(ROW()-3)/(MATCH(9.99E+307,'Returns (Calc)'!$A:$A)-3),"")</f>
        <v>92.3062893081761</v>
      </c>
      <c r="Y46" s="155" t="n">
        <f aca="false">IFERROR('Price History'!D3+(INDEX('Price History'!D:D,MATCH(9.99E+307,'Returns (Calc)'!$A:$A)+1)-'Price History'!D3)*(ROW()-3)/(MATCH(9.99E+307,'Returns (Calc)'!$A:$A)-3),"")</f>
        <v>906.086666666667</v>
      </c>
      <c r="Z46" s="155" t="n">
        <f aca="false">IFERROR('Price History'!E3+(INDEX('Price History'!E:E,MATCH(9.99E+307,'Returns (Calc)'!$A:$A)+1)-'Price History'!E3)*(ROW()-3)/(MATCH(9.99E+307,'Returns (Calc)'!$A:$A)-3),"")</f>
        <v>157.598867924528</v>
      </c>
      <c r="AA46" s="155" t="n">
        <f aca="false">IFERROR('Price History'!F3+(INDEX('Price History'!F:F,MATCH(9.99E+307,'Returns (Calc)'!$A:$A)+1)-'Price History'!F3)*(ROW()-3)/(MATCH(9.99E+307,'Returns (Calc)'!$A:$A)-3),"")</f>
        <v>104.556477987421</v>
      </c>
      <c r="AB46" s="155" t="n">
        <f aca="false">IFERROR('Price History'!G3+(INDEX('Price History'!G:G,MATCH(9.99E+307,'Returns (Calc)'!$A:$A)+1)-'Price History'!G3)*(ROW()-3)/(MATCH(9.99E+307,'Returns (Calc)'!$A:$A)-3),"")</f>
        <v>85.2459748427673</v>
      </c>
      <c r="AC46" s="155" t="n">
        <f aca="false">IFERROR('Price History'!H3+(INDEX('Price History'!H:H,MATCH(9.99E+307,'Returns (Calc)'!$A:$A)+1)-'Price History'!H3)*(ROW()-3)/(MATCH(9.99E+307,'Returns (Calc)'!$A:$A)-3),"")</f>
        <v>328.702893081761</v>
      </c>
      <c r="AD46" s="155" t="n">
        <f aca="false">IFERROR('Price History'!I3+(INDEX('Price History'!I:I,MATCH(9.99E+307,'Returns (Calc)'!$A:$A)+1)-'Price History'!I3)*(ROW()-3)/(MATCH(9.99E+307,'Returns (Calc)'!$A:$A)-3),"")</f>
        <v>93.9393710691824</v>
      </c>
      <c r="AE46" s="155" t="n">
        <f aca="false">IFERROR('Price History'!J3+(INDEX('Price History'!J:J,MATCH(9.99E+307,'Returns (Calc)'!$A:$A)+1)-'Price History'!J3)*(ROW()-3)/(MATCH(9.99E+307,'Returns (Calc)'!$A:$A)-3),"")</f>
        <v>116.613270440252</v>
      </c>
      <c r="AF46" s="155" t="n">
        <f aca="false">IFERROR('Price History'!K3+(INDEX('Price History'!K:K,MATCH(9.99E+307,'Returns (Calc)'!$A:$A)+1)-'Price History'!K3)*(ROW()-3)/(MATCH(9.99E+307,'Returns (Calc)'!$A:$A)-3),"")</f>
        <v>67.7196855345912</v>
      </c>
      <c r="AG46" s="155" t="n">
        <f aca="false">IFERROR('Price History'!L3+(INDEX('Price History'!L:L,MATCH(9.99E+307,'Returns (Calc)'!$A:$A)+1)-'Price History'!L3)*(ROW()-3)/(MATCH(9.99E+307,'Returns (Calc)'!$A:$A)-3),"")</f>
        <v>185.153018867925</v>
      </c>
      <c r="AH46" s="155" t="n">
        <f aca="false">IFERROR('Price History'!M3+(INDEX('Price History'!M:M,MATCH(9.99E+307,'Returns (Calc)'!$A:$A)+1)-'Price History'!M3)*(ROW()-3)/(MATCH(9.99E+307,'Returns (Calc)'!$A:$A)-3),"")</f>
        <v>93.3953459119497</v>
      </c>
      <c r="AI46" s="155" t="n">
        <f aca="false">IFERROR('Price History'!N3+(INDEX('Price History'!N:N,MATCH(9.99E+307,'Returns (Calc)'!$A:$A)+1)-'Price History'!N3)*(ROW()-3)/(MATCH(9.99E+307,'Returns (Calc)'!$A:$A)-3),"")</f>
        <v>392.489559748428</v>
      </c>
      <c r="AJ46" s="155" t="n">
        <f aca="false">IFERROR('Price History'!O3+(INDEX('Price History'!O:O,MATCH(9.99E+307,'Returns (Calc)'!$A:$A)+1)-'Price History'!O3)*(ROW()-3)/(MATCH(9.99E+307,'Returns (Calc)'!$A:$A)-3),"")</f>
        <v>87.2986163522013</v>
      </c>
      <c r="AK46" s="155" t="n">
        <f aca="false">IFERROR('Price History'!Q3+(INDEX('Price History'!Q:Q,MATCH(9.99E+307,'Returns (Calc)'!$A:$A)+1)-'Price History'!Q3)*(ROW()-3)/(MATCH(9.99E+307,'Returns (Calc)'!$A:$A)-3),"")</f>
        <v>18.9227044025157</v>
      </c>
      <c r="AL46" s="155" t="n">
        <f aca="false">IFERROR('Price History'!R3+(INDEX('Price History'!R:R,MATCH(9.99E+307,'Returns (Calc)'!$A:$A)+1)-'Price History'!R3)*(ROW()-3)/(MATCH(9.99E+307,'Returns (Calc)'!$A:$A)-3),"")</f>
        <v>41.6764150943396</v>
      </c>
      <c r="AM46" s="155" t="n">
        <f aca="false">IFERROR('Price History'!S3+(INDEX('Price History'!S:S,MATCH(9.99E+307,'Returns (Calc)'!$A:$A)+1)-'Price History'!S3)*(ROW()-3)/(MATCH(9.99E+307,'Returns (Calc)'!$A:$A)-3),"")</f>
        <v>82.9242767295598</v>
      </c>
      <c r="AN46" s="155" t="n">
        <f aca="false">IFERROR('Price History'!T3+(INDEX('Price History'!T:T,MATCH(9.99E+307,'Returns (Calc)'!$A:$A)+1)-'Price History'!T3)*(ROW()-3)/(MATCH(9.99E+307,'Returns (Calc)'!$A:$A)-3),"")</f>
        <v>32.6676729559748</v>
      </c>
      <c r="AO46" s="156" t="n">
        <f aca="false">IFERROR('Price History'!V3+(INDEX('Price History'!V:V,MATCH(9.99E+307,'Returns (Calc)'!$A:$A)+1)-'Price History'!V3)*(ROW()-3)/(MATCH(9.99E+307,'Returns (Calc)'!$A:$A)-3),"")</f>
        <v>276.147358490566</v>
      </c>
      <c r="AP46" s="154" t="n">
        <f aca="false">IFERROR(IF(OR(NOT(ISNUMBER('Price History'!W47)),NOT(ISNUMBER('Price History'!W46)),'Price History'!W46=0),"",'Price History'!W47/'Price History'!W46-1),"")</f>
        <v>0.00784860905206242</v>
      </c>
      <c r="AQ46" s="154" t="str">
        <f aca="false">IFERROR(IF(OR(NOT(ISNUMBER('Price History'!X47)),NOT(ISNUMBER('Price History'!X46)),'Price History'!X46=0),"",'Price History'!X47/'Price History'!X46-1),"")</f>
        <v/>
      </c>
      <c r="AR46" s="154" t="n">
        <f aca="false">IFERROR(IF(OR(NOT(ISNUMBER('Price History'!Y47)),NOT(ISNUMBER('Price History'!Y46)),'Price History'!Y46=0),"",'Price History'!Y47/'Price History'!Y46-1),"")</f>
        <v>-0.00231676495366473</v>
      </c>
      <c r="AS46" s="154" t="n">
        <f aca="false">IFERROR(IF(OR(NOT(ISNUMBER('Price History'!Z47)),NOT(ISNUMBER('Price History'!Z46)),'Price History'!Z46=0),"",'Price History'!Z47/'Price History'!Z46-1),"")</f>
        <v>0.000764574705320209</v>
      </c>
      <c r="AT46" s="154" t="n">
        <f aca="false">IFERROR(IF(OR(NOT(ISNUMBER('Price History'!AA47)),NOT(ISNUMBER('Price History'!AA46)),'Price History'!AA46=0),"",'Price History'!AA47/'Price History'!AA46-1),"")</f>
        <v>-0.0220815318097592</v>
      </c>
      <c r="AU46" s="154" t="n">
        <f aca="false">IFERROR(IF(OR(NOT(ISNUMBER('Price History'!AB47)),NOT(ISNUMBER('Price History'!AB46)),'Price History'!AB46=0),"",'Price History'!AB47/'Price History'!AB46-1),"")</f>
        <v>-0.024851000425713</v>
      </c>
    </row>
    <row r="47" customFormat="false" ht="15" hidden="false" customHeight="true" outlineLevel="0" collapsed="false">
      <c r="A47" s="152" t="n">
        <f aca="false">IF('Price History'!A48="","",'Price History'!A48)</f>
        <v>45499</v>
      </c>
      <c r="B47" s="153" t="n">
        <f aca="false">IFERROR(IF(OR(NOT(ISNUMBER('Price History'!B48)),NOT(ISNUMBER('Price History'!B47)),'Price History'!B47=0),"",'Price History'!B48/'Price History'!B47-1),"")</f>
        <v>-0.0155353901996369</v>
      </c>
      <c r="C47" s="153" t="n">
        <f aca="false">IFERROR(IF(OR(NOT(ISNUMBER('Price History'!C48)),NOT(ISNUMBER('Price History'!C47)),'Price History'!C47=0),"",'Price History'!C48/'Price History'!C47-1),"")</f>
        <v>-0.0343659244917716</v>
      </c>
      <c r="D47" s="153" t="n">
        <f aca="false">IFERROR(IF(OR(NOT(ISNUMBER('Price History'!D48)),NOT(ISNUMBER('Price History'!D47)),'Price History'!D47=0),"",'Price History'!D48/'Price History'!D47-1),"")</f>
        <v>-0.00779312384809672</v>
      </c>
      <c r="E47" s="153" t="n">
        <f aca="false">IFERROR(IF(OR(NOT(ISNUMBER('Price History'!E48)),NOT(ISNUMBER('Price History'!E47)),'Price History'!E47=0),"",'Price History'!E48/'Price History'!E47-1),"")</f>
        <v>-0.0363258951738453</v>
      </c>
      <c r="F47" s="153" t="n">
        <f aca="false">IFERROR(IF(OR(NOT(ISNUMBER('Price History'!F48)),NOT(ISNUMBER('Price History'!F47)),'Price History'!F47=0),"",'Price History'!F48/'Price History'!F47-1),"")</f>
        <v>-0.160020986358867</v>
      </c>
      <c r="G47" s="153" t="n">
        <f aca="false">IFERROR(IF(OR(NOT(ISNUMBER('Price History'!G48)),NOT(ISNUMBER('Price History'!G47)),'Price History'!G47=0),"",'Price History'!G48/'Price History'!G47-1),"")</f>
        <v>0.0326753801013604</v>
      </c>
      <c r="H47" s="153" t="n">
        <f aca="false">IFERROR(IF(OR(NOT(ISNUMBER('Price History'!H48)),NOT(ISNUMBER('Price History'!H47)),'Price History'!H47=0),"",'Price History'!H48/'Price History'!H47-1),"")</f>
        <v>-0.0424482606781154</v>
      </c>
      <c r="I47" s="153" t="n">
        <f aca="false">IFERROR(IF(OR(NOT(ISNUMBER('Price History'!I48)),NOT(ISNUMBER('Price History'!I47)),'Price History'!I47=0),"",'Price History'!I48/'Price History'!I47-1),"")</f>
        <v>-0.0412414965986394</v>
      </c>
      <c r="J47" s="153" t="n">
        <f aca="false">IFERROR(IF(OR(NOT(ISNUMBER('Price History'!J48)),NOT(ISNUMBER('Price History'!J47)),'Price History'!J47=0),"",'Price History'!J48/'Price History'!J47-1),"")</f>
        <v>-0.00870322019147085</v>
      </c>
      <c r="K47" s="153" t="n">
        <f aca="false">IFERROR(IF(OR(NOT(ISNUMBER('Price History'!K48)),NOT(ISNUMBER('Price History'!K47)),'Price History'!K47=0),"",'Price History'!K48/'Price History'!K47-1),"")</f>
        <v>-0.0489853044086773</v>
      </c>
      <c r="L47" s="153" t="n">
        <f aca="false">IFERROR(IF(OR(NOT(ISNUMBER('Price History'!L48)),NOT(ISNUMBER('Price History'!L47)),'Price History'!L47=0),"",'Price History'!L48/'Price History'!L47-1),"")</f>
        <v>-0.0230797865740167</v>
      </c>
      <c r="M47" s="153" t="n">
        <f aca="false">IFERROR(IF(OR(NOT(ISNUMBER('Price History'!M48)),NOT(ISNUMBER('Price History'!M47)),'Price History'!M47=0),"",'Price History'!M48/'Price History'!M47-1),"")</f>
        <v>-0.0960272684532205</v>
      </c>
      <c r="N47" s="153" t="n">
        <f aca="false">IFERROR(IF(OR(NOT(ISNUMBER('Price History'!N48)),NOT(ISNUMBER('Price History'!N47)),'Price History'!N47=0),"",'Price History'!N48/'Price History'!N47-1),"")</f>
        <v>0.0075065606119169</v>
      </c>
      <c r="O47" s="153" t="n">
        <f aca="false">IFERROR(IF(OR(NOT(ISNUMBER('Price History'!O48)),NOT(ISNUMBER('Price History'!O47)),'Price History'!O47=0),"",'Price History'!O48/'Price History'!O47-1),"")</f>
        <v>0.0362671863159034</v>
      </c>
      <c r="P47" s="153" t="n">
        <f aca="false">IFERROR(IF(OR(NOT(ISNUMBER('Price History'!P48)),NOT(ISNUMBER('Price History'!P47)),'Price History'!P47=0),"",'Price History'!P48/'Price History'!P47-1),"")</f>
        <v>0.0211490709821047</v>
      </c>
      <c r="Q47" s="153" t="n">
        <f aca="false">IFERROR(IF(OR(NOT(ISNUMBER('Price History'!Q48)),NOT(ISNUMBER('Price History'!Q47)),'Price History'!Q47=0),"",'Price History'!Q48/'Price History'!Q47-1),"")</f>
        <v>-0.00414293112377007</v>
      </c>
      <c r="R47" s="153" t="n">
        <f aca="false">IFERROR(IF(OR(NOT(ISNUMBER('Price History'!R48)),NOT(ISNUMBER('Price History'!R47)),'Price History'!R47=0),"",'Price History'!R48/'Price History'!R47-1),"")</f>
        <v>-0.0226190476190477</v>
      </c>
      <c r="S47" s="153" t="n">
        <f aca="false">IFERROR(IF(OR(NOT(ISNUMBER('Price History'!S48)),NOT(ISNUMBER('Price History'!S47)),'Price History'!S47=0),"",'Price History'!S48/'Price History'!S47-1),"")</f>
        <v>-0.0188412623645785</v>
      </c>
      <c r="T47" s="153" t="n">
        <f aca="false">IFERROR(IF(OR(NOT(ISNUMBER('Price History'!T48)),NOT(ISNUMBER('Price History'!T47)),'Price History'!T47=0),"",'Price History'!T48/'Price History'!T47-1),"")</f>
        <v>0.0177705977382876</v>
      </c>
      <c r="U47" s="153" t="n">
        <f aca="false">IFERROR(IF(OR(NOT(ISNUMBER('Price History'!U48)),NOT(ISNUMBER('Price History'!U47)),'Price History'!U47=0),"",'Price History'!U48/'Price History'!U47-1),"")</f>
        <v>0.0168471720818293</v>
      </c>
      <c r="V47" s="154" t="n">
        <f aca="false">IFERROR(IF(OR(NOT(ISNUMBER('Price History'!V48)),NOT(ISNUMBER('Price History'!V47)),'Price History'!V47=0),"",'Price History'!V48/'Price History'!V47-1),"")</f>
        <v>-0.0226062301237595</v>
      </c>
      <c r="W47" s="155" t="n">
        <f aca="false">IFERROR('Price History'!B3+(INDEX('Price History'!B:B,MATCH(9.99E+307,'Returns (Calc)'!$A:$A)+1)-'Price History'!B3)*(ROW()-3)/(MATCH(9.99E+307,'Returns (Calc)'!$A:$A)-3),"")</f>
        <v>449.573773584906</v>
      </c>
      <c r="X47" s="155" t="n">
        <f aca="false">IFERROR('Price History'!C3+(INDEX('Price History'!C:C,MATCH(9.99E+307,'Returns (Calc)'!$A:$A)+1)-'Price History'!C3)*(ROW()-3)/(MATCH(9.99E+307,'Returns (Calc)'!$A:$A)-3),"")</f>
        <v>93.3789937106918</v>
      </c>
      <c r="Y47" s="155" t="n">
        <f aca="false">IFERROR('Price History'!D3+(INDEX('Price History'!D:D,MATCH(9.99E+307,'Returns (Calc)'!$A:$A)+1)-'Price History'!D3)*(ROW()-3)/(MATCH(9.99E+307,'Returns (Calc)'!$A:$A)-3),"")</f>
        <v>913.623333333333</v>
      </c>
      <c r="Z47" s="155" t="n">
        <f aca="false">IFERROR('Price History'!E3+(INDEX('Price History'!E:E,MATCH(9.99E+307,'Returns (Calc)'!$A:$A)+1)-'Price History'!E3)*(ROW()-3)/(MATCH(9.99E+307,'Returns (Calc)'!$A:$A)-3),"")</f>
        <v>159.356981132075</v>
      </c>
      <c r="AA47" s="155" t="n">
        <f aca="false">IFERROR('Price History'!F3+(INDEX('Price History'!F:F,MATCH(9.99E+307,'Returns (Calc)'!$A:$A)+1)-'Price History'!F3)*(ROW()-3)/(MATCH(9.99E+307,'Returns (Calc)'!$A:$A)-3),"")</f>
        <v>106.026163522013</v>
      </c>
      <c r="AB47" s="155" t="n">
        <f aca="false">IFERROR('Price History'!G3+(INDEX('Price History'!G:G,MATCH(9.99E+307,'Returns (Calc)'!$A:$A)+1)-'Price History'!G3)*(ROW()-3)/(MATCH(9.99E+307,'Returns (Calc)'!$A:$A)-3),"")</f>
        <v>86.1970440251572</v>
      </c>
      <c r="AC47" s="155" t="n">
        <f aca="false">IFERROR('Price History'!H3+(INDEX('Price History'!H:H,MATCH(9.99E+307,'Returns (Calc)'!$A:$A)+1)-'Price History'!H3)*(ROW()-3)/(MATCH(9.99E+307,'Returns (Calc)'!$A:$A)-3),"")</f>
        <v>334.739937106918</v>
      </c>
      <c r="AD47" s="155" t="n">
        <f aca="false">IFERROR('Price History'!I3+(INDEX('Price History'!I:I,MATCH(9.99E+307,'Returns (Calc)'!$A:$A)+1)-'Price History'!I3)*(ROW()-3)/(MATCH(9.99E+307,'Returns (Calc)'!$A:$A)-3),"")</f>
        <v>95.1061006289308</v>
      </c>
      <c r="AE47" s="155" t="n">
        <f aca="false">IFERROR('Price History'!J3+(INDEX('Price History'!J:J,MATCH(9.99E+307,'Returns (Calc)'!$A:$A)+1)-'Price History'!J3)*(ROW()-3)/(MATCH(9.99E+307,'Returns (Calc)'!$A:$A)-3),"")</f>
        <v>116.72427672956</v>
      </c>
      <c r="AF47" s="155" t="n">
        <f aca="false">IFERROR('Price History'!K3+(INDEX('Price History'!K:K,MATCH(9.99E+307,'Returns (Calc)'!$A:$A)+1)-'Price History'!K3)*(ROW()-3)/(MATCH(9.99E+307,'Returns (Calc)'!$A:$A)-3),"")</f>
        <v>68.9380503144654</v>
      </c>
      <c r="AG47" s="155" t="n">
        <f aca="false">IFERROR('Price History'!L3+(INDEX('Price History'!L:L,MATCH(9.99E+307,'Returns (Calc)'!$A:$A)+1)-'Price History'!L3)*(ROW()-3)/(MATCH(9.99E+307,'Returns (Calc)'!$A:$A)-3),"")</f>
        <v>187.464716981132</v>
      </c>
      <c r="AH47" s="155" t="n">
        <f aca="false">IFERROR('Price History'!M3+(INDEX('Price History'!M:M,MATCH(9.99E+307,'Returns (Calc)'!$A:$A)+1)-'Price History'!M3)*(ROW()-3)/(MATCH(9.99E+307,'Returns (Calc)'!$A:$A)-3),"")</f>
        <v>94.683144654088</v>
      </c>
      <c r="AI47" s="155" t="n">
        <f aca="false">IFERROR('Price History'!N3+(INDEX('Price History'!N:N,MATCH(9.99E+307,'Returns (Calc)'!$A:$A)+1)-'Price History'!N3)*(ROW()-3)/(MATCH(9.99E+307,'Returns (Calc)'!$A:$A)-3),"")</f>
        <v>393.503270440252</v>
      </c>
      <c r="AJ47" s="155" t="n">
        <f aca="false">IFERROR('Price History'!O3+(INDEX('Price History'!O:O,MATCH(9.99E+307,'Returns (Calc)'!$A:$A)+1)-'Price History'!O3)*(ROW()-3)/(MATCH(9.99E+307,'Returns (Calc)'!$A:$A)-3),"")</f>
        <v>87.5774213836478</v>
      </c>
      <c r="AK47" s="155" t="n">
        <f aca="false">IFERROR('Price History'!Q3+(INDEX('Price History'!Q:Q,MATCH(9.99E+307,'Returns (Calc)'!$A:$A)+1)-'Price History'!Q3)*(ROW()-3)/(MATCH(9.99E+307,'Returns (Calc)'!$A:$A)-3),"")</f>
        <v>19.3627672955975</v>
      </c>
      <c r="AL47" s="155" t="n">
        <f aca="false">IFERROR('Price History'!R3+(INDEX('Price History'!R:R,MATCH(9.99E+307,'Returns (Calc)'!$A:$A)+1)-'Price History'!R3)*(ROW()-3)/(MATCH(9.99E+307,'Returns (Calc)'!$A:$A)-3),"")</f>
        <v>41.8437735849057</v>
      </c>
      <c r="AM47" s="155" t="n">
        <f aca="false">IFERROR('Price History'!S3+(INDEX('Price History'!S:S,MATCH(9.99E+307,'Returns (Calc)'!$A:$A)+1)-'Price History'!S3)*(ROW()-3)/(MATCH(9.99E+307,'Returns (Calc)'!$A:$A)-3),"")</f>
        <v>83.5125157232704</v>
      </c>
      <c r="AN47" s="155" t="n">
        <f aca="false">IFERROR('Price History'!T3+(INDEX('Price History'!T:T,MATCH(9.99E+307,'Returns (Calc)'!$A:$A)+1)-'Price History'!T3)*(ROW()-3)/(MATCH(9.99E+307,'Returns (Calc)'!$A:$A)-3),"")</f>
        <v>32.841572327044</v>
      </c>
      <c r="AO47" s="156" t="n">
        <f aca="false">IFERROR('Price History'!V3+(INDEX('Price History'!V:V,MATCH(9.99E+307,'Returns (Calc)'!$A:$A)+1)-'Price History'!V3)*(ROW()-3)/(MATCH(9.99E+307,'Returns (Calc)'!$A:$A)-3),"")</f>
        <v>277.089622641509</v>
      </c>
      <c r="AP47" s="154" t="n">
        <f aca="false">IFERROR(IF(OR(NOT(ISNUMBER('Price History'!W48)),NOT(ISNUMBER('Price History'!W47)),'Price History'!W47=0),"",'Price History'!W48/'Price History'!W47-1),"")</f>
        <v>0.00891234749502456</v>
      </c>
      <c r="AQ47" s="154" t="str">
        <f aca="false">IFERROR(IF(OR(NOT(ISNUMBER('Price History'!X48)),NOT(ISNUMBER('Price History'!X47)),'Price History'!X47=0),"",'Price History'!X48/'Price History'!X47-1),"")</f>
        <v/>
      </c>
      <c r="AR47" s="154" t="n">
        <f aca="false">IFERROR(IF(OR(NOT(ISNUMBER('Price History'!Y48)),NOT(ISNUMBER('Price History'!Y47)),'Price History'!Y47=0),"",'Price History'!Y48/'Price History'!Y47-1),"")</f>
        <v>0.00337766518893812</v>
      </c>
      <c r="AS47" s="154" t="n">
        <f aca="false">IFERROR(IF(OR(NOT(ISNUMBER('Price History'!Z48)),NOT(ISNUMBER('Price History'!Z47)),'Price History'!Z47=0),"",'Price History'!Z48/'Price History'!Z47-1),"")</f>
        <v>0.0671038390526517</v>
      </c>
      <c r="AT47" s="154" t="n">
        <f aca="false">IFERROR(IF(OR(NOT(ISNUMBER('Price History'!AA48)),NOT(ISNUMBER('Price History'!AA47)),'Price History'!AA47=0),"",'Price History'!AA48/'Price History'!AA47-1),"")</f>
        <v>-0.00300015790304753</v>
      </c>
      <c r="AU47" s="154" t="n">
        <f aca="false">IFERROR(IF(OR(NOT(ISNUMBER('Price History'!AB48)),NOT(ISNUMBER('Price History'!AB47)),'Price History'!AB47=0),"",'Price History'!AB48/'Price History'!AB47-1),"")</f>
        <v>0.0500954979536152</v>
      </c>
    </row>
    <row r="48" customFormat="false" ht="15" hidden="false" customHeight="true" outlineLevel="0" collapsed="false">
      <c r="A48" s="152" t="n">
        <f aca="false">IF('Price History'!A49="","",'Price History'!A49)</f>
        <v>45506</v>
      </c>
      <c r="B48" s="153" t="n">
        <f aca="false">IFERROR(IF(OR(NOT(ISNUMBER('Price History'!B49)),NOT(ISNUMBER('Price History'!B48)),'Price History'!B48=0),"",'Price History'!B49/'Price History'!B48-1),"")</f>
        <v>-0.0299941007300348</v>
      </c>
      <c r="C48" s="153" t="n">
        <f aca="false">IFERROR(IF(OR(NOT(ISNUMBER('Price History'!C49)),NOT(ISNUMBER('Price History'!C48)),'Price History'!C48=0),"",'Price History'!C49/'Price History'!C48-1),"")</f>
        <v>0.000375939849624141</v>
      </c>
      <c r="D48" s="153" t="n">
        <f aca="false">IFERROR(IF(OR(NOT(ISNUMBER('Price History'!D49)),NOT(ISNUMBER('Price History'!D48)),'Price History'!D48=0),"",'Price History'!D49/'Price History'!D48-1),"")</f>
        <v>-0.0872805659706695</v>
      </c>
      <c r="E48" s="153" t="n">
        <f aca="false">IFERROR(IF(OR(NOT(ISNUMBER('Price History'!E49)),NOT(ISNUMBER('Price History'!E48)),'Price History'!E48=0),"",'Price History'!E49/'Price History'!E48-1),"")</f>
        <v>-0.0514943457189015</v>
      </c>
      <c r="F48" s="153" t="n">
        <f aca="false">IFERROR(IF(OR(NOT(ISNUMBER('Price History'!F49)),NOT(ISNUMBER('Price History'!F48)),'Price History'!F48=0),"",'Price History'!F49/'Price History'!F48-1),"")</f>
        <v>-0.149437851342911</v>
      </c>
      <c r="G48" s="153" t="n">
        <f aca="false">IFERROR(IF(OR(NOT(ISNUMBER('Price History'!G49)),NOT(ISNUMBER('Price History'!G48)),'Price History'!G48=0),"",'Price History'!G49/'Price History'!G48-1),"")</f>
        <v>-0.115846571096474</v>
      </c>
      <c r="H48" s="153" t="n">
        <f aca="false">IFERROR(IF(OR(NOT(ISNUMBER('Price History'!H49)),NOT(ISNUMBER('Price History'!H48)),'Price History'!H48=0),"",'Price History'!H49/'Price History'!H48-1),"")</f>
        <v>-0.152763726662375</v>
      </c>
      <c r="I48" s="153" t="n">
        <f aca="false">IFERROR(IF(OR(NOT(ISNUMBER('Price History'!I49)),NOT(ISNUMBER('Price History'!I48)),'Price History'!I48=0),"",'Price History'!I49/'Price History'!I48-1),"")</f>
        <v>-0.0512638580931264</v>
      </c>
      <c r="J48" s="153" t="n">
        <f aca="false">IFERROR(IF(OR(NOT(ISNUMBER('Price History'!J49)),NOT(ISNUMBER('Price History'!J48)),'Price History'!J48=0),"",'Price History'!J49/'Price History'!J48-1),"")</f>
        <v>0.0106233538191396</v>
      </c>
      <c r="K48" s="153" t="n">
        <f aca="false">IFERROR(IF(OR(NOT(ISNUMBER('Price History'!K49)),NOT(ISNUMBER('Price History'!K48)),'Price History'!K48=0),"",'Price History'!K49/'Price History'!K48-1),"")</f>
        <v>-0.0897718910963945</v>
      </c>
      <c r="L48" s="153" t="n">
        <f aca="false">IFERROR(IF(OR(NOT(ISNUMBER('Price History'!L49)),NOT(ISNUMBER('Price History'!L48)),'Price History'!L48=0),"",'Price History'!L49/'Price History'!L48-1),"")</f>
        <v>-0.0746221262542868</v>
      </c>
      <c r="M48" s="153" t="n">
        <f aca="false">IFERROR(IF(OR(NOT(ISNUMBER('Price History'!M49)),NOT(ISNUMBER('Price History'!M48)),'Price History'!M48=0),"",'Price History'!M49/'Price History'!M48-1),"")</f>
        <v>-0.099336887270836</v>
      </c>
      <c r="N48" s="153" t="n">
        <f aca="false">IFERROR(IF(OR(NOT(ISNUMBER('Price History'!N49)),NOT(ISNUMBER('Price History'!N48)),'Price History'!N48=0),"",'Price History'!N49/'Price History'!N48-1),"")</f>
        <v>-0.00161531316884067</v>
      </c>
      <c r="O48" s="153" t="n">
        <f aca="false">IFERROR(IF(OR(NOT(ISNUMBER('Price History'!O49)),NOT(ISNUMBER('Price History'!O48)),'Price History'!O48=0),"",'Price History'!O49/'Price History'!O48-1),"")</f>
        <v>-0.0714584203928124</v>
      </c>
      <c r="P48" s="153" t="n">
        <f aca="false">IFERROR(IF(OR(NOT(ISNUMBER('Price History'!P49)),NOT(ISNUMBER('Price History'!P48)),'Price History'!P48=0),"",'Price History'!P49/'Price History'!P48-1),"")</f>
        <v>-0.0144222706691263</v>
      </c>
      <c r="Q48" s="153" t="n">
        <f aca="false">IFERROR(IF(OR(NOT(ISNUMBER('Price History'!Q49)),NOT(ISNUMBER('Price History'!Q48)),'Price History'!Q48=0),"",'Price History'!Q49/'Price History'!Q48-1),"")</f>
        <v>-0.0107470965505286</v>
      </c>
      <c r="R48" s="153" t="n">
        <f aca="false">IFERROR(IF(OR(NOT(ISNUMBER('Price History'!R49)),NOT(ISNUMBER('Price History'!R48)),'Price History'!R48=0),"",'Price History'!R49/'Price History'!R48-1),"")</f>
        <v>-0.0265529841656516</v>
      </c>
      <c r="S48" s="153" t="n">
        <f aca="false">IFERROR(IF(OR(NOT(ISNUMBER('Price History'!S49)),NOT(ISNUMBER('Price History'!S48)),'Price History'!S48=0),"",'Price History'!S49/'Price History'!S48-1),"")</f>
        <v>-0.0297647623619778</v>
      </c>
      <c r="T48" s="153" t="n">
        <f aca="false">IFERROR(IF(OR(NOT(ISNUMBER('Price History'!T49)),NOT(ISNUMBER('Price History'!T48)),'Price History'!T48=0),"",'Price History'!T49/'Price History'!T48-1),"")</f>
        <v>-0.0285714285714286</v>
      </c>
      <c r="U48" s="153" t="n">
        <f aca="false">IFERROR(IF(OR(NOT(ISNUMBER('Price History'!U49)),NOT(ISNUMBER('Price History'!U48)),'Price History'!U48=0),"",'Price History'!U49/'Price History'!U48-1),"")</f>
        <v>-0.0201183431952663</v>
      </c>
      <c r="V48" s="154" t="n">
        <f aca="false">IFERROR(IF(OR(NOT(ISNUMBER('Price History'!V49)),NOT(ISNUMBER('Price History'!V48)),'Price History'!V48=0),"",'Price History'!V49/'Price History'!V48-1),"")</f>
        <v>0.0274804970794622</v>
      </c>
      <c r="W48" s="155" t="n">
        <f aca="false">IFERROR('Price History'!B3+(INDEX('Price History'!B:B,MATCH(9.99E+307,'Returns (Calc)'!$A:$A)+1)-'Price History'!B3)*(ROW()-3)/(MATCH(9.99E+307,'Returns (Calc)'!$A:$A)-3),"")</f>
        <v>447.771132075472</v>
      </c>
      <c r="X48" s="155" t="n">
        <f aca="false">IFERROR('Price History'!C3+(INDEX('Price History'!C:C,MATCH(9.99E+307,'Returns (Calc)'!$A:$A)+1)-'Price History'!C3)*(ROW()-3)/(MATCH(9.99E+307,'Returns (Calc)'!$A:$A)-3),"")</f>
        <v>94.4516981132076</v>
      </c>
      <c r="Y48" s="155" t="n">
        <f aca="false">IFERROR('Price History'!D3+(INDEX('Price History'!D:D,MATCH(9.99E+307,'Returns (Calc)'!$A:$A)+1)-'Price History'!D3)*(ROW()-3)/(MATCH(9.99E+307,'Returns (Calc)'!$A:$A)-3),"")</f>
        <v>921.16</v>
      </c>
      <c r="Z48" s="155" t="n">
        <f aca="false">IFERROR('Price History'!E3+(INDEX('Price History'!E:E,MATCH(9.99E+307,'Returns (Calc)'!$A:$A)+1)-'Price History'!E3)*(ROW()-3)/(MATCH(9.99E+307,'Returns (Calc)'!$A:$A)-3),"")</f>
        <v>161.115094339623</v>
      </c>
      <c r="AA48" s="155" t="n">
        <f aca="false">IFERROR('Price History'!F3+(INDEX('Price History'!F:F,MATCH(9.99E+307,'Returns (Calc)'!$A:$A)+1)-'Price History'!F3)*(ROW()-3)/(MATCH(9.99E+307,'Returns (Calc)'!$A:$A)-3),"")</f>
        <v>107.495849056604</v>
      </c>
      <c r="AB48" s="155" t="n">
        <f aca="false">IFERROR('Price History'!G3+(INDEX('Price History'!G:G,MATCH(9.99E+307,'Returns (Calc)'!$A:$A)+1)-'Price History'!G3)*(ROW()-3)/(MATCH(9.99E+307,'Returns (Calc)'!$A:$A)-3),"")</f>
        <v>87.1481132075472</v>
      </c>
      <c r="AC48" s="155" t="n">
        <f aca="false">IFERROR('Price History'!H3+(INDEX('Price History'!H:H,MATCH(9.99E+307,'Returns (Calc)'!$A:$A)+1)-'Price History'!H3)*(ROW()-3)/(MATCH(9.99E+307,'Returns (Calc)'!$A:$A)-3),"")</f>
        <v>340.776981132076</v>
      </c>
      <c r="AD48" s="155" t="n">
        <f aca="false">IFERROR('Price History'!I3+(INDEX('Price History'!I:I,MATCH(9.99E+307,'Returns (Calc)'!$A:$A)+1)-'Price History'!I3)*(ROW()-3)/(MATCH(9.99E+307,'Returns (Calc)'!$A:$A)-3),"")</f>
        <v>96.2728301886793</v>
      </c>
      <c r="AE48" s="155" t="n">
        <f aca="false">IFERROR('Price History'!J3+(INDEX('Price History'!J:J,MATCH(9.99E+307,'Returns (Calc)'!$A:$A)+1)-'Price History'!J3)*(ROW()-3)/(MATCH(9.99E+307,'Returns (Calc)'!$A:$A)-3),"")</f>
        <v>116.835283018868</v>
      </c>
      <c r="AF48" s="155" t="n">
        <f aca="false">IFERROR('Price History'!K3+(INDEX('Price History'!K:K,MATCH(9.99E+307,'Returns (Calc)'!$A:$A)+1)-'Price History'!K3)*(ROW()-3)/(MATCH(9.99E+307,'Returns (Calc)'!$A:$A)-3),"")</f>
        <v>70.1564150943396</v>
      </c>
      <c r="AG48" s="155" t="n">
        <f aca="false">IFERROR('Price History'!L3+(INDEX('Price History'!L:L,MATCH(9.99E+307,'Returns (Calc)'!$A:$A)+1)-'Price History'!L3)*(ROW()-3)/(MATCH(9.99E+307,'Returns (Calc)'!$A:$A)-3),"")</f>
        <v>189.77641509434</v>
      </c>
      <c r="AH48" s="155" t="n">
        <f aca="false">IFERROR('Price History'!M3+(INDEX('Price History'!M:M,MATCH(9.99E+307,'Returns (Calc)'!$A:$A)+1)-'Price History'!M3)*(ROW()-3)/(MATCH(9.99E+307,'Returns (Calc)'!$A:$A)-3),"")</f>
        <v>95.9709433962264</v>
      </c>
      <c r="AI48" s="155" t="n">
        <f aca="false">IFERROR('Price History'!N3+(INDEX('Price History'!N:N,MATCH(9.99E+307,'Returns (Calc)'!$A:$A)+1)-'Price History'!N3)*(ROW()-3)/(MATCH(9.99E+307,'Returns (Calc)'!$A:$A)-3),"")</f>
        <v>394.516981132075</v>
      </c>
      <c r="AJ48" s="155" t="n">
        <f aca="false">IFERROR('Price History'!O3+(INDEX('Price History'!O:O,MATCH(9.99E+307,'Returns (Calc)'!$A:$A)+1)-'Price History'!O3)*(ROW()-3)/(MATCH(9.99E+307,'Returns (Calc)'!$A:$A)-3),"")</f>
        <v>87.8562264150943</v>
      </c>
      <c r="AK48" s="155" t="n">
        <f aca="false">IFERROR('Price History'!Q3+(INDEX('Price History'!Q:Q,MATCH(9.99E+307,'Returns (Calc)'!$A:$A)+1)-'Price History'!Q3)*(ROW()-3)/(MATCH(9.99E+307,'Returns (Calc)'!$A:$A)-3),"")</f>
        <v>19.8028301886792</v>
      </c>
      <c r="AL48" s="155" t="n">
        <f aca="false">IFERROR('Price History'!R3+(INDEX('Price History'!R:R,MATCH(9.99E+307,'Returns (Calc)'!$A:$A)+1)-'Price History'!R3)*(ROW()-3)/(MATCH(9.99E+307,'Returns (Calc)'!$A:$A)-3),"")</f>
        <v>42.0111320754717</v>
      </c>
      <c r="AM48" s="155" t="n">
        <f aca="false">IFERROR('Price History'!S3+(INDEX('Price History'!S:S,MATCH(9.99E+307,'Returns (Calc)'!$A:$A)+1)-'Price History'!S3)*(ROW()-3)/(MATCH(9.99E+307,'Returns (Calc)'!$A:$A)-3),"")</f>
        <v>84.1007547169811</v>
      </c>
      <c r="AN48" s="155" t="n">
        <f aca="false">IFERROR('Price History'!T3+(INDEX('Price History'!T:T,MATCH(9.99E+307,'Returns (Calc)'!$A:$A)+1)-'Price History'!T3)*(ROW()-3)/(MATCH(9.99E+307,'Returns (Calc)'!$A:$A)-3),"")</f>
        <v>33.0154716981132</v>
      </c>
      <c r="AO48" s="156" t="n">
        <f aca="false">IFERROR('Price History'!V3+(INDEX('Price History'!V:V,MATCH(9.99E+307,'Returns (Calc)'!$A:$A)+1)-'Price History'!V3)*(ROW()-3)/(MATCH(9.99E+307,'Returns (Calc)'!$A:$A)-3),"")</f>
        <v>278.031886792453</v>
      </c>
      <c r="AP48" s="154" t="n">
        <f aca="false">IFERROR(IF(OR(NOT(ISNUMBER('Price History'!W49)),NOT(ISNUMBER('Price History'!W48)),'Price History'!W48=0),"",'Price History'!W49/'Price History'!W48-1),"")</f>
        <v>-0.0235849056603774</v>
      </c>
      <c r="AQ48" s="154" t="str">
        <f aca="false">IFERROR(IF(OR(NOT(ISNUMBER('Price History'!X49)),NOT(ISNUMBER('Price History'!X48)),'Price History'!X48=0),"",'Price History'!X49/'Price History'!X48-1),"")</f>
        <v/>
      </c>
      <c r="AR48" s="154" t="n">
        <f aca="false">IFERROR(IF(OR(NOT(ISNUMBER('Price History'!Y49)),NOT(ISNUMBER('Price History'!Y48)),'Price History'!Y48=0),"",'Price History'!Y49/'Price History'!Y48-1),"")</f>
        <v>-0.00547022932884489</v>
      </c>
      <c r="AS48" s="154" t="n">
        <f aca="false">IFERROR(IF(OR(NOT(ISNUMBER('Price History'!Z49)),NOT(ISNUMBER('Price History'!Z48)),'Price History'!Z48=0),"",'Price History'!Z49/'Price History'!Z48-1),"")</f>
        <v>-0.0560825726388641</v>
      </c>
      <c r="AT48" s="154" t="n">
        <f aca="false">IFERROR(IF(OR(NOT(ISNUMBER('Price History'!AA49)),NOT(ISNUMBER('Price History'!AA48)),'Price History'!AA48=0),"",'Price History'!AA49/'Price History'!AA48-1),"")</f>
        <v>-0.0281913208742477</v>
      </c>
      <c r="AU48" s="154" t="n">
        <f aca="false">IFERROR(IF(OR(NOT(ISNUMBER('Price History'!AB49)),NOT(ISNUMBER('Price History'!AB48)),'Price History'!AB48=0),"",'Price History'!AB49/'Price History'!AB48-1),"")</f>
        <v>-0.0378839058358885</v>
      </c>
    </row>
    <row r="49" customFormat="false" ht="15" hidden="false" customHeight="true" outlineLevel="0" collapsed="false">
      <c r="A49" s="152" t="n">
        <f aca="false">IF('Price History'!A50="","",'Price History'!A50)</f>
        <v>45513</v>
      </c>
      <c r="B49" s="153" t="n">
        <f aca="false">IFERROR(IF(OR(NOT(ISNUMBER('Price History'!B50)),NOT(ISNUMBER('Price History'!B49)),'Price History'!B49=0),"",'Price History'!B50/'Price History'!B49-1),"")</f>
        <v>0.0192523328962122</v>
      </c>
      <c r="C49" s="153" t="n">
        <f aca="false">IFERROR(IF(OR(NOT(ISNUMBER('Price History'!C50)),NOT(ISNUMBER('Price History'!C49)),'Price History'!C49=0),"",'Price History'!C50/'Price History'!C49-1),"")</f>
        <v>0.0516096705499187</v>
      </c>
      <c r="D49" s="153" t="n">
        <f aca="false">IFERROR(IF(OR(NOT(ISNUMBER('Price History'!D50)),NOT(ISNUMBER('Price History'!D49)),'Price History'!D49=0),"",'Price History'!D50/'Price History'!D49-1),"")</f>
        <v>0.0632529742088668</v>
      </c>
      <c r="E49" s="153" t="n">
        <f aca="false">IFERROR(IF(OR(NOT(ISNUMBER('Price History'!E50)),NOT(ISNUMBER('Price History'!E49)),'Price History'!E49=0),"",'Price History'!E50/'Price History'!E49-1),"")</f>
        <v>0.0308707685756866</v>
      </c>
      <c r="F49" s="153" t="n">
        <f aca="false">IFERROR(IF(OR(NOT(ISNUMBER('Price History'!F50)),NOT(ISNUMBER('Price History'!F49)),'Price History'!F49=0),"",'Price History'!F50/'Price History'!F49-1),"")</f>
        <v>0.105562695061502</v>
      </c>
      <c r="G49" s="153" t="n">
        <f aca="false">IFERROR(IF(OR(NOT(ISNUMBER('Price History'!G50)),NOT(ISNUMBER('Price History'!G49)),'Price History'!G49=0),"",'Price History'!G50/'Price History'!G49-1),"")</f>
        <v>0.072597137014315</v>
      </c>
      <c r="H49" s="153" t="n">
        <f aca="false">IFERROR(IF(OR(NOT(ISNUMBER('Price History'!H50)),NOT(ISNUMBER('Price History'!H49)),'Price History'!H49=0),"",'Price History'!H50/'Price History'!H49-1),"")</f>
        <v>0.00412505427702992</v>
      </c>
      <c r="I49" s="153" t="n">
        <f aca="false">IFERROR(IF(OR(NOT(ISNUMBER('Price History'!I50)),NOT(ISNUMBER('Price History'!I49)),'Price History'!I49=0),"",'Price History'!I50/'Price History'!I49-1),"")</f>
        <v>-0.0234645227633916</v>
      </c>
      <c r="J49" s="153" t="n">
        <f aca="false">IFERROR(IF(OR(NOT(ISNUMBER('Price History'!J50)),NOT(ISNUMBER('Price History'!J49)),'Price History'!J49=0),"",'Price History'!J50/'Price History'!J49-1),"")</f>
        <v>-0.0167665711058986</v>
      </c>
      <c r="K49" s="153" t="n">
        <f aca="false">IFERROR(IF(OR(NOT(ISNUMBER('Price History'!K50)),NOT(ISNUMBER('Price History'!K49)),'Price History'!K49=0),"",'Price History'!K50/'Price History'!K49-1),"")</f>
        <v>0.21301535974131</v>
      </c>
      <c r="L49" s="153" t="n">
        <f aca="false">IFERROR(IF(OR(NOT(ISNUMBER('Price History'!L50)),NOT(ISNUMBER('Price History'!L49)),'Price History'!L49=0),"",'Price History'!L50/'Price History'!L49-1),"")</f>
        <v>0.115160249811269</v>
      </c>
      <c r="M49" s="153" t="n">
        <f aca="false">IFERROR(IF(OR(NOT(ISNUMBER('Price History'!M50)),NOT(ISNUMBER('Price History'!M49)),'Price History'!M49=0),"",'Price History'!M50/'Price History'!M49-1),"")</f>
        <v>0.0288725277898081</v>
      </c>
      <c r="N49" s="153" t="n">
        <f aca="false">IFERROR(IF(OR(NOT(ISNUMBER('Price History'!N50)),NOT(ISNUMBER('Price History'!N49)),'Price History'!N49=0),"",'Price History'!N50/'Price History'!N49-1),"")</f>
        <v>-0.0526028394612305</v>
      </c>
      <c r="O49" s="153" t="n">
        <f aca="false">IFERROR(IF(OR(NOT(ISNUMBER('Price History'!O50)),NOT(ISNUMBER('Price History'!O49)),'Price History'!O49=0),"",'Price History'!O50/'Price History'!O49-1),"")</f>
        <v>-0.0176642664266425</v>
      </c>
      <c r="P49" s="153" t="n">
        <f aca="false">IFERROR(IF(OR(NOT(ISNUMBER('Price History'!P50)),NOT(ISNUMBER('Price History'!P49)),'Price History'!P49=0),"",'Price History'!P50/'Price History'!P49-1),"")</f>
        <v>-0.0101242130338609</v>
      </c>
      <c r="Q49" s="153" t="n">
        <f aca="false">IFERROR(IF(OR(NOT(ISNUMBER('Price History'!Q50)),NOT(ISNUMBER('Price History'!Q49)),'Price History'!Q49=0),"",'Price History'!Q50/'Price History'!Q49-1),"")</f>
        <v>0.000700893639390188</v>
      </c>
      <c r="R49" s="153" t="n">
        <f aca="false">IFERROR(IF(OR(NOT(ISNUMBER('Price History'!R50)),NOT(ISNUMBER('Price History'!R49)),'Price History'!R49=0),"",'Price History'!R50/'Price History'!R49-1),"")</f>
        <v>0.00275275275275266</v>
      </c>
      <c r="S49" s="153" t="n">
        <f aca="false">IFERROR(IF(OR(NOT(ISNUMBER('Price History'!S50)),NOT(ISNUMBER('Price History'!S49)),'Price History'!S49=0),"",'Price History'!S50/'Price History'!S49-1),"")</f>
        <v>0.0173181593270657</v>
      </c>
      <c r="T49" s="153" t="n">
        <f aca="false">IFERROR(IF(OR(NOT(ISNUMBER('Price History'!T50)),NOT(ISNUMBER('Price History'!T49)),'Price History'!T49=0),"",'Price History'!T50/'Price History'!T49-1),"")</f>
        <v>-0.000980392156862742</v>
      </c>
      <c r="U49" s="153" t="n">
        <f aca="false">IFERROR(IF(OR(NOT(ISNUMBER('Price History'!U50)),NOT(ISNUMBER('Price History'!U49)),'Price History'!U49=0),"",'Price History'!U50/'Price History'!U49-1),"")</f>
        <v>-0.00805152979066015</v>
      </c>
      <c r="V49" s="154" t="n">
        <f aca="false">IFERROR(IF(OR(NOT(ISNUMBER('Price History'!V50)),NOT(ISNUMBER('Price History'!V49)),'Price History'!V49=0),"",'Price History'!V50/'Price History'!V49-1),"")</f>
        <v>-0.0236550934757727</v>
      </c>
      <c r="W49" s="155" t="n">
        <f aca="false">IFERROR('Price History'!B3+(INDEX('Price History'!B:B,MATCH(9.99E+307,'Returns (Calc)'!$A:$A)+1)-'Price History'!B3)*(ROW()-3)/(MATCH(9.99E+307,'Returns (Calc)'!$A:$A)-3),"")</f>
        <v>445.968490566038</v>
      </c>
      <c r="X49" s="155" t="n">
        <f aca="false">IFERROR('Price History'!C3+(INDEX('Price History'!C:C,MATCH(9.99E+307,'Returns (Calc)'!$A:$A)+1)-'Price History'!C3)*(ROW()-3)/(MATCH(9.99E+307,'Returns (Calc)'!$A:$A)-3),"")</f>
        <v>95.5244025157233</v>
      </c>
      <c r="Y49" s="155" t="n">
        <f aca="false">IFERROR('Price History'!D3+(INDEX('Price History'!D:D,MATCH(9.99E+307,'Returns (Calc)'!$A:$A)+1)-'Price History'!D3)*(ROW()-3)/(MATCH(9.99E+307,'Returns (Calc)'!$A:$A)-3),"")</f>
        <v>928.696666666667</v>
      </c>
      <c r="Z49" s="155" t="n">
        <f aca="false">IFERROR('Price History'!E3+(INDEX('Price History'!E:E,MATCH(9.99E+307,'Returns (Calc)'!$A:$A)+1)-'Price History'!E3)*(ROW()-3)/(MATCH(9.99E+307,'Returns (Calc)'!$A:$A)-3),"")</f>
        <v>162.87320754717</v>
      </c>
      <c r="AA49" s="155" t="n">
        <f aca="false">IFERROR('Price History'!F3+(INDEX('Price History'!F:F,MATCH(9.99E+307,'Returns (Calc)'!$A:$A)+1)-'Price History'!F3)*(ROW()-3)/(MATCH(9.99E+307,'Returns (Calc)'!$A:$A)-3),"")</f>
        <v>108.965534591195</v>
      </c>
      <c r="AB49" s="155" t="n">
        <f aca="false">IFERROR('Price History'!G3+(INDEX('Price History'!G:G,MATCH(9.99E+307,'Returns (Calc)'!$A:$A)+1)-'Price History'!G3)*(ROW()-3)/(MATCH(9.99E+307,'Returns (Calc)'!$A:$A)-3),"")</f>
        <v>88.0991823899371</v>
      </c>
      <c r="AC49" s="155" t="n">
        <f aca="false">IFERROR('Price History'!H3+(INDEX('Price History'!H:H,MATCH(9.99E+307,'Returns (Calc)'!$A:$A)+1)-'Price History'!H3)*(ROW()-3)/(MATCH(9.99E+307,'Returns (Calc)'!$A:$A)-3),"")</f>
        <v>346.814025157233</v>
      </c>
      <c r="AD49" s="155" t="n">
        <f aca="false">IFERROR('Price History'!I3+(INDEX('Price History'!I:I,MATCH(9.99E+307,'Returns (Calc)'!$A:$A)+1)-'Price History'!I3)*(ROW()-3)/(MATCH(9.99E+307,'Returns (Calc)'!$A:$A)-3),"")</f>
        <v>97.4395597484277</v>
      </c>
      <c r="AE49" s="155" t="n">
        <f aca="false">IFERROR('Price History'!J3+(INDEX('Price History'!J:J,MATCH(9.99E+307,'Returns (Calc)'!$A:$A)+1)-'Price History'!J3)*(ROW()-3)/(MATCH(9.99E+307,'Returns (Calc)'!$A:$A)-3),"")</f>
        <v>116.946289308176</v>
      </c>
      <c r="AF49" s="155" t="n">
        <f aca="false">IFERROR('Price History'!K3+(INDEX('Price History'!K:K,MATCH(9.99E+307,'Returns (Calc)'!$A:$A)+1)-'Price History'!K3)*(ROW()-3)/(MATCH(9.99E+307,'Returns (Calc)'!$A:$A)-3),"")</f>
        <v>71.3747798742138</v>
      </c>
      <c r="AG49" s="155" t="n">
        <f aca="false">IFERROR('Price History'!L3+(INDEX('Price History'!L:L,MATCH(9.99E+307,'Returns (Calc)'!$A:$A)+1)-'Price History'!L3)*(ROW()-3)/(MATCH(9.99E+307,'Returns (Calc)'!$A:$A)-3),"")</f>
        <v>192.088113207547</v>
      </c>
      <c r="AH49" s="155" t="n">
        <f aca="false">IFERROR('Price History'!M3+(INDEX('Price History'!M:M,MATCH(9.99E+307,'Returns (Calc)'!$A:$A)+1)-'Price History'!M3)*(ROW()-3)/(MATCH(9.99E+307,'Returns (Calc)'!$A:$A)-3),"")</f>
        <v>97.2587421383648</v>
      </c>
      <c r="AI49" s="155" t="n">
        <f aca="false">IFERROR('Price History'!N3+(INDEX('Price History'!N:N,MATCH(9.99E+307,'Returns (Calc)'!$A:$A)+1)-'Price History'!N3)*(ROW()-3)/(MATCH(9.99E+307,'Returns (Calc)'!$A:$A)-3),"")</f>
        <v>395.530691823899</v>
      </c>
      <c r="AJ49" s="155" t="n">
        <f aca="false">IFERROR('Price History'!O3+(INDEX('Price History'!O:O,MATCH(9.99E+307,'Returns (Calc)'!$A:$A)+1)-'Price History'!O3)*(ROW()-3)/(MATCH(9.99E+307,'Returns (Calc)'!$A:$A)-3),"")</f>
        <v>88.1350314465409</v>
      </c>
      <c r="AK49" s="155" t="n">
        <f aca="false">IFERROR('Price History'!Q3+(INDEX('Price History'!Q:Q,MATCH(9.99E+307,'Returns (Calc)'!$A:$A)+1)-'Price History'!Q3)*(ROW()-3)/(MATCH(9.99E+307,'Returns (Calc)'!$A:$A)-3),"")</f>
        <v>20.242893081761</v>
      </c>
      <c r="AL49" s="155" t="n">
        <f aca="false">IFERROR('Price History'!R3+(INDEX('Price History'!R:R,MATCH(9.99E+307,'Returns (Calc)'!$A:$A)+1)-'Price History'!R3)*(ROW()-3)/(MATCH(9.99E+307,'Returns (Calc)'!$A:$A)-3),"")</f>
        <v>42.1784905660377</v>
      </c>
      <c r="AM49" s="155" t="n">
        <f aca="false">IFERROR('Price History'!S3+(INDEX('Price History'!S:S,MATCH(9.99E+307,'Returns (Calc)'!$A:$A)+1)-'Price History'!S3)*(ROW()-3)/(MATCH(9.99E+307,'Returns (Calc)'!$A:$A)-3),"")</f>
        <v>84.6889937106918</v>
      </c>
      <c r="AN49" s="155" t="n">
        <f aca="false">IFERROR('Price History'!T3+(INDEX('Price History'!T:T,MATCH(9.99E+307,'Returns (Calc)'!$A:$A)+1)-'Price History'!T3)*(ROW()-3)/(MATCH(9.99E+307,'Returns (Calc)'!$A:$A)-3),"")</f>
        <v>33.1893710691824</v>
      </c>
      <c r="AO49" s="156" t="n">
        <f aca="false">IFERROR('Price History'!V3+(INDEX('Price History'!V:V,MATCH(9.99E+307,'Returns (Calc)'!$A:$A)+1)-'Price History'!V3)*(ROW()-3)/(MATCH(9.99E+307,'Returns (Calc)'!$A:$A)-3),"")</f>
        <v>278.974150943396</v>
      </c>
      <c r="AP49" s="154" t="n">
        <f aca="false">IFERROR(IF(OR(NOT(ISNUMBER('Price History'!W50)),NOT(ISNUMBER('Price History'!W49)),'Price History'!W49=0),"",'Price History'!W50/'Price History'!W49-1),"")</f>
        <v>-0.00210803689064554</v>
      </c>
      <c r="AQ49" s="154" t="str">
        <f aca="false">IFERROR(IF(OR(NOT(ISNUMBER('Price History'!X50)),NOT(ISNUMBER('Price History'!X49)),'Price History'!X49=0),"",'Price History'!X50/'Price History'!X49-1),"")</f>
        <v/>
      </c>
      <c r="AR49" s="154" t="n">
        <f aca="false">IFERROR(IF(OR(NOT(ISNUMBER('Price History'!Y50)),NOT(ISNUMBER('Price History'!Y49)),'Price History'!Y49=0),"",'Price History'!Y50/'Price History'!Y49-1),"")</f>
        <v>0.000634651999153579</v>
      </c>
      <c r="AS49" s="154" t="n">
        <f aca="false">IFERROR(IF(OR(NOT(ISNUMBER('Price History'!Z50)),NOT(ISNUMBER('Price History'!Z49)),'Price History'!Z49=0),"",'Price History'!Z50/'Price History'!Z49-1),"")</f>
        <v>0.0427280197206243</v>
      </c>
      <c r="AT49" s="154" t="n">
        <f aca="false">IFERROR(IF(OR(NOT(ISNUMBER('Price History'!AA50)),NOT(ISNUMBER('Price History'!AA49)),'Price History'!AA49=0),"",'Price History'!AA50/'Price History'!AA49-1),"")</f>
        <v>0.0330834419817472</v>
      </c>
      <c r="AU49" s="154" t="n">
        <f aca="false">IFERROR(IF(OR(NOT(ISNUMBER('Price History'!AB50)),NOT(ISNUMBER('Price History'!AB49)),'Price History'!AB49=0),"",'Price History'!AB50/'Price History'!AB49-1),"")</f>
        <v>0.00923625364588965</v>
      </c>
    </row>
    <row r="50" customFormat="false" ht="15" hidden="false" customHeight="true" outlineLevel="0" collapsed="false">
      <c r="A50" s="152" t="n">
        <f aca="false">IF('Price History'!A51="","",'Price History'!A51)</f>
        <v>45520</v>
      </c>
      <c r="B50" s="153" t="n">
        <f aca="false">IFERROR(IF(OR(NOT(ISNUMBER('Price History'!B51)),NOT(ISNUMBER('Price History'!B50)),'Price History'!B50=0),"",'Price History'!B51/'Price History'!B50-1),"")</f>
        <v>0.0319970165951895</v>
      </c>
      <c r="C50" s="153" t="n">
        <f aca="false">IFERROR(IF(OR(NOT(ISNUMBER('Price History'!C51)),NOT(ISNUMBER('Price History'!C50)),'Price History'!C50=0),"",'Price History'!C51/'Price History'!C50-1),"")</f>
        <v>0.0538415723645027</v>
      </c>
      <c r="D50" s="153" t="n">
        <f aca="false">IFERROR(IF(OR(NOT(ISNUMBER('Price History'!D51)),NOT(ISNUMBER('Price History'!D50)),'Price History'!D50=0),"",'Price History'!D51/'Price History'!D50-1),"")</f>
        <v>0.0675362729807647</v>
      </c>
      <c r="E50" s="153" t="n">
        <f aca="false">IFERROR(IF(OR(NOT(ISNUMBER('Price History'!E51)),NOT(ISNUMBER('Price History'!E50)),'Price History'!E50=0),"",'Price History'!E51/'Price History'!E50-1),"")</f>
        <v>0.117788792509982</v>
      </c>
      <c r="F50" s="153" t="n">
        <f aca="false">IFERROR(IF(OR(NOT(ISNUMBER('Price History'!F51)),NOT(ISNUMBER('Price History'!F50)),'Price History'!F50=0),"",'Price History'!F51/'Price History'!F50-1),"")</f>
        <v>0.0900033211557623</v>
      </c>
      <c r="G50" s="153" t="n">
        <f aca="false">IFERROR(IF(OR(NOT(ISNUMBER('Price History'!G51)),NOT(ISNUMBER('Price History'!G50)),'Price History'!G50=0),"",'Price History'!G51/'Price History'!G50-1),"")</f>
        <v>0.0995505924009259</v>
      </c>
      <c r="H50" s="153" t="n">
        <f aca="false">IFERROR(IF(OR(NOT(ISNUMBER('Price History'!H51)),NOT(ISNUMBER('Price History'!H50)),'Price History'!H50=0),"",'Price History'!H51/'Price History'!H50-1),"")</f>
        <v>0.160216216216216</v>
      </c>
      <c r="I50" s="153" t="n">
        <f aca="false">IFERROR(IF(OR(NOT(ISNUMBER('Price History'!I51)),NOT(ISNUMBER('Price History'!I50)),'Price History'!I50=0),"",'Price History'!I51/'Price History'!I50-1),"")</f>
        <v>0.189354776948114</v>
      </c>
      <c r="J50" s="153" t="n">
        <f aca="false">IFERROR(IF(OR(NOT(ISNUMBER('Price History'!J51)),NOT(ISNUMBER('Price History'!J50)),'Price History'!J50=0),"",'Price History'!J51/'Price History'!J50-1),"")</f>
        <v>0.00777522530482422</v>
      </c>
      <c r="K50" s="153" t="n">
        <f aca="false">IFERROR(IF(OR(NOT(ISNUMBER('Price History'!K51)),NOT(ISNUMBER('Price History'!K50)),'Price History'!K50=0),"",'Price History'!K51/'Price History'!K50-1),"")</f>
        <v>0.0689770076641119</v>
      </c>
      <c r="L50" s="153" t="n">
        <f aca="false">IFERROR(IF(OR(NOT(ISNUMBER('Price History'!L51)),NOT(ISNUMBER('Price History'!L50)),'Price History'!L50=0),"",'Price History'!L51/'Price History'!L50-1),"")</f>
        <v>0.0444335036002215</v>
      </c>
      <c r="M50" s="153" t="n">
        <f aca="false">IFERROR(IF(OR(NOT(ISNUMBER('Price History'!M51)),NOT(ISNUMBER('Price History'!M50)),'Price History'!M50=0),"",'Price History'!M51/'Price History'!M50-1),"")</f>
        <v>0.111407324259857</v>
      </c>
      <c r="N50" s="153" t="n">
        <f aca="false">IFERROR(IF(OR(NOT(ISNUMBER('Price History'!N51)),NOT(ISNUMBER('Price History'!N50)),'Price History'!N50=0),"",'Price History'!N51/'Price History'!N50-1),"")</f>
        <v>0.0190415199060732</v>
      </c>
      <c r="O50" s="153" t="n">
        <f aca="false">IFERROR(IF(OR(NOT(ISNUMBER('Price History'!O51)),NOT(ISNUMBER('Price History'!O50)),'Price History'!O50=0),"",'Price History'!O51/'Price History'!O50-1),"")</f>
        <v>0.0286336043981217</v>
      </c>
      <c r="P50" s="153" t="n">
        <f aca="false">IFERROR(IF(OR(NOT(ISNUMBER('Price History'!P51)),NOT(ISNUMBER('Price History'!P50)),'Price History'!P50=0),"",'Price History'!P51/'Price History'!P50-1),"")</f>
        <v>0.0256123764503653</v>
      </c>
      <c r="Q50" s="153" t="n">
        <f aca="false">IFERROR(IF(OR(NOT(ISNUMBER('Price History'!Q51)),NOT(ISNUMBER('Price History'!Q50)),'Price History'!Q50=0),"",'Price History'!Q51/'Price History'!Q50-1),"")</f>
        <v>0.0260900017510068</v>
      </c>
      <c r="R50" s="153" t="n">
        <f aca="false">IFERROR(IF(OR(NOT(ISNUMBER('Price History'!R51)),NOT(ISNUMBER('Price History'!R50)),'Price History'!R50=0),"",'Price History'!R51/'Price History'!R50-1),"")</f>
        <v>0.0421761916645869</v>
      </c>
      <c r="S50" s="153" t="n">
        <f aca="false">IFERROR(IF(OR(NOT(ISNUMBER('Price History'!S51)),NOT(ISNUMBER('Price History'!S50)),'Price History'!S50=0),"",'Price History'!S51/'Price History'!S50-1),"")</f>
        <v>0.0570282101167317</v>
      </c>
      <c r="T50" s="153" t="n">
        <f aca="false">IFERROR(IF(OR(NOT(ISNUMBER('Price History'!T51)),NOT(ISNUMBER('Price History'!T50)),'Price History'!T50=0),"",'Price History'!T51/'Price History'!T50-1),"")</f>
        <v>0.0160287863918873</v>
      </c>
      <c r="U50" s="153" t="n">
        <f aca="false">IFERROR(IF(OR(NOT(ISNUMBER('Price History'!U51)),NOT(ISNUMBER('Price History'!U50)),'Price History'!U50=0),"",'Price History'!U51/'Price History'!U50-1),"")</f>
        <v>0.0227272727272727</v>
      </c>
      <c r="V50" s="154" t="n">
        <f aca="false">IFERROR(IF(OR(NOT(ISNUMBER('Price History'!V51)),NOT(ISNUMBER('Price History'!V50)),'Price History'!V50=0),"",'Price History'!V51/'Price History'!V50-1),"")</f>
        <v>0.0293474013286441</v>
      </c>
      <c r="W50" s="155" t="n">
        <f aca="false">IFERROR('Price History'!B3+(INDEX('Price History'!B:B,MATCH(9.99E+307,'Returns (Calc)'!$A:$A)+1)-'Price History'!B3)*(ROW()-3)/(MATCH(9.99E+307,'Returns (Calc)'!$A:$A)-3),"")</f>
        <v>444.165849056604</v>
      </c>
      <c r="X50" s="155" t="n">
        <f aca="false">IFERROR('Price History'!C3+(INDEX('Price History'!C:C,MATCH(9.99E+307,'Returns (Calc)'!$A:$A)+1)-'Price History'!C3)*(ROW()-3)/(MATCH(9.99E+307,'Returns (Calc)'!$A:$A)-3),"")</f>
        <v>96.597106918239</v>
      </c>
      <c r="Y50" s="155" t="n">
        <f aca="false">IFERROR('Price History'!D3+(INDEX('Price History'!D:D,MATCH(9.99E+307,'Returns (Calc)'!$A:$A)+1)-'Price History'!D3)*(ROW()-3)/(MATCH(9.99E+307,'Returns (Calc)'!$A:$A)-3),"")</f>
        <v>936.233333333333</v>
      </c>
      <c r="Z50" s="155" t="n">
        <f aca="false">IFERROR('Price History'!E3+(INDEX('Price History'!E:E,MATCH(9.99E+307,'Returns (Calc)'!$A:$A)+1)-'Price History'!E3)*(ROW()-3)/(MATCH(9.99E+307,'Returns (Calc)'!$A:$A)-3),"")</f>
        <v>164.631320754717</v>
      </c>
      <c r="AA50" s="155" t="n">
        <f aca="false">IFERROR('Price History'!F3+(INDEX('Price History'!F:F,MATCH(9.99E+307,'Returns (Calc)'!$A:$A)+1)-'Price History'!F3)*(ROW()-3)/(MATCH(9.99E+307,'Returns (Calc)'!$A:$A)-3),"")</f>
        <v>110.435220125786</v>
      </c>
      <c r="AB50" s="155" t="n">
        <f aca="false">IFERROR('Price History'!G3+(INDEX('Price History'!G:G,MATCH(9.99E+307,'Returns (Calc)'!$A:$A)+1)-'Price History'!G3)*(ROW()-3)/(MATCH(9.99E+307,'Returns (Calc)'!$A:$A)-3),"")</f>
        <v>89.0502515723271</v>
      </c>
      <c r="AC50" s="155" t="n">
        <f aca="false">IFERROR('Price History'!H3+(INDEX('Price History'!H:H,MATCH(9.99E+307,'Returns (Calc)'!$A:$A)+1)-'Price History'!H3)*(ROW()-3)/(MATCH(9.99E+307,'Returns (Calc)'!$A:$A)-3),"")</f>
        <v>352.85106918239</v>
      </c>
      <c r="AD50" s="155" t="n">
        <f aca="false">IFERROR('Price History'!I3+(INDEX('Price History'!I:I,MATCH(9.99E+307,'Returns (Calc)'!$A:$A)+1)-'Price History'!I3)*(ROW()-3)/(MATCH(9.99E+307,'Returns (Calc)'!$A:$A)-3),"")</f>
        <v>98.6062893081761</v>
      </c>
      <c r="AE50" s="155" t="n">
        <f aca="false">IFERROR('Price History'!J3+(INDEX('Price History'!J:J,MATCH(9.99E+307,'Returns (Calc)'!$A:$A)+1)-'Price History'!J3)*(ROW()-3)/(MATCH(9.99E+307,'Returns (Calc)'!$A:$A)-3),"")</f>
        <v>117.057295597484</v>
      </c>
      <c r="AF50" s="155" t="n">
        <f aca="false">IFERROR('Price History'!K3+(INDEX('Price History'!K:K,MATCH(9.99E+307,'Returns (Calc)'!$A:$A)+1)-'Price History'!K3)*(ROW()-3)/(MATCH(9.99E+307,'Returns (Calc)'!$A:$A)-3),"")</f>
        <v>72.5931446540881</v>
      </c>
      <c r="AG50" s="155" t="n">
        <f aca="false">IFERROR('Price History'!L3+(INDEX('Price History'!L:L,MATCH(9.99E+307,'Returns (Calc)'!$A:$A)+1)-'Price History'!L3)*(ROW()-3)/(MATCH(9.99E+307,'Returns (Calc)'!$A:$A)-3),"")</f>
        <v>194.399811320755</v>
      </c>
      <c r="AH50" s="155" t="n">
        <f aca="false">IFERROR('Price History'!M3+(INDEX('Price History'!M:M,MATCH(9.99E+307,'Returns (Calc)'!$A:$A)+1)-'Price History'!M3)*(ROW()-3)/(MATCH(9.99E+307,'Returns (Calc)'!$A:$A)-3),"")</f>
        <v>98.5465408805031</v>
      </c>
      <c r="AI50" s="155" t="n">
        <f aca="false">IFERROR('Price History'!N3+(INDEX('Price History'!N:N,MATCH(9.99E+307,'Returns (Calc)'!$A:$A)+1)-'Price History'!N3)*(ROW()-3)/(MATCH(9.99E+307,'Returns (Calc)'!$A:$A)-3),"")</f>
        <v>396.544402515723</v>
      </c>
      <c r="AJ50" s="155" t="n">
        <f aca="false">IFERROR('Price History'!O3+(INDEX('Price History'!O:O,MATCH(9.99E+307,'Returns (Calc)'!$A:$A)+1)-'Price History'!O3)*(ROW()-3)/(MATCH(9.99E+307,'Returns (Calc)'!$A:$A)-3),"")</f>
        <v>88.4138364779874</v>
      </c>
      <c r="AK50" s="155" t="n">
        <f aca="false">IFERROR('Price History'!Q3+(INDEX('Price History'!Q:Q,MATCH(9.99E+307,'Returns (Calc)'!$A:$A)+1)-'Price History'!Q3)*(ROW()-3)/(MATCH(9.99E+307,'Returns (Calc)'!$A:$A)-3),"")</f>
        <v>20.6829559748428</v>
      </c>
      <c r="AL50" s="155" t="n">
        <f aca="false">IFERROR('Price History'!R3+(INDEX('Price History'!R:R,MATCH(9.99E+307,'Returns (Calc)'!$A:$A)+1)-'Price History'!R3)*(ROW()-3)/(MATCH(9.99E+307,'Returns (Calc)'!$A:$A)-3),"")</f>
        <v>42.3458490566038</v>
      </c>
      <c r="AM50" s="155" t="n">
        <f aca="false">IFERROR('Price History'!S3+(INDEX('Price History'!S:S,MATCH(9.99E+307,'Returns (Calc)'!$A:$A)+1)-'Price History'!S3)*(ROW()-3)/(MATCH(9.99E+307,'Returns (Calc)'!$A:$A)-3),"")</f>
        <v>85.2772327044025</v>
      </c>
      <c r="AN50" s="155" t="n">
        <f aca="false">IFERROR('Price History'!T3+(INDEX('Price History'!T:T,MATCH(9.99E+307,'Returns (Calc)'!$A:$A)+1)-'Price History'!T3)*(ROW()-3)/(MATCH(9.99E+307,'Returns (Calc)'!$A:$A)-3),"")</f>
        <v>33.3632704402516</v>
      </c>
      <c r="AO50" s="156" t="n">
        <f aca="false">IFERROR('Price History'!V3+(INDEX('Price History'!V:V,MATCH(9.99E+307,'Returns (Calc)'!$A:$A)+1)-'Price History'!V3)*(ROW()-3)/(MATCH(9.99E+307,'Returns (Calc)'!$A:$A)-3),"")</f>
        <v>279.91641509434</v>
      </c>
      <c r="AP50" s="154" t="n">
        <f aca="false">IFERROR(IF(OR(NOT(ISNUMBER('Price History'!W51)),NOT(ISNUMBER('Price History'!W50)),'Price History'!W50=0),"",'Price History'!W51/'Price History'!W50-1),"")</f>
        <v>0.0279904937945603</v>
      </c>
      <c r="AQ50" s="154" t="str">
        <f aca="false">IFERROR(IF(OR(NOT(ISNUMBER('Price History'!X51)),NOT(ISNUMBER('Price History'!X50)),'Price History'!X50=0),"",'Price History'!X51/'Price History'!X50-1),"")</f>
        <v/>
      </c>
      <c r="AR50" s="154" t="n">
        <f aca="false">IFERROR(IF(OR(NOT(ISNUMBER('Price History'!Y51)),NOT(ISNUMBER('Price History'!Y50)),'Price History'!Y50=0),"",'Price History'!Y51/'Price History'!Y50-1),"")</f>
        <v>0.0213530655391121</v>
      </c>
      <c r="AS50" s="154" t="n">
        <f aca="false">IFERROR(IF(OR(NOT(ISNUMBER('Price History'!Z51)),NOT(ISNUMBER('Price History'!Z50)),'Price History'!Z50=0),"",'Price History'!Z51/'Price History'!Z50-1),"")</f>
        <v>0.013699460507971</v>
      </c>
      <c r="AT50" s="154" t="n">
        <f aca="false">IFERROR(IF(OR(NOT(ISNUMBER('Price History'!AA51)),NOT(ISNUMBER('Price History'!AA50)),'Price History'!AA50=0),"",'Price History'!AA51/'Price History'!AA50-1),"")</f>
        <v>0.0634169427354472</v>
      </c>
      <c r="AU50" s="154" t="n">
        <f aca="false">IFERROR(IF(OR(NOT(ISNUMBER('Price History'!AB51)),NOT(ISNUMBER('Price History'!AB50)),'Price History'!AB50=0),"",'Price History'!AB51/'Price History'!AB50-1),"")</f>
        <v>0.0302381589510303</v>
      </c>
    </row>
    <row r="51" customFormat="false" ht="15" hidden="false" customHeight="true" outlineLevel="0" collapsed="false">
      <c r="A51" s="152" t="n">
        <f aca="false">IF('Price History'!A52="","",'Price History'!A52)</f>
        <v>45527</v>
      </c>
      <c r="B51" s="153" t="n">
        <f aca="false">IFERROR(IF(OR(NOT(ISNUMBER('Price History'!B52)),NOT(ISNUMBER('Price History'!B51)),'Price History'!B51=0),"",'Price History'!B52/'Price History'!B51-1),"")</f>
        <v>0.00874498608752194</v>
      </c>
      <c r="C51" s="153" t="n">
        <f aca="false">IFERROR(IF(OR(NOT(ISNUMBER('Price History'!C52)),NOT(ISNUMBER('Price History'!C51)),'Price History'!C51=0),"",'Price History'!C52/'Price History'!C51-1),"")</f>
        <v>0.00350401265965861</v>
      </c>
      <c r="D51" s="153" t="n">
        <f aca="false">IFERROR(IF(OR(NOT(ISNUMBER('Price History'!D52)),NOT(ISNUMBER('Price History'!D51)),'Price History'!D51=0),"",'Price History'!D52/'Price History'!D51-1),"")</f>
        <v>-0.0124180981051887</v>
      </c>
      <c r="E51" s="153" t="n">
        <f aca="false">IFERROR(IF(OR(NOT(ISNUMBER('Price History'!E52)),NOT(ISNUMBER('Price History'!E51)),'Price History'!E51=0),"",'Price History'!E52/'Price History'!E51-1),"")</f>
        <v>0.00381843936687809</v>
      </c>
      <c r="F51" s="153" t="n">
        <f aca="false">IFERROR(IF(OR(NOT(ISNUMBER('Price History'!F52)),NOT(ISNUMBER('Price History'!F51)),'Price History'!F51=0),"",'Price History'!F52/'Price History'!F51-1),"")</f>
        <v>0.0342778793418648</v>
      </c>
      <c r="G51" s="153" t="n">
        <f aca="false">IFERROR(IF(OR(NOT(ISNUMBER('Price History'!G52)),NOT(ISNUMBER('Price History'!G51)),'Price History'!G51=0),"",'Price History'!G52/'Price History'!G51-1),"")</f>
        <v>-0.00210552390388907</v>
      </c>
      <c r="H51" s="153" t="n">
        <f aca="false">IFERROR(IF(OR(NOT(ISNUMBER('Price History'!H52)),NOT(ISNUMBER('Price History'!H51)),'Price History'!H51=0),"",'Price History'!H52/'Price History'!H51-1),"")</f>
        <v>-0.0476146105106224</v>
      </c>
      <c r="I51" s="153" t="n">
        <f aca="false">IFERROR(IF(OR(NOT(ISNUMBER('Price History'!I52)),NOT(ISNUMBER('Price History'!I51)),'Price History'!I51=0),"",'Price History'!I52/'Price History'!I51-1),"")</f>
        <v>0.0383934320669672</v>
      </c>
      <c r="J51" s="153" t="n">
        <f aca="false">IFERROR(IF(OR(NOT(ISNUMBER('Price History'!J52)),NOT(ISNUMBER('Price History'!J51)),'Price History'!J51=0),"",'Price History'!J52/'Price History'!J51-1),"")</f>
        <v>0.0489216201998948</v>
      </c>
      <c r="K51" s="153" t="n">
        <f aca="false">IFERROR(IF(OR(NOT(ISNUMBER('Price History'!K52)),NOT(ISNUMBER('Price History'!K51)),'Price History'!K51=0),"",'Price History'!K52/'Price History'!K51-1),"")</f>
        <v>-0.00935162094763087</v>
      </c>
      <c r="L51" s="153" t="n">
        <f aca="false">IFERROR(IF(OR(NOT(ISNUMBER('Price History'!L52)),NOT(ISNUMBER('Price History'!L51)),'Price History'!L51=0),"",'Price History'!L52/'Price History'!L51-1),"")</f>
        <v>-0.0186789228684227</v>
      </c>
      <c r="M51" s="153" t="n">
        <f aca="false">IFERROR(IF(OR(NOT(ISNUMBER('Price History'!M52)),NOT(ISNUMBER('Price History'!M51)),'Price History'!M51=0),"",'Price History'!M52/'Price History'!M51-1),"")</f>
        <v>-0.0109834616841307</v>
      </c>
      <c r="N51" s="153" t="n">
        <f aca="false">IFERROR(IF(OR(NOT(ISNUMBER('Price History'!N52)),NOT(ISNUMBER('Price History'!N51)),'Price History'!N51=0),"",'Price History'!N52/'Price History'!N51-1),"")</f>
        <v>0.00810691916123751</v>
      </c>
      <c r="O51" s="153" t="n">
        <f aca="false">IFERROR(IF(OR(NOT(ISNUMBER('Price History'!O52)),NOT(ISNUMBER('Price History'!O51)),'Price History'!O51=0),"",'Price History'!O52/'Price History'!O51-1),"")</f>
        <v>0.0310655828972275</v>
      </c>
      <c r="P51" s="153" t="n">
        <f aca="false">IFERROR(IF(OR(NOT(ISNUMBER('Price History'!P52)),NOT(ISNUMBER('Price History'!P51)),'Price History'!P51=0),"",'Price History'!P52/'Price History'!P51-1),"")</f>
        <v>0.0207827034274701</v>
      </c>
      <c r="Q51" s="153" t="n">
        <f aca="false">IFERROR(IF(OR(NOT(ISNUMBER('Price History'!Q52)),NOT(ISNUMBER('Price History'!Q51)),'Price History'!Q51=0),"",'Price History'!Q52/'Price History'!Q51-1),"")</f>
        <v>0.00887372013651877</v>
      </c>
      <c r="R51" s="153" t="n">
        <f aca="false">IFERROR(IF(OR(NOT(ISNUMBER('Price History'!R52)),NOT(ISNUMBER('Price History'!R51)),'Price History'!R51=0),"",'Price History'!R52/'Price History'!R51-1),"")</f>
        <v>0.00838122605363978</v>
      </c>
      <c r="S51" s="153" t="n">
        <f aca="false">IFERROR(IF(OR(NOT(ISNUMBER('Price History'!S52)),NOT(ISNUMBER('Price History'!S51)),'Price History'!S51=0),"",'Price History'!S52/'Price History'!S51-1),"")</f>
        <v>0.0138042102841365</v>
      </c>
      <c r="T51" s="153" t="n">
        <f aca="false">IFERROR(IF(OR(NOT(ISNUMBER('Price History'!T52)),NOT(ISNUMBER('Price History'!T51)),'Price History'!T51=0),"",'Price History'!T52/'Price History'!T51-1),"")</f>
        <v>0.0328396651641982</v>
      </c>
      <c r="U51" s="153" t="n">
        <f aca="false">IFERROR(IF(OR(NOT(ISNUMBER('Price History'!U52)),NOT(ISNUMBER('Price History'!U51)),'Price History'!U51=0),"",'Price History'!U52/'Price History'!U51-1),"")</f>
        <v>0.0186507936507938</v>
      </c>
      <c r="V51" s="154" t="n">
        <f aca="false">IFERROR(IF(OR(NOT(ISNUMBER('Price History'!V52)),NOT(ISNUMBER('Price History'!V51)),'Price History'!V51=0),"",'Price History'!V52/'Price History'!V51-1),"")</f>
        <v>0.000227781785050007</v>
      </c>
      <c r="W51" s="155" t="n">
        <f aca="false">IFERROR('Price History'!B3+(INDEX('Price History'!B:B,MATCH(9.99E+307,'Returns (Calc)'!$A:$A)+1)-'Price History'!B3)*(ROW()-3)/(MATCH(9.99E+307,'Returns (Calc)'!$A:$A)-3),"")</f>
        <v>442.36320754717</v>
      </c>
      <c r="X51" s="155" t="n">
        <f aca="false">IFERROR('Price History'!C3+(INDEX('Price History'!C:C,MATCH(9.99E+307,'Returns (Calc)'!$A:$A)+1)-'Price History'!C3)*(ROW()-3)/(MATCH(9.99E+307,'Returns (Calc)'!$A:$A)-3),"")</f>
        <v>97.6698113207547</v>
      </c>
      <c r="Y51" s="155" t="n">
        <f aca="false">IFERROR('Price History'!D3+(INDEX('Price History'!D:D,MATCH(9.99E+307,'Returns (Calc)'!$A:$A)+1)-'Price History'!D3)*(ROW()-3)/(MATCH(9.99E+307,'Returns (Calc)'!$A:$A)-3),"")</f>
        <v>943.77</v>
      </c>
      <c r="Z51" s="155" t="n">
        <f aca="false">IFERROR('Price History'!E3+(INDEX('Price History'!E:E,MATCH(9.99E+307,'Returns (Calc)'!$A:$A)+1)-'Price History'!E3)*(ROW()-3)/(MATCH(9.99E+307,'Returns (Calc)'!$A:$A)-3),"")</f>
        <v>166.389433962264</v>
      </c>
      <c r="AA51" s="155" t="n">
        <f aca="false">IFERROR('Price History'!F3+(INDEX('Price History'!F:F,MATCH(9.99E+307,'Returns (Calc)'!$A:$A)+1)-'Price History'!F3)*(ROW()-3)/(MATCH(9.99E+307,'Returns (Calc)'!$A:$A)-3),"")</f>
        <v>111.904905660377</v>
      </c>
      <c r="AB51" s="155" t="n">
        <f aca="false">IFERROR('Price History'!G3+(INDEX('Price History'!G:G,MATCH(9.99E+307,'Returns (Calc)'!$A:$A)+1)-'Price History'!G3)*(ROW()-3)/(MATCH(9.99E+307,'Returns (Calc)'!$A:$A)-3),"")</f>
        <v>90.001320754717</v>
      </c>
      <c r="AC51" s="155" t="n">
        <f aca="false">IFERROR('Price History'!H3+(INDEX('Price History'!H:H,MATCH(9.99E+307,'Returns (Calc)'!$A:$A)+1)-'Price History'!H3)*(ROW()-3)/(MATCH(9.99E+307,'Returns (Calc)'!$A:$A)-3),"")</f>
        <v>358.888113207547</v>
      </c>
      <c r="AD51" s="155" t="n">
        <f aca="false">IFERROR('Price History'!I3+(INDEX('Price History'!I:I,MATCH(9.99E+307,'Returns (Calc)'!$A:$A)+1)-'Price History'!I3)*(ROW()-3)/(MATCH(9.99E+307,'Returns (Calc)'!$A:$A)-3),"")</f>
        <v>99.7730188679245</v>
      </c>
      <c r="AE51" s="155" t="n">
        <f aca="false">IFERROR('Price History'!J3+(INDEX('Price History'!J:J,MATCH(9.99E+307,'Returns (Calc)'!$A:$A)+1)-'Price History'!J3)*(ROW()-3)/(MATCH(9.99E+307,'Returns (Calc)'!$A:$A)-3),"")</f>
        <v>117.168301886792</v>
      </c>
      <c r="AF51" s="155" t="n">
        <f aca="false">IFERROR('Price History'!K3+(INDEX('Price History'!K:K,MATCH(9.99E+307,'Returns (Calc)'!$A:$A)+1)-'Price History'!K3)*(ROW()-3)/(MATCH(9.99E+307,'Returns (Calc)'!$A:$A)-3),"")</f>
        <v>73.8115094339623</v>
      </c>
      <c r="AG51" s="155" t="n">
        <f aca="false">IFERROR('Price History'!L3+(INDEX('Price History'!L:L,MATCH(9.99E+307,'Returns (Calc)'!$A:$A)+1)-'Price History'!L3)*(ROW()-3)/(MATCH(9.99E+307,'Returns (Calc)'!$A:$A)-3),"")</f>
        <v>196.711509433962</v>
      </c>
      <c r="AH51" s="155" t="n">
        <f aca="false">IFERROR('Price History'!M3+(INDEX('Price History'!M:M,MATCH(9.99E+307,'Returns (Calc)'!$A:$A)+1)-'Price History'!M3)*(ROW()-3)/(MATCH(9.99E+307,'Returns (Calc)'!$A:$A)-3),"")</f>
        <v>99.8343396226415</v>
      </c>
      <c r="AI51" s="155" t="n">
        <f aca="false">IFERROR('Price History'!N3+(INDEX('Price History'!N:N,MATCH(9.99E+307,'Returns (Calc)'!$A:$A)+1)-'Price History'!N3)*(ROW()-3)/(MATCH(9.99E+307,'Returns (Calc)'!$A:$A)-3),"")</f>
        <v>397.558113207547</v>
      </c>
      <c r="AJ51" s="155" t="n">
        <f aca="false">IFERROR('Price History'!O3+(INDEX('Price History'!O:O,MATCH(9.99E+307,'Returns (Calc)'!$A:$A)+1)-'Price History'!O3)*(ROW()-3)/(MATCH(9.99E+307,'Returns (Calc)'!$A:$A)-3),"")</f>
        <v>88.692641509434</v>
      </c>
      <c r="AK51" s="155" t="n">
        <f aca="false">IFERROR('Price History'!Q3+(INDEX('Price History'!Q:Q,MATCH(9.99E+307,'Returns (Calc)'!$A:$A)+1)-'Price History'!Q3)*(ROW()-3)/(MATCH(9.99E+307,'Returns (Calc)'!$A:$A)-3),"")</f>
        <v>21.1230188679245</v>
      </c>
      <c r="AL51" s="155" t="n">
        <f aca="false">IFERROR('Price History'!R3+(INDEX('Price History'!R:R,MATCH(9.99E+307,'Returns (Calc)'!$A:$A)+1)-'Price History'!R3)*(ROW()-3)/(MATCH(9.99E+307,'Returns (Calc)'!$A:$A)-3),"")</f>
        <v>42.5132075471698</v>
      </c>
      <c r="AM51" s="155" t="n">
        <f aca="false">IFERROR('Price History'!S3+(INDEX('Price History'!S:S,MATCH(9.99E+307,'Returns (Calc)'!$A:$A)+1)-'Price History'!S3)*(ROW()-3)/(MATCH(9.99E+307,'Returns (Calc)'!$A:$A)-3),"")</f>
        <v>85.8654716981132</v>
      </c>
      <c r="AN51" s="155" t="n">
        <f aca="false">IFERROR('Price History'!T3+(INDEX('Price History'!T:T,MATCH(9.99E+307,'Returns (Calc)'!$A:$A)+1)-'Price History'!T3)*(ROW()-3)/(MATCH(9.99E+307,'Returns (Calc)'!$A:$A)-3),"")</f>
        <v>33.5371698113208</v>
      </c>
      <c r="AO51" s="156" t="n">
        <f aca="false">IFERROR('Price History'!V3+(INDEX('Price History'!V:V,MATCH(9.99E+307,'Returns (Calc)'!$A:$A)+1)-'Price History'!V3)*(ROW()-3)/(MATCH(9.99E+307,'Returns (Calc)'!$A:$A)-3),"")</f>
        <v>280.858679245283</v>
      </c>
      <c r="AP51" s="154" t="n">
        <f aca="false">IFERROR(IF(OR(NOT(ISNUMBER('Price History'!W52)),NOT(ISNUMBER('Price History'!W51)),'Price History'!W51=0),"",'Price History'!W52/'Price History'!W51-1),"")</f>
        <v>0.0165253874475553</v>
      </c>
      <c r="AQ51" s="154" t="str">
        <f aca="false">IFERROR(IF(OR(NOT(ISNUMBER('Price History'!X52)),NOT(ISNUMBER('Price History'!X51)),'Price History'!X51=0),"",'Price History'!X52/'Price History'!X51-1),"")</f>
        <v/>
      </c>
      <c r="AR51" s="154" t="n">
        <f aca="false">IFERROR(IF(OR(NOT(ISNUMBER('Price History'!Y52)),NOT(ISNUMBER('Price History'!Y51)),'Price History'!Y51=0),"",'Price History'!Y52/'Price History'!Y51-1),"")</f>
        <v>0.00869385220451235</v>
      </c>
      <c r="AS51" s="154" t="n">
        <f aca="false">IFERROR(IF(OR(NOT(ISNUMBER('Price History'!Z52)),NOT(ISNUMBER('Price History'!Z51)),'Price History'!Z51=0),"",'Price History'!Z52/'Price History'!Z51-1),"")</f>
        <v>0.0106440232015788</v>
      </c>
      <c r="AT51" s="154" t="n">
        <f aca="false">IFERROR(IF(OR(NOT(ISNUMBER('Price History'!AA52)),NOT(ISNUMBER('Price History'!AA51)),'Price History'!AA51=0),"",'Price History'!AA52/'Price History'!AA51-1),"")</f>
        <v>0.0186915887850467</v>
      </c>
      <c r="AU51" s="154" t="n">
        <f aca="false">IFERROR(IF(OR(NOT(ISNUMBER('Price History'!AB52)),NOT(ISNUMBER('Price History'!AB51)),'Price History'!AB51=0),"",'Price History'!AB52/'Price History'!AB51-1),"")</f>
        <v>0.035064935064935</v>
      </c>
    </row>
    <row r="52" customFormat="false" ht="15" hidden="false" customHeight="true" outlineLevel="0" collapsed="false">
      <c r="A52" s="152" t="n">
        <f aca="false">IF('Price History'!A53="","",'Price History'!A53)</f>
        <v>45534</v>
      </c>
      <c r="B52" s="153" t="n">
        <f aca="false">IFERROR(IF(OR(NOT(ISNUMBER('Price History'!B53)),NOT(ISNUMBER('Price History'!B52)),'Price History'!B52=0),"",'Price History'!B53/'Price History'!B52-1),"")</f>
        <v>0.0288554540569586</v>
      </c>
      <c r="C52" s="153" t="n">
        <f aca="false">IFERROR(IF(OR(NOT(ISNUMBER('Price History'!C53)),NOT(ISNUMBER('Price History'!C52)),'Price History'!C52=0),"",'Price History'!C53/'Price History'!C52-1),"")</f>
        <v>-0.00484343320567704</v>
      </c>
      <c r="D52" s="153" t="n">
        <f aca="false">IFERROR(IF(OR(NOT(ISNUMBER('Price History'!D53)),NOT(ISNUMBER('Price History'!D52)),'Price History'!D52=0),"",'Price History'!D53/'Price History'!D52-1),"")</f>
        <v>-0.00373192872352335</v>
      </c>
      <c r="E52" s="153" t="n">
        <f aca="false">IFERROR(IF(OR(NOT(ISNUMBER('Price History'!E53)),NOT(ISNUMBER('Price History'!E52)),'Price History'!E52=0),"",'Price History'!E53/'Price History'!E52-1),"")</f>
        <v>-0.0212896496717589</v>
      </c>
      <c r="F52" s="153" t="n">
        <f aca="false">IFERROR(IF(OR(NOT(ISNUMBER('Price History'!F53)),NOT(ISNUMBER('Price History'!F52)),'Price History'!F52=0),"",'Price History'!F53/'Price History'!F52-1),"")</f>
        <v>0.0210634850493445</v>
      </c>
      <c r="G52" s="153" t="n">
        <f aca="false">IFERROR(IF(OR(NOT(ISNUMBER('Price History'!G53)),NOT(ISNUMBER('Price History'!G52)),'Price History'!G52=0),"",'Price History'!G53/'Price History'!G52-1),"")</f>
        <v>0.00186173513714794</v>
      </c>
      <c r="H52" s="153" t="n">
        <f aca="false">IFERROR(IF(OR(NOT(ISNUMBER('Price History'!H53)),NOT(ISNUMBER('Price History'!H52)),'Price History'!H52=0),"",'Price History'!H53/'Price History'!H52-1),"")</f>
        <v>-0.0642794247138244</v>
      </c>
      <c r="I52" s="153" t="n">
        <f aca="false">IFERROR(IF(OR(NOT(ISNUMBER('Price History'!I53)),NOT(ISNUMBER('Price History'!I52)),'Price History'!I52=0),"",'Price History'!I53/'Price History'!I52-1),"")</f>
        <v>-0.0772808309433376</v>
      </c>
      <c r="J52" s="153" t="n">
        <f aca="false">IFERROR(IF(OR(NOT(ISNUMBER('Price History'!J53)),NOT(ISNUMBER('Price History'!J52)),'Price History'!J52=0),"",'Price History'!J53/'Price History'!J52-1),"")</f>
        <v>-0.00810765630224009</v>
      </c>
      <c r="K52" s="153" t="n">
        <f aca="false">IFERROR(IF(OR(NOT(ISNUMBER('Price History'!K53)),NOT(ISNUMBER('Price History'!K52)),'Price History'!K52=0),"",'Price History'!K53/'Price History'!K52-1),"")</f>
        <v>-0.0094398993077407</v>
      </c>
      <c r="L52" s="153" t="n">
        <f aca="false">IFERROR(IF(OR(NOT(ISNUMBER('Price History'!L53)),NOT(ISNUMBER('Price History'!L52)),'Price History'!L52=0),"",'Price History'!L53/'Price History'!L52-1),"")</f>
        <v>0.00246187102197659</v>
      </c>
      <c r="M52" s="153" t="n">
        <f aca="false">IFERROR(IF(OR(NOT(ISNUMBER('Price History'!M53)),NOT(ISNUMBER('Price History'!M52)),'Price History'!M52=0),"",'Price History'!M53/'Price History'!M52-1),"")</f>
        <v>0.0570589737043656</v>
      </c>
      <c r="N52" s="153" t="n">
        <f aca="false">IFERROR(IF(OR(NOT(ISNUMBER('Price History'!N53)),NOT(ISNUMBER('Price History'!N52)),'Price History'!N52=0),"",'Price History'!N53/'Price History'!N52-1),"")</f>
        <v>0.0304421910065664</v>
      </c>
      <c r="O52" s="153" t="n">
        <f aca="false">IFERROR(IF(OR(NOT(ISNUMBER('Price History'!O53)),NOT(ISNUMBER('Price History'!O52)),'Price History'!O52=0),"",'Price History'!O53/'Price History'!O52-1),"")</f>
        <v>0.000539956803455866</v>
      </c>
      <c r="P52" s="153" t="n">
        <f aca="false">IFERROR(IF(OR(NOT(ISNUMBER('Price History'!P53)),NOT(ISNUMBER('Price History'!P52)),'Price History'!P52=0),"",'Price History'!P53/'Price History'!P52-1),"")</f>
        <v>0.0137098760364502</v>
      </c>
      <c r="Q52" s="153" t="n">
        <f aca="false">IFERROR(IF(OR(NOT(ISNUMBER('Price History'!Q53)),NOT(ISNUMBER('Price History'!Q52)),'Price History'!Q52=0),"",'Price History'!Q53/'Price History'!Q52-1),"")</f>
        <v>0.00355209742895801</v>
      </c>
      <c r="R52" s="153" t="n">
        <f aca="false">IFERROR(IF(OR(NOT(ISNUMBER('Price History'!R53)),NOT(ISNUMBER('Price History'!R52)),'Price History'!R52=0),"",'Price History'!R53/'Price History'!R52-1),"")</f>
        <v>0.00332462597957739</v>
      </c>
      <c r="S52" s="153" t="n">
        <f aca="false">IFERROR(IF(OR(NOT(ISNUMBER('Price History'!S53)),NOT(ISNUMBER('Price History'!S52)),'Price History'!S52=0),"",'Price History'!S53/'Price History'!S52-1),"")</f>
        <v>-0.00397140587768063</v>
      </c>
      <c r="T52" s="153" t="n">
        <f aca="false">IFERROR(IF(OR(NOT(ISNUMBER('Price History'!T53)),NOT(ISNUMBER('Price History'!T52)),'Price History'!T52=0),"",'Price History'!T53/'Price History'!T52-1),"")</f>
        <v>0.00342892768079794</v>
      </c>
      <c r="U52" s="153" t="n">
        <f aca="false">IFERROR(IF(OR(NOT(ISNUMBER('Price History'!U53)),NOT(ISNUMBER('Price History'!U52)),'Price History'!U52=0),"",'Price History'!U53/'Price History'!U52-1),"")</f>
        <v>0.0124659135177247</v>
      </c>
      <c r="V52" s="154" t="n">
        <f aca="false">IFERROR(IF(OR(NOT(ISNUMBER('Price History'!V53)),NOT(ISNUMBER('Price History'!V52)),'Price History'!V52=0),"",'Price History'!V53/'Price History'!V52-1),"")</f>
        <v>0.0334003871408508</v>
      </c>
      <c r="W52" s="155" t="n">
        <f aca="false">IFERROR('Price History'!B3+(INDEX('Price History'!B:B,MATCH(9.99E+307,'Returns (Calc)'!$A:$A)+1)-'Price History'!B3)*(ROW()-3)/(MATCH(9.99E+307,'Returns (Calc)'!$A:$A)-3),"")</f>
        <v>440.560566037736</v>
      </c>
      <c r="X52" s="155" t="n">
        <f aca="false">IFERROR('Price History'!C3+(INDEX('Price History'!C:C,MATCH(9.99E+307,'Returns (Calc)'!$A:$A)+1)-'Price History'!C3)*(ROW()-3)/(MATCH(9.99E+307,'Returns (Calc)'!$A:$A)-3),"")</f>
        <v>98.7425157232704</v>
      </c>
      <c r="Y52" s="155" t="n">
        <f aca="false">IFERROR('Price History'!D3+(INDEX('Price History'!D:D,MATCH(9.99E+307,'Returns (Calc)'!$A:$A)+1)-'Price History'!D3)*(ROW()-3)/(MATCH(9.99E+307,'Returns (Calc)'!$A:$A)-3),"")</f>
        <v>951.306666666667</v>
      </c>
      <c r="Z52" s="155" t="n">
        <f aca="false">IFERROR('Price History'!E3+(INDEX('Price History'!E:E,MATCH(9.99E+307,'Returns (Calc)'!$A:$A)+1)-'Price History'!E3)*(ROW()-3)/(MATCH(9.99E+307,'Returns (Calc)'!$A:$A)-3),"")</f>
        <v>168.147547169811</v>
      </c>
      <c r="AA52" s="155" t="n">
        <f aca="false">IFERROR('Price History'!F3+(INDEX('Price History'!F:F,MATCH(9.99E+307,'Returns (Calc)'!$A:$A)+1)-'Price History'!F3)*(ROW()-3)/(MATCH(9.99E+307,'Returns (Calc)'!$A:$A)-3),"")</f>
        <v>113.374591194969</v>
      </c>
      <c r="AB52" s="155" t="n">
        <f aca="false">IFERROR('Price History'!G3+(INDEX('Price History'!G:G,MATCH(9.99E+307,'Returns (Calc)'!$A:$A)+1)-'Price History'!G3)*(ROW()-3)/(MATCH(9.99E+307,'Returns (Calc)'!$A:$A)-3),"")</f>
        <v>90.9523899371069</v>
      </c>
      <c r="AC52" s="155" t="n">
        <f aca="false">IFERROR('Price History'!H3+(INDEX('Price History'!H:H,MATCH(9.99E+307,'Returns (Calc)'!$A:$A)+1)-'Price History'!H3)*(ROW()-3)/(MATCH(9.99E+307,'Returns (Calc)'!$A:$A)-3),"")</f>
        <v>364.925157232704</v>
      </c>
      <c r="AD52" s="155" t="n">
        <f aca="false">IFERROR('Price History'!I3+(INDEX('Price History'!I:I,MATCH(9.99E+307,'Returns (Calc)'!$A:$A)+1)-'Price History'!I3)*(ROW()-3)/(MATCH(9.99E+307,'Returns (Calc)'!$A:$A)-3),"")</f>
        <v>100.939748427673</v>
      </c>
      <c r="AE52" s="155" t="n">
        <f aca="false">IFERROR('Price History'!J3+(INDEX('Price History'!J:J,MATCH(9.99E+307,'Returns (Calc)'!$A:$A)+1)-'Price History'!J3)*(ROW()-3)/(MATCH(9.99E+307,'Returns (Calc)'!$A:$A)-3),"")</f>
        <v>117.279308176101</v>
      </c>
      <c r="AF52" s="155" t="n">
        <f aca="false">IFERROR('Price History'!K3+(INDEX('Price History'!K:K,MATCH(9.99E+307,'Returns (Calc)'!$A:$A)+1)-'Price History'!K3)*(ROW()-3)/(MATCH(9.99E+307,'Returns (Calc)'!$A:$A)-3),"")</f>
        <v>75.0298742138365</v>
      </c>
      <c r="AG52" s="155" t="n">
        <f aca="false">IFERROR('Price History'!L3+(INDEX('Price History'!L:L,MATCH(9.99E+307,'Returns (Calc)'!$A:$A)+1)-'Price History'!L3)*(ROW()-3)/(MATCH(9.99E+307,'Returns (Calc)'!$A:$A)-3),"")</f>
        <v>199.02320754717</v>
      </c>
      <c r="AH52" s="155" t="n">
        <f aca="false">IFERROR('Price History'!M3+(INDEX('Price History'!M:M,MATCH(9.99E+307,'Returns (Calc)'!$A:$A)+1)-'Price History'!M3)*(ROW()-3)/(MATCH(9.99E+307,'Returns (Calc)'!$A:$A)-3),"")</f>
        <v>101.12213836478</v>
      </c>
      <c r="AI52" s="155" t="n">
        <f aca="false">IFERROR('Price History'!N3+(INDEX('Price History'!N:N,MATCH(9.99E+307,'Returns (Calc)'!$A:$A)+1)-'Price History'!N3)*(ROW()-3)/(MATCH(9.99E+307,'Returns (Calc)'!$A:$A)-3),"")</f>
        <v>398.571823899371</v>
      </c>
      <c r="AJ52" s="155" t="n">
        <f aca="false">IFERROR('Price History'!O3+(INDEX('Price History'!O:O,MATCH(9.99E+307,'Returns (Calc)'!$A:$A)+1)-'Price History'!O3)*(ROW()-3)/(MATCH(9.99E+307,'Returns (Calc)'!$A:$A)-3),"")</f>
        <v>88.9714465408805</v>
      </c>
      <c r="AK52" s="155" t="n">
        <f aca="false">IFERROR('Price History'!Q3+(INDEX('Price History'!Q:Q,MATCH(9.99E+307,'Returns (Calc)'!$A:$A)+1)-'Price History'!Q3)*(ROW()-3)/(MATCH(9.99E+307,'Returns (Calc)'!$A:$A)-3),"")</f>
        <v>21.5630817610063</v>
      </c>
      <c r="AL52" s="155" t="n">
        <f aca="false">IFERROR('Price History'!R3+(INDEX('Price History'!R:R,MATCH(9.99E+307,'Returns (Calc)'!$A:$A)+1)-'Price History'!R3)*(ROW()-3)/(MATCH(9.99E+307,'Returns (Calc)'!$A:$A)-3),"")</f>
        <v>42.6805660377358</v>
      </c>
      <c r="AM52" s="155" t="n">
        <f aca="false">IFERROR('Price History'!S3+(INDEX('Price History'!S:S,MATCH(9.99E+307,'Returns (Calc)'!$A:$A)+1)-'Price History'!S3)*(ROW()-3)/(MATCH(9.99E+307,'Returns (Calc)'!$A:$A)-3),"")</f>
        <v>86.4537106918239</v>
      </c>
      <c r="AN52" s="155" t="n">
        <f aca="false">IFERROR('Price History'!T3+(INDEX('Price History'!T:T,MATCH(9.99E+307,'Returns (Calc)'!$A:$A)+1)-'Price History'!T3)*(ROW()-3)/(MATCH(9.99E+307,'Returns (Calc)'!$A:$A)-3),"")</f>
        <v>33.7110691823899</v>
      </c>
      <c r="AO52" s="156" t="n">
        <f aca="false">IFERROR('Price History'!V3+(INDEX('Price History'!V:V,MATCH(9.99E+307,'Returns (Calc)'!$A:$A)+1)-'Price History'!V3)*(ROW()-3)/(MATCH(9.99E+307,'Returns (Calc)'!$A:$A)-3),"")</f>
        <v>281.800943396226</v>
      </c>
      <c r="AP52" s="154" t="n">
        <f aca="false">IFERROR(IF(OR(NOT(ISNUMBER('Price History'!W53)),NOT(ISNUMBER('Price History'!W52)),'Price History'!W52=0),"",'Price History'!W53/'Price History'!W52-1),"")</f>
        <v>0.0126347708894878</v>
      </c>
      <c r="AQ52" s="154" t="str">
        <f aca="false">IFERROR(IF(OR(NOT(ISNUMBER('Price History'!X53)),NOT(ISNUMBER('Price History'!X52)),'Price History'!X52=0),"",'Price History'!X53/'Price History'!X52-1),"")</f>
        <v/>
      </c>
      <c r="AR52" s="154" t="n">
        <f aca="false">IFERROR(IF(OR(NOT(ISNUMBER('Price History'!Y53)),NOT(ISNUMBER('Price History'!Y52)),'Price History'!Y52=0),"",'Price History'!Y53/'Price History'!Y52-1),"")</f>
        <v>0.0123127436897188</v>
      </c>
      <c r="AS52" s="154" t="n">
        <f aca="false">IFERROR(IF(OR(NOT(ISNUMBER('Price History'!Z53)),NOT(ISNUMBER('Price History'!Z52)),'Price History'!Z52=0),"",'Price History'!Z53/'Price History'!Z52-1),"")</f>
        <v>0.0198213123483819</v>
      </c>
      <c r="AT52" s="154" t="n">
        <f aca="false">IFERROR(IF(OR(NOT(ISNUMBER('Price History'!AA53)),NOT(ISNUMBER('Price History'!AA52)),'Price History'!AA52=0),"",'Price History'!AA53/'Price History'!AA52-1),"")</f>
        <v>0.0214067278287462</v>
      </c>
      <c r="AU52" s="154" t="n">
        <f aca="false">IFERROR(IF(OR(NOT(ISNUMBER('Price History'!AB53)),NOT(ISNUMBER('Price History'!AB52)),'Price History'!AB52=0),"",'Price History'!AB53/'Price History'!AB52-1),"")</f>
        <v>0.0862735257214555</v>
      </c>
    </row>
    <row r="53" customFormat="false" ht="15" hidden="false" customHeight="true" outlineLevel="0" collapsed="false">
      <c r="A53" s="152" t="n">
        <f aca="false">IF('Price History'!A54="","",'Price History'!A54)</f>
        <v>45541</v>
      </c>
      <c r="B53" s="153" t="n">
        <f aca="false">IFERROR(IF(OR(NOT(ISNUMBER('Price History'!B54)),NOT(ISNUMBER('Price History'!B53)),'Price History'!B53=0),"",'Price History'!B54/'Price History'!B53-1),"")</f>
        <v>-0.0191500844344632</v>
      </c>
      <c r="C53" s="153" t="n">
        <f aca="false">IFERROR(IF(OR(NOT(ISNUMBER('Price History'!C54)),NOT(ISNUMBER('Price History'!C53)),'Price History'!C53=0),"",'Price History'!C54/'Price History'!C53-1),"")</f>
        <v>-0.110582908885116</v>
      </c>
      <c r="D53" s="153" t="n">
        <f aca="false">IFERROR(IF(OR(NOT(ISNUMBER('Price History'!D54)),NOT(ISNUMBER('Price History'!D53)),'Price History'!D53=0),"",'Price History'!D54/'Price History'!D53-1),"")</f>
        <v>-0.167148497699585</v>
      </c>
      <c r="E53" s="153" t="n">
        <f aca="false">IFERROR(IF(OR(NOT(ISNUMBER('Price History'!E54)),NOT(ISNUMBER('Price History'!E53)),'Price History'!E53=0),"",'Price History'!E54/'Price History'!E53-1),"")</f>
        <v>-0.158538114343029</v>
      </c>
      <c r="F53" s="153" t="n">
        <f aca="false">IFERROR(IF(OR(NOT(ISNUMBER('Price History'!F54)),NOT(ISNUMBER('Price History'!F53)),'Price History'!F53=0),"",'Price History'!F54/'Price History'!F53-1),"")</f>
        <v>-0.11136757068667</v>
      </c>
      <c r="G53" s="153" t="n">
        <f aca="false">IFERROR(IF(OR(NOT(ISNUMBER('Price History'!G54)),NOT(ISNUMBER('Price History'!G53)),'Price History'!G53=0),"",'Price History'!G54/'Price History'!G53-1),"")</f>
        <v>-0.142343904856293</v>
      </c>
      <c r="H53" s="153" t="n">
        <f aca="false">IFERROR(IF(OR(NOT(ISNUMBER('Price History'!H54)),NOT(ISNUMBER('Price History'!H53)),'Price History'!H53=0),"",'Price History'!H54/'Price History'!H53-1),"")</f>
        <v>-0.102467586783772</v>
      </c>
      <c r="I53" s="153" t="n">
        <f aca="false">IFERROR(IF(OR(NOT(ISNUMBER('Price History'!I54)),NOT(ISNUMBER('Price History'!I53)),'Price History'!I53=0),"",'Price History'!I54/'Price History'!I53-1),"")</f>
        <v>-0.138524865591398</v>
      </c>
      <c r="J53" s="153" t="n">
        <f aca="false">IFERROR(IF(OR(NOT(ISNUMBER('Price History'!J54)),NOT(ISNUMBER('Price History'!J53)),'Price History'!J53=0),"",'Price History'!J54/'Price History'!J53-1),"")</f>
        <v>-0.00455043397657373</v>
      </c>
      <c r="K53" s="153" t="n">
        <f aca="false">IFERROR(IF(OR(NOT(ISNUMBER('Price History'!K54)),NOT(ISNUMBER('Price History'!K53)),'Price History'!K53=0),"",'Price History'!K54/'Price History'!K53-1),"")</f>
        <v>-0.0365311308767472</v>
      </c>
      <c r="L53" s="153" t="n">
        <f aca="false">IFERROR(IF(OR(NOT(ISNUMBER('Price History'!L54)),NOT(ISNUMBER('Price History'!L53)),'Price History'!L53=0),"",'Price History'!L54/'Price History'!L53-1),"")</f>
        <v>-0.0866726564839773</v>
      </c>
      <c r="M53" s="153" t="n">
        <f aca="false">IFERROR(IF(OR(NOT(ISNUMBER('Price History'!M54)),NOT(ISNUMBER('Price History'!M53)),'Price History'!M53=0),"",'Price History'!M54/'Price History'!M53-1),"")</f>
        <v>-0.135611641106147</v>
      </c>
      <c r="N53" s="153" t="n">
        <f aca="false">IFERROR(IF(OR(NOT(ISNUMBER('Price History'!N54)),NOT(ISNUMBER('Price History'!N53)),'Price History'!N53=0),"",'Price History'!N54/'Price History'!N53-1),"")</f>
        <v>-0.0562423118030208</v>
      </c>
      <c r="O53" s="153" t="n">
        <f aca="false">IFERROR(IF(OR(NOT(ISNUMBER('Price History'!O54)),NOT(ISNUMBER('Price History'!O53)),'Price History'!O53=0),"",'Price History'!O54/'Price History'!O53-1),"")</f>
        <v>-0.0566648677819752</v>
      </c>
      <c r="P53" s="153" t="n">
        <f aca="false">IFERROR(IF(OR(NOT(ISNUMBER('Price History'!P54)),NOT(ISNUMBER('Price History'!P53)),'Price History'!P53=0),"",'Price History'!P54/'Price History'!P53-1),"")</f>
        <v>-0.0213799805636541</v>
      </c>
      <c r="Q53" s="153" t="n">
        <f aca="false">IFERROR(IF(OR(NOT(ISNUMBER('Price History'!Q54)),NOT(ISNUMBER('Price History'!Q53)),'Price History'!Q53=0),"",'Price History'!Q54/'Price History'!Q53-1),"")</f>
        <v>-0.0269678071801787</v>
      </c>
      <c r="R53" s="153" t="n">
        <f aca="false">IFERROR(IF(OR(NOT(ISNUMBER('Price History'!R54)),NOT(ISNUMBER('Price History'!R53)),'Price History'!R53=0),"",'Price History'!R54/'Price History'!R53-1),"")</f>
        <v>-0.0402366863905326</v>
      </c>
      <c r="S53" s="153" t="n">
        <f aca="false">IFERROR(IF(OR(NOT(ISNUMBER('Price History'!S54)),NOT(ISNUMBER('Price History'!S53)),'Price History'!S53=0),"",'Price History'!S54/'Price History'!S53-1),"")</f>
        <v>-0.0598086124401914</v>
      </c>
      <c r="T53" s="153" t="n">
        <f aca="false">IFERROR(IF(OR(NOT(ISNUMBER('Price History'!T54)),NOT(ISNUMBER('Price History'!T53)),'Price History'!T53=0),"",'Price History'!T54/'Price History'!T53-1),"")</f>
        <v>-0.0413171792482137</v>
      </c>
      <c r="U53" s="153" t="n">
        <f aca="false">IFERROR(IF(OR(NOT(ISNUMBER('Price History'!U54)),NOT(ISNUMBER('Price History'!U53)),'Price History'!U53=0),"",'Price History'!U54/'Price History'!U53-1),"")</f>
        <v>-0.0300115429011157</v>
      </c>
      <c r="V53" s="154" t="n">
        <f aca="false">IFERROR(IF(OR(NOT(ISNUMBER('Price History'!V54)),NOT(ISNUMBER('Price History'!V53)),'Price History'!V53=0),"",'Price History'!V54/'Price History'!V53-1),"")</f>
        <v>0.0108348330701145</v>
      </c>
      <c r="W53" s="155" t="n">
        <f aca="false">IFERROR('Price History'!B3+(INDEX('Price History'!B:B,MATCH(9.99E+307,'Returns (Calc)'!$A:$A)+1)-'Price History'!B3)*(ROW()-3)/(MATCH(9.99E+307,'Returns (Calc)'!$A:$A)-3),"")</f>
        <v>438.757924528302</v>
      </c>
      <c r="X53" s="155" t="n">
        <f aca="false">IFERROR('Price History'!C3+(INDEX('Price History'!C:C,MATCH(9.99E+307,'Returns (Calc)'!$A:$A)+1)-'Price History'!C3)*(ROW()-3)/(MATCH(9.99E+307,'Returns (Calc)'!$A:$A)-3),"")</f>
        <v>99.8152201257862</v>
      </c>
      <c r="Y53" s="155" t="n">
        <f aca="false">IFERROR('Price History'!D3+(INDEX('Price History'!D:D,MATCH(9.99E+307,'Returns (Calc)'!$A:$A)+1)-'Price History'!D3)*(ROW()-3)/(MATCH(9.99E+307,'Returns (Calc)'!$A:$A)-3),"")</f>
        <v>958.843333333333</v>
      </c>
      <c r="Z53" s="155" t="n">
        <f aca="false">IFERROR('Price History'!E3+(INDEX('Price History'!E:E,MATCH(9.99E+307,'Returns (Calc)'!$A:$A)+1)-'Price History'!E3)*(ROW()-3)/(MATCH(9.99E+307,'Returns (Calc)'!$A:$A)-3),"")</f>
        <v>169.905660377359</v>
      </c>
      <c r="AA53" s="155" t="n">
        <f aca="false">IFERROR('Price History'!F3+(INDEX('Price History'!F:F,MATCH(9.99E+307,'Returns (Calc)'!$A:$A)+1)-'Price History'!F3)*(ROW()-3)/(MATCH(9.99E+307,'Returns (Calc)'!$A:$A)-3),"")</f>
        <v>114.84427672956</v>
      </c>
      <c r="AB53" s="155" t="n">
        <f aca="false">IFERROR('Price History'!G3+(INDEX('Price History'!G:G,MATCH(9.99E+307,'Returns (Calc)'!$A:$A)+1)-'Price History'!G3)*(ROW()-3)/(MATCH(9.99E+307,'Returns (Calc)'!$A:$A)-3),"")</f>
        <v>91.9034591194969</v>
      </c>
      <c r="AC53" s="155" t="n">
        <f aca="false">IFERROR('Price History'!H3+(INDEX('Price History'!H:H,MATCH(9.99E+307,'Returns (Calc)'!$A:$A)+1)-'Price History'!H3)*(ROW()-3)/(MATCH(9.99E+307,'Returns (Calc)'!$A:$A)-3),"")</f>
        <v>370.962201257862</v>
      </c>
      <c r="AD53" s="155" t="n">
        <f aca="false">IFERROR('Price History'!I3+(INDEX('Price History'!I:I,MATCH(9.99E+307,'Returns (Calc)'!$A:$A)+1)-'Price History'!I3)*(ROW()-3)/(MATCH(9.99E+307,'Returns (Calc)'!$A:$A)-3),"")</f>
        <v>102.106477987421</v>
      </c>
      <c r="AE53" s="155" t="n">
        <f aca="false">IFERROR('Price History'!J3+(INDEX('Price History'!J:J,MATCH(9.99E+307,'Returns (Calc)'!$A:$A)+1)-'Price History'!J3)*(ROW()-3)/(MATCH(9.99E+307,'Returns (Calc)'!$A:$A)-3),"")</f>
        <v>117.390314465409</v>
      </c>
      <c r="AF53" s="155" t="n">
        <f aca="false">IFERROR('Price History'!K3+(INDEX('Price History'!K:K,MATCH(9.99E+307,'Returns (Calc)'!$A:$A)+1)-'Price History'!K3)*(ROW()-3)/(MATCH(9.99E+307,'Returns (Calc)'!$A:$A)-3),"")</f>
        <v>76.2482389937107</v>
      </c>
      <c r="AG53" s="155" t="n">
        <f aca="false">IFERROR('Price History'!L3+(INDEX('Price History'!L:L,MATCH(9.99E+307,'Returns (Calc)'!$A:$A)+1)-'Price History'!L3)*(ROW()-3)/(MATCH(9.99E+307,'Returns (Calc)'!$A:$A)-3),"")</f>
        <v>201.334905660377</v>
      </c>
      <c r="AH53" s="155" t="n">
        <f aca="false">IFERROR('Price History'!M3+(INDEX('Price History'!M:M,MATCH(9.99E+307,'Returns (Calc)'!$A:$A)+1)-'Price History'!M3)*(ROW()-3)/(MATCH(9.99E+307,'Returns (Calc)'!$A:$A)-3),"")</f>
        <v>102.409937106918</v>
      </c>
      <c r="AI53" s="155" t="n">
        <f aca="false">IFERROR('Price History'!N3+(INDEX('Price History'!N:N,MATCH(9.99E+307,'Returns (Calc)'!$A:$A)+1)-'Price History'!N3)*(ROW()-3)/(MATCH(9.99E+307,'Returns (Calc)'!$A:$A)-3),"")</f>
        <v>399.585534591195</v>
      </c>
      <c r="AJ53" s="155" t="n">
        <f aca="false">IFERROR('Price History'!O3+(INDEX('Price History'!O:O,MATCH(9.99E+307,'Returns (Calc)'!$A:$A)+1)-'Price History'!O3)*(ROW()-3)/(MATCH(9.99E+307,'Returns (Calc)'!$A:$A)-3),"")</f>
        <v>89.250251572327</v>
      </c>
      <c r="AK53" s="155" t="n">
        <f aca="false">IFERROR('Price History'!Q3+(INDEX('Price History'!Q:Q,MATCH(9.99E+307,'Returns (Calc)'!$A:$A)+1)-'Price History'!Q3)*(ROW()-3)/(MATCH(9.99E+307,'Returns (Calc)'!$A:$A)-3),"")</f>
        <v>22.0031446540881</v>
      </c>
      <c r="AL53" s="155" t="n">
        <f aca="false">IFERROR('Price History'!R3+(INDEX('Price History'!R:R,MATCH(9.99E+307,'Returns (Calc)'!$A:$A)+1)-'Price History'!R3)*(ROW()-3)/(MATCH(9.99E+307,'Returns (Calc)'!$A:$A)-3),"")</f>
        <v>42.8479245283019</v>
      </c>
      <c r="AM53" s="155" t="n">
        <f aca="false">IFERROR('Price History'!S3+(INDEX('Price History'!S:S,MATCH(9.99E+307,'Returns (Calc)'!$A:$A)+1)-'Price History'!S3)*(ROW()-3)/(MATCH(9.99E+307,'Returns (Calc)'!$A:$A)-3),"")</f>
        <v>87.0419496855346</v>
      </c>
      <c r="AN53" s="155" t="n">
        <f aca="false">IFERROR('Price History'!T3+(INDEX('Price History'!T:T,MATCH(9.99E+307,'Returns (Calc)'!$A:$A)+1)-'Price History'!T3)*(ROW()-3)/(MATCH(9.99E+307,'Returns (Calc)'!$A:$A)-3),"")</f>
        <v>33.8849685534591</v>
      </c>
      <c r="AO53" s="156" t="n">
        <f aca="false">IFERROR('Price History'!V3+(INDEX('Price History'!V:V,MATCH(9.99E+307,'Returns (Calc)'!$A:$A)+1)-'Price History'!V3)*(ROW()-3)/(MATCH(9.99E+307,'Returns (Calc)'!$A:$A)-3),"")</f>
        <v>282.74320754717</v>
      </c>
      <c r="AP53" s="154" t="n">
        <f aca="false">IFERROR(IF(OR(NOT(ISNUMBER('Price History'!W54)),NOT(ISNUMBER('Price History'!W53)),'Price History'!W53=0),"",'Price History'!W54/'Price History'!W53-1),"")</f>
        <v>-0.0336050573947762</v>
      </c>
      <c r="AQ53" s="154" t="str">
        <f aca="false">IFERROR(IF(OR(NOT(ISNUMBER('Price History'!X54)),NOT(ISNUMBER('Price History'!X53)),'Price History'!X53=0),"",'Price History'!X54/'Price History'!X53-1),"")</f>
        <v/>
      </c>
      <c r="AR53" s="154" t="n">
        <f aca="false">IFERROR(IF(OR(NOT(ISNUMBER('Price History'!Y54)),NOT(ISNUMBER('Price History'!Y53)),'Price History'!Y53=0),"",'Price History'!Y54/'Price History'!Y53-1),"")</f>
        <v>-0.0154064463815122</v>
      </c>
      <c r="AS53" s="154" t="n">
        <f aca="false">IFERROR(IF(OR(NOT(ISNUMBER('Price History'!Z54)),NOT(ISNUMBER('Price History'!Z53)),'Price History'!Z53=0),"",'Price History'!Z54/'Price History'!Z53-1),"")</f>
        <v>-0.0766419122766303</v>
      </c>
      <c r="AT53" s="154" t="n">
        <f aca="false">IFERROR(IF(OR(NOT(ISNUMBER('Price History'!AA54)),NOT(ISNUMBER('Price History'!AA53)),'Price History'!AA53=0),"",'Price History'!AA54/'Price History'!AA53-1),"")</f>
        <v>-0.050755631593955</v>
      </c>
      <c r="AU53" s="154" t="n">
        <f aca="false">IFERROR(IF(OR(NOT(ISNUMBER('Price History'!AB54)),NOT(ISNUMBER('Price History'!AB53)),'Price History'!AB53=0),"",'Price History'!AB54/'Price History'!AB53-1),"")</f>
        <v>-0.00254111994086126</v>
      </c>
    </row>
    <row r="54" customFormat="false" ht="15" hidden="false" customHeight="true" outlineLevel="0" collapsed="false">
      <c r="A54" s="152" t="n">
        <f aca="false">IF('Price History'!A55="","",'Price History'!A55)</f>
        <v>45548</v>
      </c>
      <c r="B54" s="153" t="n">
        <f aca="false">IFERROR(IF(OR(NOT(ISNUMBER('Price History'!B55)),NOT(ISNUMBER('Price History'!B54)),'Price History'!B54=0),"",'Price History'!B55/'Price History'!B54-1),"")</f>
        <v>-0.0471060151577004</v>
      </c>
      <c r="C54" s="153" t="n">
        <f aca="false">IFERROR(IF(OR(NOT(ISNUMBER('Price History'!C55)),NOT(ISNUMBER('Price History'!C54)),'Price History'!C54=0),"",'Price History'!C55/'Price History'!C54-1),"")</f>
        <v>0.14456604734029</v>
      </c>
      <c r="D54" s="153" t="n">
        <f aca="false">IFERROR(IF(OR(NOT(ISNUMBER('Price History'!D55)),NOT(ISNUMBER('Price History'!D54)),'Price History'!D54=0),"",'Price History'!D55/'Price History'!D54-1),"")</f>
        <v>0.0844431238012913</v>
      </c>
      <c r="E54" s="153" t="n">
        <f aca="false">IFERROR(IF(OR(NOT(ISNUMBER('Price History'!E55)),NOT(ISNUMBER('Price History'!E54)),'Price History'!E54=0),"",'Price History'!E55/'Price History'!E54-1),"")</f>
        <v>0.224018475750578</v>
      </c>
      <c r="F54" s="153" t="n">
        <f aca="false">IFERROR(IF(OR(NOT(ISNUMBER('Price History'!F55)),NOT(ISNUMBER('Price History'!F54)),'Price History'!F54=0),"",'Price History'!F55/'Price History'!F54-1),"")</f>
        <v>0.0516233766233767</v>
      </c>
      <c r="G54" s="153" t="n">
        <f aca="false">IFERROR(IF(OR(NOT(ISNUMBER('Price History'!G55)),NOT(ISNUMBER('Price History'!G54)),'Price History'!G54=0),"",'Price History'!G55/'Price History'!G54-1),"")</f>
        <v>0.0693341037122635</v>
      </c>
      <c r="H54" s="153" t="n">
        <f aca="false">IFERROR(IF(OR(NOT(ISNUMBER('Price History'!H55)),NOT(ISNUMBER('Price History'!H54)),'Price History'!H54=0),"",'Price History'!H55/'Price History'!H54-1),"")</f>
        <v>0.0560344827586208</v>
      </c>
      <c r="I54" s="153" t="n">
        <f aca="false">IFERROR(IF(OR(NOT(ISNUMBER('Price History'!I55)),NOT(ISNUMBER('Price History'!I54)),'Price History'!I54=0),"",'Price History'!I55/'Price History'!I54-1),"")</f>
        <v>0.158264261335934</v>
      </c>
      <c r="J54" s="153" t="n">
        <f aca="false">IFERROR(IF(OR(NOT(ISNUMBER('Price History'!J55)),NOT(ISNUMBER('Price History'!J54)),'Price History'!J54=0),"",'Price History'!J55/'Price History'!J54-1),"")</f>
        <v>0.0215863878777618</v>
      </c>
      <c r="K54" s="153" t="n">
        <f aca="false">IFERROR(IF(OR(NOT(ISNUMBER('Price History'!K55)),NOT(ISNUMBER('Price History'!K54)),'Price History'!K54=0),"",'Price History'!K55/'Price History'!K54-1),"")</f>
        <v>0.173425651170458</v>
      </c>
      <c r="L54" s="153" t="n">
        <f aca="false">IFERROR(IF(OR(NOT(ISNUMBER('Price History'!L55)),NOT(ISNUMBER('Price History'!L54)),'Price History'!L54=0),"",'Price History'!L55/'Price History'!L54-1),"")</f>
        <v>0.104013641133264</v>
      </c>
      <c r="M54" s="153" t="n">
        <f aca="false">IFERROR(IF(OR(NOT(ISNUMBER('Price History'!M55)),NOT(ISNUMBER('Price History'!M54)),'Price History'!M54=0),"",'Price History'!M55/'Price History'!M54-1),"")</f>
        <v>0.194886839899413</v>
      </c>
      <c r="N54" s="153" t="n">
        <f aca="false">IFERROR(IF(OR(NOT(ISNUMBER('Price History'!N55)),NOT(ISNUMBER('Price History'!N54)),'Price History'!N54=0),"",'Price History'!N55/'Price History'!N54-1),"")</f>
        <v>0.0371153846153847</v>
      </c>
      <c r="O54" s="153" t="n">
        <f aca="false">IFERROR(IF(OR(NOT(ISNUMBER('Price History'!O55)),NOT(ISNUMBER('Price History'!O54)),'Price History'!O54=0),"",'Price History'!O55/'Price History'!O54-1),"")</f>
        <v>0.0288329519450801</v>
      </c>
      <c r="P54" s="153" t="n">
        <f aca="false">IFERROR(IF(OR(NOT(ISNUMBER('Price History'!P55)),NOT(ISNUMBER('Price History'!P54)),'Price History'!P54=0),"",'Price History'!P55/'Price History'!P54-1),"")</f>
        <v>0.0185369083085072</v>
      </c>
      <c r="Q54" s="153" t="n">
        <f aca="false">IFERROR(IF(OR(NOT(ISNUMBER('Price History'!Q55)),NOT(ISNUMBER('Price History'!Q54)),'Price History'!Q54=0),"",'Price History'!Q55/'Price History'!Q54-1),"")</f>
        <v>0.0259830244240429</v>
      </c>
      <c r="R54" s="153" t="n">
        <f aca="false">IFERROR(IF(OR(NOT(ISNUMBER('Price History'!R55)),NOT(ISNUMBER('Price History'!R54)),'Price History'!R54=0),"",'Price History'!R55/'Price History'!R54-1),"")</f>
        <v>0.0463625154130705</v>
      </c>
      <c r="S54" s="153" t="n">
        <f aca="false">IFERROR(IF(OR(NOT(ISNUMBER('Price History'!S55)),NOT(ISNUMBER('Price History'!S54)),'Price History'!S54=0),"",'Price History'!S55/'Price History'!S54-1),"")</f>
        <v>0.0615533745304737</v>
      </c>
      <c r="T54" s="153" t="n">
        <f aca="false">IFERROR(IF(OR(NOT(ISNUMBER('Price History'!T55)),NOT(ISNUMBER('Price History'!T54)),'Price History'!T54=0),"",'Price History'!T55/'Price History'!T54-1),"")</f>
        <v>0.0252754374594946</v>
      </c>
      <c r="U54" s="153" t="n">
        <f aca="false">IFERROR(IF(OR(NOT(ISNUMBER('Price History'!U55)),NOT(ISNUMBER('Price History'!U54)),'Price History'!U54=0),"",'Price History'!U55/'Price History'!U54-1),"")</f>
        <v>0.0166600555335183</v>
      </c>
      <c r="V54" s="154" t="n">
        <f aca="false">IFERROR(IF(OR(NOT(ISNUMBER('Price History'!V55)),NOT(ISNUMBER('Price History'!V54)),'Price History'!V54=0),"",'Price History'!V55/'Price History'!V54-1),"")</f>
        <v>0.028558971005014</v>
      </c>
      <c r="W54" s="155" t="n">
        <f aca="false">IFERROR('Price History'!B3+(INDEX('Price History'!B:B,MATCH(9.99E+307,'Returns (Calc)'!$A:$A)+1)-'Price History'!B3)*(ROW()-3)/(MATCH(9.99E+307,'Returns (Calc)'!$A:$A)-3),"")</f>
        <v>436.955283018868</v>
      </c>
      <c r="X54" s="155" t="n">
        <f aca="false">IFERROR('Price History'!C3+(INDEX('Price History'!C:C,MATCH(9.99E+307,'Returns (Calc)'!$A:$A)+1)-'Price History'!C3)*(ROW()-3)/(MATCH(9.99E+307,'Returns (Calc)'!$A:$A)-3),"")</f>
        <v>100.887924528302</v>
      </c>
      <c r="Y54" s="155" t="n">
        <f aca="false">IFERROR('Price History'!D3+(INDEX('Price History'!D:D,MATCH(9.99E+307,'Returns (Calc)'!$A:$A)+1)-'Price History'!D3)*(ROW()-3)/(MATCH(9.99E+307,'Returns (Calc)'!$A:$A)-3),"")</f>
        <v>966.38</v>
      </c>
      <c r="Z54" s="155" t="n">
        <f aca="false">IFERROR('Price History'!E3+(INDEX('Price History'!E:E,MATCH(9.99E+307,'Returns (Calc)'!$A:$A)+1)-'Price History'!E3)*(ROW()-3)/(MATCH(9.99E+307,'Returns (Calc)'!$A:$A)-3),"")</f>
        <v>171.663773584906</v>
      </c>
      <c r="AA54" s="155" t="n">
        <f aca="false">IFERROR('Price History'!F3+(INDEX('Price History'!F:F,MATCH(9.99E+307,'Returns (Calc)'!$A:$A)+1)-'Price History'!F3)*(ROW()-3)/(MATCH(9.99E+307,'Returns (Calc)'!$A:$A)-3),"")</f>
        <v>116.313962264151</v>
      </c>
      <c r="AB54" s="155" t="n">
        <f aca="false">IFERROR('Price History'!G3+(INDEX('Price History'!G:G,MATCH(9.99E+307,'Returns (Calc)'!$A:$A)+1)-'Price History'!G3)*(ROW()-3)/(MATCH(9.99E+307,'Returns (Calc)'!$A:$A)-3),"")</f>
        <v>92.8545283018868</v>
      </c>
      <c r="AC54" s="155" t="n">
        <f aca="false">IFERROR('Price History'!H3+(INDEX('Price History'!H:H,MATCH(9.99E+307,'Returns (Calc)'!$A:$A)+1)-'Price History'!H3)*(ROW()-3)/(MATCH(9.99E+307,'Returns (Calc)'!$A:$A)-3),"")</f>
        <v>376.999245283019</v>
      </c>
      <c r="AD54" s="155" t="n">
        <f aca="false">IFERROR('Price History'!I3+(INDEX('Price History'!I:I,MATCH(9.99E+307,'Returns (Calc)'!$A:$A)+1)-'Price History'!I3)*(ROW()-3)/(MATCH(9.99E+307,'Returns (Calc)'!$A:$A)-3),"")</f>
        <v>103.27320754717</v>
      </c>
      <c r="AE54" s="155" t="n">
        <f aca="false">IFERROR('Price History'!J3+(INDEX('Price History'!J:J,MATCH(9.99E+307,'Returns (Calc)'!$A:$A)+1)-'Price History'!J3)*(ROW()-3)/(MATCH(9.99E+307,'Returns (Calc)'!$A:$A)-3),"")</f>
        <v>117.501320754717</v>
      </c>
      <c r="AF54" s="155" t="n">
        <f aca="false">IFERROR('Price History'!K3+(INDEX('Price History'!K:K,MATCH(9.99E+307,'Returns (Calc)'!$A:$A)+1)-'Price History'!K3)*(ROW()-3)/(MATCH(9.99E+307,'Returns (Calc)'!$A:$A)-3),"")</f>
        <v>77.4666037735849</v>
      </c>
      <c r="AG54" s="155" t="n">
        <f aca="false">IFERROR('Price History'!L3+(INDEX('Price History'!L:L,MATCH(9.99E+307,'Returns (Calc)'!$A:$A)+1)-'Price History'!L3)*(ROW()-3)/(MATCH(9.99E+307,'Returns (Calc)'!$A:$A)-3),"")</f>
        <v>203.646603773585</v>
      </c>
      <c r="AH54" s="155" t="n">
        <f aca="false">IFERROR('Price History'!M3+(INDEX('Price History'!M:M,MATCH(9.99E+307,'Returns (Calc)'!$A:$A)+1)-'Price History'!M3)*(ROW()-3)/(MATCH(9.99E+307,'Returns (Calc)'!$A:$A)-3),"")</f>
        <v>103.697735849057</v>
      </c>
      <c r="AI54" s="155" t="n">
        <f aca="false">IFERROR('Price History'!N3+(INDEX('Price History'!N:N,MATCH(9.99E+307,'Returns (Calc)'!$A:$A)+1)-'Price History'!N3)*(ROW()-3)/(MATCH(9.99E+307,'Returns (Calc)'!$A:$A)-3),"")</f>
        <v>400.599245283019</v>
      </c>
      <c r="AJ54" s="155" t="n">
        <f aca="false">IFERROR('Price History'!O3+(INDEX('Price History'!O:O,MATCH(9.99E+307,'Returns (Calc)'!$A:$A)+1)-'Price History'!O3)*(ROW()-3)/(MATCH(9.99E+307,'Returns (Calc)'!$A:$A)-3),"")</f>
        <v>89.5290566037736</v>
      </c>
      <c r="AK54" s="155" t="n">
        <f aca="false">IFERROR('Price History'!Q3+(INDEX('Price History'!Q:Q,MATCH(9.99E+307,'Returns (Calc)'!$A:$A)+1)-'Price History'!Q3)*(ROW()-3)/(MATCH(9.99E+307,'Returns (Calc)'!$A:$A)-3),"")</f>
        <v>22.4432075471698</v>
      </c>
      <c r="AL54" s="155" t="n">
        <f aca="false">IFERROR('Price History'!R3+(INDEX('Price History'!R:R,MATCH(9.99E+307,'Returns (Calc)'!$A:$A)+1)-'Price History'!R3)*(ROW()-3)/(MATCH(9.99E+307,'Returns (Calc)'!$A:$A)-3),"")</f>
        <v>43.0152830188679</v>
      </c>
      <c r="AM54" s="155" t="n">
        <f aca="false">IFERROR('Price History'!S3+(INDEX('Price History'!S:S,MATCH(9.99E+307,'Returns (Calc)'!$A:$A)+1)-'Price History'!S3)*(ROW()-3)/(MATCH(9.99E+307,'Returns (Calc)'!$A:$A)-3),"")</f>
        <v>87.6301886792453</v>
      </c>
      <c r="AN54" s="155" t="n">
        <f aca="false">IFERROR('Price History'!T3+(INDEX('Price History'!T:T,MATCH(9.99E+307,'Returns (Calc)'!$A:$A)+1)-'Price History'!T3)*(ROW()-3)/(MATCH(9.99E+307,'Returns (Calc)'!$A:$A)-3),"")</f>
        <v>34.0588679245283</v>
      </c>
      <c r="AO54" s="156" t="n">
        <f aca="false">IFERROR('Price History'!V3+(INDEX('Price History'!V:V,MATCH(9.99E+307,'Returns (Calc)'!$A:$A)+1)-'Price History'!V3)*(ROW()-3)/(MATCH(9.99E+307,'Returns (Calc)'!$A:$A)-3),"")</f>
        <v>283.685471698113</v>
      </c>
      <c r="AP54" s="154" t="n">
        <f aca="false">IFERROR(IF(OR(NOT(ISNUMBER('Price History'!W55)),NOT(ISNUMBER('Price History'!W54)),'Price History'!W54=0),"",'Price History'!W55/'Price History'!W54-1),"")</f>
        <v>0.0239283869857116</v>
      </c>
      <c r="AQ54" s="154" t="str">
        <f aca="false">IFERROR(IF(OR(NOT(ISNUMBER('Price History'!X55)),NOT(ISNUMBER('Price History'!X54)),'Price History'!X54=0),"",'Price History'!X55/'Price History'!X54-1),"")</f>
        <v/>
      </c>
      <c r="AR54" s="154" t="n">
        <f aca="false">IFERROR(IF(OR(NOT(ISNUMBER('Price History'!Y55)),NOT(ISNUMBER('Price History'!Y54)),'Price History'!Y54=0),"",'Price History'!Y55/'Price History'!Y54-1),"")</f>
        <v>0.0226477249330863</v>
      </c>
      <c r="AS54" s="154" t="n">
        <f aca="false">IFERROR(IF(OR(NOT(ISNUMBER('Price History'!Z55)),NOT(ISNUMBER('Price History'!Z54)),'Price History'!Z54=0),"",'Price History'!Z55/'Price History'!Z54-1),"")</f>
        <v>0.105749293119698</v>
      </c>
      <c r="AT54" s="154" t="n">
        <f aca="false">IFERROR(IF(OR(NOT(ISNUMBER('Price History'!AA55)),NOT(ISNUMBER('Price History'!AA54)),'Price History'!AA54=0),"",'Price History'!AA55/'Price History'!AA54-1),"")</f>
        <v>0.0470111144487833</v>
      </c>
      <c r="AU54" s="154" t="n">
        <f aca="false">IFERROR(IF(OR(NOT(ISNUMBER('Price History'!AB55)),NOT(ISNUMBER('Price History'!AB54)),'Price History'!AB54=0),"",'Price History'!AB55/'Price History'!AB54-1),"")</f>
        <v>0.00954189633609714</v>
      </c>
    </row>
    <row r="55" customFormat="false" ht="15" hidden="false" customHeight="true" outlineLevel="0" collapsed="false">
      <c r="A55" s="152" t="n">
        <f aca="false">IF('Price History'!A56="","",'Price History'!A56)</f>
        <v>45555</v>
      </c>
      <c r="B55" s="153" t="n">
        <f aca="false">IFERROR(IF(OR(NOT(ISNUMBER('Price History'!B56)),NOT(ISNUMBER('Price History'!B55)),'Price History'!B55=0),"",'Price History'!B56/'Price History'!B55-1),"")</f>
        <v>-0.0271387859258294</v>
      </c>
      <c r="C55" s="153" t="n">
        <f aca="false">IFERROR(IF(OR(NOT(ISNUMBER('Price History'!C56)),NOT(ISNUMBER('Price History'!C55)),'Price History'!C55=0),"",'Price History'!C56/'Price History'!C55-1),"")</f>
        <v>0.0686012897487214</v>
      </c>
      <c r="D55" s="153" t="n">
        <f aca="false">IFERROR(IF(OR(NOT(ISNUMBER('Price History'!D56)),NOT(ISNUMBER('Price History'!D55)),'Price History'!D55=0),"",'Price History'!D56/'Price History'!D55-1),"")</f>
        <v>-0.0258189064640678</v>
      </c>
      <c r="E55" s="153" t="n">
        <f aca="false">IFERROR(IF(OR(NOT(ISNUMBER('Price History'!E56)),NOT(ISNUMBER('Price History'!E55)),'Price History'!E55=0),"",'Price History'!E56/'Price History'!E55-1),"")</f>
        <v>0.0236762020693853</v>
      </c>
      <c r="F55" s="153" t="n">
        <f aca="false">IFERROR(IF(OR(NOT(ISNUMBER('Price History'!F56)),NOT(ISNUMBER('Price History'!F55)),'Price History'!F55=0),"",'Price History'!F56/'Price History'!F55-1),"")</f>
        <v>0.157147267675208</v>
      </c>
      <c r="G55" s="153" t="n">
        <f aca="false">IFERROR(IF(OR(NOT(ISNUMBER('Price History'!G56)),NOT(ISNUMBER('Price History'!G55)),'Price History'!G55=0),"",'Price History'!G56/'Price History'!G55-1),"")</f>
        <v>0.00986086721599366</v>
      </c>
      <c r="H55" s="153" t="n">
        <f aca="false">IFERROR(IF(OR(NOT(ISNUMBER('Price History'!H56)),NOT(ISNUMBER('Price History'!H55)),'Price History'!H55=0),"",'Price History'!H56/'Price History'!H55-1),"")</f>
        <v>-0.00353006067291795</v>
      </c>
      <c r="I55" s="153" t="n">
        <f aca="false">IFERROR(IF(OR(NOT(ISNUMBER('Price History'!I56)),NOT(ISNUMBER('Price History'!I55)),'Price History'!I55=0),"",'Price History'!I56/'Price History'!I55-1),"")</f>
        <v>-0.0260144805522815</v>
      </c>
      <c r="J55" s="153" t="n">
        <f aca="false">IFERROR(IF(OR(NOT(ISNUMBER('Price History'!J56)),NOT(ISNUMBER('Price History'!J55)),'Price History'!J55=0),"",'Price History'!J56/'Price History'!J55-1),"")</f>
        <v>-0.0275107722903547</v>
      </c>
      <c r="K55" s="153" t="n">
        <f aca="false">IFERROR(IF(OR(NOT(ISNUMBER('Price History'!K56)),NOT(ISNUMBER('Price History'!K55)),'Price History'!K55=0),"",'Price History'!K56/'Price History'!K55-1),"")</f>
        <v>0.0452374262433268</v>
      </c>
      <c r="L55" s="153" t="n">
        <f aca="false">IFERROR(IF(OR(NOT(ISNUMBER('Price History'!L56)),NOT(ISNUMBER('Price History'!L55)),'Price History'!L55=0),"",'Price History'!L56/'Price History'!L55-1),"")</f>
        <v>0.00920755613639046</v>
      </c>
      <c r="M55" s="153" t="n">
        <f aca="false">IFERROR(IF(OR(NOT(ISNUMBER('Price History'!M56)),NOT(ISNUMBER('Price History'!M55)),'Price History'!M55=0),"",'Price History'!M56/'Price History'!M55-1),"")</f>
        <v>0.102654039518298</v>
      </c>
      <c r="N55" s="153" t="n">
        <f aca="false">IFERROR(IF(OR(NOT(ISNUMBER('Price History'!N56)),NOT(ISNUMBER('Price History'!N55)),'Price History'!N55=0),"",'Price History'!N56/'Price History'!N55-1),"")</f>
        <v>-0.0421328059006531</v>
      </c>
      <c r="O55" s="153" t="n">
        <f aca="false">IFERROR(IF(OR(NOT(ISNUMBER('Price History'!O56)),NOT(ISNUMBER('Price History'!O55)),'Price History'!O55=0),"",'Price History'!O56/'Price History'!O55-1),"")</f>
        <v>0.0302491103202847</v>
      </c>
      <c r="P55" s="153" t="n">
        <f aca="false">IFERROR(IF(OR(NOT(ISNUMBER('Price History'!P56)),NOT(ISNUMBER('Price History'!P55)),'Price History'!P55=0),"",'Price History'!P56/'Price History'!P55-1),"")</f>
        <v>0.0121059473513161</v>
      </c>
      <c r="Q55" s="153" t="n">
        <f aca="false">IFERROR(IF(OR(NOT(ISNUMBER('Price History'!Q56)),NOT(ISNUMBER('Price History'!Q55)),'Price History'!Q55=0),"",'Price History'!Q56/'Price History'!Q55-1),"")</f>
        <v>0.00827283471213924</v>
      </c>
      <c r="R55" s="153" t="n">
        <f aca="false">IFERROR(IF(OR(NOT(ISNUMBER('Price History'!R56)),NOT(ISNUMBER('Price History'!R55)),'Price History'!R55=0),"",'Price History'!R56/'Price History'!R55-1),"")</f>
        <v>0.0124911619137402</v>
      </c>
      <c r="S55" s="153" t="n">
        <f aca="false">IFERROR(IF(OR(NOT(ISNUMBER('Price History'!S56)),NOT(ISNUMBER('Price History'!S55)),'Price History'!S55=0),"",'Price History'!S56/'Price History'!S55-1),"")</f>
        <v>0.0162081954114828</v>
      </c>
      <c r="T55" s="153" t="n">
        <f aca="false">IFERROR(IF(OR(NOT(ISNUMBER('Price History'!T56)),NOT(ISNUMBER('Price History'!T55)),'Price History'!T55=0),"",'Price History'!T56/'Price History'!T55-1),"")</f>
        <v>0.0173830594184576</v>
      </c>
      <c r="U55" s="153" t="n">
        <f aca="false">IFERROR(IF(OR(NOT(ISNUMBER('Price History'!U56)),NOT(ISNUMBER('Price History'!U55)),'Price History'!U55=0),"",'Price History'!U56/'Price History'!U55-1),"")</f>
        <v>0.0132657042528288</v>
      </c>
      <c r="V55" s="154" t="n">
        <f aca="false">IFERROR(IF(OR(NOT(ISNUMBER('Price History'!V56)),NOT(ISNUMBER('Price History'!V55)),'Price History'!V55=0),"",'Price History'!V56/'Price History'!V55-1),"")</f>
        <v>-0.00897272855729814</v>
      </c>
      <c r="W55" s="155" t="n">
        <f aca="false">IFERROR('Price History'!B3+(INDEX('Price History'!B:B,MATCH(9.99E+307,'Returns (Calc)'!$A:$A)+1)-'Price History'!B3)*(ROW()-3)/(MATCH(9.99E+307,'Returns (Calc)'!$A:$A)-3),"")</f>
        <v>435.152641509434</v>
      </c>
      <c r="X55" s="155" t="n">
        <f aca="false">IFERROR('Price History'!C3+(INDEX('Price History'!C:C,MATCH(9.99E+307,'Returns (Calc)'!$A:$A)+1)-'Price History'!C3)*(ROW()-3)/(MATCH(9.99E+307,'Returns (Calc)'!$A:$A)-3),"")</f>
        <v>101.960628930818</v>
      </c>
      <c r="Y55" s="155" t="n">
        <f aca="false">IFERROR('Price History'!D3+(INDEX('Price History'!D:D,MATCH(9.99E+307,'Returns (Calc)'!$A:$A)+1)-'Price History'!D3)*(ROW()-3)/(MATCH(9.99E+307,'Returns (Calc)'!$A:$A)-3),"")</f>
        <v>973.916666666667</v>
      </c>
      <c r="Z55" s="155" t="n">
        <f aca="false">IFERROR('Price History'!E3+(INDEX('Price History'!E:E,MATCH(9.99E+307,'Returns (Calc)'!$A:$A)+1)-'Price History'!E3)*(ROW()-3)/(MATCH(9.99E+307,'Returns (Calc)'!$A:$A)-3),"")</f>
        <v>173.421886792453</v>
      </c>
      <c r="AA55" s="155" t="n">
        <f aca="false">IFERROR('Price History'!F3+(INDEX('Price History'!F:F,MATCH(9.99E+307,'Returns (Calc)'!$A:$A)+1)-'Price History'!F3)*(ROW()-3)/(MATCH(9.99E+307,'Returns (Calc)'!$A:$A)-3),"")</f>
        <v>117.783647798742</v>
      </c>
      <c r="AB55" s="155" t="n">
        <f aca="false">IFERROR('Price History'!G3+(INDEX('Price History'!G:G,MATCH(9.99E+307,'Returns (Calc)'!$A:$A)+1)-'Price History'!G3)*(ROW()-3)/(MATCH(9.99E+307,'Returns (Calc)'!$A:$A)-3),"")</f>
        <v>93.8055974842767</v>
      </c>
      <c r="AC55" s="155" t="n">
        <f aca="false">IFERROR('Price History'!H3+(INDEX('Price History'!H:H,MATCH(9.99E+307,'Returns (Calc)'!$A:$A)+1)-'Price History'!H3)*(ROW()-3)/(MATCH(9.99E+307,'Returns (Calc)'!$A:$A)-3),"")</f>
        <v>383.036289308176</v>
      </c>
      <c r="AD55" s="155" t="n">
        <f aca="false">IFERROR('Price History'!I3+(INDEX('Price History'!I:I,MATCH(9.99E+307,'Returns (Calc)'!$A:$A)+1)-'Price History'!I3)*(ROW()-3)/(MATCH(9.99E+307,'Returns (Calc)'!$A:$A)-3),"")</f>
        <v>104.439937106918</v>
      </c>
      <c r="AE55" s="155" t="n">
        <f aca="false">IFERROR('Price History'!J3+(INDEX('Price History'!J:J,MATCH(9.99E+307,'Returns (Calc)'!$A:$A)+1)-'Price History'!J3)*(ROW()-3)/(MATCH(9.99E+307,'Returns (Calc)'!$A:$A)-3),"")</f>
        <v>117.612327044025</v>
      </c>
      <c r="AF55" s="155" t="n">
        <f aca="false">IFERROR('Price History'!K3+(INDEX('Price History'!K:K,MATCH(9.99E+307,'Returns (Calc)'!$A:$A)+1)-'Price History'!K3)*(ROW()-3)/(MATCH(9.99E+307,'Returns (Calc)'!$A:$A)-3),"")</f>
        <v>78.6849685534591</v>
      </c>
      <c r="AG55" s="155" t="n">
        <f aca="false">IFERROR('Price History'!L3+(INDEX('Price History'!L:L,MATCH(9.99E+307,'Returns (Calc)'!$A:$A)+1)-'Price History'!L3)*(ROW()-3)/(MATCH(9.99E+307,'Returns (Calc)'!$A:$A)-3),"")</f>
        <v>205.958301886792</v>
      </c>
      <c r="AH55" s="155" t="n">
        <f aca="false">IFERROR('Price History'!M3+(INDEX('Price History'!M:M,MATCH(9.99E+307,'Returns (Calc)'!$A:$A)+1)-'Price History'!M3)*(ROW()-3)/(MATCH(9.99E+307,'Returns (Calc)'!$A:$A)-3),"")</f>
        <v>104.985534591195</v>
      </c>
      <c r="AI55" s="155" t="n">
        <f aca="false">IFERROR('Price History'!N3+(INDEX('Price History'!N:N,MATCH(9.99E+307,'Returns (Calc)'!$A:$A)+1)-'Price History'!N3)*(ROW()-3)/(MATCH(9.99E+307,'Returns (Calc)'!$A:$A)-3),"")</f>
        <v>401.612955974843</v>
      </c>
      <c r="AJ55" s="155" t="n">
        <f aca="false">IFERROR('Price History'!O3+(INDEX('Price History'!O:O,MATCH(9.99E+307,'Returns (Calc)'!$A:$A)+1)-'Price History'!O3)*(ROW()-3)/(MATCH(9.99E+307,'Returns (Calc)'!$A:$A)-3),"")</f>
        <v>89.8078616352201</v>
      </c>
      <c r="AK55" s="155" t="n">
        <f aca="false">IFERROR('Price History'!Q3+(INDEX('Price History'!Q:Q,MATCH(9.99E+307,'Returns (Calc)'!$A:$A)+1)-'Price History'!Q3)*(ROW()-3)/(MATCH(9.99E+307,'Returns (Calc)'!$A:$A)-3),"")</f>
        <v>22.8832704402516</v>
      </c>
      <c r="AL55" s="155" t="n">
        <f aca="false">IFERROR('Price History'!R3+(INDEX('Price History'!R:R,MATCH(9.99E+307,'Returns (Calc)'!$A:$A)+1)-'Price History'!R3)*(ROW()-3)/(MATCH(9.99E+307,'Returns (Calc)'!$A:$A)-3),"")</f>
        <v>43.182641509434</v>
      </c>
      <c r="AM55" s="155" t="n">
        <f aca="false">IFERROR('Price History'!S3+(INDEX('Price History'!S:S,MATCH(9.99E+307,'Returns (Calc)'!$A:$A)+1)-'Price History'!S3)*(ROW()-3)/(MATCH(9.99E+307,'Returns (Calc)'!$A:$A)-3),"")</f>
        <v>88.218427672956</v>
      </c>
      <c r="AN55" s="155" t="n">
        <f aca="false">IFERROR('Price History'!T3+(INDEX('Price History'!T:T,MATCH(9.99E+307,'Returns (Calc)'!$A:$A)+1)-'Price History'!T3)*(ROW()-3)/(MATCH(9.99E+307,'Returns (Calc)'!$A:$A)-3),"")</f>
        <v>34.2327672955975</v>
      </c>
      <c r="AO55" s="156" t="n">
        <f aca="false">IFERROR('Price History'!V3+(INDEX('Price History'!V:V,MATCH(9.99E+307,'Returns (Calc)'!$A:$A)+1)-'Price History'!V3)*(ROW()-3)/(MATCH(9.99E+307,'Returns (Calc)'!$A:$A)-3),"")</f>
        <v>284.627735849057</v>
      </c>
      <c r="AP55" s="154" t="n">
        <f aca="false">IFERROR(IF(OR(NOT(ISNUMBER('Price History'!W56)),NOT(ISNUMBER('Price History'!W55)),'Price History'!W55=0),"",'Price History'!W56/'Price History'!W55-1),"")</f>
        <v>0.0145427034297243</v>
      </c>
      <c r="AQ55" s="154" t="str">
        <f aca="false">IFERROR(IF(OR(NOT(ISNUMBER('Price History'!X56)),NOT(ISNUMBER('Price History'!X55)),'Price History'!X55=0),"",'Price History'!X56/'Price History'!X55-1),"")</f>
        <v/>
      </c>
      <c r="AR55" s="154" t="n">
        <f aca="false">IFERROR(IF(OR(NOT(ISNUMBER('Price History'!Y56)),NOT(ISNUMBER('Price History'!Y55)),'Price History'!Y55=0),"",'Price History'!Y56/'Price History'!Y55-1),"")</f>
        <v>0.0054358767867928</v>
      </c>
      <c r="AS55" s="154" t="n">
        <f aca="false">IFERROR(IF(OR(NOT(ISNUMBER('Price History'!Z56)),NOT(ISNUMBER('Price History'!Z55)),'Price History'!Z55=0),"",'Price History'!Z56/'Price History'!Z55-1),"")</f>
        <v>0.0513126491646778</v>
      </c>
      <c r="AT55" s="154" t="n">
        <f aca="false">IFERROR(IF(OR(NOT(ISNUMBER('Price History'!AA56)),NOT(ISNUMBER('Price History'!AA55)),'Price History'!AA55=0),"",'Price History'!AA56/'Price History'!AA55-1),"")</f>
        <v>0.00559460622579255</v>
      </c>
      <c r="AU55" s="154" t="n">
        <f aca="false">IFERROR(IF(OR(NOT(ISNUMBER('Price History'!AB56)),NOT(ISNUMBER('Price History'!AB55)),'Price History'!AB55=0),"",'Price History'!AB56/'Price History'!AB55-1),"")</f>
        <v>-0.0140857994952971</v>
      </c>
    </row>
    <row r="56" customFormat="false" ht="15" hidden="false" customHeight="true" outlineLevel="0" collapsed="false">
      <c r="A56" s="152" t="n">
        <f aca="false">IF('Price History'!A57="","",'Price History'!A57)</f>
        <v>45562</v>
      </c>
      <c r="B56" s="153" t="n">
        <f aca="false">IFERROR(IF(OR(NOT(ISNUMBER('Price History'!B57)),NOT(ISNUMBER('Price History'!B56)),'Price History'!B56=0),"",'Price History'!B57/'Price History'!B56-1),"")</f>
        <v>-0.0130576297147232</v>
      </c>
      <c r="C56" s="153" t="n">
        <f aca="false">IFERROR(IF(OR(NOT(ISNUMBER('Price History'!C57)),NOT(ISNUMBER('Price History'!C56)),'Price History'!C56=0),"",'Price History'!C57/'Price History'!C56-1),"")</f>
        <v>-0.0108209343460619</v>
      </c>
      <c r="D56" s="153" t="n">
        <f aca="false">IFERROR(IF(OR(NOT(ISNUMBER('Price History'!D57)),NOT(ISNUMBER('Price History'!D56)),'Price History'!D56=0),"",'Price History'!D57/'Price History'!D56-1),"")</f>
        <v>0.0581714972448444</v>
      </c>
      <c r="E56" s="153" t="n">
        <f aca="false">IFERROR(IF(OR(NOT(ISNUMBER('Price History'!E57)),NOT(ISNUMBER('Price History'!E56)),'Price History'!E56=0),"",'Price History'!E57/'Price History'!E56-1),"")</f>
        <v>0.00927522444854034</v>
      </c>
      <c r="F56" s="153" t="n">
        <f aca="false">IFERROR(IF(OR(NOT(ISNUMBER('Price History'!F57)),NOT(ISNUMBER('Price History'!F56)),'Price History'!F56=0),"",'Price History'!F57/'Price History'!F56-1),"")</f>
        <v>-0.0466915688367129</v>
      </c>
      <c r="G56" s="153" t="n">
        <f aca="false">IFERROR(IF(OR(NOT(ISNUMBER('Price History'!G57)),NOT(ISNUMBER('Price History'!G56)),'Price History'!G56=0),"",'Price History'!G57/'Price History'!G56-1),"")</f>
        <v>0.0310326377742107</v>
      </c>
      <c r="H56" s="153" t="n">
        <f aca="false">IFERROR(IF(OR(NOT(ISNUMBER('Price History'!H57)),NOT(ISNUMBER('Price History'!H56)),'Price History'!H56=0),"",'Price History'!H57/'Price History'!H56-1),"")</f>
        <v>0.182663566921289</v>
      </c>
      <c r="I56" s="153" t="n">
        <f aca="false">IFERROR(IF(OR(NOT(ISNUMBER('Price History'!I57)),NOT(ISNUMBER('Price History'!I56)),'Price History'!I56=0),"",'Price History'!I57/'Price History'!I56-1),"")</f>
        <v>0.0465900250669893</v>
      </c>
      <c r="J56" s="153" t="n">
        <f aca="false">IFERROR(IF(OR(NOT(ISNUMBER('Price History'!J57)),NOT(ISNUMBER('Price History'!J56)),'Price History'!J56=0),"",'Price History'!J57/'Price History'!J56-1),"")</f>
        <v>0.000937286980231766</v>
      </c>
      <c r="K56" s="153" t="n">
        <f aca="false">IFERROR(IF(OR(NOT(ISNUMBER('Price History'!K57)),NOT(ISNUMBER('Price History'!K56)),'Price History'!K56=0),"",'Price History'!K57/'Price History'!K56-1),"")</f>
        <v>-0.00967741935483868</v>
      </c>
      <c r="L56" s="153" t="n">
        <f aca="false">IFERROR(IF(OR(NOT(ISNUMBER('Price History'!L57)),NOT(ISNUMBER('Price History'!L56)),'Price History'!L56=0),"",'Price History'!L57/'Price History'!L56-1),"")</f>
        <v>0.0223085525928544</v>
      </c>
      <c r="M56" s="153" t="n">
        <f aca="false">IFERROR(IF(OR(NOT(ISNUMBER('Price History'!M57)),NOT(ISNUMBER('Price History'!M56)),'Price History'!M56=0),"",'Price History'!M57/'Price History'!M56-1),"")</f>
        <v>0.0409288516594211</v>
      </c>
      <c r="N56" s="153" t="n">
        <f aca="false">IFERROR(IF(OR(NOT(ISNUMBER('Price History'!N57)),NOT(ISNUMBER('Price History'!N56)),'Price History'!N56=0),"",'Price History'!N57/'Price History'!N56-1),"")</f>
        <v>-0.00438785167340627</v>
      </c>
      <c r="O56" s="153" t="n">
        <f aca="false">IFERROR(IF(OR(NOT(ISNUMBER('Price History'!O57)),NOT(ISNUMBER('Price History'!O56)),'Price History'!O56=0),"",'Price History'!O57/'Price History'!O56-1),"")</f>
        <v>0.000431778929188331</v>
      </c>
      <c r="P56" s="153" t="n">
        <f aca="false">IFERROR(IF(OR(NOT(ISNUMBER('Price History'!P57)),NOT(ISNUMBER('Price History'!P56)),'Price History'!P56=0),"",'Price History'!P57/'Price History'!P56-1),"")</f>
        <v>0.00770651039576142</v>
      </c>
      <c r="Q56" s="153" t="n">
        <f aca="false">IFERROR(IF(OR(NOT(ISNUMBER('Price History'!Q57)),NOT(ISNUMBER('Price History'!Q56)),'Price History'!Q56=0),"",'Price History'!Q57/'Price History'!Q56-1),"")</f>
        <v>0.0068653717347622</v>
      </c>
      <c r="R56" s="153" t="n">
        <f aca="false">IFERROR(IF(OR(NOT(ISNUMBER('Price History'!R57)),NOT(ISNUMBER('Price History'!R56)),'Price History'!R56=0),"",'Price History'!R57/'Price History'!R56-1),"")</f>
        <v>0.00698324022346353</v>
      </c>
      <c r="S56" s="153" t="n">
        <f aca="false">IFERROR(IF(OR(NOT(ISNUMBER('Price History'!S57)),NOT(ISNUMBER('Price History'!S56)),'Price History'!S56=0),"",'Price History'!S57/'Price History'!S56-1),"")</f>
        <v>-0.00134786027181855</v>
      </c>
      <c r="T56" s="153" t="n">
        <f aca="false">IFERROR(IF(OR(NOT(ISNUMBER('Price History'!T57)),NOT(ISNUMBER('Price History'!T56)),'Price History'!T56=0),"",'Price History'!T57/'Price History'!T56-1),"")</f>
        <v>0.00217458838148499</v>
      </c>
      <c r="U56" s="153" t="n">
        <f aca="false">IFERROR(IF(OR(NOT(ISNUMBER('Price History'!U57)),NOT(ISNUMBER('Price History'!U56)),'Price History'!U56=0),"",'Price History'!U57/'Price History'!U56-1),"")</f>
        <v>0.00616095494801705</v>
      </c>
      <c r="V56" s="154" t="n">
        <f aca="false">IFERROR(IF(OR(NOT(ISNUMBER('Price History'!V57)),NOT(ISNUMBER('Price History'!V56)),'Price History'!V56=0),"",'Price History'!V57/'Price History'!V56-1),"")</f>
        <v>-0.0337206815427391</v>
      </c>
      <c r="W56" s="155" t="n">
        <f aca="false">IFERROR('Price History'!B3+(INDEX('Price History'!B:B,MATCH(9.99E+307,'Returns (Calc)'!$A:$A)+1)-'Price History'!B3)*(ROW()-3)/(MATCH(9.99E+307,'Returns (Calc)'!$A:$A)-3),"")</f>
        <v>433.35</v>
      </c>
      <c r="X56" s="155" t="n">
        <f aca="false">IFERROR('Price History'!C3+(INDEX('Price History'!C:C,MATCH(9.99E+307,'Returns (Calc)'!$A:$A)+1)-'Price History'!C3)*(ROW()-3)/(MATCH(9.99E+307,'Returns (Calc)'!$A:$A)-3),"")</f>
        <v>103.033333333333</v>
      </c>
      <c r="Y56" s="155" t="n">
        <f aca="false">IFERROR('Price History'!D3+(INDEX('Price History'!D:D,MATCH(9.99E+307,'Returns (Calc)'!$A:$A)+1)-'Price History'!D3)*(ROW()-3)/(MATCH(9.99E+307,'Returns (Calc)'!$A:$A)-3),"")</f>
        <v>981.453333333333</v>
      </c>
      <c r="Z56" s="155" t="n">
        <f aca="false">IFERROR('Price History'!E3+(INDEX('Price History'!E:E,MATCH(9.99E+307,'Returns (Calc)'!$A:$A)+1)-'Price History'!E3)*(ROW()-3)/(MATCH(9.99E+307,'Returns (Calc)'!$A:$A)-3),"")</f>
        <v>175.18</v>
      </c>
      <c r="AA56" s="155" t="n">
        <f aca="false">IFERROR('Price History'!F3+(INDEX('Price History'!F:F,MATCH(9.99E+307,'Returns (Calc)'!$A:$A)+1)-'Price History'!F3)*(ROW()-3)/(MATCH(9.99E+307,'Returns (Calc)'!$A:$A)-3),"")</f>
        <v>119.253333333333</v>
      </c>
      <c r="AB56" s="155" t="n">
        <f aca="false">IFERROR('Price History'!G3+(INDEX('Price History'!G:G,MATCH(9.99E+307,'Returns (Calc)'!$A:$A)+1)-'Price History'!G3)*(ROW()-3)/(MATCH(9.99E+307,'Returns (Calc)'!$A:$A)-3),"")</f>
        <v>94.7566666666667</v>
      </c>
      <c r="AC56" s="155" t="n">
        <f aca="false">IFERROR('Price History'!H3+(INDEX('Price History'!H:H,MATCH(9.99E+307,'Returns (Calc)'!$A:$A)+1)-'Price History'!H3)*(ROW()-3)/(MATCH(9.99E+307,'Returns (Calc)'!$A:$A)-3),"")</f>
        <v>389.073333333333</v>
      </c>
      <c r="AD56" s="155" t="n">
        <f aca="false">IFERROR('Price History'!I3+(INDEX('Price History'!I:I,MATCH(9.99E+307,'Returns (Calc)'!$A:$A)+1)-'Price History'!I3)*(ROW()-3)/(MATCH(9.99E+307,'Returns (Calc)'!$A:$A)-3),"")</f>
        <v>105.606666666667</v>
      </c>
      <c r="AE56" s="155" t="n">
        <f aca="false">IFERROR('Price History'!J3+(INDEX('Price History'!J:J,MATCH(9.99E+307,'Returns (Calc)'!$A:$A)+1)-'Price History'!J3)*(ROW()-3)/(MATCH(9.99E+307,'Returns (Calc)'!$A:$A)-3),"")</f>
        <v>117.723333333333</v>
      </c>
      <c r="AF56" s="155" t="n">
        <f aca="false">IFERROR('Price History'!K3+(INDEX('Price History'!K:K,MATCH(9.99E+307,'Returns (Calc)'!$A:$A)+1)-'Price History'!K3)*(ROW()-3)/(MATCH(9.99E+307,'Returns (Calc)'!$A:$A)-3),"")</f>
        <v>79.9033333333333</v>
      </c>
      <c r="AG56" s="155" t="n">
        <f aca="false">IFERROR('Price History'!L3+(INDEX('Price History'!L:L,MATCH(9.99E+307,'Returns (Calc)'!$A:$A)+1)-'Price History'!L3)*(ROW()-3)/(MATCH(9.99E+307,'Returns (Calc)'!$A:$A)-3),"")</f>
        <v>208.27</v>
      </c>
      <c r="AH56" s="155" t="n">
        <f aca="false">IFERROR('Price History'!M3+(INDEX('Price History'!M:M,MATCH(9.99E+307,'Returns (Calc)'!$A:$A)+1)-'Price History'!M3)*(ROW()-3)/(MATCH(9.99E+307,'Returns (Calc)'!$A:$A)-3),"")</f>
        <v>106.273333333333</v>
      </c>
      <c r="AI56" s="155" t="n">
        <f aca="false">IFERROR('Price History'!N3+(INDEX('Price History'!N:N,MATCH(9.99E+307,'Returns (Calc)'!$A:$A)+1)-'Price History'!N3)*(ROW()-3)/(MATCH(9.99E+307,'Returns (Calc)'!$A:$A)-3),"")</f>
        <v>402.626666666667</v>
      </c>
      <c r="AJ56" s="155" t="n">
        <f aca="false">IFERROR('Price History'!O3+(INDEX('Price History'!O:O,MATCH(9.99E+307,'Returns (Calc)'!$A:$A)+1)-'Price History'!O3)*(ROW()-3)/(MATCH(9.99E+307,'Returns (Calc)'!$A:$A)-3),"")</f>
        <v>90.0866666666667</v>
      </c>
      <c r="AK56" s="155" t="n">
        <f aca="false">IFERROR('Price History'!Q3+(INDEX('Price History'!Q:Q,MATCH(9.99E+307,'Returns (Calc)'!$A:$A)+1)-'Price History'!Q3)*(ROW()-3)/(MATCH(9.99E+307,'Returns (Calc)'!$A:$A)-3),"")</f>
        <v>23.3233333333333</v>
      </c>
      <c r="AL56" s="155" t="n">
        <f aca="false">IFERROR('Price History'!R3+(INDEX('Price History'!R:R,MATCH(9.99E+307,'Returns (Calc)'!$A:$A)+1)-'Price History'!R3)*(ROW()-3)/(MATCH(9.99E+307,'Returns (Calc)'!$A:$A)-3),"")</f>
        <v>43.35</v>
      </c>
      <c r="AM56" s="155" t="n">
        <f aca="false">IFERROR('Price History'!S3+(INDEX('Price History'!S:S,MATCH(9.99E+307,'Returns (Calc)'!$A:$A)+1)-'Price History'!S3)*(ROW()-3)/(MATCH(9.99E+307,'Returns (Calc)'!$A:$A)-3),"")</f>
        <v>88.8066666666667</v>
      </c>
      <c r="AN56" s="155" t="n">
        <f aca="false">IFERROR('Price History'!T3+(INDEX('Price History'!T:T,MATCH(9.99E+307,'Returns (Calc)'!$A:$A)+1)-'Price History'!T3)*(ROW()-3)/(MATCH(9.99E+307,'Returns (Calc)'!$A:$A)-3),"")</f>
        <v>34.4066666666667</v>
      </c>
      <c r="AO56" s="156" t="n">
        <f aca="false">IFERROR('Price History'!V3+(INDEX('Price History'!V:V,MATCH(9.99E+307,'Returns (Calc)'!$A:$A)+1)-'Price History'!V3)*(ROW()-3)/(MATCH(9.99E+307,'Returns (Calc)'!$A:$A)-3),"")</f>
        <v>285.57</v>
      </c>
      <c r="AP56" s="154" t="n">
        <f aca="false">IFERROR(IF(OR(NOT(ISNUMBER('Price History'!W57)),NOT(ISNUMBER('Price History'!W56)),'Price History'!W56=0),"",'Price History'!W57/'Price History'!W56-1),"")</f>
        <v>0.00596569724086504</v>
      </c>
      <c r="AQ56" s="154" t="str">
        <f aca="false">IFERROR(IF(OR(NOT(ISNUMBER('Price History'!X57)),NOT(ISNUMBER('Price History'!X56)),'Price History'!X56=0),"",'Price History'!X57/'Price History'!X56-1),"")</f>
        <v/>
      </c>
      <c r="AR56" s="154" t="n">
        <f aca="false">IFERROR(IF(OR(NOT(ISNUMBER('Price History'!Y57)),NOT(ISNUMBER('Price History'!Y56)),'Price History'!Y56=0),"",'Price History'!Y57/'Price History'!Y56-1),"")</f>
        <v>0.00440528634361237</v>
      </c>
      <c r="AS56" s="154" t="n">
        <f aca="false">IFERROR(IF(OR(NOT(ISNUMBER('Price History'!Z57)),NOT(ISNUMBER('Price History'!Z56)),'Price History'!Z56=0),"",'Price History'!Z57/'Price History'!Z56-1),"")</f>
        <v>-0.00951299929733518</v>
      </c>
      <c r="AT56" s="154" t="n">
        <f aca="false">IFERROR(IF(OR(NOT(ISNUMBER('Price History'!AA57)),NOT(ISNUMBER('Price History'!AA56)),'Price History'!AA56=0),"",'Price History'!AA57/'Price History'!AA56-1),"")</f>
        <v>0.00912981455064199</v>
      </c>
      <c r="AU56" s="154" t="n">
        <f aca="false">IFERROR(IF(OR(NOT(ISNUMBER('Price History'!AB57)),NOT(ISNUMBER('Price History'!AB56)),'Price History'!AB56=0),"",'Price History'!AB57/'Price History'!AB56-1),"")</f>
        <v>-0.0187546537602383</v>
      </c>
    </row>
    <row r="57" customFormat="false" ht="15" hidden="false" customHeight="true" outlineLevel="0" collapsed="false">
      <c r="A57" s="152" t="n">
        <f aca="false">IF('Price History'!A58="","",'Price History'!A58)</f>
        <v>45569</v>
      </c>
      <c r="B57" s="153" t="n">
        <f aca="false">IFERROR(IF(OR(NOT(ISNUMBER('Price History'!B58)),NOT(ISNUMBER('Price History'!B57)),'Price History'!B57=0),"",'Price History'!B58/'Price History'!B57-1),"")</f>
        <v>-0.0160239000543183</v>
      </c>
      <c r="C57" s="153" t="n">
        <f aca="false">IFERROR(IF(OR(NOT(ISNUMBER('Price History'!C58)),NOT(ISNUMBER('Price History'!C57)),'Price History'!C57=0),"",'Price History'!C58/'Price History'!C57-1),"")</f>
        <v>0.0412327758493742</v>
      </c>
      <c r="D57" s="153" t="n">
        <f aca="false">IFERROR(IF(OR(NOT(ISNUMBER('Price History'!D58)),NOT(ISNUMBER('Price History'!D57)),'Price History'!D57=0),"",'Price History'!D58/'Price History'!D57-1),"")</f>
        <v>-0.0101489724165428</v>
      </c>
      <c r="E57" s="153" t="n">
        <f aca="false">IFERROR(IF(OR(NOT(ISNUMBER('Price History'!E58)),NOT(ISNUMBER('Price History'!E57)),'Price History'!E57=0),"",'Price History'!E58/'Price History'!E57-1),"")</f>
        <v>0.0228571428571429</v>
      </c>
      <c r="F57" s="153" t="n">
        <f aca="false">IFERROR(IF(OR(NOT(ISNUMBER('Price History'!F58)),NOT(ISNUMBER('Price History'!F57)),'Price History'!F57=0),"",'Price History'!F58/'Price History'!F57-1),"")</f>
        <v>0.0223901483347329</v>
      </c>
      <c r="G57" s="153" t="n">
        <f aca="false">IFERROR(IF(OR(NOT(ISNUMBER('Price History'!G58)),NOT(ISNUMBER('Price History'!G57)),'Price History'!G57=0),"",'Price History'!G58/'Price History'!G57-1),"")</f>
        <v>0.0063570316554229</v>
      </c>
      <c r="H57" s="153" t="n">
        <f aca="false">IFERROR(IF(OR(NOT(ISNUMBER('Price History'!H58)),NOT(ISNUMBER('Price History'!H57)),'Price History'!H57=0),"",'Price History'!H58/'Price History'!H57-1),"")</f>
        <v>-0.0488626790227464</v>
      </c>
      <c r="I57" s="153" t="n">
        <f aca="false">IFERROR(IF(OR(NOT(ISNUMBER('Price History'!I58)),NOT(ISNUMBER('Price History'!I57)),'Price History'!I57=0),"",'Price History'!I58/'Price History'!I57-1),"")</f>
        <v>0.0289890981169476</v>
      </c>
      <c r="J57" s="153" t="n">
        <f aca="false">IFERROR(IF(OR(NOT(ISNUMBER('Price History'!J58)),NOT(ISNUMBER('Price History'!J57)),'Price History'!J57=0),"",'Price History'!J58/'Price History'!J57-1),"")</f>
        <v>-0.0251979228739252</v>
      </c>
      <c r="K57" s="153" t="n">
        <f aca="false">IFERROR(IF(OR(NOT(ISNUMBER('Price History'!K58)),NOT(ISNUMBER('Price History'!K57)),'Price History'!K57=0),"",'Price History'!K58/'Price History'!K57-1),"")</f>
        <v>0.0860477741585233</v>
      </c>
      <c r="L57" s="153" t="n">
        <f aca="false">IFERROR(IF(OR(NOT(ISNUMBER('Price History'!L58)),NOT(ISNUMBER('Price History'!L57)),'Price History'!L57=0),"",'Price History'!L58/'Price History'!L57-1),"")</f>
        <v>0.0179640718562875</v>
      </c>
      <c r="M57" s="153" t="n">
        <f aca="false">IFERROR(IF(OR(NOT(ISNUMBER('Price History'!M58)),NOT(ISNUMBER('Price History'!M57)),'Price History'!M57=0),"",'Price History'!M58/'Price History'!M57-1),"")</f>
        <v>0.0690638687990222</v>
      </c>
      <c r="N57" s="153" t="n">
        <f aca="false">IFERROR(IF(OR(NOT(ISNUMBER('Price History'!N58)),NOT(ISNUMBER('Price History'!N57)),'Price History'!N57=0),"",'Price History'!N58/'Price History'!N57-1),"")</f>
        <v>-0.0163541306602143</v>
      </c>
      <c r="O57" s="153" t="n">
        <f aca="false">IFERROR(IF(OR(NOT(ISNUMBER('Price History'!O58)),NOT(ISNUMBER('Price History'!O57)),'Price History'!O57=0),"",'Price History'!O58/'Price History'!O57-1),"")</f>
        <v>0.00280535174794982</v>
      </c>
      <c r="P57" s="153" t="n">
        <f aca="false">IFERROR(IF(OR(NOT(ISNUMBER('Price History'!P58)),NOT(ISNUMBER('Price History'!P57)),'Price History'!P57=0),"",'Price History'!P58/'Price History'!P57-1),"")</f>
        <v>-0.00398311160678722</v>
      </c>
      <c r="Q57" s="153" t="n">
        <f aca="false">IFERROR(IF(OR(NOT(ISNUMBER('Price History'!Q58)),NOT(ISNUMBER('Price History'!Q57)),'Price History'!Q57=0),"",'Price History'!Q58/'Price History'!Q57-1),"")</f>
        <v>0.00133045069017124</v>
      </c>
      <c r="R57" s="153" t="n">
        <f aca="false">IFERROR(IF(OR(NOT(ISNUMBER('Price History'!R58)),NOT(ISNUMBER('Price History'!R57)),'Price History'!R57=0),"",'Price History'!R58/'Price History'!R57-1),"")</f>
        <v>0.00231160425335175</v>
      </c>
      <c r="S57" s="153" t="n">
        <f aca="false">IFERROR(IF(OR(NOT(ISNUMBER('Price History'!S58)),NOT(ISNUMBER('Price History'!S57)),'Price History'!S57=0),"",'Price History'!S58/'Price History'!S57-1),"")</f>
        <v>0.014958947250028</v>
      </c>
      <c r="T57" s="153" t="n">
        <f aca="false">IFERROR(IF(OR(NOT(ISNUMBER('Price History'!T58)),NOT(ISNUMBER('Price History'!T57)),'Price History'!T57=0),"",'Price History'!T58/'Price History'!T57-1),"")</f>
        <v>0.018598884066956</v>
      </c>
      <c r="U57" s="153" t="n">
        <f aca="false">IFERROR(IF(OR(NOT(ISNUMBER('Price History'!U58)),NOT(ISNUMBER('Price History'!U57)),'Price History'!U57=0),"",'Price History'!U58/'Price History'!U57-1),"")</f>
        <v>0.00497512437810954</v>
      </c>
      <c r="V57" s="154" t="n">
        <f aca="false">IFERROR(IF(OR(NOT(ISNUMBER('Price History'!V58)),NOT(ISNUMBER('Price History'!V57)),'Price History'!V57=0),"",'Price History'!V58/'Price History'!V57-1),"")</f>
        <v>0.010033938320791</v>
      </c>
      <c r="W57" s="155" t="n">
        <f aca="false">IFERROR('Price History'!B3+(INDEX('Price History'!B:B,MATCH(9.99E+307,'Returns (Calc)'!$A:$A)+1)-'Price History'!B3)*(ROW()-3)/(MATCH(9.99E+307,'Returns (Calc)'!$A:$A)-3),"")</f>
        <v>431.547358490566</v>
      </c>
      <c r="X57" s="155" t="n">
        <f aca="false">IFERROR('Price History'!C3+(INDEX('Price History'!C:C,MATCH(9.99E+307,'Returns (Calc)'!$A:$A)+1)-'Price History'!C3)*(ROW()-3)/(MATCH(9.99E+307,'Returns (Calc)'!$A:$A)-3),"")</f>
        <v>104.106037735849</v>
      </c>
      <c r="Y57" s="155" t="n">
        <f aca="false">IFERROR('Price History'!D3+(INDEX('Price History'!D:D,MATCH(9.99E+307,'Returns (Calc)'!$A:$A)+1)-'Price History'!D3)*(ROW()-3)/(MATCH(9.99E+307,'Returns (Calc)'!$A:$A)-3),"")</f>
        <v>988.99</v>
      </c>
      <c r="Z57" s="155" t="n">
        <f aca="false">IFERROR('Price History'!E3+(INDEX('Price History'!E:E,MATCH(9.99E+307,'Returns (Calc)'!$A:$A)+1)-'Price History'!E3)*(ROW()-3)/(MATCH(9.99E+307,'Returns (Calc)'!$A:$A)-3),"")</f>
        <v>176.938113207547</v>
      </c>
      <c r="AA57" s="155" t="n">
        <f aca="false">IFERROR('Price History'!F3+(INDEX('Price History'!F:F,MATCH(9.99E+307,'Returns (Calc)'!$A:$A)+1)-'Price History'!F3)*(ROW()-3)/(MATCH(9.99E+307,'Returns (Calc)'!$A:$A)-3),"")</f>
        <v>120.723018867925</v>
      </c>
      <c r="AB57" s="155" t="n">
        <f aca="false">IFERROR('Price History'!G3+(INDEX('Price History'!G:G,MATCH(9.99E+307,'Returns (Calc)'!$A:$A)+1)-'Price History'!G3)*(ROW()-3)/(MATCH(9.99E+307,'Returns (Calc)'!$A:$A)-3),"")</f>
        <v>95.7077358490566</v>
      </c>
      <c r="AC57" s="155" t="n">
        <f aca="false">IFERROR('Price History'!H3+(INDEX('Price History'!H:H,MATCH(9.99E+307,'Returns (Calc)'!$A:$A)+1)-'Price History'!H3)*(ROW()-3)/(MATCH(9.99E+307,'Returns (Calc)'!$A:$A)-3),"")</f>
        <v>395.110377358491</v>
      </c>
      <c r="AD57" s="155" t="n">
        <f aca="false">IFERROR('Price History'!I3+(INDEX('Price History'!I:I,MATCH(9.99E+307,'Returns (Calc)'!$A:$A)+1)-'Price History'!I3)*(ROW()-3)/(MATCH(9.99E+307,'Returns (Calc)'!$A:$A)-3),"")</f>
        <v>106.773396226415</v>
      </c>
      <c r="AE57" s="155" t="n">
        <f aca="false">IFERROR('Price History'!J3+(INDEX('Price History'!J:J,MATCH(9.99E+307,'Returns (Calc)'!$A:$A)+1)-'Price History'!J3)*(ROW()-3)/(MATCH(9.99E+307,'Returns (Calc)'!$A:$A)-3),"")</f>
        <v>117.834339622642</v>
      </c>
      <c r="AF57" s="155" t="n">
        <f aca="false">IFERROR('Price History'!K3+(INDEX('Price History'!K:K,MATCH(9.99E+307,'Returns (Calc)'!$A:$A)+1)-'Price History'!K3)*(ROW()-3)/(MATCH(9.99E+307,'Returns (Calc)'!$A:$A)-3),"")</f>
        <v>81.1216981132075</v>
      </c>
      <c r="AG57" s="155" t="n">
        <f aca="false">IFERROR('Price History'!L3+(INDEX('Price History'!L:L,MATCH(9.99E+307,'Returns (Calc)'!$A:$A)+1)-'Price History'!L3)*(ROW()-3)/(MATCH(9.99E+307,'Returns (Calc)'!$A:$A)-3),"")</f>
        <v>210.581698113208</v>
      </c>
      <c r="AH57" s="155" t="n">
        <f aca="false">IFERROR('Price History'!M3+(INDEX('Price History'!M:M,MATCH(9.99E+307,'Returns (Calc)'!$A:$A)+1)-'Price History'!M3)*(ROW()-3)/(MATCH(9.99E+307,'Returns (Calc)'!$A:$A)-3),"")</f>
        <v>107.561132075472</v>
      </c>
      <c r="AI57" s="155" t="n">
        <f aca="false">IFERROR('Price History'!N3+(INDEX('Price History'!N:N,MATCH(9.99E+307,'Returns (Calc)'!$A:$A)+1)-'Price History'!N3)*(ROW()-3)/(MATCH(9.99E+307,'Returns (Calc)'!$A:$A)-3),"")</f>
        <v>403.640377358491</v>
      </c>
      <c r="AJ57" s="155" t="n">
        <f aca="false">IFERROR('Price History'!O3+(INDEX('Price History'!O:O,MATCH(9.99E+307,'Returns (Calc)'!$A:$A)+1)-'Price History'!O3)*(ROW()-3)/(MATCH(9.99E+307,'Returns (Calc)'!$A:$A)-3),"")</f>
        <v>90.3654716981132</v>
      </c>
      <c r="AK57" s="155" t="n">
        <f aca="false">IFERROR('Price History'!Q3+(INDEX('Price History'!Q:Q,MATCH(9.99E+307,'Returns (Calc)'!$A:$A)+1)-'Price History'!Q3)*(ROW()-3)/(MATCH(9.99E+307,'Returns (Calc)'!$A:$A)-3),"")</f>
        <v>23.7633962264151</v>
      </c>
      <c r="AL57" s="155" t="n">
        <f aca="false">IFERROR('Price History'!R3+(INDEX('Price History'!R:R,MATCH(9.99E+307,'Returns (Calc)'!$A:$A)+1)-'Price History'!R3)*(ROW()-3)/(MATCH(9.99E+307,'Returns (Calc)'!$A:$A)-3),"")</f>
        <v>43.517358490566</v>
      </c>
      <c r="AM57" s="155" t="n">
        <f aca="false">IFERROR('Price History'!S3+(INDEX('Price History'!S:S,MATCH(9.99E+307,'Returns (Calc)'!$A:$A)+1)-'Price History'!S3)*(ROW()-3)/(MATCH(9.99E+307,'Returns (Calc)'!$A:$A)-3),"")</f>
        <v>89.3949056603774</v>
      </c>
      <c r="AN57" s="155" t="n">
        <f aca="false">IFERROR('Price History'!T3+(INDEX('Price History'!T:T,MATCH(9.99E+307,'Returns (Calc)'!$A:$A)+1)-'Price History'!T3)*(ROW()-3)/(MATCH(9.99E+307,'Returns (Calc)'!$A:$A)-3),"")</f>
        <v>34.5805660377359</v>
      </c>
      <c r="AO57" s="156" t="n">
        <f aca="false">IFERROR('Price History'!V3+(INDEX('Price History'!V:V,MATCH(9.99E+307,'Returns (Calc)'!$A:$A)+1)-'Price History'!V3)*(ROW()-3)/(MATCH(9.99E+307,'Returns (Calc)'!$A:$A)-3),"")</f>
        <v>286.512264150943</v>
      </c>
      <c r="AP57" s="154" t="n">
        <f aca="false">IFERROR(IF(OR(NOT(ISNUMBER('Price History'!W58)),NOT(ISNUMBER('Price History'!W57)),'Price History'!W57=0),"",'Price History'!W58/'Price History'!W57-1),"")</f>
        <v>0.00716580182851501</v>
      </c>
      <c r="AQ57" s="154" t="str">
        <f aca="false">IFERROR(IF(OR(NOT(ISNUMBER('Price History'!X58)),NOT(ISNUMBER('Price History'!X57)),'Price History'!X57=0),"",'Price History'!X58/'Price History'!X57-1),"")</f>
        <v/>
      </c>
      <c r="AR57" s="154" t="n">
        <f aca="false">IFERROR(IF(OR(NOT(ISNUMBER('Price History'!Y58)),NOT(ISNUMBER('Price History'!Y57)),'Price History'!Y57=0),"",'Price History'!Y58/'Price History'!Y57-1),"")</f>
        <v>0.00219298245614041</v>
      </c>
      <c r="AS57" s="154" t="n">
        <f aca="false">IFERROR(IF(OR(NOT(ISNUMBER('Price History'!Z58)),NOT(ISNUMBER('Price History'!Z57)),'Price History'!Z57=0),"",'Price History'!Z58/'Price History'!Z57-1),"")</f>
        <v>0.00922237380627555</v>
      </c>
      <c r="AT57" s="154" t="n">
        <f aca="false">IFERROR(IF(OR(NOT(ISNUMBER('Price History'!AA58)),NOT(ISNUMBER('Price History'!AA57)),'Price History'!AA57=0),"",'Price History'!AA58/'Price History'!AA57-1),"")</f>
        <v>0.0173876166242579</v>
      </c>
      <c r="AU57" s="154" t="n">
        <f aca="false">IFERROR(IF(OR(NOT(ISNUMBER('Price History'!AB58)),NOT(ISNUMBER('Price History'!AB57)),'Price History'!AB57=0),"",'Price History'!AB58/'Price History'!AB57-1),"")</f>
        <v>-0.0293099359734409</v>
      </c>
    </row>
    <row r="58" customFormat="false" ht="15" hidden="false" customHeight="true" outlineLevel="0" collapsed="false">
      <c r="A58" s="152" t="n">
        <f aca="false">IF('Price History'!A59="","",'Price History'!A59)</f>
        <v>45576</v>
      </c>
      <c r="B58" s="153" t="n">
        <f aca="false">IFERROR(IF(OR(NOT(ISNUMBER('Price History'!B59)),NOT(ISNUMBER('Price History'!B58)),'Price History'!B58=0),"",'Price History'!B59/'Price History'!B58-1),"")</f>
        <v>-0.0232640668743346</v>
      </c>
      <c r="C58" s="153" t="n">
        <f aca="false">IFERROR(IF(OR(NOT(ISNUMBER('Price History'!C59)),NOT(ISNUMBER('Price History'!C58)),'Price History'!C58=0),"",'Price History'!C59/'Price History'!C58-1),"")</f>
        <v>0.0529346398626125</v>
      </c>
      <c r="D58" s="153" t="n">
        <f aca="false">IFERROR(IF(OR(NOT(ISNUMBER('Price History'!D59)),NOT(ISNUMBER('Price History'!D58)),'Price History'!D58=0),"",'Price History'!D59/'Price History'!D58-1),"")</f>
        <v>0.00922772712292663</v>
      </c>
      <c r="E58" s="153" t="n">
        <f aca="false">IFERROR(IF(OR(NOT(ISNUMBER('Price History'!E59)),NOT(ISNUMBER('Price History'!E58)),'Price History'!E58=0),"",'Price History'!E59/'Price History'!E58-1),"")</f>
        <v>0.0274146172896388</v>
      </c>
      <c r="F58" s="153" t="n">
        <f aca="false">IFERROR(IF(OR(NOT(ISNUMBER('Price History'!F59)),NOT(ISNUMBER('Price History'!F58)),'Price History'!F58=0),"",'Price History'!F59/'Price History'!F58-1),"")</f>
        <v>0.0956747878456064</v>
      </c>
      <c r="G58" s="153" t="n">
        <f aca="false">IFERROR(IF(OR(NOT(ISNUMBER('Price History'!G59)),NOT(ISNUMBER('Price History'!G58)),'Price History'!G58=0),"",'Price History'!G59/'Price History'!G58-1),"")</f>
        <v>0.0207554466933095</v>
      </c>
      <c r="H58" s="153" t="n">
        <f aca="false">IFERROR(IF(OR(NOT(ISNUMBER('Price History'!H59)),NOT(ISNUMBER('Price History'!H58)),'Price History'!H58=0),"",'Price History'!H59/'Price History'!H58-1),"")</f>
        <v>0.0468457828953843</v>
      </c>
      <c r="I58" s="153" t="n">
        <f aca="false">IFERROR(IF(OR(NOT(ISNUMBER('Price History'!I59)),NOT(ISNUMBER('Price History'!I58)),'Price History'!I58=0),"",'Price History'!I59/'Price History'!I58-1),"")</f>
        <v>0.0790593145517295</v>
      </c>
      <c r="J58" s="153" t="n">
        <f aca="false">IFERROR(IF(OR(NOT(ISNUMBER('Price History'!J59)),NOT(ISNUMBER('Price History'!J58)),'Price History'!J58=0),"",'Price History'!J59/'Price History'!J58-1),"")</f>
        <v>-0.0178150379879487</v>
      </c>
      <c r="K58" s="153" t="n">
        <f aca="false">IFERROR(IF(OR(NOT(ISNUMBER('Price History'!K59)),NOT(ISNUMBER('Price History'!K58)),'Price History'!K58=0),"",'Price History'!K59/'Price History'!K58-1),"")</f>
        <v>0.0874781304673831</v>
      </c>
      <c r="L58" s="153" t="n">
        <f aca="false">IFERROR(IF(OR(NOT(ISNUMBER('Price History'!L59)),NOT(ISNUMBER('Price History'!L58)),'Price History'!L58=0),"",'Price History'!L59/'Price History'!L58-1),"")</f>
        <v>0.0532239819004525</v>
      </c>
      <c r="M58" s="153" t="n">
        <f aca="false">IFERROR(IF(OR(NOT(ISNUMBER('Price History'!M59)),NOT(ISNUMBER('Price History'!M58)),'Price History'!M58=0),"",'Price History'!M59/'Price History'!M58-1),"")</f>
        <v>0.0630776560266793</v>
      </c>
      <c r="N58" s="153" t="n">
        <f aca="false">IFERROR(IF(OR(NOT(ISNUMBER('Price History'!N59)),NOT(ISNUMBER('Price History'!N58)),'Price History'!N58=0),"",'Price History'!N59/'Price History'!N58-1),"")</f>
        <v>0.0579824734796073</v>
      </c>
      <c r="O58" s="153" t="n">
        <f aca="false">IFERROR(IF(OR(NOT(ISNUMBER('Price History'!O59)),NOT(ISNUMBER('Price History'!O58)),'Price History'!O58=0),"",'Price History'!O59/'Price History'!O58-1),"")</f>
        <v>0.0119431891542932</v>
      </c>
      <c r="P58" s="153" t="n">
        <f aca="false">IFERROR(IF(OR(NOT(ISNUMBER('Price History'!P59)),NOT(ISNUMBER('Price History'!P58)),'Price History'!P58=0),"",'Price History'!P59/'Price History'!P58-1),"")</f>
        <v>0.000559865632248302</v>
      </c>
      <c r="Q58" s="153" t="n">
        <f aca="false">IFERROR(IF(OR(NOT(ISNUMBER('Price History'!Q59)),NOT(ISNUMBER('Price History'!Q58)),'Price History'!Q58=0),"",'Price History'!Q59/'Price History'!Q58-1),"")</f>
        <v>0.00813818302607539</v>
      </c>
      <c r="R58" s="153" t="n">
        <f aca="false">IFERROR(IF(OR(NOT(ISNUMBER('Price History'!R59)),NOT(ISNUMBER('Price History'!R58)),'Price History'!R58=0),"",'Price History'!R59/'Price History'!R58-1),"")</f>
        <v>0.00899446494464939</v>
      </c>
      <c r="S58" s="153" t="n">
        <f aca="false">IFERROR(IF(OR(NOT(ISNUMBER('Price History'!S59)),NOT(ISNUMBER('Price History'!S58)),'Price History'!S58=0),"",'Price History'!S59/'Price History'!S58-1),"")</f>
        <v>0.0216090425531916</v>
      </c>
      <c r="T58" s="153" t="n">
        <f aca="false">IFERROR(IF(OR(NOT(ISNUMBER('Price History'!T59)),NOT(ISNUMBER('Price History'!T58)),'Price History'!T58=0),"",'Price History'!T59/'Price History'!T58-1),"")</f>
        <v>0.00426049908703585</v>
      </c>
      <c r="U58" s="153" t="n">
        <f aca="false">IFERROR(IF(OR(NOT(ISNUMBER('Price History'!U59)),NOT(ISNUMBER('Price History'!U58)),'Price History'!U58=0),"",'Price History'!U59/'Price History'!U58-1),"")</f>
        <v>0.0114242193450114</v>
      </c>
      <c r="V58" s="154" t="n">
        <f aca="false">IFERROR(IF(OR(NOT(ISNUMBER('Price History'!V59)),NOT(ISNUMBER('Price History'!V58)),'Price History'!V58=0),"",'Price History'!V59/'Price History'!V58-1),"")</f>
        <v>-0.000328707085463953</v>
      </c>
      <c r="W58" s="155" t="n">
        <f aca="false">IFERROR('Price History'!B3+(INDEX('Price History'!B:B,MATCH(9.99E+307,'Returns (Calc)'!$A:$A)+1)-'Price History'!B3)*(ROW()-3)/(MATCH(9.99E+307,'Returns (Calc)'!$A:$A)-3),"")</f>
        <v>429.744716981132</v>
      </c>
      <c r="X58" s="155" t="n">
        <f aca="false">IFERROR('Price History'!C3+(INDEX('Price History'!C:C,MATCH(9.99E+307,'Returns (Calc)'!$A:$A)+1)-'Price History'!C3)*(ROW()-3)/(MATCH(9.99E+307,'Returns (Calc)'!$A:$A)-3),"")</f>
        <v>105.178742138365</v>
      </c>
      <c r="Y58" s="155" t="n">
        <f aca="false">IFERROR('Price History'!D3+(INDEX('Price History'!D:D,MATCH(9.99E+307,'Returns (Calc)'!$A:$A)+1)-'Price History'!D3)*(ROW()-3)/(MATCH(9.99E+307,'Returns (Calc)'!$A:$A)-3),"")</f>
        <v>996.526666666667</v>
      </c>
      <c r="Z58" s="155" t="n">
        <f aca="false">IFERROR('Price History'!E3+(INDEX('Price History'!E:E,MATCH(9.99E+307,'Returns (Calc)'!$A:$A)+1)-'Price History'!E3)*(ROW()-3)/(MATCH(9.99E+307,'Returns (Calc)'!$A:$A)-3),"")</f>
        <v>178.696226415094</v>
      </c>
      <c r="AA58" s="155" t="n">
        <f aca="false">IFERROR('Price History'!F3+(INDEX('Price History'!F:F,MATCH(9.99E+307,'Returns (Calc)'!$A:$A)+1)-'Price History'!F3)*(ROW()-3)/(MATCH(9.99E+307,'Returns (Calc)'!$A:$A)-3),"")</f>
        <v>122.192704402516</v>
      </c>
      <c r="AB58" s="155" t="n">
        <f aca="false">IFERROR('Price History'!G3+(INDEX('Price History'!G:G,MATCH(9.99E+307,'Returns (Calc)'!$A:$A)+1)-'Price History'!G3)*(ROW()-3)/(MATCH(9.99E+307,'Returns (Calc)'!$A:$A)-3),"")</f>
        <v>96.6588050314466</v>
      </c>
      <c r="AC58" s="155" t="n">
        <f aca="false">IFERROR('Price History'!H3+(INDEX('Price History'!H:H,MATCH(9.99E+307,'Returns (Calc)'!$A:$A)+1)-'Price History'!H3)*(ROW()-3)/(MATCH(9.99E+307,'Returns (Calc)'!$A:$A)-3),"")</f>
        <v>401.147421383648</v>
      </c>
      <c r="AD58" s="155" t="n">
        <f aca="false">IFERROR('Price History'!I3+(INDEX('Price History'!I:I,MATCH(9.99E+307,'Returns (Calc)'!$A:$A)+1)-'Price History'!I3)*(ROW()-3)/(MATCH(9.99E+307,'Returns (Calc)'!$A:$A)-3),"")</f>
        <v>107.940125786164</v>
      </c>
      <c r="AE58" s="155" t="n">
        <f aca="false">IFERROR('Price History'!J3+(INDEX('Price History'!J:J,MATCH(9.99E+307,'Returns (Calc)'!$A:$A)+1)-'Price History'!J3)*(ROW()-3)/(MATCH(9.99E+307,'Returns (Calc)'!$A:$A)-3),"")</f>
        <v>117.94534591195</v>
      </c>
      <c r="AF58" s="155" t="n">
        <f aca="false">IFERROR('Price History'!K3+(INDEX('Price History'!K:K,MATCH(9.99E+307,'Returns (Calc)'!$A:$A)+1)-'Price History'!K3)*(ROW()-3)/(MATCH(9.99E+307,'Returns (Calc)'!$A:$A)-3),"")</f>
        <v>82.3400628930818</v>
      </c>
      <c r="AG58" s="155" t="n">
        <f aca="false">IFERROR('Price History'!L3+(INDEX('Price History'!L:L,MATCH(9.99E+307,'Returns (Calc)'!$A:$A)+1)-'Price History'!L3)*(ROW()-3)/(MATCH(9.99E+307,'Returns (Calc)'!$A:$A)-3),"")</f>
        <v>212.893396226415</v>
      </c>
      <c r="AH58" s="155" t="n">
        <f aca="false">IFERROR('Price History'!M3+(INDEX('Price History'!M:M,MATCH(9.99E+307,'Returns (Calc)'!$A:$A)+1)-'Price History'!M3)*(ROW()-3)/(MATCH(9.99E+307,'Returns (Calc)'!$A:$A)-3),"")</f>
        <v>108.84893081761</v>
      </c>
      <c r="AI58" s="155" t="n">
        <f aca="false">IFERROR('Price History'!N3+(INDEX('Price History'!N:N,MATCH(9.99E+307,'Returns (Calc)'!$A:$A)+1)-'Price History'!N3)*(ROW()-3)/(MATCH(9.99E+307,'Returns (Calc)'!$A:$A)-3),"")</f>
        <v>404.654088050314</v>
      </c>
      <c r="AJ58" s="155" t="n">
        <f aca="false">IFERROR('Price History'!O3+(INDEX('Price History'!O:O,MATCH(9.99E+307,'Returns (Calc)'!$A:$A)+1)-'Price History'!O3)*(ROW()-3)/(MATCH(9.99E+307,'Returns (Calc)'!$A:$A)-3),"")</f>
        <v>90.6442767295598</v>
      </c>
      <c r="AK58" s="155" t="n">
        <f aca="false">IFERROR('Price History'!Q3+(INDEX('Price History'!Q:Q,MATCH(9.99E+307,'Returns (Calc)'!$A:$A)+1)-'Price History'!Q3)*(ROW()-3)/(MATCH(9.99E+307,'Returns (Calc)'!$A:$A)-3),"")</f>
        <v>24.2034591194969</v>
      </c>
      <c r="AL58" s="155" t="n">
        <f aca="false">IFERROR('Price History'!R3+(INDEX('Price History'!R:R,MATCH(9.99E+307,'Returns (Calc)'!$A:$A)+1)-'Price History'!R3)*(ROW()-3)/(MATCH(9.99E+307,'Returns (Calc)'!$A:$A)-3),"")</f>
        <v>43.6847169811321</v>
      </c>
      <c r="AM58" s="155" t="n">
        <f aca="false">IFERROR('Price History'!S3+(INDEX('Price History'!S:S,MATCH(9.99E+307,'Returns (Calc)'!$A:$A)+1)-'Price History'!S3)*(ROW()-3)/(MATCH(9.99E+307,'Returns (Calc)'!$A:$A)-3),"")</f>
        <v>89.9831446540881</v>
      </c>
      <c r="AN58" s="155" t="n">
        <f aca="false">IFERROR('Price History'!T3+(INDEX('Price History'!T:T,MATCH(9.99E+307,'Returns (Calc)'!$A:$A)+1)-'Price History'!T3)*(ROW()-3)/(MATCH(9.99E+307,'Returns (Calc)'!$A:$A)-3),"")</f>
        <v>34.754465408805</v>
      </c>
      <c r="AO58" s="156" t="n">
        <f aca="false">IFERROR('Price History'!V3+(INDEX('Price History'!V:V,MATCH(9.99E+307,'Returns (Calc)'!$A:$A)+1)-'Price History'!V3)*(ROW()-3)/(MATCH(9.99E+307,'Returns (Calc)'!$A:$A)-3),"")</f>
        <v>287.454528301887</v>
      </c>
      <c r="AP58" s="154" t="n">
        <f aca="false">IFERROR(IF(OR(NOT(ISNUMBER('Price History'!W59)),NOT(ISNUMBER('Price History'!W58)),'Price History'!W58=0),"",'Price History'!W59/'Price History'!W58-1),"")</f>
        <v>0.011122015047432</v>
      </c>
      <c r="AQ58" s="154" t="str">
        <f aca="false">IFERROR(IF(OR(NOT(ISNUMBER('Price History'!X59)),NOT(ISNUMBER('Price History'!X58)),'Price History'!X58=0),"",'Price History'!X59/'Price History'!X58-1),"")</f>
        <v/>
      </c>
      <c r="AR58" s="154" t="n">
        <f aca="false">IFERROR(IF(OR(NOT(ISNUMBER('Price History'!Y59)),NOT(ISNUMBER('Price History'!Y58)),'Price History'!Y58=0),"",'Price History'!Y59/'Price History'!Y58-1),"")</f>
        <v>0.00537099661826135</v>
      </c>
      <c r="AS58" s="154" t="n">
        <f aca="false">IFERROR(IF(OR(NOT(ISNUMBER('Price History'!Z59)),NOT(ISNUMBER('Price History'!Z58)),'Price History'!Z58=0),"",'Price History'!Z59/'Price History'!Z58-1),"")</f>
        <v>0.021790851086839</v>
      </c>
      <c r="AT58" s="154" t="n">
        <f aca="false">IFERROR(IF(OR(NOT(ISNUMBER('Price History'!AA59)),NOT(ISNUMBER('Price History'!AA58)),'Price History'!AA58=0),"",'Price History'!AA59/'Price History'!AA58-1),"")</f>
        <v>0.00430735028484097</v>
      </c>
      <c r="AU58" s="154" t="n">
        <f aca="false">IFERROR(IF(OR(NOT(ISNUMBER('Price History'!AB59)),NOT(ISNUMBER('Price History'!AB58)),'Price History'!AB58=0),"",'Price History'!AB59/'Price History'!AB58-1),"")</f>
        <v>0.0324913275028094</v>
      </c>
    </row>
    <row r="59" customFormat="false" ht="15" hidden="false" customHeight="true" outlineLevel="0" collapsed="false">
      <c r="A59" s="152" t="n">
        <f aca="false">IF('Price History'!A60="","",'Price History'!A60)</f>
        <v>45583</v>
      </c>
      <c r="B59" s="153" t="n">
        <f aca="false">IFERROR(IF(OR(NOT(ISNUMBER('Price History'!B60)),NOT(ISNUMBER('Price History'!B59)),'Price History'!B59=0),"",'Price History'!B60/'Price History'!B59-1),"")</f>
        <v>-0.0010496144685318</v>
      </c>
      <c r="C59" s="153" t="n">
        <f aca="false">IFERROR(IF(OR(NOT(ISNUMBER('Price History'!C60)),NOT(ISNUMBER('Price History'!C59)),'Price History'!C59=0),"",'Price History'!C60/'Price History'!C59-1),"")</f>
        <v>-0.0357862419648853</v>
      </c>
      <c r="D59" s="153" t="n">
        <f aca="false">IFERROR(IF(OR(NOT(ISNUMBER('Price History'!D60)),NOT(ISNUMBER('Price History'!D59)),'Price History'!D59=0),"",'Price History'!D60/'Price History'!D59-1),"")</f>
        <v>-0.139678047482554</v>
      </c>
      <c r="E59" s="153" t="n">
        <f aca="false">IFERROR(IF(OR(NOT(ISNUMBER('Price History'!E60)),NOT(ISNUMBER('Price History'!E59)),'Price History'!E59=0),"",'Price History'!E60/'Price History'!E59-1),"")</f>
        <v>-0.00874488480295965</v>
      </c>
      <c r="F59" s="153" t="n">
        <f aca="false">IFERROR(IF(OR(NOT(ISNUMBER('Price History'!F60)),NOT(ISNUMBER('Price History'!F59)),'Price History'!F59=0),"",'Price History'!F60/'Price History'!F59-1),"")</f>
        <v>-0.0313554028732042</v>
      </c>
      <c r="G59" s="153" t="n">
        <f aca="false">IFERROR(IF(OR(NOT(ISNUMBER('Price History'!G60)),NOT(ISNUMBER('Price History'!G59)),'Price History'!G59=0),"",'Price History'!G60/'Price History'!G59-1),"")</f>
        <v>-0.155847436221268</v>
      </c>
      <c r="H59" s="153" t="n">
        <f aca="false">IFERROR(IF(OR(NOT(ISNUMBER('Price History'!H60)),NOT(ISNUMBER('Price History'!H59)),'Price History'!H59=0),"",'Price History'!H60/'Price History'!H59-1),"")</f>
        <v>0.0395788286170913</v>
      </c>
      <c r="I59" s="153" t="n">
        <f aca="false">IFERROR(IF(OR(NOT(ISNUMBER('Price History'!I60)),NOT(ISNUMBER('Price History'!I59)),'Price History'!I59=0),"",'Price History'!I60/'Price History'!I59-1),"")</f>
        <v>0.0237280571258554</v>
      </c>
      <c r="J59" s="153" t="n">
        <f aca="false">IFERROR(IF(OR(NOT(ISNUMBER('Price History'!J60)),NOT(ISNUMBER('Price History'!J59)),'Price History'!J59=0),"",'Price History'!J60/'Price History'!J59-1),"")</f>
        <v>0.0187605583711212</v>
      </c>
      <c r="K59" s="153" t="n">
        <f aca="false">IFERROR(IF(OR(NOT(ISNUMBER('Price History'!K60)),NOT(ISNUMBER('Price History'!K59)),'Price History'!K59=0),"",'Price History'!K60/'Price History'!K59-1),"")</f>
        <v>-0.01241094001379</v>
      </c>
      <c r="L59" s="153" t="n">
        <f aca="false">IFERROR(IF(OR(NOT(ISNUMBER('Price History'!L60)),NOT(ISNUMBER('Price History'!L59)),'Price History'!L59=0),"",'Price History'!L60/'Price History'!L59-1),"")</f>
        <v>0.0522528328231566</v>
      </c>
      <c r="M59" s="153" t="n">
        <f aca="false">IFERROR(IF(OR(NOT(ISNUMBER('Price History'!M60)),NOT(ISNUMBER('Price History'!M59)),'Price History'!M59=0),"",'Price History'!M60/'Price History'!M59-1),"")</f>
        <v>0.00367482298108812</v>
      </c>
      <c r="N59" s="153" t="n">
        <f aca="false">IFERROR(IF(OR(NOT(ISNUMBER('Price History'!N60)),NOT(ISNUMBER('Price History'!N59)),'Price History'!N59=0),"",'Price History'!N60/'Price History'!N59-1),"")</f>
        <v>0.0026779597683253</v>
      </c>
      <c r="O59" s="153" t="n">
        <f aca="false">IFERROR(IF(OR(NOT(ISNUMBER('Price History'!O60)),NOT(ISNUMBER('Price History'!O59)),'Price History'!O59=0),"",'Price History'!O60/'Price History'!O59-1),"")</f>
        <v>0.0125465178096758</v>
      </c>
      <c r="P59" s="153" t="n">
        <f aca="false">IFERROR(IF(OR(NOT(ISNUMBER('Price History'!P60)),NOT(ISNUMBER('Price History'!P59)),'Price History'!P59=0),"",'Price History'!P60/'Price History'!P59-1),"")</f>
        <v>0.0193445243804957</v>
      </c>
      <c r="Q59" s="153" t="n">
        <f aca="false">IFERROR(IF(OR(NOT(ISNUMBER('Price History'!Q60)),NOT(ISNUMBER('Price History'!Q59)),'Price History'!Q59=0),"",'Price History'!Q60/'Price History'!Q59-1),"")</f>
        <v>0.00823723228995066</v>
      </c>
      <c r="R59" s="153" t="n">
        <f aca="false">IFERROR(IF(OR(NOT(ISNUMBER('Price History'!R60)),NOT(ISNUMBER('Price History'!R59)),'Price History'!R59=0),"",'Price History'!R60/'Price History'!R59-1),"")</f>
        <v>0.00754285714285707</v>
      </c>
      <c r="S59" s="153" t="n">
        <f aca="false">IFERROR(IF(OR(NOT(ISNUMBER('Price History'!S60)),NOT(ISNUMBER('Price History'!S59)),'Price History'!S59=0),"",'Price History'!S60/'Price History'!S59-1),"")</f>
        <v>0.00433886538670136</v>
      </c>
      <c r="T59" s="153" t="n">
        <f aca="false">IFERROR(IF(OR(NOT(ISNUMBER('Price History'!T60)),NOT(ISNUMBER('Price History'!T59)),'Price History'!T59=0),"",'Price History'!T60/'Price History'!T59-1),"")</f>
        <v>-0.00484848484848477</v>
      </c>
      <c r="U59" s="153" t="n">
        <f aca="false">IFERROR(IF(OR(NOT(ISNUMBER('Price History'!U60)),NOT(ISNUMBER('Price History'!U59)),'Price History'!U59=0),"",'Price History'!U60/'Price History'!U59-1),"")</f>
        <v>0.0094126506024097</v>
      </c>
      <c r="V59" s="154" t="n">
        <f aca="false">IFERROR(IF(OR(NOT(ISNUMBER('Price History'!V60)),NOT(ISNUMBER('Price History'!V59)),'Price History'!V59=0),"",'Price History'!V60/'Price History'!V59-1),"")</f>
        <v>0.0459975886887583</v>
      </c>
      <c r="W59" s="155" t="n">
        <f aca="false">IFERROR('Price History'!B3+(INDEX('Price History'!B:B,MATCH(9.99E+307,'Returns (Calc)'!$A:$A)+1)-'Price History'!B3)*(ROW()-3)/(MATCH(9.99E+307,'Returns (Calc)'!$A:$A)-3),"")</f>
        <v>427.942075471698</v>
      </c>
      <c r="X59" s="155" t="n">
        <f aca="false">IFERROR('Price History'!C3+(INDEX('Price History'!C:C,MATCH(9.99E+307,'Returns (Calc)'!$A:$A)+1)-'Price History'!C3)*(ROW()-3)/(MATCH(9.99E+307,'Returns (Calc)'!$A:$A)-3),"")</f>
        <v>106.251446540881</v>
      </c>
      <c r="Y59" s="155" t="n">
        <f aca="false">IFERROR('Price History'!D3+(INDEX('Price History'!D:D,MATCH(9.99E+307,'Returns (Calc)'!$A:$A)+1)-'Price History'!D3)*(ROW()-3)/(MATCH(9.99E+307,'Returns (Calc)'!$A:$A)-3),"")</f>
        <v>1004.06333333333</v>
      </c>
      <c r="Z59" s="155" t="n">
        <f aca="false">IFERROR('Price History'!E3+(INDEX('Price History'!E:E,MATCH(9.99E+307,'Returns (Calc)'!$A:$A)+1)-'Price History'!E3)*(ROW()-3)/(MATCH(9.99E+307,'Returns (Calc)'!$A:$A)-3),"")</f>
        <v>180.454339622642</v>
      </c>
      <c r="AA59" s="155" t="n">
        <f aca="false">IFERROR('Price History'!F3+(INDEX('Price History'!F:F,MATCH(9.99E+307,'Returns (Calc)'!$A:$A)+1)-'Price History'!F3)*(ROW()-3)/(MATCH(9.99E+307,'Returns (Calc)'!$A:$A)-3),"")</f>
        <v>123.662389937107</v>
      </c>
      <c r="AB59" s="155" t="n">
        <f aca="false">IFERROR('Price History'!G3+(INDEX('Price History'!G:G,MATCH(9.99E+307,'Returns (Calc)'!$A:$A)+1)-'Price History'!G3)*(ROW()-3)/(MATCH(9.99E+307,'Returns (Calc)'!$A:$A)-3),"")</f>
        <v>97.6098742138365</v>
      </c>
      <c r="AC59" s="155" t="n">
        <f aca="false">IFERROR('Price History'!H3+(INDEX('Price History'!H:H,MATCH(9.99E+307,'Returns (Calc)'!$A:$A)+1)-'Price History'!H3)*(ROW()-3)/(MATCH(9.99E+307,'Returns (Calc)'!$A:$A)-3),"")</f>
        <v>407.184465408805</v>
      </c>
      <c r="AD59" s="155" t="n">
        <f aca="false">IFERROR('Price History'!I3+(INDEX('Price History'!I:I,MATCH(9.99E+307,'Returns (Calc)'!$A:$A)+1)-'Price History'!I3)*(ROW()-3)/(MATCH(9.99E+307,'Returns (Calc)'!$A:$A)-3),"")</f>
        <v>109.106855345912</v>
      </c>
      <c r="AE59" s="155" t="n">
        <f aca="false">IFERROR('Price History'!J3+(INDEX('Price History'!J:J,MATCH(9.99E+307,'Returns (Calc)'!$A:$A)+1)-'Price History'!J3)*(ROW()-3)/(MATCH(9.99E+307,'Returns (Calc)'!$A:$A)-3),"")</f>
        <v>118.056352201258</v>
      </c>
      <c r="AF59" s="155" t="n">
        <f aca="false">IFERROR('Price History'!K3+(INDEX('Price History'!K:K,MATCH(9.99E+307,'Returns (Calc)'!$A:$A)+1)-'Price History'!K3)*(ROW()-3)/(MATCH(9.99E+307,'Returns (Calc)'!$A:$A)-3),"")</f>
        <v>83.558427672956</v>
      </c>
      <c r="AG59" s="155" t="n">
        <f aca="false">IFERROR('Price History'!L3+(INDEX('Price History'!L:L,MATCH(9.99E+307,'Returns (Calc)'!$A:$A)+1)-'Price History'!L3)*(ROW()-3)/(MATCH(9.99E+307,'Returns (Calc)'!$A:$A)-3),"")</f>
        <v>215.205094339623</v>
      </c>
      <c r="AH59" s="155" t="n">
        <f aca="false">IFERROR('Price History'!M3+(INDEX('Price History'!M:M,MATCH(9.99E+307,'Returns (Calc)'!$A:$A)+1)-'Price History'!M3)*(ROW()-3)/(MATCH(9.99E+307,'Returns (Calc)'!$A:$A)-3),"")</f>
        <v>110.136729559748</v>
      </c>
      <c r="AI59" s="155" t="n">
        <f aca="false">IFERROR('Price History'!N3+(INDEX('Price History'!N:N,MATCH(9.99E+307,'Returns (Calc)'!$A:$A)+1)-'Price History'!N3)*(ROW()-3)/(MATCH(9.99E+307,'Returns (Calc)'!$A:$A)-3),"")</f>
        <v>405.667798742138</v>
      </c>
      <c r="AJ59" s="155" t="n">
        <f aca="false">IFERROR('Price History'!O3+(INDEX('Price History'!O:O,MATCH(9.99E+307,'Returns (Calc)'!$A:$A)+1)-'Price History'!O3)*(ROW()-3)/(MATCH(9.99E+307,'Returns (Calc)'!$A:$A)-3),"")</f>
        <v>90.9230817610063</v>
      </c>
      <c r="AK59" s="155" t="n">
        <f aca="false">IFERROR('Price History'!Q3+(INDEX('Price History'!Q:Q,MATCH(9.99E+307,'Returns (Calc)'!$A:$A)+1)-'Price History'!Q3)*(ROW()-3)/(MATCH(9.99E+307,'Returns (Calc)'!$A:$A)-3),"")</f>
        <v>24.6435220125786</v>
      </c>
      <c r="AL59" s="155" t="n">
        <f aca="false">IFERROR('Price History'!R3+(INDEX('Price History'!R:R,MATCH(9.99E+307,'Returns (Calc)'!$A:$A)+1)-'Price History'!R3)*(ROW()-3)/(MATCH(9.99E+307,'Returns (Calc)'!$A:$A)-3),"")</f>
        <v>43.8520754716981</v>
      </c>
      <c r="AM59" s="155" t="n">
        <f aca="false">IFERROR('Price History'!S3+(INDEX('Price History'!S:S,MATCH(9.99E+307,'Returns (Calc)'!$A:$A)+1)-'Price History'!S3)*(ROW()-3)/(MATCH(9.99E+307,'Returns (Calc)'!$A:$A)-3),"")</f>
        <v>90.5713836477987</v>
      </c>
      <c r="AN59" s="155" t="n">
        <f aca="false">IFERROR('Price History'!T3+(INDEX('Price History'!T:T,MATCH(9.99E+307,'Returns (Calc)'!$A:$A)+1)-'Price History'!T3)*(ROW()-3)/(MATCH(9.99E+307,'Returns (Calc)'!$A:$A)-3),"")</f>
        <v>34.9283647798742</v>
      </c>
      <c r="AO59" s="156" t="n">
        <f aca="false">IFERROR('Price History'!V3+(INDEX('Price History'!V:V,MATCH(9.99E+307,'Returns (Calc)'!$A:$A)+1)-'Price History'!V3)*(ROW()-3)/(MATCH(9.99E+307,'Returns (Calc)'!$A:$A)-3),"")</f>
        <v>288.39679245283</v>
      </c>
      <c r="AP59" s="154" t="n">
        <f aca="false">IFERROR(IF(OR(NOT(ISNUMBER('Price History'!W60)),NOT(ISNUMBER('Price History'!W59)),'Price History'!W59=0),"",'Price History'!W60/'Price History'!W59-1),"")</f>
        <v>0.0101908767389194</v>
      </c>
      <c r="AQ59" s="154" t="str">
        <f aca="false">IFERROR(IF(OR(NOT(ISNUMBER('Price History'!X60)),NOT(ISNUMBER('Price History'!X59)),'Price History'!X59=0),"",'Price History'!X60/'Price History'!X59-1),"")</f>
        <v/>
      </c>
      <c r="AR59" s="154" t="n">
        <f aca="false">IFERROR(IF(OR(NOT(ISNUMBER('Price History'!Y60)),NOT(ISNUMBER('Price History'!Y59)),'Price History'!Y59=0),"",'Price History'!Y60/'Price History'!Y59-1),"")</f>
        <v>0.00732093391373168</v>
      </c>
      <c r="AS59" s="154" t="n">
        <f aca="false">IFERROR(IF(OR(NOT(ISNUMBER('Price History'!Z60)),NOT(ISNUMBER('Price History'!Z59)),'Price History'!Z59=0),"",'Price History'!Z60/'Price History'!Z59-1),"")</f>
        <v>0.00756733873101556</v>
      </c>
      <c r="AT59" s="154" t="n">
        <f aca="false">IFERROR(IF(OR(NOT(ISNUMBER('Price History'!AA60)),NOT(ISNUMBER('Price History'!AA59)),'Price History'!AA59=0),"",'Price History'!AA60/'Price History'!AA59-1),"")</f>
        <v>0.0568622025456558</v>
      </c>
      <c r="AU59" s="154" t="n">
        <f aca="false">IFERROR(IF(OR(NOT(ISNUMBER('Price History'!AB60)),NOT(ISNUMBER('Price History'!AB59)),'Price History'!AB59=0),"",'Price History'!AB60/'Price History'!AB59-1),"")</f>
        <v>0.0473215975771342</v>
      </c>
    </row>
    <row r="60" customFormat="false" ht="15" hidden="false" customHeight="true" outlineLevel="0" collapsed="false">
      <c r="A60" s="152" t="n">
        <f aca="false">IF('Price History'!A61="","",'Price History'!A61)</f>
        <v>45590</v>
      </c>
      <c r="B60" s="153" t="n">
        <f aca="false">IFERROR(IF(OR(NOT(ISNUMBER('Price History'!B61)),NOT(ISNUMBER('Price History'!B60)),'Price History'!B60=0),"",'Price History'!B61/'Price History'!B60-1),"")</f>
        <v>-0.0225904223075368</v>
      </c>
      <c r="C60" s="153" t="n">
        <f aca="false">IFERROR(IF(OR(NOT(ISNUMBER('Price History'!C61)),NOT(ISNUMBER('Price History'!C60)),'Price History'!C60=0),"",'Price History'!C61/'Price History'!C60-1),"")</f>
        <v>-0.0197014925373135</v>
      </c>
      <c r="D60" s="153" t="n">
        <f aca="false">IFERROR(IF(OR(NOT(ISNUMBER('Price History'!D61)),NOT(ISNUMBER('Price History'!D60)),'Price History'!D60=0),"",'Price History'!D61/'Price History'!D60-1),"")</f>
        <v>-0.0159839176764979</v>
      </c>
      <c r="E60" s="153" t="n">
        <f aca="false">IFERROR(IF(OR(NOT(ISNUMBER('Price History'!E61)),NOT(ISNUMBER('Price History'!E60)),'Price History'!E60=0),"",'Price History'!E61/'Price History'!E60-1),"")</f>
        <v>-0.0382853588192049</v>
      </c>
      <c r="F60" s="153" t="n">
        <f aca="false">IFERROR(IF(OR(NOT(ISNUMBER('Price History'!F61)),NOT(ISNUMBER('Price History'!F60)),'Price History'!F60=0),"",'Price History'!F61/'Price History'!F60-1),"")</f>
        <v>-0.0308228011348981</v>
      </c>
      <c r="G60" s="153" t="n">
        <f aca="false">IFERROR(IF(OR(NOT(ISNUMBER('Price History'!G61)),NOT(ISNUMBER('Price History'!G60)),'Price History'!G60=0),"",'Price History'!G61/'Price History'!G60-1),"")</f>
        <v>-0.00792938360263318</v>
      </c>
      <c r="H60" s="153" t="n">
        <f aca="false">IFERROR(IF(OR(NOT(ISNUMBER('Price History'!H61)),NOT(ISNUMBER('Price History'!H60)),'Price History'!H60=0),"",'Price History'!H61/'Price History'!H60-1),"")</f>
        <v>-0.0291191897268945</v>
      </c>
      <c r="I60" s="153" t="n">
        <f aca="false">IFERROR(IF(OR(NOT(ISNUMBER('Price History'!I61)),NOT(ISNUMBER('Price History'!I60)),'Price History'!I60=0),"",'Price History'!I61/'Price History'!I60-1),"")</f>
        <v>0.0256484778028045</v>
      </c>
      <c r="J60" s="153" t="n">
        <f aca="false">IFERROR(IF(OR(NOT(ISNUMBER('Price History'!J61)),NOT(ISNUMBER('Price History'!J60)),'Price History'!J60=0),"",'Price History'!J61/'Price History'!J60-1),"")</f>
        <v>-0.0404957235119567</v>
      </c>
      <c r="K60" s="153" t="n">
        <f aca="false">IFERROR(IF(OR(NOT(ISNUMBER('Price History'!K61)),NOT(ISNUMBER('Price History'!K60)),'Price History'!K60=0),"",'Price History'!K61/'Price History'!K60-1),"")</f>
        <v>0.0439841750058181</v>
      </c>
      <c r="L60" s="153" t="n">
        <f aca="false">IFERROR(IF(OR(NOT(ISNUMBER('Price History'!L61)),NOT(ISNUMBER('Price History'!L60)),'Price History'!L60=0),"",'Price History'!L61/'Price History'!L60-1),"")</f>
        <v>0.0132693681739309</v>
      </c>
      <c r="M60" s="153" t="n">
        <f aca="false">IFERROR(IF(OR(NOT(ISNUMBER('Price History'!M61)),NOT(ISNUMBER('Price History'!M60)),'Price History'!M60=0),"",'Price History'!M61/'Price History'!M60-1),"")</f>
        <v>-0.00071441328808719</v>
      </c>
      <c r="N60" s="153" t="n">
        <f aca="false">IFERROR(IF(OR(NOT(ISNUMBER('Price History'!N61)),NOT(ISNUMBER('Price History'!N60)),'Price History'!N60=0),"",'Price History'!N61/'Price History'!N60-1),"")</f>
        <v>-0.0109730848861284</v>
      </c>
      <c r="O60" s="153" t="n">
        <f aca="false">IFERROR(IF(OR(NOT(ISNUMBER('Price History'!O61)),NOT(ISNUMBER('Price History'!O60)),'Price History'!O60=0),"",'Price History'!O61/'Price History'!O60-1),"")</f>
        <v>-0.0332878294655046</v>
      </c>
      <c r="P60" s="153" t="n">
        <f aca="false">IFERROR(IF(OR(NOT(ISNUMBER('Price History'!P61)),NOT(ISNUMBER('Price History'!P60)),'Price History'!P60=0),"",'Price History'!P61/'Price History'!P60-1),"")</f>
        <v>-0.0236041405269761</v>
      </c>
      <c r="Q60" s="153" t="n">
        <f aca="false">IFERROR(IF(OR(NOT(ISNUMBER('Price History'!Q61)),NOT(ISNUMBER('Price History'!Q60)),'Price History'!Q60=0),"",'Price History'!Q61/'Price History'!Q60-1),"")</f>
        <v>-0.00277777777777777</v>
      </c>
      <c r="R60" s="153" t="n">
        <f aca="false">IFERROR(IF(OR(NOT(ISNUMBER('Price History'!R61)),NOT(ISNUMBER('Price History'!R60)),'Price History'!R60=0),"",'Price History'!R61/'Price History'!R60-1),"")</f>
        <v>0.00226860254083494</v>
      </c>
      <c r="S60" s="153" t="n">
        <f aca="false">IFERROR(IF(OR(NOT(ISNUMBER('Price History'!S61)),NOT(ISNUMBER('Price History'!S60)),'Price History'!S60=0),"",'Price History'!S61/'Price History'!S60-1),"")</f>
        <v>-0.0146884112755157</v>
      </c>
      <c r="T60" s="153" t="n">
        <f aca="false">IFERROR(IF(OR(NOT(ISNUMBER('Price History'!T61)),NOT(ISNUMBER('Price History'!T60)),'Price History'!T60=0),"",'Price History'!T61/'Price History'!T60-1),"")</f>
        <v>-0.0191839220462851</v>
      </c>
      <c r="U60" s="153" t="n">
        <f aca="false">IFERROR(IF(OR(NOT(ISNUMBER('Price History'!U61)),NOT(ISNUMBER('Price History'!U60)),'Price History'!U60=0),"",'Price History'!U61/'Price History'!U60-1),"")</f>
        <v>-0.0231256993659081</v>
      </c>
      <c r="V60" s="154" t="n">
        <f aca="false">IFERROR(IF(OR(NOT(ISNUMBER('Price History'!V61)),NOT(ISNUMBER('Price History'!V60)),'Price History'!V60=0),"",'Price History'!V61/'Price History'!V60-1),"")</f>
        <v>-0.030562347188264</v>
      </c>
      <c r="W60" s="155" t="n">
        <f aca="false">IFERROR('Price History'!B3+(INDEX('Price History'!B:B,MATCH(9.99E+307,'Returns (Calc)'!$A:$A)+1)-'Price History'!B3)*(ROW()-3)/(MATCH(9.99E+307,'Returns (Calc)'!$A:$A)-3),"")</f>
        <v>426.139433962264</v>
      </c>
      <c r="X60" s="155" t="n">
        <f aca="false">IFERROR('Price History'!C3+(INDEX('Price History'!C:C,MATCH(9.99E+307,'Returns (Calc)'!$A:$A)+1)-'Price History'!C3)*(ROW()-3)/(MATCH(9.99E+307,'Returns (Calc)'!$A:$A)-3),"")</f>
        <v>107.324150943396</v>
      </c>
      <c r="Y60" s="155" t="n">
        <f aca="false">IFERROR('Price History'!D3+(INDEX('Price History'!D:D,MATCH(9.99E+307,'Returns (Calc)'!$A:$A)+1)-'Price History'!D3)*(ROW()-3)/(MATCH(9.99E+307,'Returns (Calc)'!$A:$A)-3),"")</f>
        <v>1011.6</v>
      </c>
      <c r="Z60" s="155" t="n">
        <f aca="false">IFERROR('Price History'!E3+(INDEX('Price History'!E:E,MATCH(9.99E+307,'Returns (Calc)'!$A:$A)+1)-'Price History'!E3)*(ROW()-3)/(MATCH(9.99E+307,'Returns (Calc)'!$A:$A)-3),"")</f>
        <v>182.212452830189</v>
      </c>
      <c r="AA60" s="155" t="n">
        <f aca="false">IFERROR('Price History'!F3+(INDEX('Price History'!F:F,MATCH(9.99E+307,'Returns (Calc)'!$A:$A)+1)-'Price History'!F3)*(ROW()-3)/(MATCH(9.99E+307,'Returns (Calc)'!$A:$A)-3),"")</f>
        <v>125.132075471698</v>
      </c>
      <c r="AB60" s="155" t="n">
        <f aca="false">IFERROR('Price History'!G3+(INDEX('Price History'!G:G,MATCH(9.99E+307,'Returns (Calc)'!$A:$A)+1)-'Price History'!G3)*(ROW()-3)/(MATCH(9.99E+307,'Returns (Calc)'!$A:$A)-3),"")</f>
        <v>98.5609433962264</v>
      </c>
      <c r="AC60" s="155" t="n">
        <f aca="false">IFERROR('Price History'!H3+(INDEX('Price History'!H:H,MATCH(9.99E+307,'Returns (Calc)'!$A:$A)+1)-'Price History'!H3)*(ROW()-3)/(MATCH(9.99E+307,'Returns (Calc)'!$A:$A)-3),"")</f>
        <v>413.221509433962</v>
      </c>
      <c r="AD60" s="155" t="n">
        <f aca="false">IFERROR('Price History'!I3+(INDEX('Price History'!I:I,MATCH(9.99E+307,'Returns (Calc)'!$A:$A)+1)-'Price History'!I3)*(ROW()-3)/(MATCH(9.99E+307,'Returns (Calc)'!$A:$A)-3),"")</f>
        <v>110.27358490566</v>
      </c>
      <c r="AE60" s="155" t="n">
        <f aca="false">IFERROR('Price History'!J3+(INDEX('Price History'!J:J,MATCH(9.99E+307,'Returns (Calc)'!$A:$A)+1)-'Price History'!J3)*(ROW()-3)/(MATCH(9.99E+307,'Returns (Calc)'!$A:$A)-3),"")</f>
        <v>118.167358490566</v>
      </c>
      <c r="AF60" s="155" t="n">
        <f aca="false">IFERROR('Price History'!K3+(INDEX('Price History'!K:K,MATCH(9.99E+307,'Returns (Calc)'!$A:$A)+1)-'Price History'!K3)*(ROW()-3)/(MATCH(9.99E+307,'Returns (Calc)'!$A:$A)-3),"")</f>
        <v>84.7767924528302</v>
      </c>
      <c r="AG60" s="155" t="n">
        <f aca="false">IFERROR('Price History'!L3+(INDEX('Price History'!L:L,MATCH(9.99E+307,'Returns (Calc)'!$A:$A)+1)-'Price History'!L3)*(ROW()-3)/(MATCH(9.99E+307,'Returns (Calc)'!$A:$A)-3),"")</f>
        <v>217.51679245283</v>
      </c>
      <c r="AH60" s="155" t="n">
        <f aca="false">IFERROR('Price History'!M3+(INDEX('Price History'!M:M,MATCH(9.99E+307,'Returns (Calc)'!$A:$A)+1)-'Price History'!M3)*(ROW()-3)/(MATCH(9.99E+307,'Returns (Calc)'!$A:$A)-3),"")</f>
        <v>111.424528301887</v>
      </c>
      <c r="AI60" s="155" t="n">
        <f aca="false">IFERROR('Price History'!N3+(INDEX('Price History'!N:N,MATCH(9.99E+307,'Returns (Calc)'!$A:$A)+1)-'Price History'!N3)*(ROW()-3)/(MATCH(9.99E+307,'Returns (Calc)'!$A:$A)-3),"")</f>
        <v>406.681509433962</v>
      </c>
      <c r="AJ60" s="155" t="n">
        <f aca="false">IFERROR('Price History'!O3+(INDEX('Price History'!O:O,MATCH(9.99E+307,'Returns (Calc)'!$A:$A)+1)-'Price History'!O3)*(ROW()-3)/(MATCH(9.99E+307,'Returns (Calc)'!$A:$A)-3),"")</f>
        <v>91.2018867924528</v>
      </c>
      <c r="AK60" s="155" t="n">
        <f aca="false">IFERROR('Price History'!Q3+(INDEX('Price History'!Q:Q,MATCH(9.99E+307,'Returns (Calc)'!$A:$A)+1)-'Price History'!Q3)*(ROW()-3)/(MATCH(9.99E+307,'Returns (Calc)'!$A:$A)-3),"")</f>
        <v>25.0835849056604</v>
      </c>
      <c r="AL60" s="155" t="n">
        <f aca="false">IFERROR('Price History'!R3+(INDEX('Price History'!R:R,MATCH(9.99E+307,'Returns (Calc)'!$A:$A)+1)-'Price History'!R3)*(ROW()-3)/(MATCH(9.99E+307,'Returns (Calc)'!$A:$A)-3),"")</f>
        <v>44.0194339622642</v>
      </c>
      <c r="AM60" s="155" t="n">
        <f aca="false">IFERROR('Price History'!S3+(INDEX('Price History'!S:S,MATCH(9.99E+307,'Returns (Calc)'!$A:$A)+1)-'Price History'!S3)*(ROW()-3)/(MATCH(9.99E+307,'Returns (Calc)'!$A:$A)-3),"")</f>
        <v>91.1596226415094</v>
      </c>
      <c r="AN60" s="155" t="n">
        <f aca="false">IFERROR('Price History'!T3+(INDEX('Price History'!T:T,MATCH(9.99E+307,'Returns (Calc)'!$A:$A)+1)-'Price History'!T3)*(ROW()-3)/(MATCH(9.99E+307,'Returns (Calc)'!$A:$A)-3),"")</f>
        <v>35.1022641509434</v>
      </c>
      <c r="AO60" s="156" t="n">
        <f aca="false">IFERROR('Price History'!V3+(INDEX('Price History'!V:V,MATCH(9.99E+307,'Returns (Calc)'!$A:$A)+1)-'Price History'!V3)*(ROW()-3)/(MATCH(9.99E+307,'Returns (Calc)'!$A:$A)-3),"")</f>
        <v>289.339056603774</v>
      </c>
      <c r="AP60" s="154" t="n">
        <f aca="false">IFERROR(IF(OR(NOT(ISNUMBER('Price History'!W61)),NOT(ISNUMBER('Price History'!W60)),'Price History'!W60=0),"",'Price History'!W61/'Price History'!W60-1),"")</f>
        <v>-0.022898318654924</v>
      </c>
      <c r="AQ60" s="154" t="str">
        <f aca="false">IFERROR(IF(OR(NOT(ISNUMBER('Price History'!X61)),NOT(ISNUMBER('Price History'!X60)),'Price History'!X60=0),"",'Price History'!X61/'Price History'!X60-1),"")</f>
        <v/>
      </c>
      <c r="AR60" s="154" t="n">
        <f aca="false">IFERROR(IF(OR(NOT(ISNUMBER('Price History'!Y61)),NOT(ISNUMBER('Price History'!Y60)),'Price History'!Y60=0),"",'Price History'!Y61/'Price History'!Y60-1),"")</f>
        <v>-0.0111962286387741</v>
      </c>
      <c r="AS60" s="154" t="n">
        <f aca="false">IFERROR(IF(OR(NOT(ISNUMBER('Price History'!Z61)),NOT(ISNUMBER('Price History'!Z60)),'Price History'!Z60=0),"",'Price History'!Z61/'Price History'!Z60-1),"")</f>
        <v>-0.0701155462184874</v>
      </c>
      <c r="AT60" s="154" t="n">
        <f aca="false">IFERROR(IF(OR(NOT(ISNUMBER('Price History'!AA61)),NOT(ISNUMBER('Price History'!AA60)),'Price History'!AA60=0),"",'Price History'!AA61/'Price History'!AA60-1),"")</f>
        <v>-0.0120434611860192</v>
      </c>
      <c r="AU60" s="154" t="n">
        <f aca="false">IFERROR(IF(OR(NOT(ISNUMBER('Price History'!AB61)),NOT(ISNUMBER('Price History'!AB60)),'Price History'!AB60=0),"",'Price History'!AB61/'Price History'!AB60-1),"")</f>
        <v>-0.0410717513103199</v>
      </c>
    </row>
    <row r="61" customFormat="false" ht="15" hidden="false" customHeight="true" outlineLevel="0" collapsed="false">
      <c r="A61" s="152" t="n">
        <f aca="false">IF('Price History'!A62="","",'Price History'!A62)</f>
        <v>45597</v>
      </c>
      <c r="B61" s="153" t="n">
        <f aca="false">IFERROR(IF(OR(NOT(ISNUMBER('Price History'!B62)),NOT(ISNUMBER('Price History'!B61)),'Price History'!B61=0),"",'Price History'!B62/'Price History'!B61-1),"")</f>
        <v>-0.00190192673447454</v>
      </c>
      <c r="C61" s="153" t="n">
        <f aca="false">IFERROR(IF(OR(NOT(ISNUMBER('Price History'!C62)),NOT(ISNUMBER('Price History'!C61)),'Price History'!C61=0),"",'Price History'!C62/'Price History'!C61-1),"")</f>
        <v>0.000203004466098333</v>
      </c>
      <c r="D61" s="153" t="n">
        <f aca="false">IFERROR(IF(OR(NOT(ISNUMBER('Price History'!D62)),NOT(ISNUMBER('Price History'!D61)),'Price History'!D61=0),"",'Price History'!D62/'Price History'!D61-1),"")</f>
        <v>-0.0497449890709603</v>
      </c>
      <c r="E61" s="153" t="n">
        <f aca="false">IFERROR(IF(OR(NOT(ISNUMBER('Price History'!E62)),NOT(ISNUMBER('Price History'!E61)),'Price History'!E61=0),"",'Price History'!E62/'Price History'!E61-1),"")</f>
        <v>-0.0236387157473833</v>
      </c>
      <c r="F61" s="153" t="n">
        <f aca="false">IFERROR(IF(OR(NOT(ISNUMBER('Price History'!F62)),NOT(ISNUMBER('Price History'!F61)),'Price History'!F61=0),"",'Price History'!F62/'Price History'!F61-1),"")</f>
        <v>0.00838323353293413</v>
      </c>
      <c r="G61" s="153" t="n">
        <f aca="false">IFERROR(IF(OR(NOT(ISNUMBER('Price History'!G62)),NOT(ISNUMBER('Price History'!G61)),'Price History'!G61=0),"",'Price History'!G62/'Price History'!G61-1),"")</f>
        <v>-0.00557985220931989</v>
      </c>
      <c r="H61" s="153" t="n">
        <f aca="false">IFERROR(IF(OR(NOT(ISNUMBER('Price History'!H62)),NOT(ISNUMBER('Price History'!H61)),'Price History'!H61=0),"",'Price History'!H62/'Price History'!H61-1),"")</f>
        <v>-0.0758196721311476</v>
      </c>
      <c r="I61" s="153" t="n">
        <f aca="false">IFERROR(IF(OR(NOT(ISNUMBER('Price History'!I62)),NOT(ISNUMBER('Price History'!I61)),'Price History'!I61=0),"",'Price History'!I62/'Price History'!I61-1),"")</f>
        <v>-0.0433550580901105</v>
      </c>
      <c r="J61" s="153" t="n">
        <f aca="false">IFERROR(IF(OR(NOT(ISNUMBER('Price History'!J62)),NOT(ISNUMBER('Price History'!J61)),'Price History'!J61=0),"",'Price History'!J62/'Price History'!J61-1),"")</f>
        <v>-0.0352010187374933</v>
      </c>
      <c r="K61" s="153" t="n">
        <f aca="false">IFERROR(IF(OR(NOT(ISNUMBER('Price History'!K62)),NOT(ISNUMBER('Price History'!K61)),'Price History'!K61=0),"",'Price History'!K62/'Price History'!K61-1),"")</f>
        <v>-0.0655372269282211</v>
      </c>
      <c r="L61" s="153" t="n">
        <f aca="false">IFERROR(IF(OR(NOT(ISNUMBER('Price History'!L62)),NOT(ISNUMBER('Price History'!L61)),'Price History'!L61=0),"",'Price History'!L62/'Price History'!L61-1),"")</f>
        <v>-0.0515765085121385</v>
      </c>
      <c r="M61" s="153" t="n">
        <f aca="false">IFERROR(IF(OR(NOT(ISNUMBER('Price History'!M62)),NOT(ISNUMBER('Price History'!M61)),'Price History'!M61=0),"",'Price History'!M62/'Price History'!M61-1),"")</f>
        <v>-0.0470062555853441</v>
      </c>
      <c r="N61" s="153" t="n">
        <f aca="false">IFERROR(IF(OR(NOT(ISNUMBER('Price History'!N62)),NOT(ISNUMBER('Price History'!N61)),'Price History'!N61=0),"",'Price History'!N62/'Price History'!N61-1),"")</f>
        <v>-0.0137743353569185</v>
      </c>
      <c r="O61" s="153" t="n">
        <f aca="false">IFERROR(IF(OR(NOT(ISNUMBER('Price History'!O62)),NOT(ISNUMBER('Price History'!O61)),'Price History'!O61=0),"",'Price History'!O62/'Price History'!O61-1),"")</f>
        <v>-0.00238974581794482</v>
      </c>
      <c r="P61" s="153" t="n">
        <f aca="false">IFERROR(IF(OR(NOT(ISNUMBER('Price History'!P62)),NOT(ISNUMBER('Price History'!P61)),'Price History'!P61=0),"",'Price History'!P62/'Price History'!P61-1),"")</f>
        <v>-0.000963778009798411</v>
      </c>
      <c r="Q61" s="153" t="n">
        <f aca="false">IFERROR(IF(OR(NOT(ISNUMBER('Price History'!Q62)),NOT(ISNUMBER('Price History'!Q61)),'Price History'!Q61=0),"",'Price History'!Q62/'Price History'!Q61-1),"")</f>
        <v>-0.00884810748812059</v>
      </c>
      <c r="R61" s="153" t="n">
        <f aca="false">IFERROR(IF(OR(NOT(ISNUMBER('Price History'!R62)),NOT(ISNUMBER('Price History'!R61)),'Price History'!R61=0),"",'Price History'!R62/'Price History'!R61-1),"")</f>
        <v>-0.00837483023992747</v>
      </c>
      <c r="S61" s="153" t="n">
        <f aca="false">IFERROR(IF(OR(NOT(ISNUMBER('Price History'!S62)),NOT(ISNUMBER('Price History'!S61)),'Price History'!S61=0),"",'Price History'!S62/'Price History'!S61-1),"")</f>
        <v>-0.0137016332346815</v>
      </c>
      <c r="T61" s="153" t="n">
        <f aca="false">IFERROR(IF(OR(NOT(ISNUMBER('Price History'!T62)),NOT(ISNUMBER('Price History'!T61)),'Price History'!T61=0),"",'Price History'!T62/'Price History'!T61-1),"")</f>
        <v>0.000620925178515863</v>
      </c>
      <c r="U61" s="153" t="n">
        <f aca="false">IFERROR(IF(OR(NOT(ISNUMBER('Price History'!U62)),NOT(ISNUMBER('Price History'!U61)),'Price History'!U61=0),"",'Price History'!U62/'Price History'!U61-1),"")</f>
        <v>-0.00152730049637273</v>
      </c>
      <c r="V61" s="154" t="n">
        <f aca="false">IFERROR(IF(OR(NOT(ISNUMBER('Price History'!V62)),NOT(ISNUMBER('Price History'!V61)),'Price History'!V61=0),"",'Price History'!V62/'Price History'!V61-1),"")</f>
        <v>0.0319582057286976</v>
      </c>
      <c r="W61" s="155" t="n">
        <f aca="false">IFERROR('Price History'!B3+(INDEX('Price History'!B:B,MATCH(9.99E+307,'Returns (Calc)'!$A:$A)+1)-'Price History'!B3)*(ROW()-3)/(MATCH(9.99E+307,'Returns (Calc)'!$A:$A)-3),"")</f>
        <v>424.33679245283</v>
      </c>
      <c r="X61" s="155" t="n">
        <f aca="false">IFERROR('Price History'!C3+(INDEX('Price History'!C:C,MATCH(9.99E+307,'Returns (Calc)'!$A:$A)+1)-'Price History'!C3)*(ROW()-3)/(MATCH(9.99E+307,'Returns (Calc)'!$A:$A)-3),"")</f>
        <v>108.396855345912</v>
      </c>
      <c r="Y61" s="155" t="n">
        <f aca="false">IFERROR('Price History'!D3+(INDEX('Price History'!D:D,MATCH(9.99E+307,'Returns (Calc)'!$A:$A)+1)-'Price History'!D3)*(ROW()-3)/(MATCH(9.99E+307,'Returns (Calc)'!$A:$A)-3),"")</f>
        <v>1019.13666666667</v>
      </c>
      <c r="Z61" s="155" t="n">
        <f aca="false">IFERROR('Price History'!E3+(INDEX('Price History'!E:E,MATCH(9.99E+307,'Returns (Calc)'!$A:$A)+1)-'Price History'!E3)*(ROW()-3)/(MATCH(9.99E+307,'Returns (Calc)'!$A:$A)-3),"")</f>
        <v>183.970566037736</v>
      </c>
      <c r="AA61" s="155" t="n">
        <f aca="false">IFERROR('Price History'!F3+(INDEX('Price History'!F:F,MATCH(9.99E+307,'Returns (Calc)'!$A:$A)+1)-'Price History'!F3)*(ROW()-3)/(MATCH(9.99E+307,'Returns (Calc)'!$A:$A)-3),"")</f>
        <v>126.601761006289</v>
      </c>
      <c r="AB61" s="155" t="n">
        <f aca="false">IFERROR('Price History'!G3+(INDEX('Price History'!G:G,MATCH(9.99E+307,'Returns (Calc)'!$A:$A)+1)-'Price History'!G3)*(ROW()-3)/(MATCH(9.99E+307,'Returns (Calc)'!$A:$A)-3),"")</f>
        <v>99.5120125786164</v>
      </c>
      <c r="AC61" s="155" t="n">
        <f aca="false">IFERROR('Price History'!H3+(INDEX('Price History'!H:H,MATCH(9.99E+307,'Returns (Calc)'!$A:$A)+1)-'Price History'!H3)*(ROW()-3)/(MATCH(9.99E+307,'Returns (Calc)'!$A:$A)-3),"")</f>
        <v>419.25855345912</v>
      </c>
      <c r="AD61" s="155" t="n">
        <f aca="false">IFERROR('Price History'!I3+(INDEX('Price History'!I:I,MATCH(9.99E+307,'Returns (Calc)'!$A:$A)+1)-'Price History'!I3)*(ROW()-3)/(MATCH(9.99E+307,'Returns (Calc)'!$A:$A)-3),"")</f>
        <v>111.440314465409</v>
      </c>
      <c r="AE61" s="155" t="n">
        <f aca="false">IFERROR('Price History'!J3+(INDEX('Price History'!J:J,MATCH(9.99E+307,'Returns (Calc)'!$A:$A)+1)-'Price History'!J3)*(ROW()-3)/(MATCH(9.99E+307,'Returns (Calc)'!$A:$A)-3),"")</f>
        <v>118.278364779874</v>
      </c>
      <c r="AF61" s="155" t="n">
        <f aca="false">IFERROR('Price History'!K3+(INDEX('Price History'!K:K,MATCH(9.99E+307,'Returns (Calc)'!$A:$A)+1)-'Price History'!K3)*(ROW()-3)/(MATCH(9.99E+307,'Returns (Calc)'!$A:$A)-3),"")</f>
        <v>85.9951572327044</v>
      </c>
      <c r="AG61" s="155" t="n">
        <f aca="false">IFERROR('Price History'!L3+(INDEX('Price History'!L:L,MATCH(9.99E+307,'Returns (Calc)'!$A:$A)+1)-'Price History'!L3)*(ROW()-3)/(MATCH(9.99E+307,'Returns (Calc)'!$A:$A)-3),"")</f>
        <v>219.828490566038</v>
      </c>
      <c r="AH61" s="155" t="n">
        <f aca="false">IFERROR('Price History'!M3+(INDEX('Price History'!M:M,MATCH(9.99E+307,'Returns (Calc)'!$A:$A)+1)-'Price History'!M3)*(ROW()-3)/(MATCH(9.99E+307,'Returns (Calc)'!$A:$A)-3),"")</f>
        <v>112.712327044025</v>
      </c>
      <c r="AI61" s="155" t="n">
        <f aca="false">IFERROR('Price History'!N3+(INDEX('Price History'!N:N,MATCH(9.99E+307,'Returns (Calc)'!$A:$A)+1)-'Price History'!N3)*(ROW()-3)/(MATCH(9.99E+307,'Returns (Calc)'!$A:$A)-3),"")</f>
        <v>407.695220125786</v>
      </c>
      <c r="AJ61" s="155" t="n">
        <f aca="false">IFERROR('Price History'!O3+(INDEX('Price History'!O:O,MATCH(9.99E+307,'Returns (Calc)'!$A:$A)+1)-'Price History'!O3)*(ROW()-3)/(MATCH(9.99E+307,'Returns (Calc)'!$A:$A)-3),"")</f>
        <v>91.4806918238994</v>
      </c>
      <c r="AK61" s="155" t="n">
        <f aca="false">IFERROR('Price History'!Q3+(INDEX('Price History'!Q:Q,MATCH(9.99E+307,'Returns (Calc)'!$A:$A)+1)-'Price History'!Q3)*(ROW()-3)/(MATCH(9.99E+307,'Returns (Calc)'!$A:$A)-3),"")</f>
        <v>25.5236477987421</v>
      </c>
      <c r="AL61" s="155" t="n">
        <f aca="false">IFERROR('Price History'!R3+(INDEX('Price History'!R:R,MATCH(9.99E+307,'Returns (Calc)'!$A:$A)+1)-'Price History'!R3)*(ROW()-3)/(MATCH(9.99E+307,'Returns (Calc)'!$A:$A)-3),"")</f>
        <v>44.1867924528302</v>
      </c>
      <c r="AM61" s="155" t="n">
        <f aca="false">IFERROR('Price History'!S3+(INDEX('Price History'!S:S,MATCH(9.99E+307,'Returns (Calc)'!$A:$A)+1)-'Price History'!S3)*(ROW()-3)/(MATCH(9.99E+307,'Returns (Calc)'!$A:$A)-3),"")</f>
        <v>91.7478616352201</v>
      </c>
      <c r="AN61" s="155" t="n">
        <f aca="false">IFERROR('Price History'!T3+(INDEX('Price History'!T:T,MATCH(9.99E+307,'Returns (Calc)'!$A:$A)+1)-'Price History'!T3)*(ROW()-3)/(MATCH(9.99E+307,'Returns (Calc)'!$A:$A)-3),"")</f>
        <v>35.2761635220126</v>
      </c>
      <c r="AO61" s="156" t="n">
        <f aca="false">IFERROR('Price History'!V3+(INDEX('Price History'!V:V,MATCH(9.99E+307,'Returns (Calc)'!$A:$A)+1)-'Price History'!V3)*(ROW()-3)/(MATCH(9.99E+307,'Returns (Calc)'!$A:$A)-3),"")</f>
        <v>290.281320754717</v>
      </c>
      <c r="AP61" s="154" t="n">
        <f aca="false">IFERROR(IF(OR(NOT(ISNUMBER('Price History'!W62)),NOT(ISNUMBER('Price History'!W61)),'Price History'!W61=0),"",'Price History'!W62/'Price History'!W61-1),"")</f>
        <v>-0.00696492953130123</v>
      </c>
      <c r="AQ61" s="154" t="str">
        <f aca="false">IFERROR(IF(OR(NOT(ISNUMBER('Price History'!X62)),NOT(ISNUMBER('Price History'!X61)),'Price History'!X61=0),"",'Price History'!X62/'Price History'!X61-1),"")</f>
        <v/>
      </c>
      <c r="AR61" s="154" t="n">
        <f aca="false">IFERROR(IF(OR(NOT(ISNUMBER('Price History'!Y62)),NOT(ISNUMBER('Price History'!Y61)),'Price History'!Y61=0),"",'Price History'!Y62/'Price History'!Y61-1),"")</f>
        <v>-0.00655542312276536</v>
      </c>
      <c r="AS61" s="154" t="n">
        <f aca="false">IFERROR(IF(OR(NOT(ISNUMBER('Price History'!Z62)),NOT(ISNUMBER('Price History'!Z61)),'Price History'!Z61=0),"",'Price History'!Z62/'Price History'!Z61-1),"")</f>
        <v>-0.0413442530358656</v>
      </c>
      <c r="AT61" s="154" t="n">
        <f aca="false">IFERROR(IF(OR(NOT(ISNUMBER('Price History'!AA62)),NOT(ISNUMBER('Price History'!AA61)),'Price History'!AA61=0),"",'Price History'!AA62/'Price History'!AA61-1),"")</f>
        <v>0.00185504173843909</v>
      </c>
      <c r="AU61" s="154" t="n">
        <f aca="false">IFERROR(IF(OR(NOT(ISNUMBER('Price History'!AB62)),NOT(ISNUMBER('Price History'!AB61)),'Price History'!AB61=0),"",'Price History'!AB62/'Price History'!AB61-1),"")</f>
        <v>0.00259152805918106</v>
      </c>
    </row>
    <row r="62" customFormat="false" ht="15" hidden="false" customHeight="true" outlineLevel="0" collapsed="false">
      <c r="A62" s="152" t="n">
        <f aca="false">IF('Price History'!A63="","",'Price History'!A63)</f>
        <v>45604</v>
      </c>
      <c r="B62" s="153" t="n">
        <f aca="false">IFERROR(IF(OR(NOT(ISNUMBER('Price History'!B63)),NOT(ISNUMBER('Price History'!B62)),'Price History'!B62=0),"",'Price History'!B63/'Price History'!B62-1),"")</f>
        <v>0.0246064623032312</v>
      </c>
      <c r="C62" s="153" t="n">
        <f aca="false">IFERROR(IF(OR(NOT(ISNUMBER('Price History'!C63)),NOT(ISNUMBER('Price History'!C62)),'Price History'!C62=0),"",'Price History'!C63/'Price History'!C62-1),"")</f>
        <v>0.0159326161964684</v>
      </c>
      <c r="D62" s="153" t="n">
        <f aca="false">IFERROR(IF(OR(NOT(ISNUMBER('Price History'!D63)),NOT(ISNUMBER('Price History'!D62)),'Price History'!D62=0),"",'Price History'!D63/'Price History'!D62-1),"")</f>
        <v>-0.00780275125911445</v>
      </c>
      <c r="E62" s="153" t="n">
        <f aca="false">IFERROR(IF(OR(NOT(ISNUMBER('Price History'!E63)),NOT(ISNUMBER('Price History'!E62)),'Price History'!E62=0),"",'Price History'!E63/'Price History'!E62-1),"")</f>
        <v>0.0871476752589737</v>
      </c>
      <c r="F62" s="153" t="n">
        <f aca="false">IFERROR(IF(OR(NOT(ISNUMBER('Price History'!F63)),NOT(ISNUMBER('Price History'!F62)),'Price History'!F62=0),"",'Price History'!F63/'Price History'!F62-1),"")</f>
        <v>0.0888097123251519</v>
      </c>
      <c r="G62" s="153" t="n">
        <f aca="false">IFERROR(IF(OR(NOT(ISNUMBER('Price History'!G63)),NOT(ISNUMBER('Price History'!G62)),'Price History'!G62=0),"",'Price History'!G63/'Price History'!G62-1),"")</f>
        <v>0.02699423718532</v>
      </c>
      <c r="H62" s="153" t="n">
        <f aca="false">IFERROR(IF(OR(NOT(ISNUMBER('Price History'!H63)),NOT(ISNUMBER('Price History'!H62)),'Price History'!H62=0),"",'Price History'!H63/'Price History'!H62-1),"")</f>
        <v>0.122052005644023</v>
      </c>
      <c r="I62" s="153" t="n">
        <f aca="false">IFERROR(IF(OR(NOT(ISNUMBER('Price History'!I63)),NOT(ISNUMBER('Price History'!I62)),'Price History'!I62=0),"",'Price History'!I63/'Price History'!I62-1),"")</f>
        <v>0.0902695497630333</v>
      </c>
      <c r="J62" s="153" t="n">
        <f aca="false">IFERROR(IF(OR(NOT(ISNUMBER('Price History'!J63)),NOT(ISNUMBER('Price History'!J62)),'Price History'!J62=0),"",'Price History'!J63/'Price History'!J62-1),"")</f>
        <v>0.0214009616291129</v>
      </c>
      <c r="K62" s="153" t="n">
        <f aca="false">IFERROR(IF(OR(NOT(ISNUMBER('Price History'!K63)),NOT(ISNUMBER('Price History'!K62)),'Price History'!K62=0),"",'Price History'!K63/'Price History'!K62-1),"")</f>
        <v>0.392891221374046</v>
      </c>
      <c r="L62" s="153" t="n">
        <f aca="false">IFERROR(IF(OR(NOT(ISNUMBER('Price History'!L63)),NOT(ISNUMBER('Price History'!L62)),'Price History'!L62=0),"",'Price History'!L63/'Price History'!L62-1),"")</f>
        <v>0.0427509293680297</v>
      </c>
      <c r="M62" s="153" t="n">
        <f aca="false">IFERROR(IF(OR(NOT(ISNUMBER('Price History'!M63)),NOT(ISNUMBER('Price History'!M62)),'Price History'!M62=0),"",'Price History'!M63/'Price History'!M62-1),"")</f>
        <v>0.17638784696174</v>
      </c>
      <c r="N62" s="153" t="n">
        <f aca="false">IFERROR(IF(OR(NOT(ISNUMBER('Price History'!N63)),NOT(ISNUMBER('Price History'!N62)),'Price History'!N62=0),"",'Price History'!N63/'Price History'!N62-1),"")</f>
        <v>0.0968330786211582</v>
      </c>
      <c r="O62" s="153" t="n">
        <f aca="false">IFERROR(IF(OR(NOT(ISNUMBER('Price History'!O63)),NOT(ISNUMBER('Price History'!O62)),'Price History'!O62=0),"",'Price History'!O63/'Price History'!O62-1),"")</f>
        <v>0.0886324041811846</v>
      </c>
      <c r="P62" s="153" t="n">
        <f aca="false">IFERROR(IF(OR(NOT(ISNUMBER('Price History'!P63)),NOT(ISNUMBER('Price History'!P62)),'Price History'!P62=0),"",'Price History'!P63/'Price History'!P62-1),"")</f>
        <v>0.0347294798617253</v>
      </c>
      <c r="Q62" s="153" t="n">
        <f aca="false">IFERROR(IF(OR(NOT(ISNUMBER('Price History'!Q63)),NOT(ISNUMBER('Price History'!Q62)),'Price History'!Q62=0),"",'Price History'!Q63/'Price History'!Q62-1),"")</f>
        <v>0.0243015374442057</v>
      </c>
      <c r="R62" s="153" t="n">
        <f aca="false">IFERROR(IF(OR(NOT(ISNUMBER('Price History'!R63)),NOT(ISNUMBER('Price History'!R62)),'Price History'!R62=0),"",'Price History'!R63/'Price History'!R62-1),"")</f>
        <v>0.0385756676557862</v>
      </c>
      <c r="S62" s="153" t="n">
        <f aca="false">IFERROR(IF(OR(NOT(ISNUMBER('Price History'!S63)),NOT(ISNUMBER('Price History'!S62)),'Price History'!S62=0),"",'Price History'!S63/'Price History'!S62-1),"")</f>
        <v>0.0597910646810402</v>
      </c>
      <c r="T62" s="153" t="n">
        <f aca="false">IFERROR(IF(OR(NOT(ISNUMBER('Price History'!T63)),NOT(ISNUMBER('Price History'!T62)),'Price History'!T62=0),"",'Price History'!T63/'Price History'!T62-1),"")</f>
        <v>0.0775674837108284</v>
      </c>
      <c r="U62" s="153" t="n">
        <f aca="false">IFERROR(IF(OR(NOT(ISNUMBER('Price History'!U63)),NOT(ISNUMBER('Price History'!U62)),'Price History'!U62=0),"",'Price History'!U63/'Price History'!U62-1),"")</f>
        <v>0.0347992351816444</v>
      </c>
      <c r="V62" s="154" t="n">
        <f aca="false">IFERROR(IF(OR(NOT(ISNUMBER('Price History'!V63)),NOT(ISNUMBER('Price History'!V62)),'Price History'!V62=0),"",'Price History'!V63/'Price History'!V62-1),"")</f>
        <v>0.0589344319530758</v>
      </c>
      <c r="W62" s="155" t="n">
        <f aca="false">IFERROR('Price History'!B3+(INDEX('Price History'!B:B,MATCH(9.99E+307,'Returns (Calc)'!$A:$A)+1)-'Price History'!B3)*(ROW()-3)/(MATCH(9.99E+307,'Returns (Calc)'!$A:$A)-3),"")</f>
        <v>422.534150943396</v>
      </c>
      <c r="X62" s="155" t="n">
        <f aca="false">IFERROR('Price History'!C3+(INDEX('Price History'!C:C,MATCH(9.99E+307,'Returns (Calc)'!$A:$A)+1)-'Price History'!C3)*(ROW()-3)/(MATCH(9.99E+307,'Returns (Calc)'!$A:$A)-3),"")</f>
        <v>109.469559748428</v>
      </c>
      <c r="Y62" s="155" t="n">
        <f aca="false">IFERROR('Price History'!D3+(INDEX('Price History'!D:D,MATCH(9.99E+307,'Returns (Calc)'!$A:$A)+1)-'Price History'!D3)*(ROW()-3)/(MATCH(9.99E+307,'Returns (Calc)'!$A:$A)-3),"")</f>
        <v>1026.67333333333</v>
      </c>
      <c r="Z62" s="155" t="n">
        <f aca="false">IFERROR('Price History'!E3+(INDEX('Price History'!E:E,MATCH(9.99E+307,'Returns (Calc)'!$A:$A)+1)-'Price History'!E3)*(ROW()-3)/(MATCH(9.99E+307,'Returns (Calc)'!$A:$A)-3),"")</f>
        <v>185.728679245283</v>
      </c>
      <c r="AA62" s="155" t="n">
        <f aca="false">IFERROR('Price History'!F3+(INDEX('Price History'!F:F,MATCH(9.99E+307,'Returns (Calc)'!$A:$A)+1)-'Price History'!F3)*(ROW()-3)/(MATCH(9.99E+307,'Returns (Calc)'!$A:$A)-3),"")</f>
        <v>128.071446540881</v>
      </c>
      <c r="AB62" s="155" t="n">
        <f aca="false">IFERROR('Price History'!G3+(INDEX('Price History'!G:G,MATCH(9.99E+307,'Returns (Calc)'!$A:$A)+1)-'Price History'!G3)*(ROW()-3)/(MATCH(9.99E+307,'Returns (Calc)'!$A:$A)-3),"")</f>
        <v>100.463081761006</v>
      </c>
      <c r="AC62" s="155" t="n">
        <f aca="false">IFERROR('Price History'!H3+(INDEX('Price History'!H:H,MATCH(9.99E+307,'Returns (Calc)'!$A:$A)+1)-'Price History'!H3)*(ROW()-3)/(MATCH(9.99E+307,'Returns (Calc)'!$A:$A)-3),"")</f>
        <v>425.295597484277</v>
      </c>
      <c r="AD62" s="155" t="n">
        <f aca="false">IFERROR('Price History'!I3+(INDEX('Price History'!I:I,MATCH(9.99E+307,'Returns (Calc)'!$A:$A)+1)-'Price History'!I3)*(ROW()-3)/(MATCH(9.99E+307,'Returns (Calc)'!$A:$A)-3),"")</f>
        <v>112.607044025157</v>
      </c>
      <c r="AE62" s="155" t="n">
        <f aca="false">IFERROR('Price History'!J3+(INDEX('Price History'!J:J,MATCH(9.99E+307,'Returns (Calc)'!$A:$A)+1)-'Price History'!J3)*(ROW()-3)/(MATCH(9.99E+307,'Returns (Calc)'!$A:$A)-3),"")</f>
        <v>118.389371069182</v>
      </c>
      <c r="AF62" s="155" t="n">
        <f aca="false">IFERROR('Price History'!K3+(INDEX('Price History'!K:K,MATCH(9.99E+307,'Returns (Calc)'!$A:$A)+1)-'Price History'!K3)*(ROW()-3)/(MATCH(9.99E+307,'Returns (Calc)'!$A:$A)-3),"")</f>
        <v>87.2135220125786</v>
      </c>
      <c r="AG62" s="155" t="n">
        <f aca="false">IFERROR('Price History'!L3+(INDEX('Price History'!L:L,MATCH(9.99E+307,'Returns (Calc)'!$A:$A)+1)-'Price History'!L3)*(ROW()-3)/(MATCH(9.99E+307,'Returns (Calc)'!$A:$A)-3),"")</f>
        <v>222.140188679245</v>
      </c>
      <c r="AH62" s="155" t="n">
        <f aca="false">IFERROR('Price History'!M3+(INDEX('Price History'!M:M,MATCH(9.99E+307,'Returns (Calc)'!$A:$A)+1)-'Price History'!M3)*(ROW()-3)/(MATCH(9.99E+307,'Returns (Calc)'!$A:$A)-3),"")</f>
        <v>114.000125786164</v>
      </c>
      <c r="AI62" s="155" t="n">
        <f aca="false">IFERROR('Price History'!N3+(INDEX('Price History'!N:N,MATCH(9.99E+307,'Returns (Calc)'!$A:$A)+1)-'Price History'!N3)*(ROW()-3)/(MATCH(9.99E+307,'Returns (Calc)'!$A:$A)-3),"")</f>
        <v>408.70893081761</v>
      </c>
      <c r="AJ62" s="155" t="n">
        <f aca="false">IFERROR('Price History'!O3+(INDEX('Price History'!O:O,MATCH(9.99E+307,'Returns (Calc)'!$A:$A)+1)-'Price History'!O3)*(ROW()-3)/(MATCH(9.99E+307,'Returns (Calc)'!$A:$A)-3),"")</f>
        <v>91.7594968553459</v>
      </c>
      <c r="AK62" s="155" t="n">
        <f aca="false">IFERROR('Price History'!Q3+(INDEX('Price History'!Q:Q,MATCH(9.99E+307,'Returns (Calc)'!$A:$A)+1)-'Price History'!Q3)*(ROW()-3)/(MATCH(9.99E+307,'Returns (Calc)'!$A:$A)-3),"")</f>
        <v>25.9637106918239</v>
      </c>
      <c r="AL62" s="155" t="n">
        <f aca="false">IFERROR('Price History'!R3+(INDEX('Price History'!R:R,MATCH(9.99E+307,'Returns (Calc)'!$A:$A)+1)-'Price History'!R3)*(ROW()-3)/(MATCH(9.99E+307,'Returns (Calc)'!$A:$A)-3),"")</f>
        <v>44.3541509433962</v>
      </c>
      <c r="AM62" s="155" t="n">
        <f aca="false">IFERROR('Price History'!S3+(INDEX('Price History'!S:S,MATCH(9.99E+307,'Returns (Calc)'!$A:$A)+1)-'Price History'!S3)*(ROW()-3)/(MATCH(9.99E+307,'Returns (Calc)'!$A:$A)-3),"")</f>
        <v>92.3361006289308</v>
      </c>
      <c r="AN62" s="155" t="n">
        <f aca="false">IFERROR('Price History'!T3+(INDEX('Price History'!T:T,MATCH(9.99E+307,'Returns (Calc)'!$A:$A)+1)-'Price History'!T3)*(ROW()-3)/(MATCH(9.99E+307,'Returns (Calc)'!$A:$A)-3),"")</f>
        <v>35.4500628930818</v>
      </c>
      <c r="AO62" s="156" t="n">
        <f aca="false">IFERROR('Price History'!V3+(INDEX('Price History'!V:V,MATCH(9.99E+307,'Returns (Calc)'!$A:$A)+1)-'Price History'!V3)*(ROW()-3)/(MATCH(9.99E+307,'Returns (Calc)'!$A:$A)-3),"")</f>
        <v>291.22358490566</v>
      </c>
      <c r="AP62" s="154" t="n">
        <f aca="false">IFERROR(IF(OR(NOT(ISNUMBER('Price History'!W63)),NOT(ISNUMBER('Price History'!W62)),'Price History'!W62=0),"",'Price History'!W63/'Price History'!W62-1),"")</f>
        <v>0.0389471078471821</v>
      </c>
      <c r="AQ62" s="154" t="str">
        <f aca="false">IFERROR(IF(OR(NOT(ISNUMBER('Price History'!X63)),NOT(ISNUMBER('Price History'!X62)),'Price History'!X62=0),"",'Price History'!X63/'Price History'!X62-1),"")</f>
        <v/>
      </c>
      <c r="AR62" s="154" t="n">
        <f aca="false">IFERROR(IF(OR(NOT(ISNUMBER('Price History'!Y63)),NOT(ISNUMBER('Price History'!Y62)),'Price History'!Y62=0),"",'Price History'!Y63/'Price History'!Y62-1),"")</f>
        <v>0.0267946410717856</v>
      </c>
      <c r="AS62" s="154" t="n">
        <f aca="false">IFERROR(IF(OR(NOT(ISNUMBER('Price History'!Z63)),NOT(ISNUMBER('Price History'!Z62)),'Price History'!Z62=0),"",'Price History'!Z63/'Price History'!Z62-1),"")</f>
        <v>0.0763565663112003</v>
      </c>
      <c r="AT62" s="154" t="n">
        <f aca="false">IFERROR(IF(OR(NOT(ISNUMBER('Price History'!AA63)),NOT(ISNUMBER('Price History'!AA62)),'Price History'!AA62=0),"",'Price History'!AA63/'Price History'!AA62-1),"")</f>
        <v>0.0514482211347704</v>
      </c>
      <c r="AU62" s="154" t="n">
        <f aca="false">IFERROR(IF(OR(NOT(ISNUMBER('Price History'!AB63)),NOT(ISNUMBER('Price History'!AB62)),'Price History'!AB62=0),"",'Price History'!AB63/'Price History'!AB62-1),"")</f>
        <v>0.104427107810884</v>
      </c>
    </row>
    <row r="63" customFormat="false" ht="15" hidden="false" customHeight="true" outlineLevel="0" collapsed="false">
      <c r="A63" s="152" t="n">
        <f aca="false">IF('Price History'!A64="","",'Price History'!A64)</f>
        <v>45611</v>
      </c>
      <c r="B63" s="153" t="n">
        <f aca="false">IFERROR(IF(OR(NOT(ISNUMBER('Price History'!B64)),NOT(ISNUMBER('Price History'!B63)),'Price History'!B63=0),"",'Price History'!B64/'Price History'!B63-1),"")</f>
        <v>0.0175669119430744</v>
      </c>
      <c r="C63" s="153" t="n">
        <f aca="false">IFERROR(IF(OR(NOT(ISNUMBER('Price History'!C64)),NOT(ISNUMBER('Price History'!C63)),'Price History'!C63=0),"",'Price History'!C64/'Price History'!C63-1),"")</f>
        <v>-0.0650284686844471</v>
      </c>
      <c r="D63" s="153" t="n">
        <f aca="false">IFERROR(IF(OR(NOT(ISNUMBER('Price History'!D64)),NOT(ISNUMBER('Price History'!D63)),'Price History'!D63=0),"",'Price History'!D64/'Price History'!D63-1),"")</f>
        <v>-0.0161827989575126</v>
      </c>
      <c r="E63" s="153" t="n">
        <f aca="false">IFERROR(IF(OR(NOT(ISNUMBER('Price History'!E64)),NOT(ISNUMBER('Price History'!E63)),'Price History'!E63=0),"",'Price History'!E64/'Price History'!E63-1),"")</f>
        <v>-0.102376599634369</v>
      </c>
      <c r="F63" s="153" t="n">
        <f aca="false">IFERROR(IF(OR(NOT(ISNUMBER('Price History'!F64)),NOT(ISNUMBER('Price History'!F63)),'Price History'!F63=0),"",'Price History'!F64/'Price History'!F63-1),"")</f>
        <v>0.020361168343231</v>
      </c>
      <c r="G63" s="153" t="n">
        <f aca="false">IFERROR(IF(OR(NOT(ISNUMBER('Price History'!G64)),NOT(ISNUMBER('Price History'!G63)),'Price History'!G63=0),"",'Price History'!G64/'Price History'!G63-1),"")</f>
        <v>-0.106172474896633</v>
      </c>
      <c r="H63" s="153" t="n">
        <f aca="false">IFERROR(IF(OR(NOT(ISNUMBER('Price History'!H64)),NOT(ISNUMBER('Price History'!H63)),'Price History'!H63=0),"",'Price History'!H64/'Price History'!H63-1),"")</f>
        <v>-0.139046079223929</v>
      </c>
      <c r="I63" s="153" t="n">
        <f aca="false">IFERROR(IF(OR(NOT(ISNUMBER('Price History'!I64)),NOT(ISNUMBER('Price History'!I63)),'Price History'!I63=0),"",'Price History'!I64/'Price History'!I63-1),"")</f>
        <v>-0.038239489234531</v>
      </c>
      <c r="J63" s="153" t="n">
        <f aca="false">IFERROR(IF(OR(NOT(ISNUMBER('Price History'!J64)),NOT(ISNUMBER('Price History'!J63)),'Price History'!J63=0),"",'Price History'!J64/'Price History'!J63-1),"")</f>
        <v>-0.0207679527413698</v>
      </c>
      <c r="K63" s="153" t="n">
        <f aca="false">IFERROR(IF(OR(NOT(ISNUMBER('Price History'!K64)),NOT(ISNUMBER('Price History'!K63)),'Price History'!K63=0),"",'Price History'!K64/'Price History'!K63-1),"")</f>
        <v>0.126391505394759</v>
      </c>
      <c r="L63" s="153" t="n">
        <f aca="false">IFERROR(IF(OR(NOT(ISNUMBER('Price History'!L64)),NOT(ISNUMBER('Price History'!L63)),'Price History'!L63=0),"",'Price History'!L64/'Price History'!L63-1),"")</f>
        <v>-0.0754774637127578</v>
      </c>
      <c r="M63" s="153" t="n">
        <f aca="false">IFERROR(IF(OR(NOT(ISNUMBER('Price History'!M64)),NOT(ISNUMBER('Price History'!M63)),'Price History'!M63=0),"",'Price History'!M64/'Price History'!M63-1),"")</f>
        <v>-0.0388202471104026</v>
      </c>
      <c r="N63" s="153" t="n">
        <f aca="false">IFERROR(IF(OR(NOT(ISNUMBER('Price History'!N64)),NOT(ISNUMBER('Price History'!N63)),'Price History'!N63=0),"",'Price History'!N64/'Price History'!N63-1),"")</f>
        <v>-0.0987730773696637</v>
      </c>
      <c r="O63" s="153" t="n">
        <f aca="false">IFERROR(IF(OR(NOT(ISNUMBER('Price History'!O64)),NOT(ISNUMBER('Price History'!O63)),'Price History'!O63=0),"",'Price History'!O64/'Price History'!O63-1),"")</f>
        <v>-0.0194038807761552</v>
      </c>
      <c r="P63" s="153" t="n">
        <f aca="false">IFERROR(IF(OR(NOT(ISNUMBER('Price History'!P64)),NOT(ISNUMBER('Price History'!P63)),'Price History'!P63=0),"",'Price History'!P64/'Price History'!P63-1),"")</f>
        <v>0.00124310465387301</v>
      </c>
      <c r="Q63" s="153" t="n">
        <f aca="false">IFERROR(IF(OR(NOT(ISNUMBER('Price History'!Q64)),NOT(ISNUMBER('Price History'!Q63)),'Price History'!Q63=0),"",'Price History'!Q64/'Price History'!Q63-1),"")</f>
        <v>-0.00952227243382831</v>
      </c>
      <c r="R63" s="153" t="n">
        <f aca="false">IFERROR(IF(OR(NOT(ISNUMBER('Price History'!R64)),NOT(ISNUMBER('Price History'!R63)),'Price History'!R63=0),"",'Price History'!R64/'Price History'!R63-1),"")</f>
        <v>-0.0164835164835165</v>
      </c>
      <c r="S63" s="153" t="n">
        <f aca="false">IFERROR(IF(OR(NOT(ISNUMBER('Price History'!S64)),NOT(ISNUMBER('Price History'!S63)),'Price History'!S63=0),"",'Price History'!S64/'Price History'!S63-1),"")</f>
        <v>-0.0308305369127516</v>
      </c>
      <c r="T63" s="153" t="n">
        <f aca="false">IFERROR(IF(OR(NOT(ISNUMBER('Price History'!T64)),NOT(ISNUMBER('Price History'!T63)),'Price History'!T63=0),"",'Price History'!T64/'Price History'!T63-1),"")</f>
        <v>-0.0152605816297148</v>
      </c>
      <c r="U63" s="153" t="n">
        <f aca="false">IFERROR(IF(OR(NOT(ISNUMBER('Price History'!U64)),NOT(ISNUMBER('Price History'!U63)),'Price History'!U63=0),"",'Price History'!U64/'Price History'!U63-1),"")</f>
        <v>-0.0155210643015521</v>
      </c>
      <c r="V63" s="154" t="n">
        <f aca="false">IFERROR(IF(OR(NOT(ISNUMBER('Price History'!V64)),NOT(ISNUMBER('Price History'!V63)),'Price History'!V63=0),"",'Price History'!V64/'Price History'!V63-1),"")</f>
        <v>0.00764919221892524</v>
      </c>
      <c r="W63" s="155" t="n">
        <f aca="false">IFERROR('Price History'!B3+(INDEX('Price History'!B:B,MATCH(9.99E+307,'Returns (Calc)'!$A:$A)+1)-'Price History'!B3)*(ROW()-3)/(MATCH(9.99E+307,'Returns (Calc)'!$A:$A)-3),"")</f>
        <v>420.731509433962</v>
      </c>
      <c r="X63" s="155" t="n">
        <f aca="false">IFERROR('Price History'!C3+(INDEX('Price History'!C:C,MATCH(9.99E+307,'Returns (Calc)'!$A:$A)+1)-'Price History'!C3)*(ROW()-3)/(MATCH(9.99E+307,'Returns (Calc)'!$A:$A)-3),"")</f>
        <v>110.542264150943</v>
      </c>
      <c r="Y63" s="155" t="n">
        <f aca="false">IFERROR('Price History'!D3+(INDEX('Price History'!D:D,MATCH(9.99E+307,'Returns (Calc)'!$A:$A)+1)-'Price History'!D3)*(ROW()-3)/(MATCH(9.99E+307,'Returns (Calc)'!$A:$A)-3),"")</f>
        <v>1034.21</v>
      </c>
      <c r="Z63" s="155" t="n">
        <f aca="false">IFERROR('Price History'!E3+(INDEX('Price History'!E:E,MATCH(9.99E+307,'Returns (Calc)'!$A:$A)+1)-'Price History'!E3)*(ROW()-3)/(MATCH(9.99E+307,'Returns (Calc)'!$A:$A)-3),"")</f>
        <v>187.48679245283</v>
      </c>
      <c r="AA63" s="155" t="n">
        <f aca="false">IFERROR('Price History'!F3+(INDEX('Price History'!F:F,MATCH(9.99E+307,'Returns (Calc)'!$A:$A)+1)-'Price History'!F3)*(ROW()-3)/(MATCH(9.99E+307,'Returns (Calc)'!$A:$A)-3),"")</f>
        <v>129.541132075472</v>
      </c>
      <c r="AB63" s="155" t="n">
        <f aca="false">IFERROR('Price History'!G3+(INDEX('Price History'!G:G,MATCH(9.99E+307,'Returns (Calc)'!$A:$A)+1)-'Price History'!G3)*(ROW()-3)/(MATCH(9.99E+307,'Returns (Calc)'!$A:$A)-3),"")</f>
        <v>101.414150943396</v>
      </c>
      <c r="AC63" s="155" t="n">
        <f aca="false">IFERROR('Price History'!H3+(INDEX('Price History'!H:H,MATCH(9.99E+307,'Returns (Calc)'!$A:$A)+1)-'Price History'!H3)*(ROW()-3)/(MATCH(9.99E+307,'Returns (Calc)'!$A:$A)-3),"")</f>
        <v>431.332641509434</v>
      </c>
      <c r="AD63" s="155" t="n">
        <f aca="false">IFERROR('Price History'!I3+(INDEX('Price History'!I:I,MATCH(9.99E+307,'Returns (Calc)'!$A:$A)+1)-'Price History'!I3)*(ROW()-3)/(MATCH(9.99E+307,'Returns (Calc)'!$A:$A)-3),"")</f>
        <v>113.773773584906</v>
      </c>
      <c r="AE63" s="155" t="n">
        <f aca="false">IFERROR('Price History'!J3+(INDEX('Price History'!J:J,MATCH(9.99E+307,'Returns (Calc)'!$A:$A)+1)-'Price History'!J3)*(ROW()-3)/(MATCH(9.99E+307,'Returns (Calc)'!$A:$A)-3),"")</f>
        <v>118.500377358491</v>
      </c>
      <c r="AF63" s="155" t="n">
        <f aca="false">IFERROR('Price History'!K3+(INDEX('Price History'!K:K,MATCH(9.99E+307,'Returns (Calc)'!$A:$A)+1)-'Price History'!K3)*(ROW()-3)/(MATCH(9.99E+307,'Returns (Calc)'!$A:$A)-3),"")</f>
        <v>88.4318867924528</v>
      </c>
      <c r="AG63" s="155" t="n">
        <f aca="false">IFERROR('Price History'!L3+(INDEX('Price History'!L:L,MATCH(9.99E+307,'Returns (Calc)'!$A:$A)+1)-'Price History'!L3)*(ROW()-3)/(MATCH(9.99E+307,'Returns (Calc)'!$A:$A)-3),"")</f>
        <v>224.451886792453</v>
      </c>
      <c r="AH63" s="155" t="n">
        <f aca="false">IFERROR('Price History'!M3+(INDEX('Price History'!M:M,MATCH(9.99E+307,'Returns (Calc)'!$A:$A)+1)-'Price History'!M3)*(ROW()-3)/(MATCH(9.99E+307,'Returns (Calc)'!$A:$A)-3),"")</f>
        <v>115.287924528302</v>
      </c>
      <c r="AI63" s="155" t="n">
        <f aca="false">IFERROR('Price History'!N3+(INDEX('Price History'!N:N,MATCH(9.99E+307,'Returns (Calc)'!$A:$A)+1)-'Price History'!N3)*(ROW()-3)/(MATCH(9.99E+307,'Returns (Calc)'!$A:$A)-3),"")</f>
        <v>409.722641509434</v>
      </c>
      <c r="AJ63" s="155" t="n">
        <f aca="false">IFERROR('Price History'!O3+(INDEX('Price History'!O:O,MATCH(9.99E+307,'Returns (Calc)'!$A:$A)+1)-'Price History'!O3)*(ROW()-3)/(MATCH(9.99E+307,'Returns (Calc)'!$A:$A)-3),"")</f>
        <v>92.0383018867925</v>
      </c>
      <c r="AK63" s="155" t="n">
        <f aca="false">IFERROR('Price History'!Q3+(INDEX('Price History'!Q:Q,MATCH(9.99E+307,'Returns (Calc)'!$A:$A)+1)-'Price History'!Q3)*(ROW()-3)/(MATCH(9.99E+307,'Returns (Calc)'!$A:$A)-3),"")</f>
        <v>26.4037735849057</v>
      </c>
      <c r="AL63" s="155" t="n">
        <f aca="false">IFERROR('Price History'!R3+(INDEX('Price History'!R:R,MATCH(9.99E+307,'Returns (Calc)'!$A:$A)+1)-'Price History'!R3)*(ROW()-3)/(MATCH(9.99E+307,'Returns (Calc)'!$A:$A)-3),"")</f>
        <v>44.5215094339623</v>
      </c>
      <c r="AM63" s="155" t="n">
        <f aca="false">IFERROR('Price History'!S3+(INDEX('Price History'!S:S,MATCH(9.99E+307,'Returns (Calc)'!$A:$A)+1)-'Price History'!S3)*(ROW()-3)/(MATCH(9.99E+307,'Returns (Calc)'!$A:$A)-3),"")</f>
        <v>92.9243396226415</v>
      </c>
      <c r="AN63" s="155" t="n">
        <f aca="false">IFERROR('Price History'!T3+(INDEX('Price History'!T:T,MATCH(9.99E+307,'Returns (Calc)'!$A:$A)+1)-'Price History'!T3)*(ROW()-3)/(MATCH(9.99E+307,'Returns (Calc)'!$A:$A)-3),"")</f>
        <v>35.623962264151</v>
      </c>
      <c r="AO63" s="156" t="n">
        <f aca="false">IFERROR('Price History'!V3+(INDEX('Price History'!V:V,MATCH(9.99E+307,'Returns (Calc)'!$A:$A)+1)-'Price History'!V3)*(ROW()-3)/(MATCH(9.99E+307,'Returns (Calc)'!$A:$A)-3),"")</f>
        <v>292.165849056604</v>
      </c>
      <c r="AP63" s="154" t="n">
        <f aca="false">IFERROR(IF(OR(NOT(ISNUMBER('Price History'!W64)),NOT(ISNUMBER('Price History'!W63)),'Price History'!W63=0),"",'Price History'!W64/'Price History'!W63-1),"")</f>
        <v>-0.0135811293781272</v>
      </c>
      <c r="AQ63" s="154" t="str">
        <f aca="false">IFERROR(IF(OR(NOT(ISNUMBER('Price History'!X64)),NOT(ISNUMBER('Price History'!X63)),'Price History'!X63=0),"",'Price History'!X64/'Price History'!X63-1),"")</f>
        <v/>
      </c>
      <c r="AR63" s="154" t="n">
        <f aca="false">IFERROR(IF(OR(NOT(ISNUMBER('Price History'!Y64)),NOT(ISNUMBER('Price History'!Y63)),'Price History'!Y63=0),"",'Price History'!Y64/'Price History'!Y63-1),"")</f>
        <v>-0.0126582278481012</v>
      </c>
      <c r="AS63" s="154" t="n">
        <f aca="false">IFERROR(IF(OR(NOT(ISNUMBER('Price History'!Z64)),NOT(ISNUMBER('Price History'!Z63)),'Price History'!Z63=0),"",'Price History'!Z64/'Price History'!Z63-1),"")</f>
        <v>-0.0426405386173299</v>
      </c>
      <c r="AT63" s="154" t="n">
        <f aca="false">IFERROR(IF(OR(NOT(ISNUMBER('Price History'!AA64)),NOT(ISNUMBER('Price History'!AA63)),'Price History'!AA63=0),"",'Price History'!AA64/'Price History'!AA63-1),"")</f>
        <v>0.0364779874213836</v>
      </c>
      <c r="AU63" s="154" t="n">
        <f aca="false">IFERROR(IF(OR(NOT(ISNUMBER('Price History'!AB64)),NOT(ISNUMBER('Price History'!AB63)),'Price History'!AB63=0),"",'Price History'!AB64/'Price History'!AB63-1),"")</f>
        <v>-0.0920851063829786</v>
      </c>
    </row>
    <row r="64" customFormat="false" ht="15" hidden="false" customHeight="true" outlineLevel="0" collapsed="false">
      <c r="A64" s="152" t="n">
        <f aca="false">IF('Price History'!A65="","",'Price History'!A65)</f>
        <v>45618</v>
      </c>
      <c r="B64" s="153" t="n">
        <f aca="false">IFERROR(IF(OR(NOT(ISNUMBER('Price History'!B65)),NOT(ISNUMBER('Price History'!B64)),'Price History'!B64=0),"",'Price History'!B65/'Price History'!B64-1),"")</f>
        <v>0.0174424379680951</v>
      </c>
      <c r="C64" s="153" t="n">
        <f aca="false">IFERROR(IF(OR(NOT(ISNUMBER('Price History'!C65)),NOT(ISNUMBER('Price History'!C64)),'Price History'!C64=0),"",'Price History'!C65/'Price History'!C64-1),"")</f>
        <v>0.0856837606837608</v>
      </c>
      <c r="D64" s="153" t="n">
        <f aca="false">IFERROR(IF(OR(NOT(ISNUMBER('Price History'!D65)),NOT(ISNUMBER('Price History'!D64)),'Price History'!D64=0),"",'Price History'!D65/'Price History'!D64-1),"")</f>
        <v>0.0216239526860524</v>
      </c>
      <c r="E64" s="153" t="n">
        <f aca="false">IFERROR(IF(OR(NOT(ISNUMBER('Price History'!E65)),NOT(ISNUMBER('Price History'!E64)),'Price History'!E64=0),"",'Price History'!E65/'Price History'!E64-1),"")</f>
        <v>-0.00370301795963712</v>
      </c>
      <c r="F64" s="153" t="n">
        <f aca="false">IFERROR(IF(OR(NOT(ISNUMBER('Price History'!F65)),NOT(ISNUMBER('Price History'!F64)),'Price History'!F64=0),"",'Price History'!F65/'Price History'!F64-1),"")</f>
        <v>0.10547570970424</v>
      </c>
      <c r="G64" s="153" t="n">
        <f aca="false">IFERROR(IF(OR(NOT(ISNUMBER('Price History'!G65)),NOT(ISNUMBER('Price History'!G64)),'Price History'!G64=0),"",'Price History'!G65/'Price History'!G64-1),"")</f>
        <v>0.0437799438295059</v>
      </c>
      <c r="H64" s="153" t="n">
        <f aca="false">IFERROR(IF(OR(NOT(ISNUMBER('Price History'!H65)),NOT(ISNUMBER('Price History'!H64)),'Price History'!H64=0),"",'Price History'!H65/'Price History'!H64-1),"")</f>
        <v>0.0653103808033386</v>
      </c>
      <c r="I64" s="153" t="n">
        <f aca="false">IFERROR(IF(OR(NOT(ISNUMBER('Price History'!I65)),NOT(ISNUMBER('Price History'!I64)),'Price History'!I64=0),"",'Price History'!I65/'Price History'!I64-1),"")</f>
        <v>-0.000211864406779672</v>
      </c>
      <c r="J64" s="153" t="n">
        <f aca="false">IFERROR(IF(OR(NOT(ISNUMBER('Price History'!J65)),NOT(ISNUMBER('Price History'!J64)),'Price History'!J64=0),"",'Price History'!J65/'Price History'!J64-1),"")</f>
        <v>0.0209256291827693</v>
      </c>
      <c r="K64" s="153" t="n">
        <f aca="false">IFERROR(IF(OR(NOT(ISNUMBER('Price History'!K65)),NOT(ISNUMBER('Price History'!K64)),'Price History'!K64=0),"",'Price History'!K65/'Price History'!K64-1),"")</f>
        <v>-0.0215903907556637</v>
      </c>
      <c r="L64" s="153" t="n">
        <f aca="false">IFERROR(IF(OR(NOT(ISNUMBER('Price History'!L65)),NOT(ISNUMBER('Price History'!L64)),'Price History'!L64=0),"",'Price History'!L65/'Price History'!L64-1),"")</f>
        <v>0.0218696634165152</v>
      </c>
      <c r="M64" s="153" t="n">
        <f aca="false">IFERROR(IF(OR(NOT(ISNUMBER('Price History'!M65)),NOT(ISNUMBER('Price History'!M64)),'Price History'!M64=0),"",'Price History'!M65/'Price History'!M64-1),"")</f>
        <v>0.159479183944269</v>
      </c>
      <c r="N64" s="153" t="n">
        <f aca="false">IFERROR(IF(OR(NOT(ISNUMBER('Price History'!N65)),NOT(ISNUMBER('Price History'!N64)),'Price History'!N64=0),"",'Price History'!N65/'Price History'!N64-1),"")</f>
        <v>-0.0316298045952329</v>
      </c>
      <c r="O64" s="153" t="n">
        <f aca="false">IFERROR(IF(OR(NOT(ISNUMBER('Price History'!O65)),NOT(ISNUMBER('Price History'!O64)),'Price History'!O64=0),"",'Price History'!O65/'Price History'!O64-1),"")</f>
        <v>0.036515707874337</v>
      </c>
      <c r="P64" s="153" t="n">
        <f aca="false">IFERROR(IF(OR(NOT(ISNUMBER('Price History'!P65)),NOT(ISNUMBER('Price History'!P64)),'Price History'!P64=0),"",'Price History'!P65/'Price History'!P64-1),"")</f>
        <v>0.0271591526344379</v>
      </c>
      <c r="Q64" s="153" t="n">
        <f aca="false">IFERROR(IF(OR(NOT(ISNUMBER('Price History'!Q65)),NOT(ISNUMBER('Price History'!Q64)),'Price History'!Q64=0),"",'Price History'!Q65/'Price History'!Q64-1),"")</f>
        <v>0.00749551898321665</v>
      </c>
      <c r="R64" s="153" t="n">
        <f aca="false">IFERROR(IF(OR(NOT(ISNUMBER('Price History'!R65)),NOT(ISNUMBER('Price History'!R64)),'Price History'!R64=0),"",'Price History'!R65/'Price History'!R64-1),"")</f>
        <v>0.0172067039106145</v>
      </c>
      <c r="S64" s="153" t="n">
        <f aca="false">IFERROR(IF(OR(NOT(ISNUMBER('Price History'!S65)),NOT(ISNUMBER('Price History'!S64)),'Price History'!S64=0),"",'Price History'!S65/'Price History'!S64-1),"")</f>
        <v>0.0178532785111447</v>
      </c>
      <c r="T64" s="153" t="n">
        <f aca="false">IFERROR(IF(OR(NOT(ISNUMBER('Price History'!T65)),NOT(ISNUMBER('Price History'!T64)),'Price History'!T64=0),"",'Price History'!T65/'Price History'!T64-1),"")</f>
        <v>0.0385964912280701</v>
      </c>
      <c r="U64" s="153" t="n">
        <f aca="false">IFERROR(IF(OR(NOT(ISNUMBER('Price History'!U65)),NOT(ISNUMBER('Price History'!U64)),'Price History'!U64=0),"",'Price History'!U65/'Price History'!U64-1),"")</f>
        <v>0.0251501501501501</v>
      </c>
      <c r="V64" s="154" t="n">
        <f aca="false">IFERROR(IF(OR(NOT(ISNUMBER('Price History'!V65)),NOT(ISNUMBER('Price History'!V64)),'Price History'!V64=0),"",'Price History'!V65/'Price History'!V64-1),"")</f>
        <v>0.000916170407695649</v>
      </c>
      <c r="W64" s="155" t="n">
        <f aca="false">IFERROR('Price History'!B3+(INDEX('Price History'!B:B,MATCH(9.99E+307,'Returns (Calc)'!$A:$A)+1)-'Price History'!B3)*(ROW()-3)/(MATCH(9.99E+307,'Returns (Calc)'!$A:$A)-3),"")</f>
        <v>418.928867924528</v>
      </c>
      <c r="X64" s="155" t="n">
        <f aca="false">IFERROR('Price History'!C3+(INDEX('Price History'!C:C,MATCH(9.99E+307,'Returns (Calc)'!$A:$A)+1)-'Price History'!C3)*(ROW()-3)/(MATCH(9.99E+307,'Returns (Calc)'!$A:$A)-3),"")</f>
        <v>111.614968553459</v>
      </c>
      <c r="Y64" s="155" t="n">
        <f aca="false">IFERROR('Price History'!D3+(INDEX('Price History'!D:D,MATCH(9.99E+307,'Returns (Calc)'!$A:$A)+1)-'Price History'!D3)*(ROW()-3)/(MATCH(9.99E+307,'Returns (Calc)'!$A:$A)-3),"")</f>
        <v>1041.74666666667</v>
      </c>
      <c r="Z64" s="155" t="n">
        <f aca="false">IFERROR('Price History'!E3+(INDEX('Price History'!E:E,MATCH(9.99E+307,'Returns (Calc)'!$A:$A)+1)-'Price History'!E3)*(ROW()-3)/(MATCH(9.99E+307,'Returns (Calc)'!$A:$A)-3),"")</f>
        <v>189.244905660377</v>
      </c>
      <c r="AA64" s="155" t="n">
        <f aca="false">IFERROR('Price History'!F3+(INDEX('Price History'!F:F,MATCH(9.99E+307,'Returns (Calc)'!$A:$A)+1)-'Price History'!F3)*(ROW()-3)/(MATCH(9.99E+307,'Returns (Calc)'!$A:$A)-3),"")</f>
        <v>131.010817610063</v>
      </c>
      <c r="AB64" s="155" t="n">
        <f aca="false">IFERROR('Price History'!G3+(INDEX('Price History'!G:G,MATCH(9.99E+307,'Returns (Calc)'!$A:$A)+1)-'Price History'!G3)*(ROW()-3)/(MATCH(9.99E+307,'Returns (Calc)'!$A:$A)-3),"")</f>
        <v>102.365220125786</v>
      </c>
      <c r="AC64" s="155" t="n">
        <f aca="false">IFERROR('Price History'!H3+(INDEX('Price History'!H:H,MATCH(9.99E+307,'Returns (Calc)'!$A:$A)+1)-'Price History'!H3)*(ROW()-3)/(MATCH(9.99E+307,'Returns (Calc)'!$A:$A)-3),"")</f>
        <v>437.369685534591</v>
      </c>
      <c r="AD64" s="155" t="n">
        <f aca="false">IFERROR('Price History'!I3+(INDEX('Price History'!I:I,MATCH(9.99E+307,'Returns (Calc)'!$A:$A)+1)-'Price History'!I3)*(ROW()-3)/(MATCH(9.99E+307,'Returns (Calc)'!$A:$A)-3),"")</f>
        <v>114.940503144654</v>
      </c>
      <c r="AE64" s="155" t="n">
        <f aca="false">IFERROR('Price History'!J3+(INDEX('Price History'!J:J,MATCH(9.99E+307,'Returns (Calc)'!$A:$A)+1)-'Price History'!J3)*(ROW()-3)/(MATCH(9.99E+307,'Returns (Calc)'!$A:$A)-3),"")</f>
        <v>118.611383647799</v>
      </c>
      <c r="AF64" s="155" t="n">
        <f aca="false">IFERROR('Price History'!K3+(INDEX('Price History'!K:K,MATCH(9.99E+307,'Returns (Calc)'!$A:$A)+1)-'Price History'!K3)*(ROW()-3)/(MATCH(9.99E+307,'Returns (Calc)'!$A:$A)-3),"")</f>
        <v>89.650251572327</v>
      </c>
      <c r="AG64" s="155" t="n">
        <f aca="false">IFERROR('Price History'!L3+(INDEX('Price History'!L:L,MATCH(9.99E+307,'Returns (Calc)'!$A:$A)+1)-'Price History'!L3)*(ROW()-3)/(MATCH(9.99E+307,'Returns (Calc)'!$A:$A)-3),"")</f>
        <v>226.76358490566</v>
      </c>
      <c r="AH64" s="155" t="n">
        <f aca="false">IFERROR('Price History'!M3+(INDEX('Price History'!M:M,MATCH(9.99E+307,'Returns (Calc)'!$A:$A)+1)-'Price History'!M3)*(ROW()-3)/(MATCH(9.99E+307,'Returns (Calc)'!$A:$A)-3),"")</f>
        <v>116.57572327044</v>
      </c>
      <c r="AI64" s="155" t="n">
        <f aca="false">IFERROR('Price History'!N3+(INDEX('Price History'!N:N,MATCH(9.99E+307,'Returns (Calc)'!$A:$A)+1)-'Price History'!N3)*(ROW()-3)/(MATCH(9.99E+307,'Returns (Calc)'!$A:$A)-3),"")</f>
        <v>410.736352201258</v>
      </c>
      <c r="AJ64" s="155" t="n">
        <f aca="false">IFERROR('Price History'!O3+(INDEX('Price History'!O:O,MATCH(9.99E+307,'Returns (Calc)'!$A:$A)+1)-'Price History'!O3)*(ROW()-3)/(MATCH(9.99E+307,'Returns (Calc)'!$A:$A)-3),"")</f>
        <v>92.317106918239</v>
      </c>
      <c r="AK64" s="155" t="n">
        <f aca="false">IFERROR('Price History'!Q3+(INDEX('Price History'!Q:Q,MATCH(9.99E+307,'Returns (Calc)'!$A:$A)+1)-'Price History'!Q3)*(ROW()-3)/(MATCH(9.99E+307,'Returns (Calc)'!$A:$A)-3),"")</f>
        <v>26.8438364779874</v>
      </c>
      <c r="AL64" s="155" t="n">
        <f aca="false">IFERROR('Price History'!R3+(INDEX('Price History'!R:R,MATCH(9.99E+307,'Returns (Calc)'!$A:$A)+1)-'Price History'!R3)*(ROW()-3)/(MATCH(9.99E+307,'Returns (Calc)'!$A:$A)-3),"")</f>
        <v>44.6888679245283</v>
      </c>
      <c r="AM64" s="155" t="n">
        <f aca="false">IFERROR('Price History'!S3+(INDEX('Price History'!S:S,MATCH(9.99E+307,'Returns (Calc)'!$A:$A)+1)-'Price History'!S3)*(ROW()-3)/(MATCH(9.99E+307,'Returns (Calc)'!$A:$A)-3),"")</f>
        <v>93.5125786163522</v>
      </c>
      <c r="AN64" s="155" t="n">
        <f aca="false">IFERROR('Price History'!T3+(INDEX('Price History'!T:T,MATCH(9.99E+307,'Returns (Calc)'!$A:$A)+1)-'Price History'!T3)*(ROW()-3)/(MATCH(9.99E+307,'Returns (Calc)'!$A:$A)-3),"")</f>
        <v>35.7978616352201</v>
      </c>
      <c r="AO64" s="156" t="n">
        <f aca="false">IFERROR('Price History'!V3+(INDEX('Price History'!V:V,MATCH(9.99E+307,'Returns (Calc)'!$A:$A)+1)-'Price History'!V3)*(ROW()-3)/(MATCH(9.99E+307,'Returns (Calc)'!$A:$A)-3),"")</f>
        <v>293.108113207547</v>
      </c>
      <c r="AP64" s="154" t="n">
        <f aca="false">IFERROR(IF(OR(NOT(ISNUMBER('Price History'!W65)),NOT(ISNUMBER('Price History'!W64)),'Price History'!W64=0),"",'Price History'!W65/'Price History'!W64-1),"")</f>
        <v>0.0223832528180354</v>
      </c>
      <c r="AQ64" s="154" t="str">
        <f aca="false">IFERROR(IF(OR(NOT(ISNUMBER('Price History'!X65)),NOT(ISNUMBER('Price History'!X64)),'Price History'!X64=0),"",'Price History'!X65/'Price History'!X64-1),"")</f>
        <v/>
      </c>
      <c r="AR64" s="154" t="n">
        <f aca="false">IFERROR(IF(OR(NOT(ISNUMBER('Price History'!Y65)),NOT(ISNUMBER('Price History'!Y64)),'Price History'!Y64=0),"",'Price History'!Y65/'Price History'!Y64-1),"")</f>
        <v>0.0149901380670612</v>
      </c>
      <c r="AS64" s="154" t="n">
        <f aca="false">IFERROR(IF(OR(NOT(ISNUMBER('Price History'!Z65)),NOT(ISNUMBER('Price History'!Z64)),'Price History'!Z64=0),"",'Price History'!Z65/'Price History'!Z64-1),"")</f>
        <v>0.0238421955403088</v>
      </c>
      <c r="AT64" s="154" t="n">
        <f aca="false">IFERROR(IF(OR(NOT(ISNUMBER('Price History'!AA65)),NOT(ISNUMBER('Price History'!AA64)),'Price History'!AA64=0),"",'Price History'!AA65/'Price History'!AA64-1),"")</f>
        <v>0.0895631067961165</v>
      </c>
      <c r="AU64" s="154" t="n">
        <f aca="false">IFERROR(IF(OR(NOT(ISNUMBER('Price History'!AB65)),NOT(ISNUMBER('Price History'!AB64)),'Price History'!AB64=0),"",'Price History'!AB65/'Price History'!AB64-1),"")</f>
        <v>0.0150918635170603</v>
      </c>
    </row>
    <row r="65" customFormat="false" ht="15" hidden="false" customHeight="true" outlineLevel="0" collapsed="false">
      <c r="A65" s="152" t="n">
        <f aca="false">IF('Price History'!A66="","",'Price History'!A66)</f>
        <v>45625</v>
      </c>
      <c r="B65" s="153" t="n">
        <f aca="false">IFERROR(IF(OR(NOT(ISNUMBER('Price History'!B66)),NOT(ISNUMBER('Price History'!B65)),'Price History'!B65=0),"",'Price History'!B66/'Price History'!B65-1),"")</f>
        <v>0.00738065020013656</v>
      </c>
      <c r="C65" s="153" t="n">
        <f aca="false">IFERROR(IF(OR(NOT(ISNUMBER('Price History'!C66)),NOT(ISNUMBER('Price History'!C65)),'Price History'!C65=0),"",'Price History'!C66/'Price History'!C65-1),"")</f>
        <v>-0.00157449320999814</v>
      </c>
      <c r="D65" s="153" t="n">
        <f aca="false">IFERROR(IF(OR(NOT(ISNUMBER('Price History'!D66)),NOT(ISNUMBER('Price History'!D65)),'Price History'!D65=0),"",'Price History'!D66/'Price History'!D65-1),"")</f>
        <v>0.020412470602424</v>
      </c>
      <c r="E65" s="153" t="n">
        <f aca="false">IFERROR(IF(OR(NOT(ISNUMBER('Price History'!E66)),NOT(ISNUMBER('Price History'!E65)),'Price History'!E65=0),"",'Price History'!E66/'Price History'!E65-1),"")</f>
        <v>-0.0130706807904356</v>
      </c>
      <c r="F65" s="153" t="n">
        <f aca="false">IFERROR(IF(OR(NOT(ISNUMBER('Price History'!F66)),NOT(ISNUMBER('Price History'!F65)),'Price History'!F65=0),"",'Price History'!F66/'Price History'!F65-1),"")</f>
        <v>-0.070699473514559</v>
      </c>
      <c r="G65" s="153" t="n">
        <f aca="false">IFERROR(IF(OR(NOT(ISNUMBER('Price History'!G66)),NOT(ISNUMBER('Price History'!G65)),'Price History'!G65=0),"",'Price History'!G66/'Price History'!G65-1),"")</f>
        <v>0.0117125672681229</v>
      </c>
      <c r="H65" s="153" t="n">
        <f aca="false">IFERROR(IF(OR(NOT(ISNUMBER('Price History'!H66)),NOT(ISNUMBER('Price History'!H65)),'Price History'!H65=0),"",'Price History'!H66/'Price History'!H65-1),"")</f>
        <v>-0.0456370580746254</v>
      </c>
      <c r="I65" s="153" t="n">
        <f aca="false">IFERROR(IF(OR(NOT(ISNUMBER('Price History'!I66)),NOT(ISNUMBER('Price History'!I65)),'Price History'!I65=0),"",'Price History'!I66/'Price History'!I65-1),"")</f>
        <v>-0.0260648442466624</v>
      </c>
      <c r="J65" s="153" t="n">
        <f aca="false">IFERROR(IF(OR(NOT(ISNUMBER('Price History'!J66)),NOT(ISNUMBER('Price History'!J65)),'Price History'!J65=0),"",'Price History'!J66/'Price History'!J65-1),"")</f>
        <v>0.00849413719878123</v>
      </c>
      <c r="K65" s="153" t="n">
        <f aca="false">IFERROR(IF(OR(NOT(ISNUMBER('Price History'!K66)),NOT(ISNUMBER('Price History'!K65)),'Price History'!K65=0),"",'Price History'!K66/'Price History'!K65-1),"")</f>
        <v>0.0424242424242425</v>
      </c>
      <c r="L65" s="153" t="n">
        <f aca="false">IFERROR(IF(OR(NOT(ISNUMBER('Price History'!L66)),NOT(ISNUMBER('Price History'!L65)),'Price History'!L65=0),"",'Price History'!L66/'Price History'!L65-1),"")</f>
        <v>-0.0285175202156334</v>
      </c>
      <c r="M65" s="153" t="n">
        <f aca="false">IFERROR(IF(OR(NOT(ISNUMBER('Price History'!M66)),NOT(ISNUMBER('Price History'!M65)),'Price History'!M65=0),"",'Price History'!M66/'Price History'!M65-1),"")</f>
        <v>-0.0895501037121808</v>
      </c>
      <c r="N65" s="153" t="n">
        <f aca="false">IFERROR(IF(OR(NOT(ISNUMBER('Price History'!N66)),NOT(ISNUMBER('Price History'!N65)),'Price History'!N65=0),"",'Price History'!N66/'Price History'!N65-1),"")</f>
        <v>0.0380513116171806</v>
      </c>
      <c r="O65" s="153" t="n">
        <f aca="false">IFERROR(IF(OR(NOT(ISNUMBER('Price History'!O66)),NOT(ISNUMBER('Price History'!O65)),'Price History'!O65=0),"",'Price History'!O66/'Price History'!O65-1),"")</f>
        <v>0.00679000196811641</v>
      </c>
      <c r="P65" s="153" t="n">
        <f aca="false">IFERROR(IF(OR(NOT(ISNUMBER('Price History'!P66)),NOT(ISNUMBER('Price History'!P65)),'Price History'!P65=0),"",'Price History'!P66/'Price History'!P65-1),"")</f>
        <v>0.00936768149882905</v>
      </c>
      <c r="Q65" s="153" t="n">
        <f aca="false">IFERROR(IF(OR(NOT(ISNUMBER('Price History'!Q66)),NOT(ISNUMBER('Price History'!Q65)),'Price History'!Q65=0),"",'Price History'!Q66/'Price History'!Q65-1),"")</f>
        <v>0.00614588387514159</v>
      </c>
      <c r="R65" s="153" t="n">
        <f aca="false">IFERROR(IF(OR(NOT(ISNUMBER('Price History'!R66)),NOT(ISNUMBER('Price History'!R65)),'Price History'!R65=0),"",'Price History'!R66/'Price History'!R65-1),"")</f>
        <v>0.00922671353251303</v>
      </c>
      <c r="S65" s="153" t="n">
        <f aca="false">IFERROR(IF(OR(NOT(ISNUMBER('Price History'!S66)),NOT(ISNUMBER('Price History'!S65)),'Price History'!S65=0),"",'Price History'!S66/'Price History'!S65-1),"")</f>
        <v>0.0130753694057617</v>
      </c>
      <c r="T65" s="153" t="n">
        <f aca="false">IFERROR(IF(OR(NOT(ISNUMBER('Price History'!T66)),NOT(ISNUMBER('Price History'!T65)),'Price History'!T65=0),"",'Price History'!T66/'Price History'!T65-1),"")</f>
        <v>0.00197072072072069</v>
      </c>
      <c r="U65" s="153" t="n">
        <f aca="false">IFERROR(IF(OR(NOT(ISNUMBER('Price History'!U66)),NOT(ISNUMBER('Price History'!U65)),'Price History'!U65=0),"",'Price History'!U66/'Price History'!U65-1),"")</f>
        <v>0.00622482607103625</v>
      </c>
      <c r="V65" s="154" t="n">
        <f aca="false">IFERROR(IF(OR(NOT(ISNUMBER('Price History'!V66)),NOT(ISNUMBER('Price History'!V65)),'Price History'!V65=0),"",'Price History'!V66/'Price History'!V65-1),"")</f>
        <v>0.0166394246485782</v>
      </c>
      <c r="W65" s="155" t="n">
        <f aca="false">IFERROR('Price History'!B3+(INDEX('Price History'!B:B,MATCH(9.99E+307,'Returns (Calc)'!$A:$A)+1)-'Price History'!B3)*(ROW()-3)/(MATCH(9.99E+307,'Returns (Calc)'!$A:$A)-3),"")</f>
        <v>417.126226415094</v>
      </c>
      <c r="X65" s="155" t="n">
        <f aca="false">IFERROR('Price History'!C3+(INDEX('Price History'!C:C,MATCH(9.99E+307,'Returns (Calc)'!$A:$A)+1)-'Price History'!C3)*(ROW()-3)/(MATCH(9.99E+307,'Returns (Calc)'!$A:$A)-3),"")</f>
        <v>112.687672955975</v>
      </c>
      <c r="Y65" s="155" t="n">
        <f aca="false">IFERROR('Price History'!D3+(INDEX('Price History'!D:D,MATCH(9.99E+307,'Returns (Calc)'!$A:$A)+1)-'Price History'!D3)*(ROW()-3)/(MATCH(9.99E+307,'Returns (Calc)'!$A:$A)-3),"")</f>
        <v>1049.28333333333</v>
      </c>
      <c r="Z65" s="155" t="n">
        <f aca="false">IFERROR('Price History'!E3+(INDEX('Price History'!E:E,MATCH(9.99E+307,'Returns (Calc)'!$A:$A)+1)-'Price History'!E3)*(ROW()-3)/(MATCH(9.99E+307,'Returns (Calc)'!$A:$A)-3),"")</f>
        <v>191.003018867925</v>
      </c>
      <c r="AA65" s="155" t="n">
        <f aca="false">IFERROR('Price History'!F3+(INDEX('Price History'!F:F,MATCH(9.99E+307,'Returns (Calc)'!$A:$A)+1)-'Price History'!F3)*(ROW()-3)/(MATCH(9.99E+307,'Returns (Calc)'!$A:$A)-3),"")</f>
        <v>132.480503144654</v>
      </c>
      <c r="AB65" s="155" t="n">
        <f aca="false">IFERROR('Price History'!G3+(INDEX('Price History'!G:G,MATCH(9.99E+307,'Returns (Calc)'!$A:$A)+1)-'Price History'!G3)*(ROW()-3)/(MATCH(9.99E+307,'Returns (Calc)'!$A:$A)-3),"")</f>
        <v>103.316289308176</v>
      </c>
      <c r="AC65" s="155" t="n">
        <f aca="false">IFERROR('Price History'!H3+(INDEX('Price History'!H:H,MATCH(9.99E+307,'Returns (Calc)'!$A:$A)+1)-'Price History'!H3)*(ROW()-3)/(MATCH(9.99E+307,'Returns (Calc)'!$A:$A)-3),"")</f>
        <v>443.406729559748</v>
      </c>
      <c r="AD65" s="155" t="n">
        <f aca="false">IFERROR('Price History'!I3+(INDEX('Price History'!I:I,MATCH(9.99E+307,'Returns (Calc)'!$A:$A)+1)-'Price History'!I3)*(ROW()-3)/(MATCH(9.99E+307,'Returns (Calc)'!$A:$A)-3),"")</f>
        <v>116.107232704403</v>
      </c>
      <c r="AE65" s="155" t="n">
        <f aca="false">IFERROR('Price History'!J3+(INDEX('Price History'!J:J,MATCH(9.99E+307,'Returns (Calc)'!$A:$A)+1)-'Price History'!J3)*(ROW()-3)/(MATCH(9.99E+307,'Returns (Calc)'!$A:$A)-3),"")</f>
        <v>118.722389937107</v>
      </c>
      <c r="AF65" s="155" t="n">
        <f aca="false">IFERROR('Price History'!K3+(INDEX('Price History'!K:K,MATCH(9.99E+307,'Returns (Calc)'!$A:$A)+1)-'Price History'!K3)*(ROW()-3)/(MATCH(9.99E+307,'Returns (Calc)'!$A:$A)-3),"")</f>
        <v>90.8686163522013</v>
      </c>
      <c r="AG65" s="155" t="n">
        <f aca="false">IFERROR('Price History'!L3+(INDEX('Price History'!L:L,MATCH(9.99E+307,'Returns (Calc)'!$A:$A)+1)-'Price History'!L3)*(ROW()-3)/(MATCH(9.99E+307,'Returns (Calc)'!$A:$A)-3),"")</f>
        <v>229.075283018868</v>
      </c>
      <c r="AH65" s="155" t="n">
        <f aca="false">IFERROR('Price History'!M3+(INDEX('Price History'!M:M,MATCH(9.99E+307,'Returns (Calc)'!$A:$A)+1)-'Price History'!M3)*(ROW()-3)/(MATCH(9.99E+307,'Returns (Calc)'!$A:$A)-3),"")</f>
        <v>117.863522012579</v>
      </c>
      <c r="AI65" s="155" t="n">
        <f aca="false">IFERROR('Price History'!N3+(INDEX('Price History'!N:N,MATCH(9.99E+307,'Returns (Calc)'!$A:$A)+1)-'Price History'!N3)*(ROW()-3)/(MATCH(9.99E+307,'Returns (Calc)'!$A:$A)-3),"")</f>
        <v>411.750062893082</v>
      </c>
      <c r="AJ65" s="155" t="n">
        <f aca="false">IFERROR('Price History'!O3+(INDEX('Price History'!O:O,MATCH(9.99E+307,'Returns (Calc)'!$A:$A)+1)-'Price History'!O3)*(ROW()-3)/(MATCH(9.99E+307,'Returns (Calc)'!$A:$A)-3),"")</f>
        <v>92.5959119496855</v>
      </c>
      <c r="AK65" s="155" t="n">
        <f aca="false">IFERROR('Price History'!Q3+(INDEX('Price History'!Q:Q,MATCH(9.99E+307,'Returns (Calc)'!$A:$A)+1)-'Price History'!Q3)*(ROW()-3)/(MATCH(9.99E+307,'Returns (Calc)'!$A:$A)-3),"")</f>
        <v>27.2838993710692</v>
      </c>
      <c r="AL65" s="155" t="n">
        <f aca="false">IFERROR('Price History'!R3+(INDEX('Price History'!R:R,MATCH(9.99E+307,'Returns (Calc)'!$A:$A)+1)-'Price History'!R3)*(ROW()-3)/(MATCH(9.99E+307,'Returns (Calc)'!$A:$A)-3),"")</f>
        <v>44.8562264150943</v>
      </c>
      <c r="AM65" s="155" t="n">
        <f aca="false">IFERROR('Price History'!S3+(INDEX('Price History'!S:S,MATCH(9.99E+307,'Returns (Calc)'!$A:$A)+1)-'Price History'!S3)*(ROW()-3)/(MATCH(9.99E+307,'Returns (Calc)'!$A:$A)-3),"")</f>
        <v>94.1008176100629</v>
      </c>
      <c r="AN65" s="155" t="n">
        <f aca="false">IFERROR('Price History'!T3+(INDEX('Price History'!T:T,MATCH(9.99E+307,'Returns (Calc)'!$A:$A)+1)-'Price History'!T3)*(ROW()-3)/(MATCH(9.99E+307,'Returns (Calc)'!$A:$A)-3),"")</f>
        <v>35.9717610062893</v>
      </c>
      <c r="AO65" s="156" t="n">
        <f aca="false">IFERROR('Price History'!V3+(INDEX('Price History'!V:V,MATCH(9.99E+307,'Returns (Calc)'!$A:$A)+1)-'Price History'!V3)*(ROW()-3)/(MATCH(9.99E+307,'Returns (Calc)'!$A:$A)-3),"")</f>
        <v>294.050377358491</v>
      </c>
      <c r="AP65" s="154" t="n">
        <f aca="false">IFERROR(IF(OR(NOT(ISNUMBER('Price History'!W66)),NOT(ISNUMBER('Price History'!W65)),'Price History'!W65=0),"",'Price History'!W66/'Price History'!W65-1),"")</f>
        <v>0.00834777130256725</v>
      </c>
      <c r="AQ65" s="154" t="str">
        <f aca="false">IFERROR(IF(OR(NOT(ISNUMBER('Price History'!X66)),NOT(ISNUMBER('Price History'!X65)),'Price History'!X65=0),"",'Price History'!X66/'Price History'!X65-1),"")</f>
        <v/>
      </c>
      <c r="AR65" s="154" t="n">
        <f aca="false">IFERROR(IF(OR(NOT(ISNUMBER('Price History'!Y66)),NOT(ISNUMBER('Price History'!Y65)),'Price History'!Y65=0),"",'Price History'!Y66/'Price History'!Y65-1),"")</f>
        <v>0.0110765643218034</v>
      </c>
      <c r="AS65" s="154" t="n">
        <f aca="false">IFERROR(IF(OR(NOT(ISNUMBER('Price History'!Z66)),NOT(ISNUMBER('Price History'!Z65)),'Price History'!Z65=0),"",'Price History'!Z66/'Price History'!Z65-1),"")</f>
        <v>0.00558440833193719</v>
      </c>
      <c r="AT65" s="154" t="n">
        <f aca="false">IFERROR(IF(OR(NOT(ISNUMBER('Price History'!AA66)),NOT(ISNUMBER('Price History'!AA65)),'Price History'!AA65=0),"",'Price History'!AA66/'Price History'!AA65-1),"")</f>
        <v>-0.0122521719759411</v>
      </c>
      <c r="AU65" s="154" t="n">
        <f aca="false">IFERROR(IF(OR(NOT(ISNUMBER('Price History'!AB66)),NOT(ISNUMBER('Price History'!AB65)),'Price History'!AB65=0),"",'Price History'!AB66/'Price History'!AB65-1),"")</f>
        <v>0.0520361990950224</v>
      </c>
    </row>
    <row r="66" customFormat="false" ht="15" hidden="false" customHeight="true" outlineLevel="0" collapsed="false">
      <c r="A66" s="152" t="n">
        <f aca="false">IF('Price History'!A67="","",'Price History'!A67)</f>
        <v>45632</v>
      </c>
      <c r="B66" s="153" t="n">
        <f aca="false">IFERROR(IF(OR(NOT(ISNUMBER('Price History'!B67)),NOT(ISNUMBER('Price History'!B66)),'Price History'!B66=0),"",'Price History'!B67/'Price History'!B66-1),"")</f>
        <v>0.0717733025798075</v>
      </c>
      <c r="C66" s="153" t="n">
        <f aca="false">IFERROR(IF(OR(NOT(ISNUMBER('Price History'!C67)),NOT(ISNUMBER('Price History'!C66)),'Price History'!C66=0),"",'Price History'!C67/'Price History'!C66-1),"")</f>
        <v>0.0669229252907551</v>
      </c>
      <c r="D66" s="153" t="n">
        <f aca="false">IFERROR(IF(OR(NOT(ISNUMBER('Price History'!D67)),NOT(ISNUMBER('Price History'!D66)),'Price History'!D66=0),"",'Price History'!D67/'Price History'!D66-1),"")</f>
        <v>0.0325768992110629</v>
      </c>
      <c r="E66" s="153" t="n">
        <f aca="false">IFERROR(IF(OR(NOT(ISNUMBER('Price History'!E67)),NOT(ISNUMBER('Price History'!E66)),'Price History'!E66=0),"",'Price History'!E67/'Price History'!E66-1),"")</f>
        <v>0.107644991212654</v>
      </c>
      <c r="F66" s="153" t="n">
        <f aca="false">IFERROR(IF(OR(NOT(ISNUMBER('Price History'!F67)),NOT(ISNUMBER('Price History'!F66)),'Price History'!F66=0),"",'Price History'!F67/'Price History'!F66-1),"")</f>
        <v>0.0568851890391953</v>
      </c>
      <c r="G66" s="153" t="n">
        <f aca="false">IFERROR(IF(OR(NOT(ISNUMBER('Price History'!G67)),NOT(ISNUMBER('Price History'!G66)),'Price History'!G66=0),"",'Price History'!G67/'Price History'!G66-1),"")</f>
        <v>0.0020337922403002</v>
      </c>
      <c r="H66" s="153" t="n">
        <f aca="false">IFERROR(IF(OR(NOT(ISNUMBER('Price History'!H67)),NOT(ISNUMBER('Price History'!H66)),'Price History'!H66=0),"",'Price History'!H67/'Price History'!H66-1),"")</f>
        <v>0.0328373524884555</v>
      </c>
      <c r="I66" s="153" t="n">
        <f aca="false">IFERROR(IF(OR(NOT(ISNUMBER('Price History'!I67)),NOT(ISNUMBER('Price History'!I66)),'Price History'!I66=0),"",'Price History'!I67/'Price History'!I66-1),"")</f>
        <v>0.0303887438352191</v>
      </c>
      <c r="J66" s="153" t="n">
        <f aca="false">IFERROR(IF(OR(NOT(ISNUMBER('Price History'!J67)),NOT(ISNUMBER('Price History'!J66)),'Price History'!J66=0),"",'Price History'!J67/'Price History'!J66-1),"")</f>
        <v>-0.0409228234001647</v>
      </c>
      <c r="K66" s="153" t="n">
        <f aca="false">IFERROR(IF(OR(NOT(ISNUMBER('Price History'!K67)),NOT(ISNUMBER('Price History'!K66)),'Price History'!K66=0),"",'Price History'!K67/'Price History'!K66-1),"")</f>
        <v>0.13804412641622</v>
      </c>
      <c r="L66" s="153" t="n">
        <f aca="false">IFERROR(IF(OR(NOT(ISNUMBER('Price History'!L67)),NOT(ISNUMBER('Price History'!L66)),'Price History'!L66=0),"",'Price History'!L67/'Price History'!L66-1),"")</f>
        <v>0.0994395427556738</v>
      </c>
      <c r="M66" s="153" t="n">
        <f aca="false">IFERROR(IF(OR(NOT(ISNUMBER('Price History'!M67)),NOT(ISNUMBER('Price History'!M66)),'Price History'!M66=0),"",'Price History'!M67/'Price History'!M66-1),"")</f>
        <v>0.0493361615209365</v>
      </c>
      <c r="N66" s="153" t="n">
        <f aca="false">IFERROR(IF(OR(NOT(ISNUMBER('Price History'!N67)),NOT(ISNUMBER('Price History'!N66)),'Price History'!N66=0),"",'Price History'!N67/'Price History'!N66-1),"")</f>
        <v>-0.0128810373186935</v>
      </c>
      <c r="O66" s="153" t="n">
        <f aca="false">IFERROR(IF(OR(NOT(ISNUMBER('Price History'!O67)),NOT(ISNUMBER('Price History'!O66)),'Price History'!O66=0),"",'Price History'!O67/'Price History'!O66-1),"")</f>
        <v>-0.0208190792688886</v>
      </c>
      <c r="P66" s="153" t="n">
        <f aca="false">IFERROR(IF(OR(NOT(ISNUMBER('Price History'!P67)),NOT(ISNUMBER('Price History'!P66)),'Price History'!P66=0),"",'Price History'!P67/'Price History'!P66-1),"")</f>
        <v>-0.0252975076715817</v>
      </c>
      <c r="Q66" s="153" t="n">
        <f aca="false">IFERROR(IF(OR(NOT(ISNUMBER('Price History'!Q67)),NOT(ISNUMBER('Price History'!Q66)),'Price History'!Q66=0),"",'Price History'!Q67/'Price History'!Q66-1),"")</f>
        <v>0.00369715479826382</v>
      </c>
      <c r="R66" s="153" t="n">
        <f aca="false">IFERROR(IF(OR(NOT(ISNUMBER('Price History'!R67)),NOT(ISNUMBER('Price History'!R66)),'Price History'!R66=0),"",'Price History'!R67/'Price History'!R66-1),"")</f>
        <v>0.0185023944275142</v>
      </c>
      <c r="S66" s="153" t="n">
        <f aca="false">IFERROR(IF(OR(NOT(ISNUMBER('Price History'!S67)),NOT(ISNUMBER('Price History'!S66)),'Price History'!S66=0),"",'Price History'!S67/'Price History'!S66-1),"")</f>
        <v>0.0193074501573978</v>
      </c>
      <c r="T66" s="153" t="n">
        <f aca="false">IFERROR(IF(OR(NOT(ISNUMBER('Price History'!T67)),NOT(ISNUMBER('Price History'!T66)),'Price History'!T66=0),"",'Price History'!T67/'Price History'!T66-1),"")</f>
        <v>-0.000842933408260804</v>
      </c>
      <c r="U66" s="153" t="n">
        <f aca="false">IFERROR(IF(OR(NOT(ISNUMBER('Price History'!U67)),NOT(ISNUMBER('Price History'!U66)),'Price History'!U66=0),"",'Price History'!U67/'Price History'!U66-1),"")</f>
        <v>-0.0240174672489083</v>
      </c>
      <c r="V66" s="154" t="n">
        <f aca="false">IFERROR(IF(OR(NOT(ISNUMBER('Price History'!V67)),NOT(ISNUMBER('Price History'!V66)),'Price History'!V66=0),"",'Price History'!V67/'Price History'!V66-1),"")</f>
        <v>-0.0129264606578989</v>
      </c>
      <c r="W66" s="155" t="n">
        <f aca="false">IFERROR('Price History'!B3+(INDEX('Price History'!B:B,MATCH(9.99E+307,'Returns (Calc)'!$A:$A)+1)-'Price History'!B3)*(ROW()-3)/(MATCH(9.99E+307,'Returns (Calc)'!$A:$A)-3),"")</f>
        <v>415.32358490566</v>
      </c>
      <c r="X66" s="155" t="n">
        <f aca="false">IFERROR('Price History'!C3+(INDEX('Price History'!C:C,MATCH(9.99E+307,'Returns (Calc)'!$A:$A)+1)-'Price History'!C3)*(ROW()-3)/(MATCH(9.99E+307,'Returns (Calc)'!$A:$A)-3),"")</f>
        <v>113.760377358491</v>
      </c>
      <c r="Y66" s="155" t="n">
        <f aca="false">IFERROR('Price History'!D3+(INDEX('Price History'!D:D,MATCH(9.99E+307,'Returns (Calc)'!$A:$A)+1)-'Price History'!D3)*(ROW()-3)/(MATCH(9.99E+307,'Returns (Calc)'!$A:$A)-3),"")</f>
        <v>1056.82</v>
      </c>
      <c r="Z66" s="155" t="n">
        <f aca="false">IFERROR('Price History'!E3+(INDEX('Price History'!E:E,MATCH(9.99E+307,'Returns (Calc)'!$A:$A)+1)-'Price History'!E3)*(ROW()-3)/(MATCH(9.99E+307,'Returns (Calc)'!$A:$A)-3),"")</f>
        <v>192.761132075472</v>
      </c>
      <c r="AA66" s="155" t="n">
        <f aca="false">IFERROR('Price History'!F3+(INDEX('Price History'!F:F,MATCH(9.99E+307,'Returns (Calc)'!$A:$A)+1)-'Price History'!F3)*(ROW()-3)/(MATCH(9.99E+307,'Returns (Calc)'!$A:$A)-3),"")</f>
        <v>133.950188679245</v>
      </c>
      <c r="AB66" s="155" t="n">
        <f aca="false">IFERROR('Price History'!G3+(INDEX('Price History'!G:G,MATCH(9.99E+307,'Returns (Calc)'!$A:$A)+1)-'Price History'!G3)*(ROW()-3)/(MATCH(9.99E+307,'Returns (Calc)'!$A:$A)-3),"")</f>
        <v>104.267358490566</v>
      </c>
      <c r="AC66" s="155" t="n">
        <f aca="false">IFERROR('Price History'!H3+(INDEX('Price History'!H:H,MATCH(9.99E+307,'Returns (Calc)'!$A:$A)+1)-'Price History'!H3)*(ROW()-3)/(MATCH(9.99E+307,'Returns (Calc)'!$A:$A)-3),"")</f>
        <v>449.443773584906</v>
      </c>
      <c r="AD66" s="155" t="n">
        <f aca="false">IFERROR('Price History'!I3+(INDEX('Price History'!I:I,MATCH(9.99E+307,'Returns (Calc)'!$A:$A)+1)-'Price History'!I3)*(ROW()-3)/(MATCH(9.99E+307,'Returns (Calc)'!$A:$A)-3),"")</f>
        <v>117.273962264151</v>
      </c>
      <c r="AE66" s="155" t="n">
        <f aca="false">IFERROR('Price History'!J3+(INDEX('Price History'!J:J,MATCH(9.99E+307,'Returns (Calc)'!$A:$A)+1)-'Price History'!J3)*(ROW()-3)/(MATCH(9.99E+307,'Returns (Calc)'!$A:$A)-3),"")</f>
        <v>118.833396226415</v>
      </c>
      <c r="AF66" s="155" t="n">
        <f aca="false">IFERROR('Price History'!K3+(INDEX('Price History'!K:K,MATCH(9.99E+307,'Returns (Calc)'!$A:$A)+1)-'Price History'!K3)*(ROW()-3)/(MATCH(9.99E+307,'Returns (Calc)'!$A:$A)-3),"")</f>
        <v>92.0869811320755</v>
      </c>
      <c r="AG66" s="155" t="n">
        <f aca="false">IFERROR('Price History'!L3+(INDEX('Price History'!L:L,MATCH(9.99E+307,'Returns (Calc)'!$A:$A)+1)-'Price History'!L3)*(ROW()-3)/(MATCH(9.99E+307,'Returns (Calc)'!$A:$A)-3),"")</f>
        <v>231.386981132075</v>
      </c>
      <c r="AH66" s="155" t="n">
        <f aca="false">IFERROR('Price History'!M3+(INDEX('Price History'!M:M,MATCH(9.99E+307,'Returns (Calc)'!$A:$A)+1)-'Price History'!M3)*(ROW()-3)/(MATCH(9.99E+307,'Returns (Calc)'!$A:$A)-3),"")</f>
        <v>119.151320754717</v>
      </c>
      <c r="AI66" s="155" t="n">
        <f aca="false">IFERROR('Price History'!N3+(INDEX('Price History'!N:N,MATCH(9.99E+307,'Returns (Calc)'!$A:$A)+1)-'Price History'!N3)*(ROW()-3)/(MATCH(9.99E+307,'Returns (Calc)'!$A:$A)-3),"")</f>
        <v>412.763773584906</v>
      </c>
      <c r="AJ66" s="155" t="n">
        <f aca="false">IFERROR('Price History'!O3+(INDEX('Price History'!O:O,MATCH(9.99E+307,'Returns (Calc)'!$A:$A)+1)-'Price History'!O3)*(ROW()-3)/(MATCH(9.99E+307,'Returns (Calc)'!$A:$A)-3),"")</f>
        <v>92.8747169811321</v>
      </c>
      <c r="AK66" s="155" t="n">
        <f aca="false">IFERROR('Price History'!Q3+(INDEX('Price History'!Q:Q,MATCH(9.99E+307,'Returns (Calc)'!$A:$A)+1)-'Price History'!Q3)*(ROW()-3)/(MATCH(9.99E+307,'Returns (Calc)'!$A:$A)-3),"")</f>
        <v>27.7239622641509</v>
      </c>
      <c r="AL66" s="155" t="n">
        <f aca="false">IFERROR('Price History'!R3+(INDEX('Price History'!R:R,MATCH(9.99E+307,'Returns (Calc)'!$A:$A)+1)-'Price History'!R3)*(ROW()-3)/(MATCH(9.99E+307,'Returns (Calc)'!$A:$A)-3),"")</f>
        <v>45.0235849056604</v>
      </c>
      <c r="AM66" s="155" t="n">
        <f aca="false">IFERROR('Price History'!S3+(INDEX('Price History'!S:S,MATCH(9.99E+307,'Returns (Calc)'!$A:$A)+1)-'Price History'!S3)*(ROW()-3)/(MATCH(9.99E+307,'Returns (Calc)'!$A:$A)-3),"")</f>
        <v>94.6890566037736</v>
      </c>
      <c r="AN66" s="155" t="n">
        <f aca="false">IFERROR('Price History'!T3+(INDEX('Price History'!T:T,MATCH(9.99E+307,'Returns (Calc)'!$A:$A)+1)-'Price History'!T3)*(ROW()-3)/(MATCH(9.99E+307,'Returns (Calc)'!$A:$A)-3),"")</f>
        <v>36.1456603773585</v>
      </c>
      <c r="AO66" s="156" t="n">
        <f aca="false">IFERROR('Price History'!V3+(INDEX('Price History'!V:V,MATCH(9.99E+307,'Returns (Calc)'!$A:$A)+1)-'Price History'!V3)*(ROW()-3)/(MATCH(9.99E+307,'Returns (Calc)'!$A:$A)-3),"")</f>
        <v>294.992641509434</v>
      </c>
      <c r="AP66" s="154" t="n">
        <f aca="false">IFERROR(IF(OR(NOT(ISNUMBER('Price History'!W67)),NOT(ISNUMBER('Price History'!W66)),'Price History'!W66=0),"",'Price History'!W67/'Price History'!W66-1),"")</f>
        <v>-0.0143705092158699</v>
      </c>
      <c r="AQ66" s="154" t="str">
        <f aca="false">IFERROR(IF(OR(NOT(ISNUMBER('Price History'!X67)),NOT(ISNUMBER('Price History'!X66)),'Price History'!X66=0),"",'Price History'!X67/'Price History'!X66-1),"")</f>
        <v/>
      </c>
      <c r="AR66" s="154" t="n">
        <f aca="false">IFERROR(IF(OR(NOT(ISNUMBER('Price History'!Y67)),NOT(ISNUMBER('Price History'!Y66)),'Price History'!Y66=0),"",'Price History'!Y67/'Price History'!Y66-1),"")</f>
        <v>-0.0084566596194503</v>
      </c>
      <c r="AS66" s="154" t="n">
        <f aca="false">IFERROR(IF(OR(NOT(ISNUMBER('Price History'!Z67)),NOT(ISNUMBER('Price History'!Z66)),'Price History'!Z66=0),"",'Price History'!Z67/'Price History'!Z66-1),"")</f>
        <v>-0.0360970733603598</v>
      </c>
      <c r="AT66" s="154" t="n">
        <f aca="false">IFERROR(IF(OR(NOT(ISNUMBER('Price History'!AA67)),NOT(ISNUMBER('Price History'!AA66)),'Price History'!AA66=0),"",'Price History'!AA67/'Price History'!AA66-1),"")</f>
        <v>0.0540144339197113</v>
      </c>
      <c r="AU66" s="154" t="n">
        <f aca="false">IFERROR(IF(OR(NOT(ISNUMBER('Price History'!AB67)),NOT(ISNUMBER('Price History'!AB66)),'Price History'!AB66=0),"",'Price History'!AB67/'Price History'!AB66-1),"")</f>
        <v>0.0991880623217027</v>
      </c>
    </row>
    <row r="67" customFormat="false" ht="15" hidden="false" customHeight="true" outlineLevel="0" collapsed="false">
      <c r="A67" s="152" t="n">
        <f aca="false">IF('Price History'!A68="","",'Price History'!A68)</f>
        <v>45639</v>
      </c>
      <c r="B67" s="153" t="n">
        <f aca="false">IFERROR(IF(OR(NOT(ISNUMBER('Price History'!B68)),NOT(ISNUMBER('Price History'!B67)),'Price History'!B67=0),"",'Price History'!B68/'Price History'!B67-1),"")</f>
        <v>-0.157823350694445</v>
      </c>
      <c r="C67" s="153" t="n">
        <f aca="false">IFERROR(IF(OR(NOT(ISNUMBER('Price History'!C68)),NOT(ISNUMBER('Price History'!C67)),'Price History'!C67=0),"",'Price History'!C68/'Price History'!C67-1),"")</f>
        <v>0.0380600461893765</v>
      </c>
      <c r="D67" s="153" t="n">
        <f aca="false">IFERROR(IF(OR(NOT(ISNUMBER('Price History'!D68)),NOT(ISNUMBER('Price History'!D67)),'Price History'!D67=0),"",'Price History'!D68/'Price History'!D67-1),"")</f>
        <v>0.0135496702007412</v>
      </c>
      <c r="E67" s="153" t="n">
        <f aca="false">IFERROR(IF(OR(NOT(ISNUMBER('Price History'!E68)),NOT(ISNUMBER('Price History'!E67)),'Price History'!E67=0),"",'Price History'!E68/'Price History'!E67-1),"")</f>
        <v>0.252167507225024</v>
      </c>
      <c r="F67" s="153" t="n">
        <f aca="false">IFERROR(IF(OR(NOT(ISNUMBER('Price History'!F68)),NOT(ISNUMBER('Price History'!F67)),'Price History'!F67=0),"",'Price History'!F68/'Price History'!F67-1),"")</f>
        <v>0.00645443605732421</v>
      </c>
      <c r="G67" s="153" t="n">
        <f aca="false">IFERROR(IF(OR(NOT(ISNUMBER('Price History'!G68)),NOT(ISNUMBER('Price History'!G67)),'Price History'!G67=0),"",'Price History'!G68/'Price History'!G67-1),"")</f>
        <v>0.00827478532396575</v>
      </c>
      <c r="H67" s="153" t="n">
        <f aca="false">IFERROR(IF(OR(NOT(ISNUMBER('Price History'!H68)),NOT(ISNUMBER('Price History'!H67)),'Price History'!H67=0),"",'Price History'!H68/'Price History'!H67-1),"")</f>
        <v>0.0131147540983605</v>
      </c>
      <c r="I67" s="153" t="n">
        <f aca="false">IFERROR(IF(OR(NOT(ISNUMBER('Price History'!I68)),NOT(ISNUMBER('Price History'!I67)),'Price History'!I67=0),"",'Price History'!I68/'Price History'!I67-1),"")</f>
        <v>-0.0575068628141057</v>
      </c>
      <c r="J67" s="153" t="n">
        <f aca="false">IFERROR(IF(OR(NOT(ISNUMBER('Price History'!J68)),NOT(ISNUMBER('Price History'!J67)),'Price History'!J67=0),"",'Price History'!J68/'Price History'!J67-1),"")</f>
        <v>-0.00773195876288657</v>
      </c>
      <c r="K67" s="153" t="n">
        <f aca="false">IFERROR(IF(OR(NOT(ISNUMBER('Price History'!K68)),NOT(ISNUMBER('Price History'!K67)),'Price History'!K67=0),"",'Price History'!K68/'Price History'!K67-1),"")</f>
        <v>-0.00353680901231346</v>
      </c>
      <c r="L67" s="153" t="n">
        <f aca="false">IFERROR(IF(OR(NOT(ISNUMBER('Price History'!L68)),NOT(ISNUMBER('Price History'!L67)),'Price History'!L67=0),"",'Price History'!L68/'Price History'!L67-1),"")</f>
        <v>-0.00686418008378331</v>
      </c>
      <c r="M67" s="153" t="n">
        <f aca="false">IFERROR(IF(OR(NOT(ISNUMBER('Price History'!M68)),NOT(ISNUMBER('Price History'!M67)),'Price History'!M67=0),"",'Price History'!M68/'Price History'!M67-1),"")</f>
        <v>-0.060342891367822</v>
      </c>
      <c r="N67" s="153" t="n">
        <f aca="false">IFERROR(IF(OR(NOT(ISNUMBER('Price History'!N68)),NOT(ISNUMBER('Price History'!N67)),'Price History'!N67=0),"",'Price History'!N68/'Price History'!N67-1),"")</f>
        <v>0.00352737502705036</v>
      </c>
      <c r="O67" s="153" t="n">
        <f aca="false">IFERROR(IF(OR(NOT(ISNUMBER('Price History'!O68)),NOT(ISNUMBER('Price History'!O67)),'Price History'!O67=0),"",'Price History'!O68/'Price History'!O67-1),"")</f>
        <v>-0.0123777201038132</v>
      </c>
      <c r="P67" s="153" t="n">
        <f aca="false">IFERROR(IF(OR(NOT(ISNUMBER('Price History'!P68)),NOT(ISNUMBER('Price History'!P67)),'Price History'!P67=0),"",'Price History'!P68/'Price History'!P67-1),"")</f>
        <v>-0.0201950395454196</v>
      </c>
      <c r="Q67" s="153" t="n">
        <f aca="false">IFERROR(IF(OR(NOT(ISNUMBER('Price History'!Q68)),NOT(ISNUMBER('Price History'!Q67)),'Price History'!Q67=0),"",'Price History'!Q68/'Price History'!Q67-1),"")</f>
        <v>-0.00176169122357461</v>
      </c>
      <c r="R67" s="153" t="n">
        <f aca="false">IFERROR(IF(OR(NOT(ISNUMBER('Price History'!R68)),NOT(ISNUMBER('Price History'!R67)),'Price History'!R67=0),"",'Price History'!R68/'Price History'!R67-1),"")</f>
        <v>0.00384697584954052</v>
      </c>
      <c r="S67" s="153" t="n">
        <f aca="false">IFERROR(IF(OR(NOT(ISNUMBER('Price History'!S68)),NOT(ISNUMBER('Price History'!S67)),'Price History'!S67=0),"",'Price History'!S68/'Price History'!S67-1),"")</f>
        <v>-0.00936792258595842</v>
      </c>
      <c r="T67" s="153" t="n">
        <f aca="false">IFERROR(IF(OR(NOT(ISNUMBER('Price History'!T68)),NOT(ISNUMBER('Price History'!T67)),'Price History'!T67=0),"",'Price History'!T68/'Price History'!T67-1),"")</f>
        <v>-0.0416197975253094</v>
      </c>
      <c r="U67" s="153" t="n">
        <f aca="false">IFERROR(IF(OR(NOT(ISNUMBER('Price History'!U68)),NOT(ISNUMBER('Price History'!U67)),'Price History'!U67=0),"",'Price History'!U68/'Price History'!U67-1),"")</f>
        <v>-0.0149142431021625</v>
      </c>
      <c r="V67" s="154" t="n">
        <f aca="false">IFERROR(IF(OR(NOT(ISNUMBER('Price History'!V68)),NOT(ISNUMBER('Price History'!V67)),'Price History'!V67=0),"",'Price History'!V68/'Price History'!V67-1),"")</f>
        <v>0.0119881421637291</v>
      </c>
      <c r="W67" s="155" t="n">
        <f aca="false">IFERROR('Price History'!B3+(INDEX('Price History'!B:B,MATCH(9.99E+307,'Returns (Calc)'!$A:$A)+1)-'Price History'!B3)*(ROW()-3)/(MATCH(9.99E+307,'Returns (Calc)'!$A:$A)-3),"")</f>
        <v>413.520943396226</v>
      </c>
      <c r="X67" s="155" t="n">
        <f aca="false">IFERROR('Price History'!C3+(INDEX('Price History'!C:C,MATCH(9.99E+307,'Returns (Calc)'!$A:$A)+1)-'Price History'!C3)*(ROW()-3)/(MATCH(9.99E+307,'Returns (Calc)'!$A:$A)-3),"")</f>
        <v>114.833081761006</v>
      </c>
      <c r="Y67" s="155" t="n">
        <f aca="false">IFERROR('Price History'!D3+(INDEX('Price History'!D:D,MATCH(9.99E+307,'Returns (Calc)'!$A:$A)+1)-'Price History'!D3)*(ROW()-3)/(MATCH(9.99E+307,'Returns (Calc)'!$A:$A)-3),"")</f>
        <v>1064.35666666667</v>
      </c>
      <c r="Z67" s="155" t="n">
        <f aca="false">IFERROR('Price History'!E3+(INDEX('Price History'!E:E,MATCH(9.99E+307,'Returns (Calc)'!$A:$A)+1)-'Price History'!E3)*(ROW()-3)/(MATCH(9.99E+307,'Returns (Calc)'!$A:$A)-3),"")</f>
        <v>194.519245283019</v>
      </c>
      <c r="AA67" s="155" t="n">
        <f aca="false">IFERROR('Price History'!F3+(INDEX('Price History'!F:F,MATCH(9.99E+307,'Returns (Calc)'!$A:$A)+1)-'Price History'!F3)*(ROW()-3)/(MATCH(9.99E+307,'Returns (Calc)'!$A:$A)-3),"")</f>
        <v>135.419874213836</v>
      </c>
      <c r="AB67" s="155" t="n">
        <f aca="false">IFERROR('Price History'!G3+(INDEX('Price History'!G:G,MATCH(9.99E+307,'Returns (Calc)'!$A:$A)+1)-'Price History'!G3)*(ROW()-3)/(MATCH(9.99E+307,'Returns (Calc)'!$A:$A)-3),"")</f>
        <v>105.218427672956</v>
      </c>
      <c r="AC67" s="155" t="n">
        <f aca="false">IFERROR('Price History'!H3+(INDEX('Price History'!H:H,MATCH(9.99E+307,'Returns (Calc)'!$A:$A)+1)-'Price History'!H3)*(ROW()-3)/(MATCH(9.99E+307,'Returns (Calc)'!$A:$A)-3),"")</f>
        <v>455.480817610063</v>
      </c>
      <c r="AD67" s="155" t="n">
        <f aca="false">IFERROR('Price History'!I3+(INDEX('Price History'!I:I,MATCH(9.99E+307,'Returns (Calc)'!$A:$A)+1)-'Price History'!I3)*(ROW()-3)/(MATCH(9.99E+307,'Returns (Calc)'!$A:$A)-3),"")</f>
        <v>118.440691823899</v>
      </c>
      <c r="AE67" s="155" t="n">
        <f aca="false">IFERROR('Price History'!J3+(INDEX('Price History'!J:J,MATCH(9.99E+307,'Returns (Calc)'!$A:$A)+1)-'Price History'!J3)*(ROW()-3)/(MATCH(9.99E+307,'Returns (Calc)'!$A:$A)-3),"")</f>
        <v>118.944402515723</v>
      </c>
      <c r="AF67" s="155" t="n">
        <f aca="false">IFERROR('Price History'!K3+(INDEX('Price History'!K:K,MATCH(9.99E+307,'Returns (Calc)'!$A:$A)+1)-'Price History'!K3)*(ROW()-3)/(MATCH(9.99E+307,'Returns (Calc)'!$A:$A)-3),"")</f>
        <v>93.3053459119497</v>
      </c>
      <c r="AG67" s="155" t="n">
        <f aca="false">IFERROR('Price History'!L3+(INDEX('Price History'!L:L,MATCH(9.99E+307,'Returns (Calc)'!$A:$A)+1)-'Price History'!L3)*(ROW()-3)/(MATCH(9.99E+307,'Returns (Calc)'!$A:$A)-3),"")</f>
        <v>233.698679245283</v>
      </c>
      <c r="AH67" s="155" t="n">
        <f aca="false">IFERROR('Price History'!M3+(INDEX('Price History'!M:M,MATCH(9.99E+307,'Returns (Calc)'!$A:$A)+1)-'Price History'!M3)*(ROW()-3)/(MATCH(9.99E+307,'Returns (Calc)'!$A:$A)-3),"")</f>
        <v>120.439119496855</v>
      </c>
      <c r="AI67" s="155" t="n">
        <f aca="false">IFERROR('Price History'!N3+(INDEX('Price History'!N:N,MATCH(9.99E+307,'Returns (Calc)'!$A:$A)+1)-'Price History'!N3)*(ROW()-3)/(MATCH(9.99E+307,'Returns (Calc)'!$A:$A)-3),"")</f>
        <v>413.77748427673</v>
      </c>
      <c r="AJ67" s="155" t="n">
        <f aca="false">IFERROR('Price History'!O3+(INDEX('Price History'!O:O,MATCH(9.99E+307,'Returns (Calc)'!$A:$A)+1)-'Price History'!O3)*(ROW()-3)/(MATCH(9.99E+307,'Returns (Calc)'!$A:$A)-3),"")</f>
        <v>93.1535220125786</v>
      </c>
      <c r="AK67" s="155" t="n">
        <f aca="false">IFERROR('Price History'!Q3+(INDEX('Price History'!Q:Q,MATCH(9.99E+307,'Returns (Calc)'!$A:$A)+1)-'Price History'!Q3)*(ROW()-3)/(MATCH(9.99E+307,'Returns (Calc)'!$A:$A)-3),"")</f>
        <v>28.1640251572327</v>
      </c>
      <c r="AL67" s="155" t="n">
        <f aca="false">IFERROR('Price History'!R3+(INDEX('Price History'!R:R,MATCH(9.99E+307,'Returns (Calc)'!$A:$A)+1)-'Price History'!R3)*(ROW()-3)/(MATCH(9.99E+307,'Returns (Calc)'!$A:$A)-3),"")</f>
        <v>45.1909433962264</v>
      </c>
      <c r="AM67" s="155" t="n">
        <f aca="false">IFERROR('Price History'!S3+(INDEX('Price History'!S:S,MATCH(9.99E+307,'Returns (Calc)'!$A:$A)+1)-'Price History'!S3)*(ROW()-3)/(MATCH(9.99E+307,'Returns (Calc)'!$A:$A)-3),"")</f>
        <v>95.2772955974843</v>
      </c>
      <c r="AN67" s="155" t="n">
        <f aca="false">IFERROR('Price History'!T3+(INDEX('Price History'!T:T,MATCH(9.99E+307,'Returns (Calc)'!$A:$A)+1)-'Price History'!T3)*(ROW()-3)/(MATCH(9.99E+307,'Returns (Calc)'!$A:$A)-3),"")</f>
        <v>36.3195597484277</v>
      </c>
      <c r="AO67" s="156" t="n">
        <f aca="false">IFERROR('Price History'!V3+(INDEX('Price History'!V:V,MATCH(9.99E+307,'Returns (Calc)'!$A:$A)+1)-'Price History'!V3)*(ROW()-3)/(MATCH(9.99E+307,'Returns (Calc)'!$A:$A)-3),"")</f>
        <v>295.934905660377</v>
      </c>
      <c r="AP67" s="154" t="n">
        <f aca="false">IFERROR(IF(OR(NOT(ISNUMBER('Price History'!W68)),NOT(ISNUMBER('Price History'!W67)),'Price History'!W67=0),"",'Price History'!W68/'Price History'!W67-1),"")</f>
        <v>-0.00705229793977813</v>
      </c>
      <c r="AQ67" s="154" t="str">
        <f aca="false">IFERROR(IF(OR(NOT(ISNUMBER('Price History'!X68)),NOT(ISNUMBER('Price History'!X67)),'Price History'!X67=0),"",'Price History'!X68/'Price History'!X67-1),"")</f>
        <v/>
      </c>
      <c r="AR67" s="154" t="n">
        <f aca="false">IFERROR(IF(OR(NOT(ISNUMBER('Price History'!Y68)),NOT(ISNUMBER('Price History'!Y67)),'Price History'!Y67=0),"",'Price History'!Y68/'Price History'!Y67-1),"")</f>
        <v>-0.00814111261872463</v>
      </c>
      <c r="AS67" s="154" t="n">
        <f aca="false">IFERROR(IF(OR(NOT(ISNUMBER('Price History'!Z68)),NOT(ISNUMBER('Price History'!Z67)),'Price History'!Z67=0),"",'Price History'!Z68/'Price History'!Z67-1),"")</f>
        <v>-0.0545025061934665</v>
      </c>
      <c r="AT67" s="154" t="n">
        <f aca="false">IFERROR(IF(OR(NOT(ISNUMBER('Price History'!AA68)),NOT(ISNUMBER('Price History'!AA67)),'Price History'!AA67=0),"",'Price History'!AA68/'Price History'!AA67-1),"")</f>
        <v>-0.0169038194072965</v>
      </c>
      <c r="AU67" s="154" t="n">
        <f aca="false">IFERROR(IF(OR(NOT(ISNUMBER('Price History'!AB68)),NOT(ISNUMBER('Price History'!AB67)),'Price History'!AB67=0),"",'Price History'!AB68/'Price History'!AB67-1),"")</f>
        <v>-0.0865242563385905</v>
      </c>
    </row>
    <row r="68" customFormat="false" ht="15" hidden="false" customHeight="true" outlineLevel="0" collapsed="false">
      <c r="A68" s="152" t="n">
        <f aca="false">IF('Price History'!A69="","",'Price History'!A69)</f>
        <v>45646</v>
      </c>
      <c r="B68" s="153" t="n">
        <f aca="false">IFERROR(IF(OR(NOT(ISNUMBER('Price History'!B69)),NOT(ISNUMBER('Price History'!B68)),'Price History'!B68=0),"",'Price History'!B69/'Price History'!B68-1),"")</f>
        <v>-0.0397689450063347</v>
      </c>
      <c r="C68" s="153" t="n">
        <f aca="false">IFERROR(IF(OR(NOT(ISNUMBER('Price History'!C69)),NOT(ISNUMBER('Price History'!C68)),'Price History'!C68=0),"",'Price History'!C69/'Price History'!C68-1),"")</f>
        <v>0.00391563584586629</v>
      </c>
      <c r="D68" s="153" t="n">
        <f aca="false">IFERROR(IF(OR(NOT(ISNUMBER('Price History'!D69)),NOT(ISNUMBER('Price History'!D68)),'Price History'!D68=0),"",'Price History'!D69/'Price History'!D68-1),"")</f>
        <v>-0.0179564640447218</v>
      </c>
      <c r="E68" s="153" t="n">
        <f aca="false">IFERROR(IF(OR(NOT(ISNUMBER('Price History'!E69)),NOT(ISNUMBER('Price History'!E68)),'Price History'!E68=0),"",'Price History'!E69/'Price History'!E68-1),"")</f>
        <v>-0.0178304747250758</v>
      </c>
      <c r="F68" s="153" t="n">
        <f aca="false">IFERROR(IF(OR(NOT(ISNUMBER('Price History'!F69)),NOT(ISNUMBER('Price History'!F68)),'Price History'!F68=0),"",'Price History'!F69/'Price History'!F68-1),"")</f>
        <v>-0.0155434782608697</v>
      </c>
      <c r="G68" s="153" t="n">
        <f aca="false">IFERROR(IF(OR(NOT(ISNUMBER('Price History'!G69)),NOT(ISNUMBER('Price History'!G68)),'Price History'!G68=0),"",'Price History'!G69/'Price History'!G68-1),"")</f>
        <v>-0.0373180551254257</v>
      </c>
      <c r="H68" s="153" t="n">
        <f aca="false">IFERROR(IF(OR(NOT(ISNUMBER('Price History'!H69)),NOT(ISNUMBER('Price History'!H68)),'Price History'!H68=0),"",'Price History'!H69/'Price History'!H68-1),"")</f>
        <v>-0.120721780915956</v>
      </c>
      <c r="I68" s="153" t="n">
        <f aca="false">IFERROR(IF(OR(NOT(ISNUMBER('Price History'!I69)),NOT(ISNUMBER('Price History'!I68)),'Price History'!I68=0),"",'Price History'!I69/'Price History'!I68-1),"")</f>
        <v>0.00336071695294993</v>
      </c>
      <c r="J68" s="153" t="n">
        <f aca="false">IFERROR(IF(OR(NOT(ISNUMBER('Price History'!J69)),NOT(ISNUMBER('Price History'!J68)),'Price History'!J68=0),"",'Price History'!J69/'Price History'!J68-1),"")</f>
        <v>-0.0622414622414622</v>
      </c>
      <c r="K68" s="153" t="n">
        <f aca="false">IFERROR(IF(OR(NOT(ISNUMBER('Price History'!K69)),NOT(ISNUMBER('Price History'!K68)),'Price History'!K68=0),"",'Price History'!K69/'Price History'!K68-1),"")</f>
        <v>0.0588931247535165</v>
      </c>
      <c r="L68" s="153" t="n">
        <f aca="false">IFERROR(IF(OR(NOT(ISNUMBER('Price History'!L69)),NOT(ISNUMBER('Price History'!L68)),'Price History'!L68=0),"",'Price History'!L69/'Price History'!L68-1),"")</f>
        <v>-0.0188036794226764</v>
      </c>
      <c r="M68" s="153" t="n">
        <f aca="false">IFERROR(IF(OR(NOT(ISNUMBER('Price History'!M69)),NOT(ISNUMBER('Price History'!M68)),'Price History'!M68=0),"",'Price History'!M69/'Price History'!M68-1),"")</f>
        <v>-0.0455740578439965</v>
      </c>
      <c r="N68" s="153" t="n">
        <f aca="false">IFERROR(IF(OR(NOT(ISNUMBER('Price History'!N69)),NOT(ISNUMBER('Price History'!N68)),'Price History'!N68=0),"",'Price History'!N69/'Price History'!N68-1),"")</f>
        <v>-0.14331615379639</v>
      </c>
      <c r="O68" s="153" t="n">
        <f aca="false">IFERROR(IF(OR(NOT(ISNUMBER('Price History'!O69)),NOT(ISNUMBER('Price History'!O68)),'Price History'!O68=0),"",'Price History'!O69/'Price History'!O68-1),"")</f>
        <v>-0.0538710329492622</v>
      </c>
      <c r="P68" s="153" t="n">
        <f aca="false">IFERROR(IF(OR(NOT(ISNUMBER('Price History'!P69)),NOT(ISNUMBER('Price History'!P68)),'Price History'!P68=0),"",'Price History'!P69/'Price History'!P68-1),"")</f>
        <v>-0.0315830721003135</v>
      </c>
      <c r="Q68" s="153" t="n">
        <f aca="false">IFERROR(IF(OR(NOT(ISNUMBER('Price History'!Q69)),NOT(ISNUMBER('Price History'!Q68)),'Price History'!Q68=0),"",'Price History'!Q69/'Price History'!Q68-1),"")</f>
        <v>-0.0121931654099149</v>
      </c>
      <c r="R68" s="153" t="n">
        <f aca="false">IFERROR(IF(OR(NOT(ISNUMBER('Price History'!R69)),NOT(ISNUMBER('Price History'!R68)),'Price History'!R68=0),"",'Price History'!R69/'Price History'!R68-1),"")</f>
        <v>-0.0110708963167979</v>
      </c>
      <c r="S68" s="153" t="n">
        <f aca="false">IFERROR(IF(OR(NOT(ISNUMBER('Price History'!S69)),NOT(ISNUMBER('Price History'!S68)),'Price History'!S68=0),"",'Price History'!S69/'Price History'!S68-1),"")</f>
        <v>-0.0224462225917075</v>
      </c>
      <c r="T68" s="153" t="n">
        <f aca="false">IFERROR(IF(OR(NOT(ISNUMBER('Price History'!T69)),NOT(ISNUMBER('Price History'!T68)),'Price History'!T68=0),"",'Price History'!T69/'Price History'!T68-1),"")</f>
        <v>-0.0305164319248826</v>
      </c>
      <c r="U68" s="153" t="n">
        <f aca="false">IFERROR(IF(OR(NOT(ISNUMBER('Price History'!U69)),NOT(ISNUMBER('Price History'!U68)),'Price History'!U68=0),"",'Price History'!U69/'Price History'!U68-1),"")</f>
        <v>-0.0299015897047692</v>
      </c>
      <c r="V68" s="154" t="n">
        <f aca="false">IFERROR(IF(OR(NOT(ISNUMBER('Price History'!V69)),NOT(ISNUMBER('Price History'!V68)),'Price History'!V68=0),"",'Price History'!V69/'Price History'!V68-1),"")</f>
        <v>0.00946402704007721</v>
      </c>
      <c r="W68" s="155" t="n">
        <f aca="false">IFERROR('Price History'!B3+(INDEX('Price History'!B:B,MATCH(9.99E+307,'Returns (Calc)'!$A:$A)+1)-'Price History'!B3)*(ROW()-3)/(MATCH(9.99E+307,'Returns (Calc)'!$A:$A)-3),"")</f>
        <v>411.718301886792</v>
      </c>
      <c r="X68" s="155" t="n">
        <f aca="false">IFERROR('Price History'!C3+(INDEX('Price History'!C:C,MATCH(9.99E+307,'Returns (Calc)'!$A:$A)+1)-'Price History'!C3)*(ROW()-3)/(MATCH(9.99E+307,'Returns (Calc)'!$A:$A)-3),"")</f>
        <v>115.905786163522</v>
      </c>
      <c r="Y68" s="155" t="n">
        <f aca="false">IFERROR('Price History'!D3+(INDEX('Price History'!D:D,MATCH(9.99E+307,'Returns (Calc)'!$A:$A)+1)-'Price History'!D3)*(ROW()-3)/(MATCH(9.99E+307,'Returns (Calc)'!$A:$A)-3),"")</f>
        <v>1071.89333333333</v>
      </c>
      <c r="Z68" s="155" t="n">
        <f aca="false">IFERROR('Price History'!E3+(INDEX('Price History'!E:E,MATCH(9.99E+307,'Returns (Calc)'!$A:$A)+1)-'Price History'!E3)*(ROW()-3)/(MATCH(9.99E+307,'Returns (Calc)'!$A:$A)-3),"")</f>
        <v>196.277358490566</v>
      </c>
      <c r="AA68" s="155" t="n">
        <f aca="false">IFERROR('Price History'!F3+(INDEX('Price History'!F:F,MATCH(9.99E+307,'Returns (Calc)'!$A:$A)+1)-'Price History'!F3)*(ROW()-3)/(MATCH(9.99E+307,'Returns (Calc)'!$A:$A)-3),"")</f>
        <v>136.889559748428</v>
      </c>
      <c r="AB68" s="155" t="n">
        <f aca="false">IFERROR('Price History'!G3+(INDEX('Price History'!G:G,MATCH(9.99E+307,'Returns (Calc)'!$A:$A)+1)-'Price History'!G3)*(ROW()-3)/(MATCH(9.99E+307,'Returns (Calc)'!$A:$A)-3),"")</f>
        <v>106.169496855346</v>
      </c>
      <c r="AC68" s="155" t="n">
        <f aca="false">IFERROR('Price History'!H3+(INDEX('Price History'!H:H,MATCH(9.99E+307,'Returns (Calc)'!$A:$A)+1)-'Price History'!H3)*(ROW()-3)/(MATCH(9.99E+307,'Returns (Calc)'!$A:$A)-3),"")</f>
        <v>461.51786163522</v>
      </c>
      <c r="AD68" s="155" t="n">
        <f aca="false">IFERROR('Price History'!I3+(INDEX('Price History'!I:I,MATCH(9.99E+307,'Returns (Calc)'!$A:$A)+1)-'Price History'!I3)*(ROW()-3)/(MATCH(9.99E+307,'Returns (Calc)'!$A:$A)-3),"")</f>
        <v>119.607421383648</v>
      </c>
      <c r="AE68" s="155" t="n">
        <f aca="false">IFERROR('Price History'!J3+(INDEX('Price History'!J:J,MATCH(9.99E+307,'Returns (Calc)'!$A:$A)+1)-'Price History'!J3)*(ROW()-3)/(MATCH(9.99E+307,'Returns (Calc)'!$A:$A)-3),"")</f>
        <v>119.055408805031</v>
      </c>
      <c r="AF68" s="155" t="n">
        <f aca="false">IFERROR('Price History'!K3+(INDEX('Price History'!K:K,MATCH(9.99E+307,'Returns (Calc)'!$A:$A)+1)-'Price History'!K3)*(ROW()-3)/(MATCH(9.99E+307,'Returns (Calc)'!$A:$A)-3),"")</f>
        <v>94.5237106918239</v>
      </c>
      <c r="AG68" s="155" t="n">
        <f aca="false">IFERROR('Price History'!L3+(INDEX('Price History'!L:L,MATCH(9.99E+307,'Returns (Calc)'!$A:$A)+1)-'Price History'!L3)*(ROW()-3)/(MATCH(9.99E+307,'Returns (Calc)'!$A:$A)-3),"")</f>
        <v>236.010377358491</v>
      </c>
      <c r="AH68" s="155" t="n">
        <f aca="false">IFERROR('Price History'!M3+(INDEX('Price History'!M:M,MATCH(9.99E+307,'Returns (Calc)'!$A:$A)+1)-'Price History'!M3)*(ROW()-3)/(MATCH(9.99E+307,'Returns (Calc)'!$A:$A)-3),"")</f>
        <v>121.726918238994</v>
      </c>
      <c r="AI68" s="155" t="n">
        <f aca="false">IFERROR('Price History'!N3+(INDEX('Price History'!N:N,MATCH(9.99E+307,'Returns (Calc)'!$A:$A)+1)-'Price History'!N3)*(ROW()-3)/(MATCH(9.99E+307,'Returns (Calc)'!$A:$A)-3),"")</f>
        <v>414.791194968553</v>
      </c>
      <c r="AJ68" s="155" t="n">
        <f aca="false">IFERROR('Price History'!O3+(INDEX('Price History'!O:O,MATCH(9.99E+307,'Returns (Calc)'!$A:$A)+1)-'Price History'!O3)*(ROW()-3)/(MATCH(9.99E+307,'Returns (Calc)'!$A:$A)-3),"")</f>
        <v>93.4323270440252</v>
      </c>
      <c r="AK68" s="155" t="n">
        <f aca="false">IFERROR('Price History'!Q3+(INDEX('Price History'!Q:Q,MATCH(9.99E+307,'Returns (Calc)'!$A:$A)+1)-'Price History'!Q3)*(ROW()-3)/(MATCH(9.99E+307,'Returns (Calc)'!$A:$A)-3),"")</f>
        <v>28.6040880503145</v>
      </c>
      <c r="AL68" s="155" t="n">
        <f aca="false">IFERROR('Price History'!R3+(INDEX('Price History'!R:R,MATCH(9.99E+307,'Returns (Calc)'!$A:$A)+1)-'Price History'!R3)*(ROW()-3)/(MATCH(9.99E+307,'Returns (Calc)'!$A:$A)-3),"")</f>
        <v>45.3583018867925</v>
      </c>
      <c r="AM68" s="155" t="n">
        <f aca="false">IFERROR('Price History'!S3+(INDEX('Price History'!S:S,MATCH(9.99E+307,'Returns (Calc)'!$A:$A)+1)-'Price History'!S3)*(ROW()-3)/(MATCH(9.99E+307,'Returns (Calc)'!$A:$A)-3),"")</f>
        <v>95.865534591195</v>
      </c>
      <c r="AN68" s="155" t="n">
        <f aca="false">IFERROR('Price History'!T3+(INDEX('Price History'!T:T,MATCH(9.99E+307,'Returns (Calc)'!$A:$A)+1)-'Price History'!T3)*(ROW()-3)/(MATCH(9.99E+307,'Returns (Calc)'!$A:$A)-3),"")</f>
        <v>36.4934591194969</v>
      </c>
      <c r="AO68" s="156" t="n">
        <f aca="false">IFERROR('Price History'!V3+(INDEX('Price History'!V:V,MATCH(9.99E+307,'Returns (Calc)'!$A:$A)+1)-'Price History'!V3)*(ROW()-3)/(MATCH(9.99E+307,'Returns (Calc)'!$A:$A)-3),"")</f>
        <v>296.877169811321</v>
      </c>
      <c r="AP68" s="154" t="n">
        <f aca="false">IFERROR(IF(OR(NOT(ISNUMBER('Price History'!W69)),NOT(ISNUMBER('Price History'!W68)),'Price History'!W68=0),"",'Price History'!W69/'Price History'!W68-1),"")</f>
        <v>-0.028569148511691</v>
      </c>
      <c r="AQ68" s="154" t="str">
        <f aca="false">IFERROR(IF(OR(NOT(ISNUMBER('Price History'!X69)),NOT(ISNUMBER('Price History'!X68)),'Price History'!X68=0),"",'Price History'!X69/'Price History'!X68-1),"")</f>
        <v/>
      </c>
      <c r="AR68" s="154" t="n">
        <f aca="false">IFERROR(IF(OR(NOT(ISNUMBER('Price History'!Y69)),NOT(ISNUMBER('Price History'!Y68)),'Price History'!Y68=0),"",'Price History'!Y69/'Price History'!Y68-1),"")</f>
        <v>-0.0205198358413133</v>
      </c>
      <c r="AS68" s="154" t="n">
        <f aca="false">IFERROR(IF(OR(NOT(ISNUMBER('Price History'!Z69)),NOT(ISNUMBER('Price History'!Z68)),'Price History'!Z68=0),"",'Price History'!Z69/'Price History'!Z68-1),"")</f>
        <v>0.0141977941624518</v>
      </c>
      <c r="AT68" s="154" t="n">
        <f aca="false">IFERROR(IF(OR(NOT(ISNUMBER('Price History'!AA69)),NOT(ISNUMBER('Price History'!AA68)),'Price History'!AA68=0),"",'Price History'!AA69/'Price History'!AA68-1),"")</f>
        <v>-0.0107737512242898</v>
      </c>
      <c r="AU68" s="154" t="n">
        <f aca="false">IFERROR(IF(OR(NOT(ISNUMBER('Price History'!AB69)),NOT(ISNUMBER('Price History'!AB68)),'Price History'!AB68=0),"",'Price History'!AB69/'Price History'!AB68-1),"")</f>
        <v>-0.0202377830229915</v>
      </c>
    </row>
    <row r="69" customFormat="false" ht="15" hidden="false" customHeight="true" outlineLevel="0" collapsed="false">
      <c r="A69" s="152" t="n">
        <f aca="false">IF('Price History'!A70="","",'Price History'!A70)</f>
        <v>45653</v>
      </c>
      <c r="B69" s="153" t="n">
        <f aca="false">IFERROR(IF(OR(NOT(ISNUMBER('Price History'!B70)),NOT(ISNUMBER('Price History'!B69)),'Price History'!B69=0),"",'Price History'!B70/'Price History'!B69-1),"")</f>
        <v>-0.00154303732361294</v>
      </c>
      <c r="C69" s="153" t="n">
        <f aca="false">IFERROR(IF(OR(NOT(ISNUMBER('Price History'!C70)),NOT(ISNUMBER('Price History'!C69)),'Price History'!C69=0),"",'Price History'!C70/'Price History'!C69-1),"")</f>
        <v>0.00195018172147865</v>
      </c>
      <c r="D69" s="153" t="n">
        <f aca="false">IFERROR(IF(OR(NOT(ISNUMBER('Price History'!D70)),NOT(ISNUMBER('Price History'!D69)),'Price History'!D69=0),"",'Price History'!D70/'Price History'!D69-1),"")</f>
        <v>0.0112123738607941</v>
      </c>
      <c r="E69" s="153" t="n">
        <f aca="false">IFERROR(IF(OR(NOT(ISNUMBER('Price History'!E70)),NOT(ISNUMBER('Price History'!E69)),'Price History'!E69=0),"",'Price History'!E70/'Price History'!E69-1),"")</f>
        <v>0.097866654379579</v>
      </c>
      <c r="F69" s="153" t="n">
        <f aca="false">IFERROR(IF(OR(NOT(ISNUMBER('Price History'!F70)),NOT(ISNUMBER('Price History'!F69)),'Price History'!F69=0),"",'Price History'!F70/'Price History'!F69-1),"")</f>
        <v>-0.0200949541790879</v>
      </c>
      <c r="G69" s="153" t="n">
        <f aca="false">IFERROR(IF(OR(NOT(ISNUMBER('Price History'!G70)),NOT(ISNUMBER('Price History'!G69)),'Price History'!G69=0),"",'Price History'!G70/'Price History'!G69-1),"")</f>
        <v>0.0246099404857649</v>
      </c>
      <c r="H69" s="153" t="n">
        <f aca="false">IFERROR(IF(OR(NOT(ISNUMBER('Price History'!H70)),NOT(ISNUMBER('Price History'!H69)),'Price History'!H69=0),"",'Price History'!H70/'Price History'!H69-1),"")</f>
        <v>-0.0165068034798125</v>
      </c>
      <c r="I69" s="153" t="n">
        <f aca="false">IFERROR(IF(OR(NOT(ISNUMBER('Price History'!I70)),NOT(ISNUMBER('Price History'!I69)),'Price History'!I69=0),"",'Price History'!I70/'Price History'!I69-1),"")</f>
        <v>0.0171194640863417</v>
      </c>
      <c r="J69" s="153" t="n">
        <f aca="false">IFERROR(IF(OR(NOT(ISNUMBER('Price History'!J70)),NOT(ISNUMBER('Price History'!J69)),'Price History'!J69=0),"",'Price History'!J70/'Price History'!J69-1),"")</f>
        <v>0.0185679113664341</v>
      </c>
      <c r="K69" s="153" t="n">
        <f aca="false">IFERROR(IF(OR(NOT(ISNUMBER('Price History'!K70)),NOT(ISNUMBER('Price History'!K69)),'Price History'!K69=0),"",'Price History'!K70/'Price History'!K69-1),"")</f>
        <v>-0.0182495344506518</v>
      </c>
      <c r="L69" s="153" t="n">
        <f aca="false">IFERROR(IF(OR(NOT(ISNUMBER('Price History'!L70)),NOT(ISNUMBER('Price History'!L69)),'Price History'!L69=0),"",'Price History'!L70/'Price History'!L69-1),"")</f>
        <v>0.0224270989796447</v>
      </c>
      <c r="M69" s="153" t="n">
        <f aca="false">IFERROR(IF(OR(NOT(ISNUMBER('Price History'!M70)),NOT(ISNUMBER('Price History'!M69)),'Price History'!M69=0),"",'Price History'!M70/'Price History'!M69-1),"")</f>
        <v>-0.0410718757826196</v>
      </c>
      <c r="N69" s="153" t="n">
        <f aca="false">IFERROR(IF(OR(NOT(ISNUMBER('Price History'!N70)),NOT(ISNUMBER('Price History'!N69)),'Price History'!N69=0),"",'Price History'!N70/'Price History'!N69-1),"")</f>
        <v>0.0289223953482518</v>
      </c>
      <c r="O69" s="153" t="n">
        <f aca="false">IFERROR(IF(OR(NOT(ISNUMBER('Price History'!O70)),NOT(ISNUMBER('Price History'!O69)),'Price History'!O69=0),"",'Price History'!O70/'Price History'!O69-1),"")</f>
        <v>0.00395256916996045</v>
      </c>
      <c r="P69" s="153" t="n">
        <f aca="false">IFERROR(IF(OR(NOT(ISNUMBER('Price History'!P70)),NOT(ISNUMBER('Price History'!P69)),'Price History'!P69=0),"",'Price History'!P70/'Price History'!P69-1),"")</f>
        <v>0.00453184429877807</v>
      </c>
      <c r="Q69" s="153" t="n">
        <f aca="false">IFERROR(IF(OR(NOT(ISNUMBER('Price History'!Q70)),NOT(ISNUMBER('Price History'!Q69)),'Price History'!Q69=0),"",'Price History'!Q70/'Price History'!Q69-1),"")</f>
        <v>0.00649667045639113</v>
      </c>
      <c r="R69" s="153" t="n">
        <f aca="false">IFERROR(IF(OR(NOT(ISNUMBER('Price History'!R70)),NOT(ISNUMBER('Price History'!R69)),'Price History'!R69=0),"",'Price History'!R70/'Price History'!R69-1),"")</f>
        <v>0.00925726587728737</v>
      </c>
      <c r="S69" s="153" t="n">
        <f aca="false">IFERROR(IF(OR(NOT(ISNUMBER('Price History'!S70)),NOT(ISNUMBER('Price History'!S69)),'Price History'!S69=0),"",'Price History'!S70/'Price History'!S69-1),"")</f>
        <v>0.0126501541405337</v>
      </c>
      <c r="T69" s="153" t="n">
        <f aca="false">IFERROR(IF(OR(NOT(ISNUMBER('Price History'!T70)),NOT(ISNUMBER('Price History'!T69)),'Price History'!T69=0),"",'Price History'!T70/'Price History'!T69-1),"")</f>
        <v>0.00938256658595638</v>
      </c>
      <c r="U69" s="153" t="n">
        <f aca="false">IFERROR(IF(OR(NOT(ISNUMBER('Price History'!U70)),NOT(ISNUMBER('Price History'!U69)),'Price History'!U69=0),"",'Price History'!U70/'Price History'!U69-1),"")</f>
        <v>0.00663285212641451</v>
      </c>
      <c r="V69" s="154" t="n">
        <f aca="false">IFERROR(IF(OR(NOT(ISNUMBER('Price History'!V70)),NOT(ISNUMBER('Price History'!V69)),'Price History'!V69=0),"",'Price History'!V70/'Price History'!V69-1),"")</f>
        <v>0.00296565579259545</v>
      </c>
      <c r="W69" s="155" t="n">
        <f aca="false">IFERROR('Price History'!B3+(INDEX('Price History'!B:B,MATCH(9.99E+307,'Returns (Calc)'!$A:$A)+1)-'Price History'!B3)*(ROW()-3)/(MATCH(9.99E+307,'Returns (Calc)'!$A:$A)-3),"")</f>
        <v>409.915660377358</v>
      </c>
      <c r="X69" s="155" t="n">
        <f aca="false">IFERROR('Price History'!C3+(INDEX('Price History'!C:C,MATCH(9.99E+307,'Returns (Calc)'!$A:$A)+1)-'Price History'!C3)*(ROW()-3)/(MATCH(9.99E+307,'Returns (Calc)'!$A:$A)-3),"")</f>
        <v>116.978490566038</v>
      </c>
      <c r="Y69" s="155" t="n">
        <f aca="false">IFERROR('Price History'!D3+(INDEX('Price History'!D:D,MATCH(9.99E+307,'Returns (Calc)'!$A:$A)+1)-'Price History'!D3)*(ROW()-3)/(MATCH(9.99E+307,'Returns (Calc)'!$A:$A)-3),"")</f>
        <v>1079.43</v>
      </c>
      <c r="Z69" s="155" t="n">
        <f aca="false">IFERROR('Price History'!E3+(INDEX('Price History'!E:E,MATCH(9.99E+307,'Returns (Calc)'!$A:$A)+1)-'Price History'!E3)*(ROW()-3)/(MATCH(9.99E+307,'Returns (Calc)'!$A:$A)-3),"")</f>
        <v>198.035471698113</v>
      </c>
      <c r="AA69" s="155" t="n">
        <f aca="false">IFERROR('Price History'!F3+(INDEX('Price History'!F:F,MATCH(9.99E+307,'Returns (Calc)'!$A:$A)+1)-'Price History'!F3)*(ROW()-3)/(MATCH(9.99E+307,'Returns (Calc)'!$A:$A)-3),"")</f>
        <v>138.359245283019</v>
      </c>
      <c r="AB69" s="155" t="n">
        <f aca="false">IFERROR('Price History'!G3+(INDEX('Price History'!G:G,MATCH(9.99E+307,'Returns (Calc)'!$A:$A)+1)-'Price History'!G3)*(ROW()-3)/(MATCH(9.99E+307,'Returns (Calc)'!$A:$A)-3),"")</f>
        <v>107.120566037736</v>
      </c>
      <c r="AC69" s="155" t="n">
        <f aca="false">IFERROR('Price History'!H3+(INDEX('Price History'!H:H,MATCH(9.99E+307,'Returns (Calc)'!$A:$A)+1)-'Price History'!H3)*(ROW()-3)/(MATCH(9.99E+307,'Returns (Calc)'!$A:$A)-3),"")</f>
        <v>467.554905660377</v>
      </c>
      <c r="AD69" s="155" t="n">
        <f aca="false">IFERROR('Price History'!I3+(INDEX('Price History'!I:I,MATCH(9.99E+307,'Returns (Calc)'!$A:$A)+1)-'Price History'!I3)*(ROW()-3)/(MATCH(9.99E+307,'Returns (Calc)'!$A:$A)-3),"")</f>
        <v>120.774150943396</v>
      </c>
      <c r="AE69" s="155" t="n">
        <f aca="false">IFERROR('Price History'!J3+(INDEX('Price History'!J:J,MATCH(9.99E+307,'Returns (Calc)'!$A:$A)+1)-'Price History'!J3)*(ROW()-3)/(MATCH(9.99E+307,'Returns (Calc)'!$A:$A)-3),"")</f>
        <v>119.16641509434</v>
      </c>
      <c r="AF69" s="155" t="n">
        <f aca="false">IFERROR('Price History'!K3+(INDEX('Price History'!K:K,MATCH(9.99E+307,'Returns (Calc)'!$A:$A)+1)-'Price History'!K3)*(ROW()-3)/(MATCH(9.99E+307,'Returns (Calc)'!$A:$A)-3),"")</f>
        <v>95.7420754716981</v>
      </c>
      <c r="AG69" s="155" t="n">
        <f aca="false">IFERROR('Price History'!L3+(INDEX('Price History'!L:L,MATCH(9.99E+307,'Returns (Calc)'!$A:$A)+1)-'Price History'!L3)*(ROW()-3)/(MATCH(9.99E+307,'Returns (Calc)'!$A:$A)-3),"")</f>
        <v>238.322075471698</v>
      </c>
      <c r="AH69" s="155" t="n">
        <f aca="false">IFERROR('Price History'!M3+(INDEX('Price History'!M:M,MATCH(9.99E+307,'Returns (Calc)'!$A:$A)+1)-'Price History'!M3)*(ROW()-3)/(MATCH(9.99E+307,'Returns (Calc)'!$A:$A)-3),"")</f>
        <v>123.014716981132</v>
      </c>
      <c r="AI69" s="155" t="n">
        <f aca="false">IFERROR('Price History'!N3+(INDEX('Price History'!N:N,MATCH(9.99E+307,'Returns (Calc)'!$A:$A)+1)-'Price History'!N3)*(ROW()-3)/(MATCH(9.99E+307,'Returns (Calc)'!$A:$A)-3),"")</f>
        <v>415.804905660377</v>
      </c>
      <c r="AJ69" s="155" t="n">
        <f aca="false">IFERROR('Price History'!O3+(INDEX('Price History'!O:O,MATCH(9.99E+307,'Returns (Calc)'!$A:$A)+1)-'Price History'!O3)*(ROW()-3)/(MATCH(9.99E+307,'Returns (Calc)'!$A:$A)-3),"")</f>
        <v>93.7111320754717</v>
      </c>
      <c r="AK69" s="155" t="n">
        <f aca="false">IFERROR('Price History'!Q3+(INDEX('Price History'!Q:Q,MATCH(9.99E+307,'Returns (Calc)'!$A:$A)+1)-'Price History'!Q3)*(ROW()-3)/(MATCH(9.99E+307,'Returns (Calc)'!$A:$A)-3),"")</f>
        <v>29.0441509433962</v>
      </c>
      <c r="AL69" s="155" t="n">
        <f aca="false">IFERROR('Price History'!R3+(INDEX('Price History'!R:R,MATCH(9.99E+307,'Returns (Calc)'!$A:$A)+1)-'Price History'!R3)*(ROW()-3)/(MATCH(9.99E+307,'Returns (Calc)'!$A:$A)-3),"")</f>
        <v>45.5256603773585</v>
      </c>
      <c r="AM69" s="155" t="n">
        <f aca="false">IFERROR('Price History'!S3+(INDEX('Price History'!S:S,MATCH(9.99E+307,'Returns (Calc)'!$A:$A)+1)-'Price History'!S3)*(ROW()-3)/(MATCH(9.99E+307,'Returns (Calc)'!$A:$A)-3),"")</f>
        <v>96.4537735849057</v>
      </c>
      <c r="AN69" s="155" t="n">
        <f aca="false">IFERROR('Price History'!T3+(INDEX('Price History'!T:T,MATCH(9.99E+307,'Returns (Calc)'!$A:$A)+1)-'Price History'!T3)*(ROW()-3)/(MATCH(9.99E+307,'Returns (Calc)'!$A:$A)-3),"")</f>
        <v>36.667358490566</v>
      </c>
      <c r="AO69" s="156" t="n">
        <f aca="false">IFERROR('Price History'!V3+(INDEX('Price History'!V:V,MATCH(9.99E+307,'Returns (Calc)'!$A:$A)+1)-'Price History'!V3)*(ROW()-3)/(MATCH(9.99E+307,'Returns (Calc)'!$A:$A)-3),"")</f>
        <v>297.819433962264</v>
      </c>
      <c r="AP69" s="154" t="n">
        <f aca="false">IFERROR(IF(OR(NOT(ISNUMBER('Price History'!W70)),NOT(ISNUMBER('Price History'!W69)),'Price History'!W69=0),"",'Price History'!W70/'Price History'!W69-1),"")</f>
        <v>0.0119116076562886</v>
      </c>
      <c r="AQ69" s="154" t="str">
        <f aca="false">IFERROR(IF(OR(NOT(ISNUMBER('Price History'!X70)),NOT(ISNUMBER('Price History'!X69)),'Price History'!X69=0),"",'Price History'!X70/'Price History'!X69-1),"")</f>
        <v/>
      </c>
      <c r="AR69" s="154" t="n">
        <f aca="false">IFERROR(IF(OR(NOT(ISNUMBER('Price History'!Y70)),NOT(ISNUMBER('Price History'!Y69)),'Price History'!Y69=0),"",'Price History'!Y70/'Price History'!Y69-1),"")</f>
        <v>0.00438946528332007</v>
      </c>
      <c r="AS69" s="154" t="n">
        <f aca="false">IFERROR(IF(OR(NOT(ISNUMBER('Price History'!Z70)),NOT(ISNUMBER('Price History'!Z69)),'Price History'!Z69=0),"",'Price History'!Z70/'Price History'!Z69-1),"")</f>
        <v>0.0117760153809181</v>
      </c>
      <c r="AT69" s="154" t="n">
        <f aca="false">IFERROR(IF(OR(NOT(ISNUMBER('Price History'!AA70)),NOT(ISNUMBER('Price History'!AA69)),'Price History'!AA69=0),"",'Price History'!AA70/'Price History'!AA69-1),"")</f>
        <v>-0.00165016501650173</v>
      </c>
      <c r="AU69" s="154" t="n">
        <f aca="false">IFERROR(IF(OR(NOT(ISNUMBER('Price History'!AB70)),NOT(ISNUMBER('Price History'!AB69)),'Price History'!AB69=0),"",'Price History'!AB70/'Price History'!AB69-1),"")</f>
        <v>-0.0452375641311622</v>
      </c>
    </row>
    <row r="70" customFormat="false" ht="15" hidden="false" customHeight="true" outlineLevel="0" collapsed="false">
      <c r="A70" s="152" t="n">
        <f aca="false">IF('Price History'!A71="","",'Price History'!A71)</f>
        <v>45660</v>
      </c>
      <c r="B70" s="153" t="n">
        <f aca="false">IFERROR(IF(OR(NOT(ISNUMBER('Price History'!B71)),NOT(ISNUMBER('Price History'!B70)),'Price History'!B70=0),"",'Price History'!B71/'Price History'!B70-1),"")</f>
        <v>-0.0356342949292242</v>
      </c>
      <c r="C70" s="153" t="n">
        <f aca="false">IFERROR(IF(OR(NOT(ISNUMBER('Price History'!C71)),NOT(ISNUMBER('Price History'!C70)),'Price History'!C70=0),"",'Price History'!C71/'Price History'!C70-1),"")</f>
        <v>0.0191984428912679</v>
      </c>
      <c r="D70" s="153" t="n">
        <f aca="false">IFERROR(IF(OR(NOT(ISNUMBER('Price History'!D71)),NOT(ISNUMBER('Price History'!D70)),'Price History'!D70=0),"",'Price History'!D71/'Price History'!D70-1),"")</f>
        <v>0.0010803741506269</v>
      </c>
      <c r="E70" s="153" t="n">
        <f aca="false">IFERROR(IF(OR(NOT(ISNUMBER('Price History'!E71)),NOT(ISNUMBER('Price History'!E70)),'Price History'!E70=0),"",'Price History'!E71/'Price History'!E70-1),"")</f>
        <v>-0.038066059512318</v>
      </c>
      <c r="F70" s="153" t="n">
        <f aca="false">IFERROR(IF(OR(NOT(ISNUMBER('Price History'!F71)),NOT(ISNUMBER('Price History'!F70)),'Price History'!F70=0),"",'Price History'!F71/'Price History'!F70-1),"")</f>
        <v>0.0112676056338028</v>
      </c>
      <c r="G70" s="153" t="n">
        <f aca="false">IFERROR(IF(OR(NOT(ISNUMBER('Price History'!G71)),NOT(ISNUMBER('Price History'!G70)),'Price History'!G70=0),"",'Price History'!G71/'Price History'!G70-1),"")</f>
        <v>0.0188383045525904</v>
      </c>
      <c r="H70" s="153" t="n">
        <f aca="false">IFERROR(IF(OR(NOT(ISNUMBER('Price History'!H71)),NOT(ISNUMBER('Price History'!H70)),'Price History'!H70=0),"",'Price History'!H71/'Price History'!H70-1),"")</f>
        <v>0.0153095940122476</v>
      </c>
      <c r="I70" s="153" t="n">
        <f aca="false">IFERROR(IF(OR(NOT(ISNUMBER('Price History'!I71)),NOT(ISNUMBER('Price History'!I70)),'Price History'!I70=0),"",'Price History'!I71/'Price History'!I70-1),"")</f>
        <v>0.0544456641053788</v>
      </c>
      <c r="J70" s="153" t="n">
        <f aca="false">IFERROR(IF(OR(NOT(ISNUMBER('Price History'!J71)),NOT(ISNUMBER('Price History'!J70)),'Price History'!J70=0),"",'Price History'!J71/'Price History'!J70-1),"")</f>
        <v>0.00372645785074011</v>
      </c>
      <c r="K70" s="153" t="n">
        <f aca="false">IFERROR(IF(OR(NOT(ISNUMBER('Price History'!K71)),NOT(ISNUMBER('Price History'!K70)),'Price History'!K70=0),"",'Price History'!K71/'Price History'!K70-1),"")</f>
        <v>0.0102427921092565</v>
      </c>
      <c r="L70" s="153" t="n">
        <f aca="false">IFERROR(IF(OR(NOT(ISNUMBER('Price History'!L71)),NOT(ISNUMBER('Price History'!L70)),'Price History'!L70=0),"",'Price History'!L71/'Price History'!L70-1),"")</f>
        <v>0.0345997973657548</v>
      </c>
      <c r="M70" s="153" t="n">
        <f aca="false">IFERROR(IF(OR(NOT(ISNUMBER('Price History'!M71)),NOT(ISNUMBER('Price History'!M70)),'Price History'!M70=0),"",'Price History'!M71/'Price History'!M70-1),"")</f>
        <v>0.0916688430399582</v>
      </c>
      <c r="N70" s="153" t="n">
        <f aca="false">IFERROR(IF(OR(NOT(ISNUMBER('Price History'!N71)),NOT(ISNUMBER('Price History'!N70)),'Price History'!N70=0),"",'Price History'!N71/'Price History'!N70-1),"")</f>
        <v>-0.0040365984930032</v>
      </c>
      <c r="O70" s="153" t="n">
        <f aca="false">IFERROR(IF(OR(NOT(ISNUMBER('Price History'!O71)),NOT(ISNUMBER('Price History'!O70)),'Price History'!O70=0),"",'Price History'!O71/'Price History'!O70-1),"")</f>
        <v>0.00787401574803148</v>
      </c>
      <c r="P70" s="153" t="n">
        <f aca="false">IFERROR(IF(OR(NOT(ISNUMBER('Price History'!P71)),NOT(ISNUMBER('Price History'!P70)),'Price History'!P70=0),"",'Price History'!P71/'Price History'!P70-1),"")</f>
        <v>-0.000563924917425185</v>
      </c>
      <c r="Q70" s="153" t="n">
        <f aca="false">IFERROR(IF(OR(NOT(ISNUMBER('Price History'!Q71)),NOT(ISNUMBER('Price History'!Q70)),'Price History'!Q70=0),"",'Price History'!Q71/'Price History'!Q70-1),"")</f>
        <v>-0.00403421010166205</v>
      </c>
      <c r="R70" s="153" t="n">
        <f aca="false">IFERROR(IF(OR(NOT(ISNUMBER('Price History'!R71)),NOT(ISNUMBER('Price History'!R70)),'Price History'!R70=0),"",'Price History'!R71/'Price History'!R70-1),"")</f>
        <v>-0.0034129692832765</v>
      </c>
      <c r="S70" s="153" t="n">
        <f aca="false">IFERROR(IF(OR(NOT(ISNUMBER('Price History'!S71)),NOT(ISNUMBER('Price History'!S70)),'Price History'!S70=0),"",'Price History'!S71/'Price History'!S70-1),"")</f>
        <v>0.00304429981104337</v>
      </c>
      <c r="T70" s="153" t="n">
        <f aca="false">IFERROR(IF(OR(NOT(ISNUMBER('Price History'!T71)),NOT(ISNUMBER('Price History'!T70)),'Price History'!T70=0),"",'Price History'!T71/'Price History'!T70-1),"")</f>
        <v>0.00749625187406289</v>
      </c>
      <c r="U70" s="153" t="n">
        <f aca="false">IFERROR(IF(OR(NOT(ISNUMBER('Price History'!U71)),NOT(ISNUMBER('Price History'!U70)),'Price History'!U70=0),"",'Price History'!U71/'Price History'!U70-1),"")</f>
        <v>-0.00116279069767444</v>
      </c>
      <c r="V70" s="154" t="n">
        <f aca="false">IFERROR(IF(OR(NOT(ISNUMBER('Price History'!V71)),NOT(ISNUMBER('Price History'!V70)),'Price History'!V70=0),"",'Price History'!V71/'Price History'!V70-1),"")</f>
        <v>-0.0117639577769298</v>
      </c>
      <c r="W70" s="155" t="n">
        <f aca="false">IFERROR('Price History'!B3+(INDEX('Price History'!B:B,MATCH(9.99E+307,'Returns (Calc)'!$A:$A)+1)-'Price History'!B3)*(ROW()-3)/(MATCH(9.99E+307,'Returns (Calc)'!$A:$A)-3),"")</f>
        <v>408.113018867925</v>
      </c>
      <c r="X70" s="155" t="n">
        <f aca="false">IFERROR('Price History'!C3+(INDEX('Price History'!C:C,MATCH(9.99E+307,'Returns (Calc)'!$A:$A)+1)-'Price History'!C3)*(ROW()-3)/(MATCH(9.99E+307,'Returns (Calc)'!$A:$A)-3),"")</f>
        <v>118.051194968553</v>
      </c>
      <c r="Y70" s="155" t="n">
        <f aca="false">IFERROR('Price History'!D3+(INDEX('Price History'!D:D,MATCH(9.99E+307,'Returns (Calc)'!$A:$A)+1)-'Price History'!D3)*(ROW()-3)/(MATCH(9.99E+307,'Returns (Calc)'!$A:$A)-3),"")</f>
        <v>1086.96666666667</v>
      </c>
      <c r="Z70" s="155" t="n">
        <f aca="false">IFERROR('Price History'!E3+(INDEX('Price History'!E:E,MATCH(9.99E+307,'Returns (Calc)'!$A:$A)+1)-'Price History'!E3)*(ROW()-3)/(MATCH(9.99E+307,'Returns (Calc)'!$A:$A)-3),"")</f>
        <v>199.79358490566</v>
      </c>
      <c r="AA70" s="155" t="n">
        <f aca="false">IFERROR('Price History'!F3+(INDEX('Price History'!F:F,MATCH(9.99E+307,'Returns (Calc)'!$A:$A)+1)-'Price History'!F3)*(ROW()-3)/(MATCH(9.99E+307,'Returns (Calc)'!$A:$A)-3),"")</f>
        <v>139.82893081761</v>
      </c>
      <c r="AB70" s="155" t="n">
        <f aca="false">IFERROR('Price History'!G3+(INDEX('Price History'!G:G,MATCH(9.99E+307,'Returns (Calc)'!$A:$A)+1)-'Price History'!G3)*(ROW()-3)/(MATCH(9.99E+307,'Returns (Calc)'!$A:$A)-3),"")</f>
        <v>108.071635220126</v>
      </c>
      <c r="AC70" s="155" t="n">
        <f aca="false">IFERROR('Price History'!H3+(INDEX('Price History'!H:H,MATCH(9.99E+307,'Returns (Calc)'!$A:$A)+1)-'Price History'!H3)*(ROW()-3)/(MATCH(9.99E+307,'Returns (Calc)'!$A:$A)-3),"")</f>
        <v>473.591949685535</v>
      </c>
      <c r="AD70" s="155" t="n">
        <f aca="false">IFERROR('Price History'!I3+(INDEX('Price History'!I:I,MATCH(9.99E+307,'Returns (Calc)'!$A:$A)+1)-'Price History'!I3)*(ROW()-3)/(MATCH(9.99E+307,'Returns (Calc)'!$A:$A)-3),"")</f>
        <v>121.940880503145</v>
      </c>
      <c r="AE70" s="155" t="n">
        <f aca="false">IFERROR('Price History'!J3+(INDEX('Price History'!J:J,MATCH(9.99E+307,'Returns (Calc)'!$A:$A)+1)-'Price History'!J3)*(ROW()-3)/(MATCH(9.99E+307,'Returns (Calc)'!$A:$A)-3),"")</f>
        <v>119.277421383648</v>
      </c>
      <c r="AF70" s="155" t="n">
        <f aca="false">IFERROR('Price History'!K3+(INDEX('Price History'!K:K,MATCH(9.99E+307,'Returns (Calc)'!$A:$A)+1)-'Price History'!K3)*(ROW()-3)/(MATCH(9.99E+307,'Returns (Calc)'!$A:$A)-3),"")</f>
        <v>96.9604402515723</v>
      </c>
      <c r="AG70" s="155" t="n">
        <f aca="false">IFERROR('Price History'!L3+(INDEX('Price History'!L:L,MATCH(9.99E+307,'Returns (Calc)'!$A:$A)+1)-'Price History'!L3)*(ROW()-3)/(MATCH(9.99E+307,'Returns (Calc)'!$A:$A)-3),"")</f>
        <v>240.633773584906</v>
      </c>
      <c r="AH70" s="155" t="n">
        <f aca="false">IFERROR('Price History'!M3+(INDEX('Price History'!M:M,MATCH(9.99E+307,'Returns (Calc)'!$A:$A)+1)-'Price History'!M3)*(ROW()-3)/(MATCH(9.99E+307,'Returns (Calc)'!$A:$A)-3),"")</f>
        <v>124.30251572327</v>
      </c>
      <c r="AI70" s="155" t="n">
        <f aca="false">IFERROR('Price History'!N3+(INDEX('Price History'!N:N,MATCH(9.99E+307,'Returns (Calc)'!$A:$A)+1)-'Price History'!N3)*(ROW()-3)/(MATCH(9.99E+307,'Returns (Calc)'!$A:$A)-3),"")</f>
        <v>416.818616352201</v>
      </c>
      <c r="AJ70" s="155" t="n">
        <f aca="false">IFERROR('Price History'!O3+(INDEX('Price History'!O:O,MATCH(9.99E+307,'Returns (Calc)'!$A:$A)+1)-'Price History'!O3)*(ROW()-3)/(MATCH(9.99E+307,'Returns (Calc)'!$A:$A)-3),"")</f>
        <v>93.9899371069182</v>
      </c>
      <c r="AK70" s="155" t="n">
        <f aca="false">IFERROR('Price History'!Q3+(INDEX('Price History'!Q:Q,MATCH(9.99E+307,'Returns (Calc)'!$A:$A)+1)-'Price History'!Q3)*(ROW()-3)/(MATCH(9.99E+307,'Returns (Calc)'!$A:$A)-3),"")</f>
        <v>29.484213836478</v>
      </c>
      <c r="AL70" s="155" t="n">
        <f aca="false">IFERROR('Price History'!R3+(INDEX('Price History'!R:R,MATCH(9.99E+307,'Returns (Calc)'!$A:$A)+1)-'Price History'!R3)*(ROW()-3)/(MATCH(9.99E+307,'Returns (Calc)'!$A:$A)-3),"")</f>
        <v>45.6930188679245</v>
      </c>
      <c r="AM70" s="155" t="n">
        <f aca="false">IFERROR('Price History'!S3+(INDEX('Price History'!S:S,MATCH(9.99E+307,'Returns (Calc)'!$A:$A)+1)-'Price History'!S3)*(ROW()-3)/(MATCH(9.99E+307,'Returns (Calc)'!$A:$A)-3),"")</f>
        <v>97.0420125786164</v>
      </c>
      <c r="AN70" s="155" t="n">
        <f aca="false">IFERROR('Price History'!T3+(INDEX('Price History'!T:T,MATCH(9.99E+307,'Returns (Calc)'!$A:$A)+1)-'Price History'!T3)*(ROW()-3)/(MATCH(9.99E+307,'Returns (Calc)'!$A:$A)-3),"")</f>
        <v>36.8412578616352</v>
      </c>
      <c r="AO70" s="156" t="n">
        <f aca="false">IFERROR('Price History'!V3+(INDEX('Price History'!V:V,MATCH(9.99E+307,'Returns (Calc)'!$A:$A)+1)-'Price History'!V3)*(ROW()-3)/(MATCH(9.99E+307,'Returns (Calc)'!$A:$A)-3),"")</f>
        <v>298.761698113208</v>
      </c>
      <c r="AP70" s="154" t="n">
        <f aca="false">IFERROR(IF(OR(NOT(ISNUMBER('Price History'!W71)),NOT(ISNUMBER('Price History'!W70)),'Price History'!W70=0),"",'Price History'!W71/'Price History'!W70-1),"")</f>
        <v>-0.00170482221139801</v>
      </c>
      <c r="AQ70" s="154" t="str">
        <f aca="false">IFERROR(IF(OR(NOT(ISNUMBER('Price History'!X71)),NOT(ISNUMBER('Price History'!X70)),'Price History'!X70=0),"",'Price History'!X71/'Price History'!X70-1),"")</f>
        <v/>
      </c>
      <c r="AR70" s="154" t="n">
        <f aca="false">IFERROR(IF(OR(NOT(ISNUMBER('Price History'!Y71)),NOT(ISNUMBER('Price History'!Y70)),'Price History'!Y70=0),"",'Price History'!Y71/'Price History'!Y70-1),"")</f>
        <v>-0.00139054429876839</v>
      </c>
      <c r="AS70" s="154" t="n">
        <f aca="false">IFERROR(IF(OR(NOT(ISNUMBER('Price History'!Z71)),NOT(ISNUMBER('Price History'!Z70)),'Price History'!Z70=0),"",'Price History'!Z71/'Price History'!Z70-1),"")</f>
        <v>0.011104513064133</v>
      </c>
      <c r="AT70" s="154" t="n">
        <f aca="false">IFERROR(IF(OR(NOT(ISNUMBER('Price History'!AA71)),NOT(ISNUMBER('Price History'!AA70)),'Price History'!AA70=0),"",'Price History'!AA71/'Price History'!AA70-1),"")</f>
        <v>-0.0290909090909091</v>
      </c>
      <c r="AU70" s="154" t="n">
        <f aca="false">IFERROR(IF(OR(NOT(ISNUMBER('Price History'!AB71)),NOT(ISNUMBER('Price History'!AB70)),'Price History'!AB70=0),"",'Price History'!AB71/'Price History'!AB70-1),"")</f>
        <v>-0.00457922526984711</v>
      </c>
    </row>
    <row r="71" customFormat="false" ht="15" hidden="false" customHeight="true" outlineLevel="0" collapsed="false">
      <c r="A71" s="152" t="n">
        <f aca="false">IF('Price History'!A72="","",'Price History'!A72)</f>
        <v>45667</v>
      </c>
      <c r="B71" s="153" t="n">
        <f aca="false">IFERROR(IF(OR(NOT(ISNUMBER('Price History'!B72)),NOT(ISNUMBER('Price History'!B71)),'Price History'!B71=0),"",'Price History'!B72/'Price History'!B71-1),"")</f>
        <v>-0.0572496922683884</v>
      </c>
      <c r="C71" s="153" t="n">
        <f aca="false">IFERROR(IF(OR(NOT(ISNUMBER('Price History'!C72)),NOT(ISNUMBER('Price History'!C71)),'Price History'!C71=0),"",'Price History'!C72/'Price History'!C71-1),"")</f>
        <v>-0.00746527777777772</v>
      </c>
      <c r="D71" s="153" t="n">
        <f aca="false">IFERROR(IF(OR(NOT(ISNUMBER('Price History'!D72)),NOT(ISNUMBER('Price History'!D71)),'Price History'!D71=0),"",'Price History'!D72/'Price History'!D71-1),"")</f>
        <v>0.0345062622475931</v>
      </c>
      <c r="E71" s="153" t="n">
        <f aca="false">IFERROR(IF(OR(NOT(ISNUMBER('Price History'!E72)),NOT(ISNUMBER('Price History'!E71)),'Price History'!E71=0),"",'Price History'!E72/'Price History'!E71-1),"")</f>
        <v>-0.0354275741710296</v>
      </c>
      <c r="F71" s="153" t="n">
        <f aca="false">IFERROR(IF(OR(NOT(ISNUMBER('Price History'!F72)),NOT(ISNUMBER('Price History'!F71)),'Price History'!F71=0),"",'Price History'!F72/'Price History'!F71-1),"")</f>
        <v>-0.0283008356545962</v>
      </c>
      <c r="G71" s="153" t="n">
        <f aca="false">IFERROR(IF(OR(NOT(ISNUMBER('Price History'!G72)),NOT(ISNUMBER('Price History'!G71)),'Price History'!G71=0),"",'Price History'!G72/'Price History'!G71-1),"")</f>
        <v>0.0397534668721109</v>
      </c>
      <c r="H71" s="153" t="n">
        <f aca="false">IFERROR(IF(OR(NOT(ISNUMBER('Price History'!H72)),NOT(ISNUMBER('Price History'!H71)),'Price History'!H71=0),"",'Price History'!H72/'Price History'!H71-1),"")</f>
        <v>0.105327823076064</v>
      </c>
      <c r="I71" s="153" t="n">
        <f aca="false">IFERROR(IF(OR(NOT(ISNUMBER('Price History'!I72)),NOT(ISNUMBER('Price History'!I71)),'Price History'!I71=0),"",'Price History'!I72/'Price History'!I71-1),"")</f>
        <v>-0.0591991116663196</v>
      </c>
      <c r="J71" s="153" t="n">
        <f aca="false">IFERROR(IF(OR(NOT(ISNUMBER('Price History'!J72)),NOT(ISNUMBER('Price History'!J71)),'Price History'!J71=0),"",'Price History'!J72/'Price History'!J71-1),"")</f>
        <v>-0.0192655027092113</v>
      </c>
      <c r="K71" s="153" t="n">
        <f aca="false">IFERROR(IF(OR(NOT(ISNUMBER('Price History'!K72)),NOT(ISNUMBER('Price History'!K71)),'Price History'!K71=0),"",'Price History'!K72/'Price History'!K71-1),"")</f>
        <v>-0.1580923770184</v>
      </c>
      <c r="L71" s="153" t="n">
        <f aca="false">IFERROR(IF(OR(NOT(ISNUMBER('Price History'!L72)),NOT(ISNUMBER('Price History'!L71)),'Price History'!L71=0),"",'Price History'!L72/'Price History'!L71-1),"")</f>
        <v>-0.00112618126621944</v>
      </c>
      <c r="M71" s="153" t="n">
        <f aca="false">IFERROR(IF(OR(NOT(ISNUMBER('Price History'!M72)),NOT(ISNUMBER('Price History'!M71)),'Price History'!M71=0),"",'Price History'!M72/'Price History'!M71-1),"")</f>
        <v>0.0259968102073365</v>
      </c>
      <c r="N71" s="153" t="n">
        <f aca="false">IFERROR(IF(OR(NOT(ISNUMBER('Price History'!N72)),NOT(ISNUMBER('Price History'!N71)),'Price History'!N71=0),"",'Price History'!N72/'Price History'!N71-1),"")</f>
        <v>0.00601802952518971</v>
      </c>
      <c r="O71" s="153" t="n">
        <f aca="false">IFERROR(IF(OR(NOT(ISNUMBER('Price History'!O72)),NOT(ISNUMBER('Price History'!O71)),'Price History'!O71=0),"",'Price History'!O72/'Price History'!O71-1),"")</f>
        <v>-0.0262880067567567</v>
      </c>
      <c r="P71" s="153" t="n">
        <f aca="false">IFERROR(IF(OR(NOT(ISNUMBER('Price History'!P72)),NOT(ISNUMBER('Price History'!P71)),'Price History'!P71=0),"",'Price History'!P72/'Price History'!P71-1),"")</f>
        <v>-0.0249879090762535</v>
      </c>
      <c r="Q71" s="153" t="n">
        <f aca="false">IFERROR(IF(OR(NOT(ISNUMBER('Price History'!Q72)),NOT(ISNUMBER('Price History'!Q71)),'Price History'!Q71=0),"",'Price History'!Q72/'Price History'!Q71-1),"")</f>
        <v>-0.0121516526247569</v>
      </c>
      <c r="R71" s="153" t="n">
        <f aca="false">IFERROR(IF(OR(NOT(ISNUMBER('Price History'!R72)),NOT(ISNUMBER('Price History'!R71)),'Price History'!R71=0),"",'Price History'!R72/'Price History'!R71-1),"")</f>
        <v>-0.019263698630137</v>
      </c>
      <c r="S71" s="153" t="n">
        <f aca="false">IFERROR(IF(OR(NOT(ISNUMBER('Price History'!S72)),NOT(ISNUMBER('Price History'!S71)),'Price History'!S71=0),"",'Price History'!S72/'Price History'!S71-1),"")</f>
        <v>-0.0135007849293562</v>
      </c>
      <c r="T71" s="153" t="n">
        <f aca="false">IFERROR(IF(OR(NOT(ISNUMBER('Price History'!T72)),NOT(ISNUMBER('Price History'!T71)),'Price History'!T71=0),"",'Price History'!T72/'Price History'!T71-1),"")</f>
        <v>0</v>
      </c>
      <c r="U71" s="153" t="n">
        <f aca="false">IFERROR(IF(OR(NOT(ISNUMBER('Price History'!U72)),NOT(ISNUMBER('Price History'!U71)),'Price History'!U71=0),"",'Price History'!U72/'Price History'!U71-1),"")</f>
        <v>-0.0155219247186651</v>
      </c>
      <c r="V71" s="154" t="n">
        <f aca="false">IFERROR(IF(OR(NOT(ISNUMBER('Price History'!V72)),NOT(ISNUMBER('Price History'!V71)),'Price History'!V71=0),"",'Price History'!V72/'Price History'!V71-1),"")</f>
        <v>-0.0228428029084357</v>
      </c>
      <c r="W71" s="155" t="n">
        <f aca="false">IFERROR('Price History'!B3+(INDEX('Price History'!B:B,MATCH(9.99E+307,'Returns (Calc)'!$A:$A)+1)-'Price History'!B3)*(ROW()-3)/(MATCH(9.99E+307,'Returns (Calc)'!$A:$A)-3),"")</f>
        <v>406.310377358491</v>
      </c>
      <c r="X71" s="155" t="n">
        <f aca="false">IFERROR('Price History'!C3+(INDEX('Price History'!C:C,MATCH(9.99E+307,'Returns (Calc)'!$A:$A)+1)-'Price History'!C3)*(ROW()-3)/(MATCH(9.99E+307,'Returns (Calc)'!$A:$A)-3),"")</f>
        <v>119.123899371069</v>
      </c>
      <c r="Y71" s="155" t="n">
        <f aca="false">IFERROR('Price History'!D3+(INDEX('Price History'!D:D,MATCH(9.99E+307,'Returns (Calc)'!$A:$A)+1)-'Price History'!D3)*(ROW()-3)/(MATCH(9.99E+307,'Returns (Calc)'!$A:$A)-3),"")</f>
        <v>1094.50333333333</v>
      </c>
      <c r="Z71" s="155" t="n">
        <f aca="false">IFERROR('Price History'!E3+(INDEX('Price History'!E:E,MATCH(9.99E+307,'Returns (Calc)'!$A:$A)+1)-'Price History'!E3)*(ROW()-3)/(MATCH(9.99E+307,'Returns (Calc)'!$A:$A)-3),"")</f>
        <v>201.551698113208</v>
      </c>
      <c r="AA71" s="155" t="n">
        <f aca="false">IFERROR('Price History'!F3+(INDEX('Price History'!F:F,MATCH(9.99E+307,'Returns (Calc)'!$A:$A)+1)-'Price History'!F3)*(ROW()-3)/(MATCH(9.99E+307,'Returns (Calc)'!$A:$A)-3),"")</f>
        <v>141.298616352201</v>
      </c>
      <c r="AB71" s="155" t="n">
        <f aca="false">IFERROR('Price History'!G3+(INDEX('Price History'!G:G,MATCH(9.99E+307,'Returns (Calc)'!$A:$A)+1)-'Price History'!G3)*(ROW()-3)/(MATCH(9.99E+307,'Returns (Calc)'!$A:$A)-3),"")</f>
        <v>109.022704402516</v>
      </c>
      <c r="AC71" s="155" t="n">
        <f aca="false">IFERROR('Price History'!H3+(INDEX('Price History'!H:H,MATCH(9.99E+307,'Returns (Calc)'!$A:$A)+1)-'Price History'!H3)*(ROW()-3)/(MATCH(9.99E+307,'Returns (Calc)'!$A:$A)-3),"")</f>
        <v>479.628993710692</v>
      </c>
      <c r="AD71" s="155" t="n">
        <f aca="false">IFERROR('Price History'!I3+(INDEX('Price History'!I:I,MATCH(9.99E+307,'Returns (Calc)'!$A:$A)+1)-'Price History'!I3)*(ROW()-3)/(MATCH(9.99E+307,'Returns (Calc)'!$A:$A)-3),"")</f>
        <v>123.107610062893</v>
      </c>
      <c r="AE71" s="155" t="n">
        <f aca="false">IFERROR('Price History'!J3+(INDEX('Price History'!J:J,MATCH(9.99E+307,'Returns (Calc)'!$A:$A)+1)-'Price History'!J3)*(ROW()-3)/(MATCH(9.99E+307,'Returns (Calc)'!$A:$A)-3),"")</f>
        <v>119.388427672956</v>
      </c>
      <c r="AF71" s="155" t="n">
        <f aca="false">IFERROR('Price History'!K3+(INDEX('Price History'!K:K,MATCH(9.99E+307,'Returns (Calc)'!$A:$A)+1)-'Price History'!K3)*(ROW()-3)/(MATCH(9.99E+307,'Returns (Calc)'!$A:$A)-3),"")</f>
        <v>98.1788050314465</v>
      </c>
      <c r="AG71" s="155" t="n">
        <f aca="false">IFERROR('Price History'!L3+(INDEX('Price History'!L:L,MATCH(9.99E+307,'Returns (Calc)'!$A:$A)+1)-'Price History'!L3)*(ROW()-3)/(MATCH(9.99E+307,'Returns (Calc)'!$A:$A)-3),"")</f>
        <v>242.945471698113</v>
      </c>
      <c r="AH71" s="155" t="n">
        <f aca="false">IFERROR('Price History'!M3+(INDEX('Price History'!M:M,MATCH(9.99E+307,'Returns (Calc)'!$A:$A)+1)-'Price History'!M3)*(ROW()-3)/(MATCH(9.99E+307,'Returns (Calc)'!$A:$A)-3),"")</f>
        <v>125.590314465409</v>
      </c>
      <c r="AI71" s="155" t="n">
        <f aca="false">IFERROR('Price History'!N3+(INDEX('Price History'!N:N,MATCH(9.99E+307,'Returns (Calc)'!$A:$A)+1)-'Price History'!N3)*(ROW()-3)/(MATCH(9.99E+307,'Returns (Calc)'!$A:$A)-3),"")</f>
        <v>417.832327044025</v>
      </c>
      <c r="AJ71" s="155" t="n">
        <f aca="false">IFERROR('Price History'!O3+(INDEX('Price History'!O:O,MATCH(9.99E+307,'Returns (Calc)'!$A:$A)+1)-'Price History'!O3)*(ROW()-3)/(MATCH(9.99E+307,'Returns (Calc)'!$A:$A)-3),"")</f>
        <v>94.2687421383648</v>
      </c>
      <c r="AK71" s="155" t="n">
        <f aca="false">IFERROR('Price History'!Q3+(INDEX('Price History'!Q:Q,MATCH(9.99E+307,'Returns (Calc)'!$A:$A)+1)-'Price History'!Q3)*(ROW()-3)/(MATCH(9.99E+307,'Returns (Calc)'!$A:$A)-3),"")</f>
        <v>29.9242767295598</v>
      </c>
      <c r="AL71" s="155" t="n">
        <f aca="false">IFERROR('Price History'!R3+(INDEX('Price History'!R:R,MATCH(9.99E+307,'Returns (Calc)'!$A:$A)+1)-'Price History'!R3)*(ROW()-3)/(MATCH(9.99E+307,'Returns (Calc)'!$A:$A)-3),"")</f>
        <v>45.8603773584906</v>
      </c>
      <c r="AM71" s="155" t="n">
        <f aca="false">IFERROR('Price History'!S3+(INDEX('Price History'!S:S,MATCH(9.99E+307,'Returns (Calc)'!$A:$A)+1)-'Price History'!S3)*(ROW()-3)/(MATCH(9.99E+307,'Returns (Calc)'!$A:$A)-3),"")</f>
        <v>97.630251572327</v>
      </c>
      <c r="AN71" s="155" t="n">
        <f aca="false">IFERROR('Price History'!T3+(INDEX('Price History'!T:T,MATCH(9.99E+307,'Returns (Calc)'!$A:$A)+1)-'Price History'!T3)*(ROW()-3)/(MATCH(9.99E+307,'Returns (Calc)'!$A:$A)-3),"")</f>
        <v>37.0151572327044</v>
      </c>
      <c r="AO71" s="156" t="n">
        <f aca="false">IFERROR('Price History'!V3+(INDEX('Price History'!V:V,MATCH(9.99E+307,'Returns (Calc)'!$A:$A)+1)-'Price History'!V3)*(ROW()-3)/(MATCH(9.99E+307,'Returns (Calc)'!$A:$A)-3),"")</f>
        <v>299.703962264151</v>
      </c>
      <c r="AP71" s="154" t="n">
        <f aca="false">IFERROR(IF(OR(NOT(ISNUMBER('Price History'!W72)),NOT(ISNUMBER('Price History'!W71)),'Price History'!W71=0),"",'Price History'!W72/'Price History'!W71-1),"")</f>
        <v>-0.0179718630560298</v>
      </c>
      <c r="AQ71" s="154" t="str">
        <f aca="false">IFERROR(IF(OR(NOT(ISNUMBER('Price History'!X72)),NOT(ISNUMBER('Price History'!X71)),'Price History'!X71=0),"",'Price History'!X72/'Price History'!X71-1),"")</f>
        <v/>
      </c>
      <c r="AR71" s="154" t="n">
        <f aca="false">IFERROR(IF(OR(NOT(ISNUMBER('Price History'!Y72)),NOT(ISNUMBER('Price History'!Y71)),'Price History'!Y71=0),"",'Price History'!Y72/'Price History'!Y71-1),"")</f>
        <v>-0.0159140640541079</v>
      </c>
      <c r="AS71" s="154" t="n">
        <f aca="false">IFERROR(IF(OR(NOT(ISNUMBER('Price History'!Z72)),NOT(ISNUMBER('Price History'!Z71)),'Price History'!Z71=0),"",'Price History'!Z72/'Price History'!Z71-1),"")</f>
        <v>-0.00158571680272512</v>
      </c>
      <c r="AT71" s="154" t="n">
        <f aca="false">IFERROR(IF(OR(NOT(ISNUMBER('Price History'!AA72)),NOT(ISNUMBER('Price History'!AA71)),'Price History'!AA71=0),"",'Price History'!AA72/'Price History'!AA71-1),"")</f>
        <v>-0.0492566110543639</v>
      </c>
      <c r="AU71" s="154" t="n">
        <f aca="false">IFERROR(IF(OR(NOT(ISNUMBER('Price History'!AB72)),NOT(ISNUMBER('Price History'!AB71)),'Price History'!AB71=0),"",'Price History'!AB72/'Price History'!AB71-1),"")</f>
        <v>0.0221565037788105</v>
      </c>
    </row>
    <row r="72" customFormat="false" ht="15" hidden="false" customHeight="true" outlineLevel="0" collapsed="false">
      <c r="A72" s="152" t="n">
        <f aca="false">IF('Price History'!A73="","",'Price History'!A73)</f>
        <v>45674</v>
      </c>
      <c r="B72" s="153" t="n">
        <f aca="false">IFERROR(IF(OR(NOT(ISNUMBER('Price History'!B73)),NOT(ISNUMBER('Price History'!B72)),'Price History'!B72=0),"",'Price History'!B73/'Price History'!B72-1),"")</f>
        <v>0.0592973985021679</v>
      </c>
      <c r="C72" s="153" t="n">
        <f aca="false">IFERROR(IF(OR(NOT(ISNUMBER('Price History'!C73)),NOT(ISNUMBER('Price History'!C72)),'Price History'!C72=0),"",'Price History'!C73/'Price History'!C72-1),"")</f>
        <v>0.0490641945076089</v>
      </c>
      <c r="D72" s="153" t="n">
        <f aca="false">IFERROR(IF(OR(NOT(ISNUMBER('Price History'!D73)),NOT(ISNUMBER('Price History'!D72)),'Price History'!D72=0),"",'Price History'!D73/'Price History'!D72-1),"")</f>
        <v>0.0234310657222863</v>
      </c>
      <c r="E72" s="153" t="n">
        <f aca="false">IFERROR(IF(OR(NOT(ISNUMBER('Price History'!E73)),NOT(ISNUMBER('Price History'!E72)),'Price History'!E72=0),"",'Price History'!E73/'Price History'!E72-1),"")</f>
        <v>0.0585308485616067</v>
      </c>
      <c r="F72" s="153" t="n">
        <f aca="false">IFERROR(IF(OR(NOT(ISNUMBER('Price History'!F73)),NOT(ISNUMBER('Price History'!F72)),'Price History'!F72=0),"",'Price History'!F73/'Price History'!F72-1),"")</f>
        <v>0.0233918128654971</v>
      </c>
      <c r="G72" s="153" t="n">
        <f aca="false">IFERROR(IF(OR(NOT(ISNUMBER('Price History'!G73)),NOT(ISNUMBER('Price History'!G72)),'Price History'!G72=0),"",'Price History'!G73/'Price History'!G72-1),"")</f>
        <v>0.108921161825726</v>
      </c>
      <c r="H72" s="153" t="n">
        <f aca="false">IFERROR(IF(OR(NOT(ISNUMBER('Price History'!H73)),NOT(ISNUMBER('Price History'!H72)),'Price History'!H72=0),"",'Price History'!H73/'Price History'!H72-1),"")</f>
        <v>0.0644704931285369</v>
      </c>
      <c r="I72" s="153" t="n">
        <f aca="false">IFERROR(IF(OR(NOT(ISNUMBER('Price History'!I73)),NOT(ISNUMBER('Price History'!I72)),'Price History'!I72=0),"",'Price History'!I73/'Price History'!I72-1),"")</f>
        <v>0.0132044850988491</v>
      </c>
      <c r="J72" s="153" t="n">
        <f aca="false">IFERROR(IF(OR(NOT(ISNUMBER('Price History'!J73)),NOT(ISNUMBER('Price History'!J72)),'Price History'!J72=0),"",'Price History'!J73/'Price History'!J72-1),"")</f>
        <v>0.0567833026396563</v>
      </c>
      <c r="K72" s="153" t="n">
        <f aca="false">IFERROR(IF(OR(NOT(ISNUMBER('Price History'!K73)),NOT(ISNUMBER('Price History'!K72)),'Price History'!K72=0),"",'Price History'!K73/'Price History'!K72-1),"")</f>
        <v>0.0670532262860539</v>
      </c>
      <c r="L72" s="153" t="n">
        <f aca="false">IFERROR(IF(OR(NOT(ISNUMBER('Price History'!L73)),NOT(ISNUMBER('Price History'!L72)),'Price History'!L72=0),"",'Price History'!L73/'Price History'!L72-1),"")</f>
        <v>0.0149999999999999</v>
      </c>
      <c r="M72" s="153" t="n">
        <f aca="false">IFERROR(IF(OR(NOT(ISNUMBER('Price History'!M73)),NOT(ISNUMBER('Price History'!M72)),'Price History'!M72=0),"",'Price History'!M73/'Price History'!M72-1),"")</f>
        <v>0.0538628944504898</v>
      </c>
      <c r="N72" s="153" t="n">
        <f aca="false">IFERROR(IF(OR(NOT(ISNUMBER('Price History'!N73)),NOT(ISNUMBER('Price History'!N72)),'Price History'!N72=0),"",'Price History'!N73/'Price History'!N72-1),"")</f>
        <v>0.0303740599667937</v>
      </c>
      <c r="O72" s="153" t="n">
        <f aca="false">IFERROR(IF(OR(NOT(ISNUMBER('Price History'!O73)),NOT(ISNUMBER('Price History'!O72)),'Price History'!O72=0),"",'Price History'!O73/'Price History'!O72-1),"")</f>
        <v>0.0488994904044235</v>
      </c>
      <c r="P72" s="153" t="n">
        <f aca="false">IFERROR(IF(OR(NOT(ISNUMBER('Price History'!P73)),NOT(ISNUMBER('Price History'!P72)),'Price History'!P72=0),"",'Price History'!P73/'Price History'!P72-1),"")</f>
        <v>0.0483630952380953</v>
      </c>
      <c r="Q72" s="153" t="n">
        <f aca="false">IFERROR(IF(OR(NOT(ISNUMBER('Price History'!Q73)),NOT(ISNUMBER('Price History'!Q72)),'Price History'!Q72=0),"",'Price History'!Q73/'Price History'!Q72-1),"")</f>
        <v>0.0172215843857635</v>
      </c>
      <c r="R72" s="153" t="n">
        <f aca="false">IFERROR(IF(OR(NOT(ISNUMBER('Price History'!R73)),NOT(ISNUMBER('Price History'!R72)),'Price History'!R72=0),"",'Price History'!R73/'Price History'!R72-1),"")</f>
        <v>0.0231340026189437</v>
      </c>
      <c r="S72" s="153" t="n">
        <f aca="false">IFERROR(IF(OR(NOT(ISNUMBER('Price History'!S73)),NOT(ISNUMBER('Price History'!S72)),'Price History'!S72=0),"",'Price History'!S73/'Price History'!S72-1),"")</f>
        <v>0.0321451304901337</v>
      </c>
      <c r="T72" s="153" t="n">
        <f aca="false">IFERROR(IF(OR(NOT(ISNUMBER('Price History'!T73)),NOT(ISNUMBER('Price History'!T72)),'Price History'!T72=0),"",'Price History'!T73/'Price History'!T72-1),"")</f>
        <v>0.0386904761904761</v>
      </c>
      <c r="U72" s="153" t="n">
        <f aca="false">IFERROR(IF(OR(NOT(ISNUMBER('Price History'!U73)),NOT(ISNUMBER('Price History'!U72)),'Price History'!U72=0),"",'Price History'!U73/'Price History'!U72-1),"")</f>
        <v>0.0362633031139139</v>
      </c>
      <c r="V72" s="154" t="n">
        <f aca="false">IFERROR(IF(OR(NOT(ISNUMBER('Price History'!V73)),NOT(ISNUMBER('Price History'!V72)),'Price History'!V72=0),"",'Price History'!V73/'Price History'!V72-1),"")</f>
        <v>0.0386869485052022</v>
      </c>
      <c r="W72" s="155" t="n">
        <f aca="false">IFERROR('Price History'!B3+(INDEX('Price History'!B:B,MATCH(9.99E+307,'Returns (Calc)'!$A:$A)+1)-'Price History'!B3)*(ROW()-3)/(MATCH(9.99E+307,'Returns (Calc)'!$A:$A)-3),"")</f>
        <v>404.507735849057</v>
      </c>
      <c r="X72" s="155" t="n">
        <f aca="false">IFERROR('Price History'!C3+(INDEX('Price History'!C:C,MATCH(9.99E+307,'Returns (Calc)'!$A:$A)+1)-'Price History'!C3)*(ROW()-3)/(MATCH(9.99E+307,'Returns (Calc)'!$A:$A)-3),"")</f>
        <v>120.196603773585</v>
      </c>
      <c r="Y72" s="155" t="n">
        <f aca="false">IFERROR('Price History'!D3+(INDEX('Price History'!D:D,MATCH(9.99E+307,'Returns (Calc)'!$A:$A)+1)-'Price History'!D3)*(ROW()-3)/(MATCH(9.99E+307,'Returns (Calc)'!$A:$A)-3),"")</f>
        <v>1102.04</v>
      </c>
      <c r="Z72" s="155" t="n">
        <f aca="false">IFERROR('Price History'!E3+(INDEX('Price History'!E:E,MATCH(9.99E+307,'Returns (Calc)'!$A:$A)+1)-'Price History'!E3)*(ROW()-3)/(MATCH(9.99E+307,'Returns (Calc)'!$A:$A)-3),"")</f>
        <v>203.309811320755</v>
      </c>
      <c r="AA72" s="155" t="n">
        <f aca="false">IFERROR('Price History'!F3+(INDEX('Price History'!F:F,MATCH(9.99E+307,'Returns (Calc)'!$A:$A)+1)-'Price History'!F3)*(ROW()-3)/(MATCH(9.99E+307,'Returns (Calc)'!$A:$A)-3),"")</f>
        <v>142.768301886792</v>
      </c>
      <c r="AB72" s="155" t="n">
        <f aca="false">IFERROR('Price History'!G3+(INDEX('Price History'!G:G,MATCH(9.99E+307,'Returns (Calc)'!$A:$A)+1)-'Price History'!G3)*(ROW()-3)/(MATCH(9.99E+307,'Returns (Calc)'!$A:$A)-3),"")</f>
        <v>109.973773584906</v>
      </c>
      <c r="AC72" s="155" t="n">
        <f aca="false">IFERROR('Price History'!H3+(INDEX('Price History'!H:H,MATCH(9.99E+307,'Returns (Calc)'!$A:$A)+1)-'Price History'!H3)*(ROW()-3)/(MATCH(9.99E+307,'Returns (Calc)'!$A:$A)-3),"")</f>
        <v>485.666037735849</v>
      </c>
      <c r="AD72" s="155" t="n">
        <f aca="false">IFERROR('Price History'!I3+(INDEX('Price History'!I:I,MATCH(9.99E+307,'Returns (Calc)'!$A:$A)+1)-'Price History'!I3)*(ROW()-3)/(MATCH(9.99E+307,'Returns (Calc)'!$A:$A)-3),"")</f>
        <v>124.274339622641</v>
      </c>
      <c r="AE72" s="155" t="n">
        <f aca="false">IFERROR('Price History'!J3+(INDEX('Price History'!J:J,MATCH(9.99E+307,'Returns (Calc)'!$A:$A)+1)-'Price History'!J3)*(ROW()-3)/(MATCH(9.99E+307,'Returns (Calc)'!$A:$A)-3),"")</f>
        <v>119.499433962264</v>
      </c>
      <c r="AF72" s="155" t="n">
        <f aca="false">IFERROR('Price History'!K3+(INDEX('Price History'!K:K,MATCH(9.99E+307,'Returns (Calc)'!$A:$A)+1)-'Price History'!K3)*(ROW()-3)/(MATCH(9.99E+307,'Returns (Calc)'!$A:$A)-3),"")</f>
        <v>99.3971698113208</v>
      </c>
      <c r="AG72" s="155" t="n">
        <f aca="false">IFERROR('Price History'!L3+(INDEX('Price History'!L:L,MATCH(9.99E+307,'Returns (Calc)'!$A:$A)+1)-'Price History'!L3)*(ROW()-3)/(MATCH(9.99E+307,'Returns (Calc)'!$A:$A)-3),"")</f>
        <v>245.257169811321</v>
      </c>
      <c r="AH72" s="155" t="n">
        <f aca="false">IFERROR('Price History'!M3+(INDEX('Price History'!M:M,MATCH(9.99E+307,'Returns (Calc)'!$A:$A)+1)-'Price History'!M3)*(ROW()-3)/(MATCH(9.99E+307,'Returns (Calc)'!$A:$A)-3),"")</f>
        <v>126.878113207547</v>
      </c>
      <c r="AI72" s="155" t="n">
        <f aca="false">IFERROR('Price History'!N3+(INDEX('Price History'!N:N,MATCH(9.99E+307,'Returns (Calc)'!$A:$A)+1)-'Price History'!N3)*(ROW()-3)/(MATCH(9.99E+307,'Returns (Calc)'!$A:$A)-3),"")</f>
        <v>418.846037735849</v>
      </c>
      <c r="AJ72" s="155" t="n">
        <f aca="false">IFERROR('Price History'!O3+(INDEX('Price History'!O:O,MATCH(9.99E+307,'Returns (Calc)'!$A:$A)+1)-'Price History'!O3)*(ROW()-3)/(MATCH(9.99E+307,'Returns (Calc)'!$A:$A)-3),"")</f>
        <v>94.5475471698113</v>
      </c>
      <c r="AK72" s="155" t="n">
        <f aca="false">IFERROR('Price History'!Q3+(INDEX('Price History'!Q:Q,MATCH(9.99E+307,'Returns (Calc)'!$A:$A)+1)-'Price History'!Q3)*(ROW()-3)/(MATCH(9.99E+307,'Returns (Calc)'!$A:$A)-3),"")</f>
        <v>30.3643396226415</v>
      </c>
      <c r="AL72" s="155" t="n">
        <f aca="false">IFERROR('Price History'!R3+(INDEX('Price History'!R:R,MATCH(9.99E+307,'Returns (Calc)'!$A:$A)+1)-'Price History'!R3)*(ROW()-3)/(MATCH(9.99E+307,'Returns (Calc)'!$A:$A)-3),"")</f>
        <v>46.0277358490566</v>
      </c>
      <c r="AM72" s="155" t="n">
        <f aca="false">IFERROR('Price History'!S3+(INDEX('Price History'!S:S,MATCH(9.99E+307,'Returns (Calc)'!$A:$A)+1)-'Price History'!S3)*(ROW()-3)/(MATCH(9.99E+307,'Returns (Calc)'!$A:$A)-3),"")</f>
        <v>98.2184905660377</v>
      </c>
      <c r="AN72" s="155" t="n">
        <f aca="false">IFERROR('Price History'!T3+(INDEX('Price History'!T:T,MATCH(9.99E+307,'Returns (Calc)'!$A:$A)+1)-'Price History'!T3)*(ROW()-3)/(MATCH(9.99E+307,'Returns (Calc)'!$A:$A)-3),"")</f>
        <v>37.1890566037736</v>
      </c>
      <c r="AO72" s="156" t="n">
        <f aca="false">IFERROR('Price History'!V3+(INDEX('Price History'!V:V,MATCH(9.99E+307,'Returns (Calc)'!$A:$A)+1)-'Price History'!V3)*(ROW()-3)/(MATCH(9.99E+307,'Returns (Calc)'!$A:$A)-3),"")</f>
        <v>300.646226415094</v>
      </c>
      <c r="AP72" s="154" t="n">
        <f aca="false">IFERROR(IF(OR(NOT(ISNUMBER('Price History'!W73)),NOT(ISNUMBER('Price History'!W72)),'Price History'!W72=0),"",'Price History'!W73/'Price History'!W72-1),"")</f>
        <v>0.0442199403776085</v>
      </c>
      <c r="AQ72" s="154" t="str">
        <f aca="false">IFERROR(IF(OR(NOT(ISNUMBER('Price History'!X73)),NOT(ISNUMBER('Price History'!X72)),'Price History'!X72=0),"",'Price History'!X73/'Price History'!X72-1),"")</f>
        <v/>
      </c>
      <c r="AR72" s="154" t="n">
        <f aca="false">IFERROR(IF(OR(NOT(ISNUMBER('Price History'!Y73)),NOT(ISNUMBER('Price History'!Y72)),'Price History'!Y72=0),"",'Price History'!Y73/'Price History'!Y72-1),"")</f>
        <v>0.0252678390944006</v>
      </c>
      <c r="AS72" s="154" t="n">
        <f aca="false">IFERROR(IF(OR(NOT(ISNUMBER('Price History'!Z73)),NOT(ISNUMBER('Price History'!Z72)),'Price History'!Z72=0),"",'Price History'!Z73/'Price History'!Z72-1),"")</f>
        <v>0.0650000000000002</v>
      </c>
      <c r="AT72" s="154" t="n">
        <f aca="false">IFERROR(IF(OR(NOT(ISNUMBER('Price History'!AA73)),NOT(ISNUMBER('Price History'!AA72)),'Price History'!AA72=0),"",'Price History'!AA73/'Price History'!AA72-1),"")</f>
        <v>0.0243523934582788</v>
      </c>
      <c r="AU72" s="154" t="n">
        <f aca="false">IFERROR(IF(OR(NOT(ISNUMBER('Price History'!AB73)),NOT(ISNUMBER('Price History'!AB72)),'Price History'!AB72=0),"",'Price History'!AB73/'Price History'!AB72-1),"")</f>
        <v>-0.00532721010332948</v>
      </c>
    </row>
    <row r="73" customFormat="false" ht="15" hidden="false" customHeight="true" outlineLevel="0" collapsed="false">
      <c r="A73" s="152" t="n">
        <f aca="false">IF('Price History'!A74="","",'Price History'!A74)</f>
        <v>45681</v>
      </c>
      <c r="B73" s="153" t="n">
        <f aca="false">IFERROR(IF(OR(NOT(ISNUMBER('Price History'!B74)),NOT(ISNUMBER('Price History'!B73)),'Price History'!B73=0),"",'Price History'!B74/'Price History'!B73-1),"")</f>
        <v>0.0125351752366334</v>
      </c>
      <c r="C73" s="153" t="n">
        <f aca="false">IFERROR(IF(OR(NOT(ISNUMBER('Price History'!C74)),NOT(ISNUMBER('Price History'!C73)),'Price History'!C73=0),"",'Price History'!C74/'Price History'!C73-1),"")</f>
        <v>0.0768653605669027</v>
      </c>
      <c r="D73" s="153" t="n">
        <f aca="false">IFERROR(IF(OR(NOT(ISNUMBER('Price History'!D74)),NOT(ISNUMBER('Price History'!D73)),'Price History'!D73=0),"",'Price History'!D74/'Price History'!D73-1),"")</f>
        <v>-0.0318405558014459</v>
      </c>
      <c r="E73" s="153" t="n">
        <f aca="false">IFERROR(IF(OR(NOT(ISNUMBER('Price History'!E74)),NOT(ISNUMBER('Price History'!E73)),'Price History'!E73=0),"",'Price History'!E74/'Price History'!E73-1),"")</f>
        <v>0.0305956755832835</v>
      </c>
      <c r="F73" s="153" t="n">
        <f aca="false">IFERROR(IF(OR(NOT(ISNUMBER('Price History'!F74)),NOT(ISNUMBER('Price History'!F73)),'Price History'!F73=0),"",'Price History'!F74/'Price History'!F73-1),"")</f>
        <v>0.0501960784313726</v>
      </c>
      <c r="G73" s="153" t="n">
        <f aca="false">IFERROR(IF(OR(NOT(ISNUMBER('Price History'!G74)),NOT(ISNUMBER('Price History'!G73)),'Price History'!G73=0),"",'Price History'!G74/'Price History'!G73-1),"")</f>
        <v>-0.0101563544033142</v>
      </c>
      <c r="H73" s="153" t="n">
        <f aca="false">IFERROR(IF(OR(NOT(ISNUMBER('Price History'!H74)),NOT(ISNUMBER('Price History'!H73)),'Price History'!H73=0),"",'Price History'!H74/'Price History'!H73-1),"")</f>
        <v>-0.0242073286500855</v>
      </c>
      <c r="I73" s="153" t="n">
        <f aca="false">IFERROR(IF(OR(NOT(ISNUMBER('Price History'!I74)),NOT(ISNUMBER('Price History'!I73)),'Price History'!I73=0),"",'Price History'!I74/'Price History'!I73-1),"")</f>
        <v>0.0356752821259556</v>
      </c>
      <c r="J73" s="153" t="n">
        <f aca="false">IFERROR(IF(OR(NOT(ISNUMBER('Price History'!J74)),NOT(ISNUMBER('Price History'!J73)),'Price History'!J73=0),"",'Price History'!J74/'Price History'!J73-1),"")</f>
        <v>0.0863587956239713</v>
      </c>
      <c r="K73" s="153" t="n">
        <f aca="false">IFERROR(IF(OR(NOT(ISNUMBER('Price History'!K74)),NOT(ISNUMBER('Price History'!K73)),'Price History'!K73=0),"",'Price History'!K74/'Price History'!K73-1),"")</f>
        <v>0.100459802145743</v>
      </c>
      <c r="L73" s="153" t="n">
        <f aca="false">IFERROR(IF(OR(NOT(ISNUMBER('Price History'!L74)),NOT(ISNUMBER('Price History'!L73)),'Price History'!L73=0),"",'Price History'!L74/'Price History'!L73-1),"")</f>
        <v>0.0490679030232784</v>
      </c>
      <c r="M73" s="153" t="n">
        <f aca="false">IFERROR(IF(OR(NOT(ISNUMBER('Price History'!M74)),NOT(ISNUMBER('Price History'!M73)),'Price History'!M73=0),"",'Price History'!M74/'Price History'!M73-1),"")</f>
        <v>0.0768493251714728</v>
      </c>
      <c r="N73" s="153" t="n">
        <f aca="false">IFERROR(IF(OR(NOT(ISNUMBER('Price History'!N74)),NOT(ISNUMBER('Price History'!N73)),'Price History'!N73=0),"",'Price History'!N74/'Price History'!N73-1),"")</f>
        <v>0.0417535545023697</v>
      </c>
      <c r="O73" s="153" t="n">
        <f aca="false">IFERROR(IF(OR(NOT(ISNUMBER('Price History'!O74)),NOT(ISNUMBER('Price History'!O73)),'Price History'!O73=0),"",'Price History'!O74/'Price History'!O73-1),"")</f>
        <v>0.0050651230101304</v>
      </c>
      <c r="P73" s="153" t="n">
        <f aca="false">IFERROR(IF(OR(NOT(ISNUMBER('Price History'!P74)),NOT(ISNUMBER('Price History'!P73)),'Price History'!P73=0),"",'Price History'!P74/'Price History'!P73-1),"")</f>
        <v>0.00220802775806317</v>
      </c>
      <c r="Q73" s="153" t="n">
        <f aca="false">IFERROR(IF(OR(NOT(ISNUMBER('Price History'!Q74)),NOT(ISNUMBER('Price History'!Q73)),'Price History'!Q73=0),"",'Price History'!Q74/'Price History'!Q73-1),"")</f>
        <v>0.0103192518542405</v>
      </c>
      <c r="R73" s="153" t="n">
        <f aca="false">IFERROR(IF(OR(NOT(ISNUMBER('Price History'!R74)),NOT(ISNUMBER('Price History'!R73)),'Price History'!R73=0),"",'Price History'!R74/'Price History'!R73-1),"")</f>
        <v>0.0138651877133105</v>
      </c>
      <c r="S73" s="153" t="n">
        <f aca="false">IFERROR(IF(OR(NOT(ISNUMBER('Price History'!S74)),NOT(ISNUMBER('Price History'!S73)),'Price History'!S73=0),"",'Price History'!S74/'Price History'!S73-1),"")</f>
        <v>0.0271353684859699</v>
      </c>
      <c r="T73" s="153" t="n">
        <f aca="false">IFERROR(IF(OR(NOT(ISNUMBER('Price History'!T74)),NOT(ISNUMBER('Price History'!T73)),'Price History'!T73=0),"",'Price History'!T74/'Price History'!T73-1),"")</f>
        <v>0.00229226361031509</v>
      </c>
      <c r="U73" s="153" t="n">
        <f aca="false">IFERROR(IF(OR(NOT(ISNUMBER('Price History'!U74)),NOT(ISNUMBER('Price History'!U73)),'Price History'!U73=0),"",'Price History'!U74/'Price History'!U73-1),"")</f>
        <v>0.00266260935717</v>
      </c>
      <c r="V73" s="154" t="n">
        <f aca="false">IFERROR(IF(OR(NOT(ISNUMBER('Price History'!V74)),NOT(ISNUMBER('Price History'!V73)),'Price History'!V73=0),"",'Price History'!V74/'Price History'!V73-1),"")</f>
        <v>0.0330934795701652</v>
      </c>
      <c r="W73" s="155" t="n">
        <f aca="false">IFERROR('Price History'!B3+(INDEX('Price History'!B:B,MATCH(9.99E+307,'Returns (Calc)'!$A:$A)+1)-'Price History'!B3)*(ROW()-3)/(MATCH(9.99E+307,'Returns (Calc)'!$A:$A)-3),"")</f>
        <v>402.705094339623</v>
      </c>
      <c r="X73" s="155" t="n">
        <f aca="false">IFERROR('Price History'!C3+(INDEX('Price History'!C:C,MATCH(9.99E+307,'Returns (Calc)'!$A:$A)+1)-'Price History'!C3)*(ROW()-3)/(MATCH(9.99E+307,'Returns (Calc)'!$A:$A)-3),"")</f>
        <v>121.269308176101</v>
      </c>
      <c r="Y73" s="155" t="n">
        <f aca="false">IFERROR('Price History'!D3+(INDEX('Price History'!D:D,MATCH(9.99E+307,'Returns (Calc)'!$A:$A)+1)-'Price History'!D3)*(ROW()-3)/(MATCH(9.99E+307,'Returns (Calc)'!$A:$A)-3),"")</f>
        <v>1109.57666666667</v>
      </c>
      <c r="Z73" s="155" t="n">
        <f aca="false">IFERROR('Price History'!E3+(INDEX('Price History'!E:E,MATCH(9.99E+307,'Returns (Calc)'!$A:$A)+1)-'Price History'!E3)*(ROW()-3)/(MATCH(9.99E+307,'Returns (Calc)'!$A:$A)-3),"")</f>
        <v>205.067924528302</v>
      </c>
      <c r="AA73" s="155" t="n">
        <f aca="false">IFERROR('Price History'!F3+(INDEX('Price History'!F:F,MATCH(9.99E+307,'Returns (Calc)'!$A:$A)+1)-'Price History'!F3)*(ROW()-3)/(MATCH(9.99E+307,'Returns (Calc)'!$A:$A)-3),"")</f>
        <v>144.237987421384</v>
      </c>
      <c r="AB73" s="155" t="n">
        <f aca="false">IFERROR('Price History'!G3+(INDEX('Price History'!G:G,MATCH(9.99E+307,'Returns (Calc)'!$A:$A)+1)-'Price History'!G3)*(ROW()-3)/(MATCH(9.99E+307,'Returns (Calc)'!$A:$A)-3),"")</f>
        <v>110.924842767296</v>
      </c>
      <c r="AC73" s="155" t="n">
        <f aca="false">IFERROR('Price History'!H3+(INDEX('Price History'!H:H,MATCH(9.99E+307,'Returns (Calc)'!$A:$A)+1)-'Price History'!H3)*(ROW()-3)/(MATCH(9.99E+307,'Returns (Calc)'!$A:$A)-3),"")</f>
        <v>491.703081761006</v>
      </c>
      <c r="AD73" s="155" t="n">
        <f aca="false">IFERROR('Price History'!I3+(INDEX('Price History'!I:I,MATCH(9.99E+307,'Returns (Calc)'!$A:$A)+1)-'Price History'!I3)*(ROW()-3)/(MATCH(9.99E+307,'Returns (Calc)'!$A:$A)-3),"")</f>
        <v>125.44106918239</v>
      </c>
      <c r="AE73" s="155" t="n">
        <f aca="false">IFERROR('Price History'!J3+(INDEX('Price History'!J:J,MATCH(9.99E+307,'Returns (Calc)'!$A:$A)+1)-'Price History'!J3)*(ROW()-3)/(MATCH(9.99E+307,'Returns (Calc)'!$A:$A)-3),"")</f>
        <v>119.610440251572</v>
      </c>
      <c r="AF73" s="155" t="n">
        <f aca="false">IFERROR('Price History'!K3+(INDEX('Price History'!K:K,MATCH(9.99E+307,'Returns (Calc)'!$A:$A)+1)-'Price History'!K3)*(ROW()-3)/(MATCH(9.99E+307,'Returns (Calc)'!$A:$A)-3),"")</f>
        <v>100.615534591195</v>
      </c>
      <c r="AG73" s="155" t="n">
        <f aca="false">IFERROR('Price History'!L3+(INDEX('Price History'!L:L,MATCH(9.99E+307,'Returns (Calc)'!$A:$A)+1)-'Price History'!L3)*(ROW()-3)/(MATCH(9.99E+307,'Returns (Calc)'!$A:$A)-3),"")</f>
        <v>247.568867924528</v>
      </c>
      <c r="AH73" s="155" t="n">
        <f aca="false">IFERROR('Price History'!M3+(INDEX('Price History'!M:M,MATCH(9.99E+307,'Returns (Calc)'!$A:$A)+1)-'Price History'!M3)*(ROW()-3)/(MATCH(9.99E+307,'Returns (Calc)'!$A:$A)-3),"")</f>
        <v>128.165911949686</v>
      </c>
      <c r="AI73" s="155" t="n">
        <f aca="false">IFERROR('Price History'!N3+(INDEX('Price History'!N:N,MATCH(9.99E+307,'Returns (Calc)'!$A:$A)+1)-'Price History'!N3)*(ROW()-3)/(MATCH(9.99E+307,'Returns (Calc)'!$A:$A)-3),"")</f>
        <v>419.859748427673</v>
      </c>
      <c r="AJ73" s="155" t="n">
        <f aca="false">IFERROR('Price History'!O3+(INDEX('Price History'!O:O,MATCH(9.99E+307,'Returns (Calc)'!$A:$A)+1)-'Price History'!O3)*(ROW()-3)/(MATCH(9.99E+307,'Returns (Calc)'!$A:$A)-3),"")</f>
        <v>94.8263522012579</v>
      </c>
      <c r="AK73" s="155" t="n">
        <f aca="false">IFERROR('Price History'!Q3+(INDEX('Price History'!Q:Q,MATCH(9.99E+307,'Returns (Calc)'!$A:$A)+1)-'Price History'!Q3)*(ROW()-3)/(MATCH(9.99E+307,'Returns (Calc)'!$A:$A)-3),"")</f>
        <v>30.8044025157233</v>
      </c>
      <c r="AL73" s="155" t="n">
        <f aca="false">IFERROR('Price History'!R3+(INDEX('Price History'!R:R,MATCH(9.99E+307,'Returns (Calc)'!$A:$A)+1)-'Price History'!R3)*(ROW()-3)/(MATCH(9.99E+307,'Returns (Calc)'!$A:$A)-3),"")</f>
        <v>46.1950943396226</v>
      </c>
      <c r="AM73" s="155" t="n">
        <f aca="false">IFERROR('Price History'!S3+(INDEX('Price History'!S:S,MATCH(9.99E+307,'Returns (Calc)'!$A:$A)+1)-'Price History'!S3)*(ROW()-3)/(MATCH(9.99E+307,'Returns (Calc)'!$A:$A)-3),"")</f>
        <v>98.8067295597484</v>
      </c>
      <c r="AN73" s="155" t="n">
        <f aca="false">IFERROR('Price History'!T3+(INDEX('Price History'!T:T,MATCH(9.99E+307,'Returns (Calc)'!$A:$A)+1)-'Price History'!T3)*(ROW()-3)/(MATCH(9.99E+307,'Returns (Calc)'!$A:$A)-3),"")</f>
        <v>37.3629559748428</v>
      </c>
      <c r="AO73" s="156" t="n">
        <f aca="false">IFERROR('Price History'!V3+(INDEX('Price History'!V:V,MATCH(9.99E+307,'Returns (Calc)'!$A:$A)+1)-'Price History'!V3)*(ROW()-3)/(MATCH(9.99E+307,'Returns (Calc)'!$A:$A)-3),"")</f>
        <v>301.588490566038</v>
      </c>
      <c r="AP73" s="154" t="n">
        <f aca="false">IFERROR(IF(OR(NOT(ISNUMBER('Price History'!W74)),NOT(ISNUMBER('Price History'!W73)),'Price History'!W73=0),"",'Price History'!W74/'Price History'!W73-1),"")</f>
        <v>0.0103885804916732</v>
      </c>
      <c r="AQ73" s="154" t="str">
        <f aca="false">IFERROR(IF(OR(NOT(ISNUMBER('Price History'!X74)),NOT(ISNUMBER('Price History'!X73)),'Price History'!X73=0),"",'Price History'!X74/'Price History'!X73-1),"")</f>
        <v/>
      </c>
      <c r="AR73" s="154" t="n">
        <f aca="false">IFERROR(IF(OR(NOT(ISNUMBER('Price History'!Y74)),NOT(ISNUMBER('Price History'!Y73)),'Price History'!Y73=0),"",'Price History'!Y74/'Price History'!Y73-1),"")</f>
        <v>0.0102523659305995</v>
      </c>
      <c r="AS73" s="154" t="n">
        <f aca="false">IFERROR(IF(OR(NOT(ISNUMBER('Price History'!Z74)),NOT(ISNUMBER('Price History'!Z73)),'Price History'!Z73=0),"",'Price History'!Z74/'Price History'!Z73-1),"")</f>
        <v>0.0760011046672189</v>
      </c>
      <c r="AT73" s="154" t="n">
        <f aca="false">IFERROR(IF(OR(NOT(ISNUMBER('Price History'!AA74)),NOT(ISNUMBER('Price History'!AA73)),'Price History'!AA73=0),"",'Price History'!AA74/'Price History'!AA73-1),"")</f>
        <v>0.13926115837315</v>
      </c>
      <c r="AU73" s="154" t="n">
        <f aca="false">IFERROR(IF(OR(NOT(ISNUMBER('Price History'!AB74)),NOT(ISNUMBER('Price History'!AB73)),'Price History'!AB73=0),"",'Price History'!AB74/'Price History'!AB73-1),"")</f>
        <v>0.0314418948243225</v>
      </c>
    </row>
    <row r="74" customFormat="false" ht="15" hidden="false" customHeight="true" outlineLevel="0" collapsed="false">
      <c r="A74" s="152" t="n">
        <f aca="false">IF('Price History'!A75="","",'Price History'!A75)</f>
        <v>45688</v>
      </c>
      <c r="B74" s="153" t="n">
        <f aca="false">IFERROR(IF(OR(NOT(ISNUMBER('Price History'!B75)),NOT(ISNUMBER('Price History'!B74)),'Price History'!B74=0),"",'Price History'!B75/'Price History'!B74-1),"")</f>
        <v>0.00475446736184471</v>
      </c>
      <c r="C74" s="153" t="n">
        <f aca="false">IFERROR(IF(OR(NOT(ISNUMBER('Price History'!C75)),NOT(ISNUMBER('Price History'!C74)),'Price History'!C74=0),"",'Price History'!C75/'Price History'!C74-1),"")</f>
        <v>-0.107919795618177</v>
      </c>
      <c r="D74" s="153" t="n">
        <f aca="false">IFERROR(IF(OR(NOT(ISNUMBER('Price History'!D75)),NOT(ISNUMBER('Price History'!D74)),'Price History'!D74=0),"",'Price History'!D75/'Price History'!D74-1),"")</f>
        <v>0.00964189235990842</v>
      </c>
      <c r="E74" s="153" t="n">
        <f aca="false">IFERROR(IF(OR(NOT(ISNUMBER('Price History'!E75)),NOT(ISNUMBER('Price History'!E74)),'Price History'!E74=0),"",'Price History'!E75/'Price History'!E74-1),"")</f>
        <v>-0.0957376233518534</v>
      </c>
      <c r="F74" s="153" t="n">
        <f aca="false">IFERROR(IF(OR(NOT(ISNUMBER('Price History'!F75)),NOT(ISNUMBER('Price History'!F74)),'Price History'!F74=0),"",'Price History'!F75/'Price History'!F74-1),"")</f>
        <v>0.0617731782780326</v>
      </c>
      <c r="G74" s="153" t="n">
        <f aca="false">IFERROR(IF(OR(NOT(ISNUMBER('Price History'!G75)),NOT(ISNUMBER('Price History'!G74)),'Price History'!G74=0),"",'Price History'!G75/'Price History'!G74-1),"")</f>
        <v>-0.0153908464965571</v>
      </c>
      <c r="H74" s="153" t="n">
        <f aca="false">IFERROR(IF(OR(NOT(ISNUMBER('Price History'!H75)),NOT(ISNUMBER('Price History'!H74)),'Price History'!H74=0),"",'Price History'!H75/'Price History'!H74-1),"")</f>
        <v>-0.115770016538574</v>
      </c>
      <c r="I74" s="153" t="n">
        <f aca="false">IFERROR(IF(OR(NOT(ISNUMBER('Price History'!I75)),NOT(ISNUMBER('Price History'!I74)),'Price History'!I74=0),"",'Price History'!I75/'Price History'!I74-1),"")</f>
        <v>-0.158101933216169</v>
      </c>
      <c r="J74" s="153" t="n">
        <f aca="false">IFERROR(IF(OR(NOT(ISNUMBER('Price History'!J75)),NOT(ISNUMBER('Price History'!J74)),'Price History'!J74=0),"",'Price History'!J75/'Price History'!J74-1),"")</f>
        <v>0.00267355850637219</v>
      </c>
      <c r="K74" s="153" t="n">
        <f aca="false">IFERROR(IF(OR(NOT(ISNUMBER('Price History'!K75)),NOT(ISNUMBER('Price History'!K74)),'Price History'!K74=0),"",'Price History'!K75/'Price History'!K74-1),"")</f>
        <v>0.0444416307926057</v>
      </c>
      <c r="L74" s="153" t="n">
        <f aca="false">IFERROR(IF(OR(NOT(ISNUMBER('Price History'!L75)),NOT(ISNUMBER('Price History'!L74)),'Price History'!L74=0),"",'Price History'!L75/'Price History'!L74-1),"")</f>
        <v>-0.0565785839241322</v>
      </c>
      <c r="M74" s="153" t="n">
        <f aca="false">IFERROR(IF(OR(NOT(ISNUMBER('Price History'!M75)),NOT(ISNUMBER('Price History'!M74)),'Price History'!M74=0),"",'Price History'!M75/'Price History'!M74-1),"")</f>
        <v>-0.200260256146839</v>
      </c>
      <c r="N74" s="153" t="n">
        <f aca="false">IFERROR(IF(OR(NOT(ISNUMBER('Price History'!N75)),NOT(ISNUMBER('Price History'!N74)),'Price History'!N74=0),"",'Price History'!N75/'Price History'!N74-1),"")</f>
        <v>0.0501797006505618</v>
      </c>
      <c r="O74" s="153" t="n">
        <f aca="false">IFERROR(IF(OR(NOT(ISNUMBER('Price History'!O75)),NOT(ISNUMBER('Price History'!O74)),'Price History'!O74=0),"",'Price History'!O75/'Price History'!O74-1),"")</f>
        <v>-0.0151187904967602</v>
      </c>
      <c r="P74" s="153" t="n">
        <f aca="false">IFERROR(IF(OR(NOT(ISNUMBER('Price History'!P75)),NOT(ISNUMBER('Price History'!P74)),'Price History'!P74=0),"",'Price History'!P75/'Price History'!P74-1),"")</f>
        <v>-0.0025965850971752</v>
      </c>
      <c r="Q74" s="153" t="n">
        <f aca="false">IFERROR(IF(OR(NOT(ISNUMBER('Price History'!Q75)),NOT(ISNUMBER('Price History'!Q74)),'Price History'!Q74=0),"",'Price History'!Q75/'Price History'!Q74-1),"")</f>
        <v>-0.00861793807851896</v>
      </c>
      <c r="R74" s="153" t="n">
        <f aca="false">IFERROR(IF(OR(NOT(ISNUMBER('Price History'!R75)),NOT(ISNUMBER('Price History'!R74)),'Price History'!R74=0),"",'Price History'!R75/'Price History'!R74-1),"")</f>
        <v>-0.0103092783505155</v>
      </c>
      <c r="S74" s="153" t="n">
        <f aca="false">IFERROR(IF(OR(NOT(ISNUMBER('Price History'!S75)),NOT(ISNUMBER('Price History'!S74)),'Price History'!S74=0),"",'Price History'!S75/'Price History'!S74-1),"")</f>
        <v>-0.0127088962273593</v>
      </c>
      <c r="T74" s="153" t="n">
        <f aca="false">IFERROR(IF(OR(NOT(ISNUMBER('Price History'!T75)),NOT(ISNUMBER('Price History'!T74)),'Price History'!T74=0),"",'Price History'!T75/'Price History'!T74-1),"")</f>
        <v>-0.0102915951972555</v>
      </c>
      <c r="U74" s="153" t="n">
        <f aca="false">IFERROR(IF(OR(NOT(ISNUMBER('Price History'!U75)),NOT(ISNUMBER('Price History'!U74)),'Price History'!U74=0),"",'Price History'!U75/'Price History'!U74-1),"")</f>
        <v>-0.00834597875569043</v>
      </c>
      <c r="V74" s="154" t="n">
        <f aca="false">IFERROR(IF(OR(NOT(ISNUMBER('Price History'!V75)),NOT(ISNUMBER('Price History'!V74)),'Price History'!V74=0),"",'Price History'!V75/'Price History'!V74-1),"")</f>
        <v>0.0351323985149274</v>
      </c>
      <c r="W74" s="155" t="n">
        <f aca="false">IFERROR('Price History'!B3+(INDEX('Price History'!B:B,MATCH(9.99E+307,'Returns (Calc)'!$A:$A)+1)-'Price History'!B3)*(ROW()-3)/(MATCH(9.99E+307,'Returns (Calc)'!$A:$A)-3),"")</f>
        <v>400.902452830189</v>
      </c>
      <c r="X74" s="155" t="n">
        <f aca="false">IFERROR('Price History'!C3+(INDEX('Price History'!C:C,MATCH(9.99E+307,'Returns (Calc)'!$A:$A)+1)-'Price History'!C3)*(ROW()-3)/(MATCH(9.99E+307,'Returns (Calc)'!$A:$A)-3),"")</f>
        <v>122.342012578616</v>
      </c>
      <c r="Y74" s="155" t="n">
        <f aca="false">IFERROR('Price History'!D3+(INDEX('Price History'!D:D,MATCH(9.99E+307,'Returns (Calc)'!$A:$A)+1)-'Price History'!D3)*(ROW()-3)/(MATCH(9.99E+307,'Returns (Calc)'!$A:$A)-3),"")</f>
        <v>1117.11333333333</v>
      </c>
      <c r="Z74" s="155" t="n">
        <f aca="false">IFERROR('Price History'!E3+(INDEX('Price History'!E:E,MATCH(9.99E+307,'Returns (Calc)'!$A:$A)+1)-'Price History'!E3)*(ROW()-3)/(MATCH(9.99E+307,'Returns (Calc)'!$A:$A)-3),"")</f>
        <v>206.826037735849</v>
      </c>
      <c r="AA74" s="155" t="n">
        <f aca="false">IFERROR('Price History'!F3+(INDEX('Price History'!F:F,MATCH(9.99E+307,'Returns (Calc)'!$A:$A)+1)-'Price History'!F3)*(ROW()-3)/(MATCH(9.99E+307,'Returns (Calc)'!$A:$A)-3),"")</f>
        <v>145.707672955975</v>
      </c>
      <c r="AB74" s="155" t="n">
        <f aca="false">IFERROR('Price History'!G3+(INDEX('Price History'!G:G,MATCH(9.99E+307,'Returns (Calc)'!$A:$A)+1)-'Price History'!G3)*(ROW()-3)/(MATCH(9.99E+307,'Returns (Calc)'!$A:$A)-3),"")</f>
        <v>111.875911949686</v>
      </c>
      <c r="AC74" s="155" t="n">
        <f aca="false">IFERROR('Price History'!H3+(INDEX('Price History'!H:H,MATCH(9.99E+307,'Returns (Calc)'!$A:$A)+1)-'Price History'!H3)*(ROW()-3)/(MATCH(9.99E+307,'Returns (Calc)'!$A:$A)-3),"")</f>
        <v>497.740125786164</v>
      </c>
      <c r="AD74" s="155" t="n">
        <f aca="false">IFERROR('Price History'!I3+(INDEX('Price History'!I:I,MATCH(9.99E+307,'Returns (Calc)'!$A:$A)+1)-'Price History'!I3)*(ROW()-3)/(MATCH(9.99E+307,'Returns (Calc)'!$A:$A)-3),"")</f>
        <v>126.607798742138</v>
      </c>
      <c r="AE74" s="155" t="n">
        <f aca="false">IFERROR('Price History'!J3+(INDEX('Price History'!J:J,MATCH(9.99E+307,'Returns (Calc)'!$A:$A)+1)-'Price History'!J3)*(ROW()-3)/(MATCH(9.99E+307,'Returns (Calc)'!$A:$A)-3),"")</f>
        <v>119.721446540881</v>
      </c>
      <c r="AF74" s="155" t="n">
        <f aca="false">IFERROR('Price History'!K3+(INDEX('Price History'!K:K,MATCH(9.99E+307,'Returns (Calc)'!$A:$A)+1)-'Price History'!K3)*(ROW()-3)/(MATCH(9.99E+307,'Returns (Calc)'!$A:$A)-3),"")</f>
        <v>101.833899371069</v>
      </c>
      <c r="AG74" s="155" t="n">
        <f aca="false">IFERROR('Price History'!L3+(INDEX('Price History'!L:L,MATCH(9.99E+307,'Returns (Calc)'!$A:$A)+1)-'Price History'!L3)*(ROW()-3)/(MATCH(9.99E+307,'Returns (Calc)'!$A:$A)-3),"")</f>
        <v>249.880566037736</v>
      </c>
      <c r="AH74" s="155" t="n">
        <f aca="false">IFERROR('Price History'!M3+(INDEX('Price History'!M:M,MATCH(9.99E+307,'Returns (Calc)'!$A:$A)+1)-'Price History'!M3)*(ROW()-3)/(MATCH(9.99E+307,'Returns (Calc)'!$A:$A)-3),"")</f>
        <v>129.453710691824</v>
      </c>
      <c r="AI74" s="155" t="n">
        <f aca="false">IFERROR('Price History'!N3+(INDEX('Price History'!N:N,MATCH(9.99E+307,'Returns (Calc)'!$A:$A)+1)-'Price History'!N3)*(ROW()-3)/(MATCH(9.99E+307,'Returns (Calc)'!$A:$A)-3),"")</f>
        <v>420.873459119497</v>
      </c>
      <c r="AJ74" s="155" t="n">
        <f aca="false">IFERROR('Price History'!O3+(INDEX('Price History'!O:O,MATCH(9.99E+307,'Returns (Calc)'!$A:$A)+1)-'Price History'!O3)*(ROW()-3)/(MATCH(9.99E+307,'Returns (Calc)'!$A:$A)-3),"")</f>
        <v>95.1051572327044</v>
      </c>
      <c r="AK74" s="155" t="n">
        <f aca="false">IFERROR('Price History'!Q3+(INDEX('Price History'!Q:Q,MATCH(9.99E+307,'Returns (Calc)'!$A:$A)+1)-'Price History'!Q3)*(ROW()-3)/(MATCH(9.99E+307,'Returns (Calc)'!$A:$A)-3),"")</f>
        <v>31.244465408805</v>
      </c>
      <c r="AL74" s="155" t="n">
        <f aca="false">IFERROR('Price History'!R3+(INDEX('Price History'!R:R,MATCH(9.99E+307,'Returns (Calc)'!$A:$A)+1)-'Price History'!R3)*(ROW()-3)/(MATCH(9.99E+307,'Returns (Calc)'!$A:$A)-3),"")</f>
        <v>46.3624528301887</v>
      </c>
      <c r="AM74" s="155" t="n">
        <f aca="false">IFERROR('Price History'!S3+(INDEX('Price History'!S:S,MATCH(9.99E+307,'Returns (Calc)'!$A:$A)+1)-'Price History'!S3)*(ROW()-3)/(MATCH(9.99E+307,'Returns (Calc)'!$A:$A)-3),"")</f>
        <v>99.3949685534591</v>
      </c>
      <c r="AN74" s="155" t="n">
        <f aca="false">IFERROR('Price History'!T3+(INDEX('Price History'!T:T,MATCH(9.99E+307,'Returns (Calc)'!$A:$A)+1)-'Price History'!T3)*(ROW()-3)/(MATCH(9.99E+307,'Returns (Calc)'!$A:$A)-3),"")</f>
        <v>37.536855345912</v>
      </c>
      <c r="AO74" s="156" t="n">
        <f aca="false">IFERROR('Price History'!V3+(INDEX('Price History'!V:V,MATCH(9.99E+307,'Returns (Calc)'!$A:$A)+1)-'Price History'!V3)*(ROW()-3)/(MATCH(9.99E+307,'Returns (Calc)'!$A:$A)-3),"")</f>
        <v>302.530754716981</v>
      </c>
      <c r="AP74" s="154" t="n">
        <f aca="false">IFERROR(IF(OR(NOT(ISNUMBER('Price History'!W75)),NOT(ISNUMBER('Price History'!W74)),'Price History'!W74=0),"",'Price History'!W75/'Price History'!W74-1),"")</f>
        <v>-0.00525861392355387</v>
      </c>
      <c r="AQ74" s="154" t="str">
        <f aca="false">IFERROR(IF(OR(NOT(ISNUMBER('Price History'!X75)),NOT(ISNUMBER('Price History'!X74)),'Price History'!X74=0),"",'Price History'!X75/'Price History'!X74-1),"")</f>
        <v/>
      </c>
      <c r="AR74" s="154" t="n">
        <f aca="false">IFERROR(IF(OR(NOT(ISNUMBER('Price History'!Y75)),NOT(ISNUMBER('Price History'!Y74)),'Price History'!Y74=0),"",'Price History'!Y75/'Price History'!Y74-1),"")</f>
        <v>-0.0021467603434816</v>
      </c>
      <c r="AS74" s="154" t="n">
        <f aca="false">IFERROR(IF(OR(NOT(ISNUMBER('Price History'!Z75)),NOT(ISNUMBER('Price History'!Z74)),'Price History'!Z74=0),"",'Price History'!Z75/'Price History'!Z74-1),"")</f>
        <v>0.034649145321082</v>
      </c>
      <c r="AT74" s="154" t="n">
        <f aca="false">IFERROR(IF(OR(NOT(ISNUMBER('Price History'!AA75)),NOT(ISNUMBER('Price History'!AA74)),'Price History'!AA74=0),"",'Price History'!AA75/'Price History'!AA74-1),"")</f>
        <v>-0.000818330605564577</v>
      </c>
      <c r="AU74" s="154" t="n">
        <f aca="false">IFERROR(IF(OR(NOT(ISNUMBER('Price History'!AB75)),NOT(ISNUMBER('Price History'!AB74)),'Price History'!AB74=0),"",'Price History'!AB75/'Price History'!AB74-1),"")</f>
        <v>0.044136078782453</v>
      </c>
    </row>
    <row r="75" customFormat="false" ht="15" hidden="false" customHeight="true" outlineLevel="0" collapsed="false">
      <c r="A75" s="152" t="n">
        <f aca="false">IF('Price History'!A76="","",'Price History'!A76)</f>
        <v>45695</v>
      </c>
      <c r="B75" s="153" t="n">
        <f aca="false">IFERROR(IF(OR(NOT(ISNUMBER('Price History'!B76)),NOT(ISNUMBER('Price History'!B75)),'Price History'!B75=0),"",'Price History'!B76/'Price History'!B75-1),"")</f>
        <v>-0.0100125728654703</v>
      </c>
      <c r="C75" s="153" t="n">
        <f aca="false">IFERROR(IF(OR(NOT(ISNUMBER('Price History'!C76)),NOT(ISNUMBER('Price History'!C75)),'Price History'!C75=0),"",'Price History'!C76/'Price History'!C75-1),"")</f>
        <v>0.028117677688102</v>
      </c>
      <c r="D75" s="153" t="n">
        <f aca="false">IFERROR(IF(OR(NOT(ISNUMBER('Price History'!D76)),NOT(ISNUMBER('Price History'!D75)),'Price History'!D75=0),"",'Price History'!D76/'Price History'!D75-1),"")</f>
        <v>-0.015696820844939</v>
      </c>
      <c r="E75" s="153" t="n">
        <f aca="false">IFERROR(IF(OR(NOT(ISNUMBER('Price History'!E76)),NOT(ISNUMBER('Price History'!E75)),'Price History'!E75=0),"",'Price History'!E76/'Price History'!E75-1),"")</f>
        <v>0.0162318308955018</v>
      </c>
      <c r="F75" s="153" t="n">
        <f aca="false">IFERROR(IF(OR(NOT(ISNUMBER('Price History'!F76)),NOT(ISNUMBER('Price History'!F75)),'Price History'!F75=0),"",'Price History'!F76/'Price History'!F75-1),"")</f>
        <v>0.0590836012861737</v>
      </c>
      <c r="G75" s="153" t="n">
        <f aca="false">IFERROR(IF(OR(NOT(ISNUMBER('Price History'!G76)),NOT(ISNUMBER('Price History'!G75)),'Price History'!G75=0),"",'Price History'!G76/'Price History'!G75-1),"")</f>
        <v>0.0127519539284244</v>
      </c>
      <c r="H75" s="153" t="n">
        <f aca="false">IFERROR(IF(OR(NOT(ISNUMBER('Price History'!H76)),NOT(ISNUMBER('Price History'!H75)),'Price History'!H75=0),"",'Price History'!H76/'Price History'!H75-1),"")</f>
        <v>0.011662449114314</v>
      </c>
      <c r="I75" s="153" t="n">
        <f aca="false">IFERROR(IF(OR(NOT(ISNUMBER('Price History'!I76)),NOT(ISNUMBER('Price History'!I75)),'Price History'!I75=0),"",'Price History'!I76/'Price History'!I75-1),"")</f>
        <v>0.0813293253173013</v>
      </c>
      <c r="J75" s="153" t="n">
        <f aca="false">IFERROR(IF(OR(NOT(ISNUMBER('Price History'!J76)),NOT(ISNUMBER('Price History'!J75)),'Price History'!J75=0),"",'Price History'!J76/'Price History'!J75-1),"")</f>
        <v>-0.0159096969158298</v>
      </c>
      <c r="K75" s="153" t="n">
        <f aca="false">IFERROR(IF(OR(NOT(ISNUMBER('Price History'!K76)),NOT(ISNUMBER('Price History'!K75)),'Price History'!K75=0),"",'Price History'!K76/'Price History'!K75-1),"")</f>
        <v>0.343799248393745</v>
      </c>
      <c r="L75" s="153" t="n">
        <f aca="false">IFERROR(IF(OR(NOT(ISNUMBER('Price History'!L76)),NOT(ISNUMBER('Price History'!L75)),'Price History'!L75=0),"",'Price History'!L76/'Price History'!L75-1),"")</f>
        <v>-0.0153223051773778</v>
      </c>
      <c r="M75" s="153" t="n">
        <f aca="false">IFERROR(IF(OR(NOT(ISNUMBER('Price History'!M76)),NOT(ISNUMBER('Price History'!M75)),'Price History'!M75=0),"",'Price History'!M76/'Price History'!M75-1),"")</f>
        <v>0.0372527190202965</v>
      </c>
      <c r="N75" s="153" t="n">
        <f aca="false">IFERROR(IF(OR(NOT(ISNUMBER('Price History'!N76)),NOT(ISNUMBER('Price History'!N75)),'Price History'!N75=0),"",'Price History'!N76/'Price History'!N75-1),"")</f>
        <v>0.0165482585340495</v>
      </c>
      <c r="O75" s="153" t="n">
        <f aca="false">IFERROR(IF(OR(NOT(ISNUMBER('Price History'!O76)),NOT(ISNUMBER('Price History'!O75)),'Price History'!O75=0),"",'Price History'!O76/'Price History'!O75-1),"")</f>
        <v>-0.0115914786967418</v>
      </c>
      <c r="P75" s="153" t="n">
        <f aca="false">IFERROR(IF(OR(NOT(ISNUMBER('Price History'!P76)),NOT(ISNUMBER('Price History'!P75)),'Price History'!P75=0),"",'Price History'!P76/'Price History'!P75-1),"")</f>
        <v>-0.00481224360997157</v>
      </c>
      <c r="Q75" s="153" t="n">
        <f aca="false">IFERROR(IF(OR(NOT(ISNUMBER('Price History'!Q76)),NOT(ISNUMBER('Price History'!Q75)),'Price History'!Q75=0),"",'Price History'!Q76/'Price History'!Q75-1),"")</f>
        <v>-0.000643915003219586</v>
      </c>
      <c r="R75" s="153" t="n">
        <f aca="false">IFERROR(IF(OR(NOT(ISNUMBER('Price History'!R76)),NOT(ISNUMBER('Price History'!R75)),'Price History'!R75=0),"",'Price History'!R76/'Price History'!R75-1),"")</f>
        <v>0.00255102040816313</v>
      </c>
      <c r="S75" s="153" t="n">
        <f aca="false">IFERROR(IF(OR(NOT(ISNUMBER('Price History'!S76)),NOT(ISNUMBER('Price History'!S75)),'Price History'!S75=0),"",'Price History'!S76/'Price History'!S75-1),"")</f>
        <v>0.0198662071761606</v>
      </c>
      <c r="T75" s="153" t="n">
        <f aca="false">IFERROR(IF(OR(NOT(ISNUMBER('Price History'!T76)),NOT(ISNUMBER('Price History'!T75)),'Price History'!T75=0),"",'Price History'!T76/'Price History'!T75-1),"")</f>
        <v>-0.00722125938763718</v>
      </c>
      <c r="U75" s="153" t="n">
        <f aca="false">IFERROR(IF(OR(NOT(ISNUMBER('Price History'!U76)),NOT(ISNUMBER('Price History'!U75)),'Price History'!U75=0),"",'Price History'!U76/'Price History'!U75-1),"")</f>
        <v>-0.009946442234124</v>
      </c>
      <c r="V75" s="154" t="n">
        <f aca="false">IFERROR(IF(OR(NOT(ISNUMBER('Price History'!V76)),NOT(ISNUMBER('Price History'!V75)),'Price History'!V75=0),"",'Price History'!V76/'Price History'!V75-1),"")</f>
        <v>0.0182001422812426</v>
      </c>
      <c r="W75" s="155" t="n">
        <f aca="false">IFERROR('Price History'!B3+(INDEX('Price History'!B:B,MATCH(9.99E+307,'Returns (Calc)'!$A:$A)+1)-'Price History'!B3)*(ROW()-3)/(MATCH(9.99E+307,'Returns (Calc)'!$A:$A)-3),"")</f>
        <v>399.099811320755</v>
      </c>
      <c r="X75" s="155" t="n">
        <f aca="false">IFERROR('Price History'!C3+(INDEX('Price History'!C:C,MATCH(9.99E+307,'Returns (Calc)'!$A:$A)+1)-'Price History'!C3)*(ROW()-3)/(MATCH(9.99E+307,'Returns (Calc)'!$A:$A)-3),"")</f>
        <v>123.414716981132</v>
      </c>
      <c r="Y75" s="155" t="n">
        <f aca="false">IFERROR('Price History'!D3+(INDEX('Price History'!D:D,MATCH(9.99E+307,'Returns (Calc)'!$A:$A)+1)-'Price History'!D3)*(ROW()-3)/(MATCH(9.99E+307,'Returns (Calc)'!$A:$A)-3),"")</f>
        <v>1124.65</v>
      </c>
      <c r="Z75" s="155" t="n">
        <f aca="false">IFERROR('Price History'!E3+(INDEX('Price History'!E:E,MATCH(9.99E+307,'Returns (Calc)'!$A:$A)+1)-'Price History'!E3)*(ROW()-3)/(MATCH(9.99E+307,'Returns (Calc)'!$A:$A)-3),"")</f>
        <v>208.584150943396</v>
      </c>
      <c r="AA75" s="155" t="n">
        <f aca="false">IFERROR('Price History'!F3+(INDEX('Price History'!F:F,MATCH(9.99E+307,'Returns (Calc)'!$A:$A)+1)-'Price History'!F3)*(ROW()-3)/(MATCH(9.99E+307,'Returns (Calc)'!$A:$A)-3),"")</f>
        <v>147.177358490566</v>
      </c>
      <c r="AB75" s="155" t="n">
        <f aca="false">IFERROR('Price History'!G3+(INDEX('Price History'!G:G,MATCH(9.99E+307,'Returns (Calc)'!$A:$A)+1)-'Price History'!G3)*(ROW()-3)/(MATCH(9.99E+307,'Returns (Calc)'!$A:$A)-3),"")</f>
        <v>112.826981132075</v>
      </c>
      <c r="AC75" s="155" t="n">
        <f aca="false">IFERROR('Price History'!H3+(INDEX('Price History'!H:H,MATCH(9.99E+307,'Returns (Calc)'!$A:$A)+1)-'Price History'!H3)*(ROW()-3)/(MATCH(9.99E+307,'Returns (Calc)'!$A:$A)-3),"")</f>
        <v>503.777169811321</v>
      </c>
      <c r="AD75" s="155" t="n">
        <f aca="false">IFERROR('Price History'!I3+(INDEX('Price History'!I:I,MATCH(9.99E+307,'Returns (Calc)'!$A:$A)+1)-'Price History'!I3)*(ROW()-3)/(MATCH(9.99E+307,'Returns (Calc)'!$A:$A)-3),"")</f>
        <v>127.774528301887</v>
      </c>
      <c r="AE75" s="155" t="n">
        <f aca="false">IFERROR('Price History'!J3+(INDEX('Price History'!J:J,MATCH(9.99E+307,'Returns (Calc)'!$A:$A)+1)-'Price History'!J3)*(ROW()-3)/(MATCH(9.99E+307,'Returns (Calc)'!$A:$A)-3),"")</f>
        <v>119.832452830189</v>
      </c>
      <c r="AF75" s="155" t="n">
        <f aca="false">IFERROR('Price History'!K3+(INDEX('Price History'!K:K,MATCH(9.99E+307,'Returns (Calc)'!$A:$A)+1)-'Price History'!K3)*(ROW()-3)/(MATCH(9.99E+307,'Returns (Calc)'!$A:$A)-3),"")</f>
        <v>103.052264150943</v>
      </c>
      <c r="AG75" s="155" t="n">
        <f aca="false">IFERROR('Price History'!L3+(INDEX('Price History'!L:L,MATCH(9.99E+307,'Returns (Calc)'!$A:$A)+1)-'Price History'!L3)*(ROW()-3)/(MATCH(9.99E+307,'Returns (Calc)'!$A:$A)-3),"")</f>
        <v>252.192264150943</v>
      </c>
      <c r="AH75" s="155" t="n">
        <f aca="false">IFERROR('Price History'!M3+(INDEX('Price History'!M:M,MATCH(9.99E+307,'Returns (Calc)'!$A:$A)+1)-'Price History'!M3)*(ROW()-3)/(MATCH(9.99E+307,'Returns (Calc)'!$A:$A)-3),"")</f>
        <v>130.741509433962</v>
      </c>
      <c r="AI75" s="155" t="n">
        <f aca="false">IFERROR('Price History'!N3+(INDEX('Price History'!N:N,MATCH(9.99E+307,'Returns (Calc)'!$A:$A)+1)-'Price History'!N3)*(ROW()-3)/(MATCH(9.99E+307,'Returns (Calc)'!$A:$A)-3),"")</f>
        <v>421.887169811321</v>
      </c>
      <c r="AJ75" s="155" t="n">
        <f aca="false">IFERROR('Price History'!O3+(INDEX('Price History'!O:O,MATCH(9.99E+307,'Returns (Calc)'!$A:$A)+1)-'Price History'!O3)*(ROW()-3)/(MATCH(9.99E+307,'Returns (Calc)'!$A:$A)-3),"")</f>
        <v>95.3839622641509</v>
      </c>
      <c r="AK75" s="155" t="n">
        <f aca="false">IFERROR('Price History'!Q3+(INDEX('Price History'!Q:Q,MATCH(9.99E+307,'Returns (Calc)'!$A:$A)+1)-'Price History'!Q3)*(ROW()-3)/(MATCH(9.99E+307,'Returns (Calc)'!$A:$A)-3),"")</f>
        <v>31.6845283018868</v>
      </c>
      <c r="AL75" s="155" t="n">
        <f aca="false">IFERROR('Price History'!R3+(INDEX('Price History'!R:R,MATCH(9.99E+307,'Returns (Calc)'!$A:$A)+1)-'Price History'!R3)*(ROW()-3)/(MATCH(9.99E+307,'Returns (Calc)'!$A:$A)-3),"")</f>
        <v>46.5298113207547</v>
      </c>
      <c r="AM75" s="155" t="n">
        <f aca="false">IFERROR('Price History'!S3+(INDEX('Price History'!S:S,MATCH(9.99E+307,'Returns (Calc)'!$A:$A)+1)-'Price History'!S3)*(ROW()-3)/(MATCH(9.99E+307,'Returns (Calc)'!$A:$A)-3),"")</f>
        <v>99.9832075471698</v>
      </c>
      <c r="AN75" s="155" t="n">
        <f aca="false">IFERROR('Price History'!T3+(INDEX('Price History'!T:T,MATCH(9.99E+307,'Returns (Calc)'!$A:$A)+1)-'Price History'!T3)*(ROW()-3)/(MATCH(9.99E+307,'Returns (Calc)'!$A:$A)-3),"")</f>
        <v>37.7107547169811</v>
      </c>
      <c r="AO75" s="156" t="n">
        <f aca="false">IFERROR('Price History'!V3+(INDEX('Price History'!V:V,MATCH(9.99E+307,'Returns (Calc)'!$A:$A)+1)-'Price History'!V3)*(ROW()-3)/(MATCH(9.99E+307,'Returns (Calc)'!$A:$A)-3),"")</f>
        <v>303.473018867925</v>
      </c>
      <c r="AP75" s="154" t="n">
        <f aca="false">IFERROR(IF(OR(NOT(ISNUMBER('Price History'!W76)),NOT(ISNUMBER('Price History'!W75)),'Price History'!W75=0),"",'Price History'!W76/'Price History'!W75-1),"")</f>
        <v>-0.000315606753984454</v>
      </c>
      <c r="AQ75" s="154" t="str">
        <f aca="false">IFERROR(IF(OR(NOT(ISNUMBER('Price History'!X76)),NOT(ISNUMBER('Price History'!X75)),'Price History'!X75=0),"",'Price History'!X76/'Price History'!X75-1),"")</f>
        <v/>
      </c>
      <c r="AR75" s="154" t="n">
        <f aca="false">IFERROR(IF(OR(NOT(ISNUMBER('Price History'!Y76)),NOT(ISNUMBER('Price History'!Y75)),'Price History'!Y75=0),"",'Price History'!Y76/'Price History'!Y75-1),"")</f>
        <v>0.00234695873264212</v>
      </c>
      <c r="AS75" s="154" t="n">
        <f aca="false">IFERROR(IF(OR(NOT(ISNUMBER('Price History'!Z76)),NOT(ISNUMBER('Price History'!Z75)),'Price History'!Z75=0),"",'Price History'!Z76/'Price History'!Z75-1),"")</f>
        <v>0.00843421313752724</v>
      </c>
      <c r="AT75" s="154" t="n">
        <f aca="false">IFERROR(IF(OR(NOT(ISNUMBER('Price History'!AA76)),NOT(ISNUMBER('Price History'!AA75)),'Price History'!AA75=0),"",'Price History'!AA76/'Price History'!AA75-1),"")</f>
        <v>0.0379811629811628</v>
      </c>
      <c r="AU75" s="154" t="n">
        <f aca="false">IFERROR(IF(OR(NOT(ISNUMBER('Price History'!AB76)),NOT(ISNUMBER('Price History'!AB75)),'Price History'!AB75=0),"",'Price History'!AB76/'Price History'!AB75-1),"")</f>
        <v>0.0168910228929091</v>
      </c>
    </row>
    <row r="76" customFormat="false" ht="15" hidden="false" customHeight="true" outlineLevel="0" collapsed="false">
      <c r="A76" s="152" t="n">
        <f aca="false">IF('Price History'!A77="","",'Price History'!A77)</f>
        <v>45702</v>
      </c>
      <c r="B76" s="153" t="n">
        <f aca="false">IFERROR(IF(OR(NOT(ISNUMBER('Price History'!B77)),NOT(ISNUMBER('Price History'!B76)),'Price History'!B76=0),"",'Price History'!B77/'Price History'!B76-1),"")</f>
        <v>0.0625533978340684</v>
      </c>
      <c r="C76" s="153" t="n">
        <f aca="false">IFERROR(IF(OR(NOT(ISNUMBER('Price History'!C77)),NOT(ISNUMBER('Price History'!C76)),'Price History'!C76=0),"",'Price History'!C77/'Price History'!C76-1),"")</f>
        <v>-0.0979150839875074</v>
      </c>
      <c r="D76" s="153" t="n">
        <f aca="false">IFERROR(IF(OR(NOT(ISNUMBER('Price History'!D77)),NOT(ISNUMBER('Price History'!D76)),'Price History'!D76=0),"",'Price History'!D77/'Price History'!D76-1),"")</f>
        <v>0.0349470984289837</v>
      </c>
      <c r="E76" s="153" t="n">
        <f aca="false">IFERROR(IF(OR(NOT(ISNUMBER('Price History'!E77)),NOT(ISNUMBER('Price History'!E76)),'Price History'!E76=0),"",'Price History'!E77/'Price History'!E76-1),"")</f>
        <v>0.0363669178360331</v>
      </c>
      <c r="F76" s="153" t="n">
        <f aca="false">IFERROR(IF(OR(NOT(ISNUMBER('Price History'!F77)),NOT(ISNUMBER('Price History'!F76)),'Price History'!F76=0),"",'Price History'!F77/'Price History'!F76-1),"")</f>
        <v>0.0714421252371917</v>
      </c>
      <c r="G76" s="153" t="n">
        <f aca="false">IFERROR(IF(OR(NOT(ISNUMBER('Price History'!G77)),NOT(ISNUMBER('Price History'!G76)),'Price History'!G76=0),"",'Price History'!G77/'Price History'!G76-1),"")</f>
        <v>0.00406173842404556</v>
      </c>
      <c r="H76" s="153" t="n">
        <f aca="false">IFERROR(IF(OR(NOT(ISNUMBER('Price History'!H77)),NOT(ISNUMBER('Price History'!H76)),'Price History'!H76=0),"",'Price History'!H77/'Price History'!H76-1),"")</f>
        <v>0.0781946710168571</v>
      </c>
      <c r="I76" s="153" t="n">
        <f aca="false">IFERROR(IF(OR(NOT(ISNUMBER('Price History'!I77)),NOT(ISNUMBER('Price History'!I76)),'Price History'!I76=0),"",'Price History'!I77/'Price History'!I76-1),"")</f>
        <v>0.0694208494208495</v>
      </c>
      <c r="J76" s="153" t="n">
        <f aca="false">IFERROR(IF(OR(NOT(ISNUMBER('Price History'!J77)),NOT(ISNUMBER('Price History'!J76)),'Price History'!J76=0),"",'Price History'!J77/'Price History'!J76-1),"")</f>
        <v>0.0298049132947977</v>
      </c>
      <c r="K76" s="153" t="n">
        <f aca="false">IFERROR(IF(OR(NOT(ISNUMBER('Price History'!K77)),NOT(ISNUMBER('Price History'!K76)),'Price History'!K76=0),"",'Price History'!K77/'Price History'!K76-1),"")</f>
        <v>0.0749661705006766</v>
      </c>
      <c r="L76" s="153" t="n">
        <f aca="false">IFERROR(IF(OR(NOT(ISNUMBER('Price History'!L77)),NOT(ISNUMBER('Price History'!L76)),'Price History'!L76=0),"",'Price History'!L77/'Price History'!L76-1),"")</f>
        <v>-0.0107537539025719</v>
      </c>
      <c r="M76" s="153" t="n">
        <f aca="false">IFERROR(IF(OR(NOT(ISNUMBER('Price History'!M77)),NOT(ISNUMBER('Price History'!M76)),'Price History'!M76=0),"",'Price History'!M77/'Price History'!M76-1),"")</f>
        <v>-0.109808454425363</v>
      </c>
      <c r="N76" s="153" t="n">
        <f aca="false">IFERROR(IF(OR(NOT(ISNUMBER('Price History'!N77)),NOT(ISNUMBER('Price History'!N76)),'Price History'!N76=0),"",'Price History'!N77/'Price History'!N76-1),"")</f>
        <v>-0.0219892610585528</v>
      </c>
      <c r="O76" s="153" t="n">
        <f aca="false">IFERROR(IF(OR(NOT(ISNUMBER('Price History'!O77)),NOT(ISNUMBER('Price History'!O76)),'Price History'!O76=0),"",'Price History'!O77/'Price History'!O76-1),"")</f>
        <v>0.00306391970417308</v>
      </c>
      <c r="P76" s="153" t="n">
        <f aca="false">IFERROR(IF(OR(NOT(ISNUMBER('Price History'!P77)),NOT(ISNUMBER('Price History'!P76)),'Price History'!P76=0),"",'Price History'!P77/'Price History'!P76-1),"")</f>
        <v>0.0119698771304002</v>
      </c>
      <c r="Q76" s="153" t="n">
        <f aca="false">IFERROR(IF(OR(NOT(ISNUMBER('Price History'!Q77)),NOT(ISNUMBER('Price History'!Q76)),'Price History'!Q76=0),"",'Price History'!Q77/'Price History'!Q76-1),"")</f>
        <v>0.0104703608247423</v>
      </c>
      <c r="R76" s="153" t="n">
        <f aca="false">IFERROR(IF(OR(NOT(ISNUMBER('Price History'!R77)),NOT(ISNUMBER('Price History'!R76)),'Price History'!R76=0),"",'Price History'!R77/'Price History'!R76-1),"")</f>
        <v>0.0192960135708229</v>
      </c>
      <c r="S76" s="153" t="n">
        <f aca="false">IFERROR(IF(OR(NOT(ISNUMBER('Price History'!S77)),NOT(ISNUMBER('Price History'!S76)),'Price History'!S76=0),"",'Price History'!S77/'Price History'!S76-1),"")</f>
        <v>0.0101371496720333</v>
      </c>
      <c r="T76" s="153" t="n">
        <f aca="false">IFERROR(IF(OR(NOT(ISNUMBER('Price History'!T77)),NOT(ISNUMBER('Price History'!T76)),'Price History'!T76=0),"",'Price History'!T77/'Price History'!T76-1),"")</f>
        <v>0.0116380564445739</v>
      </c>
      <c r="U76" s="153" t="n">
        <f aca="false">IFERROR(IF(OR(NOT(ISNUMBER('Price History'!U77)),NOT(ISNUMBER('Price History'!U76)),'Price History'!U76=0),"",'Price History'!U77/'Price History'!U76-1),"")</f>
        <v>0.00850077279752703</v>
      </c>
      <c r="V76" s="154" t="n">
        <f aca="false">IFERROR(IF(OR(NOT(ISNUMBER('Price History'!V77)),NOT(ISNUMBER('Price History'!V76)),'Price History'!V76=0),"",'Price History'!V77/'Price History'!V76-1),"")</f>
        <v>0.0183697234352256</v>
      </c>
      <c r="W76" s="155" t="n">
        <f aca="false">IFERROR('Price History'!B3+(INDEX('Price History'!B:B,MATCH(9.99E+307,'Returns (Calc)'!$A:$A)+1)-'Price History'!B3)*(ROW()-3)/(MATCH(9.99E+307,'Returns (Calc)'!$A:$A)-3),"")</f>
        <v>397.297169811321</v>
      </c>
      <c r="X76" s="155" t="n">
        <f aca="false">IFERROR('Price History'!C3+(INDEX('Price History'!C:C,MATCH(9.99E+307,'Returns (Calc)'!$A:$A)+1)-'Price History'!C3)*(ROW()-3)/(MATCH(9.99E+307,'Returns (Calc)'!$A:$A)-3),"")</f>
        <v>124.487421383648</v>
      </c>
      <c r="Y76" s="155" t="n">
        <f aca="false">IFERROR('Price History'!D3+(INDEX('Price History'!D:D,MATCH(9.99E+307,'Returns (Calc)'!$A:$A)+1)-'Price History'!D3)*(ROW()-3)/(MATCH(9.99E+307,'Returns (Calc)'!$A:$A)-3),"")</f>
        <v>1132.18666666667</v>
      </c>
      <c r="Z76" s="155" t="n">
        <f aca="false">IFERROR('Price History'!E3+(INDEX('Price History'!E:E,MATCH(9.99E+307,'Returns (Calc)'!$A:$A)+1)-'Price History'!E3)*(ROW()-3)/(MATCH(9.99E+307,'Returns (Calc)'!$A:$A)-3),"")</f>
        <v>210.342264150943</v>
      </c>
      <c r="AA76" s="155" t="n">
        <f aca="false">IFERROR('Price History'!F3+(INDEX('Price History'!F:F,MATCH(9.99E+307,'Returns (Calc)'!$A:$A)+1)-'Price History'!F3)*(ROW()-3)/(MATCH(9.99E+307,'Returns (Calc)'!$A:$A)-3),"")</f>
        <v>148.647044025157</v>
      </c>
      <c r="AB76" s="155" t="n">
        <f aca="false">IFERROR('Price History'!G3+(INDEX('Price History'!G:G,MATCH(9.99E+307,'Returns (Calc)'!$A:$A)+1)-'Price History'!G3)*(ROW()-3)/(MATCH(9.99E+307,'Returns (Calc)'!$A:$A)-3),"")</f>
        <v>113.778050314465</v>
      </c>
      <c r="AC76" s="155" t="n">
        <f aca="false">IFERROR('Price History'!H3+(INDEX('Price History'!H:H,MATCH(9.99E+307,'Returns (Calc)'!$A:$A)+1)-'Price History'!H3)*(ROW()-3)/(MATCH(9.99E+307,'Returns (Calc)'!$A:$A)-3),"")</f>
        <v>509.814213836478</v>
      </c>
      <c r="AD76" s="155" t="n">
        <f aca="false">IFERROR('Price History'!I3+(INDEX('Price History'!I:I,MATCH(9.99E+307,'Returns (Calc)'!$A:$A)+1)-'Price History'!I3)*(ROW()-3)/(MATCH(9.99E+307,'Returns (Calc)'!$A:$A)-3),"")</f>
        <v>128.941257861635</v>
      </c>
      <c r="AE76" s="155" t="n">
        <f aca="false">IFERROR('Price History'!J3+(INDEX('Price History'!J:J,MATCH(9.99E+307,'Returns (Calc)'!$A:$A)+1)-'Price History'!J3)*(ROW()-3)/(MATCH(9.99E+307,'Returns (Calc)'!$A:$A)-3),"")</f>
        <v>119.943459119497</v>
      </c>
      <c r="AF76" s="155" t="n">
        <f aca="false">IFERROR('Price History'!K3+(INDEX('Price History'!K:K,MATCH(9.99E+307,'Returns (Calc)'!$A:$A)+1)-'Price History'!K3)*(ROW()-3)/(MATCH(9.99E+307,'Returns (Calc)'!$A:$A)-3),"")</f>
        <v>104.270628930818</v>
      </c>
      <c r="AG76" s="155" t="n">
        <f aca="false">IFERROR('Price History'!L3+(INDEX('Price History'!L:L,MATCH(9.99E+307,'Returns (Calc)'!$A:$A)+1)-'Price History'!L3)*(ROW()-3)/(MATCH(9.99E+307,'Returns (Calc)'!$A:$A)-3),"")</f>
        <v>254.503962264151</v>
      </c>
      <c r="AH76" s="155" t="n">
        <f aca="false">IFERROR('Price History'!M3+(INDEX('Price History'!M:M,MATCH(9.99E+307,'Returns (Calc)'!$A:$A)+1)-'Price History'!M3)*(ROW()-3)/(MATCH(9.99E+307,'Returns (Calc)'!$A:$A)-3),"")</f>
        <v>132.029308176101</v>
      </c>
      <c r="AI76" s="155" t="n">
        <f aca="false">IFERROR('Price History'!N3+(INDEX('Price History'!N:N,MATCH(9.99E+307,'Returns (Calc)'!$A:$A)+1)-'Price History'!N3)*(ROW()-3)/(MATCH(9.99E+307,'Returns (Calc)'!$A:$A)-3),"")</f>
        <v>422.900880503145</v>
      </c>
      <c r="AJ76" s="155" t="n">
        <f aca="false">IFERROR('Price History'!O3+(INDEX('Price History'!O:O,MATCH(9.99E+307,'Returns (Calc)'!$A:$A)+1)-'Price History'!O3)*(ROW()-3)/(MATCH(9.99E+307,'Returns (Calc)'!$A:$A)-3),"")</f>
        <v>95.6627672955975</v>
      </c>
      <c r="AK76" s="155" t="n">
        <f aca="false">IFERROR('Price History'!Q3+(INDEX('Price History'!Q:Q,MATCH(9.99E+307,'Returns (Calc)'!$A:$A)+1)-'Price History'!Q3)*(ROW()-3)/(MATCH(9.99E+307,'Returns (Calc)'!$A:$A)-3),"")</f>
        <v>32.1245911949686</v>
      </c>
      <c r="AL76" s="155" t="n">
        <f aca="false">IFERROR('Price History'!R3+(INDEX('Price History'!R:R,MATCH(9.99E+307,'Returns (Calc)'!$A:$A)+1)-'Price History'!R3)*(ROW()-3)/(MATCH(9.99E+307,'Returns (Calc)'!$A:$A)-3),"")</f>
        <v>46.6971698113208</v>
      </c>
      <c r="AM76" s="155" t="n">
        <f aca="false">IFERROR('Price History'!S3+(INDEX('Price History'!S:S,MATCH(9.99E+307,'Returns (Calc)'!$A:$A)+1)-'Price History'!S3)*(ROW()-3)/(MATCH(9.99E+307,'Returns (Calc)'!$A:$A)-3),"")</f>
        <v>100.571446540881</v>
      </c>
      <c r="AN76" s="155" t="n">
        <f aca="false">IFERROR('Price History'!T3+(INDEX('Price History'!T:T,MATCH(9.99E+307,'Returns (Calc)'!$A:$A)+1)-'Price History'!T3)*(ROW()-3)/(MATCH(9.99E+307,'Returns (Calc)'!$A:$A)-3),"")</f>
        <v>37.8846540880503</v>
      </c>
      <c r="AO76" s="156" t="n">
        <f aca="false">IFERROR('Price History'!V3+(INDEX('Price History'!V:V,MATCH(9.99E+307,'Returns (Calc)'!$A:$A)+1)-'Price History'!V3)*(ROW()-3)/(MATCH(9.99E+307,'Returns (Calc)'!$A:$A)-3),"")</f>
        <v>304.415283018868</v>
      </c>
      <c r="AP76" s="154" t="n">
        <f aca="false">IFERROR(IF(OR(NOT(ISNUMBER('Price History'!W77)),NOT(ISNUMBER('Price History'!W76)),'Price History'!W76=0),"",'Price History'!W77/'Price History'!W76-1),"")</f>
        <v>0.0109707971586426</v>
      </c>
      <c r="AQ76" s="154" t="str">
        <f aca="false">IFERROR(IF(OR(NOT(ISNUMBER('Price History'!X77)),NOT(ISNUMBER('Price History'!X76)),'Price History'!X76=0),"",'Price History'!X77/'Price History'!X76-1),"")</f>
        <v/>
      </c>
      <c r="AR76" s="154" t="n">
        <f aca="false">IFERROR(IF(OR(NOT(ISNUMBER('Price History'!Y77)),NOT(ISNUMBER('Price History'!Y76)),'Price History'!Y76=0),"",'Price History'!Y77/'Price History'!Y76-1),"")</f>
        <v>0.00663414634146342</v>
      </c>
      <c r="AS76" s="154" t="n">
        <f aca="false">IFERROR(IF(OR(NOT(ISNUMBER('Price History'!Z77)),NOT(ISNUMBER('Price History'!Z76)),'Price History'!Z76=0),"",'Price History'!Z77/'Price History'!Z76-1),"")</f>
        <v>0.0145626291449377</v>
      </c>
      <c r="AT76" s="154" t="n">
        <f aca="false">IFERROR(IF(OR(NOT(ISNUMBER('Price History'!AA77)),NOT(ISNUMBER('Price History'!AA76)),'Price History'!AA76=0),"",'Price History'!AA77/'Price History'!AA76-1),"")</f>
        <v>0.04408718808561</v>
      </c>
      <c r="AU76" s="154" t="n">
        <f aca="false">IFERROR(IF(OR(NOT(ISNUMBER('Price History'!AB77)),NOT(ISNUMBER('Price History'!AB76)),'Price History'!AB76=0),"",'Price History'!AB77/'Price History'!AB76-1),"")</f>
        <v>-0.0134907251264755</v>
      </c>
    </row>
    <row r="77" customFormat="false" ht="15" hidden="false" customHeight="true" outlineLevel="0" collapsed="false">
      <c r="A77" s="152" t="n">
        <f aca="false">IF('Price History'!A78="","",'Price History'!A78)</f>
        <v>45709</v>
      </c>
      <c r="B77" s="153" t="n">
        <f aca="false">IFERROR(IF(OR(NOT(ISNUMBER('Price History'!B78)),NOT(ISNUMBER('Price History'!B77)),'Price History'!B77=0),"",'Price History'!B78/'Price History'!B77-1),"")</f>
        <v>-0.03442280945758</v>
      </c>
      <c r="C77" s="153" t="n">
        <f aca="false">IFERROR(IF(OR(NOT(ISNUMBER('Price History'!C78)),NOT(ISNUMBER('Price History'!C77)),'Price History'!C77=0),"",'Price History'!C78/'Price History'!C77-1),"")</f>
        <v>-0.0801908861233275</v>
      </c>
      <c r="D77" s="153" t="n">
        <f aca="false">IFERROR(IF(OR(NOT(ISNUMBER('Price History'!D78)),NOT(ISNUMBER('Price History'!D77)),'Price History'!D77=0),"",'Price History'!D78/'Price History'!D77-1),"")</f>
        <v>-0.019072248262486</v>
      </c>
      <c r="E77" s="153" t="n">
        <f aca="false">IFERROR(IF(OR(NOT(ISNUMBER('Price History'!E78)),NOT(ISNUMBER('Price History'!E77)),'Price History'!E77=0),"",'Price History'!E78/'Price History'!E77-1),"")</f>
        <v>-0.0617353824720276</v>
      </c>
      <c r="F77" s="153" t="n">
        <f aca="false">IFERROR(IF(OR(NOT(ISNUMBER('Price History'!F78)),NOT(ISNUMBER('Price History'!F77)),'Price History'!F77=0),"",'Price History'!F78/'Price History'!F77-1),"")</f>
        <v>-0.0997077835827505</v>
      </c>
      <c r="G77" s="153" t="n">
        <f aca="false">IFERROR(IF(OR(NOT(ISNUMBER('Price History'!G78)),NOT(ISNUMBER('Price History'!G77)),'Price History'!G77=0),"",'Price History'!G78/'Price History'!G77-1),"")</f>
        <v>0.00471952535059339</v>
      </c>
      <c r="H77" s="153" t="n">
        <f aca="false">IFERROR(IF(OR(NOT(ISNUMBER('Price History'!H78)),NOT(ISNUMBER('Price History'!H77)),'Price History'!H77=0),"",'Price History'!H78/'Price History'!H77-1),"")</f>
        <v>-0.00685898729070011</v>
      </c>
      <c r="I77" s="153" t="n">
        <f aca="false">IFERROR(IF(OR(NOT(ISNUMBER('Price History'!I78)),NOT(ISNUMBER('Price History'!I77)),'Price History'!I77=0),"",'Price History'!I78/'Price History'!I77-1),"")</f>
        <v>-0.0318434544010398</v>
      </c>
      <c r="J77" s="153" t="n">
        <f aca="false">IFERROR(IF(OR(NOT(ISNUMBER('Price History'!J78)),NOT(ISNUMBER('Price History'!J77)),'Price History'!J77=0),"",'Price History'!J78/'Price History'!J77-1),"")</f>
        <v>0.00105244693913353</v>
      </c>
      <c r="K77" s="153" t="n">
        <f aca="false">IFERROR(IF(OR(NOT(ISNUMBER('Price History'!K78)),NOT(ISNUMBER('Price History'!K77)),'Price History'!K77=0),"",'Price History'!K78/'Price History'!K77-1),"")</f>
        <v>-0.149462907015777</v>
      </c>
      <c r="L77" s="153" t="n">
        <f aca="false">IFERROR(IF(OR(NOT(ISNUMBER('Price History'!L78)),NOT(ISNUMBER('Price History'!L77)),'Price History'!L77=0),"",'Price History'!L78/'Price History'!L77-1),"")</f>
        <v>-0.0277527301873559</v>
      </c>
      <c r="M77" s="153" t="n">
        <f aca="false">IFERROR(IF(OR(NOT(ISNUMBER('Price History'!M78)),NOT(ISNUMBER('Price History'!M77)),'Price History'!M77=0),"",'Price History'!M78/'Price History'!M77-1),"")</f>
        <v>-0.111574846967167</v>
      </c>
      <c r="N77" s="153" t="n">
        <f aca="false">IFERROR(IF(OR(NOT(ISNUMBER('Price History'!N78)),NOT(ISNUMBER('Price History'!N77)),'Price History'!N77=0),"",'Price History'!N78/'Price History'!N77-1),"")</f>
        <v>0.0549891067538126</v>
      </c>
      <c r="O77" s="153" t="n">
        <f aca="false">IFERROR(IF(OR(NOT(ISNUMBER('Price History'!O78)),NOT(ISNUMBER('Price History'!O77)),'Price History'!O77=0),"",'Price History'!O78/'Price History'!O77-1),"")</f>
        <v>-0.0365493996208132</v>
      </c>
      <c r="P77" s="153" t="n">
        <f aca="false">IFERROR(IF(OR(NOT(ISNUMBER('Price History'!P78)),NOT(ISNUMBER('Price History'!P77)),'Price History'!P77=0),"",'Price History'!P78/'Price History'!P77-1),"")</f>
        <v>0.00728497571674769</v>
      </c>
      <c r="Q77" s="153" t="n">
        <f aca="false">IFERROR(IF(OR(NOT(ISNUMBER('Price History'!Q78)),NOT(ISNUMBER('Price History'!Q77)),'Price History'!Q77=0),"",'Price History'!Q78/'Price History'!Q77-1),"")</f>
        <v>-0.00892714809501027</v>
      </c>
      <c r="R77" s="153" t="n">
        <f aca="false">IFERROR(IF(OR(NOT(ISNUMBER('Price History'!R78)),NOT(ISNUMBER('Price History'!R77)),'Price History'!R77=0),"",'Price History'!R78/'Price History'!R77-1),"")</f>
        <v>-0.0120657374661951</v>
      </c>
      <c r="S77" s="153" t="n">
        <f aca="false">IFERROR(IF(OR(NOT(ISNUMBER('Price History'!S78)),NOT(ISNUMBER('Price History'!S77)),'Price History'!S77=0),"",'Price History'!S78/'Price History'!S77-1),"")</f>
        <v>-0.0305981896890988</v>
      </c>
      <c r="T77" s="153" t="n">
        <f aca="false">IFERROR(IF(OR(NOT(ISNUMBER('Price History'!T78)),NOT(ISNUMBER('Price History'!T77)),'Price History'!T77=0),"",'Price History'!T78/'Price History'!T77-1),"")</f>
        <v>-0.00345125107851607</v>
      </c>
      <c r="U77" s="153" t="n">
        <f aca="false">IFERROR(IF(OR(NOT(ISNUMBER('Price History'!U78)),NOT(ISNUMBER('Price History'!U77)),'Price History'!U77=0),"",'Price History'!U78/'Price History'!U77-1),"")</f>
        <v>0.0149425287356322</v>
      </c>
      <c r="V77" s="154" t="n">
        <f aca="false">IFERROR(IF(OR(NOT(ISNUMBER('Price History'!V78)),NOT(ISNUMBER('Price History'!V77)),'Price History'!V77=0),"",'Price History'!V78/'Price History'!V77-1),"")</f>
        <v>-0.0149223864383523</v>
      </c>
      <c r="W77" s="155" t="n">
        <f aca="false">IFERROR('Price History'!B3+(INDEX('Price History'!B:B,MATCH(9.99E+307,'Returns (Calc)'!$A:$A)+1)-'Price History'!B3)*(ROW()-3)/(MATCH(9.99E+307,'Returns (Calc)'!$A:$A)-3),"")</f>
        <v>395.494528301887</v>
      </c>
      <c r="X77" s="155" t="n">
        <f aca="false">IFERROR('Price History'!C3+(INDEX('Price History'!C:C,MATCH(9.99E+307,'Returns (Calc)'!$A:$A)+1)-'Price History'!C3)*(ROW()-3)/(MATCH(9.99E+307,'Returns (Calc)'!$A:$A)-3),"")</f>
        <v>125.560125786164</v>
      </c>
      <c r="Y77" s="155" t="n">
        <f aca="false">IFERROR('Price History'!D3+(INDEX('Price History'!D:D,MATCH(9.99E+307,'Returns (Calc)'!$A:$A)+1)-'Price History'!D3)*(ROW()-3)/(MATCH(9.99E+307,'Returns (Calc)'!$A:$A)-3),"")</f>
        <v>1139.72333333333</v>
      </c>
      <c r="Z77" s="155" t="n">
        <f aca="false">IFERROR('Price History'!E3+(INDEX('Price History'!E:E,MATCH(9.99E+307,'Returns (Calc)'!$A:$A)+1)-'Price History'!E3)*(ROW()-3)/(MATCH(9.99E+307,'Returns (Calc)'!$A:$A)-3),"")</f>
        <v>212.100377358491</v>
      </c>
      <c r="AA77" s="155" t="n">
        <f aca="false">IFERROR('Price History'!F3+(INDEX('Price History'!F:F,MATCH(9.99E+307,'Returns (Calc)'!$A:$A)+1)-'Price History'!F3)*(ROW()-3)/(MATCH(9.99E+307,'Returns (Calc)'!$A:$A)-3),"")</f>
        <v>150.116729559748</v>
      </c>
      <c r="AB77" s="155" t="n">
        <f aca="false">IFERROR('Price History'!G3+(INDEX('Price History'!G:G,MATCH(9.99E+307,'Returns (Calc)'!$A:$A)+1)-'Price History'!G3)*(ROW()-3)/(MATCH(9.99E+307,'Returns (Calc)'!$A:$A)-3),"")</f>
        <v>114.729119496855</v>
      </c>
      <c r="AC77" s="155" t="n">
        <f aca="false">IFERROR('Price History'!H3+(INDEX('Price History'!H:H,MATCH(9.99E+307,'Returns (Calc)'!$A:$A)+1)-'Price History'!H3)*(ROW()-3)/(MATCH(9.99E+307,'Returns (Calc)'!$A:$A)-3),"")</f>
        <v>515.851257861635</v>
      </c>
      <c r="AD77" s="155" t="n">
        <f aca="false">IFERROR('Price History'!I3+(INDEX('Price History'!I:I,MATCH(9.99E+307,'Returns (Calc)'!$A:$A)+1)-'Price History'!I3)*(ROW()-3)/(MATCH(9.99E+307,'Returns (Calc)'!$A:$A)-3),"")</f>
        <v>130.107987421384</v>
      </c>
      <c r="AE77" s="155" t="n">
        <f aca="false">IFERROR('Price History'!J3+(INDEX('Price History'!J:J,MATCH(9.99E+307,'Returns (Calc)'!$A:$A)+1)-'Price History'!J3)*(ROW()-3)/(MATCH(9.99E+307,'Returns (Calc)'!$A:$A)-3),"")</f>
        <v>120.054465408805</v>
      </c>
      <c r="AF77" s="155" t="n">
        <f aca="false">IFERROR('Price History'!K3+(INDEX('Price History'!K:K,MATCH(9.99E+307,'Returns (Calc)'!$A:$A)+1)-'Price History'!K3)*(ROW()-3)/(MATCH(9.99E+307,'Returns (Calc)'!$A:$A)-3),"")</f>
        <v>105.488993710692</v>
      </c>
      <c r="AG77" s="155" t="n">
        <f aca="false">IFERROR('Price History'!L3+(INDEX('Price History'!L:L,MATCH(9.99E+307,'Returns (Calc)'!$A:$A)+1)-'Price History'!L3)*(ROW()-3)/(MATCH(9.99E+307,'Returns (Calc)'!$A:$A)-3),"")</f>
        <v>256.815660377359</v>
      </c>
      <c r="AH77" s="155" t="n">
        <f aca="false">IFERROR('Price History'!M3+(INDEX('Price History'!M:M,MATCH(9.99E+307,'Returns (Calc)'!$A:$A)+1)-'Price History'!M3)*(ROW()-3)/(MATCH(9.99E+307,'Returns (Calc)'!$A:$A)-3),"")</f>
        <v>133.317106918239</v>
      </c>
      <c r="AI77" s="155" t="n">
        <f aca="false">IFERROR('Price History'!N3+(INDEX('Price History'!N:N,MATCH(9.99E+307,'Returns (Calc)'!$A:$A)+1)-'Price History'!N3)*(ROW()-3)/(MATCH(9.99E+307,'Returns (Calc)'!$A:$A)-3),"")</f>
        <v>423.914591194969</v>
      </c>
      <c r="AJ77" s="155" t="n">
        <f aca="false">IFERROR('Price History'!O3+(INDEX('Price History'!O:O,MATCH(9.99E+307,'Returns (Calc)'!$A:$A)+1)-'Price History'!O3)*(ROW()-3)/(MATCH(9.99E+307,'Returns (Calc)'!$A:$A)-3),"")</f>
        <v>95.941572327044</v>
      </c>
      <c r="AK77" s="155" t="n">
        <f aca="false">IFERROR('Price History'!Q3+(INDEX('Price History'!Q:Q,MATCH(9.99E+307,'Returns (Calc)'!$A:$A)+1)-'Price History'!Q3)*(ROW()-3)/(MATCH(9.99E+307,'Returns (Calc)'!$A:$A)-3),"")</f>
        <v>32.5646540880503</v>
      </c>
      <c r="AL77" s="155" t="n">
        <f aca="false">IFERROR('Price History'!R3+(INDEX('Price History'!R:R,MATCH(9.99E+307,'Returns (Calc)'!$A:$A)+1)-'Price History'!R3)*(ROW()-3)/(MATCH(9.99E+307,'Returns (Calc)'!$A:$A)-3),"")</f>
        <v>46.8645283018868</v>
      </c>
      <c r="AM77" s="155" t="n">
        <f aca="false">IFERROR('Price History'!S3+(INDEX('Price History'!S:S,MATCH(9.99E+307,'Returns (Calc)'!$A:$A)+1)-'Price History'!S3)*(ROW()-3)/(MATCH(9.99E+307,'Returns (Calc)'!$A:$A)-3),"")</f>
        <v>101.159685534591</v>
      </c>
      <c r="AN77" s="155" t="n">
        <f aca="false">IFERROR('Price History'!T3+(INDEX('Price History'!T:T,MATCH(9.99E+307,'Returns (Calc)'!$A:$A)+1)-'Price History'!T3)*(ROW()-3)/(MATCH(9.99E+307,'Returns (Calc)'!$A:$A)-3),"")</f>
        <v>38.0585534591195</v>
      </c>
      <c r="AO77" s="156" t="n">
        <f aca="false">IFERROR('Price History'!V3+(INDEX('Price History'!V:V,MATCH(9.99E+307,'Returns (Calc)'!$A:$A)+1)-'Price History'!V3)*(ROW()-3)/(MATCH(9.99E+307,'Returns (Calc)'!$A:$A)-3),"")</f>
        <v>305.357547169811</v>
      </c>
      <c r="AP77" s="154" t="n">
        <f aca="false">IFERROR(IF(OR(NOT(ISNUMBER('Price History'!W78)),NOT(ISNUMBER('Price History'!W77)),'Price History'!W77=0),"",'Price History'!W78/'Price History'!W77-1),"")</f>
        <v>-0.00335701459911009</v>
      </c>
      <c r="AQ77" s="154" t="str">
        <f aca="false">IFERROR(IF(OR(NOT(ISNUMBER('Price History'!X78)),NOT(ISNUMBER('Price History'!X77)),'Price History'!X77=0),"",'Price History'!X78/'Price History'!X77-1),"")</f>
        <v/>
      </c>
      <c r="AR77" s="154" t="n">
        <f aca="false">IFERROR(IF(OR(NOT(ISNUMBER('Price History'!Y78)),NOT(ISNUMBER('Price History'!Y77)),'Price History'!Y77=0),"",'Price History'!Y78/'Price History'!Y77-1),"")</f>
        <v>-0.000775344058926319</v>
      </c>
      <c r="AS77" s="154" t="n">
        <f aca="false">IFERROR(IF(OR(NOT(ISNUMBER('Price History'!Z78)),NOT(ISNUMBER('Price History'!Z77)),'Price History'!Z77=0),"",'Price History'!Z78/'Price History'!Z77-1),"")</f>
        <v>-0.0405392299485985</v>
      </c>
      <c r="AT77" s="154" t="n">
        <f aca="false">IFERROR(IF(OR(NOT(ISNUMBER('Price History'!AA78)),NOT(ISNUMBER('Price History'!AA77)),'Price History'!AA77=0),"",'Price History'!AA78/'Price History'!AA77-1),"")</f>
        <v>-0.0523332703570755</v>
      </c>
      <c r="AU77" s="154" t="n">
        <f aca="false">IFERROR(IF(OR(NOT(ISNUMBER('Price History'!AB78)),NOT(ISNUMBER('Price History'!AB77)),'Price History'!AB77=0),"",'Price History'!AB78/'Price History'!AB77-1),"")</f>
        <v>-0.0350854700854701</v>
      </c>
    </row>
    <row r="78" customFormat="false" ht="15" hidden="false" customHeight="true" outlineLevel="0" collapsed="false">
      <c r="A78" s="152" t="n">
        <f aca="false">IF('Price History'!A79="","",'Price History'!A79)</f>
        <v>45716</v>
      </c>
      <c r="B78" s="153" t="n">
        <f aca="false">IFERROR(IF(OR(NOT(ISNUMBER('Price History'!B79)),NOT(ISNUMBER('Price History'!B78)),'Price History'!B78=0),"",'Price History'!B79/'Price History'!B78-1),"")</f>
        <v>-0.0129636298163486</v>
      </c>
      <c r="C78" s="153" t="n">
        <f aca="false">IFERROR(IF(OR(NOT(ISNUMBER('Price History'!C79)),NOT(ISNUMBER('Price History'!C78)),'Price History'!C78=0),"",'Price History'!C79/'Price History'!C78-1),"")</f>
        <v>-0.0534079348931842</v>
      </c>
      <c r="D78" s="153" t="n">
        <f aca="false">IFERROR(IF(OR(NOT(ISNUMBER('Price History'!D79)),NOT(ISNUMBER('Price History'!D78)),'Price History'!D78=0),"",'Price History'!D79/'Price History'!D78-1),"")</f>
        <v>-0.038158400615148</v>
      </c>
      <c r="E78" s="153" t="n">
        <f aca="false">IFERROR(IF(OR(NOT(ISNUMBER('Price History'!E79)),NOT(ISNUMBER('Price History'!E78)),'Price History'!E78=0),"",'Price History'!E79/'Price History'!E78-1),"")</f>
        <v>-0.0879309544800705</v>
      </c>
      <c r="F78" s="153" t="n">
        <f aca="false">IFERROR(IF(OR(NOT(ISNUMBER('Price History'!F79)),NOT(ISNUMBER('Price History'!F78)),'Price History'!F78=0),"",'Price History'!F79/'Price History'!F78-1),"")</f>
        <v>-0.0418019081341595</v>
      </c>
      <c r="G78" s="153" t="n">
        <f aca="false">IFERROR(IF(OR(NOT(ISNUMBER('Price History'!G79)),NOT(ISNUMBER('Price History'!G78)),'Price History'!G78=0),"",'Price History'!G79/'Price History'!G78-1),"")</f>
        <v>-0.0581130049657764</v>
      </c>
      <c r="H78" s="153" t="n">
        <f aca="false">IFERROR(IF(OR(NOT(ISNUMBER('Price History'!H79)),NOT(ISNUMBER('Price History'!H78)),'Price History'!H78=0),"",'Price History'!H79/'Price History'!H78-1),"")</f>
        <v>-0.0527117611212675</v>
      </c>
      <c r="I78" s="153" t="n">
        <f aca="false">IFERROR(IF(OR(NOT(ISNUMBER('Price History'!I79)),NOT(ISNUMBER('Price History'!I78)),'Price History'!I78=0),"",'Price History'!I79/'Price History'!I78-1),"")</f>
        <v>-0.0707786396181385</v>
      </c>
      <c r="J78" s="153" t="n">
        <f aca="false">IFERROR(IF(OR(NOT(ISNUMBER('Price History'!J79)),NOT(ISNUMBER('Price History'!J78)),'Price History'!J78=0),"",'Price History'!J79/'Price History'!J78-1),"")</f>
        <v>0.0243560539688104</v>
      </c>
      <c r="K78" s="153" t="n">
        <f aca="false">IFERROR(IF(OR(NOT(ISNUMBER('Price History'!K79)),NOT(ISNUMBER('Price History'!K78)),'Price History'!K78=0),"",'Price History'!K79/'Price History'!K78-1),"")</f>
        <v>-0.162111494819931</v>
      </c>
      <c r="L78" s="153" t="n">
        <f aca="false">IFERROR(IF(OR(NOT(ISNUMBER('Price History'!L79)),NOT(ISNUMBER('Price History'!L78)),'Price History'!L78=0),"",'Price History'!L79/'Price History'!L78-1),"")</f>
        <v>-0.0893446001648804</v>
      </c>
      <c r="M78" s="153" t="n">
        <f aca="false">IFERROR(IF(OR(NOT(ISNUMBER('Price History'!M79)),NOT(ISNUMBER('Price History'!M78)),'Price History'!M78=0),"",'Price History'!M79/'Price History'!M78-1),"")</f>
        <v>-0.00856039252531582</v>
      </c>
      <c r="N78" s="153" t="n">
        <f aca="false">IFERROR(IF(OR(NOT(ISNUMBER('Price History'!N79)),NOT(ISNUMBER('Price History'!N78)),'Price History'!N78=0),"",'Price History'!N79/'Price History'!N78-1),"")</f>
        <v>-0.00918965802081606</v>
      </c>
      <c r="O78" s="153" t="n">
        <f aca="false">IFERROR(IF(OR(NOT(ISNUMBER('Price History'!O79)),NOT(ISNUMBER('Price History'!O78)),'Price History'!O78=0),"",'Price History'!O79/'Price History'!O78-1),"")</f>
        <v>-0.0112605225757079</v>
      </c>
      <c r="P78" s="153" t="n">
        <f aca="false">IFERROR(IF(OR(NOT(ISNUMBER('Price History'!P79)),NOT(ISNUMBER('Price History'!P78)),'Price History'!P78=0),"",'Price History'!P79/'Price History'!P78-1),"")</f>
        <v>0.0102651839178785</v>
      </c>
      <c r="Q78" s="153" t="n">
        <f aca="false">IFERROR(IF(OR(NOT(ISNUMBER('Price History'!Q79)),NOT(ISNUMBER('Price History'!Q78)),'Price History'!Q78=0),"",'Price History'!Q79/'Price History'!Q78-1),"")</f>
        <v>-0.0064339713688274</v>
      </c>
      <c r="R78" s="153" t="n">
        <f aca="false">IFERROR(IF(OR(NOT(ISNUMBER('Price History'!R79)),NOT(ISNUMBER('Price History'!R78)),'Price History'!R78=0),"",'Price History'!R79/'Price History'!R78-1),"")</f>
        <v>-0.0275847546851969</v>
      </c>
      <c r="S78" s="153" t="n">
        <f aca="false">IFERROR(IF(OR(NOT(ISNUMBER('Price History'!S79)),NOT(ISNUMBER('Price History'!S78)),'Price History'!S78=0),"",'Price History'!S79/'Price History'!S78-1),"")</f>
        <v>-0.00111641124530604</v>
      </c>
      <c r="T78" s="153" t="n">
        <f aca="false">IFERROR(IF(OR(NOT(ISNUMBER('Price History'!T79)),NOT(ISNUMBER('Price History'!T78)),'Price History'!T78=0),"",'Price History'!T79/'Price History'!T78-1),"")</f>
        <v>-0.00490620490620497</v>
      </c>
      <c r="U78" s="153" t="n">
        <f aca="false">IFERROR(IF(OR(NOT(ISNUMBER('Price History'!U79)),NOT(ISNUMBER('Price History'!U78)),'Price History'!U78=0),"",'Price History'!U79/'Price History'!U78-1),"")</f>
        <v>0.0117025292563233</v>
      </c>
      <c r="V78" s="154" t="n">
        <f aca="false">IFERROR(IF(OR(NOT(ISNUMBER('Price History'!V79)),NOT(ISNUMBER('Price History'!V78)),'Price History'!V78=0),"",'Price History'!V79/'Price History'!V78-1),"")</f>
        <v>0.0406570126817378</v>
      </c>
      <c r="W78" s="155" t="n">
        <f aca="false">IFERROR('Price History'!B3+(INDEX('Price History'!B:B,MATCH(9.99E+307,'Returns (Calc)'!$A:$A)+1)-'Price History'!B3)*(ROW()-3)/(MATCH(9.99E+307,'Returns (Calc)'!$A:$A)-3),"")</f>
        <v>393.691886792453</v>
      </c>
      <c r="X78" s="155" t="n">
        <f aca="false">IFERROR('Price History'!C3+(INDEX('Price History'!C:C,MATCH(9.99E+307,'Returns (Calc)'!$A:$A)+1)-'Price History'!C3)*(ROW()-3)/(MATCH(9.99E+307,'Returns (Calc)'!$A:$A)-3),"")</f>
        <v>126.632830188679</v>
      </c>
      <c r="Y78" s="155" t="n">
        <f aca="false">IFERROR('Price History'!D3+(INDEX('Price History'!D:D,MATCH(9.99E+307,'Returns (Calc)'!$A:$A)+1)-'Price History'!D3)*(ROW()-3)/(MATCH(9.99E+307,'Returns (Calc)'!$A:$A)-3),"")</f>
        <v>1147.26</v>
      </c>
      <c r="Z78" s="155" t="n">
        <f aca="false">IFERROR('Price History'!E3+(INDEX('Price History'!E:E,MATCH(9.99E+307,'Returns (Calc)'!$A:$A)+1)-'Price History'!E3)*(ROW()-3)/(MATCH(9.99E+307,'Returns (Calc)'!$A:$A)-3),"")</f>
        <v>213.858490566038</v>
      </c>
      <c r="AA78" s="155" t="n">
        <f aca="false">IFERROR('Price History'!F3+(INDEX('Price History'!F:F,MATCH(9.99E+307,'Returns (Calc)'!$A:$A)+1)-'Price History'!F3)*(ROW()-3)/(MATCH(9.99E+307,'Returns (Calc)'!$A:$A)-3),"")</f>
        <v>151.58641509434</v>
      </c>
      <c r="AB78" s="155" t="n">
        <f aca="false">IFERROR('Price History'!G3+(INDEX('Price History'!G:G,MATCH(9.99E+307,'Returns (Calc)'!$A:$A)+1)-'Price History'!G3)*(ROW()-3)/(MATCH(9.99E+307,'Returns (Calc)'!$A:$A)-3),"")</f>
        <v>115.680188679245</v>
      </c>
      <c r="AC78" s="155" t="n">
        <f aca="false">IFERROR('Price History'!H3+(INDEX('Price History'!H:H,MATCH(9.99E+307,'Returns (Calc)'!$A:$A)+1)-'Price History'!H3)*(ROW()-3)/(MATCH(9.99E+307,'Returns (Calc)'!$A:$A)-3),"")</f>
        <v>521.888301886792</v>
      </c>
      <c r="AD78" s="155" t="n">
        <f aca="false">IFERROR('Price History'!I3+(INDEX('Price History'!I:I,MATCH(9.99E+307,'Returns (Calc)'!$A:$A)+1)-'Price History'!I3)*(ROW()-3)/(MATCH(9.99E+307,'Returns (Calc)'!$A:$A)-3),"")</f>
        <v>131.274716981132</v>
      </c>
      <c r="AE78" s="155" t="n">
        <f aca="false">IFERROR('Price History'!J3+(INDEX('Price History'!J:J,MATCH(9.99E+307,'Returns (Calc)'!$A:$A)+1)-'Price History'!J3)*(ROW()-3)/(MATCH(9.99E+307,'Returns (Calc)'!$A:$A)-3),"")</f>
        <v>120.165471698113</v>
      </c>
      <c r="AF78" s="155" t="n">
        <f aca="false">IFERROR('Price History'!K3+(INDEX('Price History'!K:K,MATCH(9.99E+307,'Returns (Calc)'!$A:$A)+1)-'Price History'!K3)*(ROW()-3)/(MATCH(9.99E+307,'Returns (Calc)'!$A:$A)-3),"")</f>
        <v>106.707358490566</v>
      </c>
      <c r="AG78" s="155" t="n">
        <f aca="false">IFERROR('Price History'!L3+(INDEX('Price History'!L:L,MATCH(9.99E+307,'Returns (Calc)'!$A:$A)+1)-'Price History'!L3)*(ROW()-3)/(MATCH(9.99E+307,'Returns (Calc)'!$A:$A)-3),"")</f>
        <v>259.127358490566</v>
      </c>
      <c r="AH78" s="155" t="n">
        <f aca="false">IFERROR('Price History'!M3+(INDEX('Price History'!M:M,MATCH(9.99E+307,'Returns (Calc)'!$A:$A)+1)-'Price History'!M3)*(ROW()-3)/(MATCH(9.99E+307,'Returns (Calc)'!$A:$A)-3),"")</f>
        <v>134.604905660377</v>
      </c>
      <c r="AI78" s="155" t="n">
        <f aca="false">IFERROR('Price History'!N3+(INDEX('Price History'!N:N,MATCH(9.99E+307,'Returns (Calc)'!$A:$A)+1)-'Price History'!N3)*(ROW()-3)/(MATCH(9.99E+307,'Returns (Calc)'!$A:$A)-3),"")</f>
        <v>424.928301886792</v>
      </c>
      <c r="AJ78" s="155" t="n">
        <f aca="false">IFERROR('Price History'!O3+(INDEX('Price History'!O:O,MATCH(9.99E+307,'Returns (Calc)'!$A:$A)+1)-'Price History'!O3)*(ROW()-3)/(MATCH(9.99E+307,'Returns (Calc)'!$A:$A)-3),"")</f>
        <v>96.2203773584906</v>
      </c>
      <c r="AK78" s="155" t="n">
        <f aca="false">IFERROR('Price History'!Q3+(INDEX('Price History'!Q:Q,MATCH(9.99E+307,'Returns (Calc)'!$A:$A)+1)-'Price History'!Q3)*(ROW()-3)/(MATCH(9.99E+307,'Returns (Calc)'!$A:$A)-3),"")</f>
        <v>33.0047169811321</v>
      </c>
      <c r="AL78" s="155" t="n">
        <f aca="false">IFERROR('Price History'!R3+(INDEX('Price History'!R:R,MATCH(9.99E+307,'Returns (Calc)'!$A:$A)+1)-'Price History'!R3)*(ROW()-3)/(MATCH(9.99E+307,'Returns (Calc)'!$A:$A)-3),"")</f>
        <v>47.0318867924528</v>
      </c>
      <c r="AM78" s="155" t="n">
        <f aca="false">IFERROR('Price History'!S3+(INDEX('Price History'!S:S,MATCH(9.99E+307,'Returns (Calc)'!$A:$A)+1)-'Price History'!S3)*(ROW()-3)/(MATCH(9.99E+307,'Returns (Calc)'!$A:$A)-3),"")</f>
        <v>101.747924528302</v>
      </c>
      <c r="AN78" s="155" t="n">
        <f aca="false">IFERROR('Price History'!T3+(INDEX('Price History'!T:T,MATCH(9.99E+307,'Returns (Calc)'!$A:$A)+1)-'Price History'!T3)*(ROW()-3)/(MATCH(9.99E+307,'Returns (Calc)'!$A:$A)-3),"")</f>
        <v>38.2324528301887</v>
      </c>
      <c r="AO78" s="156" t="n">
        <f aca="false">IFERROR('Price History'!V3+(INDEX('Price History'!V:V,MATCH(9.99E+307,'Returns (Calc)'!$A:$A)+1)-'Price History'!V3)*(ROW()-3)/(MATCH(9.99E+307,'Returns (Calc)'!$A:$A)-3),"")</f>
        <v>306.299811320755</v>
      </c>
      <c r="AP78" s="154" t="n">
        <f aca="false">IFERROR(IF(OR(NOT(ISNUMBER('Price History'!W79)),NOT(ISNUMBER('Price History'!W78)),'Price History'!W78=0),"",'Price History'!W79/'Price History'!W78-1),"")</f>
        <v>0.00548331505561661</v>
      </c>
      <c r="AQ78" s="154" t="str">
        <f aca="false">IFERROR(IF(OR(NOT(ISNUMBER('Price History'!X79)),NOT(ISNUMBER('Price History'!X78)),'Price History'!X78=0),"",'Price History'!X79/'Price History'!X78-1),"")</f>
        <v/>
      </c>
      <c r="AR78" s="154" t="n">
        <f aca="false">IFERROR(IF(OR(NOT(ISNUMBER('Price History'!Y79)),NOT(ISNUMBER('Price History'!Y78)),'Price History'!Y78=0),"",'Price History'!Y79/'Price History'!Y78-1),"")</f>
        <v>0.00465567410281276</v>
      </c>
      <c r="AS78" s="154" t="n">
        <f aca="false">IFERROR(IF(OR(NOT(ISNUMBER('Price History'!Z79)),NOT(ISNUMBER('Price History'!Z78)),'Price History'!Z78=0),"",'Price History'!Z79/'Price History'!Z78-1),"")</f>
        <v>0.0357828767815627</v>
      </c>
      <c r="AT78" s="154" t="n">
        <f aca="false">IFERROR(IF(OR(NOT(ISNUMBER('Price History'!AA79)),NOT(ISNUMBER('Price History'!AA78)),'Price History'!AA78=0),"",'Price History'!AA79/'Price History'!AA78-1),"")</f>
        <v>-0.0225279106858053</v>
      </c>
      <c r="AU78" s="154" t="n">
        <f aca="false">IFERROR(IF(OR(NOT(ISNUMBER('Price History'!AB79)),NOT(ISNUMBER('Price History'!AB78)),'Price History'!AB78=0),"",'Price History'!AB79/'Price History'!AB78-1),"")</f>
        <v>-0.00730767527348419</v>
      </c>
    </row>
    <row r="79" customFormat="false" ht="15" hidden="false" customHeight="true" outlineLevel="0" collapsed="false">
      <c r="A79" s="152" t="n">
        <f aca="false">IF('Price History'!A80="","",'Price History'!A80)</f>
        <v>45723</v>
      </c>
      <c r="B79" s="153" t="n">
        <f aca="false">IFERROR(IF(OR(NOT(ISNUMBER('Price History'!B80)),NOT(ISNUMBER('Price History'!B79)),'Price History'!B79=0),"",'Price History'!B80/'Price History'!B79-1),"")</f>
        <v>0.0247172564757387</v>
      </c>
      <c r="C79" s="153" t="n">
        <f aca="false">IFERROR(IF(OR(NOT(ISNUMBER('Price History'!C80)),NOT(ISNUMBER('Price History'!C79)),'Price History'!C79=0),"",'Price History'!C80/'Price History'!C79-1),"")</f>
        <v>-0.10413756045137</v>
      </c>
      <c r="D79" s="153" t="n">
        <f aca="false">IFERROR(IF(OR(NOT(ISNUMBER('Price History'!D80)),NOT(ISNUMBER('Price History'!D79)),'Price History'!D79=0),"",'Price History'!D80/'Price History'!D79-1),"")</f>
        <v>0.0326342988479493</v>
      </c>
      <c r="E79" s="153" t="n">
        <f aca="false">IFERROR(IF(OR(NOT(ISNUMBER('Price History'!E80)),NOT(ISNUMBER('Price History'!E79)),'Price History'!E79=0),"",'Price History'!E80/'Price History'!E79-1),"")</f>
        <v>-0.0223850223850224</v>
      </c>
      <c r="F79" s="153" t="n">
        <f aca="false">IFERROR(IF(OR(NOT(ISNUMBER('Price History'!F80)),NOT(ISNUMBER('Price History'!F79)),'Price History'!F79=0),"",'Price History'!F80/'Price History'!F79-1),"")</f>
        <v>-0.144118250872511</v>
      </c>
      <c r="G79" s="153" t="n">
        <f aca="false">IFERROR(IF(OR(NOT(ISNUMBER('Price History'!G80)),NOT(ISNUMBER('Price History'!G79)),'Price History'!G79=0),"",'Price History'!G80/'Price History'!G79-1),"")</f>
        <v>0.00341977771444846</v>
      </c>
      <c r="H79" s="153" t="n">
        <f aca="false">IFERROR(IF(OR(NOT(ISNUMBER('Price History'!H80)),NOT(ISNUMBER('Price History'!H79)),'Price History'!H79=0),"",'Price History'!H80/'Price History'!H79-1),"")</f>
        <v>-0.00718344590972453</v>
      </c>
      <c r="I79" s="153" t="n">
        <f aca="false">IFERROR(IF(OR(NOT(ISNUMBER('Price History'!I80)),NOT(ISNUMBER('Price History'!I79)),'Price History'!I79=0),"",'Price History'!I80/'Price History'!I79-1),"")</f>
        <v>-0.0978409182117345</v>
      </c>
      <c r="J79" s="153" t="n">
        <f aca="false">IFERROR(IF(OR(NOT(ISNUMBER('Price History'!J80)),NOT(ISNUMBER('Price History'!J79)),'Price History'!J79=0),"",'Price History'!J80/'Price History'!J79-1),"")</f>
        <v>-0.032329798152583</v>
      </c>
      <c r="K79" s="153" t="n">
        <f aca="false">IFERROR(IF(OR(NOT(ISNUMBER('Price History'!K80)),NOT(ISNUMBER('Price History'!K79)),'Price History'!K79=0),"",'Price History'!K80/'Price History'!K79-1),"")</f>
        <v>-0.000117757889778636</v>
      </c>
      <c r="L79" s="153" t="n">
        <f aca="false">IFERROR(IF(OR(NOT(ISNUMBER('Price History'!L80)),NOT(ISNUMBER('Price History'!L79)),'Price History'!L79=0),"",'Price History'!L80/'Price History'!L79-1),"")</f>
        <v>-0.0190109765757611</v>
      </c>
      <c r="M79" s="153" t="n">
        <f aca="false">IFERROR(IF(OR(NOT(ISNUMBER('Price History'!M80)),NOT(ISNUMBER('Price History'!M79)),'Price History'!M79=0),"",'Price History'!M80/'Price History'!M79-1),"")</f>
        <v>-0.106454669895757</v>
      </c>
      <c r="N79" s="153" t="n">
        <f aca="false">IFERROR(IF(OR(NOT(ISNUMBER('Price History'!N80)),NOT(ISNUMBER('Price History'!N79)),'Price History'!N79=0),"",'Price History'!N80/'Price History'!N79-1),"")</f>
        <v>0.0177160841201358</v>
      </c>
      <c r="O79" s="153" t="n">
        <f aca="false">IFERROR(IF(OR(NOT(ISNUMBER('Price History'!O80)),NOT(ISNUMBER('Price History'!O79)),'Price History'!O79=0),"",'Price History'!O80/'Price History'!O79-1),"")</f>
        <v>-0.0448916408668731</v>
      </c>
      <c r="P79" s="153" t="n">
        <f aca="false">IFERROR(IF(OR(NOT(ISNUMBER('Price History'!P80)),NOT(ISNUMBER('Price History'!P79)),'Price History'!P79=0),"",'Price History'!P80/'Price History'!P79-1),"")</f>
        <v>-0.0274805634670156</v>
      </c>
      <c r="Q79" s="153" t="n">
        <f aca="false">IFERROR(IF(OR(NOT(ISNUMBER('Price History'!Q80)),NOT(ISNUMBER('Price History'!Q79)),'Price History'!Q79=0),"",'Price History'!Q80/'Price History'!Q79-1),"")</f>
        <v>-0.0174842156386597</v>
      </c>
      <c r="R79" s="153" t="n">
        <f aca="false">IFERROR(IF(OR(NOT(ISNUMBER('Price History'!R80)),NOT(ISNUMBER('Price History'!R79)),'Price History'!R79=0),"",'Price History'!R80/'Price History'!R79-1),"")</f>
        <v>-0.0313988739714163</v>
      </c>
      <c r="S79" s="153" t="n">
        <f aca="false">IFERROR(IF(OR(NOT(ISNUMBER('Price History'!S80)),NOT(ISNUMBER('Price History'!S79)),'Price History'!S79=0),"",'Price History'!S80/'Price History'!S79-1),"")</f>
        <v>-0.0526315789473685</v>
      </c>
      <c r="T79" s="153" t="n">
        <f aca="false">IFERROR(IF(OR(NOT(ISNUMBER('Price History'!T80)),NOT(ISNUMBER('Price History'!T79)),'Price History'!T79=0),"",'Price History'!T80/'Price History'!T79-1),"")</f>
        <v>-0.0142111368909511</v>
      </c>
      <c r="U79" s="153" t="n">
        <f aca="false">IFERROR(IF(OR(NOT(ISNUMBER('Price History'!U80)),NOT(ISNUMBER('Price History'!U79)),'Price History'!U79=0),"",'Price History'!U80/'Price History'!U79-1),"")</f>
        <v>-0.00261194029850742</v>
      </c>
      <c r="V79" s="154" t="n">
        <f aca="false">IFERROR(IF(OR(NOT(ISNUMBER('Price History'!V80)),NOT(ISNUMBER('Price History'!V79)),'Price History'!V79=0),"",'Price History'!V80/'Price History'!V79-1),"")</f>
        <v>-0.047936419408812</v>
      </c>
      <c r="W79" s="155" t="n">
        <f aca="false">IFERROR('Price History'!B3+(INDEX('Price History'!B:B,MATCH(9.99E+307,'Returns (Calc)'!$A:$A)+1)-'Price History'!B3)*(ROW()-3)/(MATCH(9.99E+307,'Returns (Calc)'!$A:$A)-3),"")</f>
        <v>391.889245283019</v>
      </c>
      <c r="X79" s="155" t="n">
        <f aca="false">IFERROR('Price History'!C3+(INDEX('Price History'!C:C,MATCH(9.99E+307,'Returns (Calc)'!$A:$A)+1)-'Price History'!C3)*(ROW()-3)/(MATCH(9.99E+307,'Returns (Calc)'!$A:$A)-3),"")</f>
        <v>127.705534591195</v>
      </c>
      <c r="Y79" s="155" t="n">
        <f aca="false">IFERROR('Price History'!D3+(INDEX('Price History'!D:D,MATCH(9.99E+307,'Returns (Calc)'!$A:$A)+1)-'Price History'!D3)*(ROW()-3)/(MATCH(9.99E+307,'Returns (Calc)'!$A:$A)-3),"")</f>
        <v>1154.79666666667</v>
      </c>
      <c r="Z79" s="155" t="n">
        <f aca="false">IFERROR('Price History'!E3+(INDEX('Price History'!E:E,MATCH(9.99E+307,'Returns (Calc)'!$A:$A)+1)-'Price History'!E3)*(ROW()-3)/(MATCH(9.99E+307,'Returns (Calc)'!$A:$A)-3),"")</f>
        <v>215.616603773585</v>
      </c>
      <c r="AA79" s="155" t="n">
        <f aca="false">IFERROR('Price History'!F3+(INDEX('Price History'!F:F,MATCH(9.99E+307,'Returns (Calc)'!$A:$A)+1)-'Price History'!F3)*(ROW()-3)/(MATCH(9.99E+307,'Returns (Calc)'!$A:$A)-3),"")</f>
        <v>153.056100628931</v>
      </c>
      <c r="AB79" s="155" t="n">
        <f aca="false">IFERROR('Price History'!G3+(INDEX('Price History'!G:G,MATCH(9.99E+307,'Returns (Calc)'!$A:$A)+1)-'Price History'!G3)*(ROW()-3)/(MATCH(9.99E+307,'Returns (Calc)'!$A:$A)-3),"")</f>
        <v>116.631257861635</v>
      </c>
      <c r="AC79" s="155" t="n">
        <f aca="false">IFERROR('Price History'!H3+(INDEX('Price History'!H:H,MATCH(9.99E+307,'Returns (Calc)'!$A:$A)+1)-'Price History'!H3)*(ROW()-3)/(MATCH(9.99E+307,'Returns (Calc)'!$A:$A)-3),"")</f>
        <v>527.92534591195</v>
      </c>
      <c r="AD79" s="155" t="n">
        <f aca="false">IFERROR('Price History'!I3+(INDEX('Price History'!I:I,MATCH(9.99E+307,'Returns (Calc)'!$A:$A)+1)-'Price History'!I3)*(ROW()-3)/(MATCH(9.99E+307,'Returns (Calc)'!$A:$A)-3),"")</f>
        <v>132.441446540881</v>
      </c>
      <c r="AE79" s="155" t="n">
        <f aca="false">IFERROR('Price History'!J3+(INDEX('Price History'!J:J,MATCH(9.99E+307,'Returns (Calc)'!$A:$A)+1)-'Price History'!J3)*(ROW()-3)/(MATCH(9.99E+307,'Returns (Calc)'!$A:$A)-3),"")</f>
        <v>120.276477987421</v>
      </c>
      <c r="AF79" s="155" t="n">
        <f aca="false">IFERROR('Price History'!K3+(INDEX('Price History'!K:K,MATCH(9.99E+307,'Returns (Calc)'!$A:$A)+1)-'Price History'!K3)*(ROW()-3)/(MATCH(9.99E+307,'Returns (Calc)'!$A:$A)-3),"")</f>
        <v>107.92572327044</v>
      </c>
      <c r="AG79" s="155" t="n">
        <f aca="false">IFERROR('Price History'!L3+(INDEX('Price History'!L:L,MATCH(9.99E+307,'Returns (Calc)'!$A:$A)+1)-'Price History'!L3)*(ROW()-3)/(MATCH(9.99E+307,'Returns (Calc)'!$A:$A)-3),"")</f>
        <v>261.439056603774</v>
      </c>
      <c r="AH79" s="155" t="n">
        <f aca="false">IFERROR('Price History'!M3+(INDEX('Price History'!M:M,MATCH(9.99E+307,'Returns (Calc)'!$A:$A)+1)-'Price History'!M3)*(ROW()-3)/(MATCH(9.99E+307,'Returns (Calc)'!$A:$A)-3),"")</f>
        <v>135.892704402516</v>
      </c>
      <c r="AI79" s="155" t="n">
        <f aca="false">IFERROR('Price History'!N3+(INDEX('Price History'!N:N,MATCH(9.99E+307,'Returns (Calc)'!$A:$A)+1)-'Price History'!N3)*(ROW()-3)/(MATCH(9.99E+307,'Returns (Calc)'!$A:$A)-3),"")</f>
        <v>425.942012578616</v>
      </c>
      <c r="AJ79" s="155" t="n">
        <f aca="false">IFERROR('Price History'!O3+(INDEX('Price History'!O:O,MATCH(9.99E+307,'Returns (Calc)'!$A:$A)+1)-'Price History'!O3)*(ROW()-3)/(MATCH(9.99E+307,'Returns (Calc)'!$A:$A)-3),"")</f>
        <v>96.4991823899371</v>
      </c>
      <c r="AK79" s="155" t="n">
        <f aca="false">IFERROR('Price History'!Q3+(INDEX('Price History'!Q:Q,MATCH(9.99E+307,'Returns (Calc)'!$A:$A)+1)-'Price History'!Q3)*(ROW()-3)/(MATCH(9.99E+307,'Returns (Calc)'!$A:$A)-3),"")</f>
        <v>33.4447798742138</v>
      </c>
      <c r="AL79" s="155" t="n">
        <f aca="false">IFERROR('Price History'!R3+(INDEX('Price History'!R:R,MATCH(9.99E+307,'Returns (Calc)'!$A:$A)+1)-'Price History'!R3)*(ROW()-3)/(MATCH(9.99E+307,'Returns (Calc)'!$A:$A)-3),"")</f>
        <v>47.1992452830189</v>
      </c>
      <c r="AM79" s="155" t="n">
        <f aca="false">IFERROR('Price History'!S3+(INDEX('Price History'!S:S,MATCH(9.99E+307,'Returns (Calc)'!$A:$A)+1)-'Price History'!S3)*(ROW()-3)/(MATCH(9.99E+307,'Returns (Calc)'!$A:$A)-3),"")</f>
        <v>102.336163522013</v>
      </c>
      <c r="AN79" s="155" t="n">
        <f aca="false">IFERROR('Price History'!T3+(INDEX('Price History'!T:T,MATCH(9.99E+307,'Returns (Calc)'!$A:$A)+1)-'Price History'!T3)*(ROW()-3)/(MATCH(9.99E+307,'Returns (Calc)'!$A:$A)-3),"")</f>
        <v>38.4063522012579</v>
      </c>
      <c r="AO79" s="156" t="n">
        <f aca="false">IFERROR('Price History'!V3+(INDEX('Price History'!V:V,MATCH(9.99E+307,'Returns (Calc)'!$A:$A)+1)-'Price History'!V3)*(ROW()-3)/(MATCH(9.99E+307,'Returns (Calc)'!$A:$A)-3),"")</f>
        <v>307.242075471698</v>
      </c>
      <c r="AP79" s="154" t="n">
        <f aca="false">IFERROR(IF(OR(NOT(ISNUMBER('Price History'!W80)),NOT(ISNUMBER('Price History'!W79)),'Price History'!W79=0),"",'Price History'!W80/'Price History'!W79-1),"")</f>
        <v>-0.0210345902150204</v>
      </c>
      <c r="AQ79" s="154" t="str">
        <f aca="false">IFERROR(IF(OR(NOT(ISNUMBER('Price History'!X80)),NOT(ISNUMBER('Price History'!X79)),'Price History'!X79=0),"",'Price History'!X80/'Price History'!X79-1),"")</f>
        <v/>
      </c>
      <c r="AR79" s="154" t="n">
        <f aca="false">IFERROR(IF(OR(NOT(ISNUMBER('Price History'!Y80)),NOT(ISNUMBER('Price History'!Y79)),'Price History'!Y79=0),"",'Price History'!Y80/'Price History'!Y79-1),"")</f>
        <v>-0.014867735083993</v>
      </c>
      <c r="AS79" s="154" t="n">
        <f aca="false">IFERROR(IF(OR(NOT(ISNUMBER('Price History'!Z80)),NOT(ISNUMBER('Price History'!Z79)),'Price History'!Z79=0),"",'Price History'!Z80/'Price History'!Z79-1),"")</f>
        <v>-0.0634331999609642</v>
      </c>
      <c r="AT79" s="154" t="n">
        <f aca="false">IFERROR(IF(OR(NOT(ISNUMBER('Price History'!AA80)),NOT(ISNUMBER('Price History'!AA79)),'Price History'!AA79=0),"",'Price History'!AA80/'Price History'!AA79-1),"")</f>
        <v>-0.0912706506220682</v>
      </c>
      <c r="AU79" s="154" t="n">
        <f aca="false">IFERROR(IF(OR(NOT(ISNUMBER('Price History'!AB80)),NOT(ISNUMBER('Price History'!AB79)),'Price History'!AB79=0),"",'Price History'!AB80/'Price History'!AB79-1),"")</f>
        <v>0.101097528330508</v>
      </c>
    </row>
    <row r="80" customFormat="false" ht="15" hidden="false" customHeight="true" outlineLevel="0" collapsed="false">
      <c r="A80" s="152" t="n">
        <f aca="false">IF('Price History'!A81="","",'Price History'!A81)</f>
        <v>45730</v>
      </c>
      <c r="B80" s="153" t="n">
        <f aca="false">IFERROR(IF(OR(NOT(ISNUMBER('Price History'!B81)),NOT(ISNUMBER('Price History'!B80)),'Price History'!B80=0),"",'Price History'!B81/'Price History'!B80-1),"")</f>
        <v>-0.121628838451268</v>
      </c>
      <c r="C80" s="153" t="n">
        <f aca="false">IFERROR(IF(OR(NOT(ISNUMBER('Price History'!C81)),NOT(ISNUMBER('Price History'!C80)),'Price History'!C80=0),"",'Price History'!C81/'Price History'!C80-1),"")</f>
        <v>0.00179942418426116</v>
      </c>
      <c r="D80" s="153" t="n">
        <f aca="false">IFERROR(IF(OR(NOT(ISNUMBER('Price History'!D81)),NOT(ISNUMBER('Price History'!D80)),'Price History'!D80=0),"",'Price History'!D81/'Price History'!D80-1),"")</f>
        <v>-0.0248842192576207</v>
      </c>
      <c r="E80" s="153" t="n">
        <f aca="false">IFERROR(IF(OR(NOT(ISNUMBER('Price History'!E81)),NOT(ISNUMBER('Price History'!E80)),'Price History'!E80=0),"",'Price History'!E81/'Price History'!E80-1),"")</f>
        <v>0.00296627810158201</v>
      </c>
      <c r="F80" s="153" t="n">
        <f aca="false">IFERROR(IF(OR(NOT(ISNUMBER('Price History'!F81)),NOT(ISNUMBER('Price History'!F80)),'Price History'!F80=0),"",'Price History'!F81/'Price History'!F80-1),"")</f>
        <v>0.0605660829935237</v>
      </c>
      <c r="G80" s="153" t="n">
        <f aca="false">IFERROR(IF(OR(NOT(ISNUMBER('Price History'!G81)),NOT(ISNUMBER('Price History'!G80)),'Price History'!G80=0),"",'Price History'!G81/'Price History'!G80-1),"")</f>
        <v>0.00241408690712874</v>
      </c>
      <c r="H80" s="153" t="n">
        <f aca="false">IFERROR(IF(OR(NOT(ISNUMBER('Price History'!H81)),NOT(ISNUMBER('Price History'!H80)),'Price History'!H80=0),"",'Price History'!H81/'Price History'!H80-1),"")</f>
        <v>0.084233261339093</v>
      </c>
      <c r="I80" s="153" t="n">
        <f aca="false">IFERROR(IF(OR(NOT(ISNUMBER('Price History'!I81)),NOT(ISNUMBER('Price History'!I80)),'Price History'!I80=0),"",'Price History'!I81/'Price History'!I80-1),"")</f>
        <v>0.079715302491103</v>
      </c>
      <c r="J80" s="153" t="n">
        <f aca="false">IFERROR(IF(OR(NOT(ISNUMBER('Price History'!J81)),NOT(ISNUMBER('Price History'!J80)),'Price History'!J80=0),"",'Price History'!J81/'Price History'!J80-1),"")</f>
        <v>-0.0669082552589713</v>
      </c>
      <c r="K80" s="153" t="n">
        <f aca="false">IFERROR(IF(OR(NOT(ISNUMBER('Price History'!K81)),NOT(ISNUMBER('Price History'!K80)),'Price History'!K80=0),"",'Price History'!K81/'Price History'!K80-1),"")</f>
        <v>0.0156636438582027</v>
      </c>
      <c r="L80" s="153" t="n">
        <f aca="false">IFERROR(IF(OR(NOT(ISNUMBER('Price History'!L81)),NOT(ISNUMBER('Price History'!L80)),'Price History'!L80=0),"",'Price History'!L81/'Price History'!L80-1),"")</f>
        <v>-0.0169569731226208</v>
      </c>
      <c r="M80" s="153" t="n">
        <f aca="false">IFERROR(IF(OR(NOT(ISNUMBER('Price History'!M81)),NOT(ISNUMBER('Price History'!M80)),'Price History'!M80=0),"",'Price History'!M81/'Price History'!M80-1),"")</f>
        <v>0.0283997171812396</v>
      </c>
      <c r="N80" s="153" t="n">
        <f aca="false">IFERROR(IF(OR(NOT(ISNUMBER('Price History'!N81)),NOT(ISNUMBER('Price History'!N80)),'Price History'!N80=0),"",'Price History'!N81/'Price History'!N80-1),"")</f>
        <v>0.0337504351922013</v>
      </c>
      <c r="O80" s="153" t="n">
        <f aca="false">IFERROR(IF(OR(NOT(ISNUMBER('Price History'!O81)),NOT(ISNUMBER('Price History'!O80)),'Price History'!O80=0),"",'Price History'!O81/'Price History'!O80-1),"")</f>
        <v>-0.0187543412827043</v>
      </c>
      <c r="P80" s="153" t="n">
        <f aca="false">IFERROR(IF(OR(NOT(ISNUMBER('Price History'!P81)),NOT(ISNUMBER('Price History'!P80)),'Price History'!P80=0),"",'Price History'!P81/'Price History'!P80-1),"")</f>
        <v>-0.00839005857210706</v>
      </c>
      <c r="Q80" s="153" t="n">
        <f aca="false">IFERROR(IF(OR(NOT(ISNUMBER('Price History'!Q81)),NOT(ISNUMBER('Price History'!Q80)),'Price History'!Q80=0),"",'Price History'!Q81/'Price History'!Q80-1),"")</f>
        <v>-0.0141703740319657</v>
      </c>
      <c r="R80" s="153" t="n">
        <f aca="false">IFERROR(IF(OR(NOT(ISNUMBER('Price History'!R81)),NOT(ISNUMBER('Price History'!R80)),'Price History'!R80=0),"",'Price History'!R81/'Price History'!R80-1),"")</f>
        <v>-0.0212385423653029</v>
      </c>
      <c r="S80" s="153" t="n">
        <f aca="false">IFERROR(IF(OR(NOT(ISNUMBER('Price History'!S81)),NOT(ISNUMBER('Price History'!S80)),'Price History'!S80=0),"",'Price History'!S81/'Price History'!S80-1),"")</f>
        <v>-0.0071857571857572</v>
      </c>
      <c r="T80" s="153" t="n">
        <f aca="false">IFERROR(IF(OR(NOT(ISNUMBER('Price History'!T81)),NOT(ISNUMBER('Price History'!T80)),'Price History'!T80=0),"",'Price History'!T81/'Price History'!T80-1),"")</f>
        <v>-0.0188290673727567</v>
      </c>
      <c r="U80" s="153" t="n">
        <f aca="false">IFERROR(IF(OR(NOT(ISNUMBER('Price History'!U81)),NOT(ISNUMBER('Price History'!U80)),'Price History'!U80=0),"",'Price History'!U81/'Price History'!U80-1),"")</f>
        <v>-0.0288065843621399</v>
      </c>
      <c r="V80" s="154" t="n">
        <f aca="false">IFERROR(IF(OR(NOT(ISNUMBER('Price History'!V81)),NOT(ISNUMBER('Price History'!V80)),'Price History'!V80=0),"",'Price History'!V81/'Price History'!V80-1),"")</f>
        <v>-0.039161125918983</v>
      </c>
      <c r="W80" s="155" t="n">
        <f aca="false">IFERROR('Price History'!B3+(INDEX('Price History'!B:B,MATCH(9.99E+307,'Returns (Calc)'!$A:$A)+1)-'Price History'!B3)*(ROW()-3)/(MATCH(9.99E+307,'Returns (Calc)'!$A:$A)-3),"")</f>
        <v>390.086603773585</v>
      </c>
      <c r="X80" s="155" t="n">
        <f aca="false">IFERROR('Price History'!C3+(INDEX('Price History'!C:C,MATCH(9.99E+307,'Returns (Calc)'!$A:$A)+1)-'Price History'!C3)*(ROW()-3)/(MATCH(9.99E+307,'Returns (Calc)'!$A:$A)-3),"")</f>
        <v>128.778238993711</v>
      </c>
      <c r="Y80" s="155" t="n">
        <f aca="false">IFERROR('Price History'!D3+(INDEX('Price History'!D:D,MATCH(9.99E+307,'Returns (Calc)'!$A:$A)+1)-'Price History'!D3)*(ROW()-3)/(MATCH(9.99E+307,'Returns (Calc)'!$A:$A)-3),"")</f>
        <v>1162.33333333333</v>
      </c>
      <c r="Z80" s="155" t="n">
        <f aca="false">IFERROR('Price History'!E3+(INDEX('Price History'!E:E,MATCH(9.99E+307,'Returns (Calc)'!$A:$A)+1)-'Price History'!E3)*(ROW()-3)/(MATCH(9.99E+307,'Returns (Calc)'!$A:$A)-3),"")</f>
        <v>217.374716981132</v>
      </c>
      <c r="AA80" s="155" t="n">
        <f aca="false">IFERROR('Price History'!F3+(INDEX('Price History'!F:F,MATCH(9.99E+307,'Returns (Calc)'!$A:$A)+1)-'Price History'!F3)*(ROW()-3)/(MATCH(9.99E+307,'Returns (Calc)'!$A:$A)-3),"")</f>
        <v>154.525786163522</v>
      </c>
      <c r="AB80" s="155" t="n">
        <f aca="false">IFERROR('Price History'!G3+(INDEX('Price History'!G:G,MATCH(9.99E+307,'Returns (Calc)'!$A:$A)+1)-'Price History'!G3)*(ROW()-3)/(MATCH(9.99E+307,'Returns (Calc)'!$A:$A)-3),"")</f>
        <v>117.582327044025</v>
      </c>
      <c r="AC80" s="155" t="n">
        <f aca="false">IFERROR('Price History'!H3+(INDEX('Price History'!H:H,MATCH(9.99E+307,'Returns (Calc)'!$A:$A)+1)-'Price History'!H3)*(ROW()-3)/(MATCH(9.99E+307,'Returns (Calc)'!$A:$A)-3),"")</f>
        <v>533.962389937107</v>
      </c>
      <c r="AD80" s="155" t="n">
        <f aca="false">IFERROR('Price History'!I3+(INDEX('Price History'!I:I,MATCH(9.99E+307,'Returns (Calc)'!$A:$A)+1)-'Price History'!I3)*(ROW()-3)/(MATCH(9.99E+307,'Returns (Calc)'!$A:$A)-3),"")</f>
        <v>133.608176100629</v>
      </c>
      <c r="AE80" s="155" t="n">
        <f aca="false">IFERROR('Price History'!J3+(INDEX('Price History'!J:J,MATCH(9.99E+307,'Returns (Calc)'!$A:$A)+1)-'Price History'!J3)*(ROW()-3)/(MATCH(9.99E+307,'Returns (Calc)'!$A:$A)-3),"")</f>
        <v>120.38748427673</v>
      </c>
      <c r="AF80" s="155" t="n">
        <f aca="false">IFERROR('Price History'!K3+(INDEX('Price History'!K:K,MATCH(9.99E+307,'Returns (Calc)'!$A:$A)+1)-'Price History'!K3)*(ROW()-3)/(MATCH(9.99E+307,'Returns (Calc)'!$A:$A)-3),"")</f>
        <v>109.144088050314</v>
      </c>
      <c r="AG80" s="155" t="n">
        <f aca="false">IFERROR('Price History'!L3+(INDEX('Price History'!L:L,MATCH(9.99E+307,'Returns (Calc)'!$A:$A)+1)-'Price History'!L3)*(ROW()-3)/(MATCH(9.99E+307,'Returns (Calc)'!$A:$A)-3),"")</f>
        <v>263.750754716981</v>
      </c>
      <c r="AH80" s="155" t="n">
        <f aca="false">IFERROR('Price History'!M3+(INDEX('Price History'!M:M,MATCH(9.99E+307,'Returns (Calc)'!$A:$A)+1)-'Price History'!M3)*(ROW()-3)/(MATCH(9.99E+307,'Returns (Calc)'!$A:$A)-3),"")</f>
        <v>137.180503144654</v>
      </c>
      <c r="AI80" s="155" t="n">
        <f aca="false">IFERROR('Price History'!N3+(INDEX('Price History'!N:N,MATCH(9.99E+307,'Returns (Calc)'!$A:$A)+1)-'Price History'!N3)*(ROW()-3)/(MATCH(9.99E+307,'Returns (Calc)'!$A:$A)-3),"")</f>
        <v>426.95572327044</v>
      </c>
      <c r="AJ80" s="155" t="n">
        <f aca="false">IFERROR('Price History'!O3+(INDEX('Price History'!O:O,MATCH(9.99E+307,'Returns (Calc)'!$A:$A)+1)-'Price History'!O3)*(ROW()-3)/(MATCH(9.99E+307,'Returns (Calc)'!$A:$A)-3),"")</f>
        <v>96.7779874213836</v>
      </c>
      <c r="AK80" s="155" t="n">
        <f aca="false">IFERROR('Price History'!Q3+(INDEX('Price History'!Q:Q,MATCH(9.99E+307,'Returns (Calc)'!$A:$A)+1)-'Price History'!Q3)*(ROW()-3)/(MATCH(9.99E+307,'Returns (Calc)'!$A:$A)-3),"")</f>
        <v>33.8848427672956</v>
      </c>
      <c r="AL80" s="155" t="n">
        <f aca="false">IFERROR('Price History'!R3+(INDEX('Price History'!R:R,MATCH(9.99E+307,'Returns (Calc)'!$A:$A)+1)-'Price History'!R3)*(ROW()-3)/(MATCH(9.99E+307,'Returns (Calc)'!$A:$A)-3),"")</f>
        <v>47.3666037735849</v>
      </c>
      <c r="AM80" s="155" t="n">
        <f aca="false">IFERROR('Price History'!S3+(INDEX('Price History'!S:S,MATCH(9.99E+307,'Returns (Calc)'!$A:$A)+1)-'Price History'!S3)*(ROW()-3)/(MATCH(9.99E+307,'Returns (Calc)'!$A:$A)-3),"")</f>
        <v>102.924402515723</v>
      </c>
      <c r="AN80" s="155" t="n">
        <f aca="false">IFERROR('Price History'!T3+(INDEX('Price History'!T:T,MATCH(9.99E+307,'Returns (Calc)'!$A:$A)+1)-'Price History'!T3)*(ROW()-3)/(MATCH(9.99E+307,'Returns (Calc)'!$A:$A)-3),"")</f>
        <v>38.580251572327</v>
      </c>
      <c r="AO80" s="156" t="n">
        <f aca="false">IFERROR('Price History'!V3+(INDEX('Price History'!V:V,MATCH(9.99E+307,'Returns (Calc)'!$A:$A)+1)-'Price History'!V3)*(ROW()-3)/(MATCH(9.99E+307,'Returns (Calc)'!$A:$A)-3),"")</f>
        <v>308.184339622642</v>
      </c>
      <c r="AP80" s="154" t="n">
        <f aca="false">IFERROR(IF(OR(NOT(ISNUMBER('Price History'!W81)),NOT(ISNUMBER('Price History'!W80)),'Price History'!W80=0),"",'Price History'!W81/'Price History'!W80-1),"")</f>
        <v>-0.0224415088333598</v>
      </c>
      <c r="AQ80" s="154" t="str">
        <f aca="false">IFERROR(IF(OR(NOT(ISNUMBER('Price History'!X81)),NOT(ISNUMBER('Price History'!X80)),'Price History'!X80=0),"",'Price History'!X81/'Price History'!X80-1),"")</f>
        <v/>
      </c>
      <c r="AR80" s="154" t="n">
        <f aca="false">IFERROR(IF(OR(NOT(ISNUMBER('Price History'!Y81)),NOT(ISNUMBER('Price History'!Y80)),'Price History'!Y80=0),"",'Price History'!Y81/'Price History'!Y80-1),"")</f>
        <v>-0.0213641709133674</v>
      </c>
      <c r="AS80" s="154" t="n">
        <f aca="false">IFERROR(IF(OR(NOT(ISNUMBER('Price History'!Z81)),NOT(ISNUMBER('Price History'!Z80)),'Price History'!Z80=0),"",'Price History'!Z81/'Price History'!Z80-1),"")</f>
        <v>0.0187037615921641</v>
      </c>
      <c r="AT80" s="154" t="n">
        <f aca="false">IFERROR(IF(OR(NOT(ISNUMBER('Price History'!AA81)),NOT(ISNUMBER('Price History'!AA80)),'Price History'!AA80=0),"",'Price History'!AA81/'Price History'!AA80-1),"")</f>
        <v>0.0301874088205589</v>
      </c>
      <c r="AU80" s="154" t="n">
        <f aca="false">IFERROR(IF(OR(NOT(ISNUMBER('Price History'!AB81)),NOT(ISNUMBER('Price History'!AB80)),'Price History'!AB80=0),"",'Price History'!AB81/'Price History'!AB80-1),"")</f>
        <v>-0.0516207455429498</v>
      </c>
    </row>
    <row r="81" customFormat="false" ht="15" hidden="false" customHeight="true" outlineLevel="0" collapsed="false">
      <c r="A81" s="152" t="n">
        <f aca="false">IF('Price History'!A82="","",'Price History'!A82)</f>
        <v>45737</v>
      </c>
      <c r="B81" s="153" t="n">
        <f aca="false">IFERROR(IF(OR(NOT(ISNUMBER('Price History'!B82)),NOT(ISNUMBER('Price History'!B81)),'Price History'!B81=0),"",'Price History'!B82/'Price History'!B81-1),"")</f>
        <v>-0.0189491817398795</v>
      </c>
      <c r="C81" s="153" t="n">
        <f aca="false">IFERROR(IF(OR(NOT(ISNUMBER('Price History'!C82)),NOT(ISNUMBER('Price History'!C81)),'Price History'!C81=0),"",'Price History'!C82/'Price History'!C81-1),"")</f>
        <v>-0.00455035325110775</v>
      </c>
      <c r="D81" s="153" t="n">
        <f aca="false">IFERROR(IF(OR(NOT(ISNUMBER('Price History'!D82)),NOT(ISNUMBER('Price History'!D81)),'Price History'!D81=0),"",'Price History'!D82/'Price History'!D81-1),"")</f>
        <v>0.00310484156801572</v>
      </c>
      <c r="E81" s="153" t="n">
        <f aca="false">IFERROR(IF(OR(NOT(ISNUMBER('Price History'!E82)),NOT(ISNUMBER('Price History'!E81)),'Price History'!E81=0),"",'Price History'!E82/'Price History'!E81-1),"")</f>
        <v>-0.0169148549784672</v>
      </c>
      <c r="F81" s="153" t="n">
        <f aca="false">IFERROR(IF(OR(NOT(ISNUMBER('Price History'!F82)),NOT(ISNUMBER('Price History'!F81)),'Price History'!F81=0),"",'Price History'!F82/'Price History'!F81-1),"")</f>
        <v>0.0240868483546308</v>
      </c>
      <c r="G81" s="153" t="n">
        <f aca="false">IFERROR(IF(OR(NOT(ISNUMBER('Price History'!G82)),NOT(ISNUMBER('Price History'!G81)),'Price History'!G81=0),"",'Price History'!G82/'Price History'!G81-1),"")</f>
        <v>-0.00906644000566659</v>
      </c>
      <c r="H81" s="153" t="n">
        <f aca="false">IFERROR(IF(OR(NOT(ISNUMBER('Price History'!H82)),NOT(ISNUMBER('Price History'!H81)),'Price History'!H81=0),"",'Price History'!H82/'Price History'!H81-1),"")</f>
        <v>-0.0601593625498008</v>
      </c>
      <c r="I81" s="153" t="n">
        <f aca="false">IFERROR(IF(OR(NOT(ISNUMBER('Price History'!I82)),NOT(ISNUMBER('Price History'!I81)),'Price History'!I81=0),"",'Price History'!I82/'Price History'!I81-1),"")</f>
        <v>-0.0326301911667765</v>
      </c>
      <c r="J81" s="153" t="n">
        <f aca="false">IFERROR(IF(OR(NOT(ISNUMBER('Price History'!J82)),NOT(ISNUMBER('Price History'!J81)),'Price History'!J81=0),"",'Price History'!J82/'Price History'!J81-1),"")</f>
        <v>-0.0223548356540684</v>
      </c>
      <c r="K81" s="153" t="n">
        <f aca="false">IFERROR(IF(OR(NOT(ISNUMBER('Price History'!K82)),NOT(ISNUMBER('Price History'!K81)),'Price History'!K81=0),"",'Price History'!K82/'Price History'!K81-1),"")</f>
        <v>0.0547309833024119</v>
      </c>
      <c r="L81" s="153" t="n">
        <f aca="false">IFERROR(IF(OR(NOT(ISNUMBER('Price History'!L82)),NOT(ISNUMBER('Price History'!L81)),'Price History'!L81=0),"",'Price History'!L82/'Price History'!L81-1),"")</f>
        <v>0.01906829382774</v>
      </c>
      <c r="M81" s="153" t="n">
        <f aca="false">IFERROR(IF(OR(NOT(ISNUMBER('Price History'!M82)),NOT(ISNUMBER('Price History'!M81)),'Price History'!M81=0),"",'Price History'!M82/'Price History'!M81-1),"")</f>
        <v>0.0138650166151026</v>
      </c>
      <c r="N81" s="153" t="n">
        <f aca="false">IFERROR(IF(OR(NOT(ISNUMBER('Price History'!N82)),NOT(ISNUMBER('Price History'!N81)),'Price History'!N81=0),"",'Price History'!N82/'Price History'!N81-1),"")</f>
        <v>-0.00311032747588014</v>
      </c>
      <c r="O81" s="153" t="n">
        <f aca="false">IFERROR(IF(OR(NOT(ISNUMBER('Price History'!O82)),NOT(ISNUMBER('Price History'!O81)),'Price History'!O81=0),"",'Price History'!O82/'Price History'!O81-1),"")</f>
        <v>0.00967437470504939</v>
      </c>
      <c r="P81" s="153" t="n">
        <f aca="false">IFERROR(IF(OR(NOT(ISNUMBER('Price History'!P82)),NOT(ISNUMBER('Price History'!P81)),'Price History'!P81=0),"",'Price History'!P82/'Price History'!P81-1),"")</f>
        <v>0.00478927203065127</v>
      </c>
      <c r="Q81" s="153" t="n">
        <f aca="false">IFERROR(IF(OR(NOT(ISNUMBER('Price History'!Q82)),NOT(ISNUMBER('Price History'!Q81)),'Price History'!Q81=0),"",'Price History'!Q82/'Price History'!Q81-1),"")</f>
        <v>-0.00200568276784219</v>
      </c>
      <c r="R81" s="153" t="n">
        <f aca="false">IFERROR(IF(OR(NOT(ISNUMBER('Price History'!R82)),NOT(ISNUMBER('Price History'!R81)),'Price History'!R81=0),"",'Price History'!R82/'Price History'!R81-1),"")</f>
        <v>0.00365463682046596</v>
      </c>
      <c r="S81" s="153" t="n">
        <f aca="false">IFERROR(IF(OR(NOT(ISNUMBER('Price History'!S82)),NOT(ISNUMBER('Price History'!S81)),'Price History'!S81=0),"",'Price History'!S82/'Price History'!S81-1),"")</f>
        <v>0.0037809225451011</v>
      </c>
      <c r="T81" s="153" t="n">
        <f aca="false">IFERROR(IF(OR(NOT(ISNUMBER('Price History'!T82)),NOT(ISNUMBER('Price History'!T81)),'Price History'!T81=0),"",'Price History'!T82/'Price History'!T81-1),"")</f>
        <v>0.0167916041979008</v>
      </c>
      <c r="U81" s="153" t="n">
        <f aca="false">IFERROR(IF(OR(NOT(ISNUMBER('Price History'!U82)),NOT(ISNUMBER('Price History'!U81)),'Price History'!U81=0),"",'Price History'!U82/'Price History'!U81-1),"")</f>
        <v>0.00423728813559321</v>
      </c>
      <c r="V81" s="154" t="n">
        <f aca="false">IFERROR(IF(OR(NOT(ISNUMBER('Price History'!V82)),NOT(ISNUMBER('Price History'!V81)),'Price History'!V81=0),"",'Price History'!V82/'Price History'!V81-1),"")</f>
        <v>0.0116449213510548</v>
      </c>
      <c r="W81" s="155" t="n">
        <f aca="false">IFERROR('Price History'!B3+(INDEX('Price History'!B:B,MATCH(9.99E+307,'Returns (Calc)'!$A:$A)+1)-'Price History'!B3)*(ROW()-3)/(MATCH(9.99E+307,'Returns (Calc)'!$A:$A)-3),"")</f>
        <v>388.283962264151</v>
      </c>
      <c r="X81" s="155" t="n">
        <f aca="false">IFERROR('Price History'!C3+(INDEX('Price History'!C:C,MATCH(9.99E+307,'Returns (Calc)'!$A:$A)+1)-'Price History'!C3)*(ROW()-3)/(MATCH(9.99E+307,'Returns (Calc)'!$A:$A)-3),"")</f>
        <v>129.850943396226</v>
      </c>
      <c r="Y81" s="155" t="n">
        <f aca="false">IFERROR('Price History'!D3+(INDEX('Price History'!D:D,MATCH(9.99E+307,'Returns (Calc)'!$A:$A)+1)-'Price History'!D3)*(ROW()-3)/(MATCH(9.99E+307,'Returns (Calc)'!$A:$A)-3),"")</f>
        <v>1169.87</v>
      </c>
      <c r="Z81" s="155" t="n">
        <f aca="false">IFERROR('Price History'!E3+(INDEX('Price History'!E:E,MATCH(9.99E+307,'Returns (Calc)'!$A:$A)+1)-'Price History'!E3)*(ROW()-3)/(MATCH(9.99E+307,'Returns (Calc)'!$A:$A)-3),"")</f>
        <v>219.132830188679</v>
      </c>
      <c r="AA81" s="155" t="n">
        <f aca="false">IFERROR('Price History'!F3+(INDEX('Price History'!F:F,MATCH(9.99E+307,'Returns (Calc)'!$A:$A)+1)-'Price History'!F3)*(ROW()-3)/(MATCH(9.99E+307,'Returns (Calc)'!$A:$A)-3),"")</f>
        <v>155.995471698113</v>
      </c>
      <c r="AB81" s="155" t="n">
        <f aca="false">IFERROR('Price History'!G3+(INDEX('Price History'!G:G,MATCH(9.99E+307,'Returns (Calc)'!$A:$A)+1)-'Price History'!G3)*(ROW()-3)/(MATCH(9.99E+307,'Returns (Calc)'!$A:$A)-3),"")</f>
        <v>118.533396226415</v>
      </c>
      <c r="AC81" s="155" t="n">
        <f aca="false">IFERROR('Price History'!H3+(INDEX('Price History'!H:H,MATCH(9.99E+307,'Returns (Calc)'!$A:$A)+1)-'Price History'!H3)*(ROW()-3)/(MATCH(9.99E+307,'Returns (Calc)'!$A:$A)-3),"")</f>
        <v>539.999433962264</v>
      </c>
      <c r="AD81" s="155" t="n">
        <f aca="false">IFERROR('Price History'!I3+(INDEX('Price History'!I:I,MATCH(9.99E+307,'Returns (Calc)'!$A:$A)+1)-'Price History'!I3)*(ROW()-3)/(MATCH(9.99E+307,'Returns (Calc)'!$A:$A)-3),"")</f>
        <v>134.774905660377</v>
      </c>
      <c r="AE81" s="155" t="n">
        <f aca="false">IFERROR('Price History'!J3+(INDEX('Price History'!J:J,MATCH(9.99E+307,'Returns (Calc)'!$A:$A)+1)-'Price History'!J3)*(ROW()-3)/(MATCH(9.99E+307,'Returns (Calc)'!$A:$A)-3),"")</f>
        <v>120.498490566038</v>
      </c>
      <c r="AF81" s="155" t="n">
        <f aca="false">IFERROR('Price History'!K3+(INDEX('Price History'!K:K,MATCH(9.99E+307,'Returns (Calc)'!$A:$A)+1)-'Price History'!K3)*(ROW()-3)/(MATCH(9.99E+307,'Returns (Calc)'!$A:$A)-3),"")</f>
        <v>110.362452830189</v>
      </c>
      <c r="AG81" s="155" t="n">
        <f aca="false">IFERROR('Price History'!L3+(INDEX('Price History'!L:L,MATCH(9.99E+307,'Returns (Calc)'!$A:$A)+1)-'Price History'!L3)*(ROW()-3)/(MATCH(9.99E+307,'Returns (Calc)'!$A:$A)-3),"")</f>
        <v>266.062452830189</v>
      </c>
      <c r="AH81" s="155" t="n">
        <f aca="false">IFERROR('Price History'!M3+(INDEX('Price History'!M:M,MATCH(9.99E+307,'Returns (Calc)'!$A:$A)+1)-'Price History'!M3)*(ROW()-3)/(MATCH(9.99E+307,'Returns (Calc)'!$A:$A)-3),"")</f>
        <v>138.468301886792</v>
      </c>
      <c r="AI81" s="155" t="n">
        <f aca="false">IFERROR('Price History'!N3+(INDEX('Price History'!N:N,MATCH(9.99E+307,'Returns (Calc)'!$A:$A)+1)-'Price History'!N3)*(ROW()-3)/(MATCH(9.99E+307,'Returns (Calc)'!$A:$A)-3),"")</f>
        <v>427.969433962264</v>
      </c>
      <c r="AJ81" s="155" t="n">
        <f aca="false">IFERROR('Price History'!O3+(INDEX('Price History'!O:O,MATCH(9.99E+307,'Returns (Calc)'!$A:$A)+1)-'Price History'!O3)*(ROW()-3)/(MATCH(9.99E+307,'Returns (Calc)'!$A:$A)-3),"")</f>
        <v>97.0567924528302</v>
      </c>
      <c r="AK81" s="155" t="n">
        <f aca="false">IFERROR('Price History'!Q3+(INDEX('Price History'!Q:Q,MATCH(9.99E+307,'Returns (Calc)'!$A:$A)+1)-'Price History'!Q3)*(ROW()-3)/(MATCH(9.99E+307,'Returns (Calc)'!$A:$A)-3),"")</f>
        <v>34.3249056603774</v>
      </c>
      <c r="AL81" s="155" t="n">
        <f aca="false">IFERROR('Price History'!R3+(INDEX('Price History'!R:R,MATCH(9.99E+307,'Returns (Calc)'!$A:$A)+1)-'Price History'!R3)*(ROW()-3)/(MATCH(9.99E+307,'Returns (Calc)'!$A:$A)-3),"")</f>
        <v>47.5339622641509</v>
      </c>
      <c r="AM81" s="155" t="n">
        <f aca="false">IFERROR('Price History'!S3+(INDEX('Price History'!S:S,MATCH(9.99E+307,'Returns (Calc)'!$A:$A)+1)-'Price History'!S3)*(ROW()-3)/(MATCH(9.99E+307,'Returns (Calc)'!$A:$A)-3),"")</f>
        <v>103.512641509434</v>
      </c>
      <c r="AN81" s="155" t="n">
        <f aca="false">IFERROR('Price History'!T3+(INDEX('Price History'!T:T,MATCH(9.99E+307,'Returns (Calc)'!$A:$A)+1)-'Price History'!T3)*(ROW()-3)/(MATCH(9.99E+307,'Returns (Calc)'!$A:$A)-3),"")</f>
        <v>38.7541509433962</v>
      </c>
      <c r="AO81" s="156" t="n">
        <f aca="false">IFERROR('Price History'!V3+(INDEX('Price History'!V:V,MATCH(9.99E+307,'Returns (Calc)'!$A:$A)+1)-'Price History'!V3)*(ROW()-3)/(MATCH(9.99E+307,'Returns (Calc)'!$A:$A)-3),"")</f>
        <v>309.126603773585</v>
      </c>
      <c r="AP81" s="154" t="n">
        <f aca="false">IFERROR(IF(OR(NOT(ISNUMBER('Price History'!W82)),NOT(ISNUMBER('Price History'!W81)),'Price History'!W81=0),"",'Price History'!W82/'Price History'!W81-1),"")</f>
        <v>0.00748941712797135</v>
      </c>
      <c r="AQ81" s="154" t="str">
        <f aca="false">IFERROR(IF(OR(NOT(ISNUMBER('Price History'!X82)),NOT(ISNUMBER('Price History'!X81)),'Price History'!X81=0),"",'Price History'!X82/'Price History'!X81-1),"")</f>
        <v/>
      </c>
      <c r="AR81" s="154" t="n">
        <f aca="false">IFERROR(IF(OR(NOT(ISNUMBER('Price History'!Y82)),NOT(ISNUMBER('Price History'!Y81)),'Price History'!Y81=0),"",'Price History'!Y82/'Price History'!Y81-1),"")</f>
        <v>0.00280392549569397</v>
      </c>
      <c r="AS81" s="154" t="n">
        <f aca="false">IFERROR(IF(OR(NOT(ISNUMBER('Price History'!Z82)),NOT(ISNUMBER('Price History'!Z81)),'Price History'!Z81=0),"",'Price History'!Z82/'Price History'!Z81-1),"")</f>
        <v>0.0355955607835115</v>
      </c>
      <c r="AT81" s="154" t="n">
        <f aca="false">IFERROR(IF(OR(NOT(ISNUMBER('Price History'!AA82)),NOT(ISNUMBER('Price History'!AA81)),'Price History'!AA81=0),"",'Price History'!AA82/'Price History'!AA81-1),"")</f>
        <v>0.0460784313725491</v>
      </c>
      <c r="AU81" s="154" t="n">
        <f aca="false">IFERROR(IF(OR(NOT(ISNUMBER('Price History'!AB82)),NOT(ISNUMBER('Price History'!AB81)),'Price History'!AB81=0),"",'Price History'!AB82/'Price History'!AB81-1),"")</f>
        <v>0.0115782278048364</v>
      </c>
    </row>
    <row r="82" customFormat="false" ht="15" hidden="false" customHeight="true" outlineLevel="0" collapsed="false">
      <c r="A82" s="152" t="n">
        <f aca="false">IF('Price History'!A83="","",'Price History'!A83)</f>
        <v>45744</v>
      </c>
      <c r="B82" s="153" t="n">
        <f aca="false">IFERROR(IF(OR(NOT(ISNUMBER('Price History'!B83)),NOT(ISNUMBER('Price History'!B82)),'Price History'!B82=0),"",'Price History'!B83/'Price History'!B82-1),"")</f>
        <v>-0.00400247895470751</v>
      </c>
      <c r="C82" s="153" t="n">
        <f aca="false">IFERROR(IF(OR(NOT(ISNUMBER('Price History'!C83)),NOT(ISNUMBER('Price History'!C82)),'Price History'!C82=0),"",'Price History'!C83/'Price History'!C82-1),"")</f>
        <v>-0.0624323348971491</v>
      </c>
      <c r="D82" s="153" t="n">
        <f aca="false">IFERROR(IF(OR(NOT(ISNUMBER('Price History'!D83)),NOT(ISNUMBER('Price History'!D82)),'Price History'!D82=0),"",'Price History'!D83/'Price History'!D82-1),"")</f>
        <v>-0.0581309890606891</v>
      </c>
      <c r="E82" s="153" t="n">
        <f aca="false">IFERROR(IF(OR(NOT(ISNUMBER('Price History'!E83)),NOT(ISNUMBER('Price History'!E82)),'Price History'!E82=0),"",'Price History'!E83/'Price History'!E82-1),"")</f>
        <v>-0.117591175383966</v>
      </c>
      <c r="F82" s="153" t="n">
        <f aca="false">IFERROR(IF(OR(NOT(ISNUMBER('Price History'!F83)),NOT(ISNUMBER('Price History'!F82)),'Price History'!F82=0),"",'Price History'!F83/'Price History'!F82-1),"")</f>
        <v>-0.0141342756183745</v>
      </c>
      <c r="G82" s="153" t="n">
        <f aca="false">IFERROR(IF(OR(NOT(ISNUMBER('Price History'!G83)),NOT(ISNUMBER('Price History'!G82)),'Price History'!G82=0),"",'Price History'!G83/'Price History'!G82-1),"")</f>
        <v>-0.0466047176554683</v>
      </c>
      <c r="H82" s="153" t="n">
        <f aca="false">IFERROR(IF(OR(NOT(ISNUMBER('Price History'!H83)),NOT(ISNUMBER('Price History'!H82)),'Price History'!H82=0),"",'Price History'!H83/'Price History'!H82-1),"")</f>
        <v>-0.066341670199237</v>
      </c>
      <c r="I82" s="153" t="n">
        <f aca="false">IFERROR(IF(OR(NOT(ISNUMBER('Price History'!I83)),NOT(ISNUMBER('Price History'!I82)),'Price History'!I82=0),"",'Price History'!I83/'Price History'!I82-1),"")</f>
        <v>-0.0682282793867122</v>
      </c>
      <c r="J82" s="153" t="n">
        <f aca="false">IFERROR(IF(OR(NOT(ISNUMBER('Price History'!J83)),NOT(ISNUMBER('Price History'!J82)),'Price History'!J82=0),"",'Price History'!J83/'Price History'!J82-1),"")</f>
        <v>0.0186997383974421</v>
      </c>
      <c r="K82" s="153" t="n">
        <f aca="false">IFERROR(IF(OR(NOT(ISNUMBER('Price History'!K83)),NOT(ISNUMBER('Price History'!K82)),'Price History'!K82=0),"",'Price History'!K83/'Price History'!K82-1),"")</f>
        <v>-0.0561785400175902</v>
      </c>
      <c r="L82" s="153" t="n">
        <f aca="false">IFERROR(IF(OR(NOT(ISNUMBER('Price History'!L83)),NOT(ISNUMBER('Price History'!L82)),'Price History'!L82=0),"",'Price History'!L83/'Price History'!L82-1),"")</f>
        <v>-0.0649432897691289</v>
      </c>
      <c r="M82" s="153" t="n">
        <f aca="false">IFERROR(IF(OR(NOT(ISNUMBER('Price History'!M83)),NOT(ISNUMBER('Price History'!M82)),'Price History'!M82=0),"",'Price History'!M83/'Price History'!M82-1),"")</f>
        <v>-0.162296564195298</v>
      </c>
      <c r="N82" s="153" t="n">
        <f aca="false">IFERROR(IF(OR(NOT(ISNUMBER('Price History'!N83)),NOT(ISNUMBER('Price History'!N82)),'Price History'!N82=0),"",'Price History'!N83/'Price History'!N82-1),"")</f>
        <v>-0.0208863275039746</v>
      </c>
      <c r="O82" s="153" t="n">
        <f aca="false">IFERROR(IF(OR(NOT(ISNUMBER('Price History'!O83)),NOT(ISNUMBER('Price History'!O82)),'Price History'!O82=0),"",'Price History'!O83/'Price History'!O82-1),"")</f>
        <v>-0.00467398924982465</v>
      </c>
      <c r="P82" s="153" t="n">
        <f aca="false">IFERROR(IF(OR(NOT(ISNUMBER('Price History'!P83)),NOT(ISNUMBER('Price History'!P82)),'Price History'!P82=0),"",'Price History'!P83/'Price History'!P82-1),"")</f>
        <v>-0.000238322211630115</v>
      </c>
      <c r="Q82" s="153" t="n">
        <f aca="false">IFERROR(IF(OR(NOT(ISNUMBER('Price History'!Q83)),NOT(ISNUMBER('Price History'!Q82)),'Price History'!Q82=0),"",'Price History'!Q83/'Price History'!Q82-1),"")</f>
        <v>-0.011555853290906</v>
      </c>
      <c r="R82" s="153" t="n">
        <f aca="false">IFERROR(IF(OR(NOT(ISNUMBER('Price History'!R83)),NOT(ISNUMBER('Price History'!R82)),'Price History'!R82=0),"",'Price History'!R83/'Price History'!R82-1),"")</f>
        <v>-0.0188893946290396</v>
      </c>
      <c r="S82" s="153" t="n">
        <f aca="false">IFERROR(IF(OR(NOT(ISNUMBER('Price History'!S83)),NOT(ISNUMBER('Price History'!S82)),'Price History'!S82=0),"",'Price History'!S83/'Price History'!S82-1),"")</f>
        <v>-0.0196943607404219</v>
      </c>
      <c r="T82" s="153" t="n">
        <f aca="false">IFERROR(IF(OR(NOT(ISNUMBER('Price History'!T83)),NOT(ISNUMBER('Price History'!T82)),'Price History'!T82=0),"",'Price History'!T83/'Price History'!T82-1),"")</f>
        <v>-0.0162194043055145</v>
      </c>
      <c r="U82" s="153" t="n">
        <f aca="false">IFERROR(IF(OR(NOT(ISNUMBER('Price History'!U83)),NOT(ISNUMBER('Price History'!U82)),'Price History'!U82=0),"",'Price History'!U83/'Price History'!U82-1),"")</f>
        <v>0.00268507863444567</v>
      </c>
      <c r="V82" s="154" t="n">
        <f aca="false">IFERROR(IF(OR(NOT(ISNUMBER('Price History'!V83)),NOT(ISNUMBER('Price History'!V82)),'Price History'!V82=0),"",'Price History'!V83/'Price History'!V82-1),"")</f>
        <v>0.0214246971614536</v>
      </c>
      <c r="W82" s="155" t="n">
        <f aca="false">IFERROR('Price History'!B3+(INDEX('Price History'!B:B,MATCH(9.99E+307,'Returns (Calc)'!$A:$A)+1)-'Price History'!B3)*(ROW()-3)/(MATCH(9.99E+307,'Returns (Calc)'!$A:$A)-3),"")</f>
        <v>386.481320754717</v>
      </c>
      <c r="X82" s="155" t="n">
        <f aca="false">IFERROR('Price History'!C3+(INDEX('Price History'!C:C,MATCH(9.99E+307,'Returns (Calc)'!$A:$A)+1)-'Price History'!C3)*(ROW()-3)/(MATCH(9.99E+307,'Returns (Calc)'!$A:$A)-3),"")</f>
        <v>130.923647798742</v>
      </c>
      <c r="Y82" s="155" t="n">
        <f aca="false">IFERROR('Price History'!D3+(INDEX('Price History'!D:D,MATCH(9.99E+307,'Returns (Calc)'!$A:$A)+1)-'Price History'!D3)*(ROW()-3)/(MATCH(9.99E+307,'Returns (Calc)'!$A:$A)-3),"")</f>
        <v>1177.40666666667</v>
      </c>
      <c r="Z82" s="155" t="n">
        <f aca="false">IFERROR('Price History'!E3+(INDEX('Price History'!E:E,MATCH(9.99E+307,'Returns (Calc)'!$A:$A)+1)-'Price History'!E3)*(ROW()-3)/(MATCH(9.99E+307,'Returns (Calc)'!$A:$A)-3),"")</f>
        <v>220.890943396226</v>
      </c>
      <c r="AA82" s="155" t="n">
        <f aca="false">IFERROR('Price History'!F3+(INDEX('Price History'!F:F,MATCH(9.99E+307,'Returns (Calc)'!$A:$A)+1)-'Price History'!F3)*(ROW()-3)/(MATCH(9.99E+307,'Returns (Calc)'!$A:$A)-3),"")</f>
        <v>157.465157232704</v>
      </c>
      <c r="AB82" s="155" t="n">
        <f aca="false">IFERROR('Price History'!G3+(INDEX('Price History'!G:G,MATCH(9.99E+307,'Returns (Calc)'!$A:$A)+1)-'Price History'!G3)*(ROW()-3)/(MATCH(9.99E+307,'Returns (Calc)'!$A:$A)-3),"")</f>
        <v>119.484465408805</v>
      </c>
      <c r="AC82" s="155" t="n">
        <f aca="false">IFERROR('Price History'!H3+(INDEX('Price History'!H:H,MATCH(9.99E+307,'Returns (Calc)'!$A:$A)+1)-'Price History'!H3)*(ROW()-3)/(MATCH(9.99E+307,'Returns (Calc)'!$A:$A)-3),"")</f>
        <v>546.036477987421</v>
      </c>
      <c r="AD82" s="155" t="n">
        <f aca="false">IFERROR('Price History'!I3+(INDEX('Price History'!I:I,MATCH(9.99E+307,'Returns (Calc)'!$A:$A)+1)-'Price History'!I3)*(ROW()-3)/(MATCH(9.99E+307,'Returns (Calc)'!$A:$A)-3),"")</f>
        <v>135.941635220126</v>
      </c>
      <c r="AE82" s="155" t="n">
        <f aca="false">IFERROR('Price History'!J3+(INDEX('Price History'!J:J,MATCH(9.99E+307,'Returns (Calc)'!$A:$A)+1)-'Price History'!J3)*(ROW()-3)/(MATCH(9.99E+307,'Returns (Calc)'!$A:$A)-3),"")</f>
        <v>120.609496855346</v>
      </c>
      <c r="AF82" s="155" t="n">
        <f aca="false">IFERROR('Price History'!K3+(INDEX('Price History'!K:K,MATCH(9.99E+307,'Returns (Calc)'!$A:$A)+1)-'Price History'!K3)*(ROW()-3)/(MATCH(9.99E+307,'Returns (Calc)'!$A:$A)-3),"")</f>
        <v>111.580817610063</v>
      </c>
      <c r="AG82" s="155" t="n">
        <f aca="false">IFERROR('Price History'!L3+(INDEX('Price History'!L:L,MATCH(9.99E+307,'Returns (Calc)'!$A:$A)+1)-'Price History'!L3)*(ROW()-3)/(MATCH(9.99E+307,'Returns (Calc)'!$A:$A)-3),"")</f>
        <v>268.374150943396</v>
      </c>
      <c r="AH82" s="155" t="n">
        <f aca="false">IFERROR('Price History'!M3+(INDEX('Price History'!M:M,MATCH(9.99E+307,'Returns (Calc)'!$A:$A)+1)-'Price History'!M3)*(ROW()-3)/(MATCH(9.99E+307,'Returns (Calc)'!$A:$A)-3),"")</f>
        <v>139.756100628931</v>
      </c>
      <c r="AI82" s="155" t="n">
        <f aca="false">IFERROR('Price History'!N3+(INDEX('Price History'!N:N,MATCH(9.99E+307,'Returns (Calc)'!$A:$A)+1)-'Price History'!N3)*(ROW()-3)/(MATCH(9.99E+307,'Returns (Calc)'!$A:$A)-3),"")</f>
        <v>428.983144654088</v>
      </c>
      <c r="AJ82" s="155" t="n">
        <f aca="false">IFERROR('Price History'!O3+(INDEX('Price History'!O:O,MATCH(9.99E+307,'Returns (Calc)'!$A:$A)+1)-'Price History'!O3)*(ROW()-3)/(MATCH(9.99E+307,'Returns (Calc)'!$A:$A)-3),"")</f>
        <v>97.3355974842767</v>
      </c>
      <c r="AK82" s="155" t="n">
        <f aca="false">IFERROR('Price History'!Q3+(INDEX('Price History'!Q:Q,MATCH(9.99E+307,'Returns (Calc)'!$A:$A)+1)-'Price History'!Q3)*(ROW()-3)/(MATCH(9.99E+307,'Returns (Calc)'!$A:$A)-3),"")</f>
        <v>34.7649685534591</v>
      </c>
      <c r="AL82" s="155" t="n">
        <f aca="false">IFERROR('Price History'!R3+(INDEX('Price History'!R:R,MATCH(9.99E+307,'Returns (Calc)'!$A:$A)+1)-'Price History'!R3)*(ROW()-3)/(MATCH(9.99E+307,'Returns (Calc)'!$A:$A)-3),"")</f>
        <v>47.701320754717</v>
      </c>
      <c r="AM82" s="155" t="n">
        <f aca="false">IFERROR('Price History'!S3+(INDEX('Price History'!S:S,MATCH(9.99E+307,'Returns (Calc)'!$A:$A)+1)-'Price History'!S3)*(ROW()-3)/(MATCH(9.99E+307,'Returns (Calc)'!$A:$A)-3),"")</f>
        <v>104.100880503145</v>
      </c>
      <c r="AN82" s="155" t="n">
        <f aca="false">IFERROR('Price History'!T3+(INDEX('Price History'!T:T,MATCH(9.99E+307,'Returns (Calc)'!$A:$A)+1)-'Price History'!T3)*(ROW()-3)/(MATCH(9.99E+307,'Returns (Calc)'!$A:$A)-3),"")</f>
        <v>38.9280503144654</v>
      </c>
      <c r="AO82" s="156" t="n">
        <f aca="false">IFERROR('Price History'!V3+(INDEX('Price History'!V:V,MATCH(9.99E+307,'Returns (Calc)'!$A:$A)+1)-'Price History'!V3)*(ROW()-3)/(MATCH(9.99E+307,'Returns (Calc)'!$A:$A)-3),"")</f>
        <v>310.068867924528</v>
      </c>
      <c r="AP82" s="154" t="n">
        <f aca="false">IFERROR(IF(OR(NOT(ISNUMBER('Price History'!W83)),NOT(ISNUMBER('Price History'!W82)),'Price History'!W82=0),"",'Price History'!W83/'Price History'!W82-1),"")</f>
        <v>-0.0066257272139626</v>
      </c>
      <c r="AQ82" s="154" t="str">
        <f aca="false">IFERROR(IF(OR(NOT(ISNUMBER('Price History'!X83)),NOT(ISNUMBER('Price History'!X82)),'Price History'!X82=0),"",'Price History'!X83/'Price History'!X82-1),"")</f>
        <v/>
      </c>
      <c r="AR82" s="154" t="n">
        <f aca="false">IFERROR(IF(OR(NOT(ISNUMBER('Price History'!Y83)),NOT(ISNUMBER('Price History'!Y82)),'Price History'!Y82=0),"",'Price History'!Y83/'Price History'!Y82-1),"")</f>
        <v>-0.00758937487517486</v>
      </c>
      <c r="AS82" s="154" t="n">
        <f aca="false">IFERROR(IF(OR(NOT(ISNUMBER('Price History'!Z83)),NOT(ISNUMBER('Price History'!Z82)),'Price History'!Z82=0),"",'Price History'!Z83/'Price History'!Z82-1),"")</f>
        <v>-0.0207911501802559</v>
      </c>
      <c r="AT82" s="154" t="n">
        <f aca="false">IFERROR(IF(OR(NOT(ISNUMBER('Price History'!AA83)),NOT(ISNUMBER('Price History'!AA82)),'Price History'!AA82=0),"",'Price History'!AA83/'Price History'!AA82-1),"")</f>
        <v>-0.0274914089347079</v>
      </c>
      <c r="AU82" s="154" t="n">
        <f aca="false">IFERROR(IF(OR(NOT(ISNUMBER('Price History'!AB83)),NOT(ISNUMBER('Price History'!AB82)),'Price History'!AB82=0),"",'Price History'!AB83/'Price History'!AB82-1),"")</f>
        <v>-0.010812180597204</v>
      </c>
    </row>
    <row r="83" customFormat="false" ht="15" hidden="false" customHeight="true" outlineLevel="0" collapsed="false">
      <c r="A83" s="152" t="n">
        <f aca="false">IF('Price History'!A84="","",'Price History'!A84)</f>
        <v>45751</v>
      </c>
      <c r="B83" s="153" t="n">
        <f aca="false">IFERROR(IF(OR(NOT(ISNUMBER('Price History'!B84)),NOT(ISNUMBER('Price History'!B83)),'Price History'!B83=0),"",'Price History'!B84/'Price History'!B83-1),"")</f>
        <v>-0.0949936480775712</v>
      </c>
      <c r="C83" s="153" t="n">
        <f aca="false">IFERROR(IF(OR(NOT(ISNUMBER('Price History'!C84)),NOT(ISNUMBER('Price History'!C83)),'Price History'!C83=0),"",'Price History'!C84/'Price History'!C83-1),"")</f>
        <v>-0.174108288426995</v>
      </c>
      <c r="D83" s="153" t="n">
        <f aca="false">IFERROR(IF(OR(NOT(ISNUMBER('Price History'!D84)),NOT(ISNUMBER('Price History'!D83)),'Price History'!D83=0),"",'Price History'!D84/'Price History'!D83-1),"")</f>
        <v>-0.102339400669258</v>
      </c>
      <c r="E83" s="153" t="n">
        <f aca="false">IFERROR(IF(OR(NOT(ISNUMBER('Price History'!E84)),NOT(ISNUMBER('Price History'!E83)),'Price History'!E83=0),"",'Price History'!E84/'Price History'!E83-1),"")</f>
        <v>-0.134996112207668</v>
      </c>
      <c r="F83" s="153" t="n">
        <f aca="false">IFERROR(IF(OR(NOT(ISNUMBER('Price History'!F84)),NOT(ISNUMBER('Price History'!F83)),'Price History'!F83=0),"",'Price History'!F84/'Price History'!F83-1),"")</f>
        <v>-0.0993503584229392</v>
      </c>
      <c r="G83" s="153" t="n">
        <f aca="false">IFERROR(IF(OR(NOT(ISNUMBER('Price History'!G84)),NOT(ISNUMBER('Price History'!G83)),'Price History'!G83=0),"",'Price History'!G84/'Price History'!G83-1),"")</f>
        <v>-0.144099565152197</v>
      </c>
      <c r="H83" s="153" t="n">
        <f aca="false">IFERROR(IF(OR(NOT(ISNUMBER('Price History'!H84)),NOT(ISNUMBER('Price History'!H83)),'Price History'!H83=0),"",'Price History'!H84/'Price History'!H83-1),"")</f>
        <v>-0.267196367763905</v>
      </c>
      <c r="I83" s="153" t="n">
        <f aca="false">IFERROR(IF(OR(NOT(ISNUMBER('Price History'!I84)),NOT(ISNUMBER('Price History'!I83)),'Price History'!I83=0),"",'Price History'!I84/'Price History'!I83-1),"")</f>
        <v>-0.140049364658561</v>
      </c>
      <c r="J83" s="153" t="n">
        <f aca="false">IFERROR(IF(OR(NOT(ISNUMBER('Price History'!J84)),NOT(ISNUMBER('Price History'!J83)),'Price History'!J83=0),"",'Price History'!J84/'Price History'!J83-1),"")</f>
        <v>-0.110614418870078</v>
      </c>
      <c r="K83" s="153" t="n">
        <f aca="false">IFERROR(IF(OR(NOT(ISNUMBER('Price History'!K84)),NOT(ISNUMBER('Price History'!K83)),'Price History'!K83=0),"",'Price History'!K84/'Price History'!K83-1),"")</f>
        <v>-0.137914967967385</v>
      </c>
      <c r="L83" s="153" t="n">
        <f aca="false">IFERROR(IF(OR(NOT(ISNUMBER('Price History'!L84)),NOT(ISNUMBER('Price History'!L83)),'Price History'!L83=0),"",'Price History'!L84/'Price History'!L83-1),"")</f>
        <v>-0.111631057200911</v>
      </c>
      <c r="M83" s="153" t="n">
        <f aca="false">IFERROR(IF(OR(NOT(ISNUMBER('Price History'!M84)),NOT(ISNUMBER('Price History'!M83)),'Price History'!M83=0),"",'Price History'!M84/'Price History'!M83-1),"")</f>
        <v>-0.199811117107393</v>
      </c>
      <c r="N83" s="153" t="n">
        <f aca="false">IFERROR(IF(OR(NOT(ISNUMBER('Price History'!N84)),NOT(ISNUMBER('Price History'!N83)),'Price History'!N83=0),"",'Price History'!N84/'Price History'!N83-1),"")</f>
        <v>-0.0366762061336743</v>
      </c>
      <c r="O83" s="153" t="n">
        <f aca="false">IFERROR(IF(OR(NOT(ISNUMBER('Price History'!O84)),NOT(ISNUMBER('Price History'!O83)),'Price History'!O83=0),"",'Price History'!O84/'Price History'!O83-1),"")</f>
        <v>-0.104719417703686</v>
      </c>
      <c r="P83" s="153" t="n">
        <f aca="false">IFERROR(IF(OR(NOT(ISNUMBER('Price History'!P84)),NOT(ISNUMBER('Price History'!P83)),'Price History'!P83=0),"",'Price History'!P84/'Price History'!P83-1),"")</f>
        <v>-0.0803337306317045</v>
      </c>
      <c r="Q83" s="153" t="n">
        <f aca="false">IFERROR(IF(OR(NOT(ISNUMBER('Price History'!Q84)),NOT(ISNUMBER('Price History'!Q83)),'Price History'!Q83=0),"",'Price History'!Q84/'Price History'!Q83-1),"")</f>
        <v>-0.0388004066418164</v>
      </c>
      <c r="R83" s="153" t="n">
        <f aca="false">IFERROR(IF(OR(NOT(ISNUMBER('Price History'!R84)),NOT(ISNUMBER('Price History'!R83)),'Price History'!R83=0),"",'Price History'!R84/'Price History'!R83-1),"")</f>
        <v>-0.0909301786128509</v>
      </c>
      <c r="S83" s="153" t="n">
        <f aca="false">IFERROR(IF(OR(NOT(ISNUMBER('Price History'!S84)),NOT(ISNUMBER('Price History'!S83)),'Price History'!S83=0),"",'Price History'!S84/'Price History'!S83-1),"")</f>
        <v>-0.107036996377209</v>
      </c>
      <c r="T83" s="153" t="n">
        <f aca="false">IFERROR(IF(OR(NOT(ISNUMBER('Price History'!T84)),NOT(ISNUMBER('Price History'!T83)),'Price History'!T83=0),"",'Price History'!T84/'Price History'!T83-1),"")</f>
        <v>-0.0926258992805755</v>
      </c>
      <c r="U83" s="153" t="n">
        <f aca="false">IFERROR(IF(OR(NOT(ISNUMBER('Price History'!U84)),NOT(ISNUMBER('Price History'!U83)),'Price History'!U83=0),"",'Price History'!U84/'Price History'!U83-1),"")</f>
        <v>-0.0833970925784239</v>
      </c>
      <c r="V83" s="154" t="n">
        <f aca="false">IFERROR(IF(OR(NOT(ISNUMBER('Price History'!V84)),NOT(ISNUMBER('Price History'!V83)),'Price History'!V83=0),"",'Price History'!V84/'Price History'!V83-1),"")</f>
        <v>-0.0866743369619731</v>
      </c>
      <c r="W83" s="155" t="n">
        <f aca="false">IFERROR('Price History'!B3+(INDEX('Price History'!B:B,MATCH(9.99E+307,'Returns (Calc)'!$A:$A)+1)-'Price History'!B3)*(ROW()-3)/(MATCH(9.99E+307,'Returns (Calc)'!$A:$A)-3),"")</f>
        <v>384.678679245283</v>
      </c>
      <c r="X83" s="155" t="n">
        <f aca="false">IFERROR('Price History'!C3+(INDEX('Price History'!C:C,MATCH(9.99E+307,'Returns (Calc)'!$A:$A)+1)-'Price History'!C3)*(ROW()-3)/(MATCH(9.99E+307,'Returns (Calc)'!$A:$A)-3),"")</f>
        <v>131.996352201258</v>
      </c>
      <c r="Y83" s="155" t="n">
        <f aca="false">IFERROR('Price History'!D3+(INDEX('Price History'!D:D,MATCH(9.99E+307,'Returns (Calc)'!$A:$A)+1)-'Price History'!D3)*(ROW()-3)/(MATCH(9.99E+307,'Returns (Calc)'!$A:$A)-3),"")</f>
        <v>1184.94333333333</v>
      </c>
      <c r="Z83" s="155" t="n">
        <f aca="false">IFERROR('Price History'!E3+(INDEX('Price History'!E:E,MATCH(9.99E+307,'Returns (Calc)'!$A:$A)+1)-'Price History'!E3)*(ROW()-3)/(MATCH(9.99E+307,'Returns (Calc)'!$A:$A)-3),"")</f>
        <v>222.649056603774</v>
      </c>
      <c r="AA83" s="155" t="n">
        <f aca="false">IFERROR('Price History'!F3+(INDEX('Price History'!F:F,MATCH(9.99E+307,'Returns (Calc)'!$A:$A)+1)-'Price History'!F3)*(ROW()-3)/(MATCH(9.99E+307,'Returns (Calc)'!$A:$A)-3),"")</f>
        <v>158.934842767296</v>
      </c>
      <c r="AB83" s="155" t="n">
        <f aca="false">IFERROR('Price History'!G3+(INDEX('Price History'!G:G,MATCH(9.99E+307,'Returns (Calc)'!$A:$A)+1)-'Price History'!G3)*(ROW()-3)/(MATCH(9.99E+307,'Returns (Calc)'!$A:$A)-3),"")</f>
        <v>120.435534591195</v>
      </c>
      <c r="AC83" s="155" t="n">
        <f aca="false">IFERROR('Price History'!H3+(INDEX('Price History'!H:H,MATCH(9.99E+307,'Returns (Calc)'!$A:$A)+1)-'Price History'!H3)*(ROW()-3)/(MATCH(9.99E+307,'Returns (Calc)'!$A:$A)-3),"")</f>
        <v>552.073522012579</v>
      </c>
      <c r="AD83" s="155" t="n">
        <f aca="false">IFERROR('Price History'!I3+(INDEX('Price History'!I:I,MATCH(9.99E+307,'Returns (Calc)'!$A:$A)+1)-'Price History'!I3)*(ROW()-3)/(MATCH(9.99E+307,'Returns (Calc)'!$A:$A)-3),"")</f>
        <v>137.108364779874</v>
      </c>
      <c r="AE83" s="155" t="n">
        <f aca="false">IFERROR('Price History'!J3+(INDEX('Price History'!J:J,MATCH(9.99E+307,'Returns (Calc)'!$A:$A)+1)-'Price History'!J3)*(ROW()-3)/(MATCH(9.99E+307,'Returns (Calc)'!$A:$A)-3),"")</f>
        <v>120.720503144654</v>
      </c>
      <c r="AF83" s="155" t="n">
        <f aca="false">IFERROR('Price History'!K3+(INDEX('Price History'!K:K,MATCH(9.99E+307,'Returns (Calc)'!$A:$A)+1)-'Price History'!K3)*(ROW()-3)/(MATCH(9.99E+307,'Returns (Calc)'!$A:$A)-3),"")</f>
        <v>112.799182389937</v>
      </c>
      <c r="AG83" s="155" t="n">
        <f aca="false">IFERROR('Price History'!L3+(INDEX('Price History'!L:L,MATCH(9.99E+307,'Returns (Calc)'!$A:$A)+1)-'Price History'!L3)*(ROW()-3)/(MATCH(9.99E+307,'Returns (Calc)'!$A:$A)-3),"")</f>
        <v>270.685849056604</v>
      </c>
      <c r="AH83" s="155" t="n">
        <f aca="false">IFERROR('Price History'!M3+(INDEX('Price History'!M:M,MATCH(9.99E+307,'Returns (Calc)'!$A:$A)+1)-'Price History'!M3)*(ROW()-3)/(MATCH(9.99E+307,'Returns (Calc)'!$A:$A)-3),"")</f>
        <v>141.043899371069</v>
      </c>
      <c r="AI83" s="155" t="n">
        <f aca="false">IFERROR('Price History'!N3+(INDEX('Price History'!N:N,MATCH(9.99E+307,'Returns (Calc)'!$A:$A)+1)-'Price History'!N3)*(ROW()-3)/(MATCH(9.99E+307,'Returns (Calc)'!$A:$A)-3),"")</f>
        <v>429.996855345912</v>
      </c>
      <c r="AJ83" s="155" t="n">
        <f aca="false">IFERROR('Price History'!O3+(INDEX('Price History'!O:O,MATCH(9.99E+307,'Returns (Calc)'!$A:$A)+1)-'Price History'!O3)*(ROW()-3)/(MATCH(9.99E+307,'Returns (Calc)'!$A:$A)-3),"")</f>
        <v>97.6144025157233</v>
      </c>
      <c r="AK83" s="155" t="n">
        <f aca="false">IFERROR('Price History'!Q3+(INDEX('Price History'!Q:Q,MATCH(9.99E+307,'Returns (Calc)'!$A:$A)+1)-'Price History'!Q3)*(ROW()-3)/(MATCH(9.99E+307,'Returns (Calc)'!$A:$A)-3),"")</f>
        <v>35.2050314465409</v>
      </c>
      <c r="AL83" s="155" t="n">
        <f aca="false">IFERROR('Price History'!R3+(INDEX('Price History'!R:R,MATCH(9.99E+307,'Returns (Calc)'!$A:$A)+1)-'Price History'!R3)*(ROW()-3)/(MATCH(9.99E+307,'Returns (Calc)'!$A:$A)-3),"")</f>
        <v>47.868679245283</v>
      </c>
      <c r="AM83" s="155" t="n">
        <f aca="false">IFERROR('Price History'!S3+(INDEX('Price History'!S:S,MATCH(9.99E+307,'Returns (Calc)'!$A:$A)+1)-'Price History'!S3)*(ROW()-3)/(MATCH(9.99E+307,'Returns (Calc)'!$A:$A)-3),"")</f>
        <v>104.689119496855</v>
      </c>
      <c r="AN83" s="155" t="n">
        <f aca="false">IFERROR('Price History'!T3+(INDEX('Price History'!T:T,MATCH(9.99E+307,'Returns (Calc)'!$A:$A)+1)-'Price History'!T3)*(ROW()-3)/(MATCH(9.99E+307,'Returns (Calc)'!$A:$A)-3),"")</f>
        <v>39.1019496855346</v>
      </c>
      <c r="AO83" s="156" t="n">
        <f aca="false">IFERROR('Price History'!V3+(INDEX('Price History'!V:V,MATCH(9.99E+307,'Returns (Calc)'!$A:$A)+1)-'Price History'!V3)*(ROW()-3)/(MATCH(9.99E+307,'Returns (Calc)'!$A:$A)-3),"")</f>
        <v>311.011132075472</v>
      </c>
      <c r="AP83" s="154" t="n">
        <f aca="false">IFERROR(IF(OR(NOT(ISNUMBER('Price History'!W84)),NOT(ISNUMBER('Price History'!W83)),'Price History'!W83=0),"",'Price History'!W84/'Price History'!W83-1),"")</f>
        <v>-0.0824792581747194</v>
      </c>
      <c r="AQ83" s="154" t="str">
        <f aca="false">IFERROR(IF(OR(NOT(ISNUMBER('Price History'!X84)),NOT(ISNUMBER('Price History'!X83)),'Price History'!X83=0),"",'Price History'!X84/'Price History'!X83-1),"")</f>
        <v/>
      </c>
      <c r="AR83" s="154" t="n">
        <f aca="false">IFERROR(IF(OR(NOT(ISNUMBER('Price History'!Y84)),NOT(ISNUMBER('Price History'!Y83)),'Price History'!Y83=0),"",'Price History'!Y84/'Price History'!Y83-1),"")</f>
        <v>-0.0734554236264842</v>
      </c>
      <c r="AS83" s="154" t="n">
        <f aca="false">IFERROR(IF(OR(NOT(ISNUMBER('Price History'!Z84)),NOT(ISNUMBER('Price History'!Z83)),'Price History'!Z83=0),"",'Price History'!Z84/'Price History'!Z83-1),"")</f>
        <v>-0.165473068388138</v>
      </c>
      <c r="AT83" s="154" t="n">
        <f aca="false">IFERROR(IF(OR(NOT(ISNUMBER('Price History'!AA84)),NOT(ISNUMBER('Price History'!AA83)),'Price History'!AA83=0),"",'Price History'!AA84/'Price History'!AA83-1),"")</f>
        <v>-0.0835207195631224</v>
      </c>
      <c r="AU83" s="154" t="n">
        <f aca="false">IFERROR(IF(OR(NOT(ISNUMBER('Price History'!AB84)),NOT(ISNUMBER('Price History'!AB83)),'Price History'!AB83=0),"",'Price History'!AB84/'Price History'!AB83-1),"")</f>
        <v>-0.0876563767559029</v>
      </c>
    </row>
    <row r="84" customFormat="false" ht="15" hidden="false" customHeight="true" outlineLevel="0" collapsed="false">
      <c r="A84" s="152" t="n">
        <f aca="false">IF('Price History'!A85="","",'Price History'!A85)</f>
        <v>45758</v>
      </c>
      <c r="B84" s="153" t="n">
        <f aca="false">IFERROR(IF(OR(NOT(ISNUMBER('Price History'!B85)),NOT(ISNUMBER('Price History'!B84)),'Price History'!B84=0),"",'Price History'!B85/'Price History'!B84-1),"")</f>
        <v>0.00974016672873646</v>
      </c>
      <c r="C84" s="153" t="n">
        <f aca="false">IFERROR(IF(OR(NOT(ISNUMBER('Price History'!C85)),NOT(ISNUMBER('Price History'!C84)),'Price History'!C84=0),"",'Price History'!C85/'Price History'!C84-1),"")</f>
        <v>0.128942053751748</v>
      </c>
      <c r="D84" s="153" t="n">
        <f aca="false">IFERROR(IF(OR(NOT(ISNUMBER('Price History'!D85)),NOT(ISNUMBER('Price History'!D84)),'Price History'!D84=0),"",'Price History'!D85/'Price History'!D84-1),"")</f>
        <v>0.104478360441985</v>
      </c>
      <c r="E84" s="153" t="n">
        <f aca="false">IFERROR(IF(OR(NOT(ISNUMBER('Price History'!E85)),NOT(ISNUMBER('Price History'!E84)),'Price History'!E84=0),"",'Price History'!E85/'Price History'!E84-1),"")</f>
        <v>0.243673074263587</v>
      </c>
      <c r="F84" s="153" t="n">
        <f aca="false">IFERROR(IF(OR(NOT(ISNUMBER('Price History'!F85)),NOT(ISNUMBER('Price History'!F84)),'Price History'!F84=0),"",'Price History'!F85/'Price History'!F84-1),"")</f>
        <v>0.174853873896282</v>
      </c>
      <c r="G84" s="153" t="n">
        <f aca="false">IFERROR(IF(OR(NOT(ISNUMBER('Price History'!G85)),NOT(ISNUMBER('Price History'!G84)),'Price History'!G84=0),"",'Price History'!G85/'Price History'!G84-1),"")</f>
        <v>0.162578836720392</v>
      </c>
      <c r="H84" s="153" t="n">
        <f aca="false">IFERROR(IF(OR(NOT(ISNUMBER('Price History'!H85)),NOT(ISNUMBER('Price History'!H84)),'Price History'!H84=0),"",'Price History'!H85/'Price History'!H84-1),"")</f>
        <v>0.0745043370508054</v>
      </c>
      <c r="I84" s="153" t="n">
        <f aca="false">IFERROR(IF(OR(NOT(ISNUMBER('Price History'!I85)),NOT(ISNUMBER('Price History'!I84)),'Price History'!I84=0),"",'Price History'!I85/'Price History'!I84-1),"")</f>
        <v>0.176251727437015</v>
      </c>
      <c r="J84" s="153" t="n">
        <f aca="false">IFERROR(IF(OR(NOT(ISNUMBER('Price History'!J85)),NOT(ISNUMBER('Price History'!J84)),'Price History'!J84=0),"",'Price History'!J85/'Price History'!J84-1),"")</f>
        <v>-0.0204256229280292</v>
      </c>
      <c r="K84" s="153" t="n">
        <f aca="false">IFERROR(IF(OR(NOT(ISNUMBER('Price History'!K85)),NOT(ISNUMBER('Price History'!K84)),'Price History'!K84=0),"",'Price History'!K85/'Price History'!K84-1),"")</f>
        <v>0.196459937846237</v>
      </c>
      <c r="L84" s="153" t="n">
        <f aca="false">IFERROR(IF(OR(NOT(ISNUMBER('Price History'!L85)),NOT(ISNUMBER('Price History'!L84)),'Price History'!L84=0),"",'Price History'!L85/'Price History'!L84-1),"")</f>
        <v>0.0700027723870251</v>
      </c>
      <c r="M84" s="153" t="n">
        <f aca="false">IFERROR(IF(OR(NOT(ISNUMBER('Price History'!M85)),NOT(ISNUMBER('Price History'!M84)),'Price History'!M84=0),"",'Price History'!M85/'Price History'!M84-1),"")</f>
        <v>0.171640532793795</v>
      </c>
      <c r="N84" s="153" t="n">
        <f aca="false">IFERROR(IF(OR(NOT(ISNUMBER('Price History'!N85)),NOT(ISNUMBER('Price History'!N84)),'Price History'!N84=0),"",'Price History'!N85/'Price History'!N84-1),"")</f>
        <v>0.0202267076819351</v>
      </c>
      <c r="O84" s="153" t="n">
        <f aca="false">IFERROR(IF(OR(NOT(ISNUMBER('Price History'!O85)),NOT(ISNUMBER('Price History'!O84)),'Price History'!O84=0),"",'Price History'!O85/'Price History'!O84-1),"")</f>
        <v>0.0125885129819039</v>
      </c>
      <c r="P84" s="153" t="n">
        <f aca="false">IFERROR(IF(OR(NOT(ISNUMBER('Price History'!P85)),NOT(ISNUMBER('Price History'!P84)),'Price History'!P84=0),"",'Price History'!P85/'Price History'!P84-1),"")</f>
        <v>0.0160705028512183</v>
      </c>
      <c r="Q84" s="153" t="n">
        <f aca="false">IFERROR(IF(OR(NOT(ISNUMBER('Price History'!Q85)),NOT(ISNUMBER('Price History'!Q84)),'Price History'!Q84=0),"",'Price History'!Q85/'Price History'!Q84-1),"")</f>
        <v>0.0188612726952231</v>
      </c>
      <c r="R84" s="153" t="n">
        <f aca="false">IFERROR(IF(OR(NOT(ISNUMBER('Price History'!R85)),NOT(ISNUMBER('Price History'!R84)),'Price History'!R84=0),"",'Price History'!R85/'Price History'!R84-1),"")</f>
        <v>0.0630262822148506</v>
      </c>
      <c r="S84" s="153" t="n">
        <f aca="false">IFERROR(IF(OR(NOT(ISNUMBER('Price History'!S85)),NOT(ISNUMBER('Price History'!S84)),'Price History'!S84=0),"",'Price History'!S85/'Price History'!S84-1),"")</f>
        <v>0.0910990902385049</v>
      </c>
      <c r="T84" s="153" t="n">
        <f aca="false">IFERROR(IF(OR(NOT(ISNUMBER('Price History'!T85)),NOT(ISNUMBER('Price History'!T84)),'Price History'!T84=0),"",'Price History'!T85/'Price History'!T84-1),"")</f>
        <v>0.0211430459200528</v>
      </c>
      <c r="U84" s="153" t="n">
        <f aca="false">IFERROR(IF(OR(NOT(ISNUMBER('Price History'!U85)),NOT(ISNUMBER('Price History'!U84)),'Price History'!U84=0),"",'Price History'!U85/'Price History'!U84-1),"")</f>
        <v>0.000834724540901499</v>
      </c>
      <c r="V84" s="154" t="n">
        <f aca="false">IFERROR(IF(OR(NOT(ISNUMBER('Price History'!V85)),NOT(ISNUMBER('Price History'!V84)),'Price History'!V84=0),"",'Price History'!V85/'Price History'!V84-1),"")</f>
        <v>0.0647307729577829</v>
      </c>
      <c r="W84" s="155" t="n">
        <f aca="false">IFERROR('Price History'!B3+(INDEX('Price History'!B:B,MATCH(9.99E+307,'Returns (Calc)'!$A:$A)+1)-'Price History'!B3)*(ROW()-3)/(MATCH(9.99E+307,'Returns (Calc)'!$A:$A)-3),"")</f>
        <v>382.876037735849</v>
      </c>
      <c r="X84" s="155" t="n">
        <f aca="false">IFERROR('Price History'!C3+(INDEX('Price History'!C:C,MATCH(9.99E+307,'Returns (Calc)'!$A:$A)+1)-'Price History'!C3)*(ROW()-3)/(MATCH(9.99E+307,'Returns (Calc)'!$A:$A)-3),"")</f>
        <v>133.069056603774</v>
      </c>
      <c r="Y84" s="155" t="n">
        <f aca="false">IFERROR('Price History'!D3+(INDEX('Price History'!D:D,MATCH(9.99E+307,'Returns (Calc)'!$A:$A)+1)-'Price History'!D3)*(ROW()-3)/(MATCH(9.99E+307,'Returns (Calc)'!$A:$A)-3),"")</f>
        <v>1192.48</v>
      </c>
      <c r="Z84" s="155" t="n">
        <f aca="false">IFERROR('Price History'!E3+(INDEX('Price History'!E:E,MATCH(9.99E+307,'Returns (Calc)'!$A:$A)+1)-'Price History'!E3)*(ROW()-3)/(MATCH(9.99E+307,'Returns (Calc)'!$A:$A)-3),"")</f>
        <v>224.407169811321</v>
      </c>
      <c r="AA84" s="155" t="n">
        <f aca="false">IFERROR('Price History'!F3+(INDEX('Price History'!F:F,MATCH(9.99E+307,'Returns (Calc)'!$A:$A)+1)-'Price History'!F3)*(ROW()-3)/(MATCH(9.99E+307,'Returns (Calc)'!$A:$A)-3),"")</f>
        <v>160.404528301887</v>
      </c>
      <c r="AB84" s="155" t="n">
        <f aca="false">IFERROR('Price History'!G3+(INDEX('Price History'!G:G,MATCH(9.99E+307,'Returns (Calc)'!$A:$A)+1)-'Price History'!G3)*(ROW()-3)/(MATCH(9.99E+307,'Returns (Calc)'!$A:$A)-3),"")</f>
        <v>121.386603773585</v>
      </c>
      <c r="AC84" s="155" t="n">
        <f aca="false">IFERROR('Price History'!H3+(INDEX('Price History'!H:H,MATCH(9.99E+307,'Returns (Calc)'!$A:$A)+1)-'Price History'!H3)*(ROW()-3)/(MATCH(9.99E+307,'Returns (Calc)'!$A:$A)-3),"")</f>
        <v>558.110566037736</v>
      </c>
      <c r="AD84" s="155" t="n">
        <f aca="false">IFERROR('Price History'!I3+(INDEX('Price History'!I:I,MATCH(9.99E+307,'Returns (Calc)'!$A:$A)+1)-'Price History'!I3)*(ROW()-3)/(MATCH(9.99E+307,'Returns (Calc)'!$A:$A)-3),"")</f>
        <v>138.275094339623</v>
      </c>
      <c r="AE84" s="155" t="n">
        <f aca="false">IFERROR('Price History'!J3+(INDEX('Price History'!J:J,MATCH(9.99E+307,'Returns (Calc)'!$A:$A)+1)-'Price History'!J3)*(ROW()-3)/(MATCH(9.99E+307,'Returns (Calc)'!$A:$A)-3),"")</f>
        <v>120.831509433962</v>
      </c>
      <c r="AF84" s="155" t="n">
        <f aca="false">IFERROR('Price History'!K3+(INDEX('Price History'!K:K,MATCH(9.99E+307,'Returns (Calc)'!$A:$A)+1)-'Price History'!K3)*(ROW()-3)/(MATCH(9.99E+307,'Returns (Calc)'!$A:$A)-3),"")</f>
        <v>114.017547169811</v>
      </c>
      <c r="AG84" s="155" t="n">
        <f aca="false">IFERROR('Price History'!L3+(INDEX('Price History'!L:L,MATCH(9.99E+307,'Returns (Calc)'!$A:$A)+1)-'Price History'!L3)*(ROW()-3)/(MATCH(9.99E+307,'Returns (Calc)'!$A:$A)-3),"")</f>
        <v>272.997547169811</v>
      </c>
      <c r="AH84" s="155" t="n">
        <f aca="false">IFERROR('Price History'!M3+(INDEX('Price History'!M:M,MATCH(9.99E+307,'Returns (Calc)'!$A:$A)+1)-'Price History'!M3)*(ROW()-3)/(MATCH(9.99E+307,'Returns (Calc)'!$A:$A)-3),"")</f>
        <v>142.331698113208</v>
      </c>
      <c r="AI84" s="155" t="n">
        <f aca="false">IFERROR('Price History'!N3+(INDEX('Price History'!N:N,MATCH(9.99E+307,'Returns (Calc)'!$A:$A)+1)-'Price History'!N3)*(ROW()-3)/(MATCH(9.99E+307,'Returns (Calc)'!$A:$A)-3),"")</f>
        <v>431.010566037736</v>
      </c>
      <c r="AJ84" s="155" t="n">
        <f aca="false">IFERROR('Price History'!O3+(INDEX('Price History'!O:O,MATCH(9.99E+307,'Returns (Calc)'!$A:$A)+1)-'Price History'!O3)*(ROW()-3)/(MATCH(9.99E+307,'Returns (Calc)'!$A:$A)-3),"")</f>
        <v>97.8932075471698</v>
      </c>
      <c r="AK84" s="155" t="n">
        <f aca="false">IFERROR('Price History'!Q3+(INDEX('Price History'!Q:Q,MATCH(9.99E+307,'Returns (Calc)'!$A:$A)+1)-'Price History'!Q3)*(ROW()-3)/(MATCH(9.99E+307,'Returns (Calc)'!$A:$A)-3),"")</f>
        <v>35.6450943396226</v>
      </c>
      <c r="AL84" s="155" t="n">
        <f aca="false">IFERROR('Price History'!R3+(INDEX('Price History'!R:R,MATCH(9.99E+307,'Returns (Calc)'!$A:$A)+1)-'Price History'!R3)*(ROW()-3)/(MATCH(9.99E+307,'Returns (Calc)'!$A:$A)-3),"")</f>
        <v>48.0360377358491</v>
      </c>
      <c r="AM84" s="155" t="n">
        <f aca="false">IFERROR('Price History'!S3+(INDEX('Price History'!S:S,MATCH(9.99E+307,'Returns (Calc)'!$A:$A)+1)-'Price History'!S3)*(ROW()-3)/(MATCH(9.99E+307,'Returns (Calc)'!$A:$A)-3),"")</f>
        <v>105.277358490566</v>
      </c>
      <c r="AN84" s="155" t="n">
        <f aca="false">IFERROR('Price History'!T3+(INDEX('Price History'!T:T,MATCH(9.99E+307,'Returns (Calc)'!$A:$A)+1)-'Price History'!T3)*(ROW()-3)/(MATCH(9.99E+307,'Returns (Calc)'!$A:$A)-3),"")</f>
        <v>39.2758490566038</v>
      </c>
      <c r="AO84" s="156" t="n">
        <f aca="false">IFERROR('Price History'!V3+(INDEX('Price History'!V:V,MATCH(9.99E+307,'Returns (Calc)'!$A:$A)+1)-'Price History'!V3)*(ROW()-3)/(MATCH(9.99E+307,'Returns (Calc)'!$A:$A)-3),"")</f>
        <v>311.953396226415</v>
      </c>
      <c r="AP84" s="154" t="n">
        <f aca="false">IFERROR(IF(OR(NOT(ISNUMBER('Price History'!W85)),NOT(ISNUMBER('Price History'!W84)),'Price History'!W84=0),"",'Price History'!W85/'Price History'!W84-1),"")</f>
        <v>0.034131205673759</v>
      </c>
      <c r="AQ84" s="154" t="str">
        <f aca="false">IFERROR(IF(OR(NOT(ISNUMBER('Price History'!X85)),NOT(ISNUMBER('Price History'!X84)),'Price History'!X84=0),"",'Price History'!X85/'Price History'!X84-1),"")</f>
        <v/>
      </c>
      <c r="AR84" s="154" t="n">
        <f aca="false">IFERROR(IF(OR(NOT(ISNUMBER('Price History'!Y85)),NOT(ISNUMBER('Price History'!Y84)),'Price History'!Y84=0),"",'Price History'!Y85/'Price History'!Y84-1),"")</f>
        <v>0.0351867940920938</v>
      </c>
      <c r="AS84" s="154" t="n">
        <f aca="false">IFERROR(IF(OR(NOT(ISNUMBER('Price History'!Z85)),NOT(ISNUMBER('Price History'!Z84)),'Price History'!Z84=0),"",'Price History'!Z85/'Price History'!Z84-1),"")</f>
        <v>0.0890795914667313</v>
      </c>
      <c r="AT84" s="154" t="n">
        <f aca="false">IFERROR(IF(OR(NOT(ISNUMBER('Price History'!AA85)),NOT(ISNUMBER('Price History'!AA84)),'Price History'!AA84=0),"",'Price History'!AA85/'Price History'!AA84-1),"")</f>
        <v>0.0729057132842621</v>
      </c>
      <c r="AU84" s="154" t="n">
        <f aca="false">IFERROR(IF(OR(NOT(ISNUMBER('Price History'!AB85)),NOT(ISNUMBER('Price History'!AB84)),'Price History'!AB84=0),"",'Price History'!AB85/'Price History'!AB84-1),"")</f>
        <v>0.0202171471359041</v>
      </c>
    </row>
    <row r="85" customFormat="false" ht="15" hidden="false" customHeight="true" outlineLevel="0" collapsed="false">
      <c r="A85" s="152" t="n">
        <f aca="false">IF('Price History'!A86="","",'Price History'!A86)</f>
        <v>45765</v>
      </c>
      <c r="B85" s="153" t="n">
        <f aca="false">IFERROR(IF(OR(NOT(ISNUMBER('Price History'!B86)),NOT(ISNUMBER('Price History'!B85)),'Price History'!B85=0),"",'Price History'!B86/'Price History'!B85-1),"")</f>
        <v>-0.0104122336652765</v>
      </c>
      <c r="C85" s="153" t="n">
        <f aca="false">IFERROR(IF(OR(NOT(ISNUMBER('Price History'!C86)),NOT(ISNUMBER('Price History'!C85)),'Price History'!C85=0),"",'Price History'!C86/'Price History'!C85-1),"")</f>
        <v>-0.0202284298885372</v>
      </c>
      <c r="D85" s="153" t="n">
        <f aca="false">IFERROR(IF(OR(NOT(ISNUMBER('Price History'!D86)),NOT(ISNUMBER('Price History'!D85)),'Price History'!D85=0),"",'Price History'!D86/'Price History'!D85-1),"")</f>
        <v>-0.0428478454995385</v>
      </c>
      <c r="E85" s="153" t="n">
        <f aca="false">IFERROR(IF(OR(NOT(ISNUMBER('Price History'!E86)),NOT(ISNUMBER('Price History'!E85)),'Price History'!E85=0),"",'Price History'!E86/'Price History'!E85-1),"")</f>
        <v>-0.0601579005893473</v>
      </c>
      <c r="F85" s="153" t="n">
        <f aca="false">IFERROR(IF(OR(NOT(ISNUMBER('Price History'!F86)),NOT(ISNUMBER('Price History'!F85)),'Price History'!F85=0),"",'Price History'!F86/'Price History'!F85-1),"")</f>
        <v>-0.00603366147983475</v>
      </c>
      <c r="G85" s="153" t="n">
        <f aca="false">IFERROR(IF(OR(NOT(ISNUMBER('Price History'!G86)),NOT(ISNUMBER('Price History'!G85)),'Price History'!G85=0),"",'Price History'!G86/'Price History'!G85-1),"")</f>
        <v>-0.0534960819770945</v>
      </c>
      <c r="H85" s="153" t="n">
        <f aca="false">IFERROR(IF(OR(NOT(ISNUMBER('Price History'!H86)),NOT(ISNUMBER('Price History'!H85)),'Price History'!H85=0),"",'Price History'!H86/'Price History'!H85-1),"")</f>
        <v>-0.0106674354908464</v>
      </c>
      <c r="I85" s="153" t="n">
        <f aca="false">IFERROR(IF(OR(NOT(ISNUMBER('Price History'!I86)),NOT(ISNUMBER('Price History'!I85)),'Price History'!I85=0),"",'Price History'!I86/'Price History'!I85-1),"")</f>
        <v>-0.0851333032083145</v>
      </c>
      <c r="J85" s="153" t="n">
        <f aca="false">IFERROR(IF(OR(NOT(ISNUMBER('Price History'!J86)),NOT(ISNUMBER('Price History'!J85)),'Price History'!J85=0),"",'Price History'!J86/'Price History'!J85-1),"")</f>
        <v>0.0610262008733624</v>
      </c>
      <c r="K85" s="153" t="n">
        <f aca="false">IFERROR(IF(OR(NOT(ISNUMBER('Price History'!K86)),NOT(ISNUMBER('Price History'!K85)),'Price History'!K85=0),"",'Price History'!K86/'Price History'!K85-1),"")</f>
        <v>0.0590626764539808</v>
      </c>
      <c r="L85" s="153" t="n">
        <f aca="false">IFERROR(IF(OR(NOT(ISNUMBER('Price History'!L86)),NOT(ISNUMBER('Price History'!L85)),'Price History'!L85=0),"",'Price History'!L86/'Price History'!L85-1),"")</f>
        <v>-0.0340069957248348</v>
      </c>
      <c r="M85" s="153" t="n">
        <f aca="false">IFERROR(IF(OR(NOT(ISNUMBER('Price History'!M86)),NOT(ISNUMBER('Price History'!M85)),'Price History'!M85=0),"",'Price History'!M86/'Price History'!M85-1),"")</f>
        <v>0.0518060152539934</v>
      </c>
      <c r="N85" s="153" t="n">
        <f aca="false">IFERROR(IF(OR(NOT(ISNUMBER('Price History'!N86)),NOT(ISNUMBER('Price History'!N85)),'Price History'!N85=0),"",'Price History'!N86/'Price History'!N85-1),"")</f>
        <v>0.0100780636900581</v>
      </c>
      <c r="O85" s="153" t="n">
        <f aca="false">IFERROR(IF(OR(NOT(ISNUMBER('Price History'!O86)),NOT(ISNUMBER('Price History'!O85)),'Price History'!O85=0),"",'Price History'!O86/'Price History'!O85-1),"")</f>
        <v>0.0186480186480187</v>
      </c>
      <c r="P85" s="153" t="n">
        <f aca="false">IFERROR(IF(OR(NOT(ISNUMBER('Price History'!P86)),NOT(ISNUMBER('Price History'!P85)),'Price History'!P85=0),"",'Price History'!P86/'Price History'!P85-1),"")</f>
        <v>0.0147108843537416</v>
      </c>
      <c r="Q85" s="153" t="n">
        <f aca="false">IFERROR(IF(OR(NOT(ISNUMBER('Price History'!Q86)),NOT(ISNUMBER('Price History'!Q85)),'Price History'!Q85=0),"",'Price History'!Q86/'Price History'!Q85-1),"")</f>
        <v>-0.00605536332179923</v>
      </c>
      <c r="R85" s="153" t="n">
        <f aca="false">IFERROR(IF(OR(NOT(ISNUMBER('Price History'!R86)),NOT(ISNUMBER('Price History'!R85)),'Price History'!R85=0),"",'Price History'!R86/'Price History'!R85-1),"")</f>
        <v>-0.0160825732117137</v>
      </c>
      <c r="S85" s="153" t="n">
        <f aca="false">IFERROR(IF(OR(NOT(ISNUMBER('Price History'!S86)),NOT(ISNUMBER('Price History'!S85)),'Price History'!S85=0),"",'Price History'!S86/'Price History'!S85-1),"")</f>
        <v>-0.0173521126760564</v>
      </c>
      <c r="T85" s="153" t="n">
        <f aca="false">IFERROR(IF(OR(NOT(ISNUMBER('Price History'!T86)),NOT(ISNUMBER('Price History'!T85)),'Price History'!T85=0),"",'Price History'!T86/'Price History'!T85-1),"")</f>
        <v>0.00711743772241991</v>
      </c>
      <c r="U85" s="153" t="n">
        <f aca="false">IFERROR(IF(OR(NOT(ISNUMBER('Price History'!U86)),NOT(ISNUMBER('Price History'!U85)),'Price History'!U85=0),"",'Price History'!U86/'Price History'!U85-1),"")</f>
        <v>0.00458715596330284</v>
      </c>
      <c r="V85" s="154" t="n">
        <f aca="false">IFERROR(IF(OR(NOT(ISNUMBER('Price History'!V86)),NOT(ISNUMBER('Price History'!V85)),'Price History'!V85=0),"",'Price History'!V86/'Price History'!V85-1),"")</f>
        <v>-0.0113763917119194</v>
      </c>
      <c r="W85" s="155" t="n">
        <f aca="false">IFERROR('Price History'!B3+(INDEX('Price History'!B:B,MATCH(9.99E+307,'Returns (Calc)'!$A:$A)+1)-'Price History'!B3)*(ROW()-3)/(MATCH(9.99E+307,'Returns (Calc)'!$A:$A)-3),"")</f>
        <v>381.073396226415</v>
      </c>
      <c r="X85" s="155" t="n">
        <f aca="false">IFERROR('Price History'!C3+(INDEX('Price History'!C:C,MATCH(9.99E+307,'Returns (Calc)'!$A:$A)+1)-'Price History'!C3)*(ROW()-3)/(MATCH(9.99E+307,'Returns (Calc)'!$A:$A)-3),"")</f>
        <v>134.141761006289</v>
      </c>
      <c r="Y85" s="155" t="n">
        <f aca="false">IFERROR('Price History'!D3+(INDEX('Price History'!D:D,MATCH(9.99E+307,'Returns (Calc)'!$A:$A)+1)-'Price History'!D3)*(ROW()-3)/(MATCH(9.99E+307,'Returns (Calc)'!$A:$A)-3),"")</f>
        <v>1200.01666666667</v>
      </c>
      <c r="Z85" s="155" t="n">
        <f aca="false">IFERROR('Price History'!E3+(INDEX('Price History'!E:E,MATCH(9.99E+307,'Returns (Calc)'!$A:$A)+1)-'Price History'!E3)*(ROW()-3)/(MATCH(9.99E+307,'Returns (Calc)'!$A:$A)-3),"")</f>
        <v>226.165283018868</v>
      </c>
      <c r="AA85" s="155" t="n">
        <f aca="false">IFERROR('Price History'!F3+(INDEX('Price History'!F:F,MATCH(9.99E+307,'Returns (Calc)'!$A:$A)+1)-'Price History'!F3)*(ROW()-3)/(MATCH(9.99E+307,'Returns (Calc)'!$A:$A)-3),"")</f>
        <v>161.874213836478</v>
      </c>
      <c r="AB85" s="155" t="n">
        <f aca="false">IFERROR('Price History'!G3+(INDEX('Price History'!G:G,MATCH(9.99E+307,'Returns (Calc)'!$A:$A)+1)-'Price History'!G3)*(ROW()-3)/(MATCH(9.99E+307,'Returns (Calc)'!$A:$A)-3),"")</f>
        <v>122.337672955975</v>
      </c>
      <c r="AC85" s="155" t="n">
        <f aca="false">IFERROR('Price History'!H3+(INDEX('Price History'!H:H,MATCH(9.99E+307,'Returns (Calc)'!$A:$A)+1)-'Price History'!H3)*(ROW()-3)/(MATCH(9.99E+307,'Returns (Calc)'!$A:$A)-3),"")</f>
        <v>564.147610062893</v>
      </c>
      <c r="AD85" s="155" t="n">
        <f aca="false">IFERROR('Price History'!I3+(INDEX('Price History'!I:I,MATCH(9.99E+307,'Returns (Calc)'!$A:$A)+1)-'Price History'!I3)*(ROW()-3)/(MATCH(9.99E+307,'Returns (Calc)'!$A:$A)-3),"")</f>
        <v>139.441823899371</v>
      </c>
      <c r="AE85" s="155" t="n">
        <f aca="false">IFERROR('Price History'!J3+(INDEX('Price History'!J:J,MATCH(9.99E+307,'Returns (Calc)'!$A:$A)+1)-'Price History'!J3)*(ROW()-3)/(MATCH(9.99E+307,'Returns (Calc)'!$A:$A)-3),"")</f>
        <v>120.94251572327</v>
      </c>
      <c r="AF85" s="155" t="n">
        <f aca="false">IFERROR('Price History'!K3+(INDEX('Price History'!K:K,MATCH(9.99E+307,'Returns (Calc)'!$A:$A)+1)-'Price History'!K3)*(ROW()-3)/(MATCH(9.99E+307,'Returns (Calc)'!$A:$A)-3),"")</f>
        <v>115.235911949686</v>
      </c>
      <c r="AG85" s="155" t="n">
        <f aca="false">IFERROR('Price History'!L3+(INDEX('Price History'!L:L,MATCH(9.99E+307,'Returns (Calc)'!$A:$A)+1)-'Price History'!L3)*(ROW()-3)/(MATCH(9.99E+307,'Returns (Calc)'!$A:$A)-3),"")</f>
        <v>275.309245283019</v>
      </c>
      <c r="AH85" s="155" t="n">
        <f aca="false">IFERROR('Price History'!M3+(INDEX('Price History'!M:M,MATCH(9.99E+307,'Returns (Calc)'!$A:$A)+1)-'Price History'!M3)*(ROW()-3)/(MATCH(9.99E+307,'Returns (Calc)'!$A:$A)-3),"")</f>
        <v>143.619496855346</v>
      </c>
      <c r="AI85" s="155" t="n">
        <f aca="false">IFERROR('Price History'!N3+(INDEX('Price History'!N:N,MATCH(9.99E+307,'Returns (Calc)'!$A:$A)+1)-'Price History'!N3)*(ROW()-3)/(MATCH(9.99E+307,'Returns (Calc)'!$A:$A)-3),"")</f>
        <v>432.02427672956</v>
      </c>
      <c r="AJ85" s="155" t="n">
        <f aca="false">IFERROR('Price History'!O3+(INDEX('Price History'!O:O,MATCH(9.99E+307,'Returns (Calc)'!$A:$A)+1)-'Price History'!O3)*(ROW()-3)/(MATCH(9.99E+307,'Returns (Calc)'!$A:$A)-3),"")</f>
        <v>98.1720125786164</v>
      </c>
      <c r="AK85" s="155" t="n">
        <f aca="false">IFERROR('Price History'!Q3+(INDEX('Price History'!Q:Q,MATCH(9.99E+307,'Returns (Calc)'!$A:$A)+1)-'Price History'!Q3)*(ROW()-3)/(MATCH(9.99E+307,'Returns (Calc)'!$A:$A)-3),"")</f>
        <v>36.0851572327044</v>
      </c>
      <c r="AL85" s="155" t="n">
        <f aca="false">IFERROR('Price History'!R3+(INDEX('Price History'!R:R,MATCH(9.99E+307,'Returns (Calc)'!$A:$A)+1)-'Price History'!R3)*(ROW()-3)/(MATCH(9.99E+307,'Returns (Calc)'!$A:$A)-3),"")</f>
        <v>48.2033962264151</v>
      </c>
      <c r="AM85" s="155" t="n">
        <f aca="false">IFERROR('Price History'!S3+(INDEX('Price History'!S:S,MATCH(9.99E+307,'Returns (Calc)'!$A:$A)+1)-'Price History'!S3)*(ROW()-3)/(MATCH(9.99E+307,'Returns (Calc)'!$A:$A)-3),"")</f>
        <v>105.865597484277</v>
      </c>
      <c r="AN85" s="155" t="n">
        <f aca="false">IFERROR('Price History'!T3+(INDEX('Price History'!T:T,MATCH(9.99E+307,'Returns (Calc)'!$A:$A)+1)-'Price History'!T3)*(ROW()-3)/(MATCH(9.99E+307,'Returns (Calc)'!$A:$A)-3),"")</f>
        <v>39.449748427673</v>
      </c>
      <c r="AO85" s="156" t="n">
        <f aca="false">IFERROR('Price History'!V3+(INDEX('Price History'!V:V,MATCH(9.99E+307,'Returns (Calc)'!$A:$A)+1)-'Price History'!V3)*(ROW()-3)/(MATCH(9.99E+307,'Returns (Calc)'!$A:$A)-3),"")</f>
        <v>312.895660377358</v>
      </c>
      <c r="AP85" s="154" t="n">
        <f aca="false">IFERROR(IF(OR(NOT(ISNUMBER('Price History'!W86)),NOT(ISNUMBER('Price History'!W85)),'Price History'!W85=0),"",'Price History'!W86/'Price History'!W85-1),"")</f>
        <v>-0.00154307758251182</v>
      </c>
      <c r="AQ85" s="154" t="str">
        <f aca="false">IFERROR(IF(OR(NOT(ISNUMBER('Price History'!X86)),NOT(ISNUMBER('Price History'!X85)),'Price History'!X85=0),"",'Price History'!X86/'Price History'!X85-1),"")</f>
        <v/>
      </c>
      <c r="AR85" s="154" t="n">
        <f aca="false">IFERROR(IF(OR(NOT(ISNUMBER('Price History'!Y86)),NOT(ISNUMBER('Price History'!Y85)),'Price History'!Y85=0),"",'Price History'!Y86/'Price History'!Y85-1),"")</f>
        <v>-0.00398657154846827</v>
      </c>
      <c r="AS85" s="154" t="n">
        <f aca="false">IFERROR(IF(OR(NOT(ISNUMBER('Price History'!Z86)),NOT(ISNUMBER('Price History'!Z85)),'Price History'!Z85=0),"",'Price History'!Z86/'Price History'!Z85-1),"")</f>
        <v>0.000665889795238961</v>
      </c>
      <c r="AT85" s="154" t="n">
        <f aca="false">IFERROR(IF(OR(NOT(ISNUMBER('Price History'!AA86)),NOT(ISNUMBER('Price History'!AA85)),'Price History'!AA85=0),"",'Price History'!AA86/'Price History'!AA85-1),"")</f>
        <v>0.0595665904388545</v>
      </c>
      <c r="AU85" s="154" t="n">
        <f aca="false">IFERROR(IF(OR(NOT(ISNUMBER('Price History'!AB86)),NOT(ISNUMBER('Price History'!AB85)),'Price History'!AB85=0),"",'Price History'!AB86/'Price History'!AB85-1),"")</f>
        <v>-0.00940366972477069</v>
      </c>
    </row>
    <row r="86" customFormat="false" ht="15" hidden="false" customHeight="true" outlineLevel="0" collapsed="false">
      <c r="A86" s="152" t="n">
        <f aca="false">IF('Price History'!A87="","",'Price History'!A87)</f>
        <v>45772</v>
      </c>
      <c r="B86" s="153" t="n">
        <f aca="false">IFERROR(IF(OR(NOT(ISNUMBER('Price History'!B87)),NOT(ISNUMBER('Price History'!B86)),'Price History'!B86=0),"",'Price History'!B87/'Price History'!B86-1),"")</f>
        <v>0.0542431192660551</v>
      </c>
      <c r="C86" s="153" t="n">
        <f aca="false">IFERROR(IF(OR(NOT(ISNUMBER('Price History'!C87)),NOT(ISNUMBER('Price History'!C86)),'Price History'!C86=0),"",'Price History'!C87/'Price History'!C86-1),"")</f>
        <v>0.0942415730337078</v>
      </c>
      <c r="D86" s="153" t="n">
        <f aca="false">IFERROR(IF(OR(NOT(ISNUMBER('Price History'!D87)),NOT(ISNUMBER('Price History'!D86)),'Price History'!D86=0),"",'Price History'!D87/'Price History'!D86-1),"")</f>
        <v>0.0579696394686906</v>
      </c>
      <c r="E86" s="153" t="n">
        <f aca="false">IFERROR(IF(OR(NOT(ISNUMBER('Price History'!E87)),NOT(ISNUMBER('Price History'!E86)),'Price History'!E86=0),"",'Price History'!E87/'Price History'!E86-1),"")</f>
        <v>0.124704212020823</v>
      </c>
      <c r="F86" s="153" t="n">
        <f aca="false">IFERROR(IF(OR(NOT(ISNUMBER('Price History'!F87)),NOT(ISNUMBER('Price History'!F86)),'Price History'!F86=0),"",'Price History'!F87/'Price History'!F86-1),"")</f>
        <v>0.131203407880724</v>
      </c>
      <c r="G86" s="153" t="n">
        <f aca="false">IFERROR(IF(OR(NOT(ISNUMBER('Price History'!G87)),NOT(ISNUMBER('Price History'!G86)),'Price History'!G86=0),"",'Price History'!G87/'Price History'!G86-1),"")</f>
        <v>0.0948893488298042</v>
      </c>
      <c r="H86" s="153" t="n">
        <f aca="false">IFERROR(IF(OR(NOT(ISNUMBER('Price History'!H87)),NOT(ISNUMBER('Price History'!H86)),'Price History'!H86=0),"",'Price History'!H87/'Price History'!H86-1),"")</f>
        <v>0.159551216669095</v>
      </c>
      <c r="I86" s="153" t="n">
        <f aca="false">IFERROR(IF(OR(NOT(ISNUMBER('Price History'!I87)),NOT(ISNUMBER('Price History'!I86)),'Price History'!I86=0),"",'Price History'!I87/'Price History'!I86-1),"")</f>
        <v>0.0938456979156377</v>
      </c>
      <c r="J86" s="153" t="n">
        <f aca="false">IFERROR(IF(OR(NOT(ISNUMBER('Price History'!J87)),NOT(ISNUMBER('Price History'!J86)),'Price History'!J86=0),"",'Price History'!J87/'Price History'!J86-1),"")</f>
        <v>0.00133758617141666</v>
      </c>
      <c r="K86" s="153" t="n">
        <f aca="false">IFERROR(IF(OR(NOT(ISNUMBER('Price History'!K87)),NOT(ISNUMBER('Price History'!K86)),'Price History'!K86=0),"",'Price History'!K87/'Price History'!K86-1),"")</f>
        <v>0.202601834079761</v>
      </c>
      <c r="L86" s="153" t="n">
        <f aca="false">IFERROR(IF(OR(NOT(ISNUMBER('Price History'!L87)),NOT(ISNUMBER('Price History'!L86)),'Price History'!L86=0),"",'Price History'!L87/'Price History'!L86-1),"")</f>
        <v>0.0880439884664386</v>
      </c>
      <c r="M86" s="153" t="n">
        <f aca="false">IFERROR(IF(OR(NOT(ISNUMBER('Price History'!M87)),NOT(ISNUMBER('Price History'!M86)),'Price History'!M86=0),"",'Price History'!M87/'Price History'!M86-1),"")</f>
        <v>0.187576959912437</v>
      </c>
      <c r="N86" s="153" t="n">
        <f aca="false">IFERROR(IF(OR(NOT(ISNUMBER('Price History'!N87)),NOT(ISNUMBER('Price History'!N86)),'Price History'!N86=0),"",'Price History'!N87/'Price History'!N86-1),"")</f>
        <v>0.00969126967900214</v>
      </c>
      <c r="O86" s="153" t="n">
        <f aca="false">IFERROR(IF(OR(NOT(ISNUMBER('Price History'!O87)),NOT(ISNUMBER('Price History'!O86)),'Price History'!O86=0),"",'Price History'!O87/'Price History'!O86-1),"")</f>
        <v>0.0280956013221461</v>
      </c>
      <c r="P86" s="153" t="n">
        <f aca="false">IFERROR(IF(OR(NOT(ISNUMBER('Price History'!P87)),NOT(ISNUMBER('Price History'!P86)),'Price History'!P86=0),"",'Price History'!P87/'Price History'!P86-1),"")</f>
        <v>0.0143300092181347</v>
      </c>
      <c r="Q86" s="153" t="n">
        <f aca="false">IFERROR(IF(OR(NOT(ISNUMBER('Price History'!Q87)),NOT(ISNUMBER('Price History'!Q86)),'Price History'!Q86=0),"",'Price History'!Q87/'Price History'!Q86-1),"")</f>
        <v>0.0177545691906005</v>
      </c>
      <c r="R86" s="153" t="n">
        <f aca="false">IFERROR(IF(OR(NOT(ISNUMBER('Price History'!R87)),NOT(ISNUMBER('Price History'!R86)),'Price History'!R86=0),"",'Price History'!R87/'Price History'!R86-1),"")</f>
        <v>0.0480605025616003</v>
      </c>
      <c r="S86" s="153" t="n">
        <f aca="false">IFERROR(IF(OR(NOT(ISNUMBER('Price History'!S87)),NOT(ISNUMBER('Price History'!S86)),'Price History'!S86=0),"",'Price History'!S87/'Price History'!S86-1),"")</f>
        <v>0.0652448113748425</v>
      </c>
      <c r="T86" s="153" t="n">
        <f aca="false">IFERROR(IF(OR(NOT(ISNUMBER('Price History'!T87)),NOT(ISNUMBER('Price History'!T86)),'Price History'!T86=0),"",'Price History'!T87/'Price History'!T86-1),"")</f>
        <v>0.0330870542884676</v>
      </c>
      <c r="U86" s="153" t="n">
        <f aca="false">IFERROR(IF(OR(NOT(ISNUMBER('Price History'!U87)),NOT(ISNUMBER('Price History'!U86)),'Price History'!U86=0),"",'Price History'!U87/'Price History'!U86-1),"")</f>
        <v>0.00996264009962644</v>
      </c>
      <c r="V86" s="154" t="n">
        <f aca="false">IFERROR(IF(OR(NOT(ISNUMBER('Price History'!V87)),NOT(ISNUMBER('Price History'!V86)),'Price History'!V86=0),"",'Price History'!V87/'Price History'!V86-1),"")</f>
        <v>0.0168773781760156</v>
      </c>
      <c r="W86" s="155" t="n">
        <f aca="false">IFERROR('Price History'!B3+(INDEX('Price History'!B:B,MATCH(9.99E+307,'Returns (Calc)'!$A:$A)+1)-'Price History'!B3)*(ROW()-3)/(MATCH(9.99E+307,'Returns (Calc)'!$A:$A)-3),"")</f>
        <v>379.270754716981</v>
      </c>
      <c r="X86" s="155" t="n">
        <f aca="false">IFERROR('Price History'!C3+(INDEX('Price History'!C:C,MATCH(9.99E+307,'Returns (Calc)'!$A:$A)+1)-'Price History'!C3)*(ROW()-3)/(MATCH(9.99E+307,'Returns (Calc)'!$A:$A)-3),"")</f>
        <v>135.214465408805</v>
      </c>
      <c r="Y86" s="155" t="n">
        <f aca="false">IFERROR('Price History'!D3+(INDEX('Price History'!D:D,MATCH(9.99E+307,'Returns (Calc)'!$A:$A)+1)-'Price History'!D3)*(ROW()-3)/(MATCH(9.99E+307,'Returns (Calc)'!$A:$A)-3),"")</f>
        <v>1207.55333333333</v>
      </c>
      <c r="Z86" s="155" t="n">
        <f aca="false">IFERROR('Price History'!E3+(INDEX('Price History'!E:E,MATCH(9.99E+307,'Returns (Calc)'!$A:$A)+1)-'Price History'!E3)*(ROW()-3)/(MATCH(9.99E+307,'Returns (Calc)'!$A:$A)-3),"")</f>
        <v>227.923396226415</v>
      </c>
      <c r="AA86" s="155" t="n">
        <f aca="false">IFERROR('Price History'!F3+(INDEX('Price History'!F:F,MATCH(9.99E+307,'Returns (Calc)'!$A:$A)+1)-'Price History'!F3)*(ROW()-3)/(MATCH(9.99E+307,'Returns (Calc)'!$A:$A)-3),"")</f>
        <v>163.343899371069</v>
      </c>
      <c r="AB86" s="155" t="n">
        <f aca="false">IFERROR('Price History'!G3+(INDEX('Price History'!G:G,MATCH(9.99E+307,'Returns (Calc)'!$A:$A)+1)-'Price History'!G3)*(ROW()-3)/(MATCH(9.99E+307,'Returns (Calc)'!$A:$A)-3),"")</f>
        <v>123.288742138365</v>
      </c>
      <c r="AC86" s="155" t="n">
        <f aca="false">IFERROR('Price History'!H3+(INDEX('Price History'!H:H,MATCH(9.99E+307,'Returns (Calc)'!$A:$A)+1)-'Price History'!H3)*(ROW()-3)/(MATCH(9.99E+307,'Returns (Calc)'!$A:$A)-3),"")</f>
        <v>570.18465408805</v>
      </c>
      <c r="AD86" s="155" t="n">
        <f aca="false">IFERROR('Price History'!I3+(INDEX('Price History'!I:I,MATCH(9.99E+307,'Returns (Calc)'!$A:$A)+1)-'Price History'!I3)*(ROW()-3)/(MATCH(9.99E+307,'Returns (Calc)'!$A:$A)-3),"")</f>
        <v>140.60855345912</v>
      </c>
      <c r="AE86" s="155" t="n">
        <f aca="false">IFERROR('Price History'!J3+(INDEX('Price History'!J:J,MATCH(9.99E+307,'Returns (Calc)'!$A:$A)+1)-'Price History'!J3)*(ROW()-3)/(MATCH(9.99E+307,'Returns (Calc)'!$A:$A)-3),"")</f>
        <v>121.053522012579</v>
      </c>
      <c r="AF86" s="155" t="n">
        <f aca="false">IFERROR('Price History'!K3+(INDEX('Price History'!K:K,MATCH(9.99E+307,'Returns (Calc)'!$A:$A)+1)-'Price History'!K3)*(ROW()-3)/(MATCH(9.99E+307,'Returns (Calc)'!$A:$A)-3),"")</f>
        <v>116.45427672956</v>
      </c>
      <c r="AG86" s="155" t="n">
        <f aca="false">IFERROR('Price History'!L3+(INDEX('Price History'!L:L,MATCH(9.99E+307,'Returns (Calc)'!$A:$A)+1)-'Price History'!L3)*(ROW()-3)/(MATCH(9.99E+307,'Returns (Calc)'!$A:$A)-3),"")</f>
        <v>277.620943396226</v>
      </c>
      <c r="AH86" s="155" t="n">
        <f aca="false">IFERROR('Price History'!M3+(INDEX('Price History'!M:M,MATCH(9.99E+307,'Returns (Calc)'!$A:$A)+1)-'Price History'!M3)*(ROW()-3)/(MATCH(9.99E+307,'Returns (Calc)'!$A:$A)-3),"")</f>
        <v>144.907295597484</v>
      </c>
      <c r="AI86" s="155" t="n">
        <f aca="false">IFERROR('Price History'!N3+(INDEX('Price History'!N:N,MATCH(9.99E+307,'Returns (Calc)'!$A:$A)+1)-'Price History'!N3)*(ROW()-3)/(MATCH(9.99E+307,'Returns (Calc)'!$A:$A)-3),"")</f>
        <v>433.037987421384</v>
      </c>
      <c r="AJ86" s="155" t="n">
        <f aca="false">IFERROR('Price History'!O3+(INDEX('Price History'!O:O,MATCH(9.99E+307,'Returns (Calc)'!$A:$A)+1)-'Price History'!O3)*(ROW()-3)/(MATCH(9.99E+307,'Returns (Calc)'!$A:$A)-3),"")</f>
        <v>98.4508176100629</v>
      </c>
      <c r="AK86" s="155" t="n">
        <f aca="false">IFERROR('Price History'!Q3+(INDEX('Price History'!Q:Q,MATCH(9.99E+307,'Returns (Calc)'!$A:$A)+1)-'Price History'!Q3)*(ROW()-3)/(MATCH(9.99E+307,'Returns (Calc)'!$A:$A)-3),"")</f>
        <v>36.5252201257862</v>
      </c>
      <c r="AL86" s="155" t="n">
        <f aca="false">IFERROR('Price History'!R3+(INDEX('Price History'!R:R,MATCH(9.99E+307,'Returns (Calc)'!$A:$A)+1)-'Price History'!R3)*(ROW()-3)/(MATCH(9.99E+307,'Returns (Calc)'!$A:$A)-3),"")</f>
        <v>48.3707547169811</v>
      </c>
      <c r="AM86" s="155" t="n">
        <f aca="false">IFERROR('Price History'!S3+(INDEX('Price History'!S:S,MATCH(9.99E+307,'Returns (Calc)'!$A:$A)+1)-'Price History'!S3)*(ROW()-3)/(MATCH(9.99E+307,'Returns (Calc)'!$A:$A)-3),"")</f>
        <v>106.453836477987</v>
      </c>
      <c r="AN86" s="155" t="n">
        <f aca="false">IFERROR('Price History'!T3+(INDEX('Price History'!T:T,MATCH(9.99E+307,'Returns (Calc)'!$A:$A)+1)-'Price History'!T3)*(ROW()-3)/(MATCH(9.99E+307,'Returns (Calc)'!$A:$A)-3),"")</f>
        <v>39.6236477987421</v>
      </c>
      <c r="AO86" s="156" t="n">
        <f aca="false">IFERROR('Price History'!V3+(INDEX('Price History'!V:V,MATCH(9.99E+307,'Returns (Calc)'!$A:$A)+1)-'Price History'!V3)*(ROW()-3)/(MATCH(9.99E+307,'Returns (Calc)'!$A:$A)-3),"")</f>
        <v>313.837924528302</v>
      </c>
      <c r="AP86" s="154" t="n">
        <f aca="false">IFERROR(IF(OR(NOT(ISNUMBER('Price History'!W87)),NOT(ISNUMBER('Price History'!W86)),'Price History'!W86=0),"",'Price History'!W87/'Price History'!W86-1),"")</f>
        <v>0.0204344466386193</v>
      </c>
      <c r="AQ86" s="154" t="str">
        <f aca="false">IFERROR(IF(OR(NOT(ISNUMBER('Price History'!X87)),NOT(ISNUMBER('Price History'!X86)),'Price History'!X86=0),"",'Price History'!X87/'Price History'!X86-1),"")</f>
        <v/>
      </c>
      <c r="AR86" s="154" t="n">
        <f aca="false">IFERROR(IF(OR(NOT(ISNUMBER('Price History'!Y87)),NOT(ISNUMBER('Price History'!Y86)),'Price History'!Y86=0),"",'Price History'!Y87/'Price History'!Y86-1),"")</f>
        <v>0.0225405519275332</v>
      </c>
      <c r="AS86" s="154" t="n">
        <f aca="false">IFERROR(IF(OR(NOT(ISNUMBER('Price History'!Z87)),NOT(ISNUMBER('Price History'!Z86)),'Price History'!Z86=0),"",'Price History'!Z87/'Price History'!Z86-1),"")</f>
        <v>0.0915543725392336</v>
      </c>
      <c r="AT86" s="154" t="n">
        <f aca="false">IFERROR(IF(OR(NOT(ISNUMBER('Price History'!AA87)),NOT(ISNUMBER('Price History'!AA86)),'Price History'!AA86=0),"",'Price History'!AA87/'Price History'!AA86-1),"")</f>
        <v>0.132065775950668</v>
      </c>
      <c r="AU86" s="154" t="n">
        <f aca="false">IFERROR(IF(OR(NOT(ISNUMBER('Price History'!AB87)),NOT(ISNUMBER('Price History'!AB86)),'Price History'!AB86=0),"",'Price History'!AB87/'Price History'!AB86-1),"")</f>
        <v>0.0536698309793935</v>
      </c>
    </row>
    <row r="87" customFormat="false" ht="15" hidden="false" customHeight="true" outlineLevel="0" collapsed="false">
      <c r="A87" s="152" t="n">
        <f aca="false">IF('Price History'!A88="","",'Price History'!A88)</f>
        <v>45779</v>
      </c>
      <c r="B87" s="153" t="n">
        <f aca="false">IFERROR(IF(OR(NOT(ISNUMBER('Price History'!B88)),NOT(ISNUMBER('Price History'!B87)),'Price History'!B87=0),"",'Price History'!B88/'Price History'!B87-1),"")</f>
        <v>0.0357609050364407</v>
      </c>
      <c r="C87" s="153" t="n">
        <f aca="false">IFERROR(IF(OR(NOT(ISNUMBER('Price History'!C88)),NOT(ISNUMBER('Price History'!C87)),'Price History'!C87=0),"",'Price History'!C88/'Price History'!C87-1),"")</f>
        <v>0.168271082017713</v>
      </c>
      <c r="D87" s="153" t="n">
        <f aca="false">IFERROR(IF(OR(NOT(ISNUMBER('Price History'!D88)),NOT(ISNUMBER('Price History'!D87)),'Price History'!D87=0),"",'Price History'!D88/'Price History'!D87-1),"")</f>
        <v>0.0224494066301977</v>
      </c>
      <c r="E87" s="153" t="n">
        <f aca="false">IFERROR(IF(OR(NOT(ISNUMBER('Price History'!E88)),NOT(ISNUMBER('Price History'!E87)),'Price History'!E87=0),"",'Price History'!E88/'Price History'!E87-1),"")</f>
        <v>0.0589101620029455</v>
      </c>
      <c r="F87" s="153" t="n">
        <f aca="false">IFERROR(IF(OR(NOT(ISNUMBER('Price History'!F88)),NOT(ISNUMBER('Price History'!F87)),'Price History'!F87=0),"",'Price History'!F88/'Price History'!F87-1),"")</f>
        <v>0.0369045377518358</v>
      </c>
      <c r="G87" s="153" t="n">
        <f aca="false">IFERROR(IF(OR(NOT(ISNUMBER('Price History'!G88)),NOT(ISNUMBER('Price History'!G87)),'Price History'!G87=0),"",'Price History'!G88/'Price History'!G87-1),"")</f>
        <v>0.00508942852988237</v>
      </c>
      <c r="H87" s="153" t="n">
        <f aca="false">IFERROR(IF(OR(NOT(ISNUMBER('Price History'!H88)),NOT(ISNUMBER('Price History'!H87)),'Price History'!H87=0),"",'Price History'!H88/'Price History'!H87-1),"")</f>
        <v>0.0116863533551144</v>
      </c>
      <c r="I87" s="153" t="n">
        <f aca="false">IFERROR(IF(OR(NOT(ISNUMBER('Price History'!I88)),NOT(ISNUMBER('Price History'!I87)),'Price History'!I87=0),"",'Price History'!I88/'Price History'!I87-1),"")</f>
        <v>0.0314277973448929</v>
      </c>
      <c r="J87" s="153" t="n">
        <f aca="false">IFERROR(IF(OR(NOT(ISNUMBER('Price History'!J88)),NOT(ISNUMBER('Price History'!J87)),'Price History'!J87=0),"",'Price History'!J88/'Price History'!J87-1),"")</f>
        <v>0.0310316481709825</v>
      </c>
      <c r="K87" s="153" t="n">
        <f aca="false">IFERROR(IF(OR(NOT(ISNUMBER('Price History'!K88)),NOT(ISNUMBER('Price History'!K87)),'Price History'!K87=0),"",'Price History'!K88/'Price History'!K87-1),"")</f>
        <v>0.101968434119525</v>
      </c>
      <c r="L87" s="153" t="n">
        <f aca="false">IFERROR(IF(OR(NOT(ISNUMBER('Price History'!L88)),NOT(ISNUMBER('Price History'!L87)),'Price History'!L87=0),"",'Price History'!L88/'Price History'!L87-1),"")</f>
        <v>0.0859115000616295</v>
      </c>
      <c r="M87" s="153" t="n">
        <f aca="false">IFERROR(IF(OR(NOT(ISNUMBER('Price History'!M88)),NOT(ISNUMBER('Price History'!M87)),'Price History'!M87=0),"",'Price History'!M88/'Price History'!M87-1),"")</f>
        <v>0.0926267281105992</v>
      </c>
      <c r="N87" s="153" t="n">
        <f aca="false">IFERROR(IF(OR(NOT(ISNUMBER('Price History'!N88)),NOT(ISNUMBER('Price History'!N87)),'Price History'!N87=0),"",'Price History'!N88/'Price History'!N87-1),"")</f>
        <v>0.0148023651385063</v>
      </c>
      <c r="O87" s="153" t="n">
        <f aca="false">IFERROR(IF(OR(NOT(ISNUMBER('Price History'!O88)),NOT(ISNUMBER('Price History'!O87)),'Price History'!O87=0),"",'Price History'!O88/'Price History'!O87-1),"")</f>
        <v>0.0338815382712996</v>
      </c>
      <c r="P87" s="153" t="n">
        <f aca="false">IFERROR(IF(OR(NOT(ISNUMBER('Price History'!P88)),NOT(ISNUMBER('Price History'!P87)),'Price History'!P87=0),"",'Price History'!P88/'Price History'!P87-1),"")</f>
        <v>0.016606080634501</v>
      </c>
      <c r="Q87" s="153" t="n">
        <f aca="false">IFERROR(IF(OR(NOT(ISNUMBER('Price History'!Q88)),NOT(ISNUMBER('Price History'!Q87)),'Price History'!Q87=0),"",'Price History'!Q88/'Price History'!Q87-1),"")</f>
        <v>0.0164186762442278</v>
      </c>
      <c r="R87" s="153" t="n">
        <f aca="false">IFERROR(IF(OR(NOT(ISNUMBER('Price History'!R88)),NOT(ISNUMBER('Price History'!R87)),'Price History'!R87=0),"",'Price History'!R88/'Price History'!R87-1),"")</f>
        <v>0.0197858472998138</v>
      </c>
      <c r="S87" s="153" t="n">
        <f aca="false">IFERROR(IF(OR(NOT(ISNUMBER('Price History'!S88)),NOT(ISNUMBER('Price History'!S87)),'Price History'!S87=0),"",'Price History'!S88/'Price History'!S87-1),"")</f>
        <v>0.0402583423035521</v>
      </c>
      <c r="T87" s="153" t="n">
        <f aca="false">IFERROR(IF(OR(NOT(ISNUMBER('Price History'!T88)),NOT(ISNUMBER('Price History'!T87)),'Price History'!T87=0),"",'Price History'!T88/'Price History'!T87-1),"")</f>
        <v>0.0189676616915424</v>
      </c>
      <c r="U87" s="153" t="n">
        <f aca="false">IFERROR(IF(OR(NOT(ISNUMBER('Price History'!U88)),NOT(ISNUMBER('Price History'!U87)),'Price History'!U87=0),"",'Price History'!U88/'Price History'!U87-1),"")</f>
        <v>0.0152075626798192</v>
      </c>
      <c r="V87" s="154" t="n">
        <f aca="false">IFERROR(IF(OR(NOT(ISNUMBER('Price History'!V88)),NOT(ISNUMBER('Price History'!V87)),'Price History'!V87=0),"",'Price History'!V88/'Price History'!V87-1),"")</f>
        <v>0.0370873317641378</v>
      </c>
      <c r="W87" s="155" t="n">
        <f aca="false">IFERROR('Price History'!B3+(INDEX('Price History'!B:B,MATCH(9.99E+307,'Returns (Calc)'!$A:$A)+1)-'Price History'!B3)*(ROW()-3)/(MATCH(9.99E+307,'Returns (Calc)'!$A:$A)-3),"")</f>
        <v>377.468113207547</v>
      </c>
      <c r="X87" s="155" t="n">
        <f aca="false">IFERROR('Price History'!C3+(INDEX('Price History'!C:C,MATCH(9.99E+307,'Returns (Calc)'!$A:$A)+1)-'Price History'!C3)*(ROW()-3)/(MATCH(9.99E+307,'Returns (Calc)'!$A:$A)-3),"")</f>
        <v>136.287169811321</v>
      </c>
      <c r="Y87" s="155" t="n">
        <f aca="false">IFERROR('Price History'!D3+(INDEX('Price History'!D:D,MATCH(9.99E+307,'Returns (Calc)'!$A:$A)+1)-'Price History'!D3)*(ROW()-3)/(MATCH(9.99E+307,'Returns (Calc)'!$A:$A)-3),"")</f>
        <v>1215.09</v>
      </c>
      <c r="Z87" s="155" t="n">
        <f aca="false">IFERROR('Price History'!E3+(INDEX('Price History'!E:E,MATCH(9.99E+307,'Returns (Calc)'!$A:$A)+1)-'Price History'!E3)*(ROW()-3)/(MATCH(9.99E+307,'Returns (Calc)'!$A:$A)-3),"")</f>
        <v>229.681509433962</v>
      </c>
      <c r="AA87" s="155" t="n">
        <f aca="false">IFERROR('Price History'!F3+(INDEX('Price History'!F:F,MATCH(9.99E+307,'Returns (Calc)'!$A:$A)+1)-'Price History'!F3)*(ROW()-3)/(MATCH(9.99E+307,'Returns (Calc)'!$A:$A)-3),"")</f>
        <v>164.81358490566</v>
      </c>
      <c r="AB87" s="155" t="n">
        <f aca="false">IFERROR('Price History'!G3+(INDEX('Price History'!G:G,MATCH(9.99E+307,'Returns (Calc)'!$A:$A)+1)-'Price History'!G3)*(ROW()-3)/(MATCH(9.99E+307,'Returns (Calc)'!$A:$A)-3),"")</f>
        <v>124.239811320755</v>
      </c>
      <c r="AC87" s="155" t="n">
        <f aca="false">IFERROR('Price History'!H3+(INDEX('Price History'!H:H,MATCH(9.99E+307,'Returns (Calc)'!$A:$A)+1)-'Price History'!H3)*(ROW()-3)/(MATCH(9.99E+307,'Returns (Calc)'!$A:$A)-3),"")</f>
        <v>576.221698113208</v>
      </c>
      <c r="AD87" s="155" t="n">
        <f aca="false">IFERROR('Price History'!I3+(INDEX('Price History'!I:I,MATCH(9.99E+307,'Returns (Calc)'!$A:$A)+1)-'Price History'!I3)*(ROW()-3)/(MATCH(9.99E+307,'Returns (Calc)'!$A:$A)-3),"")</f>
        <v>141.775283018868</v>
      </c>
      <c r="AE87" s="155" t="n">
        <f aca="false">IFERROR('Price History'!J3+(INDEX('Price History'!J:J,MATCH(9.99E+307,'Returns (Calc)'!$A:$A)+1)-'Price History'!J3)*(ROW()-3)/(MATCH(9.99E+307,'Returns (Calc)'!$A:$A)-3),"")</f>
        <v>121.164528301887</v>
      </c>
      <c r="AF87" s="155" t="n">
        <f aca="false">IFERROR('Price History'!K3+(INDEX('Price History'!K:K,MATCH(9.99E+307,'Returns (Calc)'!$A:$A)+1)-'Price History'!K3)*(ROW()-3)/(MATCH(9.99E+307,'Returns (Calc)'!$A:$A)-3),"")</f>
        <v>117.672641509434</v>
      </c>
      <c r="AG87" s="155" t="n">
        <f aca="false">IFERROR('Price History'!L3+(INDEX('Price History'!L:L,MATCH(9.99E+307,'Returns (Calc)'!$A:$A)+1)-'Price History'!L3)*(ROW()-3)/(MATCH(9.99E+307,'Returns (Calc)'!$A:$A)-3),"")</f>
        <v>279.932641509434</v>
      </c>
      <c r="AH87" s="155" t="n">
        <f aca="false">IFERROR('Price History'!M3+(INDEX('Price History'!M:M,MATCH(9.99E+307,'Returns (Calc)'!$A:$A)+1)-'Price History'!M3)*(ROW()-3)/(MATCH(9.99E+307,'Returns (Calc)'!$A:$A)-3),"")</f>
        <v>146.195094339623</v>
      </c>
      <c r="AI87" s="155" t="n">
        <f aca="false">IFERROR('Price History'!N3+(INDEX('Price History'!N:N,MATCH(9.99E+307,'Returns (Calc)'!$A:$A)+1)-'Price History'!N3)*(ROW()-3)/(MATCH(9.99E+307,'Returns (Calc)'!$A:$A)-3),"")</f>
        <v>434.051698113208</v>
      </c>
      <c r="AJ87" s="155" t="n">
        <f aca="false">IFERROR('Price History'!O3+(INDEX('Price History'!O:O,MATCH(9.99E+307,'Returns (Calc)'!$A:$A)+1)-'Price History'!O3)*(ROW()-3)/(MATCH(9.99E+307,'Returns (Calc)'!$A:$A)-3),"")</f>
        <v>98.7296226415094</v>
      </c>
      <c r="AK87" s="155" t="n">
        <f aca="false">IFERROR('Price History'!Q3+(INDEX('Price History'!Q:Q,MATCH(9.99E+307,'Returns (Calc)'!$A:$A)+1)-'Price History'!Q3)*(ROW()-3)/(MATCH(9.99E+307,'Returns (Calc)'!$A:$A)-3),"")</f>
        <v>36.9652830188679</v>
      </c>
      <c r="AL87" s="155" t="n">
        <f aca="false">IFERROR('Price History'!R3+(INDEX('Price History'!R:R,MATCH(9.99E+307,'Returns (Calc)'!$A:$A)+1)-'Price History'!R3)*(ROW()-3)/(MATCH(9.99E+307,'Returns (Calc)'!$A:$A)-3),"")</f>
        <v>48.5381132075472</v>
      </c>
      <c r="AM87" s="155" t="n">
        <f aca="false">IFERROR('Price History'!S3+(INDEX('Price History'!S:S,MATCH(9.99E+307,'Returns (Calc)'!$A:$A)+1)-'Price History'!S3)*(ROW()-3)/(MATCH(9.99E+307,'Returns (Calc)'!$A:$A)-3),"")</f>
        <v>107.042075471698</v>
      </c>
      <c r="AN87" s="155" t="n">
        <f aca="false">IFERROR('Price History'!T3+(INDEX('Price History'!T:T,MATCH(9.99E+307,'Returns (Calc)'!$A:$A)+1)-'Price History'!T3)*(ROW()-3)/(MATCH(9.99E+307,'Returns (Calc)'!$A:$A)-3),"")</f>
        <v>39.7975471698113</v>
      </c>
      <c r="AO87" s="156" t="n">
        <f aca="false">IFERROR('Price History'!V3+(INDEX('Price History'!V:V,MATCH(9.99E+307,'Returns (Calc)'!$A:$A)+1)-'Price History'!V3)*(ROW()-3)/(MATCH(9.99E+307,'Returns (Calc)'!$A:$A)-3),"")</f>
        <v>314.780188679245</v>
      </c>
      <c r="AP87" s="154" t="n">
        <f aca="false">IFERROR(IF(OR(NOT(ISNUMBER('Price History'!W88)),NOT(ISNUMBER('Price History'!W87)),'Price History'!W87=0),"",'Price History'!W88/'Price History'!W87-1),"")</f>
        <v>0.0210349179638198</v>
      </c>
      <c r="AQ87" s="154" t="str">
        <f aca="false">IFERROR(IF(OR(NOT(ISNUMBER('Price History'!X88)),NOT(ISNUMBER('Price History'!X87)),'Price History'!X87=0),"",'Price History'!X88/'Price History'!X87-1),"")</f>
        <v/>
      </c>
      <c r="AR87" s="154" t="n">
        <f aca="false">IFERROR(IF(OR(NOT(ISNUMBER('Price History'!Y88)),NOT(ISNUMBER('Price History'!Y87)),'Price History'!Y87=0),"",'Price History'!Y88/'Price History'!Y87-1),"")</f>
        <v>0.0214256283477545</v>
      </c>
      <c r="AS87" s="154" t="n">
        <f aca="false">IFERROR(IF(OR(NOT(ISNUMBER('Price History'!Z88)),NOT(ISNUMBER('Price History'!Z87)),'Price History'!Z87=0),"",'Price History'!Z88/'Price History'!Z87-1),"")</f>
        <v>0.0467384677910994</v>
      </c>
      <c r="AT87" s="154" t="n">
        <f aca="false">IFERROR(IF(OR(NOT(ISNUMBER('Price History'!AA88)),NOT(ISNUMBER('Price History'!AA87)),'Price History'!AA87=0),"",'Price History'!AA88/'Price History'!AA87-1),"")</f>
        <v>0.0499319110304131</v>
      </c>
      <c r="AU87" s="154" t="n">
        <f aca="false">IFERROR(IF(OR(NOT(ISNUMBER('Price History'!AB88)),NOT(ISNUMBER('Price History'!AB87)),'Price History'!AB87=0),"",'Price History'!AB88/'Price History'!AB87-1),"")</f>
        <v>0.0393337435176233</v>
      </c>
    </row>
    <row r="88" customFormat="false" ht="15" hidden="false" customHeight="true" outlineLevel="0" collapsed="false">
      <c r="A88" s="152" t="n">
        <f aca="false">IF('Price History'!A89="","",'Price History'!A89)</f>
        <v>45786</v>
      </c>
      <c r="B88" s="153" t="n">
        <f aca="false">IFERROR(IF(OR(NOT(ISNUMBER('Price History'!B89)),NOT(ISNUMBER('Price History'!B88)),'Price History'!B88=0),"",'Price History'!B89/'Price History'!B88-1),"")</f>
        <v>0.00632761834746765</v>
      </c>
      <c r="C88" s="153" t="n">
        <f aca="false">IFERROR(IF(OR(NOT(ISNUMBER('Price History'!C89)),NOT(ISNUMBER('Price History'!C88)),'Price History'!C88=0),"",'Price History'!C89/'Price History'!C88-1),"")</f>
        <v>-0.049439683586025</v>
      </c>
      <c r="D88" s="153" t="n">
        <f aca="false">IFERROR(IF(OR(NOT(ISNUMBER('Price History'!D89)),NOT(ISNUMBER('Price History'!D88)),'Price History'!D88=0),"",'Price History'!D89/'Price History'!D88-1),"")</f>
        <v>0.0229943866214477</v>
      </c>
      <c r="E88" s="153" t="n">
        <f aca="false">IFERROR(IF(OR(NOT(ISNUMBER('Price History'!E89)),NOT(ISNUMBER('Price History'!E88)),'Price History'!E88=0),"",'Price History'!E89/'Price History'!E88-1),"")</f>
        <v>0.0224021458374728</v>
      </c>
      <c r="F88" s="153" t="n">
        <f aca="false">IFERROR(IF(OR(NOT(ISNUMBER('Price History'!F89)),NOT(ISNUMBER('Price History'!F88)),'Price History'!F88=0),"",'Price History'!F89/'Price History'!F88-1),"")</f>
        <v>-0.0680951516252043</v>
      </c>
      <c r="G88" s="153" t="n">
        <f aca="false">IFERROR(IF(OR(NOT(ISNUMBER('Price History'!G89)),NOT(ISNUMBER('Price History'!G88)),'Price History'!G88=0),"",'Price History'!G89/'Price History'!G88-1),"")</f>
        <v>0.00448495370370372</v>
      </c>
      <c r="H88" s="153" t="n">
        <f aca="false">IFERROR(IF(OR(NOT(ISNUMBER('Price History'!H89)),NOT(ISNUMBER('Price History'!H88)),'Price History'!H88=0),"",'Price History'!H89/'Price History'!H88-1),"")</f>
        <v>0.0637187926965595</v>
      </c>
      <c r="I88" s="153" t="n">
        <f aca="false">IFERROR(IF(OR(NOT(ISNUMBER('Price History'!I89)),NOT(ISNUMBER('Price History'!I88)),'Price History'!I88=0),"",'Price History'!I89/'Price History'!I88-1),"")</f>
        <v>0.0188249715436477</v>
      </c>
      <c r="J88" s="153" t="n">
        <f aca="false">IFERROR(IF(OR(NOT(ISNUMBER('Price History'!J89)),NOT(ISNUMBER('Price History'!J88)),'Price History'!J88=0),"",'Price History'!J89/'Price History'!J88-1),"")</f>
        <v>0.0142515447478573</v>
      </c>
      <c r="K88" s="153" t="n">
        <f aca="false">IFERROR(IF(OR(NOT(ISNUMBER('Price History'!K89)),NOT(ISNUMBER('Price History'!K88)),'Price History'!K88=0),"",'Price History'!K89/'Price History'!K88-1),"")</f>
        <v>-0.0561635017701964</v>
      </c>
      <c r="L88" s="153" t="n">
        <f aca="false">IFERROR(IF(OR(NOT(ISNUMBER('Price History'!L89)),NOT(ISNUMBER('Price History'!L88)),'Price History'!L88=0),"",'Price History'!L89/'Price History'!L88-1),"")</f>
        <v>-0.0153802497162314</v>
      </c>
      <c r="M88" s="153" t="n">
        <f aca="false">IFERROR(IF(OR(NOT(ISNUMBER('Price History'!M89)),NOT(ISNUMBER('Price History'!M88)),'Price History'!M88=0),"",'Price History'!M89/'Price History'!M88-1),"")</f>
        <v>-0.00991142977646564</v>
      </c>
      <c r="N88" s="153" t="n">
        <f aca="false">IFERROR(IF(OR(NOT(ISNUMBER('Price History'!N89)),NOT(ISNUMBER('Price History'!N88)),'Price History'!N88=0),"",'Price History'!N89/'Price History'!N88-1),"")</f>
        <v>-0.151970467923775</v>
      </c>
      <c r="O88" s="153" t="n">
        <f aca="false">IFERROR(IF(OR(NOT(ISNUMBER('Price History'!O89)),NOT(ISNUMBER('Price History'!O88)),'Price History'!O88=0),"",'Price History'!O89/'Price History'!O88-1),"")</f>
        <v>0.011601483076187</v>
      </c>
      <c r="P88" s="153" t="n">
        <f aca="false">IFERROR(IF(OR(NOT(ISNUMBER('Price History'!P89)),NOT(ISNUMBER('Price History'!P88)),'Price History'!P88=0),"",'Price History'!P89/'Price History'!P88-1),"")</f>
        <v>-0.00121901665989432</v>
      </c>
      <c r="Q88" s="153" t="n">
        <f aca="false">IFERROR(IF(OR(NOT(ISNUMBER('Price History'!Q89)),NOT(ISNUMBER('Price History'!Q88)),'Price History'!Q88=0),"",'Price History'!Q89/'Price History'!Q88-1),"")</f>
        <v>-0.00252397778899538</v>
      </c>
      <c r="R88" s="153" t="n">
        <f aca="false">IFERROR(IF(OR(NOT(ISNUMBER('Price History'!R89)),NOT(ISNUMBER('Price History'!R88)),'Price History'!R88=0),"",'Price History'!R89/'Price History'!R88-1),"")</f>
        <v>0.00273910066194927</v>
      </c>
      <c r="S88" s="153" t="n">
        <f aca="false">IFERROR(IF(OR(NOT(ISNUMBER('Price History'!S89)),NOT(ISNUMBER('Price History'!S88)),'Price History'!S88=0),"",'Price History'!S89/'Price History'!S88-1),"")</f>
        <v>0.00693294701986758</v>
      </c>
      <c r="T88" s="153" t="n">
        <f aca="false">IFERROR(IF(OR(NOT(ISNUMBER('Price History'!T89)),NOT(ISNUMBER('Price History'!T88)),'Price History'!T88=0),"",'Price History'!T89/'Price History'!T88-1),"")</f>
        <v>-0.00152578577967666</v>
      </c>
      <c r="U88" s="153" t="n">
        <f aca="false">IFERROR(IF(OR(NOT(ISNUMBER('Price History'!U89)),NOT(ISNUMBER('Price History'!U88)),'Price History'!U88=0),"",'Price History'!U89/'Price History'!U88-1),"")</f>
        <v>-0.0129554655870445</v>
      </c>
      <c r="V88" s="154" t="n">
        <f aca="false">IFERROR(IF(OR(NOT(ISNUMBER('Price History'!V89)),NOT(ISNUMBER('Price History'!V88)),'Price History'!V88=0),"",'Price History'!V89/'Price History'!V88-1),"")</f>
        <v>0.0141996682864376</v>
      </c>
      <c r="W88" s="155" t="n">
        <f aca="false">IFERROR('Price History'!B3+(INDEX('Price History'!B:B,MATCH(9.99E+307,'Returns (Calc)'!$A:$A)+1)-'Price History'!B3)*(ROW()-3)/(MATCH(9.99E+307,'Returns (Calc)'!$A:$A)-3),"")</f>
        <v>375.665471698113</v>
      </c>
      <c r="X88" s="155" t="n">
        <f aca="false">IFERROR('Price History'!C3+(INDEX('Price History'!C:C,MATCH(9.99E+307,'Returns (Calc)'!$A:$A)+1)-'Price History'!C3)*(ROW()-3)/(MATCH(9.99E+307,'Returns (Calc)'!$A:$A)-3),"")</f>
        <v>137.359874213837</v>
      </c>
      <c r="Y88" s="155" t="n">
        <f aca="false">IFERROR('Price History'!D3+(INDEX('Price History'!D:D,MATCH(9.99E+307,'Returns (Calc)'!$A:$A)+1)-'Price History'!D3)*(ROW()-3)/(MATCH(9.99E+307,'Returns (Calc)'!$A:$A)-3),"")</f>
        <v>1222.62666666667</v>
      </c>
      <c r="Z88" s="155" t="n">
        <f aca="false">IFERROR('Price History'!E3+(INDEX('Price History'!E:E,MATCH(9.99E+307,'Returns (Calc)'!$A:$A)+1)-'Price History'!E3)*(ROW()-3)/(MATCH(9.99E+307,'Returns (Calc)'!$A:$A)-3),"")</f>
        <v>231.439622641509</v>
      </c>
      <c r="AA88" s="155" t="n">
        <f aca="false">IFERROR('Price History'!F3+(INDEX('Price History'!F:F,MATCH(9.99E+307,'Returns (Calc)'!$A:$A)+1)-'Price History'!F3)*(ROW()-3)/(MATCH(9.99E+307,'Returns (Calc)'!$A:$A)-3),"")</f>
        <v>166.283270440252</v>
      </c>
      <c r="AB88" s="155" t="n">
        <f aca="false">IFERROR('Price History'!G3+(INDEX('Price History'!G:G,MATCH(9.99E+307,'Returns (Calc)'!$A:$A)+1)-'Price History'!G3)*(ROW()-3)/(MATCH(9.99E+307,'Returns (Calc)'!$A:$A)-3),"")</f>
        <v>125.190880503145</v>
      </c>
      <c r="AC88" s="155" t="n">
        <f aca="false">IFERROR('Price History'!H3+(INDEX('Price History'!H:H,MATCH(9.99E+307,'Returns (Calc)'!$A:$A)+1)-'Price History'!H3)*(ROW()-3)/(MATCH(9.99E+307,'Returns (Calc)'!$A:$A)-3),"")</f>
        <v>582.258742138365</v>
      </c>
      <c r="AD88" s="155" t="n">
        <f aca="false">IFERROR('Price History'!I3+(INDEX('Price History'!I:I,MATCH(9.99E+307,'Returns (Calc)'!$A:$A)+1)-'Price History'!I3)*(ROW()-3)/(MATCH(9.99E+307,'Returns (Calc)'!$A:$A)-3),"")</f>
        <v>142.942012578616</v>
      </c>
      <c r="AE88" s="155" t="n">
        <f aca="false">IFERROR('Price History'!J3+(INDEX('Price History'!J:J,MATCH(9.99E+307,'Returns (Calc)'!$A:$A)+1)-'Price History'!J3)*(ROW()-3)/(MATCH(9.99E+307,'Returns (Calc)'!$A:$A)-3),"")</f>
        <v>121.275534591195</v>
      </c>
      <c r="AF88" s="155" t="n">
        <f aca="false">IFERROR('Price History'!K3+(INDEX('Price History'!K:K,MATCH(9.99E+307,'Returns (Calc)'!$A:$A)+1)-'Price History'!K3)*(ROW()-3)/(MATCH(9.99E+307,'Returns (Calc)'!$A:$A)-3),"")</f>
        <v>118.891006289308</v>
      </c>
      <c r="AG88" s="155" t="n">
        <f aca="false">IFERROR('Price History'!L3+(INDEX('Price History'!L:L,MATCH(9.99E+307,'Returns (Calc)'!$A:$A)+1)-'Price History'!L3)*(ROW()-3)/(MATCH(9.99E+307,'Returns (Calc)'!$A:$A)-3),"")</f>
        <v>282.244339622642</v>
      </c>
      <c r="AH88" s="155" t="n">
        <f aca="false">IFERROR('Price History'!M3+(INDEX('Price History'!M:M,MATCH(9.99E+307,'Returns (Calc)'!$A:$A)+1)-'Price History'!M3)*(ROW()-3)/(MATCH(9.99E+307,'Returns (Calc)'!$A:$A)-3),"")</f>
        <v>147.482893081761</v>
      </c>
      <c r="AI88" s="155" t="n">
        <f aca="false">IFERROR('Price History'!N3+(INDEX('Price History'!N:N,MATCH(9.99E+307,'Returns (Calc)'!$A:$A)+1)-'Price History'!N3)*(ROW()-3)/(MATCH(9.99E+307,'Returns (Calc)'!$A:$A)-3),"")</f>
        <v>435.065408805031</v>
      </c>
      <c r="AJ88" s="155" t="n">
        <f aca="false">IFERROR('Price History'!O3+(INDEX('Price History'!O:O,MATCH(9.99E+307,'Returns (Calc)'!$A:$A)+1)-'Price History'!O3)*(ROW()-3)/(MATCH(9.99E+307,'Returns (Calc)'!$A:$A)-3),"")</f>
        <v>99.008427672956</v>
      </c>
      <c r="AK88" s="155" t="n">
        <f aca="false">IFERROR('Price History'!Q3+(INDEX('Price History'!Q:Q,MATCH(9.99E+307,'Returns (Calc)'!$A:$A)+1)-'Price History'!Q3)*(ROW()-3)/(MATCH(9.99E+307,'Returns (Calc)'!$A:$A)-3),"")</f>
        <v>37.4053459119497</v>
      </c>
      <c r="AL88" s="155" t="n">
        <f aca="false">IFERROR('Price History'!R3+(INDEX('Price History'!R:R,MATCH(9.99E+307,'Returns (Calc)'!$A:$A)+1)-'Price History'!R3)*(ROW()-3)/(MATCH(9.99E+307,'Returns (Calc)'!$A:$A)-3),"")</f>
        <v>48.7054716981132</v>
      </c>
      <c r="AM88" s="155" t="n">
        <f aca="false">IFERROR('Price History'!S3+(INDEX('Price History'!S:S,MATCH(9.99E+307,'Returns (Calc)'!$A:$A)+1)-'Price History'!S3)*(ROW()-3)/(MATCH(9.99E+307,'Returns (Calc)'!$A:$A)-3),"")</f>
        <v>107.630314465409</v>
      </c>
      <c r="AN88" s="155" t="n">
        <f aca="false">IFERROR('Price History'!T3+(INDEX('Price History'!T:T,MATCH(9.99E+307,'Returns (Calc)'!$A:$A)+1)-'Price History'!T3)*(ROW()-3)/(MATCH(9.99E+307,'Returns (Calc)'!$A:$A)-3),"")</f>
        <v>39.9714465408805</v>
      </c>
      <c r="AO88" s="156" t="n">
        <f aca="false">IFERROR('Price History'!V3+(INDEX('Price History'!V:V,MATCH(9.99E+307,'Returns (Calc)'!$A:$A)+1)-'Price History'!V3)*(ROW()-3)/(MATCH(9.99E+307,'Returns (Calc)'!$A:$A)-3),"")</f>
        <v>315.722452830189</v>
      </c>
      <c r="AP88" s="154" t="n">
        <f aca="false">IFERROR(IF(OR(NOT(ISNUMBER('Price History'!W89)),NOT(ISNUMBER('Price History'!W88)),'Price History'!W88=0),"",'Price History'!W89/'Price History'!W88-1),"")</f>
        <v>-0.00123609394313962</v>
      </c>
      <c r="AQ88" s="154" t="str">
        <f aca="false">IFERROR(IF(OR(NOT(ISNUMBER('Price History'!X89)),NOT(ISNUMBER('Price History'!X88)),'Price History'!X88=0),"",'Price History'!X89/'Price History'!X88-1),"")</f>
        <v/>
      </c>
      <c r="AR88" s="154" t="n">
        <f aca="false">IFERROR(IF(OR(NOT(ISNUMBER('Price History'!Y89)),NOT(ISNUMBER('Price History'!Y88)),'Price History'!Y88=0),"",'Price History'!Y89/'Price History'!Y88-1),"")</f>
        <v>-0.000201694231544924</v>
      </c>
      <c r="AS88" s="154" t="n">
        <f aca="false">IFERROR(IF(OR(NOT(ISNUMBER('Price History'!Z89)),NOT(ISNUMBER('Price History'!Z88)),'Price History'!Z88=0),"",'Price History'!Z89/'Price History'!Z88-1),"")</f>
        <v>0.0349446709376822</v>
      </c>
      <c r="AT88" s="154" t="n">
        <f aca="false">IFERROR(IF(OR(NOT(ISNUMBER('Price History'!AA89)),NOT(ISNUMBER('Price History'!AA88)),'Price History'!AA88=0),"",'Price History'!AA89/'Price History'!AA88-1),"")</f>
        <v>-0.0140942498919153</v>
      </c>
      <c r="AU88" s="154" t="n">
        <f aca="false">IFERROR(IF(OR(NOT(ISNUMBER('Price History'!AB89)),NOT(ISNUMBER('Price History'!AB88)),'Price History'!AB88=0),"",'Price History'!AB89/'Price History'!AB88-1),"")</f>
        <v>0.00236796481880841</v>
      </c>
    </row>
    <row r="89" customFormat="false" ht="15" hidden="false" customHeight="true" outlineLevel="0" collapsed="false">
      <c r="A89" s="152" t="n">
        <f aca="false">IF('Price History'!A90="","",'Price History'!A90)</f>
        <v>45793</v>
      </c>
      <c r="B89" s="153" t="n">
        <f aca="false">IFERROR(IF(OR(NOT(ISNUMBER('Price History'!B90)),NOT(ISNUMBER('Price History'!B89)),'Price History'!B89=0),"",'Price History'!B90/'Price History'!B89-1),"")</f>
        <v>0.088316635357963</v>
      </c>
      <c r="C89" s="153" t="n">
        <f aca="false">IFERROR(IF(OR(NOT(ISNUMBER('Price History'!C90)),NOT(ISNUMBER('Price History'!C89)),'Price History'!C89=0),"",'Price History'!C90/'Price History'!C89-1),"")</f>
        <v>0.114424410540916</v>
      </c>
      <c r="D89" s="153" t="n">
        <f aca="false">IFERROR(IF(OR(NOT(ISNUMBER('Price History'!D90)),NOT(ISNUMBER('Price History'!D89)),'Price History'!D89=0),"",'Price History'!D90/'Price History'!D89-1),"")</f>
        <v>0.0593161000843088</v>
      </c>
      <c r="E89" s="153" t="n">
        <f aca="false">IFERROR(IF(OR(NOT(ISNUMBER('Price History'!E90)),NOT(ISNUMBER('Price History'!E89)),'Price History'!E89=0),"",'Price History'!E90/'Price History'!E89-1),"")</f>
        <v>0.0979934897731136</v>
      </c>
      <c r="F89" s="153" t="n">
        <f aca="false">IFERROR(IF(OR(NOT(ISNUMBER('Price History'!F90)),NOT(ISNUMBER('Price History'!F89)),'Price History'!F89=0),"",'Price History'!F90/'Price History'!F89-1),"")</f>
        <v>0.0699532346063911</v>
      </c>
      <c r="G89" s="153" t="n">
        <f aca="false">IFERROR(IF(OR(NOT(ISNUMBER('Price History'!G90)),NOT(ISNUMBER('Price History'!G89)),'Price History'!G89=0),"",'Price History'!G90/'Price History'!G89-1),"")</f>
        <v>0.128186662825868</v>
      </c>
      <c r="H89" s="153" t="n">
        <f aca="false">IFERROR(IF(OR(NOT(ISNUMBER('Price History'!H90)),NOT(ISNUMBER('Price History'!H89)),'Price History'!H89=0),"",'Price History'!H90/'Price History'!H89-1),"")</f>
        <v>0.14140588510042</v>
      </c>
      <c r="I89" s="153" t="n">
        <f aca="false">IFERROR(IF(OR(NOT(ISNUMBER('Price History'!I90)),NOT(ISNUMBER('Price History'!I89)),'Price History'!I89=0),"",'Price History'!I90/'Price History'!I89-1),"")</f>
        <v>0.160708147129598</v>
      </c>
      <c r="J89" s="153" t="n">
        <f aca="false">IFERROR(IF(OR(NOT(ISNUMBER('Price History'!J90)),NOT(ISNUMBER('Price History'!J89)),'Price History'!J89=0),"",'Price History'!J90/'Price History'!J89-1),"")</f>
        <v>0.033998231305886</v>
      </c>
      <c r="K89" s="153" t="n">
        <f aca="false">IFERROR(IF(OR(NOT(ISNUMBER('Price History'!K90)),NOT(ISNUMBER('Price History'!K89)),'Price History'!K89=0),"",'Price History'!K90/'Price History'!K89-1),"")</f>
        <v>0.104177323103154</v>
      </c>
      <c r="L89" s="153" t="n">
        <f aca="false">IFERROR(IF(OR(NOT(ISNUMBER('Price History'!L90)),NOT(ISNUMBER('Price History'!L89)),'Price History'!L89=0),"",'Price History'!L90/'Price History'!L89-1),"")</f>
        <v>0.100236324860222</v>
      </c>
      <c r="M89" s="153" t="n">
        <f aca="false">IFERROR(IF(OR(NOT(ISNUMBER('Price History'!M90)),NOT(ISNUMBER('Price History'!M89)),'Price History'!M89=0),"",'Price History'!M90/'Price History'!M89-1),"")</f>
        <v>0.127369542066028</v>
      </c>
      <c r="N89" s="153" t="n">
        <f aca="false">IFERROR(IF(OR(NOT(ISNUMBER('Price History'!N90)),NOT(ISNUMBER('Price History'!N89)),'Price History'!N89=0),"",'Price History'!N90/'Price History'!N89-1),"")</f>
        <v>0.0321419327513588</v>
      </c>
      <c r="O89" s="153" t="n">
        <f aca="false">IFERROR(IF(OR(NOT(ISNUMBER('Price History'!O90)),NOT(ISNUMBER('Price History'!O89)),'Price History'!O89=0),"",'Price History'!O90/'Price History'!O89-1),"")</f>
        <v>0.0489477417829274</v>
      </c>
      <c r="P89" s="153" t="n">
        <f aca="false">IFERROR(IF(OR(NOT(ISNUMBER('Price History'!P90)),NOT(ISNUMBER('Price History'!P89)),'Price History'!P89=0),"",'Price History'!P90/'Price History'!P89-1),"")</f>
        <v>0.0320585842148087</v>
      </c>
      <c r="Q89" s="153" t="n">
        <f aca="false">IFERROR(IF(OR(NOT(ISNUMBER('Price History'!Q90)),NOT(ISNUMBER('Price History'!Q89)),'Price History'!Q89=0),"",'Price History'!Q90/'Price History'!Q89-1),"")</f>
        <v>0.0293522267206479</v>
      </c>
      <c r="R89" s="153" t="n">
        <f aca="false">IFERROR(IF(OR(NOT(ISNUMBER('Price History'!R90)),NOT(ISNUMBER('Price History'!R89)),'Price History'!R89=0),"",'Price History'!R90/'Price History'!R89-1),"")</f>
        <v>0.017300250398361</v>
      </c>
      <c r="S89" s="153" t="n">
        <f aca="false">IFERROR(IF(OR(NOT(ISNUMBER('Price History'!S90)),NOT(ISNUMBER('Price History'!S89)),'Price History'!S89=0),"",'Price History'!S90/'Price History'!S89-1),"")</f>
        <v>0.0682355359161444</v>
      </c>
      <c r="T89" s="153" t="n">
        <f aca="false">IFERROR(IF(OR(NOT(ISNUMBER('Price History'!T90)),NOT(ISNUMBER('Price History'!T89)),'Price History'!T89=0),"",'Price History'!T90/'Price History'!T89-1),"")</f>
        <v>0.0430929095354524</v>
      </c>
      <c r="U89" s="153" t="n">
        <f aca="false">IFERROR(IF(OR(NOT(ISNUMBER('Price History'!U90)),NOT(ISNUMBER('Price History'!U89)),'Price History'!U89=0),"",'Price History'!U90/'Price History'!U89-1),"")</f>
        <v>0.0340442986054144</v>
      </c>
      <c r="V89" s="154" t="n">
        <f aca="false">IFERROR(IF(OR(NOT(ISNUMBER('Price History'!V90)),NOT(ISNUMBER('Price History'!V89)),'Price History'!V89=0),"",'Price History'!V90/'Price History'!V89-1),"")</f>
        <v>0.0374121359919666</v>
      </c>
      <c r="W89" s="155" t="n">
        <f aca="false">IFERROR('Price History'!B3+(INDEX('Price History'!B:B,MATCH(9.99E+307,'Returns (Calc)'!$A:$A)+1)-'Price History'!B3)*(ROW()-3)/(MATCH(9.99E+307,'Returns (Calc)'!$A:$A)-3),"")</f>
        <v>373.862830188679</v>
      </c>
      <c r="X89" s="155" t="n">
        <f aca="false">IFERROR('Price History'!C3+(INDEX('Price History'!C:C,MATCH(9.99E+307,'Returns (Calc)'!$A:$A)+1)-'Price History'!C3)*(ROW()-3)/(MATCH(9.99E+307,'Returns (Calc)'!$A:$A)-3),"")</f>
        <v>138.432578616352</v>
      </c>
      <c r="Y89" s="155" t="n">
        <f aca="false">IFERROR('Price History'!D3+(INDEX('Price History'!D:D,MATCH(9.99E+307,'Returns (Calc)'!$A:$A)+1)-'Price History'!D3)*(ROW()-3)/(MATCH(9.99E+307,'Returns (Calc)'!$A:$A)-3),"")</f>
        <v>1230.16333333333</v>
      </c>
      <c r="Z89" s="155" t="n">
        <f aca="false">IFERROR('Price History'!E3+(INDEX('Price History'!E:E,MATCH(9.99E+307,'Returns (Calc)'!$A:$A)+1)-'Price History'!E3)*(ROW()-3)/(MATCH(9.99E+307,'Returns (Calc)'!$A:$A)-3),"")</f>
        <v>233.197735849057</v>
      </c>
      <c r="AA89" s="155" t="n">
        <f aca="false">IFERROR('Price History'!F3+(INDEX('Price History'!F:F,MATCH(9.99E+307,'Returns (Calc)'!$A:$A)+1)-'Price History'!F3)*(ROW()-3)/(MATCH(9.99E+307,'Returns (Calc)'!$A:$A)-3),"")</f>
        <v>167.752955974843</v>
      </c>
      <c r="AB89" s="155" t="n">
        <f aca="false">IFERROR('Price History'!G3+(INDEX('Price History'!G:G,MATCH(9.99E+307,'Returns (Calc)'!$A:$A)+1)-'Price History'!G3)*(ROW()-3)/(MATCH(9.99E+307,'Returns (Calc)'!$A:$A)-3),"")</f>
        <v>126.141949685535</v>
      </c>
      <c r="AC89" s="155" t="n">
        <f aca="false">IFERROR('Price History'!H3+(INDEX('Price History'!H:H,MATCH(9.99E+307,'Returns (Calc)'!$A:$A)+1)-'Price History'!H3)*(ROW()-3)/(MATCH(9.99E+307,'Returns (Calc)'!$A:$A)-3),"")</f>
        <v>588.295786163522</v>
      </c>
      <c r="AD89" s="155" t="n">
        <f aca="false">IFERROR('Price History'!I3+(INDEX('Price History'!I:I,MATCH(9.99E+307,'Returns (Calc)'!$A:$A)+1)-'Price History'!I3)*(ROW()-3)/(MATCH(9.99E+307,'Returns (Calc)'!$A:$A)-3),"")</f>
        <v>144.108742138365</v>
      </c>
      <c r="AE89" s="155" t="n">
        <f aca="false">IFERROR('Price History'!J3+(INDEX('Price History'!J:J,MATCH(9.99E+307,'Returns (Calc)'!$A:$A)+1)-'Price History'!J3)*(ROW()-3)/(MATCH(9.99E+307,'Returns (Calc)'!$A:$A)-3),"")</f>
        <v>121.386540880503</v>
      </c>
      <c r="AF89" s="155" t="n">
        <f aca="false">IFERROR('Price History'!K3+(INDEX('Price History'!K:K,MATCH(9.99E+307,'Returns (Calc)'!$A:$A)+1)-'Price History'!K3)*(ROW()-3)/(MATCH(9.99E+307,'Returns (Calc)'!$A:$A)-3),"")</f>
        <v>120.109371069182</v>
      </c>
      <c r="AG89" s="155" t="n">
        <f aca="false">IFERROR('Price History'!L3+(INDEX('Price History'!L:L,MATCH(9.99E+307,'Returns (Calc)'!$A:$A)+1)-'Price History'!L3)*(ROW()-3)/(MATCH(9.99E+307,'Returns (Calc)'!$A:$A)-3),"")</f>
        <v>284.556037735849</v>
      </c>
      <c r="AH89" s="155" t="n">
        <f aca="false">IFERROR('Price History'!M3+(INDEX('Price History'!M:M,MATCH(9.99E+307,'Returns (Calc)'!$A:$A)+1)-'Price History'!M3)*(ROW()-3)/(MATCH(9.99E+307,'Returns (Calc)'!$A:$A)-3),"")</f>
        <v>148.770691823899</v>
      </c>
      <c r="AI89" s="155" t="n">
        <f aca="false">IFERROR('Price History'!N3+(INDEX('Price History'!N:N,MATCH(9.99E+307,'Returns (Calc)'!$A:$A)+1)-'Price History'!N3)*(ROW()-3)/(MATCH(9.99E+307,'Returns (Calc)'!$A:$A)-3),"")</f>
        <v>436.079119496855</v>
      </c>
      <c r="AJ89" s="155" t="n">
        <f aca="false">IFERROR('Price History'!O3+(INDEX('Price History'!O:O,MATCH(9.99E+307,'Returns (Calc)'!$A:$A)+1)-'Price History'!O3)*(ROW()-3)/(MATCH(9.99E+307,'Returns (Calc)'!$A:$A)-3),"")</f>
        <v>99.2872327044025</v>
      </c>
      <c r="AK89" s="155" t="n">
        <f aca="false">IFERROR('Price History'!Q3+(INDEX('Price History'!Q:Q,MATCH(9.99E+307,'Returns (Calc)'!$A:$A)+1)-'Price History'!Q3)*(ROW()-3)/(MATCH(9.99E+307,'Returns (Calc)'!$A:$A)-3),"")</f>
        <v>37.8454088050315</v>
      </c>
      <c r="AL89" s="155" t="n">
        <f aca="false">IFERROR('Price History'!R3+(INDEX('Price History'!R:R,MATCH(9.99E+307,'Returns (Calc)'!$A:$A)+1)-'Price History'!R3)*(ROW()-3)/(MATCH(9.99E+307,'Returns (Calc)'!$A:$A)-3),"")</f>
        <v>48.8728301886792</v>
      </c>
      <c r="AM89" s="155" t="n">
        <f aca="false">IFERROR('Price History'!S3+(INDEX('Price History'!S:S,MATCH(9.99E+307,'Returns (Calc)'!$A:$A)+1)-'Price History'!S3)*(ROW()-3)/(MATCH(9.99E+307,'Returns (Calc)'!$A:$A)-3),"")</f>
        <v>108.21855345912</v>
      </c>
      <c r="AN89" s="155" t="n">
        <f aca="false">IFERROR('Price History'!T3+(INDEX('Price History'!T:T,MATCH(9.99E+307,'Returns (Calc)'!$A:$A)+1)-'Price History'!T3)*(ROW()-3)/(MATCH(9.99E+307,'Returns (Calc)'!$A:$A)-3),"")</f>
        <v>40.1453459119497</v>
      </c>
      <c r="AO89" s="156" t="n">
        <f aca="false">IFERROR('Price History'!V3+(INDEX('Price History'!V:V,MATCH(9.99E+307,'Returns (Calc)'!$A:$A)+1)-'Price History'!V3)*(ROW()-3)/(MATCH(9.99E+307,'Returns (Calc)'!$A:$A)-3),"")</f>
        <v>316.664716981132</v>
      </c>
      <c r="AP89" s="154" t="n">
        <f aca="false">IFERROR(IF(OR(NOT(ISNUMBER('Price History'!W90)),NOT(ISNUMBER('Price History'!W89)),'Price History'!W89=0),"",'Price History'!W90/'Price History'!W89-1),"")</f>
        <v>0.0334983498349835</v>
      </c>
      <c r="AQ89" s="154" t="str">
        <f aca="false">IFERROR(IF(OR(NOT(ISNUMBER('Price History'!X90)),NOT(ISNUMBER('Price History'!X89)),'Price History'!X89=0),"",'Price History'!X90/'Price History'!X89-1),"")</f>
        <v/>
      </c>
      <c r="AR89" s="154" t="n">
        <f aca="false">IFERROR(IF(OR(NOT(ISNUMBER('Price History'!Y90)),NOT(ISNUMBER('Price History'!Y89)),'Price History'!Y89=0),"",'Price History'!Y90/'Price History'!Y89-1),"")</f>
        <v>0.0106919507766794</v>
      </c>
      <c r="AS89" s="154" t="n">
        <f aca="false">IFERROR(IF(OR(NOT(ISNUMBER('Price History'!Z90)),NOT(ISNUMBER('Price History'!Z89)),'Price History'!Z89=0),"",'Price History'!Z90/'Price History'!Z89-1),"")</f>
        <v>0.0782217220033763</v>
      </c>
      <c r="AT89" s="154" t="n">
        <f aca="false">IFERROR(IF(OR(NOT(ISNUMBER('Price History'!AA90)),NOT(ISNUMBER('Price History'!AA89)),'Price History'!AA89=0),"",'Price History'!AA90/'Price History'!AA89-1),"")</f>
        <v>0.0449921066479566</v>
      </c>
      <c r="AU89" s="154" t="n">
        <f aca="false">IFERROR(IF(OR(NOT(ISNUMBER('Price History'!AB90)),NOT(ISNUMBER('Price History'!AB89)),'Price History'!AB89=0),"",'Price History'!AB90/'Price History'!AB89-1),"")</f>
        <v>0.0241721155874288</v>
      </c>
    </row>
    <row r="90" customFormat="false" ht="15" hidden="false" customHeight="true" outlineLevel="0" collapsed="false">
      <c r="A90" s="152" t="n">
        <f aca="false">IF('Price History'!A91="","",'Price History'!A91)</f>
        <v>45800</v>
      </c>
      <c r="B90" s="153" t="n">
        <f aca="false">IFERROR(IF(OR(NOT(ISNUMBER('Price History'!B91)),NOT(ISNUMBER('Price History'!B90)),'Price History'!B90=0),"",'Price History'!B91/'Price History'!B90-1),"")</f>
        <v>-0.0226308345120226</v>
      </c>
      <c r="C90" s="153" t="n">
        <f aca="false">IFERROR(IF(OR(NOT(ISNUMBER('Price History'!C91)),NOT(ISNUMBER('Price History'!C90)),'Price History'!C90=0),"",'Price History'!C91/'Price History'!C90-1),"")</f>
        <v>-0.0541381456129434</v>
      </c>
      <c r="D90" s="153" t="n">
        <f aca="false">IFERROR(IF(OR(NOT(ISNUMBER('Price History'!D91)),NOT(ISNUMBER('Price History'!D90)),'Price History'!D90=0),"",'Price History'!D91/'Price History'!D90-1),"")</f>
        <v>-0.0208546916311445</v>
      </c>
      <c r="E90" s="153" t="n">
        <f aca="false">IFERROR(IF(OR(NOT(ISNUMBER('Price History'!E91)),NOT(ISNUMBER('Price History'!E90)),'Price History'!E90=0),"",'Price History'!E91/'Price History'!E90-1),"")</f>
        <v>0.00048672566371688</v>
      </c>
      <c r="F90" s="153" t="n">
        <f aca="false">IFERROR(IF(OR(NOT(ISNUMBER('Price History'!F91)),NOT(ISNUMBER('Price History'!F90)),'Price History'!F90=0),"",'Price History'!F91/'Price History'!F90-1),"")</f>
        <v>0.0371517027863779</v>
      </c>
      <c r="G90" s="153" t="n">
        <f aca="false">IFERROR(IF(OR(NOT(ISNUMBER('Price History'!G91)),NOT(ISNUMBER('Price History'!G90)),'Price History'!G90=0),"",'Price History'!G91/'Price History'!G90-1),"")</f>
        <v>-0.0405974722328609</v>
      </c>
      <c r="H90" s="153" t="n">
        <f aca="false">IFERROR(IF(OR(NOT(ISNUMBER('Price History'!H91)),NOT(ISNUMBER('Price History'!H90)),'Price History'!H90=0),"",'Price History'!H91/'Price History'!H90-1),"")</f>
        <v>-0.0472634271099744</v>
      </c>
      <c r="I90" s="153" t="n">
        <f aca="false">IFERROR(IF(OR(NOT(ISNUMBER('Price History'!I91)),NOT(ISNUMBER('Price History'!I90)),'Price History'!I90=0),"",'Price History'!I91/'Price History'!I90-1),"")</f>
        <v>-0.0303568784244039</v>
      </c>
      <c r="J90" s="153" t="n">
        <f aca="false">IFERROR(IF(OR(NOT(ISNUMBER('Price History'!J91)),NOT(ISNUMBER('Price History'!J90)),'Price History'!J90=0),"",'Price History'!J91/'Price History'!J90-1),"")</f>
        <v>-0.0588235294117647</v>
      </c>
      <c r="K90" s="153" t="n">
        <f aca="false">IFERROR(IF(OR(NOT(ISNUMBER('Price History'!K91)),NOT(ISNUMBER('Price History'!K90)),'Price History'!K90=0),"",'Price History'!K91/'Price History'!K90-1),"")</f>
        <v>-0.0479462631253861</v>
      </c>
      <c r="L90" s="153" t="n">
        <f aca="false">IFERROR(IF(OR(NOT(ISNUMBER('Price History'!L91)),NOT(ISNUMBER('Price History'!L90)),'Price History'!L90=0),"",'Price History'!L91/'Price History'!L90-1),"")</f>
        <v>-0.0115255658005029</v>
      </c>
      <c r="M90" s="153" t="n">
        <f aca="false">IFERROR(IF(OR(NOT(ISNUMBER('Price History'!M91)),NOT(ISNUMBER('Price History'!M90)),'Price History'!M90=0),"",'Price History'!M91/'Price History'!M90-1),"")</f>
        <v>-0.0179482335159645</v>
      </c>
      <c r="N90" s="153" t="n">
        <f aca="false">IFERROR(IF(OR(NOT(ISNUMBER('Price History'!N91)),NOT(ISNUMBER('Price History'!N90)),'Price History'!N90=0),"",'Price History'!N91/'Price History'!N90-1),"")</f>
        <v>-0.00604126296591812</v>
      </c>
      <c r="O90" s="153" t="n">
        <f aca="false">IFERROR(IF(OR(NOT(ISNUMBER('Price History'!O91)),NOT(ISNUMBER('Price History'!O90)),'Price History'!O90=0),"",'Price History'!O91/'Price History'!O90-1),"")</f>
        <v>-0.0400135256988278</v>
      </c>
      <c r="P90" s="153" t="n">
        <f aca="false">IFERROR(IF(OR(NOT(ISNUMBER('Price History'!P91)),NOT(ISNUMBER('Price History'!P90)),'Price History'!P90=0),"",'Price History'!P91/'Price History'!P90-1),"")</f>
        <v>-0.0258593503626616</v>
      </c>
      <c r="Q90" s="153" t="n">
        <f aca="false">IFERROR(IF(OR(NOT(ISNUMBER('Price History'!Q91)),NOT(ISNUMBER('Price History'!Q90)),'Price History'!Q90=0),"",'Price History'!Q91/'Price History'!Q90-1),"")</f>
        <v>-0.0165519501802689</v>
      </c>
      <c r="R90" s="153" t="n">
        <f aca="false">IFERROR(IF(OR(NOT(ISNUMBER('Price History'!R91)),NOT(ISNUMBER('Price History'!R90)),'Price History'!R90=0),"",'Price History'!R91/'Price History'!R90-1),"")</f>
        <v>-0.00917431192660545</v>
      </c>
      <c r="S90" s="153" t="n">
        <f aca="false">IFERROR(IF(OR(NOT(ISNUMBER('Price History'!S91)),NOT(ISNUMBER('Price History'!S90)),'Price History'!S90=0),"",'Price History'!S91/'Price History'!S90-1),"")</f>
        <v>-0.0223184223184224</v>
      </c>
      <c r="T90" s="153" t="n">
        <f aca="false">IFERROR(IF(OR(NOT(ISNUMBER('Price History'!T91)),NOT(ISNUMBER('Price History'!T90)),'Price History'!T90=0),"",'Price History'!T91/'Price History'!T90-1),"")</f>
        <v>-0.0348666861998244</v>
      </c>
      <c r="U90" s="153" t="n">
        <f aca="false">IFERROR(IF(OR(NOT(ISNUMBER('Price History'!U91)),NOT(ISNUMBER('Price History'!U90)),'Price History'!U90=0),"",'Price History'!U91/'Price History'!U90-1),"")</f>
        <v>-0.0269734232447442</v>
      </c>
      <c r="V90" s="154" t="n">
        <f aca="false">IFERROR(IF(OR(NOT(ISNUMBER('Price History'!V91)),NOT(ISNUMBER('Price History'!V90)),'Price History'!V90=0),"",'Price History'!V91/'Price History'!V90-1),"")</f>
        <v>-0.0317210099836831</v>
      </c>
      <c r="W90" s="155" t="n">
        <f aca="false">IFERROR('Price History'!B3+(INDEX('Price History'!B:B,MATCH(9.99E+307,'Returns (Calc)'!$A:$A)+1)-'Price History'!B3)*(ROW()-3)/(MATCH(9.99E+307,'Returns (Calc)'!$A:$A)-3),"")</f>
        <v>372.060188679245</v>
      </c>
      <c r="X90" s="155" t="n">
        <f aca="false">IFERROR('Price History'!C3+(INDEX('Price History'!C:C,MATCH(9.99E+307,'Returns (Calc)'!$A:$A)+1)-'Price History'!C3)*(ROW()-3)/(MATCH(9.99E+307,'Returns (Calc)'!$A:$A)-3),"")</f>
        <v>139.505283018868</v>
      </c>
      <c r="Y90" s="155" t="n">
        <f aca="false">IFERROR('Price History'!D3+(INDEX('Price History'!D:D,MATCH(9.99E+307,'Returns (Calc)'!$A:$A)+1)-'Price History'!D3)*(ROW()-3)/(MATCH(9.99E+307,'Returns (Calc)'!$A:$A)-3),"")</f>
        <v>1237.7</v>
      </c>
      <c r="Z90" s="155" t="n">
        <f aca="false">IFERROR('Price History'!E3+(INDEX('Price History'!E:E,MATCH(9.99E+307,'Returns (Calc)'!$A:$A)+1)-'Price History'!E3)*(ROW()-3)/(MATCH(9.99E+307,'Returns (Calc)'!$A:$A)-3),"")</f>
        <v>234.955849056604</v>
      </c>
      <c r="AA90" s="155" t="n">
        <f aca="false">IFERROR('Price History'!F3+(INDEX('Price History'!F:F,MATCH(9.99E+307,'Returns (Calc)'!$A:$A)+1)-'Price History'!F3)*(ROW()-3)/(MATCH(9.99E+307,'Returns (Calc)'!$A:$A)-3),"")</f>
        <v>169.222641509434</v>
      </c>
      <c r="AB90" s="155" t="n">
        <f aca="false">IFERROR('Price History'!G3+(INDEX('Price History'!G:G,MATCH(9.99E+307,'Returns (Calc)'!$A:$A)+1)-'Price History'!G3)*(ROW()-3)/(MATCH(9.99E+307,'Returns (Calc)'!$A:$A)-3),"")</f>
        <v>127.093018867925</v>
      </c>
      <c r="AC90" s="155" t="n">
        <f aca="false">IFERROR('Price History'!H3+(INDEX('Price History'!H:H,MATCH(9.99E+307,'Returns (Calc)'!$A:$A)+1)-'Price History'!H3)*(ROW()-3)/(MATCH(9.99E+307,'Returns (Calc)'!$A:$A)-3),"")</f>
        <v>594.332830188679</v>
      </c>
      <c r="AD90" s="155" t="n">
        <f aca="false">IFERROR('Price History'!I3+(INDEX('Price History'!I:I,MATCH(9.99E+307,'Returns (Calc)'!$A:$A)+1)-'Price History'!I3)*(ROW()-3)/(MATCH(9.99E+307,'Returns (Calc)'!$A:$A)-3),"")</f>
        <v>145.275471698113</v>
      </c>
      <c r="AE90" s="155" t="n">
        <f aca="false">IFERROR('Price History'!J3+(INDEX('Price History'!J:J,MATCH(9.99E+307,'Returns (Calc)'!$A:$A)+1)-'Price History'!J3)*(ROW()-3)/(MATCH(9.99E+307,'Returns (Calc)'!$A:$A)-3),"")</f>
        <v>121.497547169811</v>
      </c>
      <c r="AF90" s="155" t="n">
        <f aca="false">IFERROR('Price History'!K3+(INDEX('Price History'!K:K,MATCH(9.99E+307,'Returns (Calc)'!$A:$A)+1)-'Price History'!K3)*(ROW()-3)/(MATCH(9.99E+307,'Returns (Calc)'!$A:$A)-3),"")</f>
        <v>121.327735849057</v>
      </c>
      <c r="AG90" s="155" t="n">
        <f aca="false">IFERROR('Price History'!L3+(INDEX('Price History'!L:L,MATCH(9.99E+307,'Returns (Calc)'!$A:$A)+1)-'Price History'!L3)*(ROW()-3)/(MATCH(9.99E+307,'Returns (Calc)'!$A:$A)-3),"")</f>
        <v>286.867735849057</v>
      </c>
      <c r="AH90" s="155" t="n">
        <f aca="false">IFERROR('Price History'!M3+(INDEX('Price History'!M:M,MATCH(9.99E+307,'Returns (Calc)'!$A:$A)+1)-'Price History'!M3)*(ROW()-3)/(MATCH(9.99E+307,'Returns (Calc)'!$A:$A)-3),"")</f>
        <v>150.058490566038</v>
      </c>
      <c r="AI90" s="155" t="n">
        <f aca="false">IFERROR('Price History'!N3+(INDEX('Price History'!N:N,MATCH(9.99E+307,'Returns (Calc)'!$A:$A)+1)-'Price History'!N3)*(ROW()-3)/(MATCH(9.99E+307,'Returns (Calc)'!$A:$A)-3),"")</f>
        <v>437.092830188679</v>
      </c>
      <c r="AJ90" s="155" t="n">
        <f aca="false">IFERROR('Price History'!O3+(INDEX('Price History'!O:O,MATCH(9.99E+307,'Returns (Calc)'!$A:$A)+1)-'Price History'!O3)*(ROW()-3)/(MATCH(9.99E+307,'Returns (Calc)'!$A:$A)-3),"")</f>
        <v>99.5660377358491</v>
      </c>
      <c r="AK90" s="155" t="n">
        <f aca="false">IFERROR('Price History'!Q3+(INDEX('Price History'!Q:Q,MATCH(9.99E+307,'Returns (Calc)'!$A:$A)+1)-'Price History'!Q3)*(ROW()-3)/(MATCH(9.99E+307,'Returns (Calc)'!$A:$A)-3),"")</f>
        <v>38.2854716981132</v>
      </c>
      <c r="AL90" s="155" t="n">
        <f aca="false">IFERROR('Price History'!R3+(INDEX('Price History'!R:R,MATCH(9.99E+307,'Returns (Calc)'!$A:$A)+1)-'Price History'!R3)*(ROW()-3)/(MATCH(9.99E+307,'Returns (Calc)'!$A:$A)-3),"")</f>
        <v>49.0401886792453</v>
      </c>
      <c r="AM90" s="155" t="n">
        <f aca="false">IFERROR('Price History'!S3+(INDEX('Price History'!S:S,MATCH(9.99E+307,'Returns (Calc)'!$A:$A)+1)-'Price History'!S3)*(ROW()-3)/(MATCH(9.99E+307,'Returns (Calc)'!$A:$A)-3),"")</f>
        <v>108.80679245283</v>
      </c>
      <c r="AN90" s="155" t="n">
        <f aca="false">IFERROR('Price History'!T3+(INDEX('Price History'!T:T,MATCH(9.99E+307,'Returns (Calc)'!$A:$A)+1)-'Price History'!T3)*(ROW()-3)/(MATCH(9.99E+307,'Returns (Calc)'!$A:$A)-3),"")</f>
        <v>40.3192452830189</v>
      </c>
      <c r="AO90" s="156" t="n">
        <f aca="false">IFERROR('Price History'!V3+(INDEX('Price History'!V:V,MATCH(9.99E+307,'Returns (Calc)'!$A:$A)+1)-'Price History'!V3)*(ROW()-3)/(MATCH(9.99E+307,'Returns (Calc)'!$A:$A)-3),"")</f>
        <v>317.606981132076</v>
      </c>
      <c r="AP90" s="154" t="n">
        <f aca="false">IFERROR(IF(OR(NOT(ISNUMBER('Price History'!W91)),NOT(ISNUMBER('Price History'!W90)),'Price History'!W90=0),"",'Price History'!W91/'Price History'!W90-1),"")</f>
        <v>-0.0220341689286285</v>
      </c>
      <c r="AQ90" s="154" t="str">
        <f aca="false">IFERROR(IF(OR(NOT(ISNUMBER('Price History'!X91)),NOT(ISNUMBER('Price History'!X90)),'Price History'!X90=0),"",'Price History'!X91/'Price History'!X90-1),"")</f>
        <v/>
      </c>
      <c r="AR90" s="154" t="n">
        <f aca="false">IFERROR(IF(OR(NOT(ISNUMBER('Price History'!Y91)),NOT(ISNUMBER('Price History'!Y90)),'Price History'!Y90=0),"",'Price History'!Y91/'Price History'!Y90-1),"")</f>
        <v>-0.0127744510978044</v>
      </c>
      <c r="AS90" s="154" t="n">
        <f aca="false">IFERROR(IF(OR(NOT(ISNUMBER('Price History'!Z91)),NOT(ISNUMBER('Price History'!Z90)),'Price History'!Z90=0),"",'Price History'!Z91/'Price History'!Z90-1),"")</f>
        <v>0.00434933890048717</v>
      </c>
      <c r="AT90" s="154" t="n">
        <f aca="false">IFERROR(IF(OR(NOT(ISNUMBER('Price History'!AA91)),NOT(ISNUMBER('Price History'!AA90)),'Price History'!AA90=0),"",'Price History'!AA91/'Price History'!AA90-1),"")</f>
        <v>-0.00511959714645405</v>
      </c>
      <c r="AU90" s="154" t="n">
        <f aca="false">IFERROR(IF(OR(NOT(ISNUMBER('Price History'!AB91)),NOT(ISNUMBER('Price History'!AB90)),'Price History'!AB90=0),"",'Price History'!AB91/'Price History'!AB90-1),"")</f>
        <v>-0.0402833841337836</v>
      </c>
    </row>
    <row r="91" customFormat="false" ht="15" hidden="false" customHeight="true" outlineLevel="0" collapsed="false">
      <c r="A91" s="152" t="n">
        <f aca="false">IF('Price History'!A92="","",'Price History'!A92)</f>
        <v>45807</v>
      </c>
      <c r="B91" s="153" t="n">
        <f aca="false">IFERROR(IF(OR(NOT(ISNUMBER('Price History'!B92)),NOT(ISNUMBER('Price History'!B91)),'Price History'!B91=0),"",'Price History'!B92/'Price History'!B91-1),"")</f>
        <v>0.018151046137997</v>
      </c>
      <c r="C91" s="153" t="n">
        <f aca="false">IFERROR(IF(OR(NOT(ISNUMBER('Price History'!C92)),NOT(ISNUMBER('Price History'!C91)),'Price History'!C91=0),"",'Price History'!C92/'Price History'!C91-1),"")</f>
        <v>-0.05</v>
      </c>
      <c r="D91" s="153" t="n">
        <f aca="false">IFERROR(IF(OR(NOT(ISNUMBER('Price History'!D92)),NOT(ISNUMBER('Price History'!D91)),'Price History'!D91=0),"",'Price History'!D92/'Price History'!D91-1),"")</f>
        <v>0.00584134681619042</v>
      </c>
      <c r="E91" s="153" t="n">
        <f aca="false">IFERROR(IF(OR(NOT(ISNUMBER('Price History'!E92)),NOT(ISNUMBER('Price History'!E91)),'Price History'!E91=0),"",'Price History'!E92/'Price History'!E91-1),"")</f>
        <v>0.0583786652514262</v>
      </c>
      <c r="F91" s="153" t="n">
        <f aca="false">IFERROR(IF(OR(NOT(ISNUMBER('Price History'!F92)),NOT(ISNUMBER('Price History'!F91)),'Price History'!F91=0),"",'Price History'!F92/'Price History'!F91-1),"")</f>
        <v>0.0345917471466197</v>
      </c>
      <c r="G91" s="153" t="n">
        <f aca="false">IFERROR(IF(OR(NOT(ISNUMBER('Price History'!G92)),NOT(ISNUMBER('Price History'!G91)),'Price History'!G91=0),"",'Price History'!G92/'Price History'!G91-1),"")</f>
        <v>-0.000399201596806398</v>
      </c>
      <c r="H91" s="153" t="n">
        <f aca="false">IFERROR(IF(OR(NOT(ISNUMBER('Price History'!H92)),NOT(ISNUMBER('Price History'!H91)),'Price History'!H91=0),"",'Price History'!H92/'Price History'!H91-1),"")</f>
        <v>0.0117040695801569</v>
      </c>
      <c r="I91" s="153" t="n">
        <f aca="false">IFERROR(IF(OR(NOT(ISNUMBER('Price History'!I92)),NOT(ISNUMBER('Price History'!I91)),'Price History'!I91=0),"",'Price History'!I92/'Price History'!I91-1),"")</f>
        <v>0.0292455711667683</v>
      </c>
      <c r="J91" s="153" t="n">
        <f aca="false">IFERROR(IF(OR(NOT(ISNUMBER('Price History'!J92)),NOT(ISNUMBER('Price History'!J91)),'Price History'!J91=0),"",'Price History'!J92/'Price History'!J91-1),"")</f>
        <v>0.0438206785137316</v>
      </c>
      <c r="K91" s="153" t="n">
        <f aca="false">IFERROR(IF(OR(NOT(ISNUMBER('Price History'!K92)),NOT(ISNUMBER('Price History'!K91)),'Price History'!K91=0),"",'Price History'!K92/'Price History'!K91-1),"")</f>
        <v>0.0686886708296164</v>
      </c>
      <c r="L91" s="153" t="n">
        <f aca="false">IFERROR(IF(OR(NOT(ISNUMBER('Price History'!L92)),NOT(ISNUMBER('Price History'!L91)),'Price History'!L91=0),"",'Price History'!L92/'Price History'!L91-1),"")</f>
        <v>0.00699597201611191</v>
      </c>
      <c r="M91" s="153" t="n">
        <f aca="false">IFERROR(IF(OR(NOT(ISNUMBER('Price History'!M92)),NOT(ISNUMBER('Price History'!M91)),'Price History'!M91=0),"",'Price History'!M92/'Price History'!M91-1),"")</f>
        <v>0.0364563293574451</v>
      </c>
      <c r="N91" s="153" t="n">
        <f aca="false">IFERROR(IF(OR(NOT(ISNUMBER('Price History'!N92)),NOT(ISNUMBER('Price History'!N91)),'Price History'!N91=0),"",'Price History'!N92/'Price History'!N91-1),"")</f>
        <v>0.013876146788991</v>
      </c>
      <c r="O91" s="153" t="n">
        <f aca="false">IFERROR(IF(OR(NOT(ISNUMBER('Price History'!O92)),NOT(ISNUMBER('Price History'!O91)),'Price History'!O91=0),"",'Price History'!O92/'Price History'!O91-1),"")</f>
        <v>0.0117412234354819</v>
      </c>
      <c r="P91" s="153" t="n">
        <f aca="false">IFERROR(IF(OR(NOT(ISNUMBER('Price History'!P92)),NOT(ISNUMBER('Price History'!P91)),'Price History'!P91=0),"",'Price History'!P92/'Price History'!P91-1),"")</f>
        <v>0.00647458724506311</v>
      </c>
      <c r="Q91" s="153" t="n">
        <f aca="false">IFERROR(IF(OR(NOT(ISNUMBER('Price History'!Q92)),NOT(ISNUMBER('Price History'!Q91)),'Price History'!Q91=0),"",'Price History'!Q92/'Price History'!Q91-1),"")</f>
        <v>0.0108315280786535</v>
      </c>
      <c r="R91" s="153" t="n">
        <f aca="false">IFERROR(IF(OR(NOT(ISNUMBER('Price History'!R92)),NOT(ISNUMBER('Price History'!R91)),'Price History'!R91=0),"",'Price History'!R92/'Price History'!R91-1),"")</f>
        <v>0.0112917795844625</v>
      </c>
      <c r="S91" s="153" t="n">
        <f aca="false">IFERROR(IF(OR(NOT(ISNUMBER('Price History'!S92)),NOT(ISNUMBER('Price History'!S91)),'Price History'!S91=0),"",'Price History'!S92/'Price History'!S91-1),"")</f>
        <v>0.0243038472891863</v>
      </c>
      <c r="T91" s="153" t="n">
        <f aca="false">IFERROR(IF(OR(NOT(ISNUMBER('Price History'!T92)),NOT(ISNUMBER('Price History'!T91)),'Price History'!T91=0),"",'Price History'!T92/'Price History'!T91-1),"")</f>
        <v>0.00789313904068023</v>
      </c>
      <c r="U91" s="153" t="n">
        <f aca="false">IFERROR(IF(OR(NOT(ISNUMBER('Price History'!U92)),NOT(ISNUMBER('Price History'!U91)),'Price History'!U91=0),"",'Price History'!U92/'Price History'!U91-1),"")</f>
        <v>0.0110069302894416</v>
      </c>
      <c r="V91" s="154" t="n">
        <f aca="false">IFERROR(IF(OR(NOT(ISNUMBER('Price History'!V92)),NOT(ISNUMBER('Price History'!V91)),'Price History'!V91=0),"",'Price History'!V92/'Price History'!V91-1),"")</f>
        <v>0.0329601279561294</v>
      </c>
      <c r="W91" s="155" t="n">
        <f aca="false">IFERROR('Price History'!B3+(INDEX('Price History'!B:B,MATCH(9.99E+307,'Returns (Calc)'!$A:$A)+1)-'Price History'!B3)*(ROW()-3)/(MATCH(9.99E+307,'Returns (Calc)'!$A:$A)-3),"")</f>
        <v>370.257547169811</v>
      </c>
      <c r="X91" s="155" t="n">
        <f aca="false">IFERROR('Price History'!C3+(INDEX('Price History'!C:C,MATCH(9.99E+307,'Returns (Calc)'!$A:$A)+1)-'Price History'!C3)*(ROW()-3)/(MATCH(9.99E+307,'Returns (Calc)'!$A:$A)-3),"")</f>
        <v>140.577987421384</v>
      </c>
      <c r="Y91" s="155" t="n">
        <f aca="false">IFERROR('Price History'!D3+(INDEX('Price History'!D:D,MATCH(9.99E+307,'Returns (Calc)'!$A:$A)+1)-'Price History'!D3)*(ROW()-3)/(MATCH(9.99E+307,'Returns (Calc)'!$A:$A)-3),"")</f>
        <v>1245.23666666667</v>
      </c>
      <c r="Z91" s="155" t="n">
        <f aca="false">IFERROR('Price History'!E3+(INDEX('Price History'!E:E,MATCH(9.99E+307,'Returns (Calc)'!$A:$A)+1)-'Price History'!E3)*(ROW()-3)/(MATCH(9.99E+307,'Returns (Calc)'!$A:$A)-3),"")</f>
        <v>236.713962264151</v>
      </c>
      <c r="AA91" s="155" t="n">
        <f aca="false">IFERROR('Price History'!F3+(INDEX('Price History'!F:F,MATCH(9.99E+307,'Returns (Calc)'!$A:$A)+1)-'Price History'!F3)*(ROW()-3)/(MATCH(9.99E+307,'Returns (Calc)'!$A:$A)-3),"")</f>
        <v>170.692327044025</v>
      </c>
      <c r="AB91" s="155" t="n">
        <f aca="false">IFERROR('Price History'!G3+(INDEX('Price History'!G:G,MATCH(9.99E+307,'Returns (Calc)'!$A:$A)+1)-'Price History'!G3)*(ROW()-3)/(MATCH(9.99E+307,'Returns (Calc)'!$A:$A)-3),"")</f>
        <v>128.044088050314</v>
      </c>
      <c r="AC91" s="155" t="n">
        <f aca="false">IFERROR('Price History'!H3+(INDEX('Price History'!H:H,MATCH(9.99E+307,'Returns (Calc)'!$A:$A)+1)-'Price History'!H3)*(ROW()-3)/(MATCH(9.99E+307,'Returns (Calc)'!$A:$A)-3),"")</f>
        <v>600.369874213836</v>
      </c>
      <c r="AD91" s="155" t="n">
        <f aca="false">IFERROR('Price History'!I3+(INDEX('Price History'!I:I,MATCH(9.99E+307,'Returns (Calc)'!$A:$A)+1)-'Price History'!I3)*(ROW()-3)/(MATCH(9.99E+307,'Returns (Calc)'!$A:$A)-3),"")</f>
        <v>146.442201257862</v>
      </c>
      <c r="AE91" s="155" t="n">
        <f aca="false">IFERROR('Price History'!J3+(INDEX('Price History'!J:J,MATCH(9.99E+307,'Returns (Calc)'!$A:$A)+1)-'Price History'!J3)*(ROW()-3)/(MATCH(9.99E+307,'Returns (Calc)'!$A:$A)-3),"")</f>
        <v>121.60855345912</v>
      </c>
      <c r="AF91" s="155" t="n">
        <f aca="false">IFERROR('Price History'!K3+(INDEX('Price History'!K:K,MATCH(9.99E+307,'Returns (Calc)'!$A:$A)+1)-'Price History'!K3)*(ROW()-3)/(MATCH(9.99E+307,'Returns (Calc)'!$A:$A)-3),"")</f>
        <v>122.546100628931</v>
      </c>
      <c r="AG91" s="155" t="n">
        <f aca="false">IFERROR('Price History'!L3+(INDEX('Price History'!L:L,MATCH(9.99E+307,'Returns (Calc)'!$A:$A)+1)-'Price History'!L3)*(ROW()-3)/(MATCH(9.99E+307,'Returns (Calc)'!$A:$A)-3),"")</f>
        <v>289.179433962264</v>
      </c>
      <c r="AH91" s="155" t="n">
        <f aca="false">IFERROR('Price History'!M3+(INDEX('Price History'!M:M,MATCH(9.99E+307,'Returns (Calc)'!$A:$A)+1)-'Price History'!M3)*(ROW()-3)/(MATCH(9.99E+307,'Returns (Calc)'!$A:$A)-3),"")</f>
        <v>151.346289308176</v>
      </c>
      <c r="AI91" s="155" t="n">
        <f aca="false">IFERROR('Price History'!N3+(INDEX('Price History'!N:N,MATCH(9.99E+307,'Returns (Calc)'!$A:$A)+1)-'Price History'!N3)*(ROW()-3)/(MATCH(9.99E+307,'Returns (Calc)'!$A:$A)-3),"")</f>
        <v>438.106540880503</v>
      </c>
      <c r="AJ91" s="155" t="n">
        <f aca="false">IFERROR('Price History'!O3+(INDEX('Price History'!O:O,MATCH(9.99E+307,'Returns (Calc)'!$A:$A)+1)-'Price History'!O3)*(ROW()-3)/(MATCH(9.99E+307,'Returns (Calc)'!$A:$A)-3),"")</f>
        <v>99.8448427672956</v>
      </c>
      <c r="AK91" s="155" t="n">
        <f aca="false">IFERROR('Price History'!Q3+(INDEX('Price History'!Q:Q,MATCH(9.99E+307,'Returns (Calc)'!$A:$A)+1)-'Price History'!Q3)*(ROW()-3)/(MATCH(9.99E+307,'Returns (Calc)'!$A:$A)-3),"")</f>
        <v>38.725534591195</v>
      </c>
      <c r="AL91" s="155" t="n">
        <f aca="false">IFERROR('Price History'!R3+(INDEX('Price History'!R:R,MATCH(9.99E+307,'Returns (Calc)'!$A:$A)+1)-'Price History'!R3)*(ROW()-3)/(MATCH(9.99E+307,'Returns (Calc)'!$A:$A)-3),"")</f>
        <v>49.2075471698113</v>
      </c>
      <c r="AM91" s="155" t="n">
        <f aca="false">IFERROR('Price History'!S3+(INDEX('Price History'!S:S,MATCH(9.99E+307,'Returns (Calc)'!$A:$A)+1)-'Price History'!S3)*(ROW()-3)/(MATCH(9.99E+307,'Returns (Calc)'!$A:$A)-3),"")</f>
        <v>109.395031446541</v>
      </c>
      <c r="AN91" s="155" t="n">
        <f aca="false">IFERROR('Price History'!T3+(INDEX('Price History'!T:T,MATCH(9.99E+307,'Returns (Calc)'!$A:$A)+1)-'Price History'!T3)*(ROW()-3)/(MATCH(9.99E+307,'Returns (Calc)'!$A:$A)-3),"")</f>
        <v>40.4931446540881</v>
      </c>
      <c r="AO91" s="156" t="n">
        <f aca="false">IFERROR('Price History'!V3+(INDEX('Price History'!V:V,MATCH(9.99E+307,'Returns (Calc)'!$A:$A)+1)-'Price History'!V3)*(ROW()-3)/(MATCH(9.99E+307,'Returns (Calc)'!$A:$A)-3),"")</f>
        <v>318.549245283019</v>
      </c>
      <c r="AP91" s="154" t="n">
        <f aca="false">IFERROR(IF(OR(NOT(ISNUMBER('Price History'!W92)),NOT(ISNUMBER('Price History'!W91)),'Price History'!W91=0),"",'Price History'!W92/'Price History'!W91-1),"")</f>
        <v>0.0151836734693878</v>
      </c>
      <c r="AQ91" s="154" t="str">
        <f aca="false">IFERROR(IF(OR(NOT(ISNUMBER('Price History'!X92)),NOT(ISNUMBER('Price History'!X91)),'Price History'!X91=0),"",'Price History'!X92/'Price History'!X91-1),"")</f>
        <v/>
      </c>
      <c r="AR91" s="154" t="n">
        <f aca="false">IFERROR(IF(OR(NOT(ISNUMBER('Price History'!Y92)),NOT(ISNUMBER('Price History'!Y91)),'Price History'!Y91=0),"",'Price History'!Y92/'Price History'!Y91-1),"")</f>
        <v>0.0101091791346544</v>
      </c>
      <c r="AS91" s="154" t="n">
        <f aca="false">IFERROR(IF(OR(NOT(ISNUMBER('Price History'!Z92)),NOT(ISNUMBER('Price History'!Z91)),'Price History'!Z91=0),"",'Price History'!Z92/'Price History'!Z91-1),"")</f>
        <v>0.0563831630001732</v>
      </c>
      <c r="AT91" s="154" t="n">
        <f aca="false">IFERROR(IF(OR(NOT(ISNUMBER('Price History'!AA92)),NOT(ISNUMBER('Price History'!AA91)),'Price History'!AA91=0),"",'Price History'!AA92/'Price History'!AA91-1),"")</f>
        <v>0.0183904167369664</v>
      </c>
      <c r="AU91" s="154" t="n">
        <f aca="false">IFERROR(IF(OR(NOT(ISNUMBER('Price History'!AB92)),NOT(ISNUMBER('Price History'!AB91)),'Price History'!AB91=0),"",'Price History'!AB92/'Price History'!AB91-1),"")</f>
        <v>0.200429184549356</v>
      </c>
    </row>
    <row r="92" customFormat="false" ht="15" hidden="false" customHeight="true" outlineLevel="0" collapsed="false">
      <c r="A92" s="152" t="n">
        <f aca="false">IF('Price History'!A93="","",'Price History'!A93)</f>
        <v>45814</v>
      </c>
      <c r="B92" s="153" t="n">
        <f aca="false">IFERROR(IF(OR(NOT(ISNUMBER('Price History'!B93)),NOT(ISNUMBER('Price History'!B92)),'Price History'!B92=0),"",'Price History'!B93/'Price History'!B92-1),"")</f>
        <v>0.00440868245440762</v>
      </c>
      <c r="C92" s="153" t="n">
        <f aca="false">IFERROR(IF(OR(NOT(ISNUMBER('Price History'!C93)),NOT(ISNUMBER('Price History'!C92)),'Price History'!C92=0),"",'Price History'!C93/'Price History'!C92-1),"")</f>
        <v>0.122460757156048</v>
      </c>
      <c r="D92" s="153" t="n">
        <f aca="false">IFERROR(IF(OR(NOT(ISNUMBER('Price History'!D93)),NOT(ISNUMBER('Price History'!D92)),'Price History'!D92=0),"",'Price History'!D93/'Price History'!D92-1),"")</f>
        <v>0.0220517737296262</v>
      </c>
      <c r="E92" s="153" t="n">
        <f aca="false">IFERROR(IF(OR(NOT(ISNUMBER('Price History'!E93)),NOT(ISNUMBER('Price History'!E92)),'Price History'!E92=0),"",'Price History'!E93/'Price History'!E92-1),"")</f>
        <v>0.0200576657891438</v>
      </c>
      <c r="F92" s="153" t="n">
        <f aca="false">IFERROR(IF(OR(NOT(ISNUMBER('Price History'!F93)),NOT(ISNUMBER('Price History'!F92)),'Price History'!F92=0),"",'Price History'!F93/'Price History'!F92-1),"")</f>
        <v>-0.00627970128988464</v>
      </c>
      <c r="G92" s="153" t="n">
        <f aca="false">IFERROR(IF(OR(NOT(ISNUMBER('Price History'!G93)),NOT(ISNUMBER('Price History'!G92)),'Price History'!G92=0),"",'Price History'!G93/'Price History'!G92-1),"")</f>
        <v>0.0674920127795526</v>
      </c>
      <c r="H92" s="153" t="n">
        <f aca="false">IFERROR(IF(OR(NOT(ISNUMBER('Price History'!H93)),NOT(ISNUMBER('Price History'!H92)),'Price History'!H92=0),"",'Price History'!H93/'Price History'!H92-1),"")</f>
        <v>0.149225217575886</v>
      </c>
      <c r="I92" s="153" t="n">
        <f aca="false">IFERROR(IF(OR(NOT(ISNUMBER('Price History'!I93)),NOT(ISNUMBER('Price History'!I92)),'Price History'!I92=0),"",'Price History'!I93/'Price History'!I92-1),"")</f>
        <v>0.048742488315157</v>
      </c>
      <c r="J92" s="153" t="n">
        <f aca="false">IFERROR(IF(OR(NOT(ISNUMBER('Price History'!J93)),NOT(ISNUMBER('Price History'!J92)),'Price History'!J92=0),"",'Price History'!J93/'Price History'!J92-1),"")</f>
        <v>0.0017411491584447</v>
      </c>
      <c r="K92" s="153" t="n">
        <f aca="false">IFERROR(IF(OR(NOT(ISNUMBER('Price History'!K93)),NOT(ISNUMBER('Price History'!K92)),'Price History'!K92=0),"",'Price History'!K93/'Price History'!K92-1),"")</f>
        <v>-0.0308089239641828</v>
      </c>
      <c r="L92" s="153" t="n">
        <f aca="false">IFERROR(IF(OR(NOT(ISNUMBER('Price History'!L93)),NOT(ISNUMBER('Price History'!L92)),'Price History'!L92=0),"",'Price History'!L93/'Price History'!L92-1),"")</f>
        <v>0.0613684210526315</v>
      </c>
      <c r="M92" s="153" t="n">
        <f aca="false">IFERROR(IF(OR(NOT(ISNUMBER('Price History'!M93)),NOT(ISNUMBER('Price History'!M92)),'Price History'!M92=0),"",'Price History'!M93/'Price History'!M92-1),"")</f>
        <v>0.068863109048724</v>
      </c>
      <c r="N92" s="153" t="n">
        <f aca="false">IFERROR(IF(OR(NOT(ISNUMBER('Price History'!N93)),NOT(ISNUMBER('Price History'!N92)),'Price History'!N92=0),"",'Price History'!N93/'Price History'!N92-1),"")</f>
        <v>0.0191154846736794</v>
      </c>
      <c r="O92" s="153" t="n">
        <f aca="false">IFERROR(IF(OR(NOT(ISNUMBER('Price History'!O93)),NOT(ISNUMBER('Price History'!O92)),'Price History'!O92=0),"",'Price History'!O93/'Price History'!O92-1),"")</f>
        <v>0.0184518974120924</v>
      </c>
      <c r="P92" s="153" t="n">
        <f aca="false">IFERROR(IF(OR(NOT(ISNUMBER('Price History'!P93)),NOT(ISNUMBER('Price History'!P92)),'Price History'!P92=0),"",'Price History'!P93/'Price History'!P92-1),"")</f>
        <v>0.00369893856545511</v>
      </c>
      <c r="Q92" s="153" t="n">
        <f aca="false">IFERROR(IF(OR(NOT(ISNUMBER('Price History'!Q93)),NOT(ISNUMBER('Price History'!Q92)),'Price History'!Q92=0),"",'Price History'!Q93/'Price History'!Q92-1),"")</f>
        <v>0.00972634355423674</v>
      </c>
      <c r="R92" s="153" t="n">
        <f aca="false">IFERROR(IF(OR(NOT(ISNUMBER('Price History'!R93)),NOT(ISNUMBER('Price History'!R92)),'Price History'!R92=0),"",'Price History'!R93/'Price History'!R92-1),"")</f>
        <v>0.0131755247878516</v>
      </c>
      <c r="S92" s="153" t="n">
        <f aca="false">IFERROR(IF(OR(NOT(ISNUMBER('Price History'!S93)),NOT(ISNUMBER('Price History'!S92)),'Price History'!S92=0),"",'Price History'!S93/'Price History'!S92-1),"")</f>
        <v>0.0148895292987512</v>
      </c>
      <c r="T92" s="153" t="n">
        <f aca="false">IFERROR(IF(OR(NOT(ISNUMBER('Price History'!T93)),NOT(ISNUMBER('Price History'!T92)),'Price History'!T92=0),"",'Price History'!T93/'Price History'!T92-1),"")</f>
        <v>0.0234939759036144</v>
      </c>
      <c r="U92" s="153" t="n">
        <f aca="false">IFERROR(IF(OR(NOT(ISNUMBER('Price History'!U93)),NOT(ISNUMBER('Price History'!U92)),'Price History'!U92=0),"",'Price History'!U93/'Price History'!U92-1),"")</f>
        <v>0.0141129032258063</v>
      </c>
      <c r="V92" s="154" t="n">
        <f aca="false">IFERROR(IF(OR(NOT(ISNUMBER('Price History'!V93)),NOT(ISNUMBER('Price History'!V92)),'Price History'!V92=0),"",'Price History'!V93/'Price History'!V92-1),"")</f>
        <v>0.0137698390753747</v>
      </c>
      <c r="W92" s="155" t="n">
        <f aca="false">IFERROR('Price History'!B3+(INDEX('Price History'!B:B,MATCH(9.99E+307,'Returns (Calc)'!$A:$A)+1)-'Price History'!B3)*(ROW()-3)/(MATCH(9.99E+307,'Returns (Calc)'!$A:$A)-3),"")</f>
        <v>368.454905660377</v>
      </c>
      <c r="X92" s="155" t="n">
        <f aca="false">IFERROR('Price History'!C3+(INDEX('Price History'!C:C,MATCH(9.99E+307,'Returns (Calc)'!$A:$A)+1)-'Price History'!C3)*(ROW()-3)/(MATCH(9.99E+307,'Returns (Calc)'!$A:$A)-3),"")</f>
        <v>141.650691823899</v>
      </c>
      <c r="Y92" s="155" t="n">
        <f aca="false">IFERROR('Price History'!D3+(INDEX('Price History'!D:D,MATCH(9.99E+307,'Returns (Calc)'!$A:$A)+1)-'Price History'!D3)*(ROW()-3)/(MATCH(9.99E+307,'Returns (Calc)'!$A:$A)-3),"")</f>
        <v>1252.77333333333</v>
      </c>
      <c r="Z92" s="155" t="n">
        <f aca="false">IFERROR('Price History'!E3+(INDEX('Price History'!E:E,MATCH(9.99E+307,'Returns (Calc)'!$A:$A)+1)-'Price History'!E3)*(ROW()-3)/(MATCH(9.99E+307,'Returns (Calc)'!$A:$A)-3),"")</f>
        <v>238.472075471698</v>
      </c>
      <c r="AA92" s="155" t="n">
        <f aca="false">IFERROR('Price History'!F3+(INDEX('Price History'!F:F,MATCH(9.99E+307,'Returns (Calc)'!$A:$A)+1)-'Price History'!F3)*(ROW()-3)/(MATCH(9.99E+307,'Returns (Calc)'!$A:$A)-3),"")</f>
        <v>172.162012578616</v>
      </c>
      <c r="AB92" s="155" t="n">
        <f aca="false">IFERROR('Price History'!G3+(INDEX('Price History'!G:G,MATCH(9.99E+307,'Returns (Calc)'!$A:$A)+1)-'Price History'!G3)*(ROW()-3)/(MATCH(9.99E+307,'Returns (Calc)'!$A:$A)-3),"")</f>
        <v>128.995157232704</v>
      </c>
      <c r="AC92" s="155" t="n">
        <f aca="false">IFERROR('Price History'!H3+(INDEX('Price History'!H:H,MATCH(9.99E+307,'Returns (Calc)'!$A:$A)+1)-'Price History'!H3)*(ROW()-3)/(MATCH(9.99E+307,'Returns (Calc)'!$A:$A)-3),"")</f>
        <v>606.406918238994</v>
      </c>
      <c r="AD92" s="155" t="n">
        <f aca="false">IFERROR('Price History'!I3+(INDEX('Price History'!I:I,MATCH(9.99E+307,'Returns (Calc)'!$A:$A)+1)-'Price History'!I3)*(ROW()-3)/(MATCH(9.99E+307,'Returns (Calc)'!$A:$A)-3),"")</f>
        <v>147.60893081761</v>
      </c>
      <c r="AE92" s="155" t="n">
        <f aca="false">IFERROR('Price History'!J3+(INDEX('Price History'!J:J,MATCH(9.99E+307,'Returns (Calc)'!$A:$A)+1)-'Price History'!J3)*(ROW()-3)/(MATCH(9.99E+307,'Returns (Calc)'!$A:$A)-3),"")</f>
        <v>121.719559748428</v>
      </c>
      <c r="AF92" s="155" t="n">
        <f aca="false">IFERROR('Price History'!K3+(INDEX('Price History'!K:K,MATCH(9.99E+307,'Returns (Calc)'!$A:$A)+1)-'Price History'!K3)*(ROW()-3)/(MATCH(9.99E+307,'Returns (Calc)'!$A:$A)-3),"")</f>
        <v>123.764465408805</v>
      </c>
      <c r="AG92" s="155" t="n">
        <f aca="false">IFERROR('Price History'!L3+(INDEX('Price History'!L:L,MATCH(9.99E+307,'Returns (Calc)'!$A:$A)+1)-'Price History'!L3)*(ROW()-3)/(MATCH(9.99E+307,'Returns (Calc)'!$A:$A)-3),"")</f>
        <v>291.491132075472</v>
      </c>
      <c r="AH92" s="155" t="n">
        <f aca="false">IFERROR('Price History'!M3+(INDEX('Price History'!M:M,MATCH(9.99E+307,'Returns (Calc)'!$A:$A)+1)-'Price History'!M3)*(ROW()-3)/(MATCH(9.99E+307,'Returns (Calc)'!$A:$A)-3),"")</f>
        <v>152.634088050314</v>
      </c>
      <c r="AI92" s="155" t="n">
        <f aca="false">IFERROR('Price History'!N3+(INDEX('Price History'!N:N,MATCH(9.99E+307,'Returns (Calc)'!$A:$A)+1)-'Price History'!N3)*(ROW()-3)/(MATCH(9.99E+307,'Returns (Calc)'!$A:$A)-3),"")</f>
        <v>439.120251572327</v>
      </c>
      <c r="AJ92" s="155" t="n">
        <f aca="false">IFERROR('Price History'!O3+(INDEX('Price History'!O:O,MATCH(9.99E+307,'Returns (Calc)'!$A:$A)+1)-'Price History'!O3)*(ROW()-3)/(MATCH(9.99E+307,'Returns (Calc)'!$A:$A)-3),"")</f>
        <v>100.123647798742</v>
      </c>
      <c r="AK92" s="155" t="n">
        <f aca="false">IFERROR('Price History'!Q3+(INDEX('Price History'!Q:Q,MATCH(9.99E+307,'Returns (Calc)'!$A:$A)+1)-'Price History'!Q3)*(ROW()-3)/(MATCH(9.99E+307,'Returns (Calc)'!$A:$A)-3),"")</f>
        <v>39.1655974842767</v>
      </c>
      <c r="AL92" s="155" t="n">
        <f aca="false">IFERROR('Price History'!R3+(INDEX('Price History'!R:R,MATCH(9.99E+307,'Returns (Calc)'!$A:$A)+1)-'Price History'!R3)*(ROW()-3)/(MATCH(9.99E+307,'Returns (Calc)'!$A:$A)-3),"")</f>
        <v>49.3749056603774</v>
      </c>
      <c r="AM92" s="155" t="n">
        <f aca="false">IFERROR('Price History'!S3+(INDEX('Price History'!S:S,MATCH(9.99E+307,'Returns (Calc)'!$A:$A)+1)-'Price History'!S3)*(ROW()-3)/(MATCH(9.99E+307,'Returns (Calc)'!$A:$A)-3),"")</f>
        <v>109.983270440252</v>
      </c>
      <c r="AN92" s="155" t="n">
        <f aca="false">IFERROR('Price History'!T3+(INDEX('Price History'!T:T,MATCH(9.99E+307,'Returns (Calc)'!$A:$A)+1)-'Price History'!T3)*(ROW()-3)/(MATCH(9.99E+307,'Returns (Calc)'!$A:$A)-3),"")</f>
        <v>40.6670440251572</v>
      </c>
      <c r="AO92" s="156" t="n">
        <f aca="false">IFERROR('Price History'!V3+(INDEX('Price History'!V:V,MATCH(9.99E+307,'Returns (Calc)'!$A:$A)+1)-'Price History'!V3)*(ROW()-3)/(MATCH(9.99E+307,'Returns (Calc)'!$A:$A)-3),"")</f>
        <v>319.491509433962</v>
      </c>
      <c r="AP92" s="154" t="n">
        <f aca="false">IFERROR(IF(OR(NOT(ISNUMBER('Price History'!W93)),NOT(ISNUMBER('Price History'!W92)),'Price History'!W92=0),"",'Price History'!W93/'Price History'!W92-1),"")</f>
        <v>0.0110164039884209</v>
      </c>
      <c r="AQ92" s="154" t="str">
        <f aca="false">IFERROR(IF(OR(NOT(ISNUMBER('Price History'!X93)),NOT(ISNUMBER('Price History'!X92)),'Price History'!X92=0),"",'Price History'!X93/'Price History'!X92-1),"")</f>
        <v/>
      </c>
      <c r="AR92" s="154" t="n">
        <f aca="false">IFERROR(IF(OR(NOT(ISNUMBER('Price History'!Y93)),NOT(ISNUMBER('Price History'!Y92)),'Price History'!Y92=0),"",'Price History'!Y93/'Price History'!Y92-1),"")</f>
        <v>0.00880704563650925</v>
      </c>
      <c r="AS92" s="154" t="n">
        <f aca="false">IFERROR(IF(OR(NOT(ISNUMBER('Price History'!Z93)),NOT(ISNUMBER('Price History'!Z92)),'Price History'!Z92=0),"",'Price History'!Z93/'Price History'!Z92-1),"")</f>
        <v>0.039517914241207</v>
      </c>
      <c r="AT92" s="154" t="n">
        <f aca="false">IFERROR(IF(OR(NOT(ISNUMBER('Price History'!AA93)),NOT(ISNUMBER('Price History'!AA92)),'Price History'!AA92=0),"",'Price History'!AA93/'Price History'!AA92-1),"")</f>
        <v>0.0284128561961565</v>
      </c>
      <c r="AU92" s="154" t="n">
        <f aca="false">IFERROR(IF(OR(NOT(ISNUMBER('Price History'!AB93)),NOT(ISNUMBER('Price History'!AB92)),'Price History'!AB92=0),"",'Price History'!AB93/'Price History'!AB92-1),"")</f>
        <v>0.0202359671076153</v>
      </c>
    </row>
    <row r="93" customFormat="false" ht="15" hidden="false" customHeight="true" outlineLevel="0" collapsed="false">
      <c r="A93" s="152" t="n">
        <f aca="false">IF('Price History'!A94="","",'Price History'!A94)</f>
        <v>45821</v>
      </c>
      <c r="B93" s="153" t="n">
        <f aca="false">IFERROR(IF(OR(NOT(ISNUMBER('Price History'!B94)),NOT(ISNUMBER('Price History'!B93)),'Price History'!B93=0),"",'Price History'!B94/'Price History'!B93-1),"")</f>
        <v>-0.06053919217116</v>
      </c>
      <c r="C93" s="153" t="n">
        <f aca="false">IFERROR(IF(OR(NOT(ISNUMBER('Price History'!C94)),NOT(ISNUMBER('Price History'!C93)),'Price History'!C93=0),"",'Price History'!C94/'Price History'!C93-1),"")</f>
        <v>-0.0503856041131106</v>
      </c>
      <c r="D93" s="153" t="n">
        <f aca="false">IFERROR(IF(OR(NOT(ISNUMBER('Price History'!D94)),NOT(ISNUMBER('Price History'!D93)),'Price History'!D93=0),"",'Price History'!D94/'Price History'!D93-1),"")</f>
        <v>0.0106003752345216</v>
      </c>
      <c r="E93" s="153" t="n">
        <f aca="false">IFERROR(IF(OR(NOT(ISNUMBER('Price History'!E94)),NOT(ISNUMBER('Price History'!E93)),'Price History'!E93=0),"",'Price History'!E94/'Price History'!E93-1),"")</f>
        <v>0.00716889926672404</v>
      </c>
      <c r="F93" s="153" t="n">
        <f aca="false">IFERROR(IF(OR(NOT(ISNUMBER('Price History'!F94)),NOT(ISNUMBER('Price History'!F93)),'Price History'!F93=0),"",'Price History'!F94/'Price History'!F93-1),"")</f>
        <v>0.0260461144321094</v>
      </c>
      <c r="G93" s="153" t="n">
        <f aca="false">IFERROR(IF(OR(NOT(ISNUMBER('Price History'!G94)),NOT(ISNUMBER('Price History'!G93)),'Price History'!G93=0),"",'Price History'!G94/'Price History'!G93-1),"")</f>
        <v>0.073824666417259</v>
      </c>
      <c r="H93" s="153" t="n">
        <f aca="false">IFERROR(IF(OR(NOT(ISNUMBER('Price History'!H94)),NOT(ISNUMBER('Price History'!H93)),'Price History'!H93=0),"",'Price History'!H94/'Price History'!H93-1),"")</f>
        <v>0.0649242704100481</v>
      </c>
      <c r="I93" s="153" t="n">
        <f aca="false">IFERROR(IF(OR(NOT(ISNUMBER('Price History'!I94)),NOT(ISNUMBER('Price History'!I93)),'Price History'!I93=0),"",'Price History'!I94/'Price History'!I93-1),"")</f>
        <v>0.00183927560837582</v>
      </c>
      <c r="J93" s="153" t="n">
        <f aca="false">IFERROR(IF(OR(NOT(ISNUMBER('Price History'!J94)),NOT(ISNUMBER('Price History'!J93)),'Price History'!J93=0),"",'Price History'!J94/'Price History'!J93-1),"")</f>
        <v>-0.0139049826187717</v>
      </c>
      <c r="K93" s="153" t="n">
        <f aca="false">IFERROR(IF(OR(NOT(ISNUMBER('Price History'!K94)),NOT(ISNUMBER('Price History'!K93)),'Price History'!K93=0),"",'Price History'!K94/'Price History'!K93-1),"")</f>
        <v>0.0757907923582839</v>
      </c>
      <c r="L93" s="153" t="n">
        <f aca="false">IFERROR(IF(OR(NOT(ISNUMBER('Price History'!L94)),NOT(ISNUMBER('Price History'!L93)),'Price History'!L93=0),"",'Price History'!L94/'Price History'!L93-1),"")</f>
        <v>0.0325795894079144</v>
      </c>
      <c r="M93" s="153" t="n">
        <f aca="false">IFERROR(IF(OR(NOT(ISNUMBER('Price History'!M94)),NOT(ISNUMBER('Price History'!M93)),'Price History'!M93=0),"",'Price History'!M94/'Price History'!M93-1),"")</f>
        <v>-0.0381175653381958</v>
      </c>
      <c r="N93" s="153" t="n">
        <f aca="false">IFERROR(IF(OR(NOT(ISNUMBER('Price History'!N94)),NOT(ISNUMBER('Price History'!N93)),'Price History'!N93=0),"",'Price History'!N94/'Price History'!N93-1),"")</f>
        <v>0.0109877913429524</v>
      </c>
      <c r="O93" s="153" t="n">
        <f aca="false">IFERROR(IF(OR(NOT(ISNUMBER('Price History'!O94)),NOT(ISNUMBER('Price History'!O93)),'Price History'!O93=0),"",'Price History'!O94/'Price History'!O93-1),"")</f>
        <v>-0.00603919781221518</v>
      </c>
      <c r="P93" s="153" t="n">
        <f aca="false">IFERROR(IF(OR(NOT(ISNUMBER('Price History'!P94)),NOT(ISNUMBER('Price History'!P93)),'Price History'!P93=0),"",'Price History'!P94/'Price History'!P93-1),"")</f>
        <v>-0.00352507610959785</v>
      </c>
      <c r="Q93" s="153" t="n">
        <f aca="false">IFERROR(IF(OR(NOT(ISNUMBER('Price History'!Q94)),NOT(ISNUMBER('Price History'!Q93)),'Price History'!Q93=0),"",'Price History'!Q94/'Price History'!Q93-1),"")</f>
        <v>-0.000163265306122429</v>
      </c>
      <c r="R93" s="153" t="n">
        <f aca="false">IFERROR(IF(OR(NOT(ISNUMBER('Price History'!R94)),NOT(ISNUMBER('Price History'!R93)),'Price History'!R93=0),"",'Price History'!R94/'Price History'!R93-1),"")</f>
        <v>-0.00198368966277263</v>
      </c>
      <c r="S93" s="153" t="n">
        <f aca="false">IFERROR(IF(OR(NOT(ISNUMBER('Price History'!S94)),NOT(ISNUMBER('Price History'!S93)),'Price History'!S93=0),"",'Price History'!S94/'Price History'!S93-1),"")</f>
        <v>-0.00709891150023667</v>
      </c>
      <c r="T93" s="153" t="n">
        <f aca="false">IFERROR(IF(OR(NOT(ISNUMBER('Price History'!T94)),NOT(ISNUMBER('Price History'!T93)),'Price History'!T93=0),"",'Price History'!T94/'Price History'!T93-1),"")</f>
        <v>0.0132430841671571</v>
      </c>
      <c r="U93" s="153" t="n">
        <f aca="false">IFERROR(IF(OR(NOT(ISNUMBER('Price History'!U94)),NOT(ISNUMBER('Price History'!U93)),'Price History'!U93=0),"",'Price History'!U94/'Price History'!U93-1),"")</f>
        <v>0.0135188866799205</v>
      </c>
      <c r="V93" s="154" t="n">
        <f aca="false">IFERROR(IF(OR(NOT(ISNUMBER('Price History'!V94)),NOT(ISNUMBER('Price History'!V93)),'Price History'!V93=0),"",'Price History'!V94/'Price History'!V93-1),"")</f>
        <v>-0.0469125027274711</v>
      </c>
      <c r="W93" s="155" t="n">
        <f aca="false">IFERROR('Price History'!B3+(INDEX('Price History'!B:B,MATCH(9.99E+307,'Returns (Calc)'!$A:$A)+1)-'Price History'!B3)*(ROW()-3)/(MATCH(9.99E+307,'Returns (Calc)'!$A:$A)-3),"")</f>
        <v>366.652264150943</v>
      </c>
      <c r="X93" s="155" t="n">
        <f aca="false">IFERROR('Price History'!C3+(INDEX('Price History'!C:C,MATCH(9.99E+307,'Returns (Calc)'!$A:$A)+1)-'Price History'!C3)*(ROW()-3)/(MATCH(9.99E+307,'Returns (Calc)'!$A:$A)-3),"")</f>
        <v>142.723396226415</v>
      </c>
      <c r="Y93" s="155" t="n">
        <f aca="false">IFERROR('Price History'!D3+(INDEX('Price History'!D:D,MATCH(9.99E+307,'Returns (Calc)'!$A:$A)+1)-'Price History'!D3)*(ROW()-3)/(MATCH(9.99E+307,'Returns (Calc)'!$A:$A)-3),"")</f>
        <v>1260.31</v>
      </c>
      <c r="Z93" s="155" t="n">
        <f aca="false">IFERROR('Price History'!E3+(INDEX('Price History'!E:E,MATCH(9.99E+307,'Returns (Calc)'!$A:$A)+1)-'Price History'!E3)*(ROW()-3)/(MATCH(9.99E+307,'Returns (Calc)'!$A:$A)-3),"")</f>
        <v>240.230188679245</v>
      </c>
      <c r="AA93" s="155" t="n">
        <f aca="false">IFERROR('Price History'!F3+(INDEX('Price History'!F:F,MATCH(9.99E+307,'Returns (Calc)'!$A:$A)+1)-'Price History'!F3)*(ROW()-3)/(MATCH(9.99E+307,'Returns (Calc)'!$A:$A)-3),"")</f>
        <v>173.631698113208</v>
      </c>
      <c r="AB93" s="155" t="n">
        <f aca="false">IFERROR('Price History'!G3+(INDEX('Price History'!G:G,MATCH(9.99E+307,'Returns (Calc)'!$A:$A)+1)-'Price History'!G3)*(ROW()-3)/(MATCH(9.99E+307,'Returns (Calc)'!$A:$A)-3),"")</f>
        <v>129.946226415094</v>
      </c>
      <c r="AC93" s="155" t="n">
        <f aca="false">IFERROR('Price History'!H3+(INDEX('Price History'!H:H,MATCH(9.99E+307,'Returns (Calc)'!$A:$A)+1)-'Price History'!H3)*(ROW()-3)/(MATCH(9.99E+307,'Returns (Calc)'!$A:$A)-3),"")</f>
        <v>612.443962264151</v>
      </c>
      <c r="AD93" s="155" t="n">
        <f aca="false">IFERROR('Price History'!I3+(INDEX('Price History'!I:I,MATCH(9.99E+307,'Returns (Calc)'!$A:$A)+1)-'Price History'!I3)*(ROW()-3)/(MATCH(9.99E+307,'Returns (Calc)'!$A:$A)-3),"")</f>
        <v>148.775660377359</v>
      </c>
      <c r="AE93" s="155" t="n">
        <f aca="false">IFERROR('Price History'!J3+(INDEX('Price History'!J:J,MATCH(9.99E+307,'Returns (Calc)'!$A:$A)+1)-'Price History'!J3)*(ROW()-3)/(MATCH(9.99E+307,'Returns (Calc)'!$A:$A)-3),"")</f>
        <v>121.830566037736</v>
      </c>
      <c r="AF93" s="155" t="n">
        <f aca="false">IFERROR('Price History'!K3+(INDEX('Price History'!K:K,MATCH(9.99E+307,'Returns (Calc)'!$A:$A)+1)-'Price History'!K3)*(ROW()-3)/(MATCH(9.99E+307,'Returns (Calc)'!$A:$A)-3),"")</f>
        <v>124.982830188679</v>
      </c>
      <c r="AG93" s="155" t="n">
        <f aca="false">IFERROR('Price History'!L3+(INDEX('Price History'!L:L,MATCH(9.99E+307,'Returns (Calc)'!$A:$A)+1)-'Price History'!L3)*(ROW()-3)/(MATCH(9.99E+307,'Returns (Calc)'!$A:$A)-3),"")</f>
        <v>293.802830188679</v>
      </c>
      <c r="AH93" s="155" t="n">
        <f aca="false">IFERROR('Price History'!M3+(INDEX('Price History'!M:M,MATCH(9.99E+307,'Returns (Calc)'!$A:$A)+1)-'Price History'!M3)*(ROW()-3)/(MATCH(9.99E+307,'Returns (Calc)'!$A:$A)-3),"")</f>
        <v>153.921886792453</v>
      </c>
      <c r="AI93" s="155" t="n">
        <f aca="false">IFERROR('Price History'!N3+(INDEX('Price History'!N:N,MATCH(9.99E+307,'Returns (Calc)'!$A:$A)+1)-'Price History'!N3)*(ROW()-3)/(MATCH(9.99E+307,'Returns (Calc)'!$A:$A)-3),"")</f>
        <v>440.133962264151</v>
      </c>
      <c r="AJ93" s="155" t="n">
        <f aca="false">IFERROR('Price History'!O3+(INDEX('Price History'!O:O,MATCH(9.99E+307,'Returns (Calc)'!$A:$A)+1)-'Price History'!O3)*(ROW()-3)/(MATCH(9.99E+307,'Returns (Calc)'!$A:$A)-3),"")</f>
        <v>100.402452830189</v>
      </c>
      <c r="AK93" s="155" t="n">
        <f aca="false">IFERROR('Price History'!Q3+(INDEX('Price History'!Q:Q,MATCH(9.99E+307,'Returns (Calc)'!$A:$A)+1)-'Price History'!Q3)*(ROW()-3)/(MATCH(9.99E+307,'Returns (Calc)'!$A:$A)-3),"")</f>
        <v>39.6056603773585</v>
      </c>
      <c r="AL93" s="155" t="n">
        <f aca="false">IFERROR('Price History'!R3+(INDEX('Price History'!R:R,MATCH(9.99E+307,'Returns (Calc)'!$A:$A)+1)-'Price History'!R3)*(ROW()-3)/(MATCH(9.99E+307,'Returns (Calc)'!$A:$A)-3),"")</f>
        <v>49.5422641509434</v>
      </c>
      <c r="AM93" s="155" t="n">
        <f aca="false">IFERROR('Price History'!S3+(INDEX('Price History'!S:S,MATCH(9.99E+307,'Returns (Calc)'!$A:$A)+1)-'Price History'!S3)*(ROW()-3)/(MATCH(9.99E+307,'Returns (Calc)'!$A:$A)-3),"")</f>
        <v>110.571509433962</v>
      </c>
      <c r="AN93" s="155" t="n">
        <f aca="false">IFERROR('Price History'!T3+(INDEX('Price History'!T:T,MATCH(9.99E+307,'Returns (Calc)'!$A:$A)+1)-'Price History'!T3)*(ROW()-3)/(MATCH(9.99E+307,'Returns (Calc)'!$A:$A)-3),"")</f>
        <v>40.8409433962264</v>
      </c>
      <c r="AO93" s="156" t="n">
        <f aca="false">IFERROR('Price History'!V3+(INDEX('Price History'!V:V,MATCH(9.99E+307,'Returns (Calc)'!$A:$A)+1)-'Price History'!V3)*(ROW()-3)/(MATCH(9.99E+307,'Returns (Calc)'!$A:$A)-3),"")</f>
        <v>320.433773584906</v>
      </c>
      <c r="AP93" s="154" t="n">
        <f aca="false">IFERROR(IF(OR(NOT(ISNUMBER('Price History'!W94)),NOT(ISNUMBER('Price History'!W93)),'Price History'!W93=0),"",'Price History'!W94/'Price History'!W93-1),"")</f>
        <v>0.000715819613457347</v>
      </c>
      <c r="AQ93" s="154" t="str">
        <f aca="false">IFERROR(IF(OR(NOT(ISNUMBER('Price History'!X94)),NOT(ISNUMBER('Price History'!X93)),'Price History'!X93=0),"",'Price History'!X94/'Price History'!X93-1),"")</f>
        <v/>
      </c>
      <c r="AR93" s="154" t="n">
        <f aca="false">IFERROR(IF(OR(NOT(ISNUMBER('Price History'!Y94)),NOT(ISNUMBER('Price History'!Y93)),'Price History'!Y93=0),"",'Price History'!Y94/'Price History'!Y93-1),"")</f>
        <v>0</v>
      </c>
      <c r="AS93" s="154" t="n">
        <f aca="false">IFERROR(IF(OR(NOT(ISNUMBER('Price History'!Z94)),NOT(ISNUMBER('Price History'!Z93)),'Price History'!Z93=0),"",'Price History'!Z94/'Price History'!Z93-1),"")</f>
        <v>-0.0744538212792808</v>
      </c>
      <c r="AT93" s="154" t="n">
        <f aca="false">IFERROR(IF(OR(NOT(ISNUMBER('Price History'!AA94)),NOT(ISNUMBER('Price History'!AA93)),'Price History'!AA93=0),"",'Price History'!AA94/'Price History'!AA93-1),"")</f>
        <v>-0.023681031010874</v>
      </c>
      <c r="AU93" s="154" t="n">
        <f aca="false">IFERROR(IF(OR(NOT(ISNUMBER('Price History'!AB94)),NOT(ISNUMBER('Price History'!AB93)),'Price History'!AB93=0),"",'Price History'!AB94/'Price History'!AB93-1),"")</f>
        <v>-0.00984721054107096</v>
      </c>
    </row>
    <row r="94" customFormat="false" ht="15" hidden="false" customHeight="true" outlineLevel="0" collapsed="false">
      <c r="A94" s="152" t="n">
        <f aca="false">IF('Price History'!A95="","",'Price History'!A95)</f>
        <v>45828</v>
      </c>
      <c r="B94" s="153" t="n">
        <f aca="false">IFERROR(IF(OR(NOT(ISNUMBER('Price History'!B95)),NOT(ISNUMBER('Price History'!B94)),'Price History'!B94=0),"",'Price History'!B95/'Price History'!B94-1),"")</f>
        <v>-0.0376838235294117</v>
      </c>
      <c r="C94" s="153" t="n">
        <f aca="false">IFERROR(IF(OR(NOT(ISNUMBER('Price History'!C95)),NOT(ISNUMBER('Price History'!C94)),'Price History'!C94=0),"",'Price History'!C95/'Price History'!C94-1),"")</f>
        <v>-0.0660530590146182</v>
      </c>
      <c r="D94" s="153" t="n">
        <f aca="false">IFERROR(IF(OR(NOT(ISNUMBER('Price History'!D95)),NOT(ISNUMBER('Price History'!D94)),'Price History'!D94=0),"",'Price History'!D95/'Price History'!D94-1),"")</f>
        <v>-0.00587447454615386</v>
      </c>
      <c r="E94" s="153" t="n">
        <f aca="false">IFERROR(IF(OR(NOT(ISNUMBER('Price History'!E95)),NOT(ISNUMBER('Price History'!E94)),'Price History'!E94=0),"",'Price History'!E95/'Price History'!E94-1),"")</f>
        <v>0.00756528105425836</v>
      </c>
      <c r="F94" s="153" t="n">
        <f aca="false">IFERROR(IF(OR(NOT(ISNUMBER('Price History'!F95)),NOT(ISNUMBER('Price History'!F94)),'Price History'!F94=0),"",'Price History'!F95/'Price History'!F94-1),"")</f>
        <v>-0.00898876404494398</v>
      </c>
      <c r="G94" s="153" t="n">
        <f aca="false">IFERROR(IF(OR(NOT(ISNUMBER('Price History'!G95)),NOT(ISNUMBER('Price History'!G94)),'Price History'!G94=0),"",'Price History'!G95/'Price History'!G94-1),"")</f>
        <v>-0.020322842875392</v>
      </c>
      <c r="H94" s="153" t="n">
        <f aca="false">IFERROR(IF(OR(NOT(ISNUMBER('Price History'!H95)),NOT(ISNUMBER('Price History'!H94)),'Price History'!H94=0),"",'Price History'!H95/'Price History'!H94-1),"")</f>
        <v>0.0692047524065562</v>
      </c>
      <c r="I94" s="153" t="n">
        <f aca="false">IFERROR(IF(OR(NOT(ISNUMBER('Price History'!I95)),NOT(ISNUMBER('Price History'!I94)),'Price History'!I94=0),"",'Price History'!I95/'Price History'!I94-1),"")</f>
        <v>0.0132749611636773</v>
      </c>
      <c r="J94" s="153" t="n">
        <f aca="false">IFERROR(IF(OR(NOT(ISNUMBER('Price History'!J95)),NOT(ISNUMBER('Price History'!J94)),'Price History'!J94=0),"",'Price History'!J95/'Price History'!J94-1),"")</f>
        <v>-0.00538582060321202</v>
      </c>
      <c r="K94" s="153" t="n">
        <f aca="false">IFERROR(IF(OR(NOT(ISNUMBER('Price History'!K95)),NOT(ISNUMBER('Price History'!K94)),'Price History'!K94=0),"",'Price History'!K95/'Price History'!K94-1),"")</f>
        <v>-0.000727802037845615</v>
      </c>
      <c r="L94" s="153" t="n">
        <f aca="false">IFERROR(IF(OR(NOT(ISNUMBER('Price History'!L95)),NOT(ISNUMBER('Price History'!L94)),'Price History'!L94=0),"",'Price History'!L95/'Price History'!L94-1),"")</f>
        <v>-0.00753973971089661</v>
      </c>
      <c r="M94" s="153" t="n">
        <f aca="false">IFERROR(IF(OR(NOT(ISNUMBER('Price History'!M95)),NOT(ISNUMBER('Price History'!M94)),'Price History'!M94=0),"",'Price History'!M95/'Price History'!M94-1),"")</f>
        <v>0.0686044412348799</v>
      </c>
      <c r="N94" s="153" t="n">
        <f aca="false">IFERROR(IF(OR(NOT(ISNUMBER('Price History'!N95)),NOT(ISNUMBER('Price History'!N94)),'Price History'!N94=0),"",'Price History'!N95/'Price History'!N94-1),"")</f>
        <v>-0.0320122955318916</v>
      </c>
      <c r="O94" s="153" t="n">
        <f aca="false">IFERROR(IF(OR(NOT(ISNUMBER('Price History'!O95)),NOT(ISNUMBER('Price History'!O94)),'Price History'!O94=0),"",'Price History'!O95/'Price History'!O94-1),"")</f>
        <v>0.00171959188352622</v>
      </c>
      <c r="P94" s="153" t="n">
        <f aca="false">IFERROR(IF(OR(NOT(ISNUMBER('Price History'!P95)),NOT(ISNUMBER('Price History'!P94)),'Price History'!P94=0),"",'Price History'!P95/'Price History'!P94-1),"")</f>
        <v>0.00297475478372733</v>
      </c>
      <c r="Q94" s="153" t="n">
        <f aca="false">IFERROR(IF(OR(NOT(ISNUMBER('Price History'!Q95)),NOT(ISNUMBER('Price History'!Q94)),'Price History'!Q94=0),"",'Price History'!Q95/'Price History'!Q94-1),"")</f>
        <v>0.000816459830176308</v>
      </c>
      <c r="R94" s="153" t="n">
        <f aca="false">IFERROR(IF(OR(NOT(ISNUMBER('Price History'!R95)),NOT(ISNUMBER('Price History'!R94)),'Price History'!R94=0),"",'Price History'!R95/'Price History'!R94-1),"")</f>
        <v>0.00309187279151946</v>
      </c>
      <c r="S94" s="153" t="n">
        <f aca="false">IFERROR(IF(OR(NOT(ISNUMBER('Price History'!S95)),NOT(ISNUMBER('Price History'!S94)),'Price History'!S94=0),"",'Price History'!S95/'Price History'!S94-1),"")</f>
        <v>0.00705433746425155</v>
      </c>
      <c r="T94" s="153" t="n">
        <f aca="false">IFERROR(IF(OR(NOT(ISNUMBER('Price History'!T95)),NOT(ISNUMBER('Price History'!T94)),'Price History'!T94=0),"",'Price History'!T95/'Price History'!T94-1),"")</f>
        <v>-0.001161777519605</v>
      </c>
      <c r="U94" s="153" t="n">
        <f aca="false">IFERROR(IF(OR(NOT(ISNUMBER('Price History'!U95)),NOT(ISNUMBER('Price History'!U94)),'Price History'!U94=0),"",'Price History'!U95/'Price History'!U94-1),"")</f>
        <v>-0.00745390349156527</v>
      </c>
      <c r="V94" s="154" t="n">
        <f aca="false">IFERROR(IF(OR(NOT(ISNUMBER('Price History'!V95)),NOT(ISNUMBER('Price History'!V94)),'Price History'!V94=0),"",'Price History'!V95/'Price History'!V94-1),"")</f>
        <v>-0.0404933608058607</v>
      </c>
      <c r="W94" s="155" t="n">
        <f aca="false">IFERROR('Price History'!B3+(INDEX('Price History'!B:B,MATCH(9.99E+307,'Returns (Calc)'!$A:$A)+1)-'Price History'!B3)*(ROW()-3)/(MATCH(9.99E+307,'Returns (Calc)'!$A:$A)-3),"")</f>
        <v>364.849622641509</v>
      </c>
      <c r="X94" s="155" t="n">
        <f aca="false">IFERROR('Price History'!C3+(INDEX('Price History'!C:C,MATCH(9.99E+307,'Returns (Calc)'!$A:$A)+1)-'Price History'!C3)*(ROW()-3)/(MATCH(9.99E+307,'Returns (Calc)'!$A:$A)-3),"")</f>
        <v>143.796100628931</v>
      </c>
      <c r="Y94" s="155" t="n">
        <f aca="false">IFERROR('Price History'!D3+(INDEX('Price History'!D:D,MATCH(9.99E+307,'Returns (Calc)'!$A:$A)+1)-'Price History'!D3)*(ROW()-3)/(MATCH(9.99E+307,'Returns (Calc)'!$A:$A)-3),"")</f>
        <v>1267.84666666667</v>
      </c>
      <c r="Z94" s="155" t="n">
        <f aca="false">IFERROR('Price History'!E3+(INDEX('Price History'!E:E,MATCH(9.99E+307,'Returns (Calc)'!$A:$A)+1)-'Price History'!E3)*(ROW()-3)/(MATCH(9.99E+307,'Returns (Calc)'!$A:$A)-3),"")</f>
        <v>241.988301886792</v>
      </c>
      <c r="AA94" s="155" t="n">
        <f aca="false">IFERROR('Price History'!F3+(INDEX('Price History'!F:F,MATCH(9.99E+307,'Returns (Calc)'!$A:$A)+1)-'Price History'!F3)*(ROW()-3)/(MATCH(9.99E+307,'Returns (Calc)'!$A:$A)-3),"")</f>
        <v>175.101383647799</v>
      </c>
      <c r="AB94" s="155" t="n">
        <f aca="false">IFERROR('Price History'!G3+(INDEX('Price History'!G:G,MATCH(9.99E+307,'Returns (Calc)'!$A:$A)+1)-'Price History'!G3)*(ROW()-3)/(MATCH(9.99E+307,'Returns (Calc)'!$A:$A)-3),"")</f>
        <v>130.897295597484</v>
      </c>
      <c r="AC94" s="155" t="n">
        <f aca="false">IFERROR('Price History'!H3+(INDEX('Price History'!H:H,MATCH(9.99E+307,'Returns (Calc)'!$A:$A)+1)-'Price History'!H3)*(ROW()-3)/(MATCH(9.99E+307,'Returns (Calc)'!$A:$A)-3),"")</f>
        <v>618.481006289308</v>
      </c>
      <c r="AD94" s="155" t="n">
        <f aca="false">IFERROR('Price History'!I3+(INDEX('Price History'!I:I,MATCH(9.99E+307,'Returns (Calc)'!$A:$A)+1)-'Price History'!I3)*(ROW()-3)/(MATCH(9.99E+307,'Returns (Calc)'!$A:$A)-3),"")</f>
        <v>149.942389937107</v>
      </c>
      <c r="AE94" s="155" t="n">
        <f aca="false">IFERROR('Price History'!J3+(INDEX('Price History'!J:J,MATCH(9.99E+307,'Returns (Calc)'!$A:$A)+1)-'Price History'!J3)*(ROW()-3)/(MATCH(9.99E+307,'Returns (Calc)'!$A:$A)-3),"")</f>
        <v>121.941572327044</v>
      </c>
      <c r="AF94" s="155" t="n">
        <f aca="false">IFERROR('Price History'!K3+(INDEX('Price History'!K:K,MATCH(9.99E+307,'Returns (Calc)'!$A:$A)+1)-'Price History'!K3)*(ROW()-3)/(MATCH(9.99E+307,'Returns (Calc)'!$A:$A)-3),"")</f>
        <v>126.201194968553</v>
      </c>
      <c r="AG94" s="155" t="n">
        <f aca="false">IFERROR('Price History'!L3+(INDEX('Price History'!L:L,MATCH(9.99E+307,'Returns (Calc)'!$A:$A)+1)-'Price History'!L3)*(ROW()-3)/(MATCH(9.99E+307,'Returns (Calc)'!$A:$A)-3),"")</f>
        <v>296.114528301887</v>
      </c>
      <c r="AH94" s="155" t="n">
        <f aca="false">IFERROR('Price History'!M3+(INDEX('Price History'!M:M,MATCH(9.99E+307,'Returns (Calc)'!$A:$A)+1)-'Price History'!M3)*(ROW()-3)/(MATCH(9.99E+307,'Returns (Calc)'!$A:$A)-3),"")</f>
        <v>155.209685534591</v>
      </c>
      <c r="AI94" s="155" t="n">
        <f aca="false">IFERROR('Price History'!N3+(INDEX('Price History'!N:N,MATCH(9.99E+307,'Returns (Calc)'!$A:$A)+1)-'Price History'!N3)*(ROW()-3)/(MATCH(9.99E+307,'Returns (Calc)'!$A:$A)-3),"")</f>
        <v>441.147672955975</v>
      </c>
      <c r="AJ94" s="155" t="n">
        <f aca="false">IFERROR('Price History'!O3+(INDEX('Price History'!O:O,MATCH(9.99E+307,'Returns (Calc)'!$A:$A)+1)-'Price History'!O3)*(ROW()-3)/(MATCH(9.99E+307,'Returns (Calc)'!$A:$A)-3),"")</f>
        <v>100.681257861635</v>
      </c>
      <c r="AK94" s="155" t="n">
        <f aca="false">IFERROR('Price History'!Q3+(INDEX('Price History'!Q:Q,MATCH(9.99E+307,'Returns (Calc)'!$A:$A)+1)-'Price History'!Q3)*(ROW()-3)/(MATCH(9.99E+307,'Returns (Calc)'!$A:$A)-3),"")</f>
        <v>40.0457232704403</v>
      </c>
      <c r="AL94" s="155" t="n">
        <f aca="false">IFERROR('Price History'!R3+(INDEX('Price History'!R:R,MATCH(9.99E+307,'Returns (Calc)'!$A:$A)+1)-'Price History'!R3)*(ROW()-3)/(MATCH(9.99E+307,'Returns (Calc)'!$A:$A)-3),"")</f>
        <v>49.7096226415094</v>
      </c>
      <c r="AM94" s="155" t="n">
        <f aca="false">IFERROR('Price History'!S3+(INDEX('Price History'!S:S,MATCH(9.99E+307,'Returns (Calc)'!$A:$A)+1)-'Price History'!S3)*(ROW()-3)/(MATCH(9.99E+307,'Returns (Calc)'!$A:$A)-3),"")</f>
        <v>111.159748427673</v>
      </c>
      <c r="AN94" s="155" t="n">
        <f aca="false">IFERROR('Price History'!T3+(INDEX('Price History'!T:T,MATCH(9.99E+307,'Returns (Calc)'!$A:$A)+1)-'Price History'!T3)*(ROW()-3)/(MATCH(9.99E+307,'Returns (Calc)'!$A:$A)-3),"")</f>
        <v>41.0148427672956</v>
      </c>
      <c r="AO94" s="156" t="n">
        <f aca="false">IFERROR('Price History'!V3+(INDEX('Price History'!V:V,MATCH(9.99E+307,'Returns (Calc)'!$A:$A)+1)-'Price History'!V3)*(ROW()-3)/(MATCH(9.99E+307,'Returns (Calc)'!$A:$A)-3),"")</f>
        <v>321.376037735849</v>
      </c>
      <c r="AP94" s="154" t="n">
        <f aca="false">IFERROR(IF(OR(NOT(ISNUMBER('Price History'!W95)),NOT(ISNUMBER('Price History'!W94)),'Price History'!W94=0),"",'Price History'!W95/'Price History'!W94-1),"")</f>
        <v>-0.00039739310125575</v>
      </c>
      <c r="AQ94" s="154" t="str">
        <f aca="false">IFERROR(IF(OR(NOT(ISNUMBER('Price History'!X95)),NOT(ISNUMBER('Price History'!X94)),'Price History'!X94=0),"",'Price History'!X95/'Price History'!X94-1),"")</f>
        <v/>
      </c>
      <c r="AR94" s="154" t="n">
        <f aca="false">IFERROR(IF(OR(NOT(ISNUMBER('Price History'!Y95)),NOT(ISNUMBER('Price History'!Y94)),'Price History'!Y94=0),"",'Price History'!Y95/'Price History'!Y94-1),"")</f>
        <v>-0.00515873015873014</v>
      </c>
      <c r="AS94" s="154" t="n">
        <f aca="false">IFERROR(IF(OR(NOT(ISNUMBER('Price History'!Z95)),NOT(ISNUMBER('Price History'!Z94)),'Price History'!Z94=0),"",'Price History'!Z95/'Price History'!Z94-1),"")</f>
        <v>0.0117170856412441</v>
      </c>
      <c r="AT94" s="154" t="n">
        <f aca="false">IFERROR(IF(OR(NOT(ISNUMBER('Price History'!AA95)),NOT(ISNUMBER('Price History'!AA94)),'Price History'!AA94=0),"",'Price History'!AA95/'Price History'!AA94-1),"")</f>
        <v>0.0159227786486265</v>
      </c>
      <c r="AU94" s="154" t="n">
        <f aca="false">IFERROR(IF(OR(NOT(ISNUMBER('Price History'!AB95)),NOT(ISNUMBER('Price History'!AB94)),'Price History'!AB94=0),"",'Price History'!AB95/'Price History'!AB94-1),"")</f>
        <v>-0.00874181560785714</v>
      </c>
    </row>
    <row r="95" customFormat="false" ht="15" hidden="false" customHeight="true" outlineLevel="0" collapsed="false">
      <c r="A95" s="152" t="n">
        <f aca="false">IF('Price History'!A96="","",'Price History'!A96)</f>
        <v>45835</v>
      </c>
      <c r="B95" s="153" t="n">
        <f aca="false">IFERROR(IF(OR(NOT(ISNUMBER('Price History'!B96)),NOT(ISNUMBER('Price History'!B95)),'Price History'!B95=0),"",'Price History'!B96/'Price History'!B95-1),"")</f>
        <v>0.0236389684813754</v>
      </c>
      <c r="C95" s="153" t="n">
        <f aca="false">IFERROR(IF(OR(NOT(ISNUMBER('Price History'!C96)),NOT(ISNUMBER('Price History'!C95)),'Price History'!C95=0),"",'Price History'!C96/'Price History'!C95-1),"")</f>
        <v>0.152347826086957</v>
      </c>
      <c r="D95" s="153" t="n">
        <f aca="false">IFERROR(IF(OR(NOT(ISNUMBER('Price History'!D96)),NOT(ISNUMBER('Price History'!D95)),'Price History'!D95=0),"",'Price History'!D96/'Price History'!D95-1),"")</f>
        <v>0.0521022302849217</v>
      </c>
      <c r="E95" s="153" t="n">
        <f aca="false">IFERROR(IF(OR(NOT(ISNUMBER('Price History'!E96)),NOT(ISNUMBER('Price History'!E95)),'Price History'!E95=0),"",'Price History'!E96/'Price History'!E95-1),"")</f>
        <v>0.077426126271597</v>
      </c>
      <c r="F95" s="153" t="n">
        <f aca="false">IFERROR(IF(OR(NOT(ISNUMBER('Price History'!F96)),NOT(ISNUMBER('Price History'!F95)),'Price History'!F95=0),"",'Price History'!F96/'Price History'!F95-1),"")</f>
        <v>0.0483749055177627</v>
      </c>
      <c r="G95" s="153" t="n">
        <f aca="false">IFERROR(IF(OR(NOT(ISNUMBER('Price History'!G96)),NOT(ISNUMBER('Price History'!G95)),'Price History'!G95=0),"",'Price History'!G96/'Price History'!G95-1),"")</f>
        <v>0.0469416785206258</v>
      </c>
      <c r="H95" s="153" t="n">
        <f aca="false">IFERROR(IF(OR(NOT(ISNUMBER('Price History'!H96)),NOT(ISNUMBER('Price History'!H95)),'Price History'!H95=0),"",'Price History'!H96/'Price History'!H95-1),"")</f>
        <v>0.00932760158974766</v>
      </c>
      <c r="I95" s="153" t="n">
        <f aca="false">IFERROR(IF(OR(NOT(ISNUMBER('Price History'!I96)),NOT(ISNUMBER('Price History'!I95)),'Price History'!I95=0),"",'Price History'!I96/'Price History'!I95-1),"")</f>
        <v>0.0965853658536586</v>
      </c>
      <c r="J95" s="153" t="n">
        <f aca="false">IFERROR(IF(OR(NOT(ISNUMBER('Price History'!J96)),NOT(ISNUMBER('Price History'!J95)),'Price History'!J95=0),"",'Price History'!J96/'Price History'!J95-1),"")</f>
        <v>-0.000689179875947521</v>
      </c>
      <c r="K95" s="153" t="n">
        <f aca="false">IFERROR(IF(OR(NOT(ISNUMBER('Price History'!K96)),NOT(ISNUMBER('Price History'!K95)),'Price History'!K95=0),"",'Price History'!K96/'Price History'!K95-1),"")</f>
        <v>-0.0477785870356883</v>
      </c>
      <c r="L95" s="153" t="n">
        <f aca="false">IFERROR(IF(OR(NOT(ISNUMBER('Price History'!L96)),NOT(ISNUMBER('Price History'!L95)),'Price History'!L95=0),"",'Price History'!L96/'Price History'!L95-1),"")</f>
        <v>0.0909706764734346</v>
      </c>
      <c r="M95" s="153" t="n">
        <f aca="false">IFERROR(IF(OR(NOT(ISNUMBER('Price History'!M96)),NOT(ISNUMBER('Price History'!M95)),'Price History'!M95=0),"",'Price History'!M96/'Price History'!M95-1),"")</f>
        <v>0.0727318803852002</v>
      </c>
      <c r="N95" s="153" t="n">
        <f aca="false">IFERROR(IF(OR(NOT(ISNUMBER('Price History'!N96)),NOT(ISNUMBER('Price History'!N95)),'Price History'!N95=0),"",'Price History'!N96/'Price History'!N95-1),"")</f>
        <v>0.000975344205774942</v>
      </c>
      <c r="O95" s="153" t="n">
        <f aca="false">IFERROR(IF(OR(NOT(ISNUMBER('Price History'!O96)),NOT(ISNUMBER('Price History'!O95)),'Price History'!O95=0),"",'Price History'!O96/'Price History'!O95-1),"")</f>
        <v>0.0255207141222249</v>
      </c>
      <c r="P95" s="153" t="n">
        <f aca="false">IFERROR(IF(OR(NOT(ISNUMBER('Price History'!P96)),NOT(ISNUMBER('Price History'!P95)),'Price History'!P95=0),"",'Price History'!P96/'Price History'!P95-1),"")</f>
        <v>0.0137875751503005</v>
      </c>
      <c r="Q95" s="153" t="n">
        <f aca="false">IFERROR(IF(OR(NOT(ISNUMBER('Price History'!Q96)),NOT(ISNUMBER('Price History'!Q95)),'Price History'!Q95=0),"",'Price History'!Q96/'Price History'!Q95-1),"")</f>
        <v>0.0124000652635015</v>
      </c>
      <c r="R95" s="153" t="n">
        <f aca="false">IFERROR(IF(OR(NOT(ISNUMBER('Price History'!R96)),NOT(ISNUMBER('Price History'!R95)),'Price History'!R95=0),"",'Price History'!R96/'Price History'!R95-1),"")</f>
        <v>0.0288419198590928</v>
      </c>
      <c r="S95" s="153" t="n">
        <f aca="false">IFERROR(IF(OR(NOT(ISNUMBER('Price History'!S96)),NOT(ISNUMBER('Price History'!S95)),'Price History'!S95=0),"",'Price History'!S96/'Price History'!S95-1),"")</f>
        <v>0.048182506626278</v>
      </c>
      <c r="T95" s="153" t="n">
        <f aca="false">IFERROR(IF(OR(NOT(ISNUMBER('Price History'!T96)),NOT(ISNUMBER('Price History'!T95)),'Price History'!T95=0),"",'Price History'!T96/'Price History'!T95-1),"")</f>
        <v>0.00872346612387309</v>
      </c>
      <c r="U95" s="153" t="n">
        <f aca="false">IFERROR(IF(OR(NOT(ISNUMBER('Price History'!U96)),NOT(ISNUMBER('Price History'!U95)),'Price History'!U95=0),"",'Price History'!U96/'Price History'!U95-1),"")</f>
        <v>-0.00197628458498023</v>
      </c>
      <c r="V95" s="154" t="n">
        <f aca="false">IFERROR(IF(OR(NOT(ISNUMBER('Price History'!V96)),NOT(ISNUMBER('Price History'!V95)),'Price History'!V95=0),"",'Price History'!V96/'Price History'!V95-1),"")</f>
        <v>0.0296758030361777</v>
      </c>
      <c r="W95" s="155" t="n">
        <f aca="false">IFERROR('Price History'!B3+(INDEX('Price History'!B:B,MATCH(9.99E+307,'Returns (Calc)'!$A:$A)+1)-'Price History'!B3)*(ROW()-3)/(MATCH(9.99E+307,'Returns (Calc)'!$A:$A)-3),"")</f>
        <v>363.046981132075</v>
      </c>
      <c r="X95" s="155" t="n">
        <f aca="false">IFERROR('Price History'!C3+(INDEX('Price History'!C:C,MATCH(9.99E+307,'Returns (Calc)'!$A:$A)+1)-'Price History'!C3)*(ROW()-3)/(MATCH(9.99E+307,'Returns (Calc)'!$A:$A)-3),"")</f>
        <v>144.868805031447</v>
      </c>
      <c r="Y95" s="155" t="n">
        <f aca="false">IFERROR('Price History'!D3+(INDEX('Price History'!D:D,MATCH(9.99E+307,'Returns (Calc)'!$A:$A)+1)-'Price History'!D3)*(ROW()-3)/(MATCH(9.99E+307,'Returns (Calc)'!$A:$A)-3),"")</f>
        <v>1275.38333333333</v>
      </c>
      <c r="Z95" s="155" t="n">
        <f aca="false">IFERROR('Price History'!E3+(INDEX('Price History'!E:E,MATCH(9.99E+307,'Returns (Calc)'!$A:$A)+1)-'Price History'!E3)*(ROW()-3)/(MATCH(9.99E+307,'Returns (Calc)'!$A:$A)-3),"")</f>
        <v>243.74641509434</v>
      </c>
      <c r="AA95" s="155" t="n">
        <f aca="false">IFERROR('Price History'!F3+(INDEX('Price History'!F:F,MATCH(9.99E+307,'Returns (Calc)'!$A:$A)+1)-'Price History'!F3)*(ROW()-3)/(MATCH(9.99E+307,'Returns (Calc)'!$A:$A)-3),"")</f>
        <v>176.57106918239</v>
      </c>
      <c r="AB95" s="155" t="n">
        <f aca="false">IFERROR('Price History'!G3+(INDEX('Price History'!G:G,MATCH(9.99E+307,'Returns (Calc)'!$A:$A)+1)-'Price History'!G3)*(ROW()-3)/(MATCH(9.99E+307,'Returns (Calc)'!$A:$A)-3),"")</f>
        <v>131.848364779874</v>
      </c>
      <c r="AC95" s="155" t="n">
        <f aca="false">IFERROR('Price History'!H3+(INDEX('Price History'!H:H,MATCH(9.99E+307,'Returns (Calc)'!$A:$A)+1)-'Price History'!H3)*(ROW()-3)/(MATCH(9.99E+307,'Returns (Calc)'!$A:$A)-3),"")</f>
        <v>624.518050314465</v>
      </c>
      <c r="AD95" s="155" t="n">
        <f aca="false">IFERROR('Price History'!I3+(INDEX('Price History'!I:I,MATCH(9.99E+307,'Returns (Calc)'!$A:$A)+1)-'Price History'!I3)*(ROW()-3)/(MATCH(9.99E+307,'Returns (Calc)'!$A:$A)-3),"")</f>
        <v>151.109119496855</v>
      </c>
      <c r="AE95" s="155" t="n">
        <f aca="false">IFERROR('Price History'!J3+(INDEX('Price History'!J:J,MATCH(9.99E+307,'Returns (Calc)'!$A:$A)+1)-'Price History'!J3)*(ROW()-3)/(MATCH(9.99E+307,'Returns (Calc)'!$A:$A)-3),"")</f>
        <v>122.052578616352</v>
      </c>
      <c r="AF95" s="155" t="n">
        <f aca="false">IFERROR('Price History'!K3+(INDEX('Price History'!K:K,MATCH(9.99E+307,'Returns (Calc)'!$A:$A)+1)-'Price History'!K3)*(ROW()-3)/(MATCH(9.99E+307,'Returns (Calc)'!$A:$A)-3),"")</f>
        <v>127.419559748428</v>
      </c>
      <c r="AG95" s="155" t="n">
        <f aca="false">IFERROR('Price History'!L3+(INDEX('Price History'!L:L,MATCH(9.99E+307,'Returns (Calc)'!$A:$A)+1)-'Price History'!L3)*(ROW()-3)/(MATCH(9.99E+307,'Returns (Calc)'!$A:$A)-3),"")</f>
        <v>298.426226415094</v>
      </c>
      <c r="AH95" s="155" t="n">
        <f aca="false">IFERROR('Price History'!M3+(INDEX('Price History'!M:M,MATCH(9.99E+307,'Returns (Calc)'!$A:$A)+1)-'Price History'!M3)*(ROW()-3)/(MATCH(9.99E+307,'Returns (Calc)'!$A:$A)-3),"")</f>
        <v>156.49748427673</v>
      </c>
      <c r="AI95" s="155" t="n">
        <f aca="false">IFERROR('Price History'!N3+(INDEX('Price History'!N:N,MATCH(9.99E+307,'Returns (Calc)'!$A:$A)+1)-'Price History'!N3)*(ROW()-3)/(MATCH(9.99E+307,'Returns (Calc)'!$A:$A)-3),"")</f>
        <v>442.161383647799</v>
      </c>
      <c r="AJ95" s="155" t="n">
        <f aca="false">IFERROR('Price History'!O3+(INDEX('Price History'!O:O,MATCH(9.99E+307,'Returns (Calc)'!$A:$A)+1)-'Price History'!O3)*(ROW()-3)/(MATCH(9.99E+307,'Returns (Calc)'!$A:$A)-3),"")</f>
        <v>100.960062893082</v>
      </c>
      <c r="AK95" s="155" t="n">
        <f aca="false">IFERROR('Price History'!Q3+(INDEX('Price History'!Q:Q,MATCH(9.99E+307,'Returns (Calc)'!$A:$A)+1)-'Price History'!Q3)*(ROW()-3)/(MATCH(9.99E+307,'Returns (Calc)'!$A:$A)-3),"")</f>
        <v>40.485786163522</v>
      </c>
      <c r="AL95" s="155" t="n">
        <f aca="false">IFERROR('Price History'!R3+(INDEX('Price History'!R:R,MATCH(9.99E+307,'Returns (Calc)'!$A:$A)+1)-'Price History'!R3)*(ROW()-3)/(MATCH(9.99E+307,'Returns (Calc)'!$A:$A)-3),"")</f>
        <v>49.8769811320755</v>
      </c>
      <c r="AM95" s="155" t="n">
        <f aca="false">IFERROR('Price History'!S3+(INDEX('Price History'!S:S,MATCH(9.99E+307,'Returns (Calc)'!$A:$A)+1)-'Price History'!S3)*(ROW()-3)/(MATCH(9.99E+307,'Returns (Calc)'!$A:$A)-3),"")</f>
        <v>111.747987421384</v>
      </c>
      <c r="AN95" s="155" t="n">
        <f aca="false">IFERROR('Price History'!T3+(INDEX('Price History'!T:T,MATCH(9.99E+307,'Returns (Calc)'!$A:$A)+1)-'Price History'!T3)*(ROW()-3)/(MATCH(9.99E+307,'Returns (Calc)'!$A:$A)-3),"")</f>
        <v>41.1887421383648</v>
      </c>
      <c r="AO95" s="156" t="n">
        <f aca="false">IFERROR('Price History'!V3+(INDEX('Price History'!V:V,MATCH(9.99E+307,'Returns (Calc)'!$A:$A)+1)-'Price History'!V3)*(ROW()-3)/(MATCH(9.99E+307,'Returns (Calc)'!$A:$A)-3),"")</f>
        <v>322.318301886792</v>
      </c>
      <c r="AP95" s="154" t="n">
        <f aca="false">IFERROR(IF(OR(NOT(ISNUMBER('Price History'!W96)),NOT(ISNUMBER('Price History'!W95)),'Price History'!W95=0),"",'Price History'!W96/'Price History'!W95-1),"")</f>
        <v>0.0223423709946728</v>
      </c>
      <c r="AQ95" s="154" t="str">
        <f aca="false">IFERROR(IF(OR(NOT(ISNUMBER('Price History'!X96)),NOT(ISNUMBER('Price History'!X95)),'Price History'!X95=0),"",'Price History'!X96/'Price History'!X95-1),"")</f>
        <v/>
      </c>
      <c r="AR95" s="154" t="n">
        <f aca="false">IFERROR(IF(OR(NOT(ISNUMBER('Price History'!Y96)),NOT(ISNUMBER('Price History'!Y95)),'Price History'!Y95=0),"",'Price History'!Y96/'Price History'!Y95-1),"")</f>
        <v>0.0163542082169925</v>
      </c>
      <c r="AS95" s="154" t="n">
        <f aca="false">IFERROR(IF(OR(NOT(ISNUMBER('Price History'!Z96)),NOT(ISNUMBER('Price History'!Z95)),'Price History'!Z95=0),"",'Price History'!Z96/'Price History'!Z95-1),"")</f>
        <v>0.0632554221941462</v>
      </c>
      <c r="AT95" s="154" t="n">
        <f aca="false">IFERROR(IF(OR(NOT(ISNUMBER('Price History'!AA96)),NOT(ISNUMBER('Price History'!AA95)),'Price History'!AA95=0),"",'Price History'!AA96/'Price History'!AA95-1),"")</f>
        <v>0.074468085106383</v>
      </c>
      <c r="AU95" s="154" t="n">
        <f aca="false">IFERROR(IF(OR(NOT(ISNUMBER('Price History'!AB96)),NOT(ISNUMBER('Price History'!AB95)),'Price History'!AB95=0),"",'Price History'!AB96/'Price History'!AB95-1),"")</f>
        <v>0.0118894601542419</v>
      </c>
    </row>
    <row r="96" customFormat="false" ht="15" hidden="false" customHeight="true" outlineLevel="0" collapsed="false">
      <c r="A96" s="152" t="n">
        <f aca="false">IF('Price History'!A97="","",'Price History'!A97)</f>
        <v>45842</v>
      </c>
      <c r="B96" s="153" t="n">
        <f aca="false">IFERROR(IF(OR(NOT(ISNUMBER('Price History'!B97)),NOT(ISNUMBER('Price History'!B96)),'Price History'!B96=0),"",'Price History'!B97/'Price History'!B96-1),"")</f>
        <v>-0.0168986341134696</v>
      </c>
      <c r="C96" s="153" t="n">
        <f aca="false">IFERROR(IF(OR(NOT(ISNUMBER('Price History'!C97)),NOT(ISNUMBER('Price History'!C96)),'Price History'!C96=0),"",'Price History'!C97/'Price History'!C96-1),"")</f>
        <v>0.0314921018211087</v>
      </c>
      <c r="D96" s="153" t="n">
        <f aca="false">IFERROR(IF(OR(NOT(ISNUMBER('Price History'!D97)),NOT(ISNUMBER('Price History'!D96)),'Price History'!D96=0),"",'Price History'!D97/'Price History'!D96-1),"")</f>
        <v>-0.00182569668078203</v>
      </c>
      <c r="E96" s="153" t="n">
        <f aca="false">IFERROR(IF(OR(NOT(ISNUMBER('Price History'!E97)),NOT(ISNUMBER('Price History'!E96)),'Price History'!E96=0),"",'Price History'!E97/'Price History'!E96-1),"")</f>
        <v>0.0216560509554142</v>
      </c>
      <c r="F96" s="153" t="n">
        <f aca="false">IFERROR(IF(OR(NOT(ISNUMBER('Price History'!F97)),NOT(ISNUMBER('Price History'!F96)),'Price History'!F96=0),"",'Price History'!F97/'Price History'!F96-1),"")</f>
        <v>0.0295602018745496</v>
      </c>
      <c r="G96" s="153" t="n">
        <f aca="false">IFERROR(IF(OR(NOT(ISNUMBER('Price History'!G97)),NOT(ISNUMBER('Price History'!G96)),'Price History'!G96=0),"",'Price History'!G97/'Price History'!G96-1),"")</f>
        <v>0.0389492753623191</v>
      </c>
      <c r="H96" s="153" t="n">
        <f aca="false">IFERROR(IF(OR(NOT(ISNUMBER('Price History'!H97)),NOT(ISNUMBER('Price History'!H96)),'Price History'!H96=0),"",'Price History'!H97/'Price History'!H96-1),"")</f>
        <v>-0.01976856316297</v>
      </c>
      <c r="I96" s="153" t="n">
        <f aca="false">IFERROR(IF(OR(NOT(ISNUMBER('Price History'!I97)),NOT(ISNUMBER('Price History'!I96)),'Price History'!I96=0),"",'Price History'!I97/'Price History'!I96-1),"")</f>
        <v>0.0101042196237924</v>
      </c>
      <c r="J96" s="153" t="n">
        <f aca="false">IFERROR(IF(OR(NOT(ISNUMBER('Price History'!J97)),NOT(ISNUMBER('Price History'!J96)),'Price History'!J96=0),"",'Price History'!J97/'Price History'!J96-1),"")</f>
        <v>0.0227586206896553</v>
      </c>
      <c r="K96" s="153" t="n">
        <f aca="false">IFERROR(IF(OR(NOT(ISNUMBER('Price History'!K97)),NOT(ISNUMBER('Price History'!K96)),'Price History'!K96=0),"",'Price History'!K97/'Price History'!K96-1),"")</f>
        <v>0.0276885421447148</v>
      </c>
      <c r="L96" s="153" t="n">
        <f aca="false">IFERROR(IF(OR(NOT(ISNUMBER('Price History'!L97)),NOT(ISNUMBER('Price History'!L96)),'Price History'!L96=0),"",'Price History'!L97/'Price History'!L96-1),"")</f>
        <v>0.0272775658653419</v>
      </c>
      <c r="M96" s="153" t="n">
        <f aca="false">IFERROR(IF(OR(NOT(ISNUMBER('Price History'!M97)),NOT(ISNUMBER('Price History'!M96)),'Price History'!M96=0),"",'Price History'!M97/'Price History'!M96-1),"")</f>
        <v>0.00535475234270422</v>
      </c>
      <c r="N96" s="153" t="n">
        <f aca="false">IFERROR(IF(OR(NOT(ISNUMBER('Price History'!N97)),NOT(ISNUMBER('Price History'!N96)),'Price History'!N96=0),"",'Price History'!N97/'Price History'!N96-1),"")</f>
        <v>0.0415137094946747</v>
      </c>
      <c r="O96" s="153" t="n">
        <f aca="false">IFERROR(IF(OR(NOT(ISNUMBER('Price History'!O97)),NOT(ISNUMBER('Price History'!O96)),'Price History'!O96=0),"",'Price History'!O97/'Price History'!O96-1),"")</f>
        <v>0.0416248186586319</v>
      </c>
      <c r="P96" s="153" t="n">
        <f aca="false">IFERROR(IF(OR(NOT(ISNUMBER('Price History'!P97)),NOT(ISNUMBER('Price History'!P96)),'Price History'!P96=0),"",'Price History'!P97/'Price History'!P96-1),"")</f>
        <v>0.0341582984106903</v>
      </c>
      <c r="Q96" s="153" t="n">
        <f aca="false">IFERROR(IF(OR(NOT(ISNUMBER('Price History'!Q97)),NOT(ISNUMBER('Price History'!Q96)),'Price History'!Q96=0),"",'Price History'!Q97/'Price History'!Q96-1),"")</f>
        <v>0.00660757453666405</v>
      </c>
      <c r="R96" s="153" t="n">
        <f aca="false">IFERROR(IF(OR(NOT(ISNUMBER('Price History'!R97)),NOT(ISNUMBER('Price History'!R96)),'Price History'!R96=0),"",'Price History'!R97/'Price History'!R96-1),"")</f>
        <v>0.00706184463941795</v>
      </c>
      <c r="S96" s="153" t="n">
        <f aca="false">IFERROR(IF(OR(NOT(ISNUMBER('Price History'!S97)),NOT(ISNUMBER('Price History'!S96)),'Price History'!S96=0),"",'Price History'!S97/'Price History'!S96-1),"")</f>
        <v>0.00596044432403131</v>
      </c>
      <c r="T96" s="153" t="n">
        <f aca="false">IFERROR(IF(OR(NOT(ISNUMBER('Price History'!T97)),NOT(ISNUMBER('Price History'!T96)),'Price History'!T96=0),"",'Price History'!T97/'Price History'!T96-1),"")</f>
        <v>0.0123955030268088</v>
      </c>
      <c r="U96" s="153" t="n">
        <f aca="false">IFERROR(IF(OR(NOT(ISNUMBER('Price History'!U97)),NOT(ISNUMBER('Price History'!U96)),'Price History'!U96=0),"",'Price History'!U97/'Price History'!U96-1),"")</f>
        <v>0.0364356435643565</v>
      </c>
      <c r="V96" s="154" t="n">
        <f aca="false">IFERROR(IF(OR(NOT(ISNUMBER('Price History'!V97)),NOT(ISNUMBER('Price History'!V96)),'Price History'!V96=0),"",'Price History'!V97/'Price History'!V96-1),"")</f>
        <v>0.0293998377939984</v>
      </c>
      <c r="W96" s="155" t="n">
        <f aca="false">IFERROR('Price History'!B3+(INDEX('Price History'!B:B,MATCH(9.99E+307,'Returns (Calc)'!$A:$A)+1)-'Price History'!B3)*(ROW()-3)/(MATCH(9.99E+307,'Returns (Calc)'!$A:$A)-3),"")</f>
        <v>361.244339622642</v>
      </c>
      <c r="X96" s="155" t="n">
        <f aca="false">IFERROR('Price History'!C3+(INDEX('Price History'!C:C,MATCH(9.99E+307,'Returns (Calc)'!$A:$A)+1)-'Price History'!C3)*(ROW()-3)/(MATCH(9.99E+307,'Returns (Calc)'!$A:$A)-3),"")</f>
        <v>145.941509433962</v>
      </c>
      <c r="Y96" s="155" t="n">
        <f aca="false">IFERROR('Price History'!D3+(INDEX('Price History'!D:D,MATCH(9.99E+307,'Returns (Calc)'!$A:$A)+1)-'Price History'!D3)*(ROW()-3)/(MATCH(9.99E+307,'Returns (Calc)'!$A:$A)-3),"")</f>
        <v>1282.92</v>
      </c>
      <c r="Z96" s="155" t="n">
        <f aca="false">IFERROR('Price History'!E3+(INDEX('Price History'!E:E,MATCH(9.99E+307,'Returns (Calc)'!$A:$A)+1)-'Price History'!E3)*(ROW()-3)/(MATCH(9.99E+307,'Returns (Calc)'!$A:$A)-3),"")</f>
        <v>245.504528301887</v>
      </c>
      <c r="AA96" s="155" t="n">
        <f aca="false">IFERROR('Price History'!F3+(INDEX('Price History'!F:F,MATCH(9.99E+307,'Returns (Calc)'!$A:$A)+1)-'Price History'!F3)*(ROW()-3)/(MATCH(9.99E+307,'Returns (Calc)'!$A:$A)-3),"")</f>
        <v>178.040754716981</v>
      </c>
      <c r="AB96" s="155" t="n">
        <f aca="false">IFERROR('Price History'!G3+(INDEX('Price History'!G:G,MATCH(9.99E+307,'Returns (Calc)'!$A:$A)+1)-'Price History'!G3)*(ROW()-3)/(MATCH(9.99E+307,'Returns (Calc)'!$A:$A)-3),"")</f>
        <v>132.799433962264</v>
      </c>
      <c r="AC96" s="155" t="n">
        <f aca="false">IFERROR('Price History'!H3+(INDEX('Price History'!H:H,MATCH(9.99E+307,'Returns (Calc)'!$A:$A)+1)-'Price History'!H3)*(ROW()-3)/(MATCH(9.99E+307,'Returns (Calc)'!$A:$A)-3),"")</f>
        <v>630.555094339623</v>
      </c>
      <c r="AD96" s="155" t="n">
        <f aca="false">IFERROR('Price History'!I3+(INDEX('Price History'!I:I,MATCH(9.99E+307,'Returns (Calc)'!$A:$A)+1)-'Price History'!I3)*(ROW()-3)/(MATCH(9.99E+307,'Returns (Calc)'!$A:$A)-3),"")</f>
        <v>152.275849056604</v>
      </c>
      <c r="AE96" s="155" t="n">
        <f aca="false">IFERROR('Price History'!J3+(INDEX('Price History'!J:J,MATCH(9.99E+307,'Returns (Calc)'!$A:$A)+1)-'Price History'!J3)*(ROW()-3)/(MATCH(9.99E+307,'Returns (Calc)'!$A:$A)-3),"")</f>
        <v>122.16358490566</v>
      </c>
      <c r="AF96" s="155" t="n">
        <f aca="false">IFERROR('Price History'!K3+(INDEX('Price History'!K:K,MATCH(9.99E+307,'Returns (Calc)'!$A:$A)+1)-'Price History'!K3)*(ROW()-3)/(MATCH(9.99E+307,'Returns (Calc)'!$A:$A)-3),"")</f>
        <v>128.637924528302</v>
      </c>
      <c r="AG96" s="155" t="n">
        <f aca="false">IFERROR('Price History'!L3+(INDEX('Price History'!L:L,MATCH(9.99E+307,'Returns (Calc)'!$A:$A)+1)-'Price History'!L3)*(ROW()-3)/(MATCH(9.99E+307,'Returns (Calc)'!$A:$A)-3),"")</f>
        <v>300.737924528302</v>
      </c>
      <c r="AH96" s="155" t="n">
        <f aca="false">IFERROR('Price History'!M3+(INDEX('Price History'!M:M,MATCH(9.99E+307,'Returns (Calc)'!$A:$A)+1)-'Price History'!M3)*(ROW()-3)/(MATCH(9.99E+307,'Returns (Calc)'!$A:$A)-3),"")</f>
        <v>157.785283018868</v>
      </c>
      <c r="AI96" s="155" t="n">
        <f aca="false">IFERROR('Price History'!N3+(INDEX('Price History'!N:N,MATCH(9.99E+307,'Returns (Calc)'!$A:$A)+1)-'Price History'!N3)*(ROW()-3)/(MATCH(9.99E+307,'Returns (Calc)'!$A:$A)-3),"")</f>
        <v>443.175094339623</v>
      </c>
      <c r="AJ96" s="155" t="n">
        <f aca="false">IFERROR('Price History'!O3+(INDEX('Price History'!O:O,MATCH(9.99E+307,'Returns (Calc)'!$A:$A)+1)-'Price History'!O3)*(ROW()-3)/(MATCH(9.99E+307,'Returns (Calc)'!$A:$A)-3),"")</f>
        <v>101.238867924528</v>
      </c>
      <c r="AK96" s="155" t="n">
        <f aca="false">IFERROR('Price History'!Q3+(INDEX('Price History'!Q:Q,MATCH(9.99E+307,'Returns (Calc)'!$A:$A)+1)-'Price History'!Q3)*(ROW()-3)/(MATCH(9.99E+307,'Returns (Calc)'!$A:$A)-3),"")</f>
        <v>40.9258490566038</v>
      </c>
      <c r="AL96" s="155" t="n">
        <f aca="false">IFERROR('Price History'!R3+(INDEX('Price History'!R:R,MATCH(9.99E+307,'Returns (Calc)'!$A:$A)+1)-'Price History'!R3)*(ROW()-3)/(MATCH(9.99E+307,'Returns (Calc)'!$A:$A)-3),"")</f>
        <v>50.0443396226415</v>
      </c>
      <c r="AM96" s="155" t="n">
        <f aca="false">IFERROR('Price History'!S3+(INDEX('Price History'!S:S,MATCH(9.99E+307,'Returns (Calc)'!$A:$A)+1)-'Price History'!S3)*(ROW()-3)/(MATCH(9.99E+307,'Returns (Calc)'!$A:$A)-3),"")</f>
        <v>112.336226415094</v>
      </c>
      <c r="AN96" s="155" t="n">
        <f aca="false">IFERROR('Price History'!T3+(INDEX('Price History'!T:T,MATCH(9.99E+307,'Returns (Calc)'!$A:$A)+1)-'Price History'!T3)*(ROW()-3)/(MATCH(9.99E+307,'Returns (Calc)'!$A:$A)-3),"")</f>
        <v>41.362641509434</v>
      </c>
      <c r="AO96" s="156" t="n">
        <f aca="false">IFERROR('Price History'!V3+(INDEX('Price History'!V:V,MATCH(9.99E+307,'Returns (Calc)'!$A:$A)+1)-'Price History'!V3)*(ROW()-3)/(MATCH(9.99E+307,'Returns (Calc)'!$A:$A)-3),"")</f>
        <v>323.260566037736</v>
      </c>
      <c r="AP96" s="154" t="n">
        <f aca="false">IFERROR(IF(OR(NOT(ISNUMBER('Price History'!W97)),NOT(ISNUMBER('Price History'!W96)),'Price History'!W96=0),"",'Price History'!W97/'Price History'!W96-1),"")</f>
        <v>0.0248872297402394</v>
      </c>
      <c r="AQ96" s="154" t="str">
        <f aca="false">IFERROR(IF(OR(NOT(ISNUMBER('Price History'!X97)),NOT(ISNUMBER('Price History'!X96)),'Price History'!X96=0),"",'Price History'!X97/'Price History'!X96-1),"")</f>
        <v/>
      </c>
      <c r="AR96" s="154" t="n">
        <f aca="false">IFERROR(IF(OR(NOT(ISNUMBER('Price History'!Y97)),NOT(ISNUMBER('Price History'!Y96)),'Price History'!Y96=0),"",'Price History'!Y97/'Price History'!Y96-1),"")</f>
        <v>0.0123626373626373</v>
      </c>
      <c r="AS96" s="154" t="n">
        <f aca="false">IFERROR(IF(OR(NOT(ISNUMBER('Price History'!Z97)),NOT(ISNUMBER('Price History'!Z96)),'Price History'!Z96=0),"",'Price History'!Z97/'Price History'!Z96-1),"")</f>
        <v>-0.0299837604467857</v>
      </c>
      <c r="AT96" s="154" t="n">
        <f aca="false">IFERROR(IF(OR(NOT(ISNUMBER('Price History'!AA97)),NOT(ISNUMBER('Price History'!AA96)),'Price History'!AA96=0),"",'Price History'!AA97/'Price History'!AA96-1),"")</f>
        <v>-0.0195752399667448</v>
      </c>
      <c r="AU96" s="154" t="n">
        <f aca="false">IFERROR(IF(OR(NOT(ISNUMBER('Price History'!AB97)),NOT(ISNUMBER('Price History'!AB96)),'Price History'!AB96=0),"",'Price History'!AB97/'Price History'!AB96-1),"")</f>
        <v>0.00310504216506113</v>
      </c>
    </row>
    <row r="97" customFormat="false" ht="15" hidden="false" customHeight="true" outlineLevel="0" collapsed="false">
      <c r="A97" s="152" t="n">
        <f aca="false">IF('Price History'!A98="","",'Price History'!A98)</f>
        <v>45849</v>
      </c>
      <c r="B97" s="153" t="n">
        <f aca="false">IFERROR(IF(OR(NOT(ISNUMBER('Price History'!B98)),NOT(ISNUMBER('Price History'!B97)),'Price History'!B97=0),"",'Price History'!B98/'Price History'!B97-1),"")</f>
        <v>-0.0420764018876381</v>
      </c>
      <c r="C97" s="153" t="n">
        <f aca="false">IFERROR(IF(OR(NOT(ISNUMBER('Price History'!C98)),NOT(ISNUMBER('Price History'!C97)),'Price History'!C97=0),"",'Price History'!C98/'Price History'!C97-1),"")</f>
        <v>0.0590128755364807</v>
      </c>
      <c r="D97" s="153" t="n">
        <f aca="false">IFERROR(IF(OR(NOT(ISNUMBER('Price History'!D98)),NOT(ISNUMBER('Price History'!D97)),'Price History'!D97=0),"",'Price History'!D98/'Price History'!D97-1),"")</f>
        <v>0.00936110758287811</v>
      </c>
      <c r="E97" s="153" t="n">
        <f aca="false">IFERROR(IF(OR(NOT(ISNUMBER('Price History'!E98)),NOT(ISNUMBER('Price History'!E97)),'Price History'!E97=0),"",'Price History'!E98/'Price History'!E97-1),"")</f>
        <v>-0.0028971688425995</v>
      </c>
      <c r="F97" s="153" t="n">
        <f aca="false">IFERROR(IF(OR(NOT(ISNUMBER('Price History'!F98)),NOT(ISNUMBER('Price History'!F97)),'Price History'!F97=0),"",'Price History'!F98/'Price History'!F97-1),"")</f>
        <v>-0.0693277310924371</v>
      </c>
      <c r="G97" s="153" t="n">
        <f aca="false">IFERROR(IF(OR(NOT(ISNUMBER('Price History'!G98)),NOT(ISNUMBER('Price History'!G97)),'Price History'!G97=0),"",'Price History'!G98/'Price History'!G97-1),"")</f>
        <v>0</v>
      </c>
      <c r="H97" s="153" t="n">
        <f aca="false">IFERROR(IF(OR(NOT(ISNUMBER('Price History'!H98)),NOT(ISNUMBER('Price History'!H97)),'Price History'!H97=0),"",'Price History'!H98/'Price History'!H97-1),"")</f>
        <v>0.0192654533530086</v>
      </c>
      <c r="I97" s="153" t="n">
        <f aca="false">IFERROR(IF(OR(NOT(ISNUMBER('Price History'!I98)),NOT(ISNUMBER('Price History'!I97)),'Price History'!I97=0),"",'Price History'!I98/'Price History'!I97-1),"")</f>
        <v>0.0350424661843349</v>
      </c>
      <c r="J97" s="153" t="n">
        <f aca="false">IFERROR(IF(OR(NOT(ISNUMBER('Price History'!J98)),NOT(ISNUMBER('Price History'!J97)),'Price History'!J97=0),"",'Price History'!J98/'Price History'!J97-1),"")</f>
        <v>0.0105962816684326</v>
      </c>
      <c r="K97" s="153" t="n">
        <f aca="false">IFERROR(IF(OR(NOT(ISNUMBER('Price History'!K98)),NOT(ISNUMBER('Price History'!K97)),'Price History'!K97=0),"",'Price History'!K98/'Price History'!K97-1),"")</f>
        <v>0.0576064304852633</v>
      </c>
      <c r="L97" s="153" t="n">
        <f aca="false">IFERROR(IF(OR(NOT(ISNUMBER('Price History'!L98)),NOT(ISNUMBER('Price History'!L97)),'Price History'!L97=0),"",'Price History'!L98/'Price History'!L97-1),"")</f>
        <v>-0.0187383964422952</v>
      </c>
      <c r="M97" s="153" t="n">
        <f aca="false">IFERROR(IF(OR(NOT(ISNUMBER('Price History'!M98)),NOT(ISNUMBER('Price History'!M97)),'Price History'!M97=0),"",'Price History'!M98/'Price History'!M97-1),"")</f>
        <v>-0.0355604292316128</v>
      </c>
      <c r="N97" s="153" t="n">
        <f aca="false">IFERROR(IF(OR(NOT(ISNUMBER('Price History'!N98)),NOT(ISNUMBER('Price History'!N97)),'Price History'!N97=0),"",'Price History'!N98/'Price History'!N97-1),"")</f>
        <v>0.0200818067098909</v>
      </c>
      <c r="O97" s="153" t="n">
        <f aca="false">IFERROR(IF(OR(NOT(ISNUMBER('Price History'!O98)),NOT(ISNUMBER('Price History'!O97)),'Price History'!O97=0),"",'Price History'!O98/'Price History'!O97-1),"")</f>
        <v>-0.00128562245553898</v>
      </c>
      <c r="P97" s="153" t="n">
        <f aca="false">IFERROR(IF(OR(NOT(ISNUMBER('Price History'!P98)),NOT(ISNUMBER('Price History'!P97)),'Price History'!P97=0),"",'Price History'!P98/'Price History'!P97-1),"")</f>
        <v>-0.00336417157275015</v>
      </c>
      <c r="Q97" s="153" t="n">
        <f aca="false">IFERROR(IF(OR(NOT(ISNUMBER('Price History'!Q98)),NOT(ISNUMBER('Price History'!Q97)),'Price History'!Q97=0),"",'Price History'!Q98/'Price History'!Q97-1),"")</f>
        <v>0.00160102465577983</v>
      </c>
      <c r="R97" s="153" t="n">
        <f aca="false">IFERROR(IF(OR(NOT(ISNUMBER('Price History'!R98)),NOT(ISNUMBER('Price History'!R97)),'Price History'!R97=0),"",'Price History'!R98/'Price History'!R97-1),"")</f>
        <v>0.00361240968975762</v>
      </c>
      <c r="S97" s="153" t="n">
        <f aca="false">IFERROR(IF(OR(NOT(ISNUMBER('Price History'!S98)),NOT(ISNUMBER('Price History'!S97)),'Price History'!S97=0),"",'Price History'!S98/'Price History'!S97-1),"")</f>
        <v>-0.00305233863003862</v>
      </c>
      <c r="T97" s="153" t="n">
        <f aca="false">IFERROR(IF(OR(NOT(ISNUMBER('Price History'!T98)),NOT(ISNUMBER('Price History'!T97)),'Price History'!T97=0),"",'Price History'!T98/'Price History'!T97-1),"")</f>
        <v>0.00227790432801833</v>
      </c>
      <c r="U97" s="153" t="n">
        <f aca="false">IFERROR(IF(OR(NOT(ISNUMBER('Price History'!U98)),NOT(ISNUMBER('Price History'!U97)),'Price History'!U97=0),"",'Price History'!U98/'Price History'!U97-1),"")</f>
        <v>-0.000764233855559904</v>
      </c>
      <c r="V97" s="154" t="n">
        <f aca="false">IFERROR(IF(OR(NOT(ISNUMBER('Price History'!V98)),NOT(ISNUMBER('Price History'!V97)),'Price History'!V97=0),"",'Price History'!V98/'Price History'!V97-1),"")</f>
        <v>-0.0304735642533555</v>
      </c>
      <c r="W97" s="155" t="n">
        <f aca="false">IFERROR('Price History'!B3+(INDEX('Price History'!B:B,MATCH(9.99E+307,'Returns (Calc)'!$A:$A)+1)-'Price History'!B3)*(ROW()-3)/(MATCH(9.99E+307,'Returns (Calc)'!$A:$A)-3),"")</f>
        <v>359.441698113208</v>
      </c>
      <c r="X97" s="155" t="n">
        <f aca="false">IFERROR('Price History'!C3+(INDEX('Price History'!C:C,MATCH(9.99E+307,'Returns (Calc)'!$A:$A)+1)-'Price History'!C3)*(ROW()-3)/(MATCH(9.99E+307,'Returns (Calc)'!$A:$A)-3),"")</f>
        <v>147.014213836478</v>
      </c>
      <c r="Y97" s="155" t="n">
        <f aca="false">IFERROR('Price History'!D3+(INDEX('Price History'!D:D,MATCH(9.99E+307,'Returns (Calc)'!$A:$A)+1)-'Price History'!D3)*(ROW()-3)/(MATCH(9.99E+307,'Returns (Calc)'!$A:$A)-3),"")</f>
        <v>1290.45666666667</v>
      </c>
      <c r="Z97" s="155" t="n">
        <f aca="false">IFERROR('Price History'!E3+(INDEX('Price History'!E:E,MATCH(9.99E+307,'Returns (Calc)'!$A:$A)+1)-'Price History'!E3)*(ROW()-3)/(MATCH(9.99E+307,'Returns (Calc)'!$A:$A)-3),"")</f>
        <v>247.262641509434</v>
      </c>
      <c r="AA97" s="155" t="n">
        <f aca="false">IFERROR('Price History'!F3+(INDEX('Price History'!F:F,MATCH(9.99E+307,'Returns (Calc)'!$A:$A)+1)-'Price History'!F3)*(ROW()-3)/(MATCH(9.99E+307,'Returns (Calc)'!$A:$A)-3),"")</f>
        <v>179.510440251572</v>
      </c>
      <c r="AB97" s="155" t="n">
        <f aca="false">IFERROR('Price History'!G3+(INDEX('Price History'!G:G,MATCH(9.99E+307,'Returns (Calc)'!$A:$A)+1)-'Price History'!G3)*(ROW()-3)/(MATCH(9.99E+307,'Returns (Calc)'!$A:$A)-3),"")</f>
        <v>133.750503144654</v>
      </c>
      <c r="AC97" s="155" t="n">
        <f aca="false">IFERROR('Price History'!H3+(INDEX('Price History'!H:H,MATCH(9.99E+307,'Returns (Calc)'!$A:$A)+1)-'Price History'!H3)*(ROW()-3)/(MATCH(9.99E+307,'Returns (Calc)'!$A:$A)-3),"")</f>
        <v>636.59213836478</v>
      </c>
      <c r="AD97" s="155" t="n">
        <f aca="false">IFERROR('Price History'!I3+(INDEX('Price History'!I:I,MATCH(9.99E+307,'Returns (Calc)'!$A:$A)+1)-'Price History'!I3)*(ROW()-3)/(MATCH(9.99E+307,'Returns (Calc)'!$A:$A)-3),"")</f>
        <v>153.442578616352</v>
      </c>
      <c r="AE97" s="155" t="n">
        <f aca="false">IFERROR('Price History'!J3+(INDEX('Price History'!J:J,MATCH(9.99E+307,'Returns (Calc)'!$A:$A)+1)-'Price History'!J3)*(ROW()-3)/(MATCH(9.99E+307,'Returns (Calc)'!$A:$A)-3),"")</f>
        <v>122.274591194969</v>
      </c>
      <c r="AF97" s="155" t="n">
        <f aca="false">IFERROR('Price History'!K3+(INDEX('Price History'!K:K,MATCH(9.99E+307,'Returns (Calc)'!$A:$A)+1)-'Price History'!K3)*(ROW()-3)/(MATCH(9.99E+307,'Returns (Calc)'!$A:$A)-3),"")</f>
        <v>129.856289308176</v>
      </c>
      <c r="AG97" s="155" t="n">
        <f aca="false">IFERROR('Price History'!L3+(INDEX('Price History'!L:L,MATCH(9.99E+307,'Returns (Calc)'!$A:$A)+1)-'Price History'!L3)*(ROW()-3)/(MATCH(9.99E+307,'Returns (Calc)'!$A:$A)-3),"")</f>
        <v>303.04962264151</v>
      </c>
      <c r="AH97" s="155" t="n">
        <f aca="false">IFERROR('Price History'!M3+(INDEX('Price History'!M:M,MATCH(9.99E+307,'Returns (Calc)'!$A:$A)+1)-'Price History'!M3)*(ROW()-3)/(MATCH(9.99E+307,'Returns (Calc)'!$A:$A)-3),"")</f>
        <v>159.073081761006</v>
      </c>
      <c r="AI97" s="155" t="n">
        <f aca="false">IFERROR('Price History'!N3+(INDEX('Price History'!N:N,MATCH(9.99E+307,'Returns (Calc)'!$A:$A)+1)-'Price History'!N3)*(ROW()-3)/(MATCH(9.99E+307,'Returns (Calc)'!$A:$A)-3),"")</f>
        <v>444.188805031447</v>
      </c>
      <c r="AJ97" s="155" t="n">
        <f aca="false">IFERROR('Price History'!O3+(INDEX('Price History'!O:O,MATCH(9.99E+307,'Returns (Calc)'!$A:$A)+1)-'Price History'!O3)*(ROW()-3)/(MATCH(9.99E+307,'Returns (Calc)'!$A:$A)-3),"")</f>
        <v>101.517672955975</v>
      </c>
      <c r="AK97" s="155" t="n">
        <f aca="false">IFERROR('Price History'!Q3+(INDEX('Price History'!Q:Q,MATCH(9.99E+307,'Returns (Calc)'!$A:$A)+1)-'Price History'!Q3)*(ROW()-3)/(MATCH(9.99E+307,'Returns (Calc)'!$A:$A)-3),"")</f>
        <v>41.3659119496855</v>
      </c>
      <c r="AL97" s="155" t="n">
        <f aca="false">IFERROR('Price History'!R3+(INDEX('Price History'!R:R,MATCH(9.99E+307,'Returns (Calc)'!$A:$A)+1)-'Price History'!R3)*(ROW()-3)/(MATCH(9.99E+307,'Returns (Calc)'!$A:$A)-3),"")</f>
        <v>50.2116981132076</v>
      </c>
      <c r="AM97" s="155" t="n">
        <f aca="false">IFERROR('Price History'!S3+(INDEX('Price History'!S:S,MATCH(9.99E+307,'Returns (Calc)'!$A:$A)+1)-'Price History'!S3)*(ROW()-3)/(MATCH(9.99E+307,'Returns (Calc)'!$A:$A)-3),"")</f>
        <v>112.924465408805</v>
      </c>
      <c r="AN97" s="155" t="n">
        <f aca="false">IFERROR('Price History'!T3+(INDEX('Price History'!T:T,MATCH(9.99E+307,'Returns (Calc)'!$A:$A)+1)-'Price History'!T3)*(ROW()-3)/(MATCH(9.99E+307,'Returns (Calc)'!$A:$A)-3),"")</f>
        <v>41.5365408805032</v>
      </c>
      <c r="AO97" s="156" t="n">
        <f aca="false">IFERROR('Price History'!V3+(INDEX('Price History'!V:V,MATCH(9.99E+307,'Returns (Calc)'!$A:$A)+1)-'Price History'!V3)*(ROW()-3)/(MATCH(9.99E+307,'Returns (Calc)'!$A:$A)-3),"")</f>
        <v>324.202830188679</v>
      </c>
      <c r="AP97" s="154" t="n">
        <f aca="false">IFERROR(IF(OR(NOT(ISNUMBER('Price History'!W98)),NOT(ISNUMBER('Price History'!W97)),'Price History'!W97=0),"",'Price History'!W98/'Price History'!W97-1),"")</f>
        <v>-0.00675368037638502</v>
      </c>
      <c r="AQ97" s="154" t="str">
        <f aca="false">IFERROR(IF(OR(NOT(ISNUMBER('Price History'!X98)),NOT(ISNUMBER('Price History'!X97)),'Price History'!X97=0),"",'Price History'!X98/'Price History'!X97-1),"")</f>
        <v/>
      </c>
      <c r="AR97" s="154" t="n">
        <f aca="false">IFERROR(IF(OR(NOT(ISNUMBER('Price History'!Y98)),NOT(ISNUMBER('Price History'!Y97)),'Price History'!Y97=0),"",'Price History'!Y98/'Price History'!Y97-1),"")</f>
        <v>-0.00348904826516783</v>
      </c>
      <c r="AS97" s="154" t="n">
        <f aca="false">IFERROR(IF(OR(NOT(ISNUMBER('Price History'!Z98)),NOT(ISNUMBER('Price History'!Z97)),'Price History'!Z97=0),"",'Price History'!Z98/'Price History'!Z97-1),"")</f>
        <v>0.0360963658636178</v>
      </c>
      <c r="AT97" s="154" t="n">
        <f aca="false">IFERROR(IF(OR(NOT(ISNUMBER('Price History'!AA98)),NOT(ISNUMBER('Price History'!AA97)),'Price History'!AA97=0),"",'Price History'!AA98/'Price History'!AA97-1),"")</f>
        <v>-0.040163428923836</v>
      </c>
      <c r="AU97" s="154" t="n">
        <f aca="false">IFERROR(IF(OR(NOT(ISNUMBER('Price History'!AB98)),NOT(ISNUMBER('Price History'!AB97)),'Price History'!AB97=0),"",'Price History'!AB98/'Price History'!AB97-1),"")</f>
        <v>-0.0295472932568857</v>
      </c>
    </row>
    <row r="98" customFormat="false" ht="15" hidden="false" customHeight="true" outlineLevel="0" collapsed="false">
      <c r="A98" s="152" t="n">
        <f aca="false">IF('Price History'!A99="","",'Price History'!A99)</f>
        <v>45856</v>
      </c>
      <c r="B98" s="153" t="n">
        <f aca="false">IFERROR(IF(OR(NOT(ISNUMBER('Price History'!B99)),NOT(ISNUMBER('Price History'!B98)),'Price History'!B98=0),"",'Price History'!B99/'Price History'!B98-1),"")</f>
        <v>0.00671528828952805</v>
      </c>
      <c r="C98" s="153" t="n">
        <f aca="false">IFERROR(IF(OR(NOT(ISNUMBER('Price History'!C99)),NOT(ISNUMBER('Price History'!C98)),'Price History'!C98=0),"",'Price History'!C99/'Price History'!C98-1),"")</f>
        <v>0.0295661785023489</v>
      </c>
      <c r="D98" s="153" t="n">
        <f aca="false">IFERROR(IF(OR(NOT(ISNUMBER('Price History'!D99)),NOT(ISNUMBER('Price History'!D98)),'Price History'!D98=0),"",'Price History'!D99/'Price History'!D98-1),"")</f>
        <v>-0.0839845470446853</v>
      </c>
      <c r="E98" s="153" t="n">
        <f aca="false">IFERROR(IF(OR(NOT(ISNUMBER('Price History'!E99)),NOT(ISNUMBER('Price History'!E98)),'Price History'!E98=0),"",'Price History'!E99/'Price History'!E98-1),"")</f>
        <v>0.0326602670197507</v>
      </c>
      <c r="F98" s="153" t="n">
        <f aca="false">IFERROR(IF(OR(NOT(ISNUMBER('Price History'!F99)),NOT(ISNUMBER('Price History'!F98)),'Price History'!F98=0),"",'Price History'!F99/'Price History'!F98-1),"")</f>
        <v>-0.00518351308419029</v>
      </c>
      <c r="G98" s="153" t="n">
        <f aca="false">IFERROR(IF(OR(NOT(ISNUMBER('Price History'!G99)),NOT(ISNUMBER('Price History'!G98)),'Price History'!G98=0),"",'Price History'!G99/'Price History'!G98-1),"")</f>
        <v>0.00708369659982555</v>
      </c>
      <c r="H98" s="153" t="n">
        <f aca="false">IFERROR(IF(OR(NOT(ISNUMBER('Price History'!H99)),NOT(ISNUMBER('Price History'!H98)),'Price History'!H98=0),"",'Price History'!H99/'Price History'!H98-1),"")</f>
        <v>-0.0813962840826832</v>
      </c>
      <c r="I98" s="153" t="n">
        <f aca="false">IFERROR(IF(OR(NOT(ISNUMBER('Price History'!I99)),NOT(ISNUMBER('Price History'!I98)),'Price History'!I98=0),"",'Price History'!I99/'Price History'!I98-1),"")</f>
        <v>0.0454048140043764</v>
      </c>
      <c r="J98" s="153" t="n">
        <f aca="false">IFERROR(IF(OR(NOT(ISNUMBER('Price History'!J99)),NOT(ISNUMBER('Price History'!J98)),'Price History'!J98=0),"",'Price History'!J99/'Price History'!J98-1),"")</f>
        <v>-0.0219235535220665</v>
      </c>
      <c r="K98" s="153" t="n">
        <f aca="false">IFERROR(IF(OR(NOT(ISNUMBER('Price History'!K99)),NOT(ISNUMBER('Price History'!K98)),'Price History'!K98=0),"",'Price History'!K99/'Price History'!K98-1),"")</f>
        <v>0.08036593947924</v>
      </c>
      <c r="L98" s="153" t="n">
        <f aca="false">IFERROR(IF(OR(NOT(ISNUMBER('Price History'!L99)),NOT(ISNUMBER('Price History'!L98)),'Price History'!L98=0),"",'Price History'!L99/'Price History'!L98-1),"")</f>
        <v>0.0433845206142474</v>
      </c>
      <c r="M98" s="153" t="n">
        <f aca="false">IFERROR(IF(OR(NOT(ISNUMBER('Price History'!M99)),NOT(ISNUMBER('Price History'!M98)),'Price History'!M98=0),"",'Price History'!M99/'Price History'!M98-1),"")</f>
        <v>0.0467798261999513</v>
      </c>
      <c r="N98" s="153" t="n">
        <f aca="false">IFERROR(IF(OR(NOT(ISNUMBER('Price History'!N99)),NOT(ISNUMBER('Price History'!N98)),'Price History'!N98=0),"",'Price History'!N99/'Price History'!N98-1),"")</f>
        <v>-0.0192812200063986</v>
      </c>
      <c r="O98" s="153" t="n">
        <f aca="false">IFERROR(IF(OR(NOT(ISNUMBER('Price History'!O99)),NOT(ISNUMBER('Price History'!O98)),'Price History'!O98=0),"",'Price History'!O99/'Price History'!O98-1),"")</f>
        <v>-0.0118000429092469</v>
      </c>
      <c r="P98" s="153" t="n">
        <f aca="false">IFERROR(IF(OR(NOT(ISNUMBER('Price History'!P99)),NOT(ISNUMBER('Price History'!P98)),'Price History'!P98=0),"",'Price History'!P99/'Price History'!P98-1),"")</f>
        <v>-0.00421940928270026</v>
      </c>
      <c r="Q98" s="153" t="n">
        <f aca="false">IFERROR(IF(OR(NOT(ISNUMBER('Price History'!Q99)),NOT(ISNUMBER('Price History'!Q98)),'Price History'!Q98=0),"",'Price History'!Q99/'Price History'!Q98-1),"")</f>
        <v>0.00351662404092079</v>
      </c>
      <c r="R98" s="153" t="n">
        <f aca="false">IFERROR(IF(OR(NOT(ISNUMBER('Price History'!R99)),NOT(ISNUMBER('Price History'!R98)),'Price History'!R98=0),"",'Price History'!R99/'Price History'!R98-1),"")</f>
        <v>0.00614016514926963</v>
      </c>
      <c r="S98" s="153" t="n">
        <f aca="false">IFERROR(IF(OR(NOT(ISNUMBER('Price History'!S99)),NOT(ISNUMBER('Price History'!S98)),'Price History'!S98=0),"",'Price History'!S99/'Price History'!S98-1),"")</f>
        <v>0.014858171994597</v>
      </c>
      <c r="T98" s="153" t="n">
        <f aca="false">IFERROR(IF(OR(NOT(ISNUMBER('Price History'!T99)),NOT(ISNUMBER('Price History'!T98)),'Price History'!T98=0),"",'Price History'!T99/'Price History'!T98-1),"")</f>
        <v>-0.0210227272727274</v>
      </c>
      <c r="U98" s="153" t="n">
        <f aca="false">IFERROR(IF(OR(NOT(ISNUMBER('Price History'!U99)),NOT(ISNUMBER('Price History'!U98)),'Price History'!U98=0),"",'Price History'!U99/'Price History'!U98-1),"")</f>
        <v>-0.0110898661567878</v>
      </c>
      <c r="V98" s="154" t="n">
        <f aca="false">IFERROR(IF(OR(NOT(ISNUMBER('Price History'!V99)),NOT(ISNUMBER('Price History'!V98)),'Price History'!V98=0),"",'Price History'!V99/'Price History'!V98-1),"")</f>
        <v>0.00322149988390996</v>
      </c>
      <c r="W98" s="155" t="n">
        <f aca="false">IFERROR('Price History'!B3+(INDEX('Price History'!B:B,MATCH(9.99E+307,'Returns (Calc)'!$A:$A)+1)-'Price History'!B3)*(ROW()-3)/(MATCH(9.99E+307,'Returns (Calc)'!$A:$A)-3),"")</f>
        <v>357.639056603774</v>
      </c>
      <c r="X98" s="155" t="n">
        <f aca="false">IFERROR('Price History'!C3+(INDEX('Price History'!C:C,MATCH(9.99E+307,'Returns (Calc)'!$A:$A)+1)-'Price History'!C3)*(ROW()-3)/(MATCH(9.99E+307,'Returns (Calc)'!$A:$A)-3),"")</f>
        <v>148.086918238994</v>
      </c>
      <c r="Y98" s="155" t="n">
        <f aca="false">IFERROR('Price History'!D3+(INDEX('Price History'!D:D,MATCH(9.99E+307,'Returns (Calc)'!$A:$A)+1)-'Price History'!D3)*(ROW()-3)/(MATCH(9.99E+307,'Returns (Calc)'!$A:$A)-3),"")</f>
        <v>1297.99333333333</v>
      </c>
      <c r="Z98" s="155" t="n">
        <f aca="false">IFERROR('Price History'!E3+(INDEX('Price History'!E:E,MATCH(9.99E+307,'Returns (Calc)'!$A:$A)+1)-'Price History'!E3)*(ROW()-3)/(MATCH(9.99E+307,'Returns (Calc)'!$A:$A)-3),"")</f>
        <v>249.020754716981</v>
      </c>
      <c r="AA98" s="155" t="n">
        <f aca="false">IFERROR('Price History'!F3+(INDEX('Price History'!F:F,MATCH(9.99E+307,'Returns (Calc)'!$A:$A)+1)-'Price History'!F3)*(ROW()-3)/(MATCH(9.99E+307,'Returns (Calc)'!$A:$A)-3),"")</f>
        <v>180.980125786164</v>
      </c>
      <c r="AB98" s="155" t="n">
        <f aca="false">IFERROR('Price History'!G3+(INDEX('Price History'!G:G,MATCH(9.99E+307,'Returns (Calc)'!$A:$A)+1)-'Price History'!G3)*(ROW()-3)/(MATCH(9.99E+307,'Returns (Calc)'!$A:$A)-3),"")</f>
        <v>134.701572327044</v>
      </c>
      <c r="AC98" s="155" t="n">
        <f aca="false">IFERROR('Price History'!H3+(INDEX('Price History'!H:H,MATCH(9.99E+307,'Returns (Calc)'!$A:$A)+1)-'Price History'!H3)*(ROW()-3)/(MATCH(9.99E+307,'Returns (Calc)'!$A:$A)-3),"")</f>
        <v>642.629182389937</v>
      </c>
      <c r="AD98" s="155" t="n">
        <f aca="false">IFERROR('Price History'!I3+(INDEX('Price History'!I:I,MATCH(9.99E+307,'Returns (Calc)'!$A:$A)+1)-'Price History'!I3)*(ROW()-3)/(MATCH(9.99E+307,'Returns (Calc)'!$A:$A)-3),"")</f>
        <v>154.609308176101</v>
      </c>
      <c r="AE98" s="155" t="n">
        <f aca="false">IFERROR('Price History'!J3+(INDEX('Price History'!J:J,MATCH(9.99E+307,'Returns (Calc)'!$A:$A)+1)-'Price History'!J3)*(ROW()-3)/(MATCH(9.99E+307,'Returns (Calc)'!$A:$A)-3),"")</f>
        <v>122.385597484277</v>
      </c>
      <c r="AF98" s="155" t="n">
        <f aca="false">IFERROR('Price History'!K3+(INDEX('Price History'!K:K,MATCH(9.99E+307,'Returns (Calc)'!$A:$A)+1)-'Price History'!K3)*(ROW()-3)/(MATCH(9.99E+307,'Returns (Calc)'!$A:$A)-3),"")</f>
        <v>131.07465408805</v>
      </c>
      <c r="AG98" s="155" t="n">
        <f aca="false">IFERROR('Price History'!L3+(INDEX('Price History'!L:L,MATCH(9.99E+307,'Returns (Calc)'!$A:$A)+1)-'Price History'!L3)*(ROW()-3)/(MATCH(9.99E+307,'Returns (Calc)'!$A:$A)-3),"")</f>
        <v>305.361320754717</v>
      </c>
      <c r="AH98" s="155" t="n">
        <f aca="false">IFERROR('Price History'!M3+(INDEX('Price History'!M:M,MATCH(9.99E+307,'Returns (Calc)'!$A:$A)+1)-'Price History'!M3)*(ROW()-3)/(MATCH(9.99E+307,'Returns (Calc)'!$A:$A)-3),"")</f>
        <v>160.360880503145</v>
      </c>
      <c r="AI98" s="155" t="n">
        <f aca="false">IFERROR('Price History'!N3+(INDEX('Price History'!N:N,MATCH(9.99E+307,'Returns (Calc)'!$A:$A)+1)-'Price History'!N3)*(ROW()-3)/(MATCH(9.99E+307,'Returns (Calc)'!$A:$A)-3),"")</f>
        <v>445.20251572327</v>
      </c>
      <c r="AJ98" s="155" t="n">
        <f aca="false">IFERROR('Price History'!O3+(INDEX('Price History'!O:O,MATCH(9.99E+307,'Returns (Calc)'!$A:$A)+1)-'Price History'!O3)*(ROW()-3)/(MATCH(9.99E+307,'Returns (Calc)'!$A:$A)-3),"")</f>
        <v>101.796477987421</v>
      </c>
      <c r="AK98" s="155" t="n">
        <f aca="false">IFERROR('Price History'!Q3+(INDEX('Price History'!Q:Q,MATCH(9.99E+307,'Returns (Calc)'!$A:$A)+1)-'Price History'!Q3)*(ROW()-3)/(MATCH(9.99E+307,'Returns (Calc)'!$A:$A)-3),"")</f>
        <v>41.8059748427673</v>
      </c>
      <c r="AL98" s="155" t="n">
        <f aca="false">IFERROR('Price History'!R3+(INDEX('Price History'!R:R,MATCH(9.99E+307,'Returns (Calc)'!$A:$A)+1)-'Price History'!R3)*(ROW()-3)/(MATCH(9.99E+307,'Returns (Calc)'!$A:$A)-3),"")</f>
        <v>50.3790566037736</v>
      </c>
      <c r="AM98" s="155" t="n">
        <f aca="false">IFERROR('Price History'!S3+(INDEX('Price History'!S:S,MATCH(9.99E+307,'Returns (Calc)'!$A:$A)+1)-'Price History'!S3)*(ROW()-3)/(MATCH(9.99E+307,'Returns (Calc)'!$A:$A)-3),"")</f>
        <v>113.512704402516</v>
      </c>
      <c r="AN98" s="155" t="n">
        <f aca="false">IFERROR('Price History'!T3+(INDEX('Price History'!T:T,MATCH(9.99E+307,'Returns (Calc)'!$A:$A)+1)-'Price History'!T3)*(ROW()-3)/(MATCH(9.99E+307,'Returns (Calc)'!$A:$A)-3),"")</f>
        <v>41.7104402515723</v>
      </c>
      <c r="AO98" s="156" t="n">
        <f aca="false">IFERROR('Price History'!V3+(INDEX('Price History'!V:V,MATCH(9.99E+307,'Returns (Calc)'!$A:$A)+1)-'Price History'!V3)*(ROW()-3)/(MATCH(9.99E+307,'Returns (Calc)'!$A:$A)-3),"")</f>
        <v>325.145094339623</v>
      </c>
      <c r="AP98" s="154" t="n">
        <f aca="false">IFERROR(IF(OR(NOT(ISNUMBER('Price History'!W99)),NOT(ISNUMBER('Price History'!W98)),'Price History'!W98=0),"",'Price History'!W99/'Price History'!W98-1),"")</f>
        <v>-0.00152800061120018</v>
      </c>
      <c r="AQ98" s="154" t="str">
        <f aca="false">IFERROR(IF(OR(NOT(ISNUMBER('Price History'!X99)),NOT(ISNUMBER('Price History'!X98)),'Price History'!X98=0),"",'Price History'!X99/'Price History'!X98-1),"")</f>
        <v/>
      </c>
      <c r="AR98" s="154" t="n">
        <f aca="false">IFERROR(IF(OR(NOT(ISNUMBER('Price History'!Y99)),NOT(ISNUMBER('Price History'!Y98)),'Price History'!Y98=0),"",'Price History'!Y99/'Price History'!Y98-1),"")</f>
        <v>0.00369577903131701</v>
      </c>
      <c r="AS98" s="154" t="n">
        <f aca="false">IFERROR(IF(OR(NOT(ISNUMBER('Price History'!Z99)),NOT(ISNUMBER('Price History'!Z98)),'Price History'!Z98=0),"",'Price History'!Z99/'Price History'!Z98-1),"")</f>
        <v>0.0307401276897612</v>
      </c>
      <c r="AT98" s="154" t="n">
        <f aca="false">IFERROR(IF(OR(NOT(ISNUMBER('Price History'!AA99)),NOT(ISNUMBER('Price History'!AA98)),'Price History'!AA98=0),"",'Price History'!AA99/'Price History'!AA98-1),"")</f>
        <v>-0.0288330254598025</v>
      </c>
      <c r="AU98" s="154" t="n">
        <f aca="false">IFERROR(IF(OR(NOT(ISNUMBER('Price History'!AB99)),NOT(ISNUMBER('Price History'!AB98)),'Price History'!AB98=0),"",'Price History'!AB99/'Price History'!AB98-1),"")</f>
        <v>0.0231976512378123</v>
      </c>
    </row>
    <row r="99" customFormat="false" ht="15" hidden="false" customHeight="true" outlineLevel="0" collapsed="false">
      <c r="A99" s="152" t="n">
        <f aca="false">IF('Price History'!A100="","",'Price History'!A100)</f>
        <v>45863</v>
      </c>
      <c r="B99" s="153" t="n">
        <f aca="false">IFERROR(IF(OR(NOT(ISNUMBER('Price History'!B100)),NOT(ISNUMBER('Price History'!B99)),'Price History'!B99=0),"",'Price History'!B100/'Price History'!B99-1),"")</f>
        <v>0.0135323546297055</v>
      </c>
      <c r="C99" s="153" t="n">
        <f aca="false">IFERROR(IF(OR(NOT(ISNUMBER('Price History'!C100)),NOT(ISNUMBER('Price History'!C99)),'Price History'!C99=0),"",'Price History'!C100/'Price History'!C99-1),"")</f>
        <v>0.0223653605296117</v>
      </c>
      <c r="D99" s="153" t="n">
        <f aca="false">IFERROR(IF(OR(NOT(ISNUMBER('Price History'!D100)),NOT(ISNUMBER('Price History'!D99)),'Price History'!D99=0),"",'Price History'!D100/'Price History'!D99-1),"")</f>
        <v>-0.0317612957289849</v>
      </c>
      <c r="E99" s="153" t="n">
        <f aca="false">IFERROR(IF(OR(NOT(ISNUMBER('Price History'!E100)),NOT(ISNUMBER('Price History'!E99)),'Price History'!E99=0),"",'Price History'!E100/'Price History'!E99-1),"")</f>
        <v>0.0241478790469067</v>
      </c>
      <c r="F99" s="153" t="n">
        <f aca="false">IFERROR(IF(OR(NOT(ISNUMBER('Price History'!F100)),NOT(ISNUMBER('Price History'!F99)),'Price History'!F99=0),"",'Price History'!F100/'Price History'!F99-1),"")</f>
        <v>-0.0168921758130934</v>
      </c>
      <c r="G99" s="153" t="n">
        <f aca="false">IFERROR(IF(OR(NOT(ISNUMBER('Price History'!G100)),NOT(ISNUMBER('Price History'!G99)),'Price History'!G99=0),"",'Price History'!G100/'Price History'!G99-1),"")</f>
        <v>-0.0311654582837355</v>
      </c>
      <c r="H99" s="153" t="n">
        <f aca="false">IFERROR(IF(OR(NOT(ISNUMBER('Price History'!H100)),NOT(ISNUMBER('Price History'!H99)),'Price History'!H99=0),"",'Price History'!H100/'Price History'!H99-1),"")</f>
        <v>-0.0274056562472638</v>
      </c>
      <c r="I99" s="153" t="n">
        <f aca="false">IFERROR(IF(OR(NOT(ISNUMBER('Price History'!I100)),NOT(ISNUMBER('Price History'!I99)),'Price History'!I99=0),"",'Price History'!I100/'Price History'!I99-1),"")</f>
        <v>0.00633757776614918</v>
      </c>
      <c r="J99" s="153" t="n">
        <f aca="false">IFERROR(IF(OR(NOT(ISNUMBER('Price History'!J100)),NOT(ISNUMBER('Price History'!J99)),'Price History'!J99=0),"",'Price History'!J100/'Price History'!J99-1),"")</f>
        <v>0.0329402592339927</v>
      </c>
      <c r="K99" s="153" t="n">
        <f aca="false">IFERROR(IF(OR(NOT(ISNUMBER('Price History'!K100)),NOT(ISNUMBER('Price History'!K99)),'Price History'!K99=0),"",'Price History'!K100/'Price History'!K99-1),"")</f>
        <v>0.0343929129755081</v>
      </c>
      <c r="L99" s="153" t="n">
        <f aca="false">IFERROR(IF(OR(NOT(ISNUMBER('Price History'!L100)),NOT(ISNUMBER('Price History'!L99)),'Price History'!L99=0),"",'Price History'!L100/'Price History'!L99-1),"")</f>
        <v>0.0216337030320921</v>
      </c>
      <c r="M99" s="153" t="n">
        <f aca="false">IFERROR(IF(OR(NOT(ISNUMBER('Price History'!M100)),NOT(ISNUMBER('Price History'!M99)),'Price History'!M99=0),"",'Price History'!M100/'Price History'!M99-1),"")</f>
        <v>0.0651718519667934</v>
      </c>
      <c r="N99" s="153" t="n">
        <f aca="false">IFERROR(IF(OR(NOT(ISNUMBER('Price History'!N100)),NOT(ISNUMBER('Price History'!N99)),'Price History'!N99=0),"",'Price History'!N100/'Price History'!N99-1),"")</f>
        <v>0.0214001435375482</v>
      </c>
      <c r="O99" s="153" t="n">
        <f aca="false">IFERROR(IF(OR(NOT(ISNUMBER('Price History'!O100)),NOT(ISNUMBER('Price History'!O99)),'Price History'!O99=0),"",'Price History'!O100/'Price History'!O99-1),"")</f>
        <v>0.0147633521493704</v>
      </c>
      <c r="P99" s="153" t="n">
        <f aca="false">IFERROR(IF(OR(NOT(ISNUMBER('Price History'!P100)),NOT(ISNUMBER('Price History'!P99)),'Price History'!P99=0),"",'Price History'!P100/'Price History'!P99-1),"")</f>
        <v>0.0181818181818181</v>
      </c>
      <c r="Q99" s="153" t="n">
        <f aca="false">IFERROR(IF(OR(NOT(ISNUMBER('Price History'!Q100)),NOT(ISNUMBER('Price History'!Q99)),'Price History'!Q99=0),"",'Price History'!Q100/'Price History'!Q99-1),"")</f>
        <v>0.00223000955718389</v>
      </c>
      <c r="R99" s="153" t="n">
        <f aca="false">IFERROR(IF(OR(NOT(ISNUMBER('Price History'!R100)),NOT(ISNUMBER('Price History'!R99)),'Price History'!R99=0),"",'Price History'!R100/'Price History'!R99-1),"")</f>
        <v>0.00715488215488214</v>
      </c>
      <c r="S99" s="153" t="n">
        <f aca="false">IFERROR(IF(OR(NOT(ISNUMBER('Price History'!S100)),NOT(ISNUMBER('Price History'!S99)),'Price History'!S99=0),"",'Price History'!S100/'Price History'!S99-1),"")</f>
        <v>0.01055900621118</v>
      </c>
      <c r="T99" s="153" t="n">
        <f aca="false">IFERROR(IF(OR(NOT(ISNUMBER('Price History'!T100)),NOT(ISNUMBER('Price History'!T99)),'Price History'!T99=0),"",'Price History'!T100/'Price History'!T99-1),"")</f>
        <v>0.0217643644805572</v>
      </c>
      <c r="U99" s="153" t="n">
        <f aca="false">IFERROR(IF(OR(NOT(ISNUMBER('Price History'!U100)),NOT(ISNUMBER('Price History'!U99)),'Price History'!U99=0),"",'Price History'!U100/'Price History'!U99-1),"")</f>
        <v>0.0108275328692962</v>
      </c>
      <c r="V99" s="154" t="n">
        <f aca="false">IFERROR(IF(OR(NOT(ISNUMBER('Price History'!V100)),NOT(ISNUMBER('Price History'!V99)),'Price History'!V99=0),"",'Price History'!V100/'Price History'!V99-1),"")</f>
        <v>0.0229120259206757</v>
      </c>
      <c r="W99" s="155" t="n">
        <f aca="false">IFERROR('Price History'!B3+(INDEX('Price History'!B:B,MATCH(9.99E+307,'Returns (Calc)'!$A:$A)+1)-'Price History'!B3)*(ROW()-3)/(MATCH(9.99E+307,'Returns (Calc)'!$A:$A)-3),"")</f>
        <v>355.83641509434</v>
      </c>
      <c r="X99" s="155" t="n">
        <f aca="false">IFERROR('Price History'!C3+(INDEX('Price History'!C:C,MATCH(9.99E+307,'Returns (Calc)'!$A:$A)+1)-'Price History'!C3)*(ROW()-3)/(MATCH(9.99E+307,'Returns (Calc)'!$A:$A)-3),"")</f>
        <v>149.159622641509</v>
      </c>
      <c r="Y99" s="155" t="n">
        <f aca="false">IFERROR('Price History'!D3+(INDEX('Price History'!D:D,MATCH(9.99E+307,'Returns (Calc)'!$A:$A)+1)-'Price History'!D3)*(ROW()-3)/(MATCH(9.99E+307,'Returns (Calc)'!$A:$A)-3),"")</f>
        <v>1305.53</v>
      </c>
      <c r="Z99" s="155" t="n">
        <f aca="false">IFERROR('Price History'!E3+(INDEX('Price History'!E:E,MATCH(9.99E+307,'Returns (Calc)'!$A:$A)+1)-'Price History'!E3)*(ROW()-3)/(MATCH(9.99E+307,'Returns (Calc)'!$A:$A)-3),"")</f>
        <v>250.778867924528</v>
      </c>
      <c r="AA99" s="155" t="n">
        <f aca="false">IFERROR('Price History'!F3+(INDEX('Price History'!F:F,MATCH(9.99E+307,'Returns (Calc)'!$A:$A)+1)-'Price History'!F3)*(ROW()-3)/(MATCH(9.99E+307,'Returns (Calc)'!$A:$A)-3),"")</f>
        <v>182.449811320755</v>
      </c>
      <c r="AB99" s="155" t="n">
        <f aca="false">IFERROR('Price History'!G3+(INDEX('Price History'!G:G,MATCH(9.99E+307,'Returns (Calc)'!$A:$A)+1)-'Price History'!G3)*(ROW()-3)/(MATCH(9.99E+307,'Returns (Calc)'!$A:$A)-3),"")</f>
        <v>135.652641509434</v>
      </c>
      <c r="AC99" s="155" t="n">
        <f aca="false">IFERROR('Price History'!H3+(INDEX('Price History'!H:H,MATCH(9.99E+307,'Returns (Calc)'!$A:$A)+1)-'Price History'!H3)*(ROW()-3)/(MATCH(9.99E+307,'Returns (Calc)'!$A:$A)-3),"")</f>
        <v>648.666226415094</v>
      </c>
      <c r="AD99" s="155" t="n">
        <f aca="false">IFERROR('Price History'!I3+(INDEX('Price History'!I:I,MATCH(9.99E+307,'Returns (Calc)'!$A:$A)+1)-'Price History'!I3)*(ROW()-3)/(MATCH(9.99E+307,'Returns (Calc)'!$A:$A)-3),"")</f>
        <v>155.776037735849</v>
      </c>
      <c r="AE99" s="155" t="n">
        <f aca="false">IFERROR('Price History'!J3+(INDEX('Price History'!J:J,MATCH(9.99E+307,'Returns (Calc)'!$A:$A)+1)-'Price History'!J3)*(ROW()-3)/(MATCH(9.99E+307,'Returns (Calc)'!$A:$A)-3),"")</f>
        <v>122.496603773585</v>
      </c>
      <c r="AF99" s="155" t="n">
        <f aca="false">IFERROR('Price History'!K3+(INDEX('Price History'!K:K,MATCH(9.99E+307,'Returns (Calc)'!$A:$A)+1)-'Price History'!K3)*(ROW()-3)/(MATCH(9.99E+307,'Returns (Calc)'!$A:$A)-3),"")</f>
        <v>132.293018867925</v>
      </c>
      <c r="AG99" s="155" t="n">
        <f aca="false">IFERROR('Price History'!L3+(INDEX('Price History'!L:L,MATCH(9.99E+307,'Returns (Calc)'!$A:$A)+1)-'Price History'!L3)*(ROW()-3)/(MATCH(9.99E+307,'Returns (Calc)'!$A:$A)-3),"")</f>
        <v>307.673018867925</v>
      </c>
      <c r="AH99" s="155" t="n">
        <f aca="false">IFERROR('Price History'!M3+(INDEX('Price History'!M:M,MATCH(9.99E+307,'Returns (Calc)'!$A:$A)+1)-'Price History'!M3)*(ROW()-3)/(MATCH(9.99E+307,'Returns (Calc)'!$A:$A)-3),"")</f>
        <v>161.648679245283</v>
      </c>
      <c r="AI99" s="155" t="n">
        <f aca="false">IFERROR('Price History'!N3+(INDEX('Price History'!N:N,MATCH(9.99E+307,'Returns (Calc)'!$A:$A)+1)-'Price History'!N3)*(ROW()-3)/(MATCH(9.99E+307,'Returns (Calc)'!$A:$A)-3),"")</f>
        <v>446.216226415094</v>
      </c>
      <c r="AJ99" s="155" t="n">
        <f aca="false">IFERROR('Price History'!O3+(INDEX('Price History'!O:O,MATCH(9.99E+307,'Returns (Calc)'!$A:$A)+1)-'Price History'!O3)*(ROW()-3)/(MATCH(9.99E+307,'Returns (Calc)'!$A:$A)-3),"")</f>
        <v>102.075283018868</v>
      </c>
      <c r="AK99" s="155" t="n">
        <f aca="false">IFERROR('Price History'!Q3+(INDEX('Price History'!Q:Q,MATCH(9.99E+307,'Returns (Calc)'!$A:$A)+1)-'Price History'!Q3)*(ROW()-3)/(MATCH(9.99E+307,'Returns (Calc)'!$A:$A)-3),"")</f>
        <v>42.2460377358491</v>
      </c>
      <c r="AL99" s="155" t="n">
        <f aca="false">IFERROR('Price History'!R3+(INDEX('Price History'!R:R,MATCH(9.99E+307,'Returns (Calc)'!$A:$A)+1)-'Price History'!R3)*(ROW()-3)/(MATCH(9.99E+307,'Returns (Calc)'!$A:$A)-3),"")</f>
        <v>50.5464150943396</v>
      </c>
      <c r="AM99" s="155" t="n">
        <f aca="false">IFERROR('Price History'!S3+(INDEX('Price History'!S:S,MATCH(9.99E+307,'Returns (Calc)'!$A:$A)+1)-'Price History'!S3)*(ROW()-3)/(MATCH(9.99E+307,'Returns (Calc)'!$A:$A)-3),"")</f>
        <v>114.100943396226</v>
      </c>
      <c r="AN99" s="155" t="n">
        <f aca="false">IFERROR('Price History'!T3+(INDEX('Price History'!T:T,MATCH(9.99E+307,'Returns (Calc)'!$A:$A)+1)-'Price History'!T3)*(ROW()-3)/(MATCH(9.99E+307,'Returns (Calc)'!$A:$A)-3),"")</f>
        <v>41.8843396226415</v>
      </c>
      <c r="AO99" s="156" t="n">
        <f aca="false">IFERROR('Price History'!V3+(INDEX('Price History'!V:V,MATCH(9.99E+307,'Returns (Calc)'!$A:$A)+1)-'Price History'!V3)*(ROW()-3)/(MATCH(9.99E+307,'Returns (Calc)'!$A:$A)-3),"")</f>
        <v>326.087358490566</v>
      </c>
      <c r="AP99" s="154" t="n">
        <f aca="false">IFERROR(IF(OR(NOT(ISNUMBER('Price History'!W100)),NOT(ISNUMBER('Price History'!W99)),'Price History'!W99=0),"",'Price History'!W100/'Price History'!W99-1),"")</f>
        <v>0.0141556354732573</v>
      </c>
      <c r="AQ99" s="154" t="str">
        <f aca="false">IFERROR(IF(OR(NOT(ISNUMBER('Price History'!X100)),NOT(ISNUMBER('Price History'!X99)),'Price History'!X99=0),"",'Price History'!X100/'Price History'!X99-1),"")</f>
        <v/>
      </c>
      <c r="AR99" s="154" t="n">
        <f aca="false">IFERROR(IF(OR(NOT(ISNUMBER('Price History'!Y100)),NOT(ISNUMBER('Price History'!Y99)),'Price History'!Y99=0),"",'Price History'!Y100/'Price History'!Y99-1),"")</f>
        <v>0.00620155038759696</v>
      </c>
      <c r="AS99" s="154" t="n">
        <f aca="false">IFERROR(IF(OR(NOT(ISNUMBER('Price History'!Z100)),NOT(ISNUMBER('Price History'!Z99)),'Price History'!Z99=0),"",'Price History'!Z100/'Price History'!Z99-1),"")</f>
        <v>0.0316204022329281</v>
      </c>
      <c r="AT99" s="154" t="n">
        <f aca="false">IFERROR(IF(OR(NOT(ISNUMBER('Price History'!AA100)),NOT(ISNUMBER('Price History'!AA99)),'Price History'!AA99=0),"",'Price History'!AA100/'Price History'!AA99-1),"")</f>
        <v>-0.0237347006285148</v>
      </c>
      <c r="AU99" s="154" t="n">
        <f aca="false">IFERROR(IF(OR(NOT(ISNUMBER('Price History'!AB100)),NOT(ISNUMBER('Price History'!AB99)),'Price History'!AB99=0),"",'Price History'!AB100/'Price History'!AB99-1),"")</f>
        <v>0.0287647454745121</v>
      </c>
    </row>
    <row r="100" customFormat="false" ht="15" hidden="false" customHeight="true" outlineLevel="0" collapsed="false">
      <c r="A100" s="152" t="n">
        <f aca="false">IF('Price History'!A101="","",'Price History'!A101)</f>
        <v>45870</v>
      </c>
      <c r="B100" s="153" t="n">
        <f aca="false">IFERROR(IF(OR(NOT(ISNUMBER('Price History'!B101)),NOT(ISNUMBER('Price History'!B100)),'Price History'!B100=0),"",'Price History'!B101/'Price History'!B100-1),"")</f>
        <v>-0.06187624750499</v>
      </c>
      <c r="C100" s="153" t="n">
        <f aca="false">IFERROR(IF(OR(NOT(ISNUMBER('Price History'!C101)),NOT(ISNUMBER('Price History'!C100)),'Price History'!C100=0),"",'Price History'!C101/'Price History'!C100-1),"")</f>
        <v>0.0287889394469723</v>
      </c>
      <c r="D100" s="153" t="n">
        <f aca="false">IFERROR(IF(OR(NOT(ISNUMBER('Price History'!D101)),NOT(ISNUMBER('Price History'!D100)),'Price History'!D100=0),"",'Price History'!D101/'Price History'!D100-1),"")</f>
        <v>-0.0276670308310041</v>
      </c>
      <c r="E100" s="153" t="n">
        <f aca="false">IFERROR(IF(OR(NOT(ISNUMBER('Price History'!E101)),NOT(ISNUMBER('Price History'!E100)),'Price History'!E100=0),"",'Price History'!E101/'Price History'!E100-1),"")</f>
        <v>-0.00532081377151805</v>
      </c>
      <c r="F100" s="153" t="n">
        <f aca="false">IFERROR(IF(OR(NOT(ISNUMBER('Price History'!F101)),NOT(ISNUMBER('Price History'!F100)),'Price History'!F100=0),"",'Price History'!F101/'Price History'!F100-1),"")</f>
        <v>-0.0453923747649171</v>
      </c>
      <c r="G100" s="153" t="n">
        <f aca="false">IFERROR(IF(OR(NOT(ISNUMBER('Price History'!G101)),NOT(ISNUMBER('Price History'!G100)),'Price History'!G100=0),"",'Price History'!G101/'Price History'!G100-1),"")</f>
        <v>-0.0170892438288842</v>
      </c>
      <c r="H100" s="153" t="n">
        <f aca="false">IFERROR(IF(OR(NOT(ISNUMBER('Price History'!H101)),NOT(ISNUMBER('Price History'!H100)),'Price History'!H100=0),"",'Price History'!H101/'Price History'!H100-1),"")</f>
        <v>-0.0573460568959309</v>
      </c>
      <c r="I100" s="153" t="n">
        <f aca="false">IFERROR(IF(OR(NOT(ISNUMBER('Price History'!I101)),NOT(ISNUMBER('Price History'!I100)),'Price History'!I100=0),"",'Price History'!I101/'Price History'!I100-1),"")</f>
        <v>0.00127108851398194</v>
      </c>
      <c r="J100" s="153" t="n">
        <f aca="false">IFERROR(IF(OR(NOT(ISNUMBER('Price History'!J101)),NOT(ISNUMBER('Price History'!J100)),'Price History'!J100=0),"",'Price History'!J101/'Price History'!J100-1),"")</f>
        <v>-0.0487781866213795</v>
      </c>
      <c r="K100" s="153" t="n">
        <f aca="false">IFERROR(IF(OR(NOT(ISNUMBER('Price History'!K101)),NOT(ISNUMBER('Price History'!K100)),'Price History'!K100=0),"",'Price History'!K101/'Price History'!K100-1),"")</f>
        <v>-0.0285264483627204</v>
      </c>
      <c r="L100" s="153" t="n">
        <f aca="false">IFERROR(IF(OR(NOT(ISNUMBER('Price History'!L101)),NOT(ISNUMBER('Price History'!L100)),'Price History'!L100=0),"",'Price History'!L101/'Price History'!L100-1),"")</f>
        <v>-0.0423099149673905</v>
      </c>
      <c r="M100" s="153" t="n">
        <f aca="false">IFERROR(IF(OR(NOT(ISNUMBER('Price History'!M101)),NOT(ISNUMBER('Price History'!M100)),'Price History'!M100=0),"",'Price History'!M101/'Price History'!M100-1),"")</f>
        <v>0.0299366304902033</v>
      </c>
      <c r="N100" s="153" t="n">
        <f aca="false">IFERROR(IF(OR(NOT(ISNUMBER('Price History'!N101)),NOT(ISNUMBER('Price History'!N100)),'Price History'!N100=0),"",'Price History'!N101/'Price History'!N100-1),"")</f>
        <v>-0.0160119237730224</v>
      </c>
      <c r="O100" s="153" t="n">
        <f aca="false">IFERROR(IF(OR(NOT(ISNUMBER('Price History'!O101)),NOT(ISNUMBER('Price History'!O100)),'Price History'!O100=0),"",'Price History'!O101/'Price History'!O100-1),"")</f>
        <v>-0.0502781343602911</v>
      </c>
      <c r="P100" s="153" t="n">
        <f aca="false">IFERROR(IF(OR(NOT(ISNUMBER('Price History'!P101)),NOT(ISNUMBER('Price History'!P100)),'Price History'!P100=0),"",'Price History'!P101/'Price History'!P100-1),"")</f>
        <v>-0.0300393462469734</v>
      </c>
      <c r="Q100" s="153" t="n">
        <f aca="false">IFERROR(IF(OR(NOT(ISNUMBER('Price History'!Q101)),NOT(ISNUMBER('Price History'!Q100)),'Price History'!Q100=0),"",'Price History'!Q101/'Price History'!Q100-1),"")</f>
        <v>-0.0104895104895105</v>
      </c>
      <c r="R100" s="153" t="n">
        <f aca="false">IFERROR(IF(OR(NOT(ISNUMBER('Price History'!R101)),NOT(ISNUMBER('Price History'!R100)),'Price History'!R100=0),"",'Price History'!R101/'Price History'!R100-1),"")</f>
        <v>-0.0152528207271208</v>
      </c>
      <c r="S100" s="153" t="n">
        <f aca="false">IFERROR(IF(OR(NOT(ISNUMBER('Price History'!S101)),NOT(ISNUMBER('Price History'!S100)),'Price History'!S100=0),"",'Price History'!S101/'Price History'!S100-1),"")</f>
        <v>-0.0157169198349285</v>
      </c>
      <c r="T100" s="153" t="n">
        <f aca="false">IFERROR(IF(OR(NOT(ISNUMBER('Price History'!T101)),NOT(ISNUMBER('Price History'!T100)),'Price History'!T100=0),"",'Price History'!T101/'Price History'!T100-1),"")</f>
        <v>-0.0417495029821073</v>
      </c>
      <c r="U100" s="153" t="n">
        <f aca="false">IFERROR(IF(OR(NOT(ISNUMBER('Price History'!U101)),NOT(ISNUMBER('Price History'!U100)),'Price History'!U100=0),"",'Price History'!U101/'Price History'!U100-1),"")</f>
        <v>-0.0344299923488907</v>
      </c>
      <c r="V100" s="154" t="n">
        <f aca="false">IFERROR(IF(OR(NOT(ISNUMBER('Price History'!V101)),NOT(ISNUMBER('Price History'!V100)),'Price History'!V100=0),"",'Price History'!V101/'Price History'!V100-1),"")</f>
        <v>-0.0495489125823694</v>
      </c>
      <c r="W100" s="155" t="n">
        <f aca="false">IFERROR('Price History'!B3+(INDEX('Price History'!B:B,MATCH(9.99E+307,'Returns (Calc)'!$A:$A)+1)-'Price History'!B3)*(ROW()-3)/(MATCH(9.99E+307,'Returns (Calc)'!$A:$A)-3),"")</f>
        <v>354.033773584906</v>
      </c>
      <c r="X100" s="155" t="n">
        <f aca="false">IFERROR('Price History'!C3+(INDEX('Price History'!C:C,MATCH(9.99E+307,'Returns (Calc)'!$A:$A)+1)-'Price History'!C3)*(ROW()-3)/(MATCH(9.99E+307,'Returns (Calc)'!$A:$A)-3),"")</f>
        <v>150.232327044025</v>
      </c>
      <c r="Y100" s="155" t="n">
        <f aca="false">IFERROR('Price History'!D3+(INDEX('Price History'!D:D,MATCH(9.99E+307,'Returns (Calc)'!$A:$A)+1)-'Price History'!D3)*(ROW()-3)/(MATCH(9.99E+307,'Returns (Calc)'!$A:$A)-3),"")</f>
        <v>1313.06666666667</v>
      </c>
      <c r="Z100" s="155" t="n">
        <f aca="false">IFERROR('Price History'!E3+(INDEX('Price History'!E:E,MATCH(9.99E+307,'Returns (Calc)'!$A:$A)+1)-'Price History'!E3)*(ROW()-3)/(MATCH(9.99E+307,'Returns (Calc)'!$A:$A)-3),"")</f>
        <v>252.536981132075</v>
      </c>
      <c r="AA100" s="155" t="n">
        <f aca="false">IFERROR('Price History'!F3+(INDEX('Price History'!F:F,MATCH(9.99E+307,'Returns (Calc)'!$A:$A)+1)-'Price History'!F3)*(ROW()-3)/(MATCH(9.99E+307,'Returns (Calc)'!$A:$A)-3),"")</f>
        <v>183.919496855346</v>
      </c>
      <c r="AB100" s="155" t="n">
        <f aca="false">IFERROR('Price History'!G3+(INDEX('Price History'!G:G,MATCH(9.99E+307,'Returns (Calc)'!$A:$A)+1)-'Price History'!G3)*(ROW()-3)/(MATCH(9.99E+307,'Returns (Calc)'!$A:$A)-3),"")</f>
        <v>136.603710691824</v>
      </c>
      <c r="AC100" s="155" t="n">
        <f aca="false">IFERROR('Price History'!H3+(INDEX('Price History'!H:H,MATCH(9.99E+307,'Returns (Calc)'!$A:$A)+1)-'Price History'!H3)*(ROW()-3)/(MATCH(9.99E+307,'Returns (Calc)'!$A:$A)-3),"")</f>
        <v>654.703270440252</v>
      </c>
      <c r="AD100" s="155" t="n">
        <f aca="false">IFERROR('Price History'!I3+(INDEX('Price History'!I:I,MATCH(9.99E+307,'Returns (Calc)'!$A:$A)+1)-'Price History'!I3)*(ROW()-3)/(MATCH(9.99E+307,'Returns (Calc)'!$A:$A)-3),"")</f>
        <v>156.942767295597</v>
      </c>
      <c r="AE100" s="155" t="n">
        <f aca="false">IFERROR('Price History'!J3+(INDEX('Price History'!J:J,MATCH(9.99E+307,'Returns (Calc)'!$A:$A)+1)-'Price History'!J3)*(ROW()-3)/(MATCH(9.99E+307,'Returns (Calc)'!$A:$A)-3),"")</f>
        <v>122.607610062893</v>
      </c>
      <c r="AF100" s="155" t="n">
        <f aca="false">IFERROR('Price History'!K3+(INDEX('Price History'!K:K,MATCH(9.99E+307,'Returns (Calc)'!$A:$A)+1)-'Price History'!K3)*(ROW()-3)/(MATCH(9.99E+307,'Returns (Calc)'!$A:$A)-3),"")</f>
        <v>133.511383647799</v>
      </c>
      <c r="AG100" s="155" t="n">
        <f aca="false">IFERROR('Price History'!L3+(INDEX('Price History'!L:L,MATCH(9.99E+307,'Returns (Calc)'!$A:$A)+1)-'Price History'!L3)*(ROW()-3)/(MATCH(9.99E+307,'Returns (Calc)'!$A:$A)-3),"")</f>
        <v>309.984716981132</v>
      </c>
      <c r="AH100" s="155" t="n">
        <f aca="false">IFERROR('Price History'!M3+(INDEX('Price History'!M:M,MATCH(9.99E+307,'Returns (Calc)'!$A:$A)+1)-'Price History'!M3)*(ROW()-3)/(MATCH(9.99E+307,'Returns (Calc)'!$A:$A)-3),"")</f>
        <v>162.936477987421</v>
      </c>
      <c r="AI100" s="155" t="n">
        <f aca="false">IFERROR('Price History'!N3+(INDEX('Price History'!N:N,MATCH(9.99E+307,'Returns (Calc)'!$A:$A)+1)-'Price History'!N3)*(ROW()-3)/(MATCH(9.99E+307,'Returns (Calc)'!$A:$A)-3),"")</f>
        <v>447.229937106918</v>
      </c>
      <c r="AJ100" s="155" t="n">
        <f aca="false">IFERROR('Price History'!O3+(INDEX('Price History'!O:O,MATCH(9.99E+307,'Returns (Calc)'!$A:$A)+1)-'Price History'!O3)*(ROW()-3)/(MATCH(9.99E+307,'Returns (Calc)'!$A:$A)-3),"")</f>
        <v>102.354088050314</v>
      </c>
      <c r="AK100" s="155" t="n">
        <f aca="false">IFERROR('Price History'!Q3+(INDEX('Price History'!Q:Q,MATCH(9.99E+307,'Returns (Calc)'!$A:$A)+1)-'Price History'!Q3)*(ROW()-3)/(MATCH(9.99E+307,'Returns (Calc)'!$A:$A)-3),"")</f>
        <v>42.6861006289308</v>
      </c>
      <c r="AL100" s="155" t="n">
        <f aca="false">IFERROR('Price History'!R3+(INDEX('Price History'!R:R,MATCH(9.99E+307,'Returns (Calc)'!$A:$A)+1)-'Price History'!R3)*(ROW()-3)/(MATCH(9.99E+307,'Returns (Calc)'!$A:$A)-3),"")</f>
        <v>50.7137735849057</v>
      </c>
      <c r="AM100" s="155" t="n">
        <f aca="false">IFERROR('Price History'!S3+(INDEX('Price History'!S:S,MATCH(9.99E+307,'Returns (Calc)'!$A:$A)+1)-'Price History'!S3)*(ROW()-3)/(MATCH(9.99E+307,'Returns (Calc)'!$A:$A)-3),"")</f>
        <v>114.689182389937</v>
      </c>
      <c r="AN100" s="155" t="n">
        <f aca="false">IFERROR('Price History'!T3+(INDEX('Price History'!T:T,MATCH(9.99E+307,'Returns (Calc)'!$A:$A)+1)-'Price History'!T3)*(ROW()-3)/(MATCH(9.99E+307,'Returns (Calc)'!$A:$A)-3),"")</f>
        <v>42.0582389937107</v>
      </c>
      <c r="AO100" s="156" t="n">
        <f aca="false">IFERROR('Price History'!V3+(INDEX('Price History'!V:V,MATCH(9.99E+307,'Returns (Calc)'!$A:$A)+1)-'Price History'!V3)*(ROW()-3)/(MATCH(9.99E+307,'Returns (Calc)'!$A:$A)-3),"")</f>
        <v>327.029622641509</v>
      </c>
      <c r="AP100" s="154" t="n">
        <f aca="false">IFERROR(IF(OR(NOT(ISNUMBER('Price History'!W101)),NOT(ISNUMBER('Price History'!W100)),'Price History'!W100=0),"",'Price History'!W101/'Price History'!W100-1),"")</f>
        <v>-0.0270861626678739</v>
      </c>
      <c r="AQ100" s="154" t="str">
        <f aca="false">IFERROR(IF(OR(NOT(ISNUMBER('Price History'!X101)),NOT(ISNUMBER('Price History'!X100)),'Price History'!X100=0),"",'Price History'!X101/'Price History'!X100-1),"")</f>
        <v/>
      </c>
      <c r="AR100" s="154" t="n">
        <f aca="false">IFERROR(IF(OR(NOT(ISNUMBER('Price History'!Y101)),NOT(ISNUMBER('Price History'!Y100)),'Price History'!Y100=0),"",'Price History'!Y101/'Price History'!Y100-1),"")</f>
        <v>-0.0236902927580894</v>
      </c>
      <c r="AS100" s="154" t="n">
        <f aca="false">IFERROR(IF(OR(NOT(ISNUMBER('Price History'!Z101)),NOT(ISNUMBER('Price History'!Z100)),'Price History'!Z100=0),"",'Price History'!Z101/'Price History'!Z100-1),"")</f>
        <v>-0.00815388606797374</v>
      </c>
      <c r="AT100" s="154" t="n">
        <f aca="false">IFERROR(IF(OR(NOT(ISNUMBER('Price History'!AA101)),NOT(ISNUMBER('Price History'!AA100)),'Price History'!AA100=0),"",'Price History'!AA101/'Price History'!AA100-1),"")</f>
        <v>-0.0185514612452351</v>
      </c>
      <c r="AU100" s="154" t="n">
        <f aca="false">IFERROR(IF(OR(NOT(ISNUMBER('Price History'!AB101)),NOT(ISNUMBER('Price History'!AB100)),'Price History'!AB100=0),"",'Price History'!AB101/'Price History'!AB100-1),"")</f>
        <v>-0.0311972728211839</v>
      </c>
    </row>
    <row r="101" customFormat="false" ht="15" hidden="false" customHeight="true" outlineLevel="0" collapsed="false">
      <c r="A101" s="152" t="n">
        <f aca="false">IF('Price History'!A102="","",'Price History'!A102)</f>
        <v>45877</v>
      </c>
      <c r="B101" s="153" t="n">
        <f aca="false">IFERROR(IF(OR(NOT(ISNUMBER('Price History'!B102)),NOT(ISNUMBER('Price History'!B101)),'Price History'!B101=0),"",'Price History'!B102/'Price History'!B101-1),"")</f>
        <v>-0.0194077055779184</v>
      </c>
      <c r="C101" s="153" t="n">
        <f aca="false">IFERROR(IF(OR(NOT(ISNUMBER('Price History'!C102)),NOT(ISNUMBER('Price History'!C101)),'Price History'!C101=0),"",'Price History'!C102/'Price History'!C101-1),"")</f>
        <v>0.183805392532109</v>
      </c>
      <c r="D101" s="153" t="n">
        <f aca="false">IFERROR(IF(OR(NOT(ISNUMBER('Price History'!D102)),NOT(ISNUMBER('Price History'!D101)),'Price History'!D101=0),"",'Price History'!D102/'Price History'!D101-1),"")</f>
        <v>0.0471027710087406</v>
      </c>
      <c r="E101" s="153" t="n">
        <f aca="false">IFERROR(IF(OR(NOT(ISNUMBER('Price History'!E102)),NOT(ISNUMBER('Price History'!E101)),'Price History'!E101=0),"",'Price History'!E102/'Price History'!E101-1),"")</f>
        <v>0.0565694706663871</v>
      </c>
      <c r="F101" s="153" t="n">
        <f aca="false">IFERROR(IF(OR(NOT(ISNUMBER('Price History'!F102)),NOT(ISNUMBER('Price History'!F101)),'Price History'!F101=0),"",'Price History'!F102/'Price History'!F101-1),"")</f>
        <v>-0.0497000089549565</v>
      </c>
      <c r="G101" s="153" t="n">
        <f aca="false">IFERROR(IF(OR(NOT(ISNUMBER('Price History'!G102)),NOT(ISNUMBER('Price History'!G101)),'Price History'!G101=0),"",'Price History'!G102/'Price History'!G101-1),"")</f>
        <v>0.0317045454545455</v>
      </c>
      <c r="H101" s="153" t="n">
        <f aca="false">IFERROR(IF(OR(NOT(ISNUMBER('Price History'!H102)),NOT(ISNUMBER('Price History'!H101)),'Price History'!H101=0),"",'Price History'!H102/'Price History'!H101-1),"")</f>
        <v>0.133607105338554</v>
      </c>
      <c r="I101" s="153" t="n">
        <f aca="false">IFERROR(IF(OR(NOT(ISNUMBER('Price History'!I102)),NOT(ISNUMBER('Price History'!I101)),'Price History'!I101=0),"",'Price History'!I102/'Price History'!I101-1),"")</f>
        <v>0.0516445470282747</v>
      </c>
      <c r="J101" s="153" t="n">
        <f aca="false">IFERROR(IF(OR(NOT(ISNUMBER('Price History'!J102)),NOT(ISNUMBER('Price History'!J101)),'Price History'!J101=0),"",'Price History'!J102/'Price History'!J101-1),"")</f>
        <v>0.00733981352906188</v>
      </c>
      <c r="K101" s="153" t="n">
        <f aca="false">IFERROR(IF(OR(NOT(ISNUMBER('Price History'!K102)),NOT(ISNUMBER('Price History'!K101)),'Price History'!K101=0),"",'Price History'!K102/'Price History'!K101-1),"")</f>
        <v>0.211901212160498</v>
      </c>
      <c r="L101" s="153" t="n">
        <f aca="false">IFERROR(IF(OR(NOT(ISNUMBER('Price History'!L102)),NOT(ISNUMBER('Price History'!L101)),'Price History'!L101=0),"",'Price History'!L102/'Price History'!L101-1),"")</f>
        <v>0.0281453385629931</v>
      </c>
      <c r="M101" s="153" t="n">
        <f aca="false">IFERROR(IF(OR(NOT(ISNUMBER('Price History'!M102)),NOT(ISNUMBER('Price History'!M101)),'Price History'!M101=0),"",'Price History'!M102/'Price History'!M101-1),"")</f>
        <v>-0.0117397454031117</v>
      </c>
      <c r="N101" s="153" t="n">
        <f aca="false">IFERROR(IF(OR(NOT(ISNUMBER('Price History'!N102)),NOT(ISNUMBER('Price History'!N101)),'Price History'!N101=0),"",'Price History'!N102/'Price History'!N101-1),"")</f>
        <v>-0.206846558327743</v>
      </c>
      <c r="O101" s="153" t="n">
        <f aca="false">IFERROR(IF(OR(NOT(ISNUMBER('Price History'!O102)),NOT(ISNUMBER('Price History'!O101)),'Price History'!O101=0),"",'Price History'!O102/'Price History'!O101-1),"")</f>
        <v>0.0233160621761657</v>
      </c>
      <c r="P101" s="153" t="n">
        <f aca="false">IFERROR(IF(OR(NOT(ISNUMBER('Price History'!P102)),NOT(ISNUMBER('Price History'!P101)),'Price History'!P101=0),"",'Price History'!P102/'Price History'!P101-1),"")</f>
        <v>0.0161479054528433</v>
      </c>
      <c r="Q101" s="153" t="n">
        <f aca="false">IFERROR(IF(OR(NOT(ISNUMBER('Price History'!Q102)),NOT(ISNUMBER('Price History'!Q101)),'Price History'!Q101=0),"",'Price History'!Q102/'Price History'!Q101-1),"")</f>
        <v>0.0115644073241246</v>
      </c>
      <c r="R101" s="153" t="n">
        <f aca="false">IFERROR(IF(OR(NOT(ISNUMBER('Price History'!R102)),NOT(ISNUMBER('Price History'!R101)),'Price History'!R101=0),"",'Price History'!R102/'Price History'!R101-1),"")</f>
        <v>0.028219817525992</v>
      </c>
      <c r="S101" s="153" t="n">
        <f aca="false">IFERROR(IF(OR(NOT(ISNUMBER('Price History'!S102)),NOT(ISNUMBER('Price History'!S101)),'Price History'!S101=0),"",'Price History'!S102/'Price History'!S101-1),"")</f>
        <v>0.0349687778768957</v>
      </c>
      <c r="T101" s="153" t="n">
        <f aca="false">IFERROR(IF(OR(NOT(ISNUMBER('Price History'!T102)),NOT(ISNUMBER('Price History'!T101)),'Price History'!T101=0),"",'Price History'!T102/'Price History'!T101-1),"")</f>
        <v>0.010077059869591</v>
      </c>
      <c r="U101" s="153" t="n">
        <f aca="false">IFERROR(IF(OR(NOT(ISNUMBER('Price History'!U102)),NOT(ISNUMBER('Price History'!U101)),'Price History'!U101=0),"",'Price History'!U102/'Price History'!U101-1),"")</f>
        <v>0.0190174326465928</v>
      </c>
      <c r="V101" s="154" t="n">
        <f aca="false">IFERROR(IF(OR(NOT(ISNUMBER('Price History'!V102)),NOT(ISNUMBER('Price History'!V101)),'Price History'!V101=0),"",'Price History'!V102/'Price History'!V101-1),"")</f>
        <v>-0.00758770494242278</v>
      </c>
      <c r="W101" s="155" t="n">
        <f aca="false">IFERROR('Price History'!B3+(INDEX('Price History'!B:B,MATCH(9.99E+307,'Returns (Calc)'!$A:$A)+1)-'Price History'!B3)*(ROW()-3)/(MATCH(9.99E+307,'Returns (Calc)'!$A:$A)-3),"")</f>
        <v>352.231132075472</v>
      </c>
      <c r="X101" s="155" t="n">
        <f aca="false">IFERROR('Price History'!C3+(INDEX('Price History'!C:C,MATCH(9.99E+307,'Returns (Calc)'!$A:$A)+1)-'Price History'!C3)*(ROW()-3)/(MATCH(9.99E+307,'Returns (Calc)'!$A:$A)-3),"")</f>
        <v>151.305031446541</v>
      </c>
      <c r="Y101" s="155" t="n">
        <f aca="false">IFERROR('Price History'!D3+(INDEX('Price History'!D:D,MATCH(9.99E+307,'Returns (Calc)'!$A:$A)+1)-'Price History'!D3)*(ROW()-3)/(MATCH(9.99E+307,'Returns (Calc)'!$A:$A)-3),"")</f>
        <v>1320.60333333333</v>
      </c>
      <c r="Z101" s="155" t="n">
        <f aca="false">IFERROR('Price History'!E3+(INDEX('Price History'!E:E,MATCH(9.99E+307,'Returns (Calc)'!$A:$A)+1)-'Price History'!E3)*(ROW()-3)/(MATCH(9.99E+307,'Returns (Calc)'!$A:$A)-3),"")</f>
        <v>254.295094339623</v>
      </c>
      <c r="AA101" s="155" t="n">
        <f aca="false">IFERROR('Price History'!F3+(INDEX('Price History'!F:F,MATCH(9.99E+307,'Returns (Calc)'!$A:$A)+1)-'Price History'!F3)*(ROW()-3)/(MATCH(9.99E+307,'Returns (Calc)'!$A:$A)-3),"")</f>
        <v>185.389182389937</v>
      </c>
      <c r="AB101" s="155" t="n">
        <f aca="false">IFERROR('Price History'!G3+(INDEX('Price History'!G:G,MATCH(9.99E+307,'Returns (Calc)'!$A:$A)+1)-'Price History'!G3)*(ROW()-3)/(MATCH(9.99E+307,'Returns (Calc)'!$A:$A)-3),"")</f>
        <v>137.554779874214</v>
      </c>
      <c r="AC101" s="155" t="n">
        <f aca="false">IFERROR('Price History'!H3+(INDEX('Price History'!H:H,MATCH(9.99E+307,'Returns (Calc)'!$A:$A)+1)-'Price History'!H3)*(ROW()-3)/(MATCH(9.99E+307,'Returns (Calc)'!$A:$A)-3),"")</f>
        <v>660.740314465409</v>
      </c>
      <c r="AD101" s="155" t="n">
        <f aca="false">IFERROR('Price History'!I3+(INDEX('Price History'!I:I,MATCH(9.99E+307,'Returns (Calc)'!$A:$A)+1)-'Price History'!I3)*(ROW()-3)/(MATCH(9.99E+307,'Returns (Calc)'!$A:$A)-3),"")</f>
        <v>158.109496855346</v>
      </c>
      <c r="AE101" s="155" t="n">
        <f aca="false">IFERROR('Price History'!J3+(INDEX('Price History'!J:J,MATCH(9.99E+307,'Returns (Calc)'!$A:$A)+1)-'Price History'!J3)*(ROW()-3)/(MATCH(9.99E+307,'Returns (Calc)'!$A:$A)-3),"")</f>
        <v>122.718616352201</v>
      </c>
      <c r="AF101" s="155" t="n">
        <f aca="false">IFERROR('Price History'!K3+(INDEX('Price History'!K:K,MATCH(9.99E+307,'Returns (Calc)'!$A:$A)+1)-'Price History'!K3)*(ROW()-3)/(MATCH(9.99E+307,'Returns (Calc)'!$A:$A)-3),"")</f>
        <v>134.729748427673</v>
      </c>
      <c r="AG101" s="155" t="n">
        <f aca="false">IFERROR('Price History'!L3+(INDEX('Price History'!L:L,MATCH(9.99E+307,'Returns (Calc)'!$A:$A)+1)-'Price History'!L3)*(ROW()-3)/(MATCH(9.99E+307,'Returns (Calc)'!$A:$A)-3),"")</f>
        <v>312.29641509434</v>
      </c>
      <c r="AH101" s="155" t="n">
        <f aca="false">IFERROR('Price History'!M3+(INDEX('Price History'!M:M,MATCH(9.99E+307,'Returns (Calc)'!$A:$A)+1)-'Price History'!M3)*(ROW()-3)/(MATCH(9.99E+307,'Returns (Calc)'!$A:$A)-3),"")</f>
        <v>164.22427672956</v>
      </c>
      <c r="AI101" s="155" t="n">
        <f aca="false">IFERROR('Price History'!N3+(INDEX('Price History'!N:N,MATCH(9.99E+307,'Returns (Calc)'!$A:$A)+1)-'Price History'!N3)*(ROW()-3)/(MATCH(9.99E+307,'Returns (Calc)'!$A:$A)-3),"")</f>
        <v>448.243647798742</v>
      </c>
      <c r="AJ101" s="155" t="n">
        <f aca="false">IFERROR('Price History'!O3+(INDEX('Price History'!O:O,MATCH(9.99E+307,'Returns (Calc)'!$A:$A)+1)-'Price History'!O3)*(ROW()-3)/(MATCH(9.99E+307,'Returns (Calc)'!$A:$A)-3),"")</f>
        <v>102.632893081761</v>
      </c>
      <c r="AK101" s="155" t="n">
        <f aca="false">IFERROR('Price History'!Q3+(INDEX('Price History'!Q:Q,MATCH(9.99E+307,'Returns (Calc)'!$A:$A)+1)-'Price History'!Q3)*(ROW()-3)/(MATCH(9.99E+307,'Returns (Calc)'!$A:$A)-3),"")</f>
        <v>43.1261635220126</v>
      </c>
      <c r="AL101" s="155" t="n">
        <f aca="false">IFERROR('Price History'!R3+(INDEX('Price History'!R:R,MATCH(9.99E+307,'Returns (Calc)'!$A:$A)+1)-'Price History'!R3)*(ROW()-3)/(MATCH(9.99E+307,'Returns (Calc)'!$A:$A)-3),"")</f>
        <v>50.8811320754717</v>
      </c>
      <c r="AM101" s="155" t="n">
        <f aca="false">IFERROR('Price History'!S3+(INDEX('Price History'!S:S,MATCH(9.99E+307,'Returns (Calc)'!$A:$A)+1)-'Price History'!S3)*(ROW()-3)/(MATCH(9.99E+307,'Returns (Calc)'!$A:$A)-3),"")</f>
        <v>115.277421383648</v>
      </c>
      <c r="AN101" s="155" t="n">
        <f aca="false">IFERROR('Price History'!T3+(INDEX('Price History'!T:T,MATCH(9.99E+307,'Returns (Calc)'!$A:$A)+1)-'Price History'!T3)*(ROW()-3)/(MATCH(9.99E+307,'Returns (Calc)'!$A:$A)-3),"")</f>
        <v>42.2321383647799</v>
      </c>
      <c r="AO101" s="156" t="n">
        <f aca="false">IFERROR('Price History'!V3+(INDEX('Price History'!V:V,MATCH(9.99E+307,'Returns (Calc)'!$A:$A)+1)-'Price History'!V3)*(ROW()-3)/(MATCH(9.99E+307,'Returns (Calc)'!$A:$A)-3),"")</f>
        <v>327.971886792453</v>
      </c>
      <c r="AP101" s="154" t="n">
        <f aca="false">IFERROR(IF(OR(NOT(ISNUMBER('Price History'!W102)),NOT(ISNUMBER('Price History'!W101)),'Price History'!W101=0),"",'Price History'!W102/'Price History'!W101-1),"")</f>
        <v>0.0183792167506787</v>
      </c>
      <c r="AQ101" s="154" t="str">
        <f aca="false">IFERROR(IF(OR(NOT(ISNUMBER('Price History'!X102)),NOT(ISNUMBER('Price History'!X101)),'Price History'!X101=0),"",'Price History'!X102/'Price History'!X101-1),"")</f>
        <v/>
      </c>
      <c r="AR101" s="154" t="n">
        <f aca="false">IFERROR(IF(OR(NOT(ISNUMBER('Price History'!Y102)),NOT(ISNUMBER('Price History'!Y101)),'Price History'!Y101=0),"",'Price History'!Y102/'Price History'!Y101-1),"")</f>
        <v>0.00808838035115422</v>
      </c>
      <c r="AS101" s="154" t="n">
        <f aca="false">IFERROR(IF(OR(NOT(ISNUMBER('Price History'!Z102)),NOT(ISNUMBER('Price History'!Z101)),'Price History'!Z101=0),"",'Price History'!Z102/'Price History'!Z101-1),"")</f>
        <v>0.0209259743656813</v>
      </c>
      <c r="AT101" s="154" t="n">
        <f aca="false">IFERROR(IF(OR(NOT(ISNUMBER('Price History'!AA102)),NOT(ISNUMBER('Price History'!AA101)),'Price History'!AA101=0),"",'Price History'!AA102/'Price History'!AA101-1),"")</f>
        <v>0.0457448644916278</v>
      </c>
      <c r="AU101" s="154" t="n">
        <f aca="false">IFERROR(IF(OR(NOT(ISNUMBER('Price History'!AB102)),NOT(ISNUMBER('Price History'!AB101)),'Price History'!AB101=0),"",'Price History'!AB102/'Price History'!AB101-1),"")</f>
        <v>0.00277234760973877</v>
      </c>
    </row>
    <row r="102" customFormat="false" ht="15" hidden="false" customHeight="true" outlineLevel="0" collapsed="false">
      <c r="A102" s="152" t="n">
        <f aca="false">IF('Price History'!A103="","",'Price History'!A103)</f>
        <v>45884</v>
      </c>
      <c r="B102" s="153" t="n">
        <f aca="false">IFERROR(IF(OR(NOT(ISNUMBER('Price History'!B103)),NOT(ISNUMBER('Price History'!B102)),'Price History'!B102=0),"",'Price History'!B103/'Price History'!B102-1),"")</f>
        <v>0.0404632751795924</v>
      </c>
      <c r="C102" s="153" t="n">
        <f aca="false">IFERROR(IF(OR(NOT(ISNUMBER('Price History'!C103)),NOT(ISNUMBER('Price History'!C102)),'Price History'!C102=0),"",'Price History'!C103/'Price History'!C102-1),"")</f>
        <v>-0.0135076878861905</v>
      </c>
      <c r="D102" s="153" t="n">
        <f aca="false">IFERROR(IF(OR(NOT(ISNUMBER('Price History'!D103)),NOT(ISNUMBER('Price History'!D102)),'Price History'!D102=0),"",'Price History'!D103/'Price History'!D102-1),"")</f>
        <v>0.0274669379450661</v>
      </c>
      <c r="E102" s="153" t="n">
        <f aca="false">IFERROR(IF(OR(NOT(ISNUMBER('Price History'!E103)),NOT(ISNUMBER('Price History'!E102)),'Price History'!E102=0),"",'Price History'!E103/'Price History'!E102-1),"")</f>
        <v>0.00450033090668445</v>
      </c>
      <c r="F102" s="153" t="n">
        <f aca="false">IFERROR(IF(OR(NOT(ISNUMBER('Price History'!F103)),NOT(ISNUMBER('Price History'!F102)),'Price History'!F102=0),"",'Price History'!F103/'Price History'!F102-1),"")</f>
        <v>0.00800980022615905</v>
      </c>
      <c r="G102" s="153" t="n">
        <f aca="false">IFERROR(IF(OR(NOT(ISNUMBER('Price History'!G103)),NOT(ISNUMBER('Price History'!G102)),'Price History'!G102=0),"",'Price History'!G103/'Price History'!G102-1),"")</f>
        <v>-0.0435069941623527</v>
      </c>
      <c r="H102" s="153" t="n">
        <f aca="false">IFERROR(IF(OR(NOT(ISNUMBER('Price History'!H103)),NOT(ISNUMBER('Price History'!H102)),'Price History'!H102=0),"",'Price History'!H103/'Price History'!H102-1),"")</f>
        <v>0.016680707666386</v>
      </c>
      <c r="I102" s="153" t="n">
        <f aca="false">IFERROR(IF(OR(NOT(ISNUMBER('Price History'!I103)),NOT(ISNUMBER('Price History'!I102)),'Price History'!I102=0),"",'Price History'!I103/'Price History'!I102-1),"")</f>
        <v>-0.0122908093278464</v>
      </c>
      <c r="J102" s="153" t="n">
        <f aca="false">IFERROR(IF(OR(NOT(ISNUMBER('Price History'!J103)),NOT(ISNUMBER('Price History'!J102)),'Price History'!J102=0),"",'Price History'!J103/'Price History'!J102-1),"")</f>
        <v>0.00856636471051608</v>
      </c>
      <c r="K102" s="153" t="n">
        <f aca="false">IFERROR(IF(OR(NOT(ISNUMBER('Price History'!K103)),NOT(ISNUMBER('Price History'!K102)),'Price History'!K102=0),"",'Price History'!K103/'Price History'!K102-1),"")</f>
        <v>-0.0523641420624734</v>
      </c>
      <c r="L102" s="153" t="n">
        <f aca="false">IFERROR(IF(OR(NOT(ISNUMBER('Price History'!L103)),NOT(ISNUMBER('Price History'!L102)),'Price History'!L102=0),"",'Price History'!L103/'Price History'!L102-1),"")</f>
        <v>-0.0121992118722227</v>
      </c>
      <c r="M102" s="153" t="n">
        <f aca="false">IFERROR(IF(OR(NOT(ISNUMBER('Price History'!M103)),NOT(ISNUMBER('Price History'!M102)),'Price History'!M102=0),"",'Price History'!M103/'Price History'!M102-1),"")</f>
        <v>-0.0490196078431374</v>
      </c>
      <c r="N102" s="153" t="n">
        <f aca="false">IFERROR(IF(OR(NOT(ISNUMBER('Price History'!N103)),NOT(ISNUMBER('Price History'!N102)),'Price History'!N102=0),"",'Price History'!N103/'Price History'!N102-1),"")</f>
        <v>0.0716156490423965</v>
      </c>
      <c r="O102" s="153" t="n">
        <f aca="false">IFERROR(IF(OR(NOT(ISNUMBER('Price History'!O103)),NOT(ISNUMBER('Price History'!O102)),'Price History'!O102=0),"",'Price History'!O103/'Price History'!O102-1),"")</f>
        <v>0.0298293891029169</v>
      </c>
      <c r="P102" s="153" t="n">
        <f aca="false">IFERROR(IF(OR(NOT(ISNUMBER('Price History'!P103)),NOT(ISNUMBER('Price History'!P102)),'Price History'!P102=0),"",'Price History'!P103/'Price History'!P102-1),"")</f>
        <v>0.0153539075694764</v>
      </c>
      <c r="Q102" s="153" t="n">
        <f aca="false">IFERROR(IF(OR(NOT(ISNUMBER('Price History'!Q103)),NOT(ISNUMBER('Price History'!Q102)),'Price History'!Q102=0),"",'Price History'!Q103/'Price History'!Q102-1),"")</f>
        <v>0.00730390600190534</v>
      </c>
      <c r="R102" s="153" t="n">
        <f aca="false">IFERROR(IF(OR(NOT(ISNUMBER('Price History'!R103)),NOT(ISNUMBER('Price History'!R102)),'Price History'!R102=0),"",'Price History'!R103/'Price History'!R102-1),"")</f>
        <v>0.00866694180767658</v>
      </c>
      <c r="S102" s="153" t="n">
        <f aca="false">IFERROR(IF(OR(NOT(ISNUMBER('Price History'!S103)),NOT(ISNUMBER('Price History'!S102)),'Price History'!S102=0),"",'Price History'!S103/'Price History'!S102-1),"")</f>
        <v>0.00103430443027075</v>
      </c>
      <c r="T102" s="153" t="n">
        <f aca="false">IFERROR(IF(OR(NOT(ISNUMBER('Price History'!T103)),NOT(ISNUMBER('Price History'!T102)),'Price History'!T102=0),"",'Price History'!T103/'Price History'!T102-1),"")</f>
        <v>0.039612676056338</v>
      </c>
      <c r="U102" s="153" t="n">
        <f aca="false">IFERROR(IF(OR(NOT(ISNUMBER('Price History'!U103)),NOT(ISNUMBER('Price History'!U102)),'Price History'!U102=0),"",'Price History'!U103/'Price History'!U102-1),"")</f>
        <v>0.0167185069984448</v>
      </c>
      <c r="V102" s="154" t="n">
        <f aca="false">IFERROR(IF(OR(NOT(ISNUMBER('Price History'!V103)),NOT(ISNUMBER('Price History'!V102)),'Price History'!V102=0),"",'Price History'!V103/'Price History'!V102-1),"")</f>
        <v>0.0246461981290478</v>
      </c>
      <c r="W102" s="155" t="n">
        <f aca="false">IFERROR('Price History'!B3+(INDEX('Price History'!B:B,MATCH(9.99E+307,'Returns (Calc)'!$A:$A)+1)-'Price History'!B3)*(ROW()-3)/(MATCH(9.99E+307,'Returns (Calc)'!$A:$A)-3),"")</f>
        <v>350.428490566038</v>
      </c>
      <c r="X102" s="155" t="n">
        <f aca="false">IFERROR('Price History'!C3+(INDEX('Price History'!C:C,MATCH(9.99E+307,'Returns (Calc)'!$A:$A)+1)-'Price History'!C3)*(ROW()-3)/(MATCH(9.99E+307,'Returns (Calc)'!$A:$A)-3),"")</f>
        <v>152.377735849057</v>
      </c>
      <c r="Y102" s="155" t="n">
        <f aca="false">IFERROR('Price History'!D3+(INDEX('Price History'!D:D,MATCH(9.99E+307,'Returns (Calc)'!$A:$A)+1)-'Price History'!D3)*(ROW()-3)/(MATCH(9.99E+307,'Returns (Calc)'!$A:$A)-3),"")</f>
        <v>1328.14</v>
      </c>
      <c r="Z102" s="155" t="n">
        <f aca="false">IFERROR('Price History'!E3+(INDEX('Price History'!E:E,MATCH(9.99E+307,'Returns (Calc)'!$A:$A)+1)-'Price History'!E3)*(ROW()-3)/(MATCH(9.99E+307,'Returns (Calc)'!$A:$A)-3),"")</f>
        <v>256.05320754717</v>
      </c>
      <c r="AA102" s="155" t="n">
        <f aca="false">IFERROR('Price History'!F3+(INDEX('Price History'!F:F,MATCH(9.99E+307,'Returns (Calc)'!$A:$A)+1)-'Price History'!F3)*(ROW()-3)/(MATCH(9.99E+307,'Returns (Calc)'!$A:$A)-3),"")</f>
        <v>186.858867924528</v>
      </c>
      <c r="AB102" s="155" t="n">
        <f aca="false">IFERROR('Price History'!G3+(INDEX('Price History'!G:G,MATCH(9.99E+307,'Returns (Calc)'!$A:$A)+1)-'Price History'!G3)*(ROW()-3)/(MATCH(9.99E+307,'Returns (Calc)'!$A:$A)-3),"")</f>
        <v>138.505849056604</v>
      </c>
      <c r="AC102" s="155" t="n">
        <f aca="false">IFERROR('Price History'!H3+(INDEX('Price History'!H:H,MATCH(9.99E+307,'Returns (Calc)'!$A:$A)+1)-'Price History'!H3)*(ROW()-3)/(MATCH(9.99E+307,'Returns (Calc)'!$A:$A)-3),"")</f>
        <v>666.777358490566</v>
      </c>
      <c r="AD102" s="155" t="n">
        <f aca="false">IFERROR('Price History'!I3+(INDEX('Price History'!I:I,MATCH(9.99E+307,'Returns (Calc)'!$A:$A)+1)-'Price History'!I3)*(ROW()-3)/(MATCH(9.99E+307,'Returns (Calc)'!$A:$A)-3),"")</f>
        <v>159.276226415094</v>
      </c>
      <c r="AE102" s="155" t="n">
        <f aca="false">IFERROR('Price History'!J3+(INDEX('Price History'!J:J,MATCH(9.99E+307,'Returns (Calc)'!$A:$A)+1)-'Price History'!J3)*(ROW()-3)/(MATCH(9.99E+307,'Returns (Calc)'!$A:$A)-3),"")</f>
        <v>122.829622641509</v>
      </c>
      <c r="AF102" s="155" t="n">
        <f aca="false">IFERROR('Price History'!K3+(INDEX('Price History'!K:K,MATCH(9.99E+307,'Returns (Calc)'!$A:$A)+1)-'Price History'!K3)*(ROW()-3)/(MATCH(9.99E+307,'Returns (Calc)'!$A:$A)-3),"")</f>
        <v>135.948113207547</v>
      </c>
      <c r="AG102" s="155" t="n">
        <f aca="false">IFERROR('Price History'!L3+(INDEX('Price History'!L:L,MATCH(9.99E+307,'Returns (Calc)'!$A:$A)+1)-'Price History'!L3)*(ROW()-3)/(MATCH(9.99E+307,'Returns (Calc)'!$A:$A)-3),"")</f>
        <v>314.608113207547</v>
      </c>
      <c r="AH102" s="155" t="n">
        <f aca="false">IFERROR('Price History'!M3+(INDEX('Price History'!M:M,MATCH(9.99E+307,'Returns (Calc)'!$A:$A)+1)-'Price History'!M3)*(ROW()-3)/(MATCH(9.99E+307,'Returns (Calc)'!$A:$A)-3),"")</f>
        <v>165.512075471698</v>
      </c>
      <c r="AI102" s="155" t="n">
        <f aca="false">IFERROR('Price History'!N3+(INDEX('Price History'!N:N,MATCH(9.99E+307,'Returns (Calc)'!$A:$A)+1)-'Price History'!N3)*(ROW()-3)/(MATCH(9.99E+307,'Returns (Calc)'!$A:$A)-3),"")</f>
        <v>449.257358490566</v>
      </c>
      <c r="AJ102" s="155" t="n">
        <f aca="false">IFERROR('Price History'!O3+(INDEX('Price History'!O:O,MATCH(9.99E+307,'Returns (Calc)'!$A:$A)+1)-'Price History'!O3)*(ROW()-3)/(MATCH(9.99E+307,'Returns (Calc)'!$A:$A)-3),"")</f>
        <v>102.911698113208</v>
      </c>
      <c r="AK102" s="155" t="n">
        <f aca="false">IFERROR('Price History'!Q3+(INDEX('Price History'!Q:Q,MATCH(9.99E+307,'Returns (Calc)'!$A:$A)+1)-'Price History'!Q3)*(ROW()-3)/(MATCH(9.99E+307,'Returns (Calc)'!$A:$A)-3),"")</f>
        <v>43.5662264150943</v>
      </c>
      <c r="AL102" s="155" t="n">
        <f aca="false">IFERROR('Price History'!R3+(INDEX('Price History'!R:R,MATCH(9.99E+307,'Returns (Calc)'!$A:$A)+1)-'Price History'!R3)*(ROW()-3)/(MATCH(9.99E+307,'Returns (Calc)'!$A:$A)-3),"")</f>
        <v>51.0484905660377</v>
      </c>
      <c r="AM102" s="155" t="n">
        <f aca="false">IFERROR('Price History'!S3+(INDEX('Price History'!S:S,MATCH(9.99E+307,'Returns (Calc)'!$A:$A)+1)-'Price History'!S3)*(ROW()-3)/(MATCH(9.99E+307,'Returns (Calc)'!$A:$A)-3),"")</f>
        <v>115.865660377359</v>
      </c>
      <c r="AN102" s="155" t="n">
        <f aca="false">IFERROR('Price History'!T3+(INDEX('Price History'!T:T,MATCH(9.99E+307,'Returns (Calc)'!$A:$A)+1)-'Price History'!T3)*(ROW()-3)/(MATCH(9.99E+307,'Returns (Calc)'!$A:$A)-3),"")</f>
        <v>42.4060377358491</v>
      </c>
      <c r="AO102" s="156" t="n">
        <f aca="false">IFERROR('Price History'!V3+(INDEX('Price History'!V:V,MATCH(9.99E+307,'Returns (Calc)'!$A:$A)+1)-'Price History'!V3)*(ROW()-3)/(MATCH(9.99E+307,'Returns (Calc)'!$A:$A)-3),"")</f>
        <v>328.914150943396</v>
      </c>
      <c r="AP102" s="154" t="n">
        <f aca="false">IFERROR(IF(OR(NOT(ISNUMBER('Price History'!W103)),NOT(ISNUMBER('Price History'!W102)),'Price History'!W102=0),"",'Price History'!W103/'Price History'!W102-1),"")</f>
        <v>0.0121839780688395</v>
      </c>
      <c r="AQ102" s="154" t="str">
        <f aca="false">IFERROR(IF(OR(NOT(ISNUMBER('Price History'!X103)),NOT(ISNUMBER('Price History'!X102)),'Price History'!X102=0),"",'Price History'!X103/'Price History'!X102-1),"")</f>
        <v/>
      </c>
      <c r="AR102" s="154" t="n">
        <f aca="false">IFERROR(IF(OR(NOT(ISNUMBER('Price History'!Y103)),NOT(ISNUMBER('Price History'!Y102)),'Price History'!Y102=0),"",'Price History'!Y103/'Price History'!Y102-1),"")</f>
        <v>0.0113502935420744</v>
      </c>
      <c r="AS102" s="154" t="n">
        <f aca="false">IFERROR(IF(OR(NOT(ISNUMBER('Price History'!Z103)),NOT(ISNUMBER('Price History'!Z102)),'Price History'!Z102=0),"",'Price History'!Z103/'Price History'!Z102-1),"")</f>
        <v>-0.0260605395117309</v>
      </c>
      <c r="AT102" s="154" t="n">
        <f aca="false">IFERROR(IF(OR(NOT(ISNUMBER('Price History'!AA103)),NOT(ISNUMBER('Price History'!AA102)),'Price History'!AA102=0),"",'Price History'!AA103/'Price History'!AA102-1),"")</f>
        <v>0.0225321888412018</v>
      </c>
      <c r="AU102" s="154" t="n">
        <f aca="false">IFERROR(IF(OR(NOT(ISNUMBER('Price History'!AB103)),NOT(ISNUMBER('Price History'!AB102)),'Price History'!AB102=0),"",'Price History'!AB103/'Price History'!AB102-1),"")</f>
        <v>-0.00538758728245836</v>
      </c>
    </row>
    <row r="103" customFormat="false" ht="15" hidden="false" customHeight="true" outlineLevel="0" collapsed="false">
      <c r="A103" s="152" t="n">
        <f aca="false">IF('Price History'!A104="","",'Price History'!A104)</f>
        <v>45891</v>
      </c>
      <c r="B103" s="153" t="n">
        <f aca="false">IFERROR(IF(OR(NOT(ISNUMBER('Price History'!B104)),NOT(ISNUMBER('Price History'!B103)),'Price History'!B103=0),"",'Price History'!B104/'Price History'!B103-1),"")</f>
        <v>0.0204029871776805</v>
      </c>
      <c r="C103" s="153" t="n">
        <f aca="false">IFERROR(IF(OR(NOT(ISNUMBER('Price History'!C104)),NOT(ISNUMBER('Price History'!C103)),'Price History'!C103=0),"",'Price History'!C104/'Price History'!C103-1),"")</f>
        <v>-0.029497450837582</v>
      </c>
      <c r="D103" s="153" t="n">
        <f aca="false">IFERROR(IF(OR(NOT(ISNUMBER('Price History'!D104)),NOT(ISNUMBER('Price History'!D103)),'Price History'!D103=0),"",'Price History'!D104/'Price History'!D103-1),"")</f>
        <v>0.0171571951715721</v>
      </c>
      <c r="E103" s="153" t="n">
        <f aca="false">IFERROR(IF(OR(NOT(ISNUMBER('Price History'!E104)),NOT(ISNUMBER('Price History'!E103)),'Price History'!E103=0),"",'Price History'!E104/'Price History'!E103-1),"")</f>
        <v>-0.0402885755699038</v>
      </c>
      <c r="F103" s="153" t="n">
        <f aca="false">IFERROR(IF(OR(NOT(ISNUMBER('Price History'!F104)),NOT(ISNUMBER('Price History'!F103)),'Price History'!F103=0),"",'Price History'!F104/'Price History'!F103-1),"")</f>
        <v>-0.0171076002617556</v>
      </c>
      <c r="G103" s="153" t="n">
        <f aca="false">IFERROR(IF(OR(NOT(ISNUMBER('Price History'!G104)),NOT(ISNUMBER('Price History'!G103)),'Price History'!G103=0),"",'Price History'!G104/'Price History'!G103-1),"")</f>
        <v>-0.0032243205895901</v>
      </c>
      <c r="H103" s="153" t="n">
        <f aca="false">IFERROR(IF(OR(NOT(ISNUMBER('Price History'!H104)),NOT(ISNUMBER('Price History'!H103)),'Price History'!H103=0),"",'Price History'!H104/'Price History'!H103-1),"")</f>
        <v>-0.0264335432548891</v>
      </c>
      <c r="I103" s="153" t="n">
        <f aca="false">IFERROR(IF(OR(NOT(ISNUMBER('Price History'!I104)),NOT(ISNUMBER('Price History'!I103)),'Price History'!I103=0),"",'Price History'!I104/'Price History'!I103-1),"")</f>
        <v>-0.0136659074495861</v>
      </c>
      <c r="J103" s="153" t="n">
        <f aca="false">IFERROR(IF(OR(NOT(ISNUMBER('Price History'!J104)),NOT(ISNUMBER('Price History'!J103)),'Price History'!J103=0),"",'Price History'!J104/'Price History'!J103-1),"")</f>
        <v>0.0534023235380259</v>
      </c>
      <c r="K103" s="153" t="n">
        <f aca="false">IFERROR(IF(OR(NOT(ISNUMBER('Price History'!K104)),NOT(ISNUMBER('Price History'!K103)),'Price History'!K103=0),"",'Price History'!K104/'Price History'!K103-1),"")</f>
        <v>-0.104024383360614</v>
      </c>
      <c r="L103" s="153" t="n">
        <f aca="false">IFERROR(IF(OR(NOT(ISNUMBER('Price History'!L104)),NOT(ISNUMBER('Price History'!L103)),'Price History'!L103=0),"",'Price History'!L104/'Price History'!L103-1),"")</f>
        <v>-0.0246573017018207</v>
      </c>
      <c r="M103" s="153" t="n">
        <f aca="false">IFERROR(IF(OR(NOT(ISNUMBER('Price History'!M104)),NOT(ISNUMBER('Price History'!M103)),'Price History'!M103=0),"",'Price History'!M104/'Price History'!M103-1),"")</f>
        <v>-0.0533523967190909</v>
      </c>
      <c r="N103" s="153" t="n">
        <f aca="false">IFERROR(IF(OR(NOT(ISNUMBER('Price History'!N104)),NOT(ISNUMBER('Price History'!N103)),'Price History'!N103=0),"",'Price History'!N104/'Price History'!N103-1),"")</f>
        <v>0.00593192291046107</v>
      </c>
      <c r="O103" s="153" t="n">
        <f aca="false">IFERROR(IF(OR(NOT(ISNUMBER('Price History'!O104)),NOT(ISNUMBER('Price History'!O103)),'Price History'!O103=0),"",'Price History'!O104/'Price History'!O103-1),"")</f>
        <v>0.0397605814450619</v>
      </c>
      <c r="P103" s="153" t="n">
        <f aca="false">IFERROR(IF(OR(NOT(ISNUMBER('Price History'!P104)),NOT(ISNUMBER('Price History'!P103)),'Price History'!P103=0),"",'Price History'!P104/'Price History'!P103-1),"")</f>
        <v>0.0288825041584759</v>
      </c>
      <c r="Q103" s="153" t="n">
        <f aca="false">IFERROR(IF(OR(NOT(ISNUMBER('Price History'!Q104)),NOT(ISNUMBER('Price History'!Q103)),'Price History'!Q103=0),"",'Price History'!Q104/'Price History'!Q103-1),"")</f>
        <v>0.00362547288776804</v>
      </c>
      <c r="R103" s="153" t="n">
        <f aca="false">IFERROR(IF(OR(NOT(ISNUMBER('Price History'!R104)),NOT(ISNUMBER('Price History'!R103)),'Price History'!R103=0),"",'Price History'!R104/'Price History'!R103-1),"")</f>
        <v>-0.00245499181669406</v>
      </c>
      <c r="S103" s="153" t="n">
        <f aca="false">IFERROR(IF(OR(NOT(ISNUMBER('Price History'!S104)),NOT(ISNUMBER('Price History'!S103)),'Price History'!S103=0),"",'Price History'!S104/'Price History'!S103-1),"")</f>
        <v>-0.0068021353538833</v>
      </c>
      <c r="T103" s="153" t="n">
        <f aca="false">IFERROR(IF(OR(NOT(ISNUMBER('Price History'!T104)),NOT(ISNUMBER('Price History'!T103)),'Price History'!T103=0),"",'Price History'!T104/'Price History'!T103-1),"")</f>
        <v>0.0256844482077336</v>
      </c>
      <c r="U103" s="153" t="n">
        <f aca="false">IFERROR(IF(OR(NOT(ISNUMBER('Price History'!U104)),NOT(ISNUMBER('Price History'!U103)),'Price History'!U103=0),"",'Price History'!U104/'Price History'!U103-1),"")</f>
        <v>0.0229445506692161</v>
      </c>
      <c r="V103" s="154" t="n">
        <f aca="false">IFERROR(IF(OR(NOT(ISNUMBER('Price History'!V104)),NOT(ISNUMBER('Price History'!V103)),'Price History'!V103=0),"",'Price History'!V104/'Price History'!V103-1),"")</f>
        <v>0.0161526306548838</v>
      </c>
      <c r="W103" s="155" t="n">
        <f aca="false">IFERROR('Price History'!B3+(INDEX('Price History'!B:B,MATCH(9.99E+307,'Returns (Calc)'!$A:$A)+1)-'Price History'!B3)*(ROW()-3)/(MATCH(9.99E+307,'Returns (Calc)'!$A:$A)-3),"")</f>
        <v>348.625849056604</v>
      </c>
      <c r="X103" s="155" t="n">
        <f aca="false">IFERROR('Price History'!C3+(INDEX('Price History'!C:C,MATCH(9.99E+307,'Returns (Calc)'!$A:$A)+1)-'Price History'!C3)*(ROW()-3)/(MATCH(9.99E+307,'Returns (Calc)'!$A:$A)-3),"")</f>
        <v>153.450440251572</v>
      </c>
      <c r="Y103" s="155" t="n">
        <f aca="false">IFERROR('Price History'!D3+(INDEX('Price History'!D:D,MATCH(9.99E+307,'Returns (Calc)'!$A:$A)+1)-'Price History'!D3)*(ROW()-3)/(MATCH(9.99E+307,'Returns (Calc)'!$A:$A)-3),"")</f>
        <v>1335.67666666667</v>
      </c>
      <c r="Z103" s="155" t="n">
        <f aca="false">IFERROR('Price History'!E3+(INDEX('Price History'!E:E,MATCH(9.99E+307,'Returns (Calc)'!$A:$A)+1)-'Price History'!E3)*(ROW()-3)/(MATCH(9.99E+307,'Returns (Calc)'!$A:$A)-3),"")</f>
        <v>257.811320754717</v>
      </c>
      <c r="AA103" s="155" t="n">
        <f aca="false">IFERROR('Price History'!F3+(INDEX('Price History'!F:F,MATCH(9.99E+307,'Returns (Calc)'!$A:$A)+1)-'Price History'!F3)*(ROW()-3)/(MATCH(9.99E+307,'Returns (Calc)'!$A:$A)-3),"")</f>
        <v>188.32855345912</v>
      </c>
      <c r="AB103" s="155" t="n">
        <f aca="false">IFERROR('Price History'!G3+(INDEX('Price History'!G:G,MATCH(9.99E+307,'Returns (Calc)'!$A:$A)+1)-'Price History'!G3)*(ROW()-3)/(MATCH(9.99E+307,'Returns (Calc)'!$A:$A)-3),"")</f>
        <v>139.456918238994</v>
      </c>
      <c r="AC103" s="155" t="n">
        <f aca="false">IFERROR('Price History'!H3+(INDEX('Price History'!H:H,MATCH(9.99E+307,'Returns (Calc)'!$A:$A)+1)-'Price History'!H3)*(ROW()-3)/(MATCH(9.99E+307,'Returns (Calc)'!$A:$A)-3),"")</f>
        <v>672.814402515723</v>
      </c>
      <c r="AD103" s="155" t="n">
        <f aca="false">IFERROR('Price History'!I3+(INDEX('Price History'!I:I,MATCH(9.99E+307,'Returns (Calc)'!$A:$A)+1)-'Price History'!I3)*(ROW()-3)/(MATCH(9.99E+307,'Returns (Calc)'!$A:$A)-3),"")</f>
        <v>160.442955974843</v>
      </c>
      <c r="AE103" s="155" t="n">
        <f aca="false">IFERROR('Price History'!J3+(INDEX('Price History'!J:J,MATCH(9.99E+307,'Returns (Calc)'!$A:$A)+1)-'Price History'!J3)*(ROW()-3)/(MATCH(9.99E+307,'Returns (Calc)'!$A:$A)-3),"")</f>
        <v>122.940628930818</v>
      </c>
      <c r="AF103" s="155" t="n">
        <f aca="false">IFERROR('Price History'!K3+(INDEX('Price History'!K:K,MATCH(9.99E+307,'Returns (Calc)'!$A:$A)+1)-'Price History'!K3)*(ROW()-3)/(MATCH(9.99E+307,'Returns (Calc)'!$A:$A)-3),"")</f>
        <v>137.166477987421</v>
      </c>
      <c r="AG103" s="155" t="n">
        <f aca="false">IFERROR('Price History'!L3+(INDEX('Price History'!L:L,MATCH(9.99E+307,'Returns (Calc)'!$A:$A)+1)-'Price History'!L3)*(ROW()-3)/(MATCH(9.99E+307,'Returns (Calc)'!$A:$A)-3),"")</f>
        <v>316.919811320755</v>
      </c>
      <c r="AH103" s="155" t="n">
        <f aca="false">IFERROR('Price History'!M3+(INDEX('Price History'!M:M,MATCH(9.99E+307,'Returns (Calc)'!$A:$A)+1)-'Price History'!M3)*(ROW()-3)/(MATCH(9.99E+307,'Returns (Calc)'!$A:$A)-3),"")</f>
        <v>166.799874213837</v>
      </c>
      <c r="AI103" s="155" t="n">
        <f aca="false">IFERROR('Price History'!N3+(INDEX('Price History'!N:N,MATCH(9.99E+307,'Returns (Calc)'!$A:$A)+1)-'Price History'!N3)*(ROW()-3)/(MATCH(9.99E+307,'Returns (Calc)'!$A:$A)-3),"")</f>
        <v>450.27106918239</v>
      </c>
      <c r="AJ103" s="155" t="n">
        <f aca="false">IFERROR('Price History'!O3+(INDEX('Price History'!O:O,MATCH(9.99E+307,'Returns (Calc)'!$A:$A)+1)-'Price History'!O3)*(ROW()-3)/(MATCH(9.99E+307,'Returns (Calc)'!$A:$A)-3),"")</f>
        <v>103.190503144654</v>
      </c>
      <c r="AK103" s="155" t="n">
        <f aca="false">IFERROR('Price History'!Q3+(INDEX('Price History'!Q:Q,MATCH(9.99E+307,'Returns (Calc)'!$A:$A)+1)-'Price History'!Q3)*(ROW()-3)/(MATCH(9.99E+307,'Returns (Calc)'!$A:$A)-3),"")</f>
        <v>44.0062893081761</v>
      </c>
      <c r="AL103" s="155" t="n">
        <f aca="false">IFERROR('Price History'!R3+(INDEX('Price History'!R:R,MATCH(9.99E+307,'Returns (Calc)'!$A:$A)+1)-'Price History'!R3)*(ROW()-3)/(MATCH(9.99E+307,'Returns (Calc)'!$A:$A)-3),"")</f>
        <v>51.2158490566038</v>
      </c>
      <c r="AM103" s="155" t="n">
        <f aca="false">IFERROR('Price History'!S3+(INDEX('Price History'!S:S,MATCH(9.99E+307,'Returns (Calc)'!$A:$A)+1)-'Price History'!S3)*(ROW()-3)/(MATCH(9.99E+307,'Returns (Calc)'!$A:$A)-3),"")</f>
        <v>116.453899371069</v>
      </c>
      <c r="AN103" s="155" t="n">
        <f aca="false">IFERROR('Price History'!T3+(INDEX('Price History'!T:T,MATCH(9.99E+307,'Returns (Calc)'!$A:$A)+1)-'Price History'!T3)*(ROW()-3)/(MATCH(9.99E+307,'Returns (Calc)'!$A:$A)-3),"")</f>
        <v>42.5799371069182</v>
      </c>
      <c r="AO103" s="156" t="n">
        <f aca="false">IFERROR('Price History'!V3+(INDEX('Price History'!V:V,MATCH(9.99E+307,'Returns (Calc)'!$A:$A)+1)-'Price History'!V3)*(ROW()-3)/(MATCH(9.99E+307,'Returns (Calc)'!$A:$A)-3),"")</f>
        <v>329.85641509434</v>
      </c>
      <c r="AP103" s="154" t="n">
        <f aca="false">IFERROR(IF(OR(NOT(ISNUMBER('Price History'!W104)),NOT(ISNUMBER('Price History'!W103)),'Price History'!W103=0),"",'Price History'!W104/'Price History'!W103-1),"")</f>
        <v>0.0158742100511586</v>
      </c>
      <c r="AQ103" s="154" t="str">
        <f aca="false">IFERROR(IF(OR(NOT(ISNUMBER('Price History'!X104)),NOT(ISNUMBER('Price History'!X103)),'Price History'!X103=0),"",'Price History'!X104/'Price History'!X103-1),"")</f>
        <v/>
      </c>
      <c r="AR103" s="154" t="n">
        <f aca="false">IFERROR(IF(OR(NOT(ISNUMBER('Price History'!Y104)),NOT(ISNUMBER('Price History'!Y103)),'Price History'!Y103=0),"",'Price History'!Y104/'Price History'!Y103-1),"")</f>
        <v>0.0119969040247678</v>
      </c>
      <c r="AS103" s="154" t="n">
        <f aca="false">IFERROR(IF(OR(NOT(ISNUMBER('Price History'!Z104)),NOT(ISNUMBER('Price History'!Z103)),'Price History'!Z103=0),"",'Price History'!Z104/'Price History'!Z103-1),"")</f>
        <v>-0.00492314630388213</v>
      </c>
      <c r="AT103" s="154" t="n">
        <f aca="false">IFERROR(IF(OR(NOT(ISNUMBER('Price History'!AA104)),NOT(ISNUMBER('Price History'!AA103)),'Price History'!AA103=0),"",'Price History'!AA104/'Price History'!AA103-1),"")</f>
        <v>-0.027685850351118</v>
      </c>
      <c r="AU103" s="154" t="n">
        <f aca="false">IFERROR(IF(OR(NOT(ISNUMBER('Price History'!AB104)),NOT(ISNUMBER('Price History'!AB103)),'Price History'!AB103=0),"",'Price History'!AB104/'Price History'!AB103-1),"")</f>
        <v>0.0365275649477923</v>
      </c>
    </row>
    <row r="104" customFormat="false" ht="15" hidden="false" customHeight="true" outlineLevel="0" collapsed="false">
      <c r="A104" s="152" t="n">
        <f aca="false">IF('Price History'!A105="","",'Price History'!A105)</f>
        <v>45898</v>
      </c>
      <c r="B104" s="153" t="n">
        <f aca="false">IFERROR(IF(OR(NOT(ISNUMBER('Price History'!B105)),NOT(ISNUMBER('Price History'!B104)),'Price History'!B104=0),"",'Price History'!B105/'Price History'!B104-1),"")</f>
        <v>-0.0148858018724626</v>
      </c>
      <c r="C104" s="153" t="n">
        <f aca="false">IFERROR(IF(OR(NOT(ISNUMBER('Price History'!C105)),NOT(ISNUMBER('Price History'!C104)),'Price History'!C104=0),"",'Price History'!C105/'Price History'!C104-1),"")</f>
        <v>0.024765478424015</v>
      </c>
      <c r="D104" s="153" t="n">
        <f aca="false">IFERROR(IF(OR(NOT(ISNUMBER('Price History'!D105)),NOT(ISNUMBER('Price History'!D104)),'Price History'!D104=0),"",'Price History'!D105/'Price History'!D104-1),"")</f>
        <v>-0.0162544169611308</v>
      </c>
      <c r="E104" s="153" t="n">
        <f aca="false">IFERROR(IF(OR(NOT(ISNUMBER('Price History'!E105)),NOT(ISNUMBER('Price History'!E104)),'Price History'!E104=0),"",'Price History'!E105/'Price History'!E104-1),"")</f>
        <v>0.0115333127381321</v>
      </c>
      <c r="F104" s="153" t="n">
        <f aca="false">IFERROR(IF(OR(NOT(ISNUMBER('Price History'!F105)),NOT(ISNUMBER('Price History'!F104)),'Price History'!F104=0),"",'Price History'!F105/'Price History'!F104-1),"")</f>
        <v>0.00751379113562867</v>
      </c>
      <c r="G104" s="153" t="n">
        <f aca="false">IFERROR(IF(OR(NOT(ISNUMBER('Price History'!G105)),NOT(ISNUMBER('Price History'!G104)),'Price History'!G104=0),"",'Price History'!G105/'Price History'!G104-1),"")</f>
        <v>0.00196395563770801</v>
      </c>
      <c r="H104" s="153" t="n">
        <f aca="false">IFERROR(IF(OR(NOT(ISNUMBER('Price History'!H105)),NOT(ISNUMBER('Price History'!H104)),'Price History'!H104=0),"",'Price History'!H105/'Price History'!H104-1),"")</f>
        <v>0.0113201123499873</v>
      </c>
      <c r="I104" s="153" t="n">
        <f aca="false">IFERROR(IF(OR(NOT(ISNUMBER('Price History'!I105)),NOT(ISNUMBER('Price History'!I104)),'Price History'!I104=0),"",'Price History'!I105/'Price History'!I104-1),"")</f>
        <v>-0.0214024218529992</v>
      </c>
      <c r="J104" s="153" t="n">
        <f aca="false">IFERROR(IF(OR(NOT(ISNUMBER('Price History'!J105)),NOT(ISNUMBER('Price History'!J104)),'Price History'!J104=0),"",'Price History'!J105/'Price History'!J104-1),"")</f>
        <v>0.0133456904541243</v>
      </c>
      <c r="K104" s="153" t="n">
        <f aca="false">IFERROR(IF(OR(NOT(ISNUMBER('Price History'!K105)),NOT(ISNUMBER('Price History'!K104)),'Price History'!K104=0),"",'Price History'!K105/'Price History'!K104-1),"")</f>
        <v>-0.0127882071311579</v>
      </c>
      <c r="L104" s="153" t="n">
        <f aca="false">IFERROR(IF(OR(NOT(ISNUMBER('Price History'!L105)),NOT(ISNUMBER('Price History'!L104)),'Price History'!L104=0),"",'Price History'!L105/'Price History'!L104-1),"")</f>
        <v>-0.00909407362283532</v>
      </c>
      <c r="M104" s="153" t="n">
        <f aca="false">IFERROR(IF(OR(NOT(ISNUMBER('Price History'!M105)),NOT(ISNUMBER('Price History'!M104)),'Price History'!M104=0),"",'Price History'!M105/'Price History'!M104-1),"")</f>
        <v>0.0125596184419714</v>
      </c>
      <c r="N104" s="153" t="n">
        <f aca="false">IFERROR(IF(OR(NOT(ISNUMBER('Price History'!N105)),NOT(ISNUMBER('Price History'!N104)),'Price History'!N104=0),"",'Price History'!N105/'Price History'!N104-1),"")</f>
        <v>-0.0103765944523183</v>
      </c>
      <c r="O104" s="153" t="n">
        <f aca="false">IFERROR(IF(OR(NOT(ISNUMBER('Price History'!O105)),NOT(ISNUMBER('Price History'!O104)),'Price History'!O104=0),"",'Price History'!O105/'Price History'!O104-1),"")</f>
        <v>0.00842927631578938</v>
      </c>
      <c r="P104" s="153" t="n">
        <f aca="false">IFERROR(IF(OR(NOT(ISNUMBER('Price History'!P105)),NOT(ISNUMBER('Price History'!P104)),'Price History'!P104=0),"",'Price History'!P105/'Price History'!P104-1),"")</f>
        <v>-0.00220458553791891</v>
      </c>
      <c r="Q104" s="153" t="n">
        <f aca="false">IFERROR(IF(OR(NOT(ISNUMBER('Price History'!Q105)),NOT(ISNUMBER('Price History'!Q104)),'Price History'!Q104=0),"",'Price History'!Q105/'Price History'!Q104-1),"")</f>
        <v>0.000157059839798857</v>
      </c>
      <c r="R104" s="153" t="n">
        <f aca="false">IFERROR(IF(OR(NOT(ISNUMBER('Price History'!R105)),NOT(ISNUMBER('Price History'!R104)),'Price History'!R104=0),"",'Price History'!R105/'Price History'!R104-1),"")</f>
        <v>0.000205086136177313</v>
      </c>
      <c r="S104" s="153" t="n">
        <f aca="false">IFERROR(IF(OR(NOT(ISNUMBER('Price History'!S105)),NOT(ISNUMBER('Price History'!S104)),'Price History'!S104=0),"",'Price History'!S105/'Price History'!S104-1),"")</f>
        <v>-0.000260078023406996</v>
      </c>
      <c r="T104" s="153" t="n">
        <f aca="false">IFERROR(IF(OR(NOT(ISNUMBER('Price History'!T105)),NOT(ISNUMBER('Price History'!T104)),'Price History'!T104=0),"",'Price History'!T105/'Price History'!T104-1),"")</f>
        <v>0.00908090258668137</v>
      </c>
      <c r="U104" s="153" t="n">
        <f aca="false">IFERROR(IF(OR(NOT(ISNUMBER('Price History'!U105)),NOT(ISNUMBER('Price History'!U104)),'Price History'!U104=0),"",'Price History'!U105/'Price History'!U104-1),"")</f>
        <v>-0.00112149532710282</v>
      </c>
      <c r="V104" s="154" t="n">
        <f aca="false">IFERROR(IF(OR(NOT(ISNUMBER('Price History'!V105)),NOT(ISNUMBER('Price History'!V104)),'Price History'!V104=0),"",'Price History'!V105/'Price History'!V104-1),"")</f>
        <v>0.00498185797385253</v>
      </c>
      <c r="W104" s="155" t="n">
        <f aca="false">IFERROR('Price History'!B3+(INDEX('Price History'!B:B,MATCH(9.99E+307,'Returns (Calc)'!$A:$A)+1)-'Price History'!B3)*(ROW()-3)/(MATCH(9.99E+307,'Returns (Calc)'!$A:$A)-3),"")</f>
        <v>346.82320754717</v>
      </c>
      <c r="X104" s="155" t="n">
        <f aca="false">IFERROR('Price History'!C3+(INDEX('Price History'!C:C,MATCH(9.99E+307,'Returns (Calc)'!$A:$A)+1)-'Price History'!C3)*(ROW()-3)/(MATCH(9.99E+307,'Returns (Calc)'!$A:$A)-3),"")</f>
        <v>154.523144654088</v>
      </c>
      <c r="Y104" s="155" t="n">
        <f aca="false">IFERROR('Price History'!D3+(INDEX('Price History'!D:D,MATCH(9.99E+307,'Returns (Calc)'!$A:$A)+1)-'Price History'!D3)*(ROW()-3)/(MATCH(9.99E+307,'Returns (Calc)'!$A:$A)-3),"")</f>
        <v>1343.21333333333</v>
      </c>
      <c r="Z104" s="155" t="n">
        <f aca="false">IFERROR('Price History'!E3+(INDEX('Price History'!E:E,MATCH(9.99E+307,'Returns (Calc)'!$A:$A)+1)-'Price History'!E3)*(ROW()-3)/(MATCH(9.99E+307,'Returns (Calc)'!$A:$A)-3),"")</f>
        <v>259.569433962264</v>
      </c>
      <c r="AA104" s="155" t="n">
        <f aca="false">IFERROR('Price History'!F3+(INDEX('Price History'!F:F,MATCH(9.99E+307,'Returns (Calc)'!$A:$A)+1)-'Price History'!F3)*(ROW()-3)/(MATCH(9.99E+307,'Returns (Calc)'!$A:$A)-3),"")</f>
        <v>189.798238993711</v>
      </c>
      <c r="AB104" s="155" t="n">
        <f aca="false">IFERROR('Price History'!G3+(INDEX('Price History'!G:G,MATCH(9.99E+307,'Returns (Calc)'!$A:$A)+1)-'Price History'!G3)*(ROW()-3)/(MATCH(9.99E+307,'Returns (Calc)'!$A:$A)-3),"")</f>
        <v>140.407987421384</v>
      </c>
      <c r="AC104" s="155" t="n">
        <f aca="false">IFERROR('Price History'!H3+(INDEX('Price History'!H:H,MATCH(9.99E+307,'Returns (Calc)'!$A:$A)+1)-'Price History'!H3)*(ROW()-3)/(MATCH(9.99E+307,'Returns (Calc)'!$A:$A)-3),"")</f>
        <v>678.851446540881</v>
      </c>
      <c r="AD104" s="155" t="n">
        <f aca="false">IFERROR('Price History'!I3+(INDEX('Price History'!I:I,MATCH(9.99E+307,'Returns (Calc)'!$A:$A)+1)-'Price History'!I3)*(ROW()-3)/(MATCH(9.99E+307,'Returns (Calc)'!$A:$A)-3),"")</f>
        <v>161.609685534591</v>
      </c>
      <c r="AE104" s="155" t="n">
        <f aca="false">IFERROR('Price History'!J3+(INDEX('Price History'!J:J,MATCH(9.99E+307,'Returns (Calc)'!$A:$A)+1)-'Price History'!J3)*(ROW()-3)/(MATCH(9.99E+307,'Returns (Calc)'!$A:$A)-3),"")</f>
        <v>123.051635220126</v>
      </c>
      <c r="AF104" s="155" t="n">
        <f aca="false">IFERROR('Price History'!K3+(INDEX('Price History'!K:K,MATCH(9.99E+307,'Returns (Calc)'!$A:$A)+1)-'Price History'!K3)*(ROW()-3)/(MATCH(9.99E+307,'Returns (Calc)'!$A:$A)-3),"")</f>
        <v>138.384842767296</v>
      </c>
      <c r="AG104" s="155" t="n">
        <f aca="false">IFERROR('Price History'!L3+(INDEX('Price History'!L:L,MATCH(9.99E+307,'Returns (Calc)'!$A:$A)+1)-'Price History'!L3)*(ROW()-3)/(MATCH(9.99E+307,'Returns (Calc)'!$A:$A)-3),"")</f>
        <v>319.231509433962</v>
      </c>
      <c r="AH104" s="155" t="n">
        <f aca="false">IFERROR('Price History'!M3+(INDEX('Price History'!M:M,MATCH(9.99E+307,'Returns (Calc)'!$A:$A)+1)-'Price History'!M3)*(ROW()-3)/(MATCH(9.99E+307,'Returns (Calc)'!$A:$A)-3),"")</f>
        <v>168.087672955975</v>
      </c>
      <c r="AI104" s="155" t="n">
        <f aca="false">IFERROR('Price History'!N3+(INDEX('Price History'!N:N,MATCH(9.99E+307,'Returns (Calc)'!$A:$A)+1)-'Price History'!N3)*(ROW()-3)/(MATCH(9.99E+307,'Returns (Calc)'!$A:$A)-3),"")</f>
        <v>451.284779874214</v>
      </c>
      <c r="AJ104" s="155" t="n">
        <f aca="false">IFERROR('Price History'!O3+(INDEX('Price History'!O:O,MATCH(9.99E+307,'Returns (Calc)'!$A:$A)+1)-'Price History'!O3)*(ROW()-3)/(MATCH(9.99E+307,'Returns (Calc)'!$A:$A)-3),"")</f>
        <v>103.469308176101</v>
      </c>
      <c r="AK104" s="155" t="n">
        <f aca="false">IFERROR('Price History'!Q3+(INDEX('Price History'!Q:Q,MATCH(9.99E+307,'Returns (Calc)'!$A:$A)+1)-'Price History'!Q3)*(ROW()-3)/(MATCH(9.99E+307,'Returns (Calc)'!$A:$A)-3),"")</f>
        <v>44.4463522012579</v>
      </c>
      <c r="AL104" s="155" t="n">
        <f aca="false">IFERROR('Price History'!R3+(INDEX('Price History'!R:R,MATCH(9.99E+307,'Returns (Calc)'!$A:$A)+1)-'Price History'!R3)*(ROW()-3)/(MATCH(9.99E+307,'Returns (Calc)'!$A:$A)-3),"")</f>
        <v>51.3832075471698</v>
      </c>
      <c r="AM104" s="155" t="n">
        <f aca="false">IFERROR('Price History'!S3+(INDEX('Price History'!S:S,MATCH(9.99E+307,'Returns (Calc)'!$A:$A)+1)-'Price History'!S3)*(ROW()-3)/(MATCH(9.99E+307,'Returns (Calc)'!$A:$A)-3),"")</f>
        <v>117.04213836478</v>
      </c>
      <c r="AN104" s="155" t="n">
        <f aca="false">IFERROR('Price History'!T3+(INDEX('Price History'!T:T,MATCH(9.99E+307,'Returns (Calc)'!$A:$A)+1)-'Price History'!T3)*(ROW()-3)/(MATCH(9.99E+307,'Returns (Calc)'!$A:$A)-3),"")</f>
        <v>42.7538364779874</v>
      </c>
      <c r="AO104" s="156" t="n">
        <f aca="false">IFERROR('Price History'!V3+(INDEX('Price History'!V:V,MATCH(9.99E+307,'Returns (Calc)'!$A:$A)+1)-'Price History'!V3)*(ROW()-3)/(MATCH(9.99E+307,'Returns (Calc)'!$A:$A)-3),"")</f>
        <v>330.798679245283</v>
      </c>
      <c r="AP104" s="154" t="n">
        <f aca="false">IFERROR(IF(OR(NOT(ISNUMBER('Price History'!W105)),NOT(ISNUMBER('Price History'!W104)),'Price History'!W104=0),"",'Price History'!W105/'Price History'!W104-1),"")</f>
        <v>0.000148115233651769</v>
      </c>
      <c r="AQ104" s="154" t="str">
        <f aca="false">IFERROR(IF(OR(NOT(ISNUMBER('Price History'!X105)),NOT(ISNUMBER('Price History'!X104)),'Price History'!X104=0),"",'Price History'!X105/'Price History'!X104-1),"")</f>
        <v/>
      </c>
      <c r="AR104" s="154" t="n">
        <f aca="false">IFERROR(IF(OR(NOT(ISNUMBER('Price History'!Y105)),NOT(ISNUMBER('Price History'!Y104)),'Price History'!Y104=0),"",'Price History'!Y105/'Price History'!Y104-1),"")</f>
        <v>-0.00382409177820264</v>
      </c>
      <c r="AS104" s="154" t="n">
        <f aca="false">IFERROR(IF(OR(NOT(ISNUMBER('Price History'!Z105)),NOT(ISNUMBER('Price History'!Z104)),'Price History'!Z104=0),"",'Price History'!Z105/'Price History'!Z104-1),"")</f>
        <v>0.0325175617493769</v>
      </c>
      <c r="AT104" s="154" t="n">
        <f aca="false">IFERROR(IF(OR(NOT(ISNUMBER('Price History'!AA105)),NOT(ISNUMBER('Price History'!AA104)),'Price History'!AA104=0),"",'Price History'!AA105/'Price History'!AA104-1),"")</f>
        <v>0.00298854391499259</v>
      </c>
      <c r="AU104" s="154" t="n">
        <f aca="false">IFERROR(IF(OR(NOT(ISNUMBER('Price History'!AB105)),NOT(ISNUMBER('Price History'!AB104)),'Price History'!AB104=0),"",'Price History'!AB105/'Price History'!AB104-1),"")</f>
        <v>-0.0744688166128035</v>
      </c>
    </row>
    <row r="105" customFormat="false" ht="15" hidden="false" customHeight="true" outlineLevel="0" collapsed="false">
      <c r="A105" s="152" t="n">
        <f aca="false">IF('Price History'!A106="","",'Price History'!A106)</f>
        <v>45905</v>
      </c>
      <c r="B105" s="153" t="n">
        <f aca="false">IFERROR(IF(OR(NOT(ISNUMBER('Price History'!B106)),NOT(ISNUMBER('Price History'!B105)),'Price History'!B105=0),"",'Price History'!B106/'Price History'!B105-1),"")</f>
        <v>-0.0216708718811325</v>
      </c>
      <c r="C105" s="153" t="n">
        <f aca="false">IFERROR(IF(OR(NOT(ISNUMBER('Price History'!C106)),NOT(ISNUMBER('Price History'!C105)),'Price History'!C105=0),"",'Price History'!C106/'Price History'!C105-1),"")</f>
        <v>0.0461369461735626</v>
      </c>
      <c r="D105" s="153" t="n">
        <f aca="false">IFERROR(IF(OR(NOT(ISNUMBER('Price History'!D106)),NOT(ISNUMBER('Price History'!D105)),'Price History'!D105=0),"",'Price History'!D106/'Price History'!D105-1),"")</f>
        <v>0.0526187378009109</v>
      </c>
      <c r="E105" s="153" t="n">
        <f aca="false">IFERROR(IF(OR(NOT(ISNUMBER('Price History'!E106)),NOT(ISNUMBER('Price History'!E105)),'Price History'!E105=0),"",'Price History'!E106/'Price History'!E105-1),"")</f>
        <v>0.126098612100852</v>
      </c>
      <c r="F105" s="153" t="n">
        <f aca="false">IFERROR(IF(OR(NOT(ISNUMBER('Price History'!F106)),NOT(ISNUMBER('Price History'!F105)),'Price History'!F105=0),"",'Price History'!F106/'Price History'!F105-1),"")</f>
        <v>-0.0143490984612481</v>
      </c>
      <c r="G105" s="153" t="n">
        <f aca="false">IFERROR(IF(OR(NOT(ISNUMBER('Price History'!G106)),NOT(ISNUMBER('Price History'!G105)),'Price History'!G105=0),"",'Price History'!G106/'Price History'!G105-1),"")</f>
        <v>0.0379338175948345</v>
      </c>
      <c r="H105" s="153" t="n">
        <f aca="false">IFERROR(IF(OR(NOT(ISNUMBER('Price History'!H106)),NOT(ISNUMBER('Price History'!H105)),'Price History'!H105=0),"",'Price History'!H106/'Price History'!H105-1),"")</f>
        <v>0.103854569937721</v>
      </c>
      <c r="I105" s="153" t="n">
        <f aca="false">IFERROR(IF(OR(NOT(ISNUMBER('Price History'!I106)),NOT(ISNUMBER('Price History'!I105)),'Price History'!I105=0),"",'Price History'!I106/'Price History'!I105-1),"")</f>
        <v>-0.041093525179856</v>
      </c>
      <c r="J105" s="153" t="n">
        <f aca="false">IFERROR(IF(OR(NOT(ISNUMBER('Price History'!J106)),NOT(ISNUMBER('Price History'!J105)),'Price History'!J105=0),"",'Price History'!J106/'Price History'!J105-1),"")</f>
        <v>-0.00109749405524062</v>
      </c>
      <c r="K105" s="153" t="n">
        <f aca="false">IFERROR(IF(OR(NOT(ISNUMBER('Price History'!K106)),NOT(ISNUMBER('Price History'!K105)),'Price History'!K105=0),"",'Price History'!K106/'Price History'!K105-1),"")</f>
        <v>-0.0229723693446493</v>
      </c>
      <c r="L105" s="153" t="n">
        <f aca="false">IFERROR(IF(OR(NOT(ISNUMBER('Price History'!L106)),NOT(ISNUMBER('Price History'!L105)),'Price History'!L105=0),"",'Price History'!L106/'Price History'!L105-1),"")</f>
        <v>0.0543187107539631</v>
      </c>
      <c r="M105" s="153" t="n">
        <f aca="false">IFERROR(IF(OR(NOT(ISNUMBER('Price History'!M106)),NOT(ISNUMBER('Price History'!M105)),'Price History'!M105=0),"",'Price History'!M106/'Price History'!M105-1),"")</f>
        <v>-0.0278693672476056</v>
      </c>
      <c r="N105" s="153" t="n">
        <f aca="false">IFERROR(IF(OR(NOT(ISNUMBER('Price History'!N106)),NOT(ISNUMBER('Price History'!N105)),'Price History'!N105=0),"",'Price History'!N106/'Price History'!N105-1),"")</f>
        <v>0.0130428111094063</v>
      </c>
      <c r="O105" s="153" t="n">
        <f aca="false">IFERROR(IF(OR(NOT(ISNUMBER('Price History'!O106)),NOT(ISNUMBER('Price History'!O105)),'Price History'!O105=0),"",'Price History'!O106/'Price History'!O105-1),"")</f>
        <v>0.0109072375127421</v>
      </c>
      <c r="P105" s="153" t="n">
        <f aca="false">IFERROR(IF(OR(NOT(ISNUMBER('Price History'!P106)),NOT(ISNUMBER('Price History'!P105)),'Price History'!P105=0),"",'Price History'!P106/'Price History'!P105-1),"")</f>
        <v>-0.000883782589483073</v>
      </c>
      <c r="Q105" s="153" t="n">
        <f aca="false">IFERROR(IF(OR(NOT(ISNUMBER('Price History'!Q106)),NOT(ISNUMBER('Price History'!Q105)),'Price History'!Q105=0),"",'Price History'!Q106/'Price History'!Q105-1),"")</f>
        <v>0.00219849246231152</v>
      </c>
      <c r="R105" s="153" t="n">
        <f aca="false">IFERROR(IF(OR(NOT(ISNUMBER('Price History'!R106)),NOT(ISNUMBER('Price History'!R105)),'Price History'!R105=0),"",'Price History'!R106/'Price History'!R105-1),"")</f>
        <v>0.00984211605495178</v>
      </c>
      <c r="S105" s="153" t="n">
        <f aca="false">IFERROR(IF(OR(NOT(ISNUMBER('Price History'!S106)),NOT(ISNUMBER('Price History'!S105)),'Price History'!S105=0),"",'Price History'!S106/'Price History'!S105-1),"")</f>
        <v>0.004942767950052</v>
      </c>
      <c r="T105" s="153" t="n">
        <f aca="false">IFERROR(IF(OR(NOT(ISNUMBER('Price History'!T106)),NOT(ISNUMBER('Price History'!T105)),'Price History'!T105=0),"",'Price History'!T106/'Price History'!T105-1),"")</f>
        <v>0.00763566948459227</v>
      </c>
      <c r="U105" s="153" t="n">
        <f aca="false">IFERROR(IF(OR(NOT(ISNUMBER('Price History'!U106)),NOT(ISNUMBER('Price History'!U105)),'Price History'!U105=0),"",'Price History'!U106/'Price History'!U105-1),"")</f>
        <v>-0.0101047904191617</v>
      </c>
      <c r="V105" s="154" t="n">
        <f aca="false">IFERROR(IF(OR(NOT(ISNUMBER('Price History'!V106)),NOT(ISNUMBER('Price History'!V105)),'Price History'!V105=0),"",'Price History'!V106/'Price History'!V105-1),"")</f>
        <v>-0.0243273446230551</v>
      </c>
      <c r="W105" s="155" t="n">
        <f aca="false">IFERROR('Price History'!B3+(INDEX('Price History'!B:B,MATCH(9.99E+307,'Returns (Calc)'!$A:$A)+1)-'Price History'!B3)*(ROW()-3)/(MATCH(9.99E+307,'Returns (Calc)'!$A:$A)-3),"")</f>
        <v>345.020566037736</v>
      </c>
      <c r="X105" s="155" t="n">
        <f aca="false">IFERROR('Price History'!C3+(INDEX('Price History'!C:C,MATCH(9.99E+307,'Returns (Calc)'!$A:$A)+1)-'Price History'!C3)*(ROW()-3)/(MATCH(9.99E+307,'Returns (Calc)'!$A:$A)-3),"")</f>
        <v>155.595849056604</v>
      </c>
      <c r="Y105" s="155" t="n">
        <f aca="false">IFERROR('Price History'!D3+(INDEX('Price History'!D:D,MATCH(9.99E+307,'Returns (Calc)'!$A:$A)+1)-'Price History'!D3)*(ROW()-3)/(MATCH(9.99E+307,'Returns (Calc)'!$A:$A)-3),"")</f>
        <v>1350.75</v>
      </c>
      <c r="Z105" s="155" t="n">
        <f aca="false">IFERROR('Price History'!E3+(INDEX('Price History'!E:E,MATCH(9.99E+307,'Returns (Calc)'!$A:$A)+1)-'Price History'!E3)*(ROW()-3)/(MATCH(9.99E+307,'Returns (Calc)'!$A:$A)-3),"")</f>
        <v>261.327547169811</v>
      </c>
      <c r="AA105" s="155" t="n">
        <f aca="false">IFERROR('Price History'!F3+(INDEX('Price History'!F:F,MATCH(9.99E+307,'Returns (Calc)'!$A:$A)+1)-'Price History'!F3)*(ROW()-3)/(MATCH(9.99E+307,'Returns (Calc)'!$A:$A)-3),"")</f>
        <v>191.267924528302</v>
      </c>
      <c r="AB105" s="155" t="n">
        <f aca="false">IFERROR('Price History'!G3+(INDEX('Price History'!G:G,MATCH(9.99E+307,'Returns (Calc)'!$A:$A)+1)-'Price History'!G3)*(ROW()-3)/(MATCH(9.99E+307,'Returns (Calc)'!$A:$A)-3),"")</f>
        <v>141.359056603774</v>
      </c>
      <c r="AC105" s="155" t="n">
        <f aca="false">IFERROR('Price History'!H3+(INDEX('Price History'!H:H,MATCH(9.99E+307,'Returns (Calc)'!$A:$A)+1)-'Price History'!H3)*(ROW()-3)/(MATCH(9.99E+307,'Returns (Calc)'!$A:$A)-3),"")</f>
        <v>684.888490566038</v>
      </c>
      <c r="AD105" s="155" t="n">
        <f aca="false">IFERROR('Price History'!I3+(INDEX('Price History'!I:I,MATCH(9.99E+307,'Returns (Calc)'!$A:$A)+1)-'Price History'!I3)*(ROW()-3)/(MATCH(9.99E+307,'Returns (Calc)'!$A:$A)-3),"")</f>
        <v>162.77641509434</v>
      </c>
      <c r="AE105" s="155" t="n">
        <f aca="false">IFERROR('Price History'!J3+(INDEX('Price History'!J:J,MATCH(9.99E+307,'Returns (Calc)'!$A:$A)+1)-'Price History'!J3)*(ROW()-3)/(MATCH(9.99E+307,'Returns (Calc)'!$A:$A)-3),"")</f>
        <v>123.162641509434</v>
      </c>
      <c r="AF105" s="155" t="n">
        <f aca="false">IFERROR('Price History'!K3+(INDEX('Price History'!K:K,MATCH(9.99E+307,'Returns (Calc)'!$A:$A)+1)-'Price History'!K3)*(ROW()-3)/(MATCH(9.99E+307,'Returns (Calc)'!$A:$A)-3),"")</f>
        <v>139.60320754717</v>
      </c>
      <c r="AG105" s="155" t="n">
        <f aca="false">IFERROR('Price History'!L3+(INDEX('Price History'!L:L,MATCH(9.99E+307,'Returns (Calc)'!$A:$A)+1)-'Price History'!L3)*(ROW()-3)/(MATCH(9.99E+307,'Returns (Calc)'!$A:$A)-3),"")</f>
        <v>321.54320754717</v>
      </c>
      <c r="AH105" s="155" t="n">
        <f aca="false">IFERROR('Price History'!M3+(INDEX('Price History'!M:M,MATCH(9.99E+307,'Returns (Calc)'!$A:$A)+1)-'Price History'!M3)*(ROW()-3)/(MATCH(9.99E+307,'Returns (Calc)'!$A:$A)-3),"")</f>
        <v>169.375471698113</v>
      </c>
      <c r="AI105" s="155" t="n">
        <f aca="false">IFERROR('Price History'!N3+(INDEX('Price History'!N:N,MATCH(9.99E+307,'Returns (Calc)'!$A:$A)+1)-'Price History'!N3)*(ROW()-3)/(MATCH(9.99E+307,'Returns (Calc)'!$A:$A)-3),"")</f>
        <v>452.298490566038</v>
      </c>
      <c r="AJ105" s="155" t="n">
        <f aca="false">IFERROR('Price History'!O3+(INDEX('Price History'!O:O,MATCH(9.99E+307,'Returns (Calc)'!$A:$A)+1)-'Price History'!O3)*(ROW()-3)/(MATCH(9.99E+307,'Returns (Calc)'!$A:$A)-3),"")</f>
        <v>103.748113207547</v>
      </c>
      <c r="AK105" s="155" t="n">
        <f aca="false">IFERROR('Price History'!Q3+(INDEX('Price History'!Q:Q,MATCH(9.99E+307,'Returns (Calc)'!$A:$A)+1)-'Price History'!Q3)*(ROW()-3)/(MATCH(9.99E+307,'Returns (Calc)'!$A:$A)-3),"")</f>
        <v>44.8864150943396</v>
      </c>
      <c r="AL105" s="155" t="n">
        <f aca="false">IFERROR('Price History'!R3+(INDEX('Price History'!R:R,MATCH(9.99E+307,'Returns (Calc)'!$A:$A)+1)-'Price History'!R3)*(ROW()-3)/(MATCH(9.99E+307,'Returns (Calc)'!$A:$A)-3),"")</f>
        <v>51.5505660377359</v>
      </c>
      <c r="AM105" s="155" t="n">
        <f aca="false">IFERROR('Price History'!S3+(INDEX('Price History'!S:S,MATCH(9.99E+307,'Returns (Calc)'!$A:$A)+1)-'Price History'!S3)*(ROW()-3)/(MATCH(9.99E+307,'Returns (Calc)'!$A:$A)-3),"")</f>
        <v>117.630377358491</v>
      </c>
      <c r="AN105" s="155" t="n">
        <f aca="false">IFERROR('Price History'!T3+(INDEX('Price History'!T:T,MATCH(9.99E+307,'Returns (Calc)'!$A:$A)+1)-'Price History'!T3)*(ROW()-3)/(MATCH(9.99E+307,'Returns (Calc)'!$A:$A)-3),"")</f>
        <v>42.9277358490566</v>
      </c>
      <c r="AO105" s="156" t="n">
        <f aca="false">IFERROR('Price History'!V3+(INDEX('Price History'!V:V,MATCH(9.99E+307,'Returns (Calc)'!$A:$A)+1)-'Price History'!V3)*(ROW()-3)/(MATCH(9.99E+307,'Returns (Calc)'!$A:$A)-3),"")</f>
        <v>331.740943396226</v>
      </c>
      <c r="AP105" s="154" t="n">
        <f aca="false">IFERROR(IF(OR(NOT(ISNUMBER('Price History'!W106)),NOT(ISNUMBER('Price History'!W105)),'Price History'!W105=0),"",'Price History'!W106/'Price History'!W105-1),"")</f>
        <v>0.00259163272861906</v>
      </c>
      <c r="AQ105" s="154" t="str">
        <f aca="false">IFERROR(IF(OR(NOT(ISNUMBER('Price History'!X106)),NOT(ISNUMBER('Price History'!X105)),'Price History'!X105=0),"",'Price History'!X106/'Price History'!X105-1),"")</f>
        <v/>
      </c>
      <c r="AR105" s="154" t="n">
        <f aca="false">IFERROR(IF(OR(NOT(ISNUMBER('Price History'!Y106)),NOT(ISNUMBER('Price History'!Y105)),'Price History'!Y105=0),"",'Price History'!Y106/'Price History'!Y105-1),"")</f>
        <v>0</v>
      </c>
      <c r="AS105" s="154" t="n">
        <f aca="false">IFERROR(IF(OR(NOT(ISNUMBER('Price History'!Z106)),NOT(ISNUMBER('Price History'!Z105)),'Price History'!Z105=0),"",'Price History'!Z106/'Price History'!Z105-1),"")</f>
        <v>0.0146676908445809</v>
      </c>
      <c r="AT105" s="154" t="n">
        <f aca="false">IFERROR(IF(OR(NOT(ISNUMBER('Price History'!AA106)),NOT(ISNUMBER('Price History'!AA105)),'Price History'!AA105=0),"",'Price History'!AA106/'Price History'!AA105-1),"")</f>
        <v>0.0294653203112067</v>
      </c>
      <c r="AU105" s="154" t="n">
        <f aca="false">IFERROR(IF(OR(NOT(ISNUMBER('Price History'!AB106)),NOT(ISNUMBER('Price History'!AB105)),'Price History'!AB105=0),"",'Price History'!AB106/'Price History'!AB105-1),"")</f>
        <v>0.0138558692421993</v>
      </c>
    </row>
    <row r="106" customFormat="false" ht="15" hidden="false" customHeight="true" outlineLevel="0" collapsed="false">
      <c r="A106" s="152" t="n">
        <f aca="false">IF('Price History'!A107="","",'Price History'!A107)</f>
        <v>45912</v>
      </c>
      <c r="B106" s="153" t="n">
        <f aca="false">IFERROR(IF(OR(NOT(ISNUMBER('Price History'!B107)),NOT(ISNUMBER('Price History'!B106)),'Price History'!B106=0),"",'Price History'!B107/'Price History'!B106-1),"")</f>
        <v>0.00111757457661121</v>
      </c>
      <c r="C106" s="153" t="n">
        <f aca="false">IFERROR(IF(OR(NOT(ISNUMBER('Price History'!C107)),NOT(ISNUMBER('Price History'!C106)),'Price History'!C106=0),"",'Price History'!C107/'Price History'!C106-1),"")</f>
        <v>-0.0242212110605531</v>
      </c>
      <c r="D106" s="153" t="n">
        <f aca="false">IFERROR(IF(OR(NOT(ISNUMBER('Price History'!D107)),NOT(ISNUMBER('Price History'!D106)),'Price History'!D106=0),"",'Price History'!D107/'Price History'!D106-1),"")</f>
        <v>0.0411548069741687</v>
      </c>
      <c r="E106" s="153" t="n">
        <f aca="false">IFERROR(IF(OR(NOT(ISNUMBER('Price History'!E107)),NOT(ISNUMBER('Price History'!E106)),'Price History'!E106=0),"",'Price History'!E107/'Price History'!E106-1),"")</f>
        <v>0.0745818894078649</v>
      </c>
      <c r="F106" s="153" t="n">
        <f aca="false">IFERROR(IF(OR(NOT(ISNUMBER('Price History'!F107)),NOT(ISNUMBER('Price History'!F106)),'Price History'!F106=0),"",'Price History'!F107/'Price History'!F106-1),"")</f>
        <v>0.0442486351882003</v>
      </c>
      <c r="G106" s="153" t="n">
        <f aca="false">IFERROR(IF(OR(NOT(ISNUMBER('Price History'!G107)),NOT(ISNUMBER('Price History'!G106)),'Price History'!G106=0),"",'Price History'!G107/'Price History'!G106-1),"")</f>
        <v>0.0650966451899577</v>
      </c>
      <c r="H106" s="153" t="n">
        <f aca="false">IFERROR(IF(OR(NOT(ISNUMBER('Price History'!H107)),NOT(ISNUMBER('Price History'!H106)),'Price History'!H106=0),"",'Price History'!H107/'Price History'!H106-1),"")</f>
        <v>0.196858798414151</v>
      </c>
      <c r="I106" s="153" t="n">
        <f aca="false">IFERROR(IF(OR(NOT(ISNUMBER('Price History'!I107)),NOT(ISNUMBER('Price History'!I106)),'Price History'!I106=0),"",'Price History'!I107/'Price History'!I106-1),"")</f>
        <v>0.0647620190864893</v>
      </c>
      <c r="J106" s="153" t="n">
        <f aca="false">IFERROR(IF(OR(NOT(ISNUMBER('Price History'!J107)),NOT(ISNUMBER('Price History'!J106)),'Price History'!J106=0),"",'Price History'!J107/'Price History'!J106-1),"")</f>
        <v>0.0149240065921992</v>
      </c>
      <c r="K106" s="153" t="n">
        <f aca="false">IFERROR(IF(OR(NOT(ISNUMBER('Price History'!K107)),NOT(ISNUMBER('Price History'!K106)),'Price History'!K106=0),"",'Price History'!K107/'Price History'!K106-1),"")</f>
        <v>0.119652537391418</v>
      </c>
      <c r="L106" s="153" t="n">
        <f aca="false">IFERROR(IF(OR(NOT(ISNUMBER('Price History'!L107)),NOT(ISNUMBER('Price History'!L106)),'Price History'!L106=0),"",'Price History'!L107/'Price History'!L106-1),"")</f>
        <v>0.0654310703873386</v>
      </c>
      <c r="M106" s="153" t="n">
        <f aca="false">IFERROR(IF(OR(NOT(ISNUMBER('Price History'!M107)),NOT(ISNUMBER('Price History'!M106)),'Price History'!M106=0),"",'Price History'!M107/'Price History'!M106-1),"")</f>
        <v>0.0874586126140677</v>
      </c>
      <c r="N106" s="153" t="n">
        <f aca="false">IFERROR(IF(OR(NOT(ISNUMBER('Price History'!N107)),NOT(ISNUMBER('Price History'!N106)),'Price History'!N106=0),"",'Price History'!N107/'Price History'!N106-1),"")</f>
        <v>-0.00401393517116033</v>
      </c>
      <c r="O106" s="153" t="n">
        <f aca="false">IFERROR(IF(OR(NOT(ISNUMBER('Price History'!O107)),NOT(ISNUMBER('Price History'!O106)),'Price History'!O106=0),"",'Price History'!O107/'Price History'!O106-1),"")</f>
        <v>-0.00796611878592324</v>
      </c>
      <c r="P106" s="153" t="n">
        <f aca="false">IFERROR(IF(OR(NOT(ISNUMBER('Price History'!P107)),NOT(ISNUMBER('Price History'!P106)),'Price History'!P106=0),"",'Price History'!P107/'Price History'!P106-1),"")</f>
        <v>0.0013268465280849</v>
      </c>
      <c r="Q106" s="153" t="n">
        <f aca="false">IFERROR(IF(OR(NOT(ISNUMBER('Price History'!Q107)),NOT(ISNUMBER('Price History'!Q106)),'Price History'!Q106=0),"",'Price History'!Q107/'Price History'!Q106-1),"")</f>
        <v>0.00846129739893442</v>
      </c>
      <c r="R106" s="153" t="n">
        <f aca="false">IFERROR(IF(OR(NOT(ISNUMBER('Price History'!R107)),NOT(ISNUMBER('Price History'!R106)),'Price History'!R106=0),"",'Price History'!R107/'Price History'!R106-1),"")</f>
        <v>0.0136040609137056</v>
      </c>
      <c r="S106" s="153" t="n">
        <f aca="false">IFERROR(IF(OR(NOT(ISNUMBER('Price History'!S107)),NOT(ISNUMBER('Price History'!S106)),'Price History'!S106=0),"",'Price History'!S107/'Price History'!S106-1),"")</f>
        <v>0.029251876779705</v>
      </c>
      <c r="T106" s="153" t="n">
        <f aca="false">IFERROR(IF(OR(NOT(ISNUMBER('Price History'!T107)),NOT(ISNUMBER('Price History'!T106)),'Price History'!T106=0),"",'Price History'!T107/'Price History'!T106-1),"")</f>
        <v>0.000811907983761628</v>
      </c>
      <c r="U106" s="153" t="n">
        <f aca="false">IFERROR(IF(OR(NOT(ISNUMBER('Price History'!U107)),NOT(ISNUMBER('Price History'!U106)),'Price History'!U106=0),"",'Price History'!U107/'Price History'!U106-1),"")</f>
        <v>-0.00567107750472584</v>
      </c>
      <c r="V106" s="154" t="n">
        <f aca="false">IFERROR(IF(OR(NOT(ISNUMBER('Price History'!V107)),NOT(ISNUMBER('Price History'!V106)),'Price History'!V106=0),"",'Price History'!V107/'Price History'!V106-1),"")</f>
        <v>-0.0110425844346549</v>
      </c>
      <c r="W106" s="155" t="n">
        <f aca="false">IFERROR('Price History'!B3+(INDEX('Price History'!B:B,MATCH(9.99E+307,'Returns (Calc)'!$A:$A)+1)-'Price History'!B3)*(ROW()-3)/(MATCH(9.99E+307,'Returns (Calc)'!$A:$A)-3),"")</f>
        <v>343.217924528302</v>
      </c>
      <c r="X106" s="155" t="n">
        <f aca="false">IFERROR('Price History'!C3+(INDEX('Price History'!C:C,MATCH(9.99E+307,'Returns (Calc)'!$A:$A)+1)-'Price History'!C3)*(ROW()-3)/(MATCH(9.99E+307,'Returns (Calc)'!$A:$A)-3),"")</f>
        <v>156.66855345912</v>
      </c>
      <c r="Y106" s="155" t="n">
        <f aca="false">IFERROR('Price History'!D3+(INDEX('Price History'!D:D,MATCH(9.99E+307,'Returns (Calc)'!$A:$A)+1)-'Price History'!D3)*(ROW()-3)/(MATCH(9.99E+307,'Returns (Calc)'!$A:$A)-3),"")</f>
        <v>1358.28666666667</v>
      </c>
      <c r="Z106" s="155" t="n">
        <f aca="false">IFERROR('Price History'!E3+(INDEX('Price History'!E:E,MATCH(9.99E+307,'Returns (Calc)'!$A:$A)+1)-'Price History'!E3)*(ROW()-3)/(MATCH(9.99E+307,'Returns (Calc)'!$A:$A)-3),"")</f>
        <v>263.085660377359</v>
      </c>
      <c r="AA106" s="155" t="n">
        <f aca="false">IFERROR('Price History'!F3+(INDEX('Price History'!F:F,MATCH(9.99E+307,'Returns (Calc)'!$A:$A)+1)-'Price History'!F3)*(ROW()-3)/(MATCH(9.99E+307,'Returns (Calc)'!$A:$A)-3),"")</f>
        <v>192.737610062893</v>
      </c>
      <c r="AB106" s="155" t="n">
        <f aca="false">IFERROR('Price History'!G3+(INDEX('Price History'!G:G,MATCH(9.99E+307,'Returns (Calc)'!$A:$A)+1)-'Price History'!G3)*(ROW()-3)/(MATCH(9.99E+307,'Returns (Calc)'!$A:$A)-3),"")</f>
        <v>142.310125786164</v>
      </c>
      <c r="AC106" s="155" t="n">
        <f aca="false">IFERROR('Price History'!H3+(INDEX('Price History'!H:H,MATCH(9.99E+307,'Returns (Calc)'!$A:$A)+1)-'Price History'!H3)*(ROW()-3)/(MATCH(9.99E+307,'Returns (Calc)'!$A:$A)-3),"")</f>
        <v>690.925534591195</v>
      </c>
      <c r="AD106" s="155" t="n">
        <f aca="false">IFERROR('Price History'!I3+(INDEX('Price History'!I:I,MATCH(9.99E+307,'Returns (Calc)'!$A:$A)+1)-'Price History'!I3)*(ROW()-3)/(MATCH(9.99E+307,'Returns (Calc)'!$A:$A)-3),"")</f>
        <v>163.943144654088</v>
      </c>
      <c r="AE106" s="155" t="n">
        <f aca="false">IFERROR('Price History'!J3+(INDEX('Price History'!J:J,MATCH(9.99E+307,'Returns (Calc)'!$A:$A)+1)-'Price History'!J3)*(ROW()-3)/(MATCH(9.99E+307,'Returns (Calc)'!$A:$A)-3),"")</f>
        <v>123.273647798742</v>
      </c>
      <c r="AF106" s="155" t="n">
        <f aca="false">IFERROR('Price History'!K3+(INDEX('Price History'!K:K,MATCH(9.99E+307,'Returns (Calc)'!$A:$A)+1)-'Price History'!K3)*(ROW()-3)/(MATCH(9.99E+307,'Returns (Calc)'!$A:$A)-3),"")</f>
        <v>140.821572327044</v>
      </c>
      <c r="AG106" s="155" t="n">
        <f aca="false">IFERROR('Price History'!L3+(INDEX('Price History'!L:L,MATCH(9.99E+307,'Returns (Calc)'!$A:$A)+1)-'Price History'!L3)*(ROW()-3)/(MATCH(9.99E+307,'Returns (Calc)'!$A:$A)-3),"")</f>
        <v>323.854905660377</v>
      </c>
      <c r="AH106" s="155" t="n">
        <f aca="false">IFERROR('Price History'!M3+(INDEX('Price History'!M:M,MATCH(9.99E+307,'Returns (Calc)'!$A:$A)+1)-'Price History'!M3)*(ROW()-3)/(MATCH(9.99E+307,'Returns (Calc)'!$A:$A)-3),"")</f>
        <v>170.663270440252</v>
      </c>
      <c r="AI106" s="155" t="n">
        <f aca="false">IFERROR('Price History'!N3+(INDEX('Price History'!N:N,MATCH(9.99E+307,'Returns (Calc)'!$A:$A)+1)-'Price History'!N3)*(ROW()-3)/(MATCH(9.99E+307,'Returns (Calc)'!$A:$A)-3),"")</f>
        <v>453.312201257862</v>
      </c>
      <c r="AJ106" s="155" t="n">
        <f aca="false">IFERROR('Price History'!O3+(INDEX('Price History'!O:O,MATCH(9.99E+307,'Returns (Calc)'!$A:$A)+1)-'Price History'!O3)*(ROW()-3)/(MATCH(9.99E+307,'Returns (Calc)'!$A:$A)-3),"")</f>
        <v>104.026918238994</v>
      </c>
      <c r="AK106" s="155" t="n">
        <f aca="false">IFERROR('Price History'!Q3+(INDEX('Price History'!Q:Q,MATCH(9.99E+307,'Returns (Calc)'!$A:$A)+1)-'Price History'!Q3)*(ROW()-3)/(MATCH(9.99E+307,'Returns (Calc)'!$A:$A)-3),"")</f>
        <v>45.3264779874214</v>
      </c>
      <c r="AL106" s="155" t="n">
        <f aca="false">IFERROR('Price History'!R3+(INDEX('Price History'!R:R,MATCH(9.99E+307,'Returns (Calc)'!$A:$A)+1)-'Price History'!R3)*(ROW()-3)/(MATCH(9.99E+307,'Returns (Calc)'!$A:$A)-3),"")</f>
        <v>51.7179245283019</v>
      </c>
      <c r="AM106" s="155" t="n">
        <f aca="false">IFERROR('Price History'!S3+(INDEX('Price History'!S:S,MATCH(9.99E+307,'Returns (Calc)'!$A:$A)+1)-'Price History'!S3)*(ROW()-3)/(MATCH(9.99E+307,'Returns (Calc)'!$A:$A)-3),"")</f>
        <v>118.218616352201</v>
      </c>
      <c r="AN106" s="155" t="n">
        <f aca="false">IFERROR('Price History'!T3+(INDEX('Price History'!T:T,MATCH(9.99E+307,'Returns (Calc)'!$A:$A)+1)-'Price History'!T3)*(ROW()-3)/(MATCH(9.99E+307,'Returns (Calc)'!$A:$A)-3),"")</f>
        <v>43.1016352201258</v>
      </c>
      <c r="AO106" s="156" t="n">
        <f aca="false">IFERROR('Price History'!V3+(INDEX('Price History'!V:V,MATCH(9.99E+307,'Returns (Calc)'!$A:$A)+1)-'Price History'!V3)*(ROW()-3)/(MATCH(9.99E+307,'Returns (Calc)'!$A:$A)-3),"")</f>
        <v>332.68320754717</v>
      </c>
      <c r="AP106" s="154" t="n">
        <f aca="false">IFERROR(IF(OR(NOT(ISNUMBER('Price History'!W107)),NOT(ISNUMBER('Price History'!W106)),'Price History'!W106=0),"",'Price History'!W107/'Price History'!W106-1),"")</f>
        <v>0.0131462333825703</v>
      </c>
      <c r="AQ106" s="154" t="str">
        <f aca="false">IFERROR(IF(OR(NOT(ISNUMBER('Price History'!X107)),NOT(ISNUMBER('Price History'!X106)),'Price History'!X106=0),"",'Price History'!X107/'Price History'!X106-1),"")</f>
        <v/>
      </c>
      <c r="AR106" s="154" t="n">
        <f aca="false">IFERROR(IF(OR(NOT(ISNUMBER('Price History'!Y107)),NOT(ISNUMBER('Price History'!Y106)),'Price History'!Y106=0),"",'Price History'!Y107/'Price History'!Y106-1),"")</f>
        <v>0.00211132437619965</v>
      </c>
      <c r="AS106" s="154" t="n">
        <f aca="false">IFERROR(IF(OR(NOT(ISNUMBER('Price History'!Z107)),NOT(ISNUMBER('Price History'!Z106)),'Price History'!Z106=0),"",'Price History'!Z107/'Price History'!Z106-1),"")</f>
        <v>0.00879596250901216</v>
      </c>
      <c r="AT106" s="154" t="n">
        <f aca="false">IFERROR(IF(OR(NOT(ISNUMBER('Price History'!AA107)),NOT(ISNUMBER('Price History'!AA106)),'Price History'!AA106=0),"",'Price History'!AA107/'Price History'!AA106-1),"")</f>
        <v>-0.0445409229779706</v>
      </c>
      <c r="AU106" s="154" t="n">
        <f aca="false">IFERROR(IF(OR(NOT(ISNUMBER('Price History'!AB107)),NOT(ISNUMBER('Price History'!AB106)),'Price History'!AB106=0),"",'Price History'!AB107/'Price History'!AB106-1),"")</f>
        <v>0.0128238009746089</v>
      </c>
    </row>
    <row r="107" customFormat="false" ht="15" hidden="false" customHeight="true" outlineLevel="0" collapsed="false">
      <c r="A107" s="152" t="n">
        <f aca="false">IF('Price History'!A108="","",'Price History'!A108)</f>
        <v>45919</v>
      </c>
      <c r="B107" s="153" t="n">
        <f aca="false">IFERROR(IF(OR(NOT(ISNUMBER('Price History'!B108)),NOT(ISNUMBER('Price History'!B107)),'Price History'!B107=0),"",'Price History'!B108/'Price History'!B107-1),"")</f>
        <v>0.0473437142202884</v>
      </c>
      <c r="C107" s="153" t="n">
        <f aca="false">IFERROR(IF(OR(NOT(ISNUMBER('Price History'!C108)),NOT(ISNUMBER('Price History'!C107)),'Price History'!C107=0),"",'Price History'!C108/'Price History'!C107-1),"")</f>
        <v>0.0733194633761392</v>
      </c>
      <c r="D107" s="153" t="n">
        <f aca="false">IFERROR(IF(OR(NOT(ISNUMBER('Price History'!D108)),NOT(ISNUMBER('Price History'!D107)),'Price History'!D107=0),"",'Price History'!D108/'Price History'!D107-1),"")</f>
        <v>0.145336037796522</v>
      </c>
      <c r="E107" s="153" t="n">
        <f aca="false">IFERROR(IF(OR(NOT(ISNUMBER('Price History'!E108)),NOT(ISNUMBER('Price History'!E107)),'Price History'!E107=0),"",'Price History'!E108/'Price History'!E107-1),"")</f>
        <v>-0.0414750420639373</v>
      </c>
      <c r="F107" s="153" t="n">
        <f aca="false">IFERROR(IF(OR(NOT(ISNUMBER('Price History'!F108)),NOT(ISNUMBER('Price History'!F107)),'Price History'!F107=0),"",'Price History'!F108/'Price History'!F107-1),"")</f>
        <v>0.152343391727048</v>
      </c>
      <c r="G107" s="153" t="n">
        <f aca="false">IFERROR(IF(OR(NOT(ISNUMBER('Price History'!G108)),NOT(ISNUMBER('Price History'!G107)),'Price History'!G107=0),"",'Price History'!G108/'Price History'!G107-1),"")</f>
        <v>0.083854818523154</v>
      </c>
      <c r="H107" s="153" t="n">
        <f aca="false">IFERROR(IF(OR(NOT(ISNUMBER('Price History'!H108)),NOT(ISNUMBER('Price History'!H107)),'Price History'!H107=0),"",'Price History'!H108/'Price History'!H107-1),"")</f>
        <v>0.0349726079755384</v>
      </c>
      <c r="I107" s="153" t="n">
        <f aca="false">IFERROR(IF(OR(NOT(ISNUMBER('Price History'!I108)),NOT(ISNUMBER('Price History'!I107)),'Price History'!I107=0),"",'Price History'!I108/'Price History'!I107-1),"")</f>
        <v>-0.00648252536640359</v>
      </c>
      <c r="J107" s="153" t="n">
        <f aca="false">IFERROR(IF(OR(NOT(ISNUMBER('Price History'!J108)),NOT(ISNUMBER('Price History'!J107)),'Price History'!J107=0),"",'Price History'!J108/'Price History'!J107-1),"")</f>
        <v>-0.00721695985566073</v>
      </c>
      <c r="K107" s="153" t="n">
        <f aca="false">IFERROR(IF(OR(NOT(ISNUMBER('Price History'!K108)),NOT(ISNUMBER('Price History'!K107)),'Price History'!K107=0),"",'Price History'!K108/'Price History'!K107-1),"")</f>
        <v>0.0639328005599953</v>
      </c>
      <c r="L107" s="153" t="n">
        <f aca="false">IFERROR(IF(OR(NOT(ISNUMBER('Price History'!L108)),NOT(ISNUMBER('Price History'!L107)),'Price History'!L107=0),"",'Price History'!L108/'Price History'!L107-1),"")</f>
        <v>0.0245885618232282</v>
      </c>
      <c r="M107" s="153" t="n">
        <f aca="false">IFERROR(IF(OR(NOT(ISNUMBER('Price History'!M108)),NOT(ISNUMBER('Price History'!M107)),'Price History'!M107=0),"",'Price History'!M108/'Price History'!M107-1),"")</f>
        <v>0.0652755086885488</v>
      </c>
      <c r="N107" s="153" t="n">
        <f aca="false">IFERROR(IF(OR(NOT(ISNUMBER('Price History'!N108)),NOT(ISNUMBER('Price History'!N107)),'Price History'!N107=0),"",'Price History'!N108/'Price History'!N107-1),"")</f>
        <v>-0.0289204876688718</v>
      </c>
      <c r="O107" s="153" t="n">
        <f aca="false">IFERROR(IF(OR(NOT(ISNUMBER('Price History'!O108)),NOT(ISNUMBER('Price History'!O107)),'Price History'!O107=0),"",'Price History'!O108/'Price History'!O107-1),"")</f>
        <v>0.00569221386460672</v>
      </c>
      <c r="P107" s="153" t="n">
        <f aca="false">IFERROR(IF(OR(NOT(ISNUMBER('Price History'!P108)),NOT(ISNUMBER('Price History'!P107)),'Price History'!P107=0),"",'Price History'!P108/'Price History'!P107-1),"")</f>
        <v>-0.00279740871613665</v>
      </c>
      <c r="Q107" s="153" t="n">
        <f aca="false">IFERROR(IF(OR(NOT(ISNUMBER('Price History'!Q108)),NOT(ISNUMBER('Price History'!Q107)),'Price History'!Q107=0),"",'Price History'!Q108/'Price History'!Q107-1),"")</f>
        <v>0.00201988812927278</v>
      </c>
      <c r="R107" s="153" t="n">
        <f aca="false">IFERROR(IF(OR(NOT(ISNUMBER('Price History'!R108)),NOT(ISNUMBER('Price History'!R107)),'Price History'!R107=0),"",'Price History'!R108/'Price History'!R107-1),"")</f>
        <v>0.0110176282051282</v>
      </c>
      <c r="S107" s="153" t="n">
        <f aca="false">IFERROR(IF(OR(NOT(ISNUMBER('Price History'!S108)),NOT(ISNUMBER('Price History'!S107)),'Price History'!S107=0),"",'Price History'!S108/'Price History'!S107-1),"")</f>
        <v>0.012072434607646</v>
      </c>
      <c r="T107" s="153" t="n">
        <f aca="false">IFERROR(IF(OR(NOT(ISNUMBER('Price History'!T108)),NOT(ISNUMBER('Price History'!T107)),'Price History'!T107=0),"",'Price History'!T108/'Price History'!T107-1),"")</f>
        <v>-0.0013520822065981</v>
      </c>
      <c r="U107" s="153" t="n">
        <f aca="false">IFERROR(IF(OR(NOT(ISNUMBER('Price History'!U108)),NOT(ISNUMBER('Price History'!U107)),'Price History'!U107=0),"",'Price History'!U108/'Price History'!U107-1),"")</f>
        <v>-0.00570342205323204</v>
      </c>
      <c r="V107" s="154" t="n">
        <f aca="false">IFERROR(IF(OR(NOT(ISNUMBER('Price History'!V108)),NOT(ISNUMBER('Price History'!V107)),'Price History'!V107=0),"",'Price History'!V108/'Price History'!V107-1),"")</f>
        <v>0.00641444437845218</v>
      </c>
      <c r="W107" s="155" t="n">
        <f aca="false">IFERROR('Price History'!B3+(INDEX('Price History'!B:B,MATCH(9.99E+307,'Returns (Calc)'!$A:$A)+1)-'Price History'!B3)*(ROW()-3)/(MATCH(9.99E+307,'Returns (Calc)'!$A:$A)-3),"")</f>
        <v>341.415283018868</v>
      </c>
      <c r="X107" s="155" t="n">
        <f aca="false">IFERROR('Price History'!C3+(INDEX('Price History'!C:C,MATCH(9.99E+307,'Returns (Calc)'!$A:$A)+1)-'Price History'!C3)*(ROW()-3)/(MATCH(9.99E+307,'Returns (Calc)'!$A:$A)-3),"")</f>
        <v>157.741257861635</v>
      </c>
      <c r="Y107" s="155" t="n">
        <f aca="false">IFERROR('Price History'!D3+(INDEX('Price History'!D:D,MATCH(9.99E+307,'Returns (Calc)'!$A:$A)+1)-'Price History'!D3)*(ROW()-3)/(MATCH(9.99E+307,'Returns (Calc)'!$A:$A)-3),"")</f>
        <v>1365.82333333333</v>
      </c>
      <c r="Z107" s="155" t="n">
        <f aca="false">IFERROR('Price History'!E3+(INDEX('Price History'!E:E,MATCH(9.99E+307,'Returns (Calc)'!$A:$A)+1)-'Price History'!E3)*(ROW()-3)/(MATCH(9.99E+307,'Returns (Calc)'!$A:$A)-3),"")</f>
        <v>264.843773584906</v>
      </c>
      <c r="AA107" s="155" t="n">
        <f aca="false">IFERROR('Price History'!F3+(INDEX('Price History'!F:F,MATCH(9.99E+307,'Returns (Calc)'!$A:$A)+1)-'Price History'!F3)*(ROW()-3)/(MATCH(9.99E+307,'Returns (Calc)'!$A:$A)-3),"")</f>
        <v>194.207295597484</v>
      </c>
      <c r="AB107" s="155" t="n">
        <f aca="false">IFERROR('Price History'!G3+(INDEX('Price History'!G:G,MATCH(9.99E+307,'Returns (Calc)'!$A:$A)+1)-'Price History'!G3)*(ROW()-3)/(MATCH(9.99E+307,'Returns (Calc)'!$A:$A)-3),"")</f>
        <v>143.261194968553</v>
      </c>
      <c r="AC107" s="155" t="n">
        <f aca="false">IFERROR('Price History'!H3+(INDEX('Price History'!H:H,MATCH(9.99E+307,'Returns (Calc)'!$A:$A)+1)-'Price History'!H3)*(ROW()-3)/(MATCH(9.99E+307,'Returns (Calc)'!$A:$A)-3),"")</f>
        <v>696.962578616352</v>
      </c>
      <c r="AD107" s="155" t="n">
        <f aca="false">IFERROR('Price History'!I3+(INDEX('Price History'!I:I,MATCH(9.99E+307,'Returns (Calc)'!$A:$A)+1)-'Price History'!I3)*(ROW()-3)/(MATCH(9.99E+307,'Returns (Calc)'!$A:$A)-3),"")</f>
        <v>165.109874213837</v>
      </c>
      <c r="AE107" s="155" t="n">
        <f aca="false">IFERROR('Price History'!J3+(INDEX('Price History'!J:J,MATCH(9.99E+307,'Returns (Calc)'!$A:$A)+1)-'Price History'!J3)*(ROW()-3)/(MATCH(9.99E+307,'Returns (Calc)'!$A:$A)-3),"")</f>
        <v>123.38465408805</v>
      </c>
      <c r="AF107" s="155" t="n">
        <f aca="false">IFERROR('Price History'!K3+(INDEX('Price History'!K:K,MATCH(9.99E+307,'Returns (Calc)'!$A:$A)+1)-'Price History'!K3)*(ROW()-3)/(MATCH(9.99E+307,'Returns (Calc)'!$A:$A)-3),"")</f>
        <v>142.039937106918</v>
      </c>
      <c r="AG107" s="155" t="n">
        <f aca="false">IFERROR('Price History'!L3+(INDEX('Price History'!L:L,MATCH(9.99E+307,'Returns (Calc)'!$A:$A)+1)-'Price History'!L3)*(ROW()-3)/(MATCH(9.99E+307,'Returns (Calc)'!$A:$A)-3),"")</f>
        <v>326.166603773585</v>
      </c>
      <c r="AH107" s="155" t="n">
        <f aca="false">IFERROR('Price History'!M3+(INDEX('Price History'!M:M,MATCH(9.99E+307,'Returns (Calc)'!$A:$A)+1)-'Price History'!M3)*(ROW()-3)/(MATCH(9.99E+307,'Returns (Calc)'!$A:$A)-3),"")</f>
        <v>171.95106918239</v>
      </c>
      <c r="AI107" s="155" t="n">
        <f aca="false">IFERROR('Price History'!N3+(INDEX('Price History'!N:N,MATCH(9.99E+307,'Returns (Calc)'!$A:$A)+1)-'Price History'!N3)*(ROW()-3)/(MATCH(9.99E+307,'Returns (Calc)'!$A:$A)-3),"")</f>
        <v>454.325911949686</v>
      </c>
      <c r="AJ107" s="155" t="n">
        <f aca="false">IFERROR('Price History'!O3+(INDEX('Price History'!O:O,MATCH(9.99E+307,'Returns (Calc)'!$A:$A)+1)-'Price History'!O3)*(ROW()-3)/(MATCH(9.99E+307,'Returns (Calc)'!$A:$A)-3),"")</f>
        <v>104.30572327044</v>
      </c>
      <c r="AK107" s="155" t="n">
        <f aca="false">IFERROR('Price History'!Q3+(INDEX('Price History'!Q:Q,MATCH(9.99E+307,'Returns (Calc)'!$A:$A)+1)-'Price History'!Q3)*(ROW()-3)/(MATCH(9.99E+307,'Returns (Calc)'!$A:$A)-3),"")</f>
        <v>45.7665408805031</v>
      </c>
      <c r="AL107" s="155" t="n">
        <f aca="false">IFERROR('Price History'!R3+(INDEX('Price History'!R:R,MATCH(9.99E+307,'Returns (Calc)'!$A:$A)+1)-'Price History'!R3)*(ROW()-3)/(MATCH(9.99E+307,'Returns (Calc)'!$A:$A)-3),"")</f>
        <v>51.8852830188679</v>
      </c>
      <c r="AM107" s="155" t="n">
        <f aca="false">IFERROR('Price History'!S3+(INDEX('Price History'!S:S,MATCH(9.99E+307,'Returns (Calc)'!$A:$A)+1)-'Price History'!S3)*(ROW()-3)/(MATCH(9.99E+307,'Returns (Calc)'!$A:$A)-3),"")</f>
        <v>118.806855345912</v>
      </c>
      <c r="AN107" s="155" t="n">
        <f aca="false">IFERROR('Price History'!T3+(INDEX('Price History'!T:T,MATCH(9.99E+307,'Returns (Calc)'!$A:$A)+1)-'Price History'!T3)*(ROW()-3)/(MATCH(9.99E+307,'Returns (Calc)'!$A:$A)-3),"")</f>
        <v>43.275534591195</v>
      </c>
      <c r="AO107" s="156" t="n">
        <f aca="false">IFERROR('Price History'!V3+(INDEX('Price History'!V:V,MATCH(9.99E+307,'Returns (Calc)'!$A:$A)+1)-'Price History'!V3)*(ROW()-3)/(MATCH(9.99E+307,'Returns (Calc)'!$A:$A)-3),"")</f>
        <v>333.625471698113</v>
      </c>
      <c r="AP107" s="154" t="n">
        <f aca="false">IFERROR(IF(OR(NOT(ISNUMBER('Price History'!W108)),NOT(ISNUMBER('Price History'!W107)),'Price History'!W107=0),"",'Price History'!W108/'Price History'!W107-1),"")</f>
        <v>-0.000583175389998636</v>
      </c>
      <c r="AQ107" s="154" t="str">
        <f aca="false">IFERROR(IF(OR(NOT(ISNUMBER('Price History'!X108)),NOT(ISNUMBER('Price History'!X107)),'Price History'!X107=0),"",'Price History'!X108/'Price History'!X107-1),"")</f>
        <v/>
      </c>
      <c r="AR107" s="154" t="n">
        <f aca="false">IFERROR(IF(OR(NOT(ISNUMBER('Price History'!Y108)),NOT(ISNUMBER('Price History'!Y107)),'Price History'!Y107=0),"",'Price History'!Y108/'Price History'!Y107-1),"")</f>
        <v>-0.000766136755410818</v>
      </c>
      <c r="AS107" s="154" t="n">
        <f aca="false">IFERROR(IF(OR(NOT(ISNUMBER('Price History'!Z108)),NOT(ISNUMBER('Price History'!Z107)),'Price History'!Z107=0),"",'Price History'!Z108/'Price History'!Z107-1),"")</f>
        <v>0.069039451114923</v>
      </c>
      <c r="AT107" s="154" t="n">
        <f aca="false">IFERROR(IF(OR(NOT(ISNUMBER('Price History'!AA108)),NOT(ISNUMBER('Price History'!AA107)),'Price History'!AA107=0),"",'Price History'!AA108/'Price History'!AA107-1),"")</f>
        <v>0.0324806462470548</v>
      </c>
      <c r="AU107" s="154" t="n">
        <f aca="false">IFERROR(IF(OR(NOT(ISNUMBER('Price History'!AB108)),NOT(ISNUMBER('Price History'!AB107)),'Price History'!AB107=0),"",'Price History'!AB108/'Price History'!AB107-1),"")</f>
        <v>0.00491987121513593</v>
      </c>
    </row>
    <row r="108" customFormat="false" ht="15" hidden="false" customHeight="true" outlineLevel="0" collapsed="false">
      <c r="A108" s="152" t="n">
        <f aca="false">IF('Price History'!A109="","",'Price History'!A109)</f>
        <v>45926</v>
      </c>
      <c r="B108" s="153" t="n">
        <f aca="false">IFERROR(IF(OR(NOT(ISNUMBER('Price History'!B109)),NOT(ISNUMBER('Price History'!B108)),'Price History'!B108=0),"",'Price History'!B109/'Price History'!B108-1),"")</f>
        <v>-0.0151134189669307</v>
      </c>
      <c r="C108" s="153" t="n">
        <f aca="false">IFERROR(IF(OR(NOT(ISNUMBER('Price History'!C109)),NOT(ISNUMBER('Price History'!C108)),'Price History'!C108=0),"",'Price History'!C109/'Price History'!C108-1),"")</f>
        <v>-0.0475235612592742</v>
      </c>
      <c r="D108" s="153" t="n">
        <f aca="false">IFERROR(IF(OR(NOT(ISNUMBER('Price History'!D109)),NOT(ISNUMBER('Price History'!D108)),'Price History'!D108=0),"",'Price History'!D109/'Price History'!D108-1),"")</f>
        <v>0.0207764159602613</v>
      </c>
      <c r="E108" s="153" t="n">
        <f aca="false">IFERROR(IF(OR(NOT(ISNUMBER('Price History'!E109)),NOT(ISNUMBER('Price History'!E108)),'Price History'!E108=0),"",'Price History'!E109/'Price History'!E108-1),"")</f>
        <v>-0.028524618940347</v>
      </c>
      <c r="F108" s="153" t="n">
        <f aca="false">IFERROR(IF(OR(NOT(ISNUMBER('Price History'!F109)),NOT(ISNUMBER('Price History'!F108)),'Price History'!F108=0),"",'Price History'!F109/'Price History'!F108-1),"")</f>
        <v>-0.0420248328557784</v>
      </c>
      <c r="G108" s="153" t="n">
        <f aca="false">IFERROR(IF(OR(NOT(ISNUMBER('Price History'!G109)),NOT(ISNUMBER('Price History'!G108)),'Price History'!G108=0),"",'Price History'!G109/'Price History'!G108-1),"")</f>
        <v>0.0186682063125481</v>
      </c>
      <c r="H108" s="153" t="n">
        <f aca="false">IFERROR(IF(OR(NOT(ISNUMBER('Price History'!H109)),NOT(ISNUMBER('Price History'!H108)),'Price History'!H108=0),"",'Price History'!H109/'Price History'!H108-1),"")</f>
        <v>-0.0335446543977349</v>
      </c>
      <c r="I108" s="153" t="n">
        <f aca="false">IFERROR(IF(OR(NOT(ISNUMBER('Price History'!I109)),NOT(ISNUMBER('Price History'!I108)),'Price History'!I108=0),"",'Price History'!I109/'Price History'!I108-1),"")</f>
        <v>0.00856737588652479</v>
      </c>
      <c r="J108" s="153" t="n">
        <f aca="false">IFERROR(IF(OR(NOT(ISNUMBER('Price History'!J109)),NOT(ISNUMBER('Price History'!J108)),'Price History'!J108=0),"",'Price History'!J109/'Price History'!J108-1),"")</f>
        <v>0.00599727396637895</v>
      </c>
      <c r="K108" s="153" t="n">
        <f aca="false">IFERROR(IF(OR(NOT(ISNUMBER('Price History'!K109)),NOT(ISNUMBER('Price History'!K108)),'Price History'!K108=0),"",'Price History'!K109/'Price History'!K108-1),"")</f>
        <v>-0.0264268874390043</v>
      </c>
      <c r="L108" s="153" t="n">
        <f aca="false">IFERROR(IF(OR(NOT(ISNUMBER('Price History'!L109)),NOT(ISNUMBER('Price History'!L108)),'Price History'!L108=0),"",'Price History'!L109/'Price History'!L108-1),"")</f>
        <v>0.0320488363220144</v>
      </c>
      <c r="M108" s="153" t="n">
        <f aca="false">IFERROR(IF(OR(NOT(ISNUMBER('Price History'!M109)),NOT(ISNUMBER('Price History'!M108)),'Price History'!M108=0),"",'Price History'!M109/'Price History'!M108-1),"")</f>
        <v>-0.0347159288950853</v>
      </c>
      <c r="N108" s="153" t="n">
        <f aca="false">IFERROR(IF(OR(NOT(ISNUMBER('Price History'!N109)),NOT(ISNUMBER('Price History'!N108)),'Price History'!N108=0),"",'Price History'!N109/'Price History'!N108-1),"")</f>
        <v>0.00683858843182295</v>
      </c>
      <c r="O108" s="153" t="n">
        <f aca="false">IFERROR(IF(OR(NOT(ISNUMBER('Price History'!O109)),NOT(ISNUMBER('Price History'!O108)),'Price History'!O108=0),"",'Price History'!O109/'Price History'!O108-1),"")</f>
        <v>0.00303214069132807</v>
      </c>
      <c r="P108" s="153" t="n">
        <f aca="false">IFERROR(IF(OR(NOT(ISNUMBER('Price History'!P109)),NOT(ISNUMBER('Price History'!P108)),'Price History'!P108=0),"",'Price History'!P109/'Price History'!P108-1),"")</f>
        <v>0.00767754318618041</v>
      </c>
      <c r="Q108" s="153" t="n">
        <f aca="false">IFERROR(IF(OR(NOT(ISNUMBER('Price History'!Q109)),NOT(ISNUMBER('Price History'!Q108)),'Price History'!Q108=0),"",'Price History'!Q109/'Price History'!Q108-1),"")</f>
        <v>0.000310125600868405</v>
      </c>
      <c r="R108" s="153" t="n">
        <f aca="false">IFERROR(IF(OR(NOT(ISNUMBER('Price History'!R109)),NOT(ISNUMBER('Price History'!R108)),'Price History'!R108=0),"",'Price History'!R109/'Price History'!R108-1),"")</f>
        <v>0.00158510005944112</v>
      </c>
      <c r="S108" s="153" t="n">
        <f aca="false">IFERROR(IF(OR(NOT(ISNUMBER('Price History'!S109)),NOT(ISNUMBER('Price History'!S108)),'Price History'!S108=0),"",'Price History'!S109/'Price History'!S108-1),"")</f>
        <v>-0.00952617627567931</v>
      </c>
      <c r="T108" s="153" t="n">
        <f aca="false">IFERROR(IF(OR(NOT(ISNUMBER('Price History'!T109)),NOT(ISNUMBER('Price History'!T108)),'Price History'!T108=0),"",'Price History'!T109/'Price History'!T108-1),"")</f>
        <v>0.00812347684809089</v>
      </c>
      <c r="U108" s="153" t="n">
        <f aca="false">IFERROR(IF(OR(NOT(ISNUMBER('Price History'!U109)),NOT(ISNUMBER('Price History'!U108)),'Price History'!U108=0),"",'Price History'!U109/'Price History'!U108-1),"")</f>
        <v>0.00535372848948379</v>
      </c>
      <c r="V108" s="154" t="n">
        <f aca="false">IFERROR(IF(OR(NOT(ISNUMBER('Price History'!V109)),NOT(ISNUMBER('Price History'!V108)),'Price History'!V108=0),"",'Price History'!V109/'Price History'!V108-1),"")</f>
        <v>-0.0124225435231631</v>
      </c>
      <c r="W108" s="155" t="n">
        <f aca="false">IFERROR('Price History'!B3+(INDEX('Price History'!B:B,MATCH(9.99E+307,'Returns (Calc)'!$A:$A)+1)-'Price History'!B3)*(ROW()-3)/(MATCH(9.99E+307,'Returns (Calc)'!$A:$A)-3),"")</f>
        <v>339.612641509434</v>
      </c>
      <c r="X108" s="155" t="n">
        <f aca="false">IFERROR('Price History'!C3+(INDEX('Price History'!C:C,MATCH(9.99E+307,'Returns (Calc)'!$A:$A)+1)-'Price History'!C3)*(ROW()-3)/(MATCH(9.99E+307,'Returns (Calc)'!$A:$A)-3),"")</f>
        <v>158.813962264151</v>
      </c>
      <c r="Y108" s="155" t="n">
        <f aca="false">IFERROR('Price History'!D3+(INDEX('Price History'!D:D,MATCH(9.99E+307,'Returns (Calc)'!$A:$A)+1)-'Price History'!D3)*(ROW()-3)/(MATCH(9.99E+307,'Returns (Calc)'!$A:$A)-3),"")</f>
        <v>1373.36</v>
      </c>
      <c r="Z108" s="155" t="n">
        <f aca="false">IFERROR('Price History'!E3+(INDEX('Price History'!E:E,MATCH(9.99E+307,'Returns (Calc)'!$A:$A)+1)-'Price History'!E3)*(ROW()-3)/(MATCH(9.99E+307,'Returns (Calc)'!$A:$A)-3),"")</f>
        <v>266.601886792453</v>
      </c>
      <c r="AA108" s="155" t="n">
        <f aca="false">IFERROR('Price History'!F3+(INDEX('Price History'!F:F,MATCH(9.99E+307,'Returns (Calc)'!$A:$A)+1)-'Price History'!F3)*(ROW()-3)/(MATCH(9.99E+307,'Returns (Calc)'!$A:$A)-3),"")</f>
        <v>195.676981132075</v>
      </c>
      <c r="AB108" s="155" t="n">
        <f aca="false">IFERROR('Price History'!G3+(INDEX('Price History'!G:G,MATCH(9.99E+307,'Returns (Calc)'!$A:$A)+1)-'Price History'!G3)*(ROW()-3)/(MATCH(9.99E+307,'Returns (Calc)'!$A:$A)-3),"")</f>
        <v>144.212264150943</v>
      </c>
      <c r="AC108" s="155" t="n">
        <f aca="false">IFERROR('Price History'!H3+(INDEX('Price History'!H:H,MATCH(9.99E+307,'Returns (Calc)'!$A:$A)+1)-'Price History'!H3)*(ROW()-3)/(MATCH(9.99E+307,'Returns (Calc)'!$A:$A)-3),"")</f>
        <v>702.999622641509</v>
      </c>
      <c r="AD108" s="155" t="n">
        <f aca="false">IFERROR('Price History'!I3+(INDEX('Price History'!I:I,MATCH(9.99E+307,'Returns (Calc)'!$A:$A)+1)-'Price History'!I3)*(ROW()-3)/(MATCH(9.99E+307,'Returns (Calc)'!$A:$A)-3),"")</f>
        <v>166.276603773585</v>
      </c>
      <c r="AE108" s="155" t="n">
        <f aca="false">IFERROR('Price History'!J3+(INDEX('Price History'!J:J,MATCH(9.99E+307,'Returns (Calc)'!$A:$A)+1)-'Price History'!J3)*(ROW()-3)/(MATCH(9.99E+307,'Returns (Calc)'!$A:$A)-3),"")</f>
        <v>123.495660377359</v>
      </c>
      <c r="AF108" s="155" t="n">
        <f aca="false">IFERROR('Price History'!K3+(INDEX('Price History'!K:K,MATCH(9.99E+307,'Returns (Calc)'!$A:$A)+1)-'Price History'!K3)*(ROW()-3)/(MATCH(9.99E+307,'Returns (Calc)'!$A:$A)-3),"")</f>
        <v>143.258301886792</v>
      </c>
      <c r="AG108" s="155" t="n">
        <f aca="false">IFERROR('Price History'!L3+(INDEX('Price History'!L:L,MATCH(9.99E+307,'Returns (Calc)'!$A:$A)+1)-'Price History'!L3)*(ROW()-3)/(MATCH(9.99E+307,'Returns (Calc)'!$A:$A)-3),"")</f>
        <v>328.478301886792</v>
      </c>
      <c r="AH108" s="155" t="n">
        <f aca="false">IFERROR('Price History'!M3+(INDEX('Price History'!M:M,MATCH(9.99E+307,'Returns (Calc)'!$A:$A)+1)-'Price History'!M3)*(ROW()-3)/(MATCH(9.99E+307,'Returns (Calc)'!$A:$A)-3),"")</f>
        <v>173.238867924528</v>
      </c>
      <c r="AI108" s="155" t="n">
        <f aca="false">IFERROR('Price History'!N3+(INDEX('Price History'!N:N,MATCH(9.99E+307,'Returns (Calc)'!$A:$A)+1)-'Price History'!N3)*(ROW()-3)/(MATCH(9.99E+307,'Returns (Calc)'!$A:$A)-3),"")</f>
        <v>455.339622641509</v>
      </c>
      <c r="AJ108" s="155" t="n">
        <f aca="false">IFERROR('Price History'!O3+(INDEX('Price History'!O:O,MATCH(9.99E+307,'Returns (Calc)'!$A:$A)+1)-'Price History'!O3)*(ROW()-3)/(MATCH(9.99E+307,'Returns (Calc)'!$A:$A)-3),"")</f>
        <v>104.584528301887</v>
      </c>
      <c r="AK108" s="155" t="n">
        <f aca="false">IFERROR('Price History'!Q3+(INDEX('Price History'!Q:Q,MATCH(9.99E+307,'Returns (Calc)'!$A:$A)+1)-'Price History'!Q3)*(ROW()-3)/(MATCH(9.99E+307,'Returns (Calc)'!$A:$A)-3),"")</f>
        <v>46.2066037735849</v>
      </c>
      <c r="AL108" s="155" t="n">
        <f aca="false">IFERROR('Price History'!R3+(INDEX('Price History'!R:R,MATCH(9.99E+307,'Returns (Calc)'!$A:$A)+1)-'Price History'!R3)*(ROW()-3)/(MATCH(9.99E+307,'Returns (Calc)'!$A:$A)-3),"")</f>
        <v>52.052641509434</v>
      </c>
      <c r="AM108" s="155" t="n">
        <f aca="false">IFERROR('Price History'!S3+(INDEX('Price History'!S:S,MATCH(9.99E+307,'Returns (Calc)'!$A:$A)+1)-'Price History'!S3)*(ROW()-3)/(MATCH(9.99E+307,'Returns (Calc)'!$A:$A)-3),"")</f>
        <v>119.395094339623</v>
      </c>
      <c r="AN108" s="155" t="n">
        <f aca="false">IFERROR('Price History'!T3+(INDEX('Price History'!T:T,MATCH(9.99E+307,'Returns (Calc)'!$A:$A)+1)-'Price History'!T3)*(ROW()-3)/(MATCH(9.99E+307,'Returns (Calc)'!$A:$A)-3),"")</f>
        <v>43.4494339622642</v>
      </c>
      <c r="AO108" s="156" t="n">
        <f aca="false">IFERROR('Price History'!V3+(INDEX('Price History'!V:V,MATCH(9.99E+307,'Returns (Calc)'!$A:$A)+1)-'Price History'!V3)*(ROW()-3)/(MATCH(9.99E+307,'Returns (Calc)'!$A:$A)-3),"")</f>
        <v>334.567735849057</v>
      </c>
      <c r="AP108" s="154" t="n">
        <f aca="false">IFERROR(IF(OR(NOT(ISNUMBER('Price History'!W109)),NOT(ISNUMBER('Price History'!W108)),'Price History'!W108=0),"",'Price History'!W109/'Price History'!W108-1),"")</f>
        <v>0.00233406272793579</v>
      </c>
      <c r="AQ108" s="154" t="str">
        <f aca="false">IFERROR(IF(OR(NOT(ISNUMBER('Price History'!X109)),NOT(ISNUMBER('Price History'!X108)),'Price History'!X108=0),"",'Price History'!X109/'Price History'!X108-1),"")</f>
        <v/>
      </c>
      <c r="AR108" s="154" t="n">
        <f aca="false">IFERROR(IF(OR(NOT(ISNUMBER('Price History'!Y109)),NOT(ISNUMBER('Price History'!Y108)),'Price History'!Y108=0),"",'Price History'!Y109/'Price History'!Y108-1),"")</f>
        <v>0.0013417672992142</v>
      </c>
      <c r="AS108" s="154" t="n">
        <f aca="false">IFERROR(IF(OR(NOT(ISNUMBER('Price History'!Z109)),NOT(ISNUMBER('Price History'!Z108)),'Price History'!Z108=0),"",'Price History'!Z109/'Price History'!Z108-1),"")</f>
        <v>-0.0204572803850782</v>
      </c>
      <c r="AT108" s="154" t="n">
        <f aca="false">IFERROR(IF(OR(NOT(ISNUMBER('Price History'!AA109)),NOT(ISNUMBER('Price History'!AA108)),'Price History'!AA108=0),"",'Price History'!AA109/'Price History'!AA108-1),"")</f>
        <v>-0.0133659331703342</v>
      </c>
      <c r="AU108" s="154" t="n">
        <f aca="false">IFERROR(IF(OR(NOT(ISNUMBER('Price History'!AB109)),NOT(ISNUMBER('Price History'!AB108)),'Price History'!AB108=0),"",'Price History'!AB109/'Price History'!AB108-1),"")</f>
        <v>0.0449260232549766</v>
      </c>
    </row>
    <row r="109" customFormat="false" ht="15" hidden="false" customHeight="true" outlineLevel="0" collapsed="false">
      <c r="A109" s="152" t="n">
        <f aca="false">IF('Price History'!A110="","",'Price History'!A110)</f>
        <v>45933</v>
      </c>
      <c r="B109" s="153" t="n">
        <f aca="false">IFERROR(IF(OR(NOT(ISNUMBER('Price History'!B110)),NOT(ISNUMBER('Price History'!B109)),'Price History'!B109=0),"",'Price History'!B110/'Price History'!B109-1),"")</f>
        <v>-0.0378222382551267</v>
      </c>
      <c r="C109" s="153" t="n">
        <f aca="false">IFERROR(IF(OR(NOT(ISNUMBER('Price History'!C110)),NOT(ISNUMBER('Price History'!C109)),'Price History'!C109=0),"",'Price History'!C110/'Price History'!C109-1),"")</f>
        <v>0.0210526315789474</v>
      </c>
      <c r="D109" s="153" t="n">
        <f aca="false">IFERROR(IF(OR(NOT(ISNUMBER('Price History'!D110)),NOT(ISNUMBER('Price History'!D109)),'Price History'!D109=0),"",'Price History'!D110/'Price History'!D109-1),"")</f>
        <v>0.0848205312655377</v>
      </c>
      <c r="E109" s="153" t="n">
        <f aca="false">IFERROR(IF(OR(NOT(ISNUMBER('Price History'!E110)),NOT(ISNUMBER('Price History'!E109)),'Price History'!E109=0),"",'Price History'!E110/'Price History'!E109-1),"")</f>
        <v>0.0114738300307173</v>
      </c>
      <c r="F109" s="153" t="n">
        <f aca="false">IFERROR(IF(OR(NOT(ISNUMBER('Price History'!F110)),NOT(ISNUMBER('Price History'!F109)),'Price History'!F109=0),"",'Price History'!F110/'Price History'!F109-1),"")</f>
        <v>0.0175307411100034</v>
      </c>
      <c r="G109" s="153" t="n">
        <f aca="false">IFERROR(IF(OR(NOT(ISNUMBER('Price History'!G110)),NOT(ISNUMBER('Price History'!G109)),'Price History'!G109=0),"",'Price History'!G110/'Price History'!G109-1),"")</f>
        <v>0.0349518231626678</v>
      </c>
      <c r="H109" s="153" t="n">
        <f aca="false">IFERROR(IF(OR(NOT(ISNUMBER('Price History'!H110)),NOT(ISNUMBER('Price History'!H109)),'Price History'!H109=0),"",'Price History'!H110/'Price History'!H109-1),"")</f>
        <v>0.195070691631639</v>
      </c>
      <c r="I109" s="153" t="n">
        <f aca="false">IFERROR(IF(OR(NOT(ISNUMBER('Price History'!I110)),NOT(ISNUMBER('Price History'!I109)),'Price History'!I109=0),"",'Price History'!I110/'Price History'!I109-1),"")</f>
        <v>0.0529365436543654</v>
      </c>
      <c r="J109" s="153" t="n">
        <f aca="false">IFERROR(IF(OR(NOT(ISNUMBER('Price History'!J110)),NOT(ISNUMBER('Price History'!J109)),'Price History'!J109=0),"",'Price History'!J110/'Price History'!J109-1),"")</f>
        <v>0.0252009755216331</v>
      </c>
      <c r="K109" s="153" t="n">
        <f aca="false">IFERROR(IF(OR(NOT(ISNUMBER('Price History'!K110)),NOT(ISNUMBER('Price History'!K109)),'Price History'!K109=0),"",'Price History'!K110/'Price History'!K109-1),"")</f>
        <v>-0.025342118601115</v>
      </c>
      <c r="L109" s="153" t="n">
        <f aca="false">IFERROR(IF(OR(NOT(ISNUMBER('Price History'!L110)),NOT(ISNUMBER('Price History'!L109)),'Price History'!L109=0),"",'Price History'!L110/'Price History'!L109-1),"")</f>
        <v>0.0688724584103513</v>
      </c>
      <c r="M109" s="153" t="n">
        <f aca="false">IFERROR(IF(OR(NOT(ISNUMBER('Price History'!M110)),NOT(ISNUMBER('Price History'!M109)),'Price History'!M109=0),"",'Price History'!M110/'Price History'!M109-1),"")</f>
        <v>0.155701596013577</v>
      </c>
      <c r="N109" s="153" t="n">
        <f aca="false">IFERROR(IF(OR(NOT(ISNUMBER('Price History'!N110)),NOT(ISNUMBER('Price History'!N109)),'Price History'!N109=0),"",'Price History'!N110/'Price History'!N109-1),"")</f>
        <v>0.0455228910665215</v>
      </c>
      <c r="O109" s="153" t="n">
        <f aca="false">IFERROR(IF(OR(NOT(ISNUMBER('Price History'!O110)),NOT(ISNUMBER('Price History'!O109)),'Price History'!O109=0),"",'Price History'!O110/'Price History'!O109-1),"")</f>
        <v>0.00110842402257161</v>
      </c>
      <c r="P109" s="153" t="n">
        <f aca="false">IFERROR(IF(OR(NOT(ISNUMBER('Price History'!P110)),NOT(ISNUMBER('Price History'!P109)),'Price History'!P109=0),"",'Price History'!P110/'Price History'!P109-1),"")</f>
        <v>0.0123809523809524</v>
      </c>
      <c r="Q109" s="153" t="n">
        <f aca="false">IFERROR(IF(OR(NOT(ISNUMBER('Price History'!Q110)),NOT(ISNUMBER('Price History'!Q109)),'Price History'!Q109=0),"",'Price History'!Q110/'Price History'!Q109-1),"")</f>
        <v>0.003255309254379</v>
      </c>
      <c r="R109" s="153" t="n">
        <f aca="false">IFERROR(IF(OR(NOT(ISNUMBER('Price History'!R110)),NOT(ISNUMBER('Price History'!R109)),'Price History'!R109=0),"",'Price History'!R110/'Price History'!R109-1),"")</f>
        <v>0.00830860534124622</v>
      </c>
      <c r="S109" s="153" t="n">
        <f aca="false">IFERROR(IF(OR(NOT(ISNUMBER('Price History'!S110)),NOT(ISNUMBER('Price History'!S109)),'Price History'!S109=0),"",'Price History'!S110/'Price History'!S109-1),"")</f>
        <v>-0.00409801789746589</v>
      </c>
      <c r="T109" s="153" t="n">
        <f aca="false">IFERROR(IF(OR(NOT(ISNUMBER('Price History'!T110)),NOT(ISNUMBER('Price History'!T109)),'Price History'!T109=0),"",'Price History'!T110/'Price History'!T109-1),"")</f>
        <v>0.00322320709105561</v>
      </c>
      <c r="U109" s="153" t="n">
        <f aca="false">IFERROR(IF(OR(NOT(ISNUMBER('Price History'!U110)),NOT(ISNUMBER('Price History'!U109)),'Price History'!U109=0),"",'Price History'!U110/'Price History'!U109-1),"")</f>
        <v>0.00722708254089022</v>
      </c>
      <c r="V109" s="154" t="n">
        <f aca="false">IFERROR(IF(OR(NOT(ISNUMBER('Price History'!V110)),NOT(ISNUMBER('Price History'!V109)),'Price History'!V109=0),"",'Price History'!V110/'Price History'!V109-1),"")</f>
        <v>0.0369595745316562</v>
      </c>
      <c r="W109" s="155" t="n">
        <f aca="false">IFERROR('Price History'!B3+(INDEX('Price History'!B:B,MATCH(9.99E+307,'Returns (Calc)'!$A:$A)+1)-'Price History'!B3)*(ROW()-3)/(MATCH(9.99E+307,'Returns (Calc)'!$A:$A)-3),"")</f>
        <v>337.81</v>
      </c>
      <c r="X109" s="155" t="n">
        <f aca="false">IFERROR('Price History'!C3+(INDEX('Price History'!C:C,MATCH(9.99E+307,'Returns (Calc)'!$A:$A)+1)-'Price History'!C3)*(ROW()-3)/(MATCH(9.99E+307,'Returns (Calc)'!$A:$A)-3),"")</f>
        <v>159.886666666667</v>
      </c>
      <c r="Y109" s="155" t="n">
        <f aca="false">IFERROR('Price History'!D3+(INDEX('Price History'!D:D,MATCH(9.99E+307,'Returns (Calc)'!$A:$A)+1)-'Price History'!D3)*(ROW()-3)/(MATCH(9.99E+307,'Returns (Calc)'!$A:$A)-3),"")</f>
        <v>1380.89666666667</v>
      </c>
      <c r="Z109" s="155" t="n">
        <f aca="false">IFERROR('Price History'!E3+(INDEX('Price History'!E:E,MATCH(9.99E+307,'Returns (Calc)'!$A:$A)+1)-'Price History'!E3)*(ROW()-3)/(MATCH(9.99E+307,'Returns (Calc)'!$A:$A)-3),"")</f>
        <v>268.36</v>
      </c>
      <c r="AA109" s="155" t="n">
        <f aca="false">IFERROR('Price History'!F3+(INDEX('Price History'!F:F,MATCH(9.99E+307,'Returns (Calc)'!$A:$A)+1)-'Price History'!F3)*(ROW()-3)/(MATCH(9.99E+307,'Returns (Calc)'!$A:$A)-3),"")</f>
        <v>197.146666666667</v>
      </c>
      <c r="AB109" s="155" t="n">
        <f aca="false">IFERROR('Price History'!G3+(INDEX('Price History'!G:G,MATCH(9.99E+307,'Returns (Calc)'!$A:$A)+1)-'Price History'!G3)*(ROW()-3)/(MATCH(9.99E+307,'Returns (Calc)'!$A:$A)-3),"")</f>
        <v>145.163333333333</v>
      </c>
      <c r="AC109" s="155" t="n">
        <f aca="false">IFERROR('Price History'!H3+(INDEX('Price History'!H:H,MATCH(9.99E+307,'Returns (Calc)'!$A:$A)+1)-'Price History'!H3)*(ROW()-3)/(MATCH(9.99E+307,'Returns (Calc)'!$A:$A)-3),"")</f>
        <v>709.036666666667</v>
      </c>
      <c r="AD109" s="155" t="n">
        <f aca="false">IFERROR('Price History'!I3+(INDEX('Price History'!I:I,MATCH(9.99E+307,'Returns (Calc)'!$A:$A)+1)-'Price History'!I3)*(ROW()-3)/(MATCH(9.99E+307,'Returns (Calc)'!$A:$A)-3),"")</f>
        <v>167.443333333333</v>
      </c>
      <c r="AE109" s="155" t="n">
        <f aca="false">IFERROR('Price History'!J3+(INDEX('Price History'!J:J,MATCH(9.99E+307,'Returns (Calc)'!$A:$A)+1)-'Price History'!J3)*(ROW()-3)/(MATCH(9.99E+307,'Returns (Calc)'!$A:$A)-3),"")</f>
        <v>123.606666666667</v>
      </c>
      <c r="AF109" s="155" t="n">
        <f aca="false">IFERROR('Price History'!K3+(INDEX('Price History'!K:K,MATCH(9.99E+307,'Returns (Calc)'!$A:$A)+1)-'Price History'!K3)*(ROW()-3)/(MATCH(9.99E+307,'Returns (Calc)'!$A:$A)-3),"")</f>
        <v>144.476666666667</v>
      </c>
      <c r="AG109" s="155" t="n">
        <f aca="false">IFERROR('Price History'!L3+(INDEX('Price History'!L:L,MATCH(9.99E+307,'Returns (Calc)'!$A:$A)+1)-'Price History'!L3)*(ROW()-3)/(MATCH(9.99E+307,'Returns (Calc)'!$A:$A)-3),"")</f>
        <v>330.79</v>
      </c>
      <c r="AH109" s="155" t="n">
        <f aca="false">IFERROR('Price History'!M3+(INDEX('Price History'!M:M,MATCH(9.99E+307,'Returns (Calc)'!$A:$A)+1)-'Price History'!M3)*(ROW()-3)/(MATCH(9.99E+307,'Returns (Calc)'!$A:$A)-3),"")</f>
        <v>174.526666666667</v>
      </c>
      <c r="AI109" s="155" t="n">
        <f aca="false">IFERROR('Price History'!N3+(INDEX('Price History'!N:N,MATCH(9.99E+307,'Returns (Calc)'!$A:$A)+1)-'Price History'!N3)*(ROW()-3)/(MATCH(9.99E+307,'Returns (Calc)'!$A:$A)-3),"")</f>
        <v>456.353333333333</v>
      </c>
      <c r="AJ109" s="155" t="n">
        <f aca="false">IFERROR('Price History'!O3+(INDEX('Price History'!O:O,MATCH(9.99E+307,'Returns (Calc)'!$A:$A)+1)-'Price History'!O3)*(ROW()-3)/(MATCH(9.99E+307,'Returns (Calc)'!$A:$A)-3),"")</f>
        <v>104.863333333333</v>
      </c>
      <c r="AK109" s="155" t="n">
        <f aca="false">IFERROR('Price History'!Q3+(INDEX('Price History'!Q:Q,MATCH(9.99E+307,'Returns (Calc)'!$A:$A)+1)-'Price History'!Q3)*(ROW()-3)/(MATCH(9.99E+307,'Returns (Calc)'!$A:$A)-3),"")</f>
        <v>46.6466666666667</v>
      </c>
      <c r="AL109" s="155" t="n">
        <f aca="false">IFERROR('Price History'!R3+(INDEX('Price History'!R:R,MATCH(9.99E+307,'Returns (Calc)'!$A:$A)+1)-'Price History'!R3)*(ROW()-3)/(MATCH(9.99E+307,'Returns (Calc)'!$A:$A)-3),"")</f>
        <v>52.22</v>
      </c>
      <c r="AM109" s="155" t="n">
        <f aca="false">IFERROR('Price History'!S3+(INDEX('Price History'!S:S,MATCH(9.99E+307,'Returns (Calc)'!$A:$A)+1)-'Price History'!S3)*(ROW()-3)/(MATCH(9.99E+307,'Returns (Calc)'!$A:$A)-3),"")</f>
        <v>119.983333333333</v>
      </c>
      <c r="AN109" s="155" t="n">
        <f aca="false">IFERROR('Price History'!T3+(INDEX('Price History'!T:T,MATCH(9.99E+307,'Returns (Calc)'!$A:$A)+1)-'Price History'!T3)*(ROW()-3)/(MATCH(9.99E+307,'Returns (Calc)'!$A:$A)-3),"")</f>
        <v>43.6233333333333</v>
      </c>
      <c r="AO109" s="156" t="n">
        <f aca="false">IFERROR('Price History'!V3+(INDEX('Price History'!V:V,MATCH(9.99E+307,'Returns (Calc)'!$A:$A)+1)-'Price History'!V3)*(ROW()-3)/(MATCH(9.99E+307,'Returns (Calc)'!$A:$A)-3),"")</f>
        <v>335.51</v>
      </c>
      <c r="AP109" s="154" t="n">
        <f aca="false">IFERROR(IF(OR(NOT(ISNUMBER('Price History'!W110)),NOT(ISNUMBER('Price History'!W109)),'Price History'!W109=0),"",'Price History'!W110/'Price History'!W109-1),"")</f>
        <v>0.00545772085577068</v>
      </c>
      <c r="AQ109" s="154" t="str">
        <f aca="false">IFERROR(IF(OR(NOT(ISNUMBER('Price History'!X110)),NOT(ISNUMBER('Price History'!X109)),'Price History'!X109=0),"",'Price History'!X110/'Price History'!X109-1),"")</f>
        <v/>
      </c>
      <c r="AR109" s="154" t="n">
        <f aca="false">IFERROR(IF(OR(NOT(ISNUMBER('Price History'!Y110)),NOT(ISNUMBER('Price History'!Y109)),'Price History'!Y109=0),"",'Price History'!Y110/'Price History'!Y109-1),"")</f>
        <v>0.00803981623277172</v>
      </c>
      <c r="AS109" s="154" t="n">
        <f aca="false">IFERROR(IF(OR(NOT(ISNUMBER('Price History'!Z110)),NOT(ISNUMBER('Price History'!Z109)),'Price History'!Z109=0),"",'Price History'!Z110/'Price History'!Z109-1),"")</f>
        <v>0.00808763308763316</v>
      </c>
      <c r="AT109" s="154" t="n">
        <f aca="false">IFERROR(IF(OR(NOT(ISNUMBER('Price History'!AA110)),NOT(ISNUMBER('Price History'!AA109)),'Price History'!AA109=0),"",'Price History'!AA110/'Price History'!AA109-1),"")</f>
        <v>-0.0473319015364283</v>
      </c>
      <c r="AU109" s="154" t="n">
        <f aca="false">IFERROR(IF(OR(NOT(ISNUMBER('Price History'!AB110)),NOT(ISNUMBER('Price History'!AB109)),'Price History'!AB109=0),"",'Price History'!AB110/'Price History'!AB109-1),"")</f>
        <v>0.0207048609914906</v>
      </c>
    </row>
    <row r="110" customFormat="false" ht="15" hidden="false" customHeight="true" outlineLevel="0" collapsed="false">
      <c r="A110" s="152" t="n">
        <f aca="false">IF('Price History'!A111="","",'Price History'!A111)</f>
        <v>45940</v>
      </c>
      <c r="B110" s="153" t="n">
        <f aca="false">IFERROR(IF(OR(NOT(ISNUMBER('Price History'!B111)),NOT(ISNUMBER('Price History'!B110)),'Price History'!B110=0),"",'Price History'!B111/'Price History'!B110-1),"")</f>
        <v>-0.026619368979639</v>
      </c>
      <c r="C110" s="153" t="n">
        <f aca="false">IFERROR(IF(OR(NOT(ISNUMBER('Price History'!C111)),NOT(ISNUMBER('Price History'!C110)),'Price History'!C110=0),"",'Price History'!C111/'Price History'!C110-1),"")</f>
        <v>0.059106529209622</v>
      </c>
      <c r="D110" s="153" t="n">
        <f aca="false">IFERROR(IF(OR(NOT(ISNUMBER('Price History'!D111)),NOT(ISNUMBER('Price History'!D110)),'Price History'!D110=0),"",'Price History'!D111/'Price History'!D110-1),"")</f>
        <v>-0.0930402644640995</v>
      </c>
      <c r="E110" s="153" t="n">
        <f aca="false">IFERROR(IF(OR(NOT(ISNUMBER('Price History'!E111)),NOT(ISNUMBER('Price History'!E110)),'Price History'!E110=0),"",'Price History'!E111/'Price History'!E110-1),"")</f>
        <v>-0.040610950665436</v>
      </c>
      <c r="F110" s="153" t="n">
        <f aca="false">IFERROR(IF(OR(NOT(ISNUMBER('Price History'!F111)),NOT(ISNUMBER('Price History'!F110)),'Price History'!F110=0),"",'Price History'!F111/'Price History'!F110-1),"")</f>
        <v>0.00775700171470573</v>
      </c>
      <c r="G110" s="153" t="n">
        <f aca="false">IFERROR(IF(OR(NOT(ISNUMBER('Price History'!G111)),NOT(ISNUMBER('Price History'!G110)),'Price History'!G110=0),"",'Price History'!G111/'Price History'!G110-1),"")</f>
        <v>-0.107794815626141</v>
      </c>
      <c r="H110" s="153" t="n">
        <f aca="false">IFERROR(IF(OR(NOT(ISNUMBER('Price History'!H111)),NOT(ISNUMBER('Price History'!H110)),'Price History'!H110=0),"",'Price History'!H111/'Price History'!H110-1),"")</f>
        <v>-0.0332001065814016</v>
      </c>
      <c r="I110" s="153" t="n">
        <f aca="false">IFERROR(IF(OR(NOT(ISNUMBER('Price History'!I111)),NOT(ISNUMBER('Price History'!I110)),'Price History'!I110=0),"",'Price History'!I111/'Price History'!I110-1),"")</f>
        <v>-0.0237751776459902</v>
      </c>
      <c r="J110" s="153" t="n">
        <f aca="false">IFERROR(IF(OR(NOT(ISNUMBER('Price History'!J111)),NOT(ISNUMBER('Price History'!J110)),'Price History'!J110=0),"",'Price History'!J111/'Price History'!J110-1),"")</f>
        <v>-0.0498678414096916</v>
      </c>
      <c r="K110" s="153" t="n">
        <f aca="false">IFERROR(IF(OR(NOT(ISNUMBER('Price History'!K111)),NOT(ISNUMBER('Price History'!K110)),'Price History'!K110=0),"",'Price History'!K111/'Price History'!K110-1),"")</f>
        <v>0.0136938810885769</v>
      </c>
      <c r="L110" s="153" t="n">
        <f aca="false">IFERROR(IF(OR(NOT(ISNUMBER('Price History'!L111)),NOT(ISNUMBER('Price History'!L110)),'Price History'!L110=0),"",'Price History'!L111/'Price History'!L110-1),"")</f>
        <v>-0.0394632172379206</v>
      </c>
      <c r="M110" s="153" t="n">
        <f aca="false">IFERROR(IF(OR(NOT(ISNUMBER('Price History'!M111)),NOT(ISNUMBER('Price History'!M110)),'Price History'!M110=0),"",'Price History'!M111/'Price History'!M110-1),"")</f>
        <v>0.0549896894332314</v>
      </c>
      <c r="N110" s="153" t="n">
        <f aca="false">IFERROR(IF(OR(NOT(ISNUMBER('Price History'!N111)),NOT(ISNUMBER('Price History'!N110)),'Price History'!N110=0),"",'Price History'!N111/'Price History'!N110-1),"")</f>
        <v>0.0111331515001241</v>
      </c>
      <c r="O110" s="153" t="n">
        <f aca="false">IFERROR(IF(OR(NOT(ISNUMBER('Price History'!O111)),NOT(ISNUMBER('Price History'!O110)),'Price History'!O110=0),"",'Price History'!O111/'Price History'!O110-1),"")</f>
        <v>-0.054353296426774</v>
      </c>
      <c r="P110" s="153" t="n">
        <f aca="false">IFERROR(IF(OR(NOT(ISNUMBER('Price History'!P111)),NOT(ISNUMBER('Price History'!P110)),'Price History'!P110=0),"",'Price History'!P111/'Price History'!P110-1),"")</f>
        <v>-0.0345900571676677</v>
      </c>
      <c r="Q110" s="153" t="n">
        <f aca="false">IFERROR(IF(OR(NOT(ISNUMBER('Price History'!Q111)),NOT(ISNUMBER('Price History'!Q110)),'Price History'!Q110=0),"",'Price History'!Q111/'Price History'!Q110-1),"")</f>
        <v>-0.0126699629171817</v>
      </c>
      <c r="R110" s="153" t="n">
        <f aca="false">IFERROR(IF(OR(NOT(ISNUMBER('Price History'!R111)),NOT(ISNUMBER('Price History'!R110)),'Price History'!R110=0),"",'Price History'!R111/'Price History'!R110-1),"")</f>
        <v>-0.0166764763586423</v>
      </c>
      <c r="S110" s="153" t="n">
        <f aca="false">IFERROR(IF(OR(NOT(ISNUMBER('Price History'!S111)),NOT(ISNUMBER('Price History'!S110)),'Price History'!S110=0),"",'Price History'!S111/'Price History'!S110-1),"")</f>
        <v>-0.0131844138394356</v>
      </c>
      <c r="T110" s="153" t="n">
        <f aca="false">IFERROR(IF(OR(NOT(ISNUMBER('Price History'!T111)),NOT(ISNUMBER('Price History'!T110)),'Price History'!T110=0),"",'Price History'!T111/'Price History'!T110-1),"")</f>
        <v>-0.0331994645247657</v>
      </c>
      <c r="U110" s="153" t="n">
        <f aca="false">IFERROR(IF(OR(NOT(ISNUMBER('Price History'!U111)),NOT(ISNUMBER('Price History'!U110)),'Price History'!U110=0),"",'Price History'!U111/'Price History'!U110-1),"")</f>
        <v>-0.0317220543806647</v>
      </c>
      <c r="V110" s="154" t="n">
        <f aca="false">IFERROR(IF(OR(NOT(ISNUMBER('Price History'!V111)),NOT(ISNUMBER('Price History'!V110)),'Price History'!V110=0),"",'Price History'!V111/'Price History'!V110-1),"")</f>
        <v>-0.0176914654526594</v>
      </c>
      <c r="W110" s="155" t="n">
        <f aca="false">IFERROR('Price History'!B3+(INDEX('Price History'!B:B,MATCH(9.99E+307,'Returns (Calc)'!$A:$A)+1)-'Price History'!B3)*(ROW()-3)/(MATCH(9.99E+307,'Returns (Calc)'!$A:$A)-3),"")</f>
        <v>336.007358490566</v>
      </c>
      <c r="X110" s="155" t="n">
        <f aca="false">IFERROR('Price History'!C3+(INDEX('Price History'!C:C,MATCH(9.99E+307,'Returns (Calc)'!$A:$A)+1)-'Price History'!C3)*(ROW()-3)/(MATCH(9.99E+307,'Returns (Calc)'!$A:$A)-3),"")</f>
        <v>160.959371069182</v>
      </c>
      <c r="Y110" s="155" t="n">
        <f aca="false">IFERROR('Price History'!D3+(INDEX('Price History'!D:D,MATCH(9.99E+307,'Returns (Calc)'!$A:$A)+1)-'Price History'!D3)*(ROW()-3)/(MATCH(9.99E+307,'Returns (Calc)'!$A:$A)-3),"")</f>
        <v>1388.43333333333</v>
      </c>
      <c r="Z110" s="155" t="n">
        <f aca="false">IFERROR('Price History'!E3+(INDEX('Price History'!E:E,MATCH(9.99E+307,'Returns (Calc)'!$A:$A)+1)-'Price History'!E3)*(ROW()-3)/(MATCH(9.99E+307,'Returns (Calc)'!$A:$A)-3),"")</f>
        <v>270.118113207547</v>
      </c>
      <c r="AA110" s="155" t="n">
        <f aca="false">IFERROR('Price History'!F3+(INDEX('Price History'!F:F,MATCH(9.99E+307,'Returns (Calc)'!$A:$A)+1)-'Price History'!F3)*(ROW()-3)/(MATCH(9.99E+307,'Returns (Calc)'!$A:$A)-3),"")</f>
        <v>198.616352201258</v>
      </c>
      <c r="AB110" s="155" t="n">
        <f aca="false">IFERROR('Price History'!G3+(INDEX('Price History'!G:G,MATCH(9.99E+307,'Returns (Calc)'!$A:$A)+1)-'Price History'!G3)*(ROW()-3)/(MATCH(9.99E+307,'Returns (Calc)'!$A:$A)-3),"")</f>
        <v>146.114402515723</v>
      </c>
      <c r="AC110" s="155" t="n">
        <f aca="false">IFERROR('Price History'!H3+(INDEX('Price History'!H:H,MATCH(9.99E+307,'Returns (Calc)'!$A:$A)+1)-'Price History'!H3)*(ROW()-3)/(MATCH(9.99E+307,'Returns (Calc)'!$A:$A)-3),"")</f>
        <v>715.073710691824</v>
      </c>
      <c r="AD110" s="155" t="n">
        <f aca="false">IFERROR('Price History'!I3+(INDEX('Price History'!I:I,MATCH(9.99E+307,'Returns (Calc)'!$A:$A)+1)-'Price History'!I3)*(ROW()-3)/(MATCH(9.99E+307,'Returns (Calc)'!$A:$A)-3),"")</f>
        <v>168.610062893082</v>
      </c>
      <c r="AE110" s="155" t="n">
        <f aca="false">IFERROR('Price History'!J3+(INDEX('Price History'!J:J,MATCH(9.99E+307,'Returns (Calc)'!$A:$A)+1)-'Price History'!J3)*(ROW()-3)/(MATCH(9.99E+307,'Returns (Calc)'!$A:$A)-3),"")</f>
        <v>123.717672955975</v>
      </c>
      <c r="AF110" s="155" t="n">
        <f aca="false">IFERROR('Price History'!K3+(INDEX('Price History'!K:K,MATCH(9.99E+307,'Returns (Calc)'!$A:$A)+1)-'Price History'!K3)*(ROW()-3)/(MATCH(9.99E+307,'Returns (Calc)'!$A:$A)-3),"")</f>
        <v>145.695031446541</v>
      </c>
      <c r="AG110" s="155" t="n">
        <f aca="false">IFERROR('Price History'!L3+(INDEX('Price History'!L:L,MATCH(9.99E+307,'Returns (Calc)'!$A:$A)+1)-'Price History'!L3)*(ROW()-3)/(MATCH(9.99E+307,'Returns (Calc)'!$A:$A)-3),"")</f>
        <v>333.101698113208</v>
      </c>
      <c r="AH110" s="155" t="n">
        <f aca="false">IFERROR('Price History'!M3+(INDEX('Price History'!M:M,MATCH(9.99E+307,'Returns (Calc)'!$A:$A)+1)-'Price History'!M3)*(ROW()-3)/(MATCH(9.99E+307,'Returns (Calc)'!$A:$A)-3),"")</f>
        <v>175.814465408805</v>
      </c>
      <c r="AI110" s="155" t="n">
        <f aca="false">IFERROR('Price History'!N3+(INDEX('Price History'!N:N,MATCH(9.99E+307,'Returns (Calc)'!$A:$A)+1)-'Price History'!N3)*(ROW()-3)/(MATCH(9.99E+307,'Returns (Calc)'!$A:$A)-3),"")</f>
        <v>457.367044025157</v>
      </c>
      <c r="AJ110" s="155" t="n">
        <f aca="false">IFERROR('Price History'!O3+(INDEX('Price History'!O:O,MATCH(9.99E+307,'Returns (Calc)'!$A:$A)+1)-'Price History'!O3)*(ROW()-3)/(MATCH(9.99E+307,'Returns (Calc)'!$A:$A)-3),"")</f>
        <v>105.14213836478</v>
      </c>
      <c r="AK110" s="155" t="n">
        <f aca="false">IFERROR('Price History'!Q3+(INDEX('Price History'!Q:Q,MATCH(9.99E+307,'Returns (Calc)'!$A:$A)+1)-'Price History'!Q3)*(ROW()-3)/(MATCH(9.99E+307,'Returns (Calc)'!$A:$A)-3),"")</f>
        <v>47.0867295597484</v>
      </c>
      <c r="AL110" s="155" t="n">
        <f aca="false">IFERROR('Price History'!R3+(INDEX('Price History'!R:R,MATCH(9.99E+307,'Returns (Calc)'!$A:$A)+1)-'Price History'!R3)*(ROW()-3)/(MATCH(9.99E+307,'Returns (Calc)'!$A:$A)-3),"")</f>
        <v>52.387358490566</v>
      </c>
      <c r="AM110" s="155" t="n">
        <f aca="false">IFERROR('Price History'!S3+(INDEX('Price History'!S:S,MATCH(9.99E+307,'Returns (Calc)'!$A:$A)+1)-'Price History'!S3)*(ROW()-3)/(MATCH(9.99E+307,'Returns (Calc)'!$A:$A)-3),"")</f>
        <v>120.571572327044</v>
      </c>
      <c r="AN110" s="155" t="n">
        <f aca="false">IFERROR('Price History'!T3+(INDEX('Price History'!T:T,MATCH(9.99E+307,'Returns (Calc)'!$A:$A)+1)-'Price History'!T3)*(ROW()-3)/(MATCH(9.99E+307,'Returns (Calc)'!$A:$A)-3),"")</f>
        <v>43.7972327044025</v>
      </c>
      <c r="AO110" s="156" t="n">
        <f aca="false">IFERROR('Price History'!V3+(INDEX('Price History'!V:V,MATCH(9.99E+307,'Returns (Calc)'!$A:$A)+1)-'Price History'!V3)*(ROW()-3)/(MATCH(9.99E+307,'Returns (Calc)'!$A:$A)-3),"")</f>
        <v>336.452264150943</v>
      </c>
      <c r="AP110" s="154" t="n">
        <f aca="false">IFERROR(IF(OR(NOT(ISNUMBER('Price History'!W111)),NOT(ISNUMBER('Price History'!W110)),'Price History'!W110=0),"",'Price History'!W111/'Price History'!W110-1),"")</f>
        <v>-0.0288050951726134</v>
      </c>
      <c r="AQ110" s="154" t="str">
        <f aca="false">IFERROR(IF(OR(NOT(ISNUMBER('Price History'!X111)),NOT(ISNUMBER('Price History'!X110)),'Price History'!X110=0),"",'Price History'!X111/'Price History'!X110-1),"")</f>
        <v/>
      </c>
      <c r="AR110" s="154" t="n">
        <f aca="false">IFERROR(IF(OR(NOT(ISNUMBER('Price History'!Y111)),NOT(ISNUMBER('Price History'!Y110)),'Price History'!Y110=0),"",'Price History'!Y111/'Price History'!Y110-1),"")</f>
        <v>-0.0180402582605392</v>
      </c>
      <c r="AS110" s="154" t="n">
        <f aca="false">IFERROR(IF(OR(NOT(ISNUMBER('Price History'!Z111)),NOT(ISNUMBER('Price History'!Z110)),'Price History'!Z110=0),"",'Price History'!Z111/'Price History'!Z110-1),"")</f>
        <v>-0.018550489150672</v>
      </c>
      <c r="AT110" s="154" t="n">
        <f aca="false">IFERROR(IF(OR(NOT(ISNUMBER('Price History'!AA111)),NOT(ISNUMBER('Price History'!AA110)),'Price History'!AA110=0),"",'Price History'!AA111/'Price History'!AA110-1),"")</f>
        <v>0.0579207491545999</v>
      </c>
      <c r="AU110" s="154" t="n">
        <f aca="false">IFERROR(IF(OR(NOT(ISNUMBER('Price History'!AB111)),NOT(ISNUMBER('Price History'!AB110)),'Price History'!AB110=0),"",'Price History'!AB111/'Price History'!AB110-1),"")</f>
        <v>-0.0327055488051843</v>
      </c>
    </row>
    <row r="111" customFormat="false" ht="15" hidden="false" customHeight="true" outlineLevel="0" collapsed="false">
      <c r="A111" s="152" t="n">
        <f aca="false">IF('Price History'!A112="","",'Price History'!A112)</f>
        <v>45947</v>
      </c>
      <c r="B111" s="153" t="n">
        <f aca="false">IFERROR(IF(OR(NOT(ISNUMBER('Price History'!B112)),NOT(ISNUMBER('Price History'!B111)),'Price History'!B111=0),"",'Price History'!B112/'Price History'!B111-1),"")</f>
        <v>-0.0125922194897929</v>
      </c>
      <c r="C111" s="153" t="n">
        <f aca="false">IFERROR(IF(OR(NOT(ISNUMBER('Price History'!C112)),NOT(ISNUMBER('Price History'!C111)),'Price History'!C111=0),"",'Price History'!C112/'Price History'!C111-1),"")</f>
        <v>-0.0713822193380922</v>
      </c>
      <c r="D111" s="153" t="n">
        <f aca="false">IFERROR(IF(OR(NOT(ISNUMBER('Price History'!D112)),NOT(ISNUMBER('Price History'!D111)),'Price History'!D111=0),"",'Price History'!D112/'Price History'!D111-1),"")</f>
        <v>0.0994236930950692</v>
      </c>
      <c r="E111" s="153" t="n">
        <f aca="false">IFERROR(IF(OR(NOT(ISNUMBER('Price History'!E112)),NOT(ISNUMBER('Price History'!E111)),'Price History'!E111=0),"",'Price History'!E112/'Price History'!E111-1),"")</f>
        <v>0.0760947149551563</v>
      </c>
      <c r="F111" s="153" t="n">
        <f aca="false">IFERROR(IF(OR(NOT(ISNUMBER('Price History'!F112)),NOT(ISNUMBER('Price History'!F111)),'Price History'!F111=0),"",'Price History'!F112/'Price History'!F111-1),"")</f>
        <v>-0.0183114568141306</v>
      </c>
      <c r="G111" s="153" t="n">
        <f aca="false">IFERROR(IF(OR(NOT(ISNUMBER('Price History'!G112)),NOT(ISNUMBER('Price History'!G111)),'Price History'!G111=0),"",'Price History'!G112/'Price History'!G111-1),"")</f>
        <v>0.126035805626598</v>
      </c>
      <c r="H111" s="153" t="n">
        <f aca="false">IFERROR(IF(OR(NOT(ISNUMBER('Price History'!H112)),NOT(ISNUMBER('Price History'!H111)),'Price History'!H111=0),"",'Price History'!H112/'Price History'!H111-1),"")</f>
        <v>0.114430603020615</v>
      </c>
      <c r="I111" s="153" t="n">
        <f aca="false">IFERROR(IF(OR(NOT(ISNUMBER('Price History'!I112)),NOT(ISNUMBER('Price History'!I111)),'Price History'!I111=0),"",'Price History'!I112/'Price History'!I111-1),"")</f>
        <v>0.00032837127845875</v>
      </c>
      <c r="J111" s="153" t="n">
        <f aca="false">IFERROR(IF(OR(NOT(ISNUMBER('Price History'!J112)),NOT(ISNUMBER('Price History'!J111)),'Price History'!J111=0),"",'Price History'!J112/'Price History'!J111-1),"")</f>
        <v>0.115541543026706</v>
      </c>
      <c r="K111" s="153" t="n">
        <f aca="false">IFERROR(IF(OR(NOT(ISNUMBER('Price History'!K112)),NOT(ISNUMBER('Price History'!K111)),'Price History'!K111=0),"",'Price History'!K112/'Price History'!K111-1),"")</f>
        <v>0.0154468764249887</v>
      </c>
      <c r="L111" s="153" t="n">
        <f aca="false">IFERROR(IF(OR(NOT(ISNUMBER('Price History'!L112)),NOT(ISNUMBER('Price History'!L111)),'Price History'!L111=0),"",'Price History'!L112/'Price History'!L111-1),"")</f>
        <v>0.0513826875990204</v>
      </c>
      <c r="M111" s="153" t="n">
        <f aca="false">IFERROR(IF(OR(NOT(ISNUMBER('Price History'!M112)),NOT(ISNUMBER('Price History'!M111)),'Price History'!M111=0),"",'Price History'!M112/'Price History'!M111-1),"")</f>
        <v>0.0294971272878042</v>
      </c>
      <c r="N111" s="153" t="n">
        <f aca="false">IFERROR(IF(OR(NOT(ISNUMBER('Price History'!N112)),NOT(ISNUMBER('Price History'!N111)),'Price History'!N111=0),"",'Price History'!N112/'Price History'!N111-1),"")</f>
        <v>0.022119228034037</v>
      </c>
      <c r="O111" s="153" t="n">
        <f aca="false">IFERROR(IF(OR(NOT(ISNUMBER('Price History'!O112)),NOT(ISNUMBER('Price History'!O111)),'Price History'!O111=0),"",'Price History'!O112/'Price History'!O111-1),"")</f>
        <v>0.0195848855774348</v>
      </c>
      <c r="P111" s="153" t="n">
        <f aca="false">IFERROR(IF(OR(NOT(ISNUMBER('Price History'!P112)),NOT(ISNUMBER('Price History'!P111)),'Price History'!P111=0),"",'Price History'!P112/'Price History'!P111-1),"")</f>
        <v>0.0146915523573945</v>
      </c>
      <c r="Q111" s="153" t="n">
        <f aca="false">IFERROR(IF(OR(NOT(ISNUMBER('Price History'!Q112)),NOT(ISNUMBER('Price History'!Q111)),'Price History'!Q111=0),"",'Price History'!Q112/'Price History'!Q111-1),"")</f>
        <v>0.00985915492957745</v>
      </c>
      <c r="R111" s="153" t="n">
        <f aca="false">IFERROR(IF(OR(NOT(ISNUMBER('Price History'!R112)),NOT(ISNUMBER('Price History'!R111)),'Price History'!R111=0),"",'Price History'!R112/'Price History'!R111-1),"")</f>
        <v>0.0205506783719074</v>
      </c>
      <c r="S111" s="153" t="n">
        <f aca="false">IFERROR(IF(OR(NOT(ISNUMBER('Price History'!S112)),NOT(ISNUMBER('Price History'!S111)),'Price History'!S111=0),"",'Price History'!S112/'Price History'!S111-1),"")</f>
        <v>0.0161688366947492</v>
      </c>
      <c r="T111" s="153" t="n">
        <f aca="false">IFERROR(IF(OR(NOT(ISNUMBER('Price History'!T112)),NOT(ISNUMBER('Price History'!T111)),'Price History'!T111=0),"",'Price History'!T112/'Price History'!T111-1),"")</f>
        <v>0.0141235114926612</v>
      </c>
      <c r="U111" s="153" t="n">
        <f aca="false">IFERROR(IF(OR(NOT(ISNUMBER('Price History'!U112)),NOT(ISNUMBER('Price History'!U111)),'Price History'!U111=0),"",'Price History'!U112/'Price History'!U111-1),"")</f>
        <v>0.00936037441497661</v>
      </c>
      <c r="V111" s="154" t="n">
        <f aca="false">IFERROR(IF(OR(NOT(ISNUMBER('Price History'!V112)),NOT(ISNUMBER('Price History'!V111)),'Price History'!V111=0),"",'Price History'!V112/'Price History'!V111-1),"")</f>
        <v>-0.00510383667722636</v>
      </c>
      <c r="W111" s="155" t="n">
        <f aca="false">IFERROR('Price History'!B3+(INDEX('Price History'!B:B,MATCH(9.99E+307,'Returns (Calc)'!$A:$A)+1)-'Price History'!B3)*(ROW()-3)/(MATCH(9.99E+307,'Returns (Calc)'!$A:$A)-3),"")</f>
        <v>334.204716981132</v>
      </c>
      <c r="X111" s="155" t="n">
        <f aca="false">IFERROR('Price History'!C3+(INDEX('Price History'!C:C,MATCH(9.99E+307,'Returns (Calc)'!$A:$A)+1)-'Price History'!C3)*(ROW()-3)/(MATCH(9.99E+307,'Returns (Calc)'!$A:$A)-3),"")</f>
        <v>162.032075471698</v>
      </c>
      <c r="Y111" s="155" t="n">
        <f aca="false">IFERROR('Price History'!D3+(INDEX('Price History'!D:D,MATCH(9.99E+307,'Returns (Calc)'!$A:$A)+1)-'Price History'!D3)*(ROW()-3)/(MATCH(9.99E+307,'Returns (Calc)'!$A:$A)-3),"")</f>
        <v>1395.97</v>
      </c>
      <c r="Z111" s="155" t="n">
        <f aca="false">IFERROR('Price History'!E3+(INDEX('Price History'!E:E,MATCH(9.99E+307,'Returns (Calc)'!$A:$A)+1)-'Price History'!E3)*(ROW()-3)/(MATCH(9.99E+307,'Returns (Calc)'!$A:$A)-3),"")</f>
        <v>271.876226415094</v>
      </c>
      <c r="AA111" s="155" t="n">
        <f aca="false">IFERROR('Price History'!F3+(INDEX('Price History'!F:F,MATCH(9.99E+307,'Returns (Calc)'!$A:$A)+1)-'Price History'!F3)*(ROW()-3)/(MATCH(9.99E+307,'Returns (Calc)'!$A:$A)-3),"")</f>
        <v>200.086037735849</v>
      </c>
      <c r="AB111" s="155" t="n">
        <f aca="false">IFERROR('Price History'!G3+(INDEX('Price History'!G:G,MATCH(9.99E+307,'Returns (Calc)'!$A:$A)+1)-'Price History'!G3)*(ROW()-3)/(MATCH(9.99E+307,'Returns (Calc)'!$A:$A)-3),"")</f>
        <v>147.065471698113</v>
      </c>
      <c r="AC111" s="155" t="n">
        <f aca="false">IFERROR('Price History'!H3+(INDEX('Price History'!H:H,MATCH(9.99E+307,'Returns (Calc)'!$A:$A)+1)-'Price History'!H3)*(ROW()-3)/(MATCH(9.99E+307,'Returns (Calc)'!$A:$A)-3),"")</f>
        <v>721.110754716981</v>
      </c>
      <c r="AD111" s="155" t="n">
        <f aca="false">IFERROR('Price History'!I3+(INDEX('Price History'!I:I,MATCH(9.99E+307,'Returns (Calc)'!$A:$A)+1)-'Price History'!I3)*(ROW()-3)/(MATCH(9.99E+307,'Returns (Calc)'!$A:$A)-3),"")</f>
        <v>169.77679245283</v>
      </c>
      <c r="AE111" s="155" t="n">
        <f aca="false">IFERROR('Price History'!J3+(INDEX('Price History'!J:J,MATCH(9.99E+307,'Returns (Calc)'!$A:$A)+1)-'Price History'!J3)*(ROW()-3)/(MATCH(9.99E+307,'Returns (Calc)'!$A:$A)-3),"")</f>
        <v>123.828679245283</v>
      </c>
      <c r="AF111" s="155" t="n">
        <f aca="false">IFERROR('Price History'!K3+(INDEX('Price History'!K:K,MATCH(9.99E+307,'Returns (Calc)'!$A:$A)+1)-'Price History'!K3)*(ROW()-3)/(MATCH(9.99E+307,'Returns (Calc)'!$A:$A)-3),"")</f>
        <v>146.913396226415</v>
      </c>
      <c r="AG111" s="155" t="n">
        <f aca="false">IFERROR('Price History'!L3+(INDEX('Price History'!L:L,MATCH(9.99E+307,'Returns (Calc)'!$A:$A)+1)-'Price History'!L3)*(ROW()-3)/(MATCH(9.99E+307,'Returns (Calc)'!$A:$A)-3),"")</f>
        <v>335.413396226415</v>
      </c>
      <c r="AH111" s="155" t="n">
        <f aca="false">IFERROR('Price History'!M3+(INDEX('Price History'!M:M,MATCH(9.99E+307,'Returns (Calc)'!$A:$A)+1)-'Price History'!M3)*(ROW()-3)/(MATCH(9.99E+307,'Returns (Calc)'!$A:$A)-3),"")</f>
        <v>177.102264150943</v>
      </c>
      <c r="AI111" s="155" t="n">
        <f aca="false">IFERROR('Price History'!N3+(INDEX('Price History'!N:N,MATCH(9.99E+307,'Returns (Calc)'!$A:$A)+1)-'Price History'!N3)*(ROW()-3)/(MATCH(9.99E+307,'Returns (Calc)'!$A:$A)-3),"")</f>
        <v>458.380754716981</v>
      </c>
      <c r="AJ111" s="155" t="n">
        <f aca="false">IFERROR('Price History'!O3+(INDEX('Price History'!O:O,MATCH(9.99E+307,'Returns (Calc)'!$A:$A)+1)-'Price History'!O3)*(ROW()-3)/(MATCH(9.99E+307,'Returns (Calc)'!$A:$A)-3),"")</f>
        <v>105.420943396226</v>
      </c>
      <c r="AK111" s="155" t="n">
        <f aca="false">IFERROR('Price History'!Q3+(INDEX('Price History'!Q:Q,MATCH(9.99E+307,'Returns (Calc)'!$A:$A)+1)-'Price History'!Q3)*(ROW()-3)/(MATCH(9.99E+307,'Returns (Calc)'!$A:$A)-3),"")</f>
        <v>47.5267924528302</v>
      </c>
      <c r="AL111" s="155" t="n">
        <f aca="false">IFERROR('Price History'!R3+(INDEX('Price History'!R:R,MATCH(9.99E+307,'Returns (Calc)'!$A:$A)+1)-'Price History'!R3)*(ROW()-3)/(MATCH(9.99E+307,'Returns (Calc)'!$A:$A)-3),"")</f>
        <v>52.5547169811321</v>
      </c>
      <c r="AM111" s="155" t="n">
        <f aca="false">IFERROR('Price History'!S3+(INDEX('Price History'!S:S,MATCH(9.99E+307,'Returns (Calc)'!$A:$A)+1)-'Price History'!S3)*(ROW()-3)/(MATCH(9.99E+307,'Returns (Calc)'!$A:$A)-3),"")</f>
        <v>121.159811320755</v>
      </c>
      <c r="AN111" s="155" t="n">
        <f aca="false">IFERROR('Price History'!T3+(INDEX('Price History'!T:T,MATCH(9.99E+307,'Returns (Calc)'!$A:$A)+1)-'Price History'!T3)*(ROW()-3)/(MATCH(9.99E+307,'Returns (Calc)'!$A:$A)-3),"")</f>
        <v>43.9711320754717</v>
      </c>
      <c r="AO111" s="156" t="n">
        <f aca="false">IFERROR('Price History'!V3+(INDEX('Price History'!V:V,MATCH(9.99E+307,'Returns (Calc)'!$A:$A)+1)-'Price History'!V3)*(ROW()-3)/(MATCH(9.99E+307,'Returns (Calc)'!$A:$A)-3),"")</f>
        <v>337.394528301887</v>
      </c>
      <c r="AP111" s="154" t="n">
        <f aca="false">IFERROR(IF(OR(NOT(ISNUMBER('Price History'!W112)),NOT(ISNUMBER('Price History'!W111)),'Price History'!W111=0),"",'Price History'!W112/'Price History'!W111-1),"")</f>
        <v>0.0191519487294134</v>
      </c>
      <c r="AQ111" s="154" t="str">
        <f aca="false">IFERROR(IF(OR(NOT(ISNUMBER('Price History'!X112)),NOT(ISNUMBER('Price History'!X111)),'Price History'!X111=0),"",'Price History'!X112/'Price History'!X111-1),"")</f>
        <v/>
      </c>
      <c r="AR111" s="154" t="n">
        <f aca="false">IFERROR(IF(OR(NOT(ISNUMBER('Price History'!Y112)),NOT(ISNUMBER('Price History'!Y111)),'Price History'!Y111=0),"",'Price History'!Y112/'Price History'!Y111-1),"")</f>
        <v>0.0152775091858441</v>
      </c>
      <c r="AS111" s="154" t="n">
        <f aca="false">IFERROR(IF(OR(NOT(ISNUMBER('Price History'!Z112)),NOT(ISNUMBER('Price History'!Z111)),'Price History'!Z111=0),"",'Price History'!Z112/'Price History'!Z111-1),"")</f>
        <v>0.0296623322871037</v>
      </c>
      <c r="AT111" s="154" t="n">
        <f aca="false">IFERROR(IF(OR(NOT(ISNUMBER('Price History'!AA112)),NOT(ISNUMBER('Price History'!AA111)),'Price History'!AA111=0),"",'Price History'!AA112/'Price History'!AA111-1),"")</f>
        <v>-0.0169658224735678</v>
      </c>
      <c r="AU111" s="154" t="n">
        <f aca="false">IFERROR(IF(OR(NOT(ISNUMBER('Price History'!AB112)),NOT(ISNUMBER('Price History'!AB111)),'Price History'!AB111=0),"",'Price History'!AB112/'Price History'!AB111-1),"")</f>
        <v>-0.00997941309885186</v>
      </c>
    </row>
    <row r="112" customFormat="false" ht="15" hidden="false" customHeight="true" outlineLevel="0" collapsed="false">
      <c r="A112" s="152" t="n">
        <f aca="false">IF('Price History'!A113="","",'Price History'!A113)</f>
        <v>45954</v>
      </c>
      <c r="B112" s="153" t="n">
        <f aca="false">IFERROR(IF(OR(NOT(ISNUMBER('Price History'!B113)),NOT(ISNUMBER('Price History'!B112)),'Price History'!B112=0),"",'Price History'!B113/'Price History'!B112-1),"")</f>
        <v>0.0607933745423992</v>
      </c>
      <c r="C112" s="153" t="n">
        <f aca="false">IFERROR(IF(OR(NOT(ISNUMBER('Price History'!C113)),NOT(ISNUMBER('Price History'!C112)),'Price History'!C112=0),"",'Price History'!C113/'Price History'!C112-1),"")</f>
        <v>0.0749126484975542</v>
      </c>
      <c r="D112" s="153" t="n">
        <f aca="false">IFERROR(IF(OR(NOT(ISNUMBER('Price History'!D113)),NOT(ISNUMBER('Price History'!D112)),'Price History'!D112=0),"",'Price History'!D113/'Price History'!D112-1),"")</f>
        <v>0.00372605204737253</v>
      </c>
      <c r="E112" s="153" t="n">
        <f aca="false">IFERROR(IF(OR(NOT(ISNUMBER('Price History'!E113)),NOT(ISNUMBER('Price History'!E112)),'Price History'!E112=0),"",'Price History'!E113/'Price History'!E112-1),"")</f>
        <v>0.0137563085796684</v>
      </c>
      <c r="F112" s="153" t="n">
        <f aca="false">IFERROR(IF(OR(NOT(ISNUMBER('Price History'!F113)),NOT(ISNUMBER('Price History'!F112)),'Price History'!F112=0),"",'Price History'!F113/'Price History'!F112-1),"")</f>
        <v>0.0880653681082868</v>
      </c>
      <c r="G112" s="153" t="n">
        <f aca="false">IFERROR(IF(OR(NOT(ISNUMBER('Price History'!G113)),NOT(ISNUMBER('Price History'!G112)),'Price History'!G112=0),"",'Price History'!G113/'Price History'!G112-1),"")</f>
        <v>0.0688652675570094</v>
      </c>
      <c r="H112" s="153" t="n">
        <f aca="false">IFERROR(IF(OR(NOT(ISNUMBER('Price History'!H113)),NOT(ISNUMBER('Price History'!H112)),'Price History'!H112=0),"",'Price History'!H113/'Price History'!H112-1),"")</f>
        <v>0.082253437530913</v>
      </c>
      <c r="I112" s="153" t="n">
        <f aca="false">IFERROR(IF(OR(NOT(ISNUMBER('Price History'!I113)),NOT(ISNUMBER('Price History'!I112)),'Price History'!I112=0),"",'Price History'!I113/'Price History'!I112-1),"")</f>
        <v>0.0165773060509902</v>
      </c>
      <c r="J112" s="153" t="n">
        <f aca="false">IFERROR(IF(OR(NOT(ISNUMBER('Price History'!J113)),NOT(ISNUMBER('Price History'!J112)),'Price History'!J112=0),"",'Price History'!J113/'Price History'!J112-1),"")</f>
        <v>0.0189526184538653</v>
      </c>
      <c r="K112" s="153" t="n">
        <f aca="false">IFERROR(IF(OR(NOT(ISNUMBER('Price History'!K113)),NOT(ISNUMBER('Price History'!K112)),'Price History'!K112=0),"",'Price History'!K113/'Price History'!K112-1),"")</f>
        <v>0.0363738422677518</v>
      </c>
      <c r="L112" s="153" t="n">
        <f aca="false">IFERROR(IF(OR(NOT(ISNUMBER('Price History'!L113)),NOT(ISNUMBER('Price History'!L112)),'Price History'!L112=0),"",'Price History'!L113/'Price History'!L112-1),"")</f>
        <v>-0.000410972978526658</v>
      </c>
      <c r="M112" s="153" t="n">
        <f aca="false">IFERROR(IF(OR(NOT(ISNUMBER('Price History'!M113)),NOT(ISNUMBER('Price History'!M112)),'Price History'!M112=0),"",'Price History'!M113/'Price History'!M112-1),"")</f>
        <v>0.0693285771819805</v>
      </c>
      <c r="N112" s="153" t="n">
        <f aca="false">IFERROR(IF(OR(NOT(ISNUMBER('Price History'!N113)),NOT(ISNUMBER('Price History'!N112)),'Price History'!N112=0),"",'Price History'!N113/'Price History'!N112-1),"")</f>
        <v>0.0109882200523019</v>
      </c>
      <c r="O112" s="153" t="n">
        <f aca="false">IFERROR(IF(OR(NOT(ISNUMBER('Price History'!O113)),NOT(ISNUMBER('Price History'!O112)),'Price History'!O112=0),"",'Price History'!O113/'Price History'!O112-1),"")</f>
        <v>0.0294393986846226</v>
      </c>
      <c r="P112" s="153" t="n">
        <f aca="false">IFERROR(IF(OR(NOT(ISNUMBER('Price History'!P113)),NOT(ISNUMBER('Price History'!P112)),'Price History'!P112=0),"",'Price History'!P113/'Price History'!P112-1),"")</f>
        <v>0.0169904705621629</v>
      </c>
      <c r="Q112" s="153" t="n">
        <f aca="false">IFERROR(IF(OR(NOT(ISNUMBER('Price History'!Q113)),NOT(ISNUMBER('Price History'!Q112)),'Price History'!Q112=0),"",'Price History'!Q113/'Price History'!Q112-1),"")</f>
        <v>0.0100728343406169</v>
      </c>
      <c r="R112" s="153" t="n">
        <f aca="false">IFERROR(IF(OR(NOT(ISNUMBER('Price History'!R113)),NOT(ISNUMBER('Price History'!R112)),'Price History'!R112=0),"",'Price History'!R113/'Price History'!R112-1),"")</f>
        <v>0.0185728250244379</v>
      </c>
      <c r="S112" s="153" t="n">
        <f aca="false">IFERROR(IF(OR(NOT(ISNUMBER('Price History'!S113)),NOT(ISNUMBER('Price History'!S112)),'Price History'!S112=0),"",'Price History'!S113/'Price History'!S112-1),"")</f>
        <v>0.0107193702369985</v>
      </c>
      <c r="T112" s="153" t="n">
        <f aca="false">IFERROR(IF(OR(NOT(ISNUMBER('Price History'!T113)),NOT(ISNUMBER('Price History'!T112)),'Price History'!T112=0),"",'Price History'!T113/'Price History'!T112-1),"")</f>
        <v>0.0262151829601311</v>
      </c>
      <c r="U112" s="153" t="n">
        <f aca="false">IFERROR(IF(OR(NOT(ISNUMBER('Price History'!U113)),NOT(ISNUMBER('Price History'!U112)),'Price History'!U112=0),"",'Price History'!U113/'Price History'!U112-1),"")</f>
        <v>0.00888717156105101</v>
      </c>
      <c r="V112" s="154" t="n">
        <f aca="false">IFERROR(IF(OR(NOT(ISNUMBER('Price History'!V113)),NOT(ISNUMBER('Price History'!V112)),'Price History'!V112=0),"",'Price History'!V113/'Price History'!V112-1),"")</f>
        <v>0.0160386815260334</v>
      </c>
      <c r="W112" s="155" t="n">
        <f aca="false">IFERROR('Price History'!B3+(INDEX('Price History'!B:B,MATCH(9.99E+307,'Returns (Calc)'!$A:$A)+1)-'Price History'!B3)*(ROW()-3)/(MATCH(9.99E+307,'Returns (Calc)'!$A:$A)-3),"")</f>
        <v>332.402075471698</v>
      </c>
      <c r="X112" s="155" t="n">
        <f aca="false">IFERROR('Price History'!C3+(INDEX('Price History'!C:C,MATCH(9.99E+307,'Returns (Calc)'!$A:$A)+1)-'Price History'!C3)*(ROW()-3)/(MATCH(9.99E+307,'Returns (Calc)'!$A:$A)-3),"")</f>
        <v>163.104779874214</v>
      </c>
      <c r="Y112" s="155" t="n">
        <f aca="false">IFERROR('Price History'!D3+(INDEX('Price History'!D:D,MATCH(9.99E+307,'Returns (Calc)'!$A:$A)+1)-'Price History'!D3)*(ROW()-3)/(MATCH(9.99E+307,'Returns (Calc)'!$A:$A)-3),"")</f>
        <v>1403.50666666667</v>
      </c>
      <c r="Z112" s="155" t="n">
        <f aca="false">IFERROR('Price History'!E3+(INDEX('Price History'!E:E,MATCH(9.99E+307,'Returns (Calc)'!$A:$A)+1)-'Price History'!E3)*(ROW()-3)/(MATCH(9.99E+307,'Returns (Calc)'!$A:$A)-3),"")</f>
        <v>273.634339622642</v>
      </c>
      <c r="AA112" s="155" t="n">
        <f aca="false">IFERROR('Price History'!F3+(INDEX('Price History'!F:F,MATCH(9.99E+307,'Returns (Calc)'!$A:$A)+1)-'Price History'!F3)*(ROW()-3)/(MATCH(9.99E+307,'Returns (Calc)'!$A:$A)-3),"")</f>
        <v>201.55572327044</v>
      </c>
      <c r="AB112" s="155" t="n">
        <f aca="false">IFERROR('Price History'!G3+(INDEX('Price History'!G:G,MATCH(9.99E+307,'Returns (Calc)'!$A:$A)+1)-'Price History'!G3)*(ROW()-3)/(MATCH(9.99E+307,'Returns (Calc)'!$A:$A)-3),"")</f>
        <v>148.016540880503</v>
      </c>
      <c r="AC112" s="155" t="n">
        <f aca="false">IFERROR('Price History'!H3+(INDEX('Price History'!H:H,MATCH(9.99E+307,'Returns (Calc)'!$A:$A)+1)-'Price History'!H3)*(ROW()-3)/(MATCH(9.99E+307,'Returns (Calc)'!$A:$A)-3),"")</f>
        <v>727.147798742138</v>
      </c>
      <c r="AD112" s="155" t="n">
        <f aca="false">IFERROR('Price History'!I3+(INDEX('Price History'!I:I,MATCH(9.99E+307,'Returns (Calc)'!$A:$A)+1)-'Price History'!I3)*(ROW()-3)/(MATCH(9.99E+307,'Returns (Calc)'!$A:$A)-3),"")</f>
        <v>170.943522012579</v>
      </c>
      <c r="AE112" s="155" t="n">
        <f aca="false">IFERROR('Price History'!J3+(INDEX('Price History'!J:J,MATCH(9.99E+307,'Returns (Calc)'!$A:$A)+1)-'Price History'!J3)*(ROW()-3)/(MATCH(9.99E+307,'Returns (Calc)'!$A:$A)-3),"")</f>
        <v>123.939685534591</v>
      </c>
      <c r="AF112" s="155" t="n">
        <f aca="false">IFERROR('Price History'!K3+(INDEX('Price History'!K:K,MATCH(9.99E+307,'Returns (Calc)'!$A:$A)+1)-'Price History'!K3)*(ROW()-3)/(MATCH(9.99E+307,'Returns (Calc)'!$A:$A)-3),"")</f>
        <v>148.131761006289</v>
      </c>
      <c r="AG112" s="155" t="n">
        <f aca="false">IFERROR('Price History'!L3+(INDEX('Price History'!L:L,MATCH(9.99E+307,'Returns (Calc)'!$A:$A)+1)-'Price History'!L3)*(ROW()-3)/(MATCH(9.99E+307,'Returns (Calc)'!$A:$A)-3),"")</f>
        <v>337.725094339623</v>
      </c>
      <c r="AH112" s="155" t="n">
        <f aca="false">IFERROR('Price History'!M3+(INDEX('Price History'!M:M,MATCH(9.99E+307,'Returns (Calc)'!$A:$A)+1)-'Price History'!M3)*(ROW()-3)/(MATCH(9.99E+307,'Returns (Calc)'!$A:$A)-3),"")</f>
        <v>178.390062893082</v>
      </c>
      <c r="AI112" s="155" t="n">
        <f aca="false">IFERROR('Price History'!N3+(INDEX('Price History'!N:N,MATCH(9.99E+307,'Returns (Calc)'!$A:$A)+1)-'Price History'!N3)*(ROW()-3)/(MATCH(9.99E+307,'Returns (Calc)'!$A:$A)-3),"")</f>
        <v>459.394465408805</v>
      </c>
      <c r="AJ112" s="155" t="n">
        <f aca="false">IFERROR('Price History'!O3+(INDEX('Price History'!O:O,MATCH(9.99E+307,'Returns (Calc)'!$A:$A)+1)-'Price History'!O3)*(ROW()-3)/(MATCH(9.99E+307,'Returns (Calc)'!$A:$A)-3),"")</f>
        <v>105.699748427673</v>
      </c>
      <c r="AK112" s="155" t="n">
        <f aca="false">IFERROR('Price History'!Q3+(INDEX('Price History'!Q:Q,MATCH(9.99E+307,'Returns (Calc)'!$A:$A)+1)-'Price History'!Q3)*(ROW()-3)/(MATCH(9.99E+307,'Returns (Calc)'!$A:$A)-3),"")</f>
        <v>47.9668553459119</v>
      </c>
      <c r="AL112" s="155" t="n">
        <f aca="false">IFERROR('Price History'!R3+(INDEX('Price History'!R:R,MATCH(9.99E+307,'Returns (Calc)'!$A:$A)+1)-'Price History'!R3)*(ROW()-3)/(MATCH(9.99E+307,'Returns (Calc)'!$A:$A)-3),"")</f>
        <v>52.7220754716981</v>
      </c>
      <c r="AM112" s="155" t="n">
        <f aca="false">IFERROR('Price History'!S3+(INDEX('Price History'!S:S,MATCH(9.99E+307,'Returns (Calc)'!$A:$A)+1)-'Price History'!S3)*(ROW()-3)/(MATCH(9.99E+307,'Returns (Calc)'!$A:$A)-3),"")</f>
        <v>121.748050314465</v>
      </c>
      <c r="AN112" s="155" t="n">
        <f aca="false">IFERROR('Price History'!T3+(INDEX('Price History'!T:T,MATCH(9.99E+307,'Returns (Calc)'!$A:$A)+1)-'Price History'!T3)*(ROW()-3)/(MATCH(9.99E+307,'Returns (Calc)'!$A:$A)-3),"")</f>
        <v>44.1450314465409</v>
      </c>
      <c r="AO112" s="156" t="n">
        <f aca="false">IFERROR('Price History'!V3+(INDEX('Price History'!V:V,MATCH(9.99E+307,'Returns (Calc)'!$A:$A)+1)-'Price History'!V3)*(ROW()-3)/(MATCH(9.99E+307,'Returns (Calc)'!$A:$A)-3),"")</f>
        <v>338.33679245283</v>
      </c>
      <c r="AP112" s="154" t="n">
        <f aca="false">IFERROR(IF(OR(NOT(ISNUMBER('Price History'!W113)),NOT(ISNUMBER('Price History'!W112)),'Price History'!W112=0),"",'Price History'!W113/'Price History'!W112-1),"")</f>
        <v>0.0108218777420299</v>
      </c>
      <c r="AQ112" s="154" t="str">
        <f aca="false">IFERROR(IF(OR(NOT(ISNUMBER('Price History'!X113)),NOT(ISNUMBER('Price History'!X112)),'Price History'!X112=0),"",'Price History'!X113/'Price History'!X112-1),"")</f>
        <v/>
      </c>
      <c r="AR112" s="154" t="n">
        <f aca="false">IFERROR(IF(OR(NOT(ISNUMBER('Price History'!Y113)),NOT(ISNUMBER('Price History'!Y112)),'Price History'!Y112=0),"",'Price History'!Y113/'Price History'!Y112-1),"")</f>
        <v>0.0104761904761905</v>
      </c>
      <c r="AS112" s="154" t="n">
        <f aca="false">IFERROR(IF(OR(NOT(ISNUMBER('Price History'!Z113)),NOT(ISNUMBER('Price History'!Z112)),'Price History'!Z112=0),"",'Price History'!Z113/'Price History'!Z112-1),"")</f>
        <v>0.0124275617190903</v>
      </c>
      <c r="AT112" s="154" t="n">
        <f aca="false">IFERROR(IF(OR(NOT(ISNUMBER('Price History'!AA113)),NOT(ISNUMBER('Price History'!AA112)),'Price History'!AA112=0),"",'Price History'!AA113/'Price History'!AA112-1),"")</f>
        <v>-0.0872936468234117</v>
      </c>
      <c r="AU112" s="154" t="n">
        <f aca="false">IFERROR(IF(OR(NOT(ISNUMBER('Price History'!AB113)),NOT(ISNUMBER('Price History'!AB112)),'Price History'!AB112=0),"",'Price History'!AB113/'Price History'!AB112-1),"")</f>
        <v>0.0327423959398019</v>
      </c>
    </row>
    <row r="113" customFormat="false" ht="15" hidden="false" customHeight="true" outlineLevel="0" collapsed="false">
      <c r="A113" s="152" t="n">
        <f aca="false">IF('Price History'!A114="","",'Price History'!A114)</f>
        <v>45961</v>
      </c>
      <c r="B113" s="153" t="n">
        <f aca="false">IFERROR(IF(OR(NOT(ISNUMBER('Price History'!B114)),NOT(ISNUMBER('Price History'!B113)),'Price History'!B113=0),"",'Price History'!B114/'Price History'!B113-1),"")</f>
        <v>-0.037367051369088</v>
      </c>
      <c r="C113" s="153" t="n">
        <f aca="false">IFERROR(IF(OR(NOT(ISNUMBER('Price History'!C114)),NOT(ISNUMBER('Price History'!C113)),'Price History'!C113=0),"",'Price History'!C114/'Price History'!C113-1),"")</f>
        <v>0.0251592770771032</v>
      </c>
      <c r="D113" s="153" t="n">
        <f aca="false">IFERROR(IF(OR(NOT(ISNUMBER('Price History'!D114)),NOT(ISNUMBER('Price History'!D113)),'Price History'!D113=0),"",'Price History'!D114/'Price History'!D113-1),"")</f>
        <v>0.0271157706023346</v>
      </c>
      <c r="E113" s="153" t="n">
        <f aca="false">IFERROR(IF(OR(NOT(ISNUMBER('Price History'!E114)),NOT(ISNUMBER('Price History'!E113)),'Price History'!E113=0),"",'Price History'!E114/'Price History'!E113-1),"")</f>
        <v>0.0437528447883477</v>
      </c>
      <c r="F113" s="153" t="n">
        <f aca="false">IFERROR(IF(OR(NOT(ISNUMBER('Price History'!F114)),NOT(ISNUMBER('Price History'!F113)),'Price History'!F113=0),"",'Price History'!F114/'Price History'!F113-1),"")</f>
        <v>0.029735265114162</v>
      </c>
      <c r="G113" s="153" t="n">
        <f aca="false">IFERROR(IF(OR(NOT(ISNUMBER('Price History'!G114)),NOT(ISNUMBER('Price History'!G113)),'Price History'!G113=0),"",'Price History'!G114/'Price History'!G113-1),"")</f>
        <v>0.0219294517637059</v>
      </c>
      <c r="H113" s="153" t="n">
        <f aca="false">IFERROR(IF(OR(NOT(ISNUMBER('Price History'!H114)),NOT(ISNUMBER('Price History'!H113)),'Price History'!H113=0),"",'Price History'!H114/'Price History'!H113-1),"")</f>
        <v>0.0216626296787168</v>
      </c>
      <c r="I113" s="153" t="n">
        <f aca="false">IFERROR(IF(OR(NOT(ISNUMBER('Price History'!I114)),NOT(ISNUMBER('Price History'!I113)),'Price History'!I113=0),"",'Price History'!I114/'Price History'!I113-1),"")</f>
        <v>0.0871858349927344</v>
      </c>
      <c r="J113" s="153" t="n">
        <f aca="false">IFERROR(IF(OR(NOT(ISNUMBER('Price History'!J114)),NOT(ISNUMBER('Price History'!J113)),'Price History'!J113=0),"",'Price History'!J114/'Price History'!J113-1),"")</f>
        <v>-0.0185185185185185</v>
      </c>
      <c r="K113" s="153" t="n">
        <f aca="false">IFERROR(IF(OR(NOT(ISNUMBER('Price History'!K114)),NOT(ISNUMBER('Price History'!K113)),'Price History'!K113=0),"",'Price History'!K114/'Price History'!K113-1),"")</f>
        <v>0.0857932080376971</v>
      </c>
      <c r="L113" s="153" t="n">
        <f aca="false">IFERROR(IF(OR(NOT(ISNUMBER('Price History'!L114)),NOT(ISNUMBER('Price History'!L113)),'Price History'!L113=0),"",'Price History'!L114/'Price History'!L113-1),"")</f>
        <v>0.0185356494329667</v>
      </c>
      <c r="M113" s="153" t="n">
        <f aca="false">IFERROR(IF(OR(NOT(ISNUMBER('Price History'!M114)),NOT(ISNUMBER('Price History'!M113)),'Price History'!M113=0),"",'Price History'!M114/'Price History'!M113-1),"")</f>
        <v>0.036532874206392</v>
      </c>
      <c r="N113" s="153" t="n">
        <f aca="false">IFERROR(IF(OR(NOT(ISNUMBER('Price History'!N114)),NOT(ISNUMBER('Price History'!N113)),'Price History'!N113=0),"",'Price History'!N114/'Price History'!N113-1),"")</f>
        <v>0.00991955195899297</v>
      </c>
      <c r="O113" s="153" t="n">
        <f aca="false">IFERROR(IF(OR(NOT(ISNUMBER('Price History'!O114)),NOT(ISNUMBER('Price History'!O113)),'Price History'!O113=0),"",'Price History'!O114/'Price History'!O113-1),"")</f>
        <v>-0.021194605009634</v>
      </c>
      <c r="P113" s="153" t="n">
        <f aca="false">IFERROR(IF(OR(NOT(ISNUMBER('Price History'!P114)),NOT(ISNUMBER('Price History'!P113)),'Price History'!P113=0),"",'Price History'!P114/'Price History'!P113-1),"")</f>
        <v>-0.0238250889808963</v>
      </c>
      <c r="Q113" s="153" t="n">
        <f aca="false">IFERROR(IF(OR(NOT(ISNUMBER('Price History'!Q114)),NOT(ISNUMBER('Price History'!Q113)),'Price History'!Q113=0),"",'Price History'!Q114/'Price History'!Q113-1),"")</f>
        <v>0.000613685179502888</v>
      </c>
      <c r="R113" s="153" t="n">
        <f aca="false">IFERROR(IF(OR(NOT(ISNUMBER('Price History'!R114)),NOT(ISNUMBER('Price History'!R113)),'Price History'!R113=0),"",'Price History'!R114/'Price History'!R113-1),"")</f>
        <v>0.00940499040307108</v>
      </c>
      <c r="S113" s="153" t="n">
        <f aca="false">IFERROR(IF(OR(NOT(ISNUMBER('Price History'!S114)),NOT(ISNUMBER('Price History'!S113)),'Price History'!S113=0),"",'Price History'!S114/'Price History'!S113-1),"")</f>
        <v>-8.28569061230855E-005</v>
      </c>
      <c r="T113" s="153" t="n">
        <f aca="false">IFERROR(IF(OR(NOT(ISNUMBER('Price History'!T114)),NOT(ISNUMBER('Price History'!T113)),'Price History'!T113=0),"",'Price History'!T114/'Price History'!T113-1),"")</f>
        <v>-0.00638637573177203</v>
      </c>
      <c r="U113" s="153" t="n">
        <f aca="false">IFERROR(IF(OR(NOT(ISNUMBER('Price History'!U114)),NOT(ISNUMBER('Price History'!U113)),'Price History'!U113=0),"",'Price History'!U114/'Price History'!U113-1),"")</f>
        <v>-0.0103408655687476</v>
      </c>
      <c r="V113" s="154" t="n">
        <f aca="false">IFERROR(IF(OR(NOT(ISNUMBER('Price History'!V114)),NOT(ISNUMBER('Price History'!V113)),'Price History'!V113=0),"",'Price History'!V114/'Price History'!V113-1),"")</f>
        <v>-0.0190934942835587</v>
      </c>
      <c r="W113" s="155" t="n">
        <f aca="false">IFERROR('Price History'!B3+(INDEX('Price History'!B:B,MATCH(9.99E+307,'Returns (Calc)'!$A:$A)+1)-'Price History'!B3)*(ROW()-3)/(MATCH(9.99E+307,'Returns (Calc)'!$A:$A)-3),"")</f>
        <v>330.599433962264</v>
      </c>
      <c r="X113" s="155" t="n">
        <f aca="false">IFERROR('Price History'!C3+(INDEX('Price History'!C:C,MATCH(9.99E+307,'Returns (Calc)'!$A:$A)+1)-'Price History'!C3)*(ROW()-3)/(MATCH(9.99E+307,'Returns (Calc)'!$A:$A)-3),"")</f>
        <v>164.17748427673</v>
      </c>
      <c r="Y113" s="155" t="n">
        <f aca="false">IFERROR('Price History'!D3+(INDEX('Price History'!D:D,MATCH(9.99E+307,'Returns (Calc)'!$A:$A)+1)-'Price History'!D3)*(ROW()-3)/(MATCH(9.99E+307,'Returns (Calc)'!$A:$A)-3),"")</f>
        <v>1411.04333333333</v>
      </c>
      <c r="Z113" s="155" t="n">
        <f aca="false">IFERROR('Price History'!E3+(INDEX('Price History'!E:E,MATCH(9.99E+307,'Returns (Calc)'!$A:$A)+1)-'Price History'!E3)*(ROW()-3)/(MATCH(9.99E+307,'Returns (Calc)'!$A:$A)-3),"")</f>
        <v>275.392452830189</v>
      </c>
      <c r="AA113" s="155" t="n">
        <f aca="false">IFERROR('Price History'!F3+(INDEX('Price History'!F:F,MATCH(9.99E+307,'Returns (Calc)'!$A:$A)+1)-'Price History'!F3)*(ROW()-3)/(MATCH(9.99E+307,'Returns (Calc)'!$A:$A)-3),"")</f>
        <v>203.025408805031</v>
      </c>
      <c r="AB113" s="155" t="n">
        <f aca="false">IFERROR('Price History'!G3+(INDEX('Price History'!G:G,MATCH(9.99E+307,'Returns (Calc)'!$A:$A)+1)-'Price History'!G3)*(ROW()-3)/(MATCH(9.99E+307,'Returns (Calc)'!$A:$A)-3),"")</f>
        <v>148.967610062893</v>
      </c>
      <c r="AC113" s="155" t="n">
        <f aca="false">IFERROR('Price History'!H3+(INDEX('Price History'!H:H,MATCH(9.99E+307,'Returns (Calc)'!$A:$A)+1)-'Price History'!H3)*(ROW()-3)/(MATCH(9.99E+307,'Returns (Calc)'!$A:$A)-3),"")</f>
        <v>733.184842767296</v>
      </c>
      <c r="AD113" s="155" t="n">
        <f aca="false">IFERROR('Price History'!I3+(INDEX('Price History'!I:I,MATCH(9.99E+307,'Returns (Calc)'!$A:$A)+1)-'Price History'!I3)*(ROW()-3)/(MATCH(9.99E+307,'Returns (Calc)'!$A:$A)-3),"")</f>
        <v>172.110251572327</v>
      </c>
      <c r="AE113" s="155" t="n">
        <f aca="false">IFERROR('Price History'!J3+(INDEX('Price History'!J:J,MATCH(9.99E+307,'Returns (Calc)'!$A:$A)+1)-'Price History'!J3)*(ROW()-3)/(MATCH(9.99E+307,'Returns (Calc)'!$A:$A)-3),"")</f>
        <v>124.050691823899</v>
      </c>
      <c r="AF113" s="155" t="n">
        <f aca="false">IFERROR('Price History'!K3+(INDEX('Price History'!K:K,MATCH(9.99E+307,'Returns (Calc)'!$A:$A)+1)-'Price History'!K3)*(ROW()-3)/(MATCH(9.99E+307,'Returns (Calc)'!$A:$A)-3),"")</f>
        <v>149.350125786164</v>
      </c>
      <c r="AG113" s="155" t="n">
        <f aca="false">IFERROR('Price History'!L3+(INDEX('Price History'!L:L,MATCH(9.99E+307,'Returns (Calc)'!$A:$A)+1)-'Price History'!L3)*(ROW()-3)/(MATCH(9.99E+307,'Returns (Calc)'!$A:$A)-3),"")</f>
        <v>340.03679245283</v>
      </c>
      <c r="AH113" s="155" t="n">
        <f aca="false">IFERROR('Price History'!M3+(INDEX('Price History'!M:M,MATCH(9.99E+307,'Returns (Calc)'!$A:$A)+1)-'Price History'!M3)*(ROW()-3)/(MATCH(9.99E+307,'Returns (Calc)'!$A:$A)-3),"")</f>
        <v>179.67786163522</v>
      </c>
      <c r="AI113" s="155" t="n">
        <f aca="false">IFERROR('Price History'!N3+(INDEX('Price History'!N:N,MATCH(9.99E+307,'Returns (Calc)'!$A:$A)+1)-'Price History'!N3)*(ROW()-3)/(MATCH(9.99E+307,'Returns (Calc)'!$A:$A)-3),"")</f>
        <v>460.408176100629</v>
      </c>
      <c r="AJ113" s="155" t="n">
        <f aca="false">IFERROR('Price History'!O3+(INDEX('Price History'!O:O,MATCH(9.99E+307,'Returns (Calc)'!$A:$A)+1)-'Price History'!O3)*(ROW()-3)/(MATCH(9.99E+307,'Returns (Calc)'!$A:$A)-3),"")</f>
        <v>105.97855345912</v>
      </c>
      <c r="AK113" s="155" t="n">
        <f aca="false">IFERROR('Price History'!Q3+(INDEX('Price History'!Q:Q,MATCH(9.99E+307,'Returns (Calc)'!$A:$A)+1)-'Price History'!Q3)*(ROW()-3)/(MATCH(9.99E+307,'Returns (Calc)'!$A:$A)-3),"")</f>
        <v>48.4069182389937</v>
      </c>
      <c r="AL113" s="155" t="n">
        <f aca="false">IFERROR('Price History'!R3+(INDEX('Price History'!R:R,MATCH(9.99E+307,'Returns (Calc)'!$A:$A)+1)-'Price History'!R3)*(ROW()-3)/(MATCH(9.99E+307,'Returns (Calc)'!$A:$A)-3),"")</f>
        <v>52.8894339622642</v>
      </c>
      <c r="AM113" s="155" t="n">
        <f aca="false">IFERROR('Price History'!S3+(INDEX('Price History'!S:S,MATCH(9.99E+307,'Returns (Calc)'!$A:$A)+1)-'Price History'!S3)*(ROW()-3)/(MATCH(9.99E+307,'Returns (Calc)'!$A:$A)-3),"")</f>
        <v>122.336289308176</v>
      </c>
      <c r="AN113" s="155" t="n">
        <f aca="false">IFERROR('Price History'!T3+(INDEX('Price History'!T:T,MATCH(9.99E+307,'Returns (Calc)'!$A:$A)+1)-'Price History'!T3)*(ROW()-3)/(MATCH(9.99E+307,'Returns (Calc)'!$A:$A)-3),"")</f>
        <v>44.3189308176101</v>
      </c>
      <c r="AO113" s="156" t="n">
        <f aca="false">IFERROR('Price History'!V3+(INDEX('Price History'!V:V,MATCH(9.99E+307,'Returns (Calc)'!$A:$A)+1)-'Price History'!V3)*(ROW()-3)/(MATCH(9.99E+307,'Returns (Calc)'!$A:$A)-3),"")</f>
        <v>339.279056603774</v>
      </c>
      <c r="AP113" s="154" t="n">
        <f aca="false">IFERROR(IF(OR(NOT(ISNUMBER('Price History'!W114)),NOT(ISNUMBER('Price History'!W113)),'Price History'!W113=0),"",'Price History'!W114/'Price History'!W113-1),"")</f>
        <v>-0.00737847222222232</v>
      </c>
      <c r="AQ113" s="154" t="str">
        <f aca="false">IFERROR(IF(OR(NOT(ISNUMBER('Price History'!X114)),NOT(ISNUMBER('Price History'!X113)),'Price History'!X113=0),"",'Price History'!X114/'Price History'!X113-1),"")</f>
        <v/>
      </c>
      <c r="AR113" s="154" t="n">
        <f aca="false">IFERROR(IF(OR(NOT(ISNUMBER('Price History'!Y114)),NOT(ISNUMBER('Price History'!Y113)),'Price History'!Y113=0),"",'Price History'!Y114/'Price History'!Y113-1),"")</f>
        <v>-0.00999057492931188</v>
      </c>
      <c r="AS113" s="154" t="n">
        <f aca="false">IFERROR(IF(OR(NOT(ISNUMBER('Price History'!Z114)),NOT(ISNUMBER('Price History'!Z113)),'Price History'!Z113=0),"",'Price History'!Z114/'Price History'!Z113-1),"")</f>
        <v>0.0167416622551615</v>
      </c>
      <c r="AT113" s="154" t="n">
        <f aca="false">IFERROR(IF(OR(NOT(ISNUMBER('Price History'!AA114)),NOT(ISNUMBER('Price History'!AA113)),'Price History'!AA113=0),"",'Price History'!AA114/'Price History'!AA113-1),"")</f>
        <v>0.0221065131999634</v>
      </c>
      <c r="AU113" s="154" t="n">
        <f aca="false">IFERROR(IF(OR(NOT(ISNUMBER('Price History'!AB114)),NOT(ISNUMBER('Price History'!AB113)),'Price History'!AB113=0),"",'Price History'!AB114/'Price History'!AB113-1),"")</f>
        <v>-0.00621118012422361</v>
      </c>
    </row>
    <row r="114" customFormat="false" ht="15" hidden="false" customHeight="true" outlineLevel="0" collapsed="false">
      <c r="A114" s="152" t="n">
        <f aca="false">IF('Price History'!A115="","",'Price History'!A115)</f>
        <v>45968</v>
      </c>
      <c r="B114" s="153" t="n">
        <f aca="false">IFERROR(IF(OR(NOT(ISNUMBER('Price History'!B115)),NOT(ISNUMBER('Price History'!B114)),'Price History'!B114=0),"",'Price History'!B115/'Price History'!B114-1),"")</f>
        <v>-0.0392583232934678</v>
      </c>
      <c r="C114" s="153" t="n">
        <f aca="false">IFERROR(IF(OR(NOT(ISNUMBER('Price History'!C115)),NOT(ISNUMBER('Price History'!C114)),'Price History'!C114=0),"",'Price History'!C115/'Price History'!C114-1),"")</f>
        <v>-0.146109455260321</v>
      </c>
      <c r="D114" s="153" t="n">
        <f aca="false">IFERROR(IF(OR(NOT(ISNUMBER('Price History'!D115)),NOT(ISNUMBER('Price History'!D114)),'Price History'!D114=0),"",'Price History'!D115/'Price History'!D114-1),"")</f>
        <v>-0.0399081742034018</v>
      </c>
      <c r="E114" s="153" t="n">
        <f aca="false">IFERROR(IF(OR(NOT(ISNUMBER('Price History'!E115)),NOT(ISNUMBER('Price History'!E114)),'Price History'!E114=0),"",'Price History'!E115/'Price History'!E114-1),"")</f>
        <v>-0.0546470427909511</v>
      </c>
      <c r="F114" s="153" t="n">
        <f aca="false">IFERROR(IF(OR(NOT(ISNUMBER('Price History'!F115)),NOT(ISNUMBER('Price History'!F114)),'Price History'!F114=0),"",'Price History'!F115/'Price History'!F114-1),"")</f>
        <v>-0.00589318600368327</v>
      </c>
      <c r="G114" s="153" t="n">
        <f aca="false">IFERROR(IF(OR(NOT(ISNUMBER('Price History'!G115)),NOT(ISNUMBER('Price History'!G114)),'Price History'!G114=0),"",'Price History'!G115/'Price History'!G114-1),"")</f>
        <v>-0.0127256092489395</v>
      </c>
      <c r="H114" s="153" t="n">
        <f aca="false">IFERROR(IF(OR(NOT(ISNUMBER('Price History'!H115)),NOT(ISNUMBER('Price History'!H114)),'Price History'!H114=0),"",'Price History'!H115/'Price History'!H114-1),"")</f>
        <v>0.0632520688883917</v>
      </c>
      <c r="I114" s="153" t="n">
        <f aca="false">IFERROR(IF(OR(NOT(ISNUMBER('Price History'!I115)),NOT(ISNUMBER('Price History'!I114)),'Price History'!I114=0),"",'Price History'!I115/'Price History'!I114-1),"")</f>
        <v>-0.0708380773229048</v>
      </c>
      <c r="J114" s="153" t="n">
        <f aca="false">IFERROR(IF(OR(NOT(ISNUMBER('Price History'!J115)),NOT(ISNUMBER('Price History'!J114)),'Price History'!J114=0),"",'Price History'!J115/'Price History'!J114-1),"")</f>
        <v>0.012218435707755</v>
      </c>
      <c r="K114" s="153" t="n">
        <f aca="false">IFERROR(IF(OR(NOT(ISNUMBER('Price History'!K115)),NOT(ISNUMBER('Price History'!K114)),'Price History'!K114=0),"",'Price History'!K115/'Price History'!K114-1),"")</f>
        <v>-0.112435775926573</v>
      </c>
      <c r="L114" s="153" t="n">
        <f aca="false">IFERROR(IF(OR(NOT(ISNUMBER('Price History'!L115)),NOT(ISNUMBER('Price History'!L114)),'Price History'!L114=0),"",'Price History'!L115/'Price History'!L114-1),"")</f>
        <v>-0.046353606027987</v>
      </c>
      <c r="M114" s="153" t="n">
        <f aca="false">IFERROR(IF(OR(NOT(ISNUMBER('Price History'!M115)),NOT(ISNUMBER('Price History'!M114)),'Price History'!M114=0),"",'Price History'!M115/'Price History'!M114-1),"")</f>
        <v>-0.0676875162211263</v>
      </c>
      <c r="N114" s="153" t="n">
        <f aca="false">IFERROR(IF(OR(NOT(ISNUMBER('Price History'!N115)),NOT(ISNUMBER('Price History'!N114)),'Price History'!N114=0),"",'Price History'!N115/'Price History'!N114-1),"")</f>
        <v>-0.0378316140705406</v>
      </c>
      <c r="O114" s="153" t="n">
        <f aca="false">IFERROR(IF(OR(NOT(ISNUMBER('Price History'!O115)),NOT(ISNUMBER('Price History'!O114)),'Price History'!O114=0),"",'Price History'!O115/'Price History'!O114-1),"")</f>
        <v>-0.000621632822213059</v>
      </c>
      <c r="P114" s="153" t="n">
        <f aca="false">IFERROR(IF(OR(NOT(ISNUMBER('Price History'!P115)),NOT(ISNUMBER('Price History'!P114)),'Price History'!P114=0),"",'Price History'!P115/'Price History'!P114-1),"")</f>
        <v>0.00744102983852968</v>
      </c>
      <c r="Q114" s="153" t="n">
        <f aca="false">IFERROR(IF(OR(NOT(ISNUMBER('Price History'!Q115)),NOT(ISNUMBER('Price History'!Q114)),'Price History'!Q114=0),"",'Price History'!Q115/'Price History'!Q114-1),"")</f>
        <v>-0.00505979760809561</v>
      </c>
      <c r="R114" s="153" t="n">
        <f aca="false">IFERROR(IF(OR(NOT(ISNUMBER('Price History'!R115)),NOT(ISNUMBER('Price History'!R114)),'Price History'!R114=0),"",'Price History'!R115/'Price History'!R114-1),"")</f>
        <v>-0.0155923179311657</v>
      </c>
      <c r="S114" s="153" t="n">
        <f aca="false">IFERROR(IF(OR(NOT(ISNUMBER('Price History'!S115)),NOT(ISNUMBER('Price History'!S114)),'Price History'!S114=0),"",'Price History'!S115/'Price History'!S114-1),"")</f>
        <v>-0.0260192243950945</v>
      </c>
      <c r="T114" s="153" t="n">
        <f aca="false">IFERROR(IF(OR(NOT(ISNUMBER('Price History'!T115)),NOT(ISNUMBER('Price History'!T114)),'Price History'!T114=0),"",'Price History'!T115/'Price History'!T114-1),"")</f>
        <v>0.00214247455811467</v>
      </c>
      <c r="U114" s="153" t="n">
        <f aca="false">IFERROR(IF(OR(NOT(ISNUMBER('Price History'!U115)),NOT(ISNUMBER('Price History'!U114)),'Price History'!U114=0),"",'Price History'!U115/'Price History'!U114-1),"")</f>
        <v>-0.00116099071207432</v>
      </c>
      <c r="V114" s="154" t="n">
        <f aca="false">IFERROR(IF(OR(NOT(ISNUMBER('Price History'!V115)),NOT(ISNUMBER('Price History'!V114)),'Price History'!V114=0),"",'Price History'!V115/'Price History'!V114-1),"")</f>
        <v>-0.0138740977399124</v>
      </c>
      <c r="W114" s="155" t="n">
        <f aca="false">IFERROR('Price History'!B3+(INDEX('Price History'!B:B,MATCH(9.99E+307,'Returns (Calc)'!$A:$A)+1)-'Price History'!B3)*(ROW()-3)/(MATCH(9.99E+307,'Returns (Calc)'!$A:$A)-3),"")</f>
        <v>328.79679245283</v>
      </c>
      <c r="X114" s="155" t="n">
        <f aca="false">IFERROR('Price History'!C3+(INDEX('Price History'!C:C,MATCH(9.99E+307,'Returns (Calc)'!$A:$A)+1)-'Price History'!C3)*(ROW()-3)/(MATCH(9.99E+307,'Returns (Calc)'!$A:$A)-3),"")</f>
        <v>165.250188679245</v>
      </c>
      <c r="Y114" s="155" t="n">
        <f aca="false">IFERROR('Price History'!D3+(INDEX('Price History'!D:D,MATCH(9.99E+307,'Returns (Calc)'!$A:$A)+1)-'Price History'!D3)*(ROW()-3)/(MATCH(9.99E+307,'Returns (Calc)'!$A:$A)-3),"")</f>
        <v>1418.58</v>
      </c>
      <c r="Z114" s="155" t="n">
        <f aca="false">IFERROR('Price History'!E3+(INDEX('Price History'!E:E,MATCH(9.99E+307,'Returns (Calc)'!$A:$A)+1)-'Price History'!E3)*(ROW()-3)/(MATCH(9.99E+307,'Returns (Calc)'!$A:$A)-3),"")</f>
        <v>277.150566037736</v>
      </c>
      <c r="AA114" s="155" t="n">
        <f aca="false">IFERROR('Price History'!F3+(INDEX('Price History'!F:F,MATCH(9.99E+307,'Returns (Calc)'!$A:$A)+1)-'Price History'!F3)*(ROW()-3)/(MATCH(9.99E+307,'Returns (Calc)'!$A:$A)-3),"")</f>
        <v>204.495094339623</v>
      </c>
      <c r="AB114" s="155" t="n">
        <f aca="false">IFERROR('Price History'!G3+(INDEX('Price History'!G:G,MATCH(9.99E+307,'Returns (Calc)'!$A:$A)+1)-'Price History'!G3)*(ROW()-3)/(MATCH(9.99E+307,'Returns (Calc)'!$A:$A)-3),"")</f>
        <v>149.918679245283</v>
      </c>
      <c r="AC114" s="155" t="n">
        <f aca="false">IFERROR('Price History'!H3+(INDEX('Price History'!H:H,MATCH(9.99E+307,'Returns (Calc)'!$A:$A)+1)-'Price History'!H3)*(ROW()-3)/(MATCH(9.99E+307,'Returns (Calc)'!$A:$A)-3),"")</f>
        <v>739.221886792453</v>
      </c>
      <c r="AD114" s="155" t="n">
        <f aca="false">IFERROR('Price History'!I3+(INDEX('Price History'!I:I,MATCH(9.99E+307,'Returns (Calc)'!$A:$A)+1)-'Price History'!I3)*(ROW()-3)/(MATCH(9.99E+307,'Returns (Calc)'!$A:$A)-3),"")</f>
        <v>173.276981132076</v>
      </c>
      <c r="AE114" s="155" t="n">
        <f aca="false">IFERROR('Price History'!J3+(INDEX('Price History'!J:J,MATCH(9.99E+307,'Returns (Calc)'!$A:$A)+1)-'Price History'!J3)*(ROW()-3)/(MATCH(9.99E+307,'Returns (Calc)'!$A:$A)-3),"")</f>
        <v>124.161698113208</v>
      </c>
      <c r="AF114" s="155" t="n">
        <f aca="false">IFERROR('Price History'!K3+(INDEX('Price History'!K:K,MATCH(9.99E+307,'Returns (Calc)'!$A:$A)+1)-'Price History'!K3)*(ROW()-3)/(MATCH(9.99E+307,'Returns (Calc)'!$A:$A)-3),"")</f>
        <v>150.568490566038</v>
      </c>
      <c r="AG114" s="155" t="n">
        <f aca="false">IFERROR('Price History'!L3+(INDEX('Price History'!L:L,MATCH(9.99E+307,'Returns (Calc)'!$A:$A)+1)-'Price History'!L3)*(ROW()-3)/(MATCH(9.99E+307,'Returns (Calc)'!$A:$A)-3),"")</f>
        <v>342.348490566038</v>
      </c>
      <c r="AH114" s="155" t="n">
        <f aca="false">IFERROR('Price History'!M3+(INDEX('Price History'!M:M,MATCH(9.99E+307,'Returns (Calc)'!$A:$A)+1)-'Price History'!M3)*(ROW()-3)/(MATCH(9.99E+307,'Returns (Calc)'!$A:$A)-3),"")</f>
        <v>180.965660377359</v>
      </c>
      <c r="AI114" s="155" t="n">
        <f aca="false">IFERROR('Price History'!N3+(INDEX('Price History'!N:N,MATCH(9.99E+307,'Returns (Calc)'!$A:$A)+1)-'Price History'!N3)*(ROW()-3)/(MATCH(9.99E+307,'Returns (Calc)'!$A:$A)-3),"")</f>
        <v>461.421886792453</v>
      </c>
      <c r="AJ114" s="155" t="n">
        <f aca="false">IFERROR('Price History'!O3+(INDEX('Price History'!O:O,MATCH(9.99E+307,'Returns (Calc)'!$A:$A)+1)-'Price History'!O3)*(ROW()-3)/(MATCH(9.99E+307,'Returns (Calc)'!$A:$A)-3),"")</f>
        <v>106.257358490566</v>
      </c>
      <c r="AK114" s="155" t="n">
        <f aca="false">IFERROR('Price History'!Q3+(INDEX('Price History'!Q:Q,MATCH(9.99E+307,'Returns (Calc)'!$A:$A)+1)-'Price History'!Q3)*(ROW()-3)/(MATCH(9.99E+307,'Returns (Calc)'!$A:$A)-3),"")</f>
        <v>48.8469811320755</v>
      </c>
      <c r="AL114" s="155" t="n">
        <f aca="false">IFERROR('Price History'!R3+(INDEX('Price History'!R:R,MATCH(9.99E+307,'Returns (Calc)'!$A:$A)+1)-'Price History'!R3)*(ROW()-3)/(MATCH(9.99E+307,'Returns (Calc)'!$A:$A)-3),"")</f>
        <v>53.0567924528302</v>
      </c>
      <c r="AM114" s="155" t="n">
        <f aca="false">IFERROR('Price History'!S3+(INDEX('Price History'!S:S,MATCH(9.99E+307,'Returns (Calc)'!$A:$A)+1)-'Price History'!S3)*(ROW()-3)/(MATCH(9.99E+307,'Returns (Calc)'!$A:$A)-3),"")</f>
        <v>122.924528301887</v>
      </c>
      <c r="AN114" s="155" t="n">
        <f aca="false">IFERROR('Price History'!T3+(INDEX('Price History'!T:T,MATCH(9.99E+307,'Returns (Calc)'!$A:$A)+1)-'Price History'!T3)*(ROW()-3)/(MATCH(9.99E+307,'Returns (Calc)'!$A:$A)-3),"")</f>
        <v>44.4928301886793</v>
      </c>
      <c r="AO114" s="156" t="n">
        <f aca="false">IFERROR('Price History'!V3+(INDEX('Price History'!V:V,MATCH(9.99E+307,'Returns (Calc)'!$A:$A)+1)-'Price History'!V3)*(ROW()-3)/(MATCH(9.99E+307,'Returns (Calc)'!$A:$A)-3),"")</f>
        <v>340.221320754717</v>
      </c>
      <c r="AP114" s="154" t="n">
        <f aca="false">IFERROR(IF(OR(NOT(ISNUMBER('Price History'!W115)),NOT(ISNUMBER('Price History'!W114)),'Price History'!W114=0),"",'Price History'!W115/'Price History'!W114-1),"")</f>
        <v>-0.00218627022299966</v>
      </c>
      <c r="AQ114" s="154" t="str">
        <f aca="false">IFERROR(IF(OR(NOT(ISNUMBER('Price History'!X115)),NOT(ISNUMBER('Price History'!X114)),'Price History'!X114=0),"",'Price History'!X115/'Price History'!X114-1),"")</f>
        <v/>
      </c>
      <c r="AR114" s="154" t="n">
        <f aca="false">IFERROR(IF(OR(NOT(ISNUMBER('Price History'!Y115)),NOT(ISNUMBER('Price History'!Y114)),'Price History'!Y114=0),"",'Price History'!Y115/'Price History'!Y114-1),"")</f>
        <v>-0.00152322924600168</v>
      </c>
      <c r="AS114" s="154" t="n">
        <f aca="false">IFERROR(IF(OR(NOT(ISNUMBER('Price History'!Z115)),NOT(ISNUMBER('Price History'!Z114)),'Price History'!Z114=0),"",'Price History'!Z115/'Price History'!Z114-1),"")</f>
        <v>-0.00543442889684354</v>
      </c>
      <c r="AT114" s="154" t="n">
        <f aca="false">IFERROR(IF(OR(NOT(ISNUMBER('Price History'!AA115)),NOT(ISNUMBER('Price History'!AA114)),'Price History'!AA114=0),"",'Price History'!AA115/'Price History'!AA114-1),"")</f>
        <v>-0.0135847707569935</v>
      </c>
      <c r="AU114" s="154" t="n">
        <f aca="false">IFERROR(IF(OR(NOT(ISNUMBER('Price History'!AB115)),NOT(ISNUMBER('Price History'!AB114)),'Price History'!AB114=0),"",'Price History'!AB115/'Price History'!AB114-1),"")</f>
        <v>0.0125686813186814</v>
      </c>
    </row>
    <row r="115" customFormat="false" ht="15" hidden="false" customHeight="true" outlineLevel="0" collapsed="false">
      <c r="A115" s="152" t="n">
        <f aca="false">IF('Price History'!A116="","",'Price History'!A116)</f>
        <v>45975</v>
      </c>
      <c r="B115" s="153" t="n">
        <f aca="false">IFERROR(IF(OR(NOT(ISNUMBER('Price History'!B116)),NOT(ISNUMBER('Price History'!B115)),'Price History'!B115=0),"",'Price History'!B116/'Price History'!B115-1),"")</f>
        <v>0.0127236580516898</v>
      </c>
      <c r="C115" s="153" t="n">
        <f aca="false">IFERROR(IF(OR(NOT(ISNUMBER('Price History'!C116)),NOT(ISNUMBER('Price History'!C115)),'Price History'!C115=0),"",'Price History'!C116/'Price History'!C115-1),"")</f>
        <v>-0.024359450427033</v>
      </c>
      <c r="D115" s="153" t="n">
        <f aca="false">IFERROR(IF(OR(NOT(ISNUMBER('Price History'!D116)),NOT(ISNUMBER('Price History'!D115)),'Price History'!D115=0),"",'Price History'!D116/'Price History'!D115-1),"")</f>
        <v>-0.00981128347001292</v>
      </c>
      <c r="E115" s="153" t="n">
        <f aca="false">IFERROR(IF(OR(NOT(ISNUMBER('Price History'!E116)),NOT(ISNUMBER('Price History'!E115)),'Price History'!E115=0),"",'Price History'!E116/'Price History'!E115-1),"")</f>
        <v>-0.0199509874585556</v>
      </c>
      <c r="F115" s="153" t="n">
        <f aca="false">IFERROR(IF(OR(NOT(ISNUMBER('Price History'!F116)),NOT(ISNUMBER('Price History'!F115)),'Price History'!F115=0),"",'Price History'!F116/'Price History'!F115-1),"")</f>
        <v>-0.00414968506854396</v>
      </c>
      <c r="G115" s="153" t="n">
        <f aca="false">IFERROR(IF(OR(NOT(ISNUMBER('Price History'!G116)),NOT(ISNUMBER('Price History'!G115)),'Price History'!G115=0),"",'Price History'!G116/'Price History'!G115-1),"")</f>
        <v>-0.0495366470092672</v>
      </c>
      <c r="H115" s="153" t="n">
        <f aca="false">IFERROR(IF(OR(NOT(ISNUMBER('Price History'!H116)),NOT(ISNUMBER('Price History'!H115)),'Price History'!H115=0),"",'Price History'!H116/'Price History'!H115-1),"")</f>
        <v>0.0374437292271446</v>
      </c>
      <c r="I115" s="153" t="n">
        <f aca="false">IFERROR(IF(OR(NOT(ISNUMBER('Price History'!I116)),NOT(ISNUMBER('Price History'!I115)),'Price History'!I115=0),"",'Price History'!I116/'Price History'!I115-1),"")</f>
        <v>0.0107618540223762</v>
      </c>
      <c r="J115" s="153" t="n">
        <f aca="false">IFERROR(IF(OR(NOT(ISNUMBER('Price History'!J116)),NOT(ISNUMBER('Price History'!J115)),'Price History'!J115=0),"",'Price History'!J116/'Price History'!J115-1),"")</f>
        <v>-0.0220890129742157</v>
      </c>
      <c r="K115" s="153" t="n">
        <f aca="false">IFERROR(IF(OR(NOT(ISNUMBER('Price History'!K116)),NOT(ISNUMBER('Price History'!K115)),'Price History'!K115=0),"",'Price History'!K116/'Price History'!K115-1),"")</f>
        <v>-0.0220311358399371</v>
      </c>
      <c r="L115" s="153" t="n">
        <f aca="false">IFERROR(IF(OR(NOT(ISNUMBER('Price History'!L116)),NOT(ISNUMBER('Price History'!L115)),'Price History'!L115=0),"",'Price History'!L116/'Price History'!L115-1),"")</f>
        <v>-0.0058553791887126</v>
      </c>
      <c r="M115" s="153" t="n">
        <f aca="false">IFERROR(IF(OR(NOT(ISNUMBER('Price History'!M116)),NOT(ISNUMBER('Price History'!M115)),'Price History'!M115=0),"",'Price History'!M116/'Price History'!M115-1),"")</f>
        <v>-0.0491063971939203</v>
      </c>
      <c r="N115" s="153" t="n">
        <f aca="false">IFERROR(IF(OR(NOT(ISNUMBER('Price History'!N116)),NOT(ISNUMBER('Price History'!N115)),'Price History'!N115=0),"",'Price History'!N116/'Price History'!N115-1),"")</f>
        <v>0.0675995799448066</v>
      </c>
      <c r="O115" s="153" t="n">
        <f aca="false">IFERROR(IF(OR(NOT(ISNUMBER('Price History'!O116)),NOT(ISNUMBER('Price History'!O115)),'Price History'!O115=0),"",'Price History'!O116/'Price History'!O115-1),"")</f>
        <v>-0.00145137880986934</v>
      </c>
      <c r="P115" s="153" t="n">
        <f aca="false">IFERROR(IF(OR(NOT(ISNUMBER('Price History'!P116)),NOT(ISNUMBER('Price History'!P115)),'Price History'!P115=0),"",'Price History'!P116/'Price History'!P115-1),"")</f>
        <v>0.00310214934633302</v>
      </c>
      <c r="Q115" s="153" t="n">
        <f aca="false">IFERROR(IF(OR(NOT(ISNUMBER('Price History'!Q116)),NOT(ISNUMBER('Price History'!Q115)),'Price History'!Q115=0),"",'Price History'!Q116/'Price History'!Q115-1),"")</f>
        <v>0.00154106950223443</v>
      </c>
      <c r="R115" s="153" t="n">
        <f aca="false">IFERROR(IF(OR(NOT(ISNUMBER('Price History'!R116)),NOT(ISNUMBER('Price History'!R115)),'Price History'!R115=0),"",'Price History'!R116/'Price History'!R115-1),"")</f>
        <v>0.0019316206297082</v>
      </c>
      <c r="S115" s="153" t="n">
        <f aca="false">IFERROR(IF(OR(NOT(ISNUMBER('Price History'!S116)),NOT(ISNUMBER('Price History'!S115)),'Price History'!S115=0),"",'Price History'!S116/'Price History'!S115-1),"")</f>
        <v>-0.00595541943168287</v>
      </c>
      <c r="T115" s="153" t="n">
        <f aca="false">IFERROR(IF(OR(NOT(ISNUMBER('Price History'!T116)),NOT(ISNUMBER('Price History'!T115)),'Price History'!T115=0),"",'Price History'!T116/'Price History'!T115-1),"")</f>
        <v>0.0112239444147515</v>
      </c>
      <c r="U115" s="153" t="n">
        <f aca="false">IFERROR(IF(OR(NOT(ISNUMBER('Price History'!U116)),NOT(ISNUMBER('Price History'!U115)),'Price History'!U115=0),"",'Price History'!U116/'Price History'!U115-1),"")</f>
        <v>0.0197597830298335</v>
      </c>
      <c r="V115" s="154" t="n">
        <f aca="false">IFERROR(IF(OR(NOT(ISNUMBER('Price History'!V116)),NOT(ISNUMBER('Price History'!V115)),'Price History'!V115=0),"",'Price History'!V116/'Price History'!V115-1),"")</f>
        <v>-0.0158992050397481</v>
      </c>
      <c r="W115" s="155" t="n">
        <f aca="false">IFERROR('Price History'!B3+(INDEX('Price History'!B:B,MATCH(9.99E+307,'Returns (Calc)'!$A:$A)+1)-'Price History'!B3)*(ROW()-3)/(MATCH(9.99E+307,'Returns (Calc)'!$A:$A)-3),"")</f>
        <v>326.994150943396</v>
      </c>
      <c r="X115" s="155" t="n">
        <f aca="false">IFERROR('Price History'!C3+(INDEX('Price History'!C:C,MATCH(9.99E+307,'Returns (Calc)'!$A:$A)+1)-'Price History'!C3)*(ROW()-3)/(MATCH(9.99E+307,'Returns (Calc)'!$A:$A)-3),"")</f>
        <v>166.322893081761</v>
      </c>
      <c r="Y115" s="155" t="n">
        <f aca="false">IFERROR('Price History'!D3+(INDEX('Price History'!D:D,MATCH(9.99E+307,'Returns (Calc)'!$A:$A)+1)-'Price History'!D3)*(ROW()-3)/(MATCH(9.99E+307,'Returns (Calc)'!$A:$A)-3),"")</f>
        <v>1426.11666666667</v>
      </c>
      <c r="Z115" s="155" t="n">
        <f aca="false">IFERROR('Price History'!E3+(INDEX('Price History'!E:E,MATCH(9.99E+307,'Returns (Calc)'!$A:$A)+1)-'Price History'!E3)*(ROW()-3)/(MATCH(9.99E+307,'Returns (Calc)'!$A:$A)-3),"")</f>
        <v>278.908679245283</v>
      </c>
      <c r="AA115" s="155" t="n">
        <f aca="false">IFERROR('Price History'!F3+(INDEX('Price History'!F:F,MATCH(9.99E+307,'Returns (Calc)'!$A:$A)+1)-'Price History'!F3)*(ROW()-3)/(MATCH(9.99E+307,'Returns (Calc)'!$A:$A)-3),"")</f>
        <v>205.964779874214</v>
      </c>
      <c r="AB115" s="155" t="n">
        <f aca="false">IFERROR('Price History'!G3+(INDEX('Price History'!G:G,MATCH(9.99E+307,'Returns (Calc)'!$A:$A)+1)-'Price History'!G3)*(ROW()-3)/(MATCH(9.99E+307,'Returns (Calc)'!$A:$A)-3),"")</f>
        <v>150.869748427673</v>
      </c>
      <c r="AC115" s="155" t="n">
        <f aca="false">IFERROR('Price History'!H3+(INDEX('Price History'!H:H,MATCH(9.99E+307,'Returns (Calc)'!$A:$A)+1)-'Price History'!H3)*(ROW()-3)/(MATCH(9.99E+307,'Returns (Calc)'!$A:$A)-3),"")</f>
        <v>745.25893081761</v>
      </c>
      <c r="AD115" s="155" t="n">
        <f aca="false">IFERROR('Price History'!I3+(INDEX('Price History'!I:I,MATCH(9.99E+307,'Returns (Calc)'!$A:$A)+1)-'Price History'!I3)*(ROW()-3)/(MATCH(9.99E+307,'Returns (Calc)'!$A:$A)-3),"")</f>
        <v>174.443710691824</v>
      </c>
      <c r="AE115" s="155" t="n">
        <f aca="false">IFERROR('Price History'!J3+(INDEX('Price History'!J:J,MATCH(9.99E+307,'Returns (Calc)'!$A:$A)+1)-'Price History'!J3)*(ROW()-3)/(MATCH(9.99E+307,'Returns (Calc)'!$A:$A)-3),"")</f>
        <v>124.272704402516</v>
      </c>
      <c r="AF115" s="155" t="n">
        <f aca="false">IFERROR('Price History'!K3+(INDEX('Price History'!K:K,MATCH(9.99E+307,'Returns (Calc)'!$A:$A)+1)-'Price History'!K3)*(ROW()-3)/(MATCH(9.99E+307,'Returns (Calc)'!$A:$A)-3),"")</f>
        <v>151.786855345912</v>
      </c>
      <c r="AG115" s="155" t="n">
        <f aca="false">IFERROR('Price History'!L3+(INDEX('Price History'!L:L,MATCH(9.99E+307,'Returns (Calc)'!$A:$A)+1)-'Price History'!L3)*(ROW()-3)/(MATCH(9.99E+307,'Returns (Calc)'!$A:$A)-3),"")</f>
        <v>344.660188679245</v>
      </c>
      <c r="AH115" s="155" t="n">
        <f aca="false">IFERROR('Price History'!M3+(INDEX('Price History'!M:M,MATCH(9.99E+307,'Returns (Calc)'!$A:$A)+1)-'Price History'!M3)*(ROW()-3)/(MATCH(9.99E+307,'Returns (Calc)'!$A:$A)-3),"")</f>
        <v>182.253459119497</v>
      </c>
      <c r="AI115" s="155" t="n">
        <f aca="false">IFERROR('Price History'!N3+(INDEX('Price History'!N:N,MATCH(9.99E+307,'Returns (Calc)'!$A:$A)+1)-'Price History'!N3)*(ROW()-3)/(MATCH(9.99E+307,'Returns (Calc)'!$A:$A)-3),"")</f>
        <v>462.435597484277</v>
      </c>
      <c r="AJ115" s="155" t="n">
        <f aca="false">IFERROR('Price History'!O3+(INDEX('Price History'!O:O,MATCH(9.99E+307,'Returns (Calc)'!$A:$A)+1)-'Price History'!O3)*(ROW()-3)/(MATCH(9.99E+307,'Returns (Calc)'!$A:$A)-3),"")</f>
        <v>106.536163522013</v>
      </c>
      <c r="AK115" s="155" t="n">
        <f aca="false">IFERROR('Price History'!Q3+(INDEX('Price History'!Q:Q,MATCH(9.99E+307,'Returns (Calc)'!$A:$A)+1)-'Price History'!Q3)*(ROW()-3)/(MATCH(9.99E+307,'Returns (Calc)'!$A:$A)-3),"")</f>
        <v>49.2870440251572</v>
      </c>
      <c r="AL115" s="155" t="n">
        <f aca="false">IFERROR('Price History'!R3+(INDEX('Price History'!R:R,MATCH(9.99E+307,'Returns (Calc)'!$A:$A)+1)-'Price History'!R3)*(ROW()-3)/(MATCH(9.99E+307,'Returns (Calc)'!$A:$A)-3),"")</f>
        <v>53.2241509433962</v>
      </c>
      <c r="AM115" s="155" t="n">
        <f aca="false">IFERROR('Price History'!S3+(INDEX('Price History'!S:S,MATCH(9.99E+307,'Returns (Calc)'!$A:$A)+1)-'Price History'!S3)*(ROW()-3)/(MATCH(9.99E+307,'Returns (Calc)'!$A:$A)-3),"")</f>
        <v>123.512767295597</v>
      </c>
      <c r="AN115" s="155" t="n">
        <f aca="false">IFERROR('Price History'!T3+(INDEX('Price History'!T:T,MATCH(9.99E+307,'Returns (Calc)'!$A:$A)+1)-'Price History'!T3)*(ROW()-3)/(MATCH(9.99E+307,'Returns (Calc)'!$A:$A)-3),"")</f>
        <v>44.6667295597484</v>
      </c>
      <c r="AO115" s="156" t="n">
        <f aca="false">IFERROR('Price History'!V3+(INDEX('Price History'!V:V,MATCH(9.99E+307,'Returns (Calc)'!$A:$A)+1)-'Price History'!V3)*(ROW()-3)/(MATCH(9.99E+307,'Returns (Calc)'!$A:$A)-3),"")</f>
        <v>341.16358490566</v>
      </c>
      <c r="AP115" s="154" t="n">
        <f aca="false">IFERROR(IF(OR(NOT(ISNUMBER('Price History'!W116)),NOT(ISNUMBER('Price History'!W115)),'Price History'!W115=0),"",'Price History'!W116/'Price History'!W115-1),"")</f>
        <v>0.00525854513584578</v>
      </c>
      <c r="AQ115" s="154" t="str">
        <f aca="false">IFERROR(IF(OR(NOT(ISNUMBER('Price History'!X116)),NOT(ISNUMBER('Price History'!X115)),'Price History'!X115=0),"",'Price History'!X116/'Price History'!X115-1),"")</f>
        <v/>
      </c>
      <c r="AR115" s="154" t="n">
        <f aca="false">IFERROR(IF(OR(NOT(ISNUMBER('Price History'!Y116)),NOT(ISNUMBER('Price History'!Y115)),'Price History'!Y115=0),"",'Price History'!Y116/'Price History'!Y115-1),"")</f>
        <v>0.00514874141876431</v>
      </c>
      <c r="AS115" s="154" t="n">
        <f aca="false">IFERROR(IF(OR(NOT(ISNUMBER('Price History'!Z116)),NOT(ISNUMBER('Price History'!Z115)),'Price History'!Z115=0),"",'Price History'!Z116/'Price History'!Z115-1),"")</f>
        <v>-0.00798350947223769</v>
      </c>
      <c r="AT115" s="154" t="n">
        <f aca="false">IFERROR(IF(OR(NOT(ISNUMBER('Price History'!AA116)),NOT(ISNUMBER('Price History'!AA115)),'Price History'!AA115=0),"",'Price History'!AA116/'Price History'!AA115-1),"")</f>
        <v>0.00770136812539635</v>
      </c>
      <c r="AU115" s="154" t="n">
        <f aca="false">IFERROR(IF(OR(NOT(ISNUMBER('Price History'!AB116)),NOT(ISNUMBER('Price History'!AB115)),'Price History'!AB115=0),"",'Price History'!AB116/'Price History'!AB115-1),"")</f>
        <v>-0.00508716000813947</v>
      </c>
    </row>
    <row r="116" customFormat="false" ht="15" hidden="false" customHeight="true" outlineLevel="0" collapsed="false">
      <c r="A116" s="152" t="n">
        <f aca="false">IF('Price History'!A117="","",'Price History'!A117)</f>
        <v>45982</v>
      </c>
      <c r="B116" s="153" t="n">
        <f aca="false">IFERROR(IF(OR(NOT(ISNUMBER('Price History'!B117)),NOT(ISNUMBER('Price History'!B116)),'Price History'!B116=0),"",'Price History'!B117/'Price History'!B116-1),"")</f>
        <v>-0.0208993989912718</v>
      </c>
      <c r="C116" s="153" t="n">
        <f aca="false">IFERROR(IF(OR(NOT(ISNUMBER('Price History'!C117)),NOT(ISNUMBER('Price History'!C116)),'Price History'!C116=0),"",'Price History'!C117/'Price History'!C116-1),"")</f>
        <v>-0.106112506660577</v>
      </c>
      <c r="D116" s="153" t="n">
        <f aca="false">IFERROR(IF(OR(NOT(ISNUMBER('Price History'!D117)),NOT(ISNUMBER('Price History'!D116)),'Price History'!D116=0),"",'Price History'!D117/'Price History'!D116-1),"")</f>
        <v>-0.0401329115818673</v>
      </c>
      <c r="E116" s="153" t="n">
        <f aca="false">IFERROR(IF(OR(NOT(ISNUMBER('Price History'!E117)),NOT(ISNUMBER('Price History'!E116)),'Price History'!E116=0),"",'Price History'!E117/'Price History'!E116-1),"")</f>
        <v>-0.00658959197481834</v>
      </c>
      <c r="F116" s="153" t="n">
        <f aca="false">IFERROR(IF(OR(NOT(ISNUMBER('Price History'!F117)),NOT(ISNUMBER('Price History'!F116)),'Price History'!F116=0),"",'Price History'!F117/'Price History'!F116-1),"")</f>
        <v>-0.0872088697075675</v>
      </c>
      <c r="G116" s="153" t="n">
        <f aca="false">IFERROR(IF(OR(NOT(ISNUMBER('Price History'!G117)),NOT(ISNUMBER('Price History'!G116)),'Price History'!G116=0),"",'Price History'!G117/'Price History'!G116-1),"")</f>
        <v>-0.0311115050522957</v>
      </c>
      <c r="H116" s="153" t="n">
        <f aca="false">IFERROR(IF(OR(NOT(ISNUMBER('Price History'!H117)),NOT(ISNUMBER('Price History'!H116)),'Price History'!H116=0),"",'Price History'!H117/'Price History'!H116-1),"")</f>
        <v>-0.159860497181556</v>
      </c>
      <c r="I116" s="153" t="n">
        <f aca="false">IFERROR(IF(OR(NOT(ISNUMBER('Price History'!I117)),NOT(ISNUMBER('Price History'!I116)),'Price History'!I116=0),"",'Price History'!I117/'Price History'!I116-1),"")</f>
        <v>-0.0594033312249631</v>
      </c>
      <c r="J116" s="153" t="n">
        <f aca="false">IFERROR(IF(OR(NOT(ISNUMBER('Price History'!J117)),NOT(ISNUMBER('Price History'!J116)),'Price History'!J116=0),"",'Price History'!J117/'Price History'!J116-1),"")</f>
        <v>0.0240994206062641</v>
      </c>
      <c r="K116" s="153" t="n">
        <f aca="false">IFERROR(IF(OR(NOT(ISNUMBER('Price History'!K117)),NOT(ISNUMBER('Price History'!K116)),'Price History'!K116=0),"",'Price History'!K117/'Price History'!K116-1),"")</f>
        <v>-0.110108614447446</v>
      </c>
      <c r="L116" s="153" t="n">
        <f aca="false">IFERROR(IF(OR(NOT(ISNUMBER('Price History'!L117)),NOT(ISNUMBER('Price History'!L116)),'Price History'!L116=0),"",'Price History'!L117/'Price History'!L116-1),"")</f>
        <v>-0.0342747658245812</v>
      </c>
      <c r="M116" s="153" t="n">
        <f aca="false">IFERROR(IF(OR(NOT(ISNUMBER('Price History'!M117)),NOT(ISNUMBER('Price History'!M116)),'Price History'!M116=0),"",'Price History'!M117/'Price History'!M116-1),"")</f>
        <v>-0.0651677498682592</v>
      </c>
      <c r="N116" s="153" t="n">
        <f aca="false">IFERROR(IF(OR(NOT(ISNUMBER('Price History'!N117)),NOT(ISNUMBER('Price History'!N116)),'Price History'!N116=0),"",'Price History'!N117/'Price History'!N116-1),"")</f>
        <v>-0.023767585496969</v>
      </c>
      <c r="O116" s="153" t="n">
        <f aca="false">IFERROR(IF(OR(NOT(ISNUMBER('Price History'!O117)),NOT(ISNUMBER('Price History'!O116)),'Price History'!O116=0),"",'Price History'!O117/'Price History'!O116-1),"")</f>
        <v>-0.00778654485049835</v>
      </c>
      <c r="P116" s="153" t="n">
        <f aca="false">IFERROR(IF(OR(NOT(ISNUMBER('Price History'!P117)),NOT(ISNUMBER('Price History'!P116)),'Price History'!P116=0),"",'Price History'!P117/'Price History'!P116-1),"")</f>
        <v>-0.00493336278624557</v>
      </c>
      <c r="Q116" s="153" t="n">
        <f aca="false">IFERROR(IF(OR(NOT(ISNUMBER('Price History'!Q117)),NOT(ISNUMBER('Price History'!Q116)),'Price History'!Q116=0),"",'Price History'!Q117/'Price History'!Q116-1),"")</f>
        <v>-0.00892444991537156</v>
      </c>
      <c r="R116" s="153" t="n">
        <f aca="false">IFERROR(IF(OR(NOT(ISNUMBER('Price History'!R117)),NOT(ISNUMBER('Price History'!R116)),'Price History'!R116=0),"",'Price History'!R117/'Price History'!R116-1),"")</f>
        <v>-0.0273761326392904</v>
      </c>
      <c r="S116" s="153" t="n">
        <f aca="false">IFERROR(IF(OR(NOT(ISNUMBER('Price History'!S117)),NOT(ISNUMBER('Price History'!S116)),'Price History'!S116=0),"",'Price History'!S117/'Price History'!S116-1),"")</f>
        <v>-0.029955494693598</v>
      </c>
      <c r="T116" s="153" t="n">
        <f aca="false">IFERROR(IF(OR(NOT(ISNUMBER('Price History'!T117)),NOT(ISNUMBER('Price History'!T116)),'Price History'!T116=0),"",'Price History'!T117/'Price History'!T116-1),"")</f>
        <v>-0.0200845665961946</v>
      </c>
      <c r="U116" s="153" t="n">
        <f aca="false">IFERROR(IF(OR(NOT(ISNUMBER('Price History'!U117)),NOT(ISNUMBER('Price History'!U116)),'Price History'!U116=0),"",'Price History'!U117/'Price History'!U116-1),"")</f>
        <v>-0.00531914893617025</v>
      </c>
      <c r="V116" s="154" t="n">
        <f aca="false">IFERROR(IF(OR(NOT(ISNUMBER('Price History'!V117)),NOT(ISNUMBER('Price History'!V116)),'Price History'!V116=0),"",'Price History'!V117/'Price History'!V116-1),"")</f>
        <v>-0.00618808108520053</v>
      </c>
      <c r="W116" s="155" t="n">
        <f aca="false">IFERROR('Price History'!B3+(INDEX('Price History'!B:B,MATCH(9.99E+307,'Returns (Calc)'!$A:$A)+1)-'Price History'!B3)*(ROW()-3)/(MATCH(9.99E+307,'Returns (Calc)'!$A:$A)-3),"")</f>
        <v>325.191509433962</v>
      </c>
      <c r="X116" s="155" t="n">
        <f aca="false">IFERROR('Price History'!C3+(INDEX('Price History'!C:C,MATCH(9.99E+307,'Returns (Calc)'!$A:$A)+1)-'Price History'!C3)*(ROW()-3)/(MATCH(9.99E+307,'Returns (Calc)'!$A:$A)-3),"")</f>
        <v>167.395597484277</v>
      </c>
      <c r="Y116" s="155" t="n">
        <f aca="false">IFERROR('Price History'!D3+(INDEX('Price History'!D:D,MATCH(9.99E+307,'Returns (Calc)'!$A:$A)+1)-'Price History'!D3)*(ROW()-3)/(MATCH(9.99E+307,'Returns (Calc)'!$A:$A)-3),"")</f>
        <v>1433.65333333333</v>
      </c>
      <c r="Z116" s="155" t="n">
        <f aca="false">IFERROR('Price History'!E3+(INDEX('Price History'!E:E,MATCH(9.99E+307,'Returns (Calc)'!$A:$A)+1)-'Price History'!E3)*(ROW()-3)/(MATCH(9.99E+307,'Returns (Calc)'!$A:$A)-3),"")</f>
        <v>280.66679245283</v>
      </c>
      <c r="AA116" s="155" t="n">
        <f aca="false">IFERROR('Price History'!F3+(INDEX('Price History'!F:F,MATCH(9.99E+307,'Returns (Calc)'!$A:$A)+1)-'Price History'!F3)*(ROW()-3)/(MATCH(9.99E+307,'Returns (Calc)'!$A:$A)-3),"")</f>
        <v>207.434465408805</v>
      </c>
      <c r="AB116" s="155" t="n">
        <f aca="false">IFERROR('Price History'!G3+(INDEX('Price History'!G:G,MATCH(9.99E+307,'Returns (Calc)'!$A:$A)+1)-'Price History'!G3)*(ROW()-3)/(MATCH(9.99E+307,'Returns (Calc)'!$A:$A)-3),"")</f>
        <v>151.820817610063</v>
      </c>
      <c r="AC116" s="155" t="n">
        <f aca="false">IFERROR('Price History'!H3+(INDEX('Price History'!H:H,MATCH(9.99E+307,'Returns (Calc)'!$A:$A)+1)-'Price History'!H3)*(ROW()-3)/(MATCH(9.99E+307,'Returns (Calc)'!$A:$A)-3),"")</f>
        <v>751.295974842767</v>
      </c>
      <c r="AD116" s="155" t="n">
        <f aca="false">IFERROR('Price History'!I3+(INDEX('Price History'!I:I,MATCH(9.99E+307,'Returns (Calc)'!$A:$A)+1)-'Price History'!I3)*(ROW()-3)/(MATCH(9.99E+307,'Returns (Calc)'!$A:$A)-3),"")</f>
        <v>175.610440251572</v>
      </c>
      <c r="AE116" s="155" t="n">
        <f aca="false">IFERROR('Price History'!J3+(INDEX('Price History'!J:J,MATCH(9.99E+307,'Returns (Calc)'!$A:$A)+1)-'Price History'!J3)*(ROW()-3)/(MATCH(9.99E+307,'Returns (Calc)'!$A:$A)-3),"")</f>
        <v>124.383710691824</v>
      </c>
      <c r="AF116" s="155" t="n">
        <f aca="false">IFERROR('Price History'!K3+(INDEX('Price History'!K:K,MATCH(9.99E+307,'Returns (Calc)'!$A:$A)+1)-'Price History'!K3)*(ROW()-3)/(MATCH(9.99E+307,'Returns (Calc)'!$A:$A)-3),"")</f>
        <v>153.005220125786</v>
      </c>
      <c r="AG116" s="155" t="n">
        <f aca="false">IFERROR('Price History'!L3+(INDEX('Price History'!L:L,MATCH(9.99E+307,'Returns (Calc)'!$A:$A)+1)-'Price History'!L3)*(ROW()-3)/(MATCH(9.99E+307,'Returns (Calc)'!$A:$A)-3),"")</f>
        <v>346.971886792453</v>
      </c>
      <c r="AH116" s="155" t="n">
        <f aca="false">IFERROR('Price History'!M3+(INDEX('Price History'!M:M,MATCH(9.99E+307,'Returns (Calc)'!$A:$A)+1)-'Price History'!M3)*(ROW()-3)/(MATCH(9.99E+307,'Returns (Calc)'!$A:$A)-3),"")</f>
        <v>183.541257861635</v>
      </c>
      <c r="AI116" s="155" t="n">
        <f aca="false">IFERROR('Price History'!N3+(INDEX('Price History'!N:N,MATCH(9.99E+307,'Returns (Calc)'!$A:$A)+1)-'Price History'!N3)*(ROW()-3)/(MATCH(9.99E+307,'Returns (Calc)'!$A:$A)-3),"")</f>
        <v>463.449308176101</v>
      </c>
      <c r="AJ116" s="155" t="n">
        <f aca="false">IFERROR('Price History'!O3+(INDEX('Price History'!O:O,MATCH(9.99E+307,'Returns (Calc)'!$A:$A)+1)-'Price History'!O3)*(ROW()-3)/(MATCH(9.99E+307,'Returns (Calc)'!$A:$A)-3),"")</f>
        <v>106.814968553459</v>
      </c>
      <c r="AK116" s="155" t="n">
        <f aca="false">IFERROR('Price History'!Q3+(INDEX('Price History'!Q:Q,MATCH(9.99E+307,'Returns (Calc)'!$A:$A)+1)-'Price History'!Q3)*(ROW()-3)/(MATCH(9.99E+307,'Returns (Calc)'!$A:$A)-3),"")</f>
        <v>49.727106918239</v>
      </c>
      <c r="AL116" s="155" t="n">
        <f aca="false">IFERROR('Price History'!R3+(INDEX('Price History'!R:R,MATCH(9.99E+307,'Returns (Calc)'!$A:$A)+1)-'Price History'!R3)*(ROW()-3)/(MATCH(9.99E+307,'Returns (Calc)'!$A:$A)-3),"")</f>
        <v>53.3915094339623</v>
      </c>
      <c r="AM116" s="155" t="n">
        <f aca="false">IFERROR('Price History'!S3+(INDEX('Price History'!S:S,MATCH(9.99E+307,'Returns (Calc)'!$A:$A)+1)-'Price History'!S3)*(ROW()-3)/(MATCH(9.99E+307,'Returns (Calc)'!$A:$A)-3),"")</f>
        <v>124.101006289308</v>
      </c>
      <c r="AN116" s="155" t="n">
        <f aca="false">IFERROR('Price History'!T3+(INDEX('Price History'!T:T,MATCH(9.99E+307,'Returns (Calc)'!$A:$A)+1)-'Price History'!T3)*(ROW()-3)/(MATCH(9.99E+307,'Returns (Calc)'!$A:$A)-3),"")</f>
        <v>44.8406289308176</v>
      </c>
      <c r="AO116" s="156" t="n">
        <f aca="false">IFERROR('Price History'!V3+(INDEX('Price History'!V:V,MATCH(9.99E+307,'Returns (Calc)'!$A:$A)+1)-'Price History'!V3)*(ROW()-3)/(MATCH(9.99E+307,'Returns (Calc)'!$A:$A)-3),"")</f>
        <v>342.105849056604</v>
      </c>
      <c r="AP116" s="154" t="n">
        <f aca="false">IFERROR(IF(OR(NOT(ISNUMBER('Price History'!W117)),NOT(ISNUMBER('Price History'!W116)),'Price History'!W116=0),"",'Price History'!W117/'Price History'!W116-1),"")</f>
        <v>-0.00646614356291764</v>
      </c>
      <c r="AQ116" s="154" t="str">
        <f aca="false">IFERROR(IF(OR(NOT(ISNUMBER('Price History'!X117)),NOT(ISNUMBER('Price History'!X116)),'Price History'!X116=0),"",'Price History'!X117/'Price History'!X116-1),"")</f>
        <v/>
      </c>
      <c r="AR116" s="154" t="n">
        <f aca="false">IFERROR(IF(OR(NOT(ISNUMBER('Price History'!Y117)),NOT(ISNUMBER('Price History'!Y116)),'Price History'!Y116=0),"",'Price History'!Y117/'Price History'!Y116-1),"")</f>
        <v>-0.00265604249667994</v>
      </c>
      <c r="AS116" s="154" t="n">
        <f aca="false">IFERROR(IF(OR(NOT(ISNUMBER('Price History'!Z117)),NOT(ISNUMBER('Price History'!Z116)),'Price History'!Z116=0),"",'Price History'!Z117/'Price History'!Z116-1),"")</f>
        <v>-0.057026946799037</v>
      </c>
      <c r="AT116" s="154" t="n">
        <f aca="false">IFERROR(IF(OR(NOT(ISNUMBER('Price History'!AA117)),NOT(ISNUMBER('Price History'!AA116)),'Price History'!AA116=0),"",'Price History'!AA117/'Price History'!AA116-1),"")</f>
        <v>-0.0621291134688006</v>
      </c>
      <c r="AU116" s="154" t="n">
        <f aca="false">IFERROR(IF(OR(NOT(ISNUMBER('Price History'!AB117)),NOT(ISNUMBER('Price History'!AB116)),'Price History'!AB116=0),"",'Price History'!AB117/'Price History'!AB116-1),"")</f>
        <v>-0.168052904281429</v>
      </c>
    </row>
    <row r="117" customFormat="false" ht="15" hidden="false" customHeight="true" outlineLevel="0" collapsed="false">
      <c r="A117" s="152" t="n">
        <f aca="false">IF('Price History'!A118="","",'Price History'!A118)</f>
        <v>45989</v>
      </c>
      <c r="B117" s="153" t="n">
        <f aca="false">IFERROR(IF(OR(NOT(ISNUMBER('Price History'!B118)),NOT(ISNUMBER('Price History'!B117)),'Price History'!B117=0),"",'Price History'!B118/'Price History'!B117-1),"")</f>
        <v>-0.0125235201579321</v>
      </c>
      <c r="C117" s="153" t="n">
        <f aca="false">IFERROR(IF(OR(NOT(ISNUMBER('Price History'!C118)),NOT(ISNUMBER('Price History'!C117)),'Price History'!C117=0),"",'Price History'!C118/'Price History'!C117-1),"")</f>
        <v>0.112833177211956</v>
      </c>
      <c r="D117" s="153" t="n">
        <f aca="false">IFERROR(IF(OR(NOT(ISNUMBER('Price History'!D118)),NOT(ISNUMBER('Price History'!D117)),'Price History'!D117=0),"",'Price History'!D118/'Price History'!D117-1),"")</f>
        <v>0.0966578304485681</v>
      </c>
      <c r="E117" s="153" t="n">
        <f aca="false">IFERROR(IF(OR(NOT(ISNUMBER('Price History'!E118)),NOT(ISNUMBER('Price History'!E117)),'Price History'!E117=0),"",'Price History'!E118/'Price History'!E117-1),"")</f>
        <v>0.184488732269241</v>
      </c>
      <c r="F117" s="153" t="n">
        <f aca="false">IFERROR(IF(OR(NOT(ISNUMBER('Price History'!F118)),NOT(ISNUMBER('Price History'!F117)),'Price History'!F117=0),"",'Price History'!F118/'Price History'!F117-1),"")</f>
        <v>0.0376620200538029</v>
      </c>
      <c r="G117" s="153" t="n">
        <f aca="false">IFERROR(IF(OR(NOT(ISNUMBER('Price History'!G118)),NOT(ISNUMBER('Price History'!G117)),'Price History'!G117=0),"",'Price History'!G118/'Price History'!G117-1),"")</f>
        <v>0.0713566919769462</v>
      </c>
      <c r="H117" s="153" t="n">
        <f aca="false">IFERROR(IF(OR(NOT(ISNUMBER('Price History'!H118)),NOT(ISNUMBER('Price History'!H117)),'Price History'!H117=0),"",'Price History'!H118/'Price History'!H117-1),"")</f>
        <v>0.140367813872665</v>
      </c>
      <c r="I117" s="153" t="n">
        <f aca="false">IFERROR(IF(OR(NOT(ISNUMBER('Price History'!I118)),NOT(ISNUMBER('Price History'!I117)),'Price History'!I117=0),"",'Price History'!I118/'Price History'!I117-1),"")</f>
        <v>-0.0104791258055477</v>
      </c>
      <c r="J117" s="153" t="n">
        <f aca="false">IFERROR(IF(OR(NOT(ISNUMBER('Price History'!J118)),NOT(ISNUMBER('Price History'!J117)),'Price History'!J117=0),"",'Price History'!J118/'Price History'!J117-1),"")</f>
        <v>0.0218104296490653</v>
      </c>
      <c r="K117" s="153" t="n">
        <f aca="false">IFERROR(IF(OR(NOT(ISNUMBER('Price History'!K118)),NOT(ISNUMBER('Price History'!K117)),'Price History'!K117=0),"",'Price History'!K118/'Price History'!K117-1),"")</f>
        <v>0.0878269292864062</v>
      </c>
      <c r="L117" s="153" t="n">
        <f aca="false">IFERROR(IF(OR(NOT(ISNUMBER('Price History'!L118)),NOT(ISNUMBER('Price History'!L117)),'Price History'!L117=0),"",'Price History'!L118/'Price History'!L117-1),"")</f>
        <v>0.059813358806672</v>
      </c>
      <c r="M117" s="153" t="n">
        <f aca="false">IFERROR(IF(OR(NOT(ISNUMBER('Price History'!M118)),NOT(ISNUMBER('Price History'!M117)),'Price History'!M117=0),"",'Price History'!M118/'Price History'!M117-1),"")</f>
        <v>0.124953025178504</v>
      </c>
      <c r="N117" s="153" t="n">
        <f aca="false">IFERROR(IF(OR(NOT(ISNUMBER('Price History'!N118)),NOT(ISNUMBER('Price History'!N117)),'Price History'!N117=0),"",'Price History'!N118/'Price History'!N117-1),"")</f>
        <v>0.0160511763051834</v>
      </c>
      <c r="O117" s="153" t="n">
        <f aca="false">IFERROR(IF(OR(NOT(ISNUMBER('Price History'!O118)),NOT(ISNUMBER('Price History'!O117)),'Price History'!O117=0),"",'Price History'!O118/'Price History'!O117-1),"")</f>
        <v>0.0443653866276028</v>
      </c>
      <c r="P117" s="153" t="n">
        <f aca="false">IFERROR(IF(OR(NOT(ISNUMBER('Price History'!P118)),NOT(ISNUMBER('Price History'!P117)),'Price History'!P117=0),"",'Price History'!P118/'Price History'!P117-1),"")</f>
        <v>0.0257510729613735</v>
      </c>
      <c r="Q117" s="153" t="n">
        <f aca="false">IFERROR(IF(OR(NOT(ISNUMBER('Price History'!Q118)),NOT(ISNUMBER('Price History'!Q117)),'Price History'!Q117=0),"",'Price History'!Q118/'Price History'!Q117-1),"")</f>
        <v>0.0217357553174973</v>
      </c>
      <c r="R117" s="153" t="n">
        <f aca="false">IFERROR(IF(OR(NOT(ISNUMBER('Price History'!R118)),NOT(ISNUMBER('Price History'!R117)),'Price History'!R117=0),"",'Price History'!R118/'Price History'!R117-1),"")</f>
        <v>0.0457879088206143</v>
      </c>
      <c r="S117" s="153" t="n">
        <f aca="false">IFERROR(IF(OR(NOT(ISNUMBER('Price History'!S118)),NOT(ISNUMBER('Price History'!S117)),'Price History'!S117=0),"",'Price History'!S118/'Price History'!S117-1),"")</f>
        <v>0.0509087700723487</v>
      </c>
      <c r="T117" s="153" t="n">
        <f aca="false">IFERROR(IF(OR(NOT(ISNUMBER('Price History'!T118)),NOT(ISNUMBER('Price History'!T117)),'Price History'!T117=0),"",'Price History'!T118/'Price History'!T117-1),"")</f>
        <v>0.0342502696871629</v>
      </c>
      <c r="U117" s="153" t="n">
        <f aca="false">IFERROR(IF(OR(NOT(ISNUMBER('Price History'!U118)),NOT(ISNUMBER('Price History'!U117)),'Price History'!U117=0),"",'Price History'!U118/'Price History'!U117-1),"")</f>
        <v>0.0183346065699006</v>
      </c>
      <c r="V117" s="154" t="n">
        <f aca="false">IFERROR(IF(OR(NOT(ISNUMBER('Price History'!V118)),NOT(ISNUMBER('Price History'!V117)),'Price History'!V117=0),"",'Price History'!V118/'Price History'!V117-1),"")</f>
        <v>0.0196920434329182</v>
      </c>
      <c r="W117" s="155" t="n">
        <f aca="false">IFERROR('Price History'!B3+(INDEX('Price History'!B:B,MATCH(9.99E+307,'Returns (Calc)'!$A:$A)+1)-'Price History'!B3)*(ROW()-3)/(MATCH(9.99E+307,'Returns (Calc)'!$A:$A)-3),"")</f>
        <v>323.388867924528</v>
      </c>
      <c r="X117" s="155" t="n">
        <f aca="false">IFERROR('Price History'!C3+(INDEX('Price History'!C:C,MATCH(9.99E+307,'Returns (Calc)'!$A:$A)+1)-'Price History'!C3)*(ROW()-3)/(MATCH(9.99E+307,'Returns (Calc)'!$A:$A)-3),"")</f>
        <v>168.468301886792</v>
      </c>
      <c r="Y117" s="155" t="n">
        <f aca="false">IFERROR('Price History'!D3+(INDEX('Price History'!D:D,MATCH(9.99E+307,'Returns (Calc)'!$A:$A)+1)-'Price History'!D3)*(ROW()-3)/(MATCH(9.99E+307,'Returns (Calc)'!$A:$A)-3),"")</f>
        <v>1441.19</v>
      </c>
      <c r="Z117" s="155" t="n">
        <f aca="false">IFERROR('Price History'!E3+(INDEX('Price History'!E:E,MATCH(9.99E+307,'Returns (Calc)'!$A:$A)+1)-'Price History'!E3)*(ROW()-3)/(MATCH(9.99E+307,'Returns (Calc)'!$A:$A)-3),"")</f>
        <v>282.424905660377</v>
      </c>
      <c r="AA117" s="155" t="n">
        <f aca="false">IFERROR('Price History'!F3+(INDEX('Price History'!F:F,MATCH(9.99E+307,'Returns (Calc)'!$A:$A)+1)-'Price History'!F3)*(ROW()-3)/(MATCH(9.99E+307,'Returns (Calc)'!$A:$A)-3),"")</f>
        <v>208.904150943396</v>
      </c>
      <c r="AB117" s="155" t="n">
        <f aca="false">IFERROR('Price History'!G3+(INDEX('Price History'!G:G,MATCH(9.99E+307,'Returns (Calc)'!$A:$A)+1)-'Price History'!G3)*(ROW()-3)/(MATCH(9.99E+307,'Returns (Calc)'!$A:$A)-3),"")</f>
        <v>152.771886792453</v>
      </c>
      <c r="AC117" s="155" t="n">
        <f aca="false">IFERROR('Price History'!H3+(INDEX('Price History'!H:H,MATCH(9.99E+307,'Returns (Calc)'!$A:$A)+1)-'Price History'!H3)*(ROW()-3)/(MATCH(9.99E+307,'Returns (Calc)'!$A:$A)-3),"")</f>
        <v>757.333018867925</v>
      </c>
      <c r="AD117" s="155" t="n">
        <f aca="false">IFERROR('Price History'!I3+(INDEX('Price History'!I:I,MATCH(9.99E+307,'Returns (Calc)'!$A:$A)+1)-'Price History'!I3)*(ROW()-3)/(MATCH(9.99E+307,'Returns (Calc)'!$A:$A)-3),"")</f>
        <v>176.777169811321</v>
      </c>
      <c r="AE117" s="155" t="n">
        <f aca="false">IFERROR('Price History'!J3+(INDEX('Price History'!J:J,MATCH(9.99E+307,'Returns (Calc)'!$A:$A)+1)-'Price History'!J3)*(ROW()-3)/(MATCH(9.99E+307,'Returns (Calc)'!$A:$A)-3),"")</f>
        <v>124.494716981132</v>
      </c>
      <c r="AF117" s="155" t="n">
        <f aca="false">IFERROR('Price History'!K3+(INDEX('Price History'!K:K,MATCH(9.99E+307,'Returns (Calc)'!$A:$A)+1)-'Price History'!K3)*(ROW()-3)/(MATCH(9.99E+307,'Returns (Calc)'!$A:$A)-3),"")</f>
        <v>154.22358490566</v>
      </c>
      <c r="AG117" s="155" t="n">
        <f aca="false">IFERROR('Price History'!L3+(INDEX('Price History'!L:L,MATCH(9.99E+307,'Returns (Calc)'!$A:$A)+1)-'Price History'!L3)*(ROW()-3)/(MATCH(9.99E+307,'Returns (Calc)'!$A:$A)-3),"")</f>
        <v>349.28358490566</v>
      </c>
      <c r="AH117" s="155" t="n">
        <f aca="false">IFERROR('Price History'!M3+(INDEX('Price History'!M:M,MATCH(9.99E+307,'Returns (Calc)'!$A:$A)+1)-'Price History'!M3)*(ROW()-3)/(MATCH(9.99E+307,'Returns (Calc)'!$A:$A)-3),"")</f>
        <v>184.829056603774</v>
      </c>
      <c r="AI117" s="155" t="n">
        <f aca="false">IFERROR('Price History'!N3+(INDEX('Price History'!N:N,MATCH(9.99E+307,'Returns (Calc)'!$A:$A)+1)-'Price History'!N3)*(ROW()-3)/(MATCH(9.99E+307,'Returns (Calc)'!$A:$A)-3),"")</f>
        <v>464.463018867925</v>
      </c>
      <c r="AJ117" s="155" t="n">
        <f aca="false">IFERROR('Price History'!O3+(INDEX('Price History'!O:O,MATCH(9.99E+307,'Returns (Calc)'!$A:$A)+1)-'Price History'!O3)*(ROW()-3)/(MATCH(9.99E+307,'Returns (Calc)'!$A:$A)-3),"")</f>
        <v>107.093773584906</v>
      </c>
      <c r="AK117" s="155" t="n">
        <f aca="false">IFERROR('Price History'!Q3+(INDEX('Price History'!Q:Q,MATCH(9.99E+307,'Returns (Calc)'!$A:$A)+1)-'Price History'!Q3)*(ROW()-3)/(MATCH(9.99E+307,'Returns (Calc)'!$A:$A)-3),"")</f>
        <v>50.1671698113208</v>
      </c>
      <c r="AL117" s="155" t="n">
        <f aca="false">IFERROR('Price History'!R3+(INDEX('Price History'!R:R,MATCH(9.99E+307,'Returns (Calc)'!$A:$A)+1)-'Price History'!R3)*(ROW()-3)/(MATCH(9.99E+307,'Returns (Calc)'!$A:$A)-3),"")</f>
        <v>53.5588679245283</v>
      </c>
      <c r="AM117" s="155" t="n">
        <f aca="false">IFERROR('Price History'!S3+(INDEX('Price History'!S:S,MATCH(9.99E+307,'Returns (Calc)'!$A:$A)+1)-'Price History'!S3)*(ROW()-3)/(MATCH(9.99E+307,'Returns (Calc)'!$A:$A)-3),"")</f>
        <v>124.689245283019</v>
      </c>
      <c r="AN117" s="155" t="n">
        <f aca="false">IFERROR('Price History'!T3+(INDEX('Price History'!T:T,MATCH(9.99E+307,'Returns (Calc)'!$A:$A)+1)-'Price History'!T3)*(ROW()-3)/(MATCH(9.99E+307,'Returns (Calc)'!$A:$A)-3),"")</f>
        <v>45.0145283018868</v>
      </c>
      <c r="AO117" s="156" t="n">
        <f aca="false">IFERROR('Price History'!V3+(INDEX('Price History'!V:V,MATCH(9.99E+307,'Returns (Calc)'!$A:$A)+1)-'Price History'!V3)*(ROW()-3)/(MATCH(9.99E+307,'Returns (Calc)'!$A:$A)-3),"")</f>
        <v>343.048113207547</v>
      </c>
      <c r="AP117" s="154" t="n">
        <f aca="false">IFERROR(IF(OR(NOT(ISNUMBER('Price History'!W118)),NOT(ISNUMBER('Price History'!W117)),'Price History'!W117=0),"",'Price History'!W118/'Price History'!W117-1),"")</f>
        <v>0.0380987202925047</v>
      </c>
      <c r="AQ117" s="154" t="str">
        <f aca="false">IFERROR(IF(OR(NOT(ISNUMBER('Price History'!X118)),NOT(ISNUMBER('Price History'!X117)),'Price History'!X117=0),"",'Price History'!X118/'Price History'!X117-1),"")</f>
        <v/>
      </c>
      <c r="AR117" s="154" t="n">
        <f aca="false">IFERROR(IF(OR(NOT(ISNUMBER('Price History'!Y118)),NOT(ISNUMBER('Price History'!Y117)),'Price History'!Y117=0),"",'Price History'!Y118/'Price History'!Y117-1),"")</f>
        <v>0.0233973749286664</v>
      </c>
      <c r="AS117" s="154" t="n">
        <f aca="false">IFERROR(IF(OR(NOT(ISNUMBER('Price History'!Z118)),NOT(ISNUMBER('Price History'!Z117)),'Price History'!Z117=0),"",'Price History'!Z118/'Price History'!Z117-1),"")</f>
        <v>0.0383001049317946</v>
      </c>
      <c r="AT117" s="154" t="n">
        <f aca="false">IFERROR(IF(OR(NOT(ISNUMBER('Price History'!AA118)),NOT(ISNUMBER('Price History'!AA117)),'Price History'!AA117=0),"",'Price History'!AA118/'Price History'!AA117-1),"")</f>
        <v>0.0313488639631867</v>
      </c>
      <c r="AU117" s="154" t="n">
        <f aca="false">IFERROR(IF(OR(NOT(ISNUMBER('Price History'!AB118)),NOT(ISNUMBER('Price History'!AB117)),'Price History'!AB117=0),"",'Price History'!AB118/'Price History'!AB117-1),"")</f>
        <v>-0.0154470212242892</v>
      </c>
    </row>
    <row r="118" customFormat="false" ht="15" hidden="false" customHeight="true" outlineLevel="0" collapsed="false">
      <c r="A118" s="152" t="n">
        <f aca="false">IF('Price History'!A119="","",'Price History'!A119)</f>
        <v>45996</v>
      </c>
      <c r="B118" s="153" t="n">
        <f aca="false">IFERROR(IF(OR(NOT(ISNUMBER('Price History'!B119)),NOT(ISNUMBER('Price History'!B118)),'Price History'!B118=0),"",'Price History'!B119/'Price History'!B118-1),"")</f>
        <v>0.0816230906194357</v>
      </c>
      <c r="C118" s="153" t="n">
        <f aca="false">IFERROR(IF(OR(NOT(ISNUMBER('Price History'!C119)),NOT(ISNUMBER('Price History'!C118)),'Price History'!C118=0),"",'Price History'!C119/'Price History'!C118-1),"")</f>
        <v>-0.015993265993266</v>
      </c>
      <c r="D118" s="153" t="n">
        <f aca="false">IFERROR(IF(OR(NOT(ISNUMBER('Price History'!D119)),NOT(ISNUMBER('Price History'!D118)),'Price History'!D118=0),"",'Price History'!D119/'Price History'!D118-1),"")</f>
        <v>0.0372346980368365</v>
      </c>
      <c r="E118" s="153" t="n">
        <f aca="false">IFERROR(IF(OR(NOT(ISNUMBER('Price History'!E119)),NOT(ISNUMBER('Price History'!E118)),'Price History'!E118=0),"",'Price History'!E119/'Price History'!E118-1),"")</f>
        <v>-0.0315757893947348</v>
      </c>
      <c r="F118" s="153" t="n">
        <f aca="false">IFERROR(IF(OR(NOT(ISNUMBER('Price History'!F119)),NOT(ISNUMBER('Price History'!F118)),'Price History'!F118=0),"",'Price History'!F119/'Price History'!F118-1),"")</f>
        <v>0.00565637520622198</v>
      </c>
      <c r="G118" s="153" t="n">
        <f aca="false">IFERROR(IF(OR(NOT(ISNUMBER('Price History'!G119)),NOT(ISNUMBER('Price History'!G118)),'Price History'!G118=0),"",'Price History'!G119/'Price History'!G118-1),"")</f>
        <v>0.0332166339339084</v>
      </c>
      <c r="H118" s="153" t="n">
        <f aca="false">IFERROR(IF(OR(NOT(ISNUMBER('Price History'!H119)),NOT(ISNUMBER('Price History'!H118)),'Price History'!H118=0),"",'Price History'!H119/'Price History'!H118-1),"")</f>
        <v>0.0031322751322751</v>
      </c>
      <c r="I118" s="153" t="n">
        <f aca="false">IFERROR(IF(OR(NOT(ISNUMBER('Price History'!I119)),NOT(ISNUMBER('Price History'!I118)),'Price History'!I118=0),"",'Price History'!I119/'Price History'!I118-1),"")</f>
        <v>0.0305810397553516</v>
      </c>
      <c r="J118" s="153" t="n">
        <f aca="false">IFERROR(IF(OR(NOT(ISNUMBER('Price History'!J119)),NOT(ISNUMBER('Price History'!J118)),'Price History'!J118=0),"",'Price History'!J119/'Price History'!J118-1),"")</f>
        <v>-0.00433317284545021</v>
      </c>
      <c r="K118" s="153" t="n">
        <f aca="false">IFERROR(IF(OR(NOT(ISNUMBER('Price History'!K119)),NOT(ISNUMBER('Price History'!K118)),'Price History'!K118=0),"",'Price History'!K119/'Price History'!K118-1),"")</f>
        <v>0.0790145443751855</v>
      </c>
      <c r="L118" s="153" t="n">
        <f aca="false">IFERROR(IF(OR(NOT(ISNUMBER('Price History'!L119)),NOT(ISNUMBER('Price History'!L118)),'Price History'!L118=0),"",'Price History'!L119/'Price History'!L118-1),"")</f>
        <v>0.0109893919434239</v>
      </c>
      <c r="M118" s="153" t="n">
        <f aca="false">IFERROR(IF(OR(NOT(ISNUMBER('Price History'!M119)),NOT(ISNUMBER('Price History'!M118)),'Price History'!M118=0),"",'Price History'!M119/'Price History'!M118-1),"")</f>
        <v>0.0516675018094759</v>
      </c>
      <c r="N118" s="153" t="n">
        <f aca="false">IFERROR(IF(OR(NOT(ISNUMBER('Price History'!N119)),NOT(ISNUMBER('Price History'!N118)),'Price History'!N118=0),"",'Price History'!N119/'Price History'!N118-1),"")</f>
        <v>0.0504370286663132</v>
      </c>
      <c r="O118" s="153" t="n">
        <f aca="false">IFERROR(IF(OR(NOT(ISNUMBER('Price History'!O119)),NOT(ISNUMBER('Price History'!O118)),'Price History'!O118=0),"",'Price History'!O119/'Price History'!O118-1),"")</f>
        <v>0.0175333132952611</v>
      </c>
      <c r="P118" s="153" t="n">
        <f aca="false">IFERROR(IF(OR(NOT(ISNUMBER('Price History'!P119)),NOT(ISNUMBER('Price History'!P118)),'Price History'!P118=0),"",'Price History'!P119/'Price History'!P118-1),"")</f>
        <v>-0.0119030442937528</v>
      </c>
      <c r="Q118" s="153" t="n">
        <f aca="false">IFERROR(IF(OR(NOT(ISNUMBER('Price History'!Q119)),NOT(ISNUMBER('Price History'!Q118)),'Price History'!Q118=0),"",'Price History'!Q119/'Price History'!Q118-1),"")</f>
        <v>0.00227928886187501</v>
      </c>
      <c r="R118" s="153" t="n">
        <f aca="false">IFERROR(IF(OR(NOT(ISNUMBER('Price History'!R119)),NOT(ISNUMBER('Price History'!R118)),'Price History'!R118=0),"",'Price History'!R119/'Price History'!R118-1),"")</f>
        <v>0.00966641394996226</v>
      </c>
      <c r="S118" s="153" t="n">
        <f aca="false">IFERROR(IF(OR(NOT(ISNUMBER('Price History'!S119)),NOT(ISNUMBER('Price History'!S118)),'Price History'!S118=0),"",'Price History'!S119/'Price History'!S118-1),"")</f>
        <v>0.00612878851481824</v>
      </c>
      <c r="T118" s="153" t="n">
        <f aca="false">IFERROR(IF(OR(NOT(ISNUMBER('Price History'!T119)),NOT(ISNUMBER('Price History'!T118)),'Price History'!T118=0),"",'Price History'!T119/'Price History'!T118-1),"")</f>
        <v>0.0153846153846153</v>
      </c>
      <c r="U118" s="153" t="n">
        <f aca="false">IFERROR(IF(OR(NOT(ISNUMBER('Price History'!U119)),NOT(ISNUMBER('Price History'!U118)),'Price History'!U118=0),"",'Price History'!U119/'Price History'!U118-1),"")</f>
        <v>0.00412603150787705</v>
      </c>
      <c r="V118" s="154" t="n">
        <f aca="false">IFERROR(IF(OR(NOT(ISNUMBER('Price History'!V119)),NOT(ISNUMBER('Price History'!V118)),'Price History'!V118=0),"",'Price History'!V119/'Price History'!V118-1),"")</f>
        <v>-0.00956563590422332</v>
      </c>
      <c r="W118" s="155" t="n">
        <f aca="false">IFERROR('Price History'!B3+(INDEX('Price History'!B:B,MATCH(9.99E+307,'Returns (Calc)'!$A:$A)+1)-'Price History'!B3)*(ROW()-3)/(MATCH(9.99E+307,'Returns (Calc)'!$A:$A)-3),"")</f>
        <v>321.586226415094</v>
      </c>
      <c r="X118" s="155" t="n">
        <f aca="false">IFERROR('Price History'!C3+(INDEX('Price History'!C:C,MATCH(9.99E+307,'Returns (Calc)'!$A:$A)+1)-'Price History'!C3)*(ROW()-3)/(MATCH(9.99E+307,'Returns (Calc)'!$A:$A)-3),"")</f>
        <v>169.541006289308</v>
      </c>
      <c r="Y118" s="155" t="n">
        <f aca="false">IFERROR('Price History'!D3+(INDEX('Price History'!D:D,MATCH(9.99E+307,'Returns (Calc)'!$A:$A)+1)-'Price History'!D3)*(ROW()-3)/(MATCH(9.99E+307,'Returns (Calc)'!$A:$A)-3),"")</f>
        <v>1448.72666666667</v>
      </c>
      <c r="Z118" s="155" t="n">
        <f aca="false">IFERROR('Price History'!E3+(INDEX('Price History'!E:E,MATCH(9.99E+307,'Returns (Calc)'!$A:$A)+1)-'Price History'!E3)*(ROW()-3)/(MATCH(9.99E+307,'Returns (Calc)'!$A:$A)-3),"")</f>
        <v>284.183018867925</v>
      </c>
      <c r="AA118" s="155" t="n">
        <f aca="false">IFERROR('Price History'!F3+(INDEX('Price History'!F:F,MATCH(9.99E+307,'Returns (Calc)'!$A:$A)+1)-'Price History'!F3)*(ROW()-3)/(MATCH(9.99E+307,'Returns (Calc)'!$A:$A)-3),"")</f>
        <v>210.373836477987</v>
      </c>
      <c r="AB118" s="155" t="n">
        <f aca="false">IFERROR('Price History'!G3+(INDEX('Price History'!G:G,MATCH(9.99E+307,'Returns (Calc)'!$A:$A)+1)-'Price History'!G3)*(ROW()-3)/(MATCH(9.99E+307,'Returns (Calc)'!$A:$A)-3),"")</f>
        <v>153.722955974843</v>
      </c>
      <c r="AC118" s="155" t="n">
        <f aca="false">IFERROR('Price History'!H3+(INDEX('Price History'!H:H,MATCH(9.99E+307,'Returns (Calc)'!$A:$A)+1)-'Price History'!H3)*(ROW()-3)/(MATCH(9.99E+307,'Returns (Calc)'!$A:$A)-3),"")</f>
        <v>763.370062893082</v>
      </c>
      <c r="AD118" s="155" t="n">
        <f aca="false">IFERROR('Price History'!I3+(INDEX('Price History'!I:I,MATCH(9.99E+307,'Returns (Calc)'!$A:$A)+1)-'Price History'!I3)*(ROW()-3)/(MATCH(9.99E+307,'Returns (Calc)'!$A:$A)-3),"")</f>
        <v>177.943899371069</v>
      </c>
      <c r="AE118" s="155" t="n">
        <f aca="false">IFERROR('Price History'!J3+(INDEX('Price History'!J:J,MATCH(9.99E+307,'Returns (Calc)'!$A:$A)+1)-'Price History'!J3)*(ROW()-3)/(MATCH(9.99E+307,'Returns (Calc)'!$A:$A)-3),"")</f>
        <v>124.60572327044</v>
      </c>
      <c r="AF118" s="155" t="n">
        <f aca="false">IFERROR('Price History'!K3+(INDEX('Price History'!K:K,MATCH(9.99E+307,'Returns (Calc)'!$A:$A)+1)-'Price History'!K3)*(ROW()-3)/(MATCH(9.99E+307,'Returns (Calc)'!$A:$A)-3),"")</f>
        <v>155.441949685535</v>
      </c>
      <c r="AG118" s="155" t="n">
        <f aca="false">IFERROR('Price History'!L3+(INDEX('Price History'!L:L,MATCH(9.99E+307,'Returns (Calc)'!$A:$A)+1)-'Price History'!L3)*(ROW()-3)/(MATCH(9.99E+307,'Returns (Calc)'!$A:$A)-3),"")</f>
        <v>351.595283018868</v>
      </c>
      <c r="AH118" s="155" t="n">
        <f aca="false">IFERROR('Price History'!M3+(INDEX('Price History'!M:M,MATCH(9.99E+307,'Returns (Calc)'!$A:$A)+1)-'Price History'!M3)*(ROW()-3)/(MATCH(9.99E+307,'Returns (Calc)'!$A:$A)-3),"")</f>
        <v>186.116855345912</v>
      </c>
      <c r="AI118" s="155" t="n">
        <f aca="false">IFERROR('Price History'!N3+(INDEX('Price History'!N:N,MATCH(9.99E+307,'Returns (Calc)'!$A:$A)+1)-'Price History'!N3)*(ROW()-3)/(MATCH(9.99E+307,'Returns (Calc)'!$A:$A)-3),"")</f>
        <v>465.476729559748</v>
      </c>
      <c r="AJ118" s="155" t="n">
        <f aca="false">IFERROR('Price History'!O3+(INDEX('Price History'!O:O,MATCH(9.99E+307,'Returns (Calc)'!$A:$A)+1)-'Price History'!O3)*(ROW()-3)/(MATCH(9.99E+307,'Returns (Calc)'!$A:$A)-3),"")</f>
        <v>107.372578616352</v>
      </c>
      <c r="AK118" s="155" t="n">
        <f aca="false">IFERROR('Price History'!Q3+(INDEX('Price History'!Q:Q,MATCH(9.99E+307,'Returns (Calc)'!$A:$A)+1)-'Price History'!Q3)*(ROW()-3)/(MATCH(9.99E+307,'Returns (Calc)'!$A:$A)-3),"")</f>
        <v>50.6072327044025</v>
      </c>
      <c r="AL118" s="155" t="n">
        <f aca="false">IFERROR('Price History'!R3+(INDEX('Price History'!R:R,MATCH(9.99E+307,'Returns (Calc)'!$A:$A)+1)-'Price History'!R3)*(ROW()-3)/(MATCH(9.99E+307,'Returns (Calc)'!$A:$A)-3),"")</f>
        <v>53.7262264150943</v>
      </c>
      <c r="AM118" s="155" t="n">
        <f aca="false">IFERROR('Price History'!S3+(INDEX('Price History'!S:S,MATCH(9.99E+307,'Returns (Calc)'!$A:$A)+1)-'Price History'!S3)*(ROW()-3)/(MATCH(9.99E+307,'Returns (Calc)'!$A:$A)-3),"")</f>
        <v>125.27748427673</v>
      </c>
      <c r="AN118" s="155" t="n">
        <f aca="false">IFERROR('Price History'!T3+(INDEX('Price History'!T:T,MATCH(9.99E+307,'Returns (Calc)'!$A:$A)+1)-'Price History'!T3)*(ROW()-3)/(MATCH(9.99E+307,'Returns (Calc)'!$A:$A)-3),"")</f>
        <v>45.188427672956</v>
      </c>
      <c r="AO118" s="156" t="n">
        <f aca="false">IFERROR('Price History'!V3+(INDEX('Price History'!V:V,MATCH(9.99E+307,'Returns (Calc)'!$A:$A)+1)-'Price History'!V3)*(ROW()-3)/(MATCH(9.99E+307,'Returns (Calc)'!$A:$A)-3),"")</f>
        <v>343.990377358491</v>
      </c>
      <c r="AP118" s="154" t="n">
        <f aca="false">IFERROR(IF(OR(NOT(ISNUMBER('Price History'!W119)),NOT(ISNUMBER('Price History'!W118)),'Price History'!W118=0),"",'Price History'!W119/'Price History'!W118-1),"")</f>
        <v>-0.00154973231896305</v>
      </c>
      <c r="AQ118" s="154" t="str">
        <f aca="false">IFERROR(IF(OR(NOT(ISNUMBER('Price History'!X119)),NOT(ISNUMBER('Price History'!X118)),'Price History'!X118=0),"",'Price History'!X119/'Price History'!X118-1),"")</f>
        <v/>
      </c>
      <c r="AR118" s="154" t="n">
        <f aca="false">IFERROR(IF(OR(NOT(ISNUMBER('Price History'!Y119)),NOT(ISNUMBER('Price History'!Y118)),'Price History'!Y118=0),"",'Price History'!Y119/'Price History'!Y118-1),"")</f>
        <v>-0.00185873605947939</v>
      </c>
      <c r="AS118" s="154" t="n">
        <f aca="false">IFERROR(IF(OR(NOT(ISNUMBER('Price History'!Z119)),NOT(ISNUMBER('Price History'!Z118)),'Price History'!Z118=0),"",'Price History'!Z119/'Price History'!Z118-1),"")</f>
        <v>-0.0486104092976251</v>
      </c>
      <c r="AT118" s="154" t="n">
        <f aca="false">IFERROR(IF(OR(NOT(ISNUMBER('Price History'!AA119)),NOT(ISNUMBER('Price History'!AA118)),'Price History'!AA118=0),"",'Price History'!AA119/'Price History'!AA118-1),"")</f>
        <v>-0.0682282952221603</v>
      </c>
      <c r="AU118" s="154" t="n">
        <f aca="false">IFERROR(IF(OR(NOT(ISNUMBER('Price History'!AB119)),NOT(ISNUMBER('Price History'!AB118)),'Price History'!AB118=0),"",'Price History'!AB119/'Price History'!AB118-1),"")</f>
        <v>0.00711640101543964</v>
      </c>
    </row>
    <row r="119" customFormat="false" ht="15" hidden="false" customHeight="true" outlineLevel="0" collapsed="false">
      <c r="A119" s="152" t="n">
        <f aca="false">IF('Price History'!A120="","",'Price History'!A120)</f>
        <v>46003</v>
      </c>
      <c r="B119" s="153" t="n">
        <f aca="false">IFERROR(IF(OR(NOT(ISNUMBER('Price History'!B120)),NOT(ISNUMBER('Price History'!B119)),'Price History'!B119=0),"",'Price History'!B120/'Price History'!B119-1),"")</f>
        <v>0.0293709928955122</v>
      </c>
      <c r="C119" s="153" t="n">
        <f aca="false">IFERROR(IF(OR(NOT(ISNUMBER('Price History'!C120)),NOT(ISNUMBER('Price History'!C119)),'Price History'!C119=0),"",'Price History'!C120/'Price History'!C119-1),"")</f>
        <v>-0.0297845866708142</v>
      </c>
      <c r="D119" s="153" t="n">
        <f aca="false">IFERROR(IF(OR(NOT(ISNUMBER('Price History'!D120)),NOT(ISNUMBER('Price History'!D119)),'Price History'!D119=0),"",'Price History'!D120/'Price History'!D119-1),"")</f>
        <v>-0.0169345920801308</v>
      </c>
      <c r="E119" s="153" t="n">
        <f aca="false">IFERROR(IF(OR(NOT(ISNUMBER('Price History'!E120)),NOT(ISNUMBER('Price History'!E119)),'Price History'!E119=0),"",'Price History'!E120/'Price History'!E119-1),"")</f>
        <v>-0.0776796778190831</v>
      </c>
      <c r="F119" s="153" t="n">
        <f aca="false">IFERROR(IF(OR(NOT(ISNUMBER('Price History'!F120)),NOT(ISNUMBER('Price History'!F119)),'Price History'!F119=0),"",'Price History'!F120/'Price History'!F119-1),"")</f>
        <v>-0.0142176392469338</v>
      </c>
      <c r="G119" s="153" t="n">
        <f aca="false">IFERROR(IF(OR(NOT(ISNUMBER('Price History'!G120)),NOT(ISNUMBER('Price History'!G119)),'Price History'!G119=0),"",'Price History'!G120/'Price History'!G119-1),"")</f>
        <v>-0.0169421487603305</v>
      </c>
      <c r="H119" s="153" t="n">
        <f aca="false">IFERROR(IF(OR(NOT(ISNUMBER('Price History'!H120)),NOT(ISNUMBER('Price History'!H119)),'Price History'!H119=0),"",'Price History'!H120/'Price History'!H119-1),"")</f>
        <v>0.0164985864382463</v>
      </c>
      <c r="I119" s="153" t="n">
        <f aca="false">IFERROR(IF(OR(NOT(ISNUMBER('Price History'!I120)),NOT(ISNUMBER('Price History'!I119)),'Price History'!I119=0),"",'Price History'!I120/'Price History'!I119-1),"")</f>
        <v>-0.0404989559292228</v>
      </c>
      <c r="J119" s="153" t="n">
        <f aca="false">IFERROR(IF(OR(NOT(ISNUMBER('Price History'!J120)),NOT(ISNUMBER('Price History'!J119)),'Price History'!J119=0),"",'Price History'!J120/'Price History'!J119-1),"")</f>
        <v>0.0172469374597035</v>
      </c>
      <c r="K119" s="153" t="n">
        <f aca="false">IFERROR(IF(OR(NOT(ISNUMBER('Price History'!K120)),NOT(ISNUMBER('Price History'!K119)),'Price History'!K119=0),"",'Price History'!K120/'Price History'!K119-1),"")</f>
        <v>0.00995818661971826</v>
      </c>
      <c r="L119" s="153" t="n">
        <f aca="false">IFERROR(IF(OR(NOT(ISNUMBER('Price History'!L120)),NOT(ISNUMBER('Price History'!L119)),'Price History'!L119=0),"",'Price History'!L120/'Price History'!L119-1),"")</f>
        <v>-0.00641223468093133</v>
      </c>
      <c r="M119" s="153" t="n">
        <f aca="false">IFERROR(IF(OR(NOT(ISNUMBER('Price History'!M120)),NOT(ISNUMBER('Price History'!M119)),'Price History'!M119=0),"",'Price History'!M120/'Price History'!M119-1),"")</f>
        <v>-0.146805018794007</v>
      </c>
      <c r="N119" s="153" t="n">
        <f aca="false">IFERROR(IF(OR(NOT(ISNUMBER('Price History'!N120)),NOT(ISNUMBER('Price History'!N119)),'Price History'!N119=0),"",'Price History'!N120/'Price History'!N119-1),"")</f>
        <v>-0.00755247211732679</v>
      </c>
      <c r="O119" s="153" t="n">
        <f aca="false">IFERROR(IF(OR(NOT(ISNUMBER('Price History'!O120)),NOT(ISNUMBER('Price History'!O119)),'Price History'!O119=0),"",'Price History'!O120/'Price History'!O119-1),"")</f>
        <v>0.0214651437573847</v>
      </c>
      <c r="P119" s="153" t="n">
        <f aca="false">IFERROR(IF(OR(NOT(ISNUMBER('Price History'!P120)),NOT(ISNUMBER('Price History'!P119)),'Price History'!P119=0),"",'Price History'!P120/'Price History'!P119-1),"")</f>
        <v>0.0162079287435204</v>
      </c>
      <c r="Q119" s="153" t="n">
        <f aca="false">IFERROR(IF(OR(NOT(ISNUMBER('Price History'!Q120)),NOT(ISNUMBER('Price History'!Q119)),'Price History'!Q119=0),"",'Price History'!Q120/'Price History'!Q119-1),"")</f>
        <v>-0.00121285627653123</v>
      </c>
      <c r="R119" s="153" t="n">
        <f aca="false">IFERROR(IF(OR(NOT(ISNUMBER('Price History'!R120)),NOT(ISNUMBER('Price History'!R119)),'Price History'!R119=0),"",'Price History'!R120/'Price History'!R119-1),"")</f>
        <v>-0.0108879294161818</v>
      </c>
      <c r="S119" s="153" t="n">
        <f aca="false">IFERROR(IF(OR(NOT(ISNUMBER('Price History'!S120)),NOT(ISNUMBER('Price History'!S119)),'Price History'!S119=0),"",'Price History'!S120/'Price History'!S119-1),"")</f>
        <v>-0.0145193591455275</v>
      </c>
      <c r="T119" s="153" t="n">
        <f aca="false">IFERROR(IF(OR(NOT(ISNUMBER('Price History'!T120)),NOT(ISNUMBER('Price History'!T119)),'Price History'!T119=0),"",'Price History'!T120/'Price History'!T119-1),"")</f>
        <v>0.0110426296866974</v>
      </c>
      <c r="U119" s="153" t="n">
        <f aca="false">IFERROR(IF(OR(NOT(ISNUMBER('Price History'!U120)),NOT(ISNUMBER('Price History'!U119)),'Price History'!U119=0),"",'Price History'!U120/'Price History'!U119-1),"")</f>
        <v>0.00933881210310039</v>
      </c>
      <c r="V119" s="154" t="n">
        <f aca="false">IFERROR(IF(OR(NOT(ISNUMBER('Price History'!V120)),NOT(ISNUMBER('Price History'!V119)),'Price History'!V119=0),"",'Price History'!V120/'Price History'!V119-1),"")</f>
        <v>0.0500820020652373</v>
      </c>
      <c r="W119" s="155" t="n">
        <f aca="false">IFERROR('Price History'!B3+(INDEX('Price History'!B:B,MATCH(9.99E+307,'Returns (Calc)'!$A:$A)+1)-'Price History'!B3)*(ROW()-3)/(MATCH(9.99E+307,'Returns (Calc)'!$A:$A)-3),"")</f>
        <v>319.78358490566</v>
      </c>
      <c r="X119" s="155" t="n">
        <f aca="false">IFERROR('Price History'!C3+(INDEX('Price History'!C:C,MATCH(9.99E+307,'Returns (Calc)'!$A:$A)+1)-'Price History'!C3)*(ROW()-3)/(MATCH(9.99E+307,'Returns (Calc)'!$A:$A)-3),"")</f>
        <v>170.613710691824</v>
      </c>
      <c r="Y119" s="155" t="n">
        <f aca="false">IFERROR('Price History'!D3+(INDEX('Price History'!D:D,MATCH(9.99E+307,'Returns (Calc)'!$A:$A)+1)-'Price History'!D3)*(ROW()-3)/(MATCH(9.99E+307,'Returns (Calc)'!$A:$A)-3),"")</f>
        <v>1456.26333333333</v>
      </c>
      <c r="Z119" s="155" t="n">
        <f aca="false">IFERROR('Price History'!E3+(INDEX('Price History'!E:E,MATCH(9.99E+307,'Returns (Calc)'!$A:$A)+1)-'Price History'!E3)*(ROW()-3)/(MATCH(9.99E+307,'Returns (Calc)'!$A:$A)-3),"")</f>
        <v>285.941132075472</v>
      </c>
      <c r="AA119" s="155" t="n">
        <f aca="false">IFERROR('Price History'!F3+(INDEX('Price History'!F:F,MATCH(9.99E+307,'Returns (Calc)'!$A:$A)+1)-'Price History'!F3)*(ROW()-3)/(MATCH(9.99E+307,'Returns (Calc)'!$A:$A)-3),"")</f>
        <v>211.843522012579</v>
      </c>
      <c r="AB119" s="155" t="n">
        <f aca="false">IFERROR('Price History'!G3+(INDEX('Price History'!G:G,MATCH(9.99E+307,'Returns (Calc)'!$A:$A)+1)-'Price History'!G3)*(ROW()-3)/(MATCH(9.99E+307,'Returns (Calc)'!$A:$A)-3),"")</f>
        <v>154.674025157233</v>
      </c>
      <c r="AC119" s="155" t="n">
        <f aca="false">IFERROR('Price History'!H3+(INDEX('Price History'!H:H,MATCH(9.99E+307,'Returns (Calc)'!$A:$A)+1)-'Price History'!H3)*(ROW()-3)/(MATCH(9.99E+307,'Returns (Calc)'!$A:$A)-3),"")</f>
        <v>769.407106918239</v>
      </c>
      <c r="AD119" s="155" t="n">
        <f aca="false">IFERROR('Price History'!I3+(INDEX('Price History'!I:I,MATCH(9.99E+307,'Returns (Calc)'!$A:$A)+1)-'Price History'!I3)*(ROW()-3)/(MATCH(9.99E+307,'Returns (Calc)'!$A:$A)-3),"")</f>
        <v>179.110628930818</v>
      </c>
      <c r="AE119" s="155" t="n">
        <f aca="false">IFERROR('Price History'!J3+(INDEX('Price History'!J:J,MATCH(9.99E+307,'Returns (Calc)'!$A:$A)+1)-'Price History'!J3)*(ROW()-3)/(MATCH(9.99E+307,'Returns (Calc)'!$A:$A)-3),"")</f>
        <v>124.716729559748</v>
      </c>
      <c r="AF119" s="155" t="n">
        <f aca="false">IFERROR('Price History'!K3+(INDEX('Price History'!K:K,MATCH(9.99E+307,'Returns (Calc)'!$A:$A)+1)-'Price History'!K3)*(ROW()-3)/(MATCH(9.99E+307,'Returns (Calc)'!$A:$A)-3),"")</f>
        <v>156.660314465409</v>
      </c>
      <c r="AG119" s="155" t="n">
        <f aca="false">IFERROR('Price History'!L3+(INDEX('Price History'!L:L,MATCH(9.99E+307,'Returns (Calc)'!$A:$A)+1)-'Price History'!L3)*(ROW()-3)/(MATCH(9.99E+307,'Returns (Calc)'!$A:$A)-3),"")</f>
        <v>353.906981132076</v>
      </c>
      <c r="AH119" s="155" t="n">
        <f aca="false">IFERROR('Price History'!M3+(INDEX('Price History'!M:M,MATCH(9.99E+307,'Returns (Calc)'!$A:$A)+1)-'Price History'!M3)*(ROW()-3)/(MATCH(9.99E+307,'Returns (Calc)'!$A:$A)-3),"")</f>
        <v>187.40465408805</v>
      </c>
      <c r="AI119" s="155" t="n">
        <f aca="false">IFERROR('Price History'!N3+(INDEX('Price History'!N:N,MATCH(9.99E+307,'Returns (Calc)'!$A:$A)+1)-'Price History'!N3)*(ROW()-3)/(MATCH(9.99E+307,'Returns (Calc)'!$A:$A)-3),"")</f>
        <v>466.490440251572</v>
      </c>
      <c r="AJ119" s="155" t="n">
        <f aca="false">IFERROR('Price History'!O3+(INDEX('Price History'!O:O,MATCH(9.99E+307,'Returns (Calc)'!$A:$A)+1)-'Price History'!O3)*(ROW()-3)/(MATCH(9.99E+307,'Returns (Calc)'!$A:$A)-3),"")</f>
        <v>107.651383647799</v>
      </c>
      <c r="AK119" s="155" t="n">
        <f aca="false">IFERROR('Price History'!Q3+(INDEX('Price History'!Q:Q,MATCH(9.99E+307,'Returns (Calc)'!$A:$A)+1)-'Price History'!Q3)*(ROW()-3)/(MATCH(9.99E+307,'Returns (Calc)'!$A:$A)-3),"")</f>
        <v>51.0472955974843</v>
      </c>
      <c r="AL119" s="155" t="n">
        <f aca="false">IFERROR('Price History'!R3+(INDEX('Price History'!R:R,MATCH(9.99E+307,'Returns (Calc)'!$A:$A)+1)-'Price History'!R3)*(ROW()-3)/(MATCH(9.99E+307,'Returns (Calc)'!$A:$A)-3),"")</f>
        <v>53.8935849056604</v>
      </c>
      <c r="AM119" s="155" t="n">
        <f aca="false">IFERROR('Price History'!S3+(INDEX('Price History'!S:S,MATCH(9.99E+307,'Returns (Calc)'!$A:$A)+1)-'Price History'!S3)*(ROW()-3)/(MATCH(9.99E+307,'Returns (Calc)'!$A:$A)-3),"")</f>
        <v>125.86572327044</v>
      </c>
      <c r="AN119" s="155" t="n">
        <f aca="false">IFERROR('Price History'!T3+(INDEX('Price History'!T:T,MATCH(9.99E+307,'Returns (Calc)'!$A:$A)+1)-'Price History'!T3)*(ROW()-3)/(MATCH(9.99E+307,'Returns (Calc)'!$A:$A)-3),"")</f>
        <v>45.3623270440252</v>
      </c>
      <c r="AO119" s="156" t="n">
        <f aca="false">IFERROR('Price History'!V3+(INDEX('Price History'!V:V,MATCH(9.99E+307,'Returns (Calc)'!$A:$A)+1)-'Price History'!V3)*(ROW()-3)/(MATCH(9.99E+307,'Returns (Calc)'!$A:$A)-3),"")</f>
        <v>344.932641509434</v>
      </c>
      <c r="AP119" s="154" t="n">
        <f aca="false">IFERROR(IF(OR(NOT(ISNUMBER('Price History'!W120)),NOT(ISNUMBER('Price History'!W119)),'Price History'!W119=0),"",'Price History'!W120/'Price History'!W119-1),"")</f>
        <v>0.00550303372371941</v>
      </c>
      <c r="AQ119" s="154" t="str">
        <f aca="false">IFERROR(IF(OR(NOT(ISNUMBER('Price History'!X120)),NOT(ISNUMBER('Price History'!X119)),'Price History'!X119=0),"",'Price History'!X120/'Price History'!X119-1),"")</f>
        <v/>
      </c>
      <c r="AR119" s="154" t="n">
        <f aca="false">IFERROR(IF(OR(NOT(ISNUMBER('Price History'!Y120)),NOT(ISNUMBER('Price History'!Y119)),'Price History'!Y119=0),"",'Price History'!Y120/'Price History'!Y119-1),"")</f>
        <v>0.0052141527001861</v>
      </c>
      <c r="AS119" s="154" t="n">
        <f aca="false">IFERROR(IF(OR(NOT(ISNUMBER('Price History'!Z120)),NOT(ISNUMBER('Price History'!Z119)),'Price History'!Z119=0),"",'Price History'!Z120/'Price History'!Z119-1),"")</f>
        <v>0.0559096381276112</v>
      </c>
      <c r="AT119" s="154" t="n">
        <f aca="false">IFERROR(IF(OR(NOT(ISNUMBER('Price History'!AA120)),NOT(ISNUMBER('Price History'!AA119)),'Price History'!AA119=0),"",'Price History'!AA120/'Price History'!AA119-1),"")</f>
        <v>-0.0503790901835595</v>
      </c>
      <c r="AU119" s="154" t="n">
        <f aca="false">IFERROR(IF(OR(NOT(ISNUMBER('Price History'!AB120)),NOT(ISNUMBER('Price History'!AB119)),'Price History'!AB119=0),"",'Price History'!AB120/'Price History'!AB119-1),"")</f>
        <v>-0.0774380165289257</v>
      </c>
    </row>
    <row r="120" customFormat="false" ht="15" hidden="false" customHeight="true" outlineLevel="0" collapsed="false">
      <c r="A120" s="152" t="n">
        <f aca="false">IF('Price History'!A121="","",'Price History'!A121)</f>
        <v>46010</v>
      </c>
      <c r="B120" s="153" t="n">
        <f aca="false">IFERROR(IF(OR(NOT(ISNUMBER('Price History'!B121)),NOT(ISNUMBER('Price History'!B120)),'Price History'!B120=0),"",'Price History'!B121/'Price History'!B120-1),"")</f>
        <v>-0.00159919198720648</v>
      </c>
      <c r="C120" s="153" t="n">
        <f aca="false">IFERROR(IF(OR(NOT(ISNUMBER('Price History'!C121)),NOT(ISNUMBER('Price History'!C120)),'Price History'!C120=0),"",'Price History'!C121/'Price History'!C120-1),"")</f>
        <v>0.0509778775248477</v>
      </c>
      <c r="D120" s="153" t="n">
        <f aca="false">IFERROR(IF(OR(NOT(ISNUMBER('Price History'!D121)),NOT(ISNUMBER('Price History'!D120)),'Price History'!D120=0),"",'Price History'!D121/'Price History'!D120-1),"")</f>
        <v>-0.0229715156923993</v>
      </c>
      <c r="E120" s="153" t="n">
        <f aca="false">IFERROR(IF(OR(NOT(ISNUMBER('Price History'!E121)),NOT(ISNUMBER('Price History'!E120)),'Price History'!E120=0),"",'Price History'!E121/'Price History'!E120-1),"")</f>
        <v>-0.0543566490329441</v>
      </c>
      <c r="F120" s="153" t="n">
        <f aca="false">IFERROR(IF(OR(NOT(ISNUMBER('Price History'!F121)),NOT(ISNUMBER('Price History'!F120)),'Price History'!F120=0),"",'Price History'!F121/'Price History'!F120-1),"")</f>
        <v>-0.0465171566685158</v>
      </c>
      <c r="G120" s="153" t="n">
        <f aca="false">IFERROR(IF(OR(NOT(ISNUMBER('Price History'!G121)),NOT(ISNUMBER('Price History'!G120)),'Price History'!G120=0),"",'Price History'!G121/'Price History'!G120-1),"")</f>
        <v>0.0433795712484237</v>
      </c>
      <c r="H120" s="153" t="n">
        <f aca="false">IFERROR(IF(OR(NOT(ISNUMBER('Price History'!H121)),NOT(ISNUMBER('Price History'!H120)),'Price History'!H120=0),"",'Price History'!H121/'Price History'!H120-1),"")</f>
        <v>0.102781237027813</v>
      </c>
      <c r="I120" s="153" t="n">
        <f aca="false">IFERROR(IF(OR(NOT(ISNUMBER('Price History'!I121)),NOT(ISNUMBER('Price History'!I120)),'Price History'!I120=0),"",'Price History'!I121/'Price History'!I120-1),"")</f>
        <v>0.0341332111562911</v>
      </c>
      <c r="J120" s="153" t="n">
        <f aca="false">IFERROR(IF(OR(NOT(ISNUMBER('Price History'!J121)),NOT(ISNUMBER('Price History'!J120)),'Price History'!J120=0),"",'Price History'!J121/'Price History'!J120-1),"")</f>
        <v>-0.0150530819204564</v>
      </c>
      <c r="K120" s="153" t="n">
        <f aca="false">IFERROR(IF(OR(NOT(ISNUMBER('Price History'!K121)),NOT(ISNUMBER('Price History'!K120)),'Price History'!K120=0),"",'Price History'!K121/'Price History'!K120-1),"")</f>
        <v>0.0534401045922537</v>
      </c>
      <c r="L120" s="153" t="n">
        <f aca="false">IFERROR(IF(OR(NOT(ISNUMBER('Price History'!L121)),NOT(ISNUMBER('Price History'!L120)),'Price History'!L120=0),"",'Price History'!L121/'Price History'!L120-1),"")</f>
        <v>-0.0105604638321369</v>
      </c>
      <c r="M120" s="153" t="n">
        <f aca="false">IFERROR(IF(OR(NOT(ISNUMBER('Price History'!M121)),NOT(ISNUMBER('Price History'!M120)),'Price History'!M120=0),"",'Price History'!M121/'Price History'!M120-1),"")</f>
        <v>-0.00899726979399351</v>
      </c>
      <c r="N120" s="153" t="n">
        <f aca="false">IFERROR(IF(OR(NOT(ISNUMBER('Price History'!N121)),NOT(ISNUMBER('Price History'!N120)),'Price History'!N120=0),"",'Price History'!N121/'Price History'!N120-1),"")</f>
        <v>0.00920272542252887</v>
      </c>
      <c r="O120" s="153" t="n">
        <f aca="false">IFERROR(IF(OR(NOT(ISNUMBER('Price History'!O121)),NOT(ISNUMBER('Price History'!O120)),'Price History'!O120=0),"",'Price History'!O121/'Price History'!O120-1),"")</f>
        <v>-0.00906111432427215</v>
      </c>
      <c r="P120" s="153" t="n">
        <f aca="false">IFERROR(IF(OR(NOT(ISNUMBER('Price History'!P121)),NOT(ISNUMBER('Price History'!P120)),'Price History'!P120=0),"",'Price History'!P121/'Price History'!P120-1),"")</f>
        <v>-0.00459803146777771</v>
      </c>
      <c r="Q120" s="153" t="n">
        <f aca="false">IFERROR(IF(OR(NOT(ISNUMBER('Price History'!Q121)),NOT(ISNUMBER('Price History'!Q120)),'Price History'!Q120=0),"",'Price History'!Q121/'Price History'!Q120-1),"")</f>
        <v>0.00227686703096541</v>
      </c>
      <c r="R120" s="153" t="n">
        <f aca="false">IFERROR(IF(OR(NOT(ISNUMBER('Price History'!R121)),NOT(ISNUMBER('Price History'!R120)),'Price History'!R120=0),"",'Price History'!R121/'Price History'!R120-1),"")</f>
        <v>0.00740178401973801</v>
      </c>
      <c r="S120" s="153" t="n">
        <f aca="false">IFERROR(IF(OR(NOT(ISNUMBER('Price History'!S121)),NOT(ISNUMBER('Price History'!S120)),'Price History'!S120=0),"",'Price History'!S121/'Price History'!S120-1),"")</f>
        <v>0.0036409822184591</v>
      </c>
      <c r="T120" s="153" t="n">
        <f aca="false">IFERROR(IF(OR(NOT(ISNUMBER('Price History'!T121)),NOT(ISNUMBER('Price History'!T120)),'Price History'!T120=0),"",'Price History'!T121/'Price History'!T120-1),"")</f>
        <v>-0.00431800863601717</v>
      </c>
      <c r="U120" s="153" t="n">
        <f aca="false">IFERROR(IF(OR(NOT(ISNUMBER('Price History'!U121)),NOT(ISNUMBER('Price History'!U120)),'Price History'!U120=0),"",'Price History'!U121/'Price History'!U120-1),"")</f>
        <v>-0.00814211695040712</v>
      </c>
      <c r="V120" s="154" t="n">
        <f aca="false">IFERROR(IF(OR(NOT(ISNUMBER('Price History'!V121)),NOT(ISNUMBER('Price History'!V120)),'Price History'!V120=0),"",'Price History'!V121/'Price History'!V120-1),"")</f>
        <v>0.00410701373825018</v>
      </c>
      <c r="W120" s="155" t="n">
        <f aca="false">IFERROR('Price History'!B3+(INDEX('Price History'!B:B,MATCH(9.99E+307,'Returns (Calc)'!$A:$A)+1)-'Price History'!B3)*(ROW()-3)/(MATCH(9.99E+307,'Returns (Calc)'!$A:$A)-3),"")</f>
        <v>317.980943396226</v>
      </c>
      <c r="X120" s="155" t="n">
        <f aca="false">IFERROR('Price History'!C3+(INDEX('Price History'!C:C,MATCH(9.99E+307,'Returns (Calc)'!$A:$A)+1)-'Price History'!C3)*(ROW()-3)/(MATCH(9.99E+307,'Returns (Calc)'!$A:$A)-3),"")</f>
        <v>171.68641509434</v>
      </c>
      <c r="Y120" s="155" t="n">
        <f aca="false">IFERROR('Price History'!D3+(INDEX('Price History'!D:D,MATCH(9.99E+307,'Returns (Calc)'!$A:$A)+1)-'Price History'!D3)*(ROW()-3)/(MATCH(9.99E+307,'Returns (Calc)'!$A:$A)-3),"")</f>
        <v>1463.8</v>
      </c>
      <c r="Z120" s="155" t="n">
        <f aca="false">IFERROR('Price History'!E3+(INDEX('Price History'!E:E,MATCH(9.99E+307,'Returns (Calc)'!$A:$A)+1)-'Price History'!E3)*(ROW()-3)/(MATCH(9.99E+307,'Returns (Calc)'!$A:$A)-3),"")</f>
        <v>287.699245283019</v>
      </c>
      <c r="AA120" s="155" t="n">
        <f aca="false">IFERROR('Price History'!F3+(INDEX('Price History'!F:F,MATCH(9.99E+307,'Returns (Calc)'!$A:$A)+1)-'Price History'!F3)*(ROW()-3)/(MATCH(9.99E+307,'Returns (Calc)'!$A:$A)-3),"")</f>
        <v>213.31320754717</v>
      </c>
      <c r="AB120" s="155" t="n">
        <f aca="false">IFERROR('Price History'!G3+(INDEX('Price History'!G:G,MATCH(9.99E+307,'Returns (Calc)'!$A:$A)+1)-'Price History'!G3)*(ROW()-3)/(MATCH(9.99E+307,'Returns (Calc)'!$A:$A)-3),"")</f>
        <v>155.625094339623</v>
      </c>
      <c r="AC120" s="155" t="n">
        <f aca="false">IFERROR('Price History'!H3+(INDEX('Price History'!H:H,MATCH(9.99E+307,'Returns (Calc)'!$A:$A)+1)-'Price History'!H3)*(ROW()-3)/(MATCH(9.99E+307,'Returns (Calc)'!$A:$A)-3),"")</f>
        <v>775.444150943396</v>
      </c>
      <c r="AD120" s="155" t="n">
        <f aca="false">IFERROR('Price History'!I3+(INDEX('Price History'!I:I,MATCH(9.99E+307,'Returns (Calc)'!$A:$A)+1)-'Price History'!I3)*(ROW()-3)/(MATCH(9.99E+307,'Returns (Calc)'!$A:$A)-3),"")</f>
        <v>180.277358490566</v>
      </c>
      <c r="AE120" s="155" t="n">
        <f aca="false">IFERROR('Price History'!J3+(INDEX('Price History'!J:J,MATCH(9.99E+307,'Returns (Calc)'!$A:$A)+1)-'Price History'!J3)*(ROW()-3)/(MATCH(9.99E+307,'Returns (Calc)'!$A:$A)-3),"")</f>
        <v>124.827735849057</v>
      </c>
      <c r="AF120" s="155" t="n">
        <f aca="false">IFERROR('Price History'!K3+(INDEX('Price History'!K:K,MATCH(9.99E+307,'Returns (Calc)'!$A:$A)+1)-'Price History'!K3)*(ROW()-3)/(MATCH(9.99E+307,'Returns (Calc)'!$A:$A)-3),"")</f>
        <v>157.878679245283</v>
      </c>
      <c r="AG120" s="155" t="n">
        <f aca="false">IFERROR('Price History'!L3+(INDEX('Price History'!L:L,MATCH(9.99E+307,'Returns (Calc)'!$A:$A)+1)-'Price History'!L3)*(ROW()-3)/(MATCH(9.99E+307,'Returns (Calc)'!$A:$A)-3),"")</f>
        <v>356.218679245283</v>
      </c>
      <c r="AH120" s="155" t="n">
        <f aca="false">IFERROR('Price History'!M3+(INDEX('Price History'!M:M,MATCH(9.99E+307,'Returns (Calc)'!$A:$A)+1)-'Price History'!M3)*(ROW()-3)/(MATCH(9.99E+307,'Returns (Calc)'!$A:$A)-3),"")</f>
        <v>188.692452830189</v>
      </c>
      <c r="AI120" s="155" t="n">
        <f aca="false">IFERROR('Price History'!N3+(INDEX('Price History'!N:N,MATCH(9.99E+307,'Returns (Calc)'!$A:$A)+1)-'Price History'!N3)*(ROW()-3)/(MATCH(9.99E+307,'Returns (Calc)'!$A:$A)-3),"")</f>
        <v>467.504150943396</v>
      </c>
      <c r="AJ120" s="155" t="n">
        <f aca="false">IFERROR('Price History'!O3+(INDEX('Price History'!O:O,MATCH(9.99E+307,'Returns (Calc)'!$A:$A)+1)-'Price History'!O3)*(ROW()-3)/(MATCH(9.99E+307,'Returns (Calc)'!$A:$A)-3),"")</f>
        <v>107.930188679245</v>
      </c>
      <c r="AK120" s="155" t="n">
        <f aca="false">IFERROR('Price History'!Q3+(INDEX('Price History'!Q:Q,MATCH(9.99E+307,'Returns (Calc)'!$A:$A)+1)-'Price History'!Q3)*(ROW()-3)/(MATCH(9.99E+307,'Returns (Calc)'!$A:$A)-3),"")</f>
        <v>51.487358490566</v>
      </c>
      <c r="AL120" s="155" t="n">
        <f aca="false">IFERROR('Price History'!R3+(INDEX('Price History'!R:R,MATCH(9.99E+307,'Returns (Calc)'!$A:$A)+1)-'Price History'!R3)*(ROW()-3)/(MATCH(9.99E+307,'Returns (Calc)'!$A:$A)-3),"")</f>
        <v>54.0609433962264</v>
      </c>
      <c r="AM120" s="155" t="n">
        <f aca="false">IFERROR('Price History'!S3+(INDEX('Price History'!S:S,MATCH(9.99E+307,'Returns (Calc)'!$A:$A)+1)-'Price History'!S3)*(ROW()-3)/(MATCH(9.99E+307,'Returns (Calc)'!$A:$A)-3),"")</f>
        <v>126.453962264151</v>
      </c>
      <c r="AN120" s="155" t="n">
        <f aca="false">IFERROR('Price History'!T3+(INDEX('Price History'!T:T,MATCH(9.99E+307,'Returns (Calc)'!$A:$A)+1)-'Price History'!T3)*(ROW()-3)/(MATCH(9.99E+307,'Returns (Calc)'!$A:$A)-3),"")</f>
        <v>45.5362264150943</v>
      </c>
      <c r="AO120" s="156" t="n">
        <f aca="false">IFERROR('Price History'!V3+(INDEX('Price History'!V:V,MATCH(9.99E+307,'Returns (Calc)'!$A:$A)+1)-'Price History'!V3)*(ROW()-3)/(MATCH(9.99E+307,'Returns (Calc)'!$A:$A)-3),"")</f>
        <v>345.874905660377</v>
      </c>
      <c r="AP120" s="154" t="n">
        <f aca="false">IFERROR(IF(OR(NOT(ISNUMBER('Price History'!W121)),NOT(ISNUMBER('Price History'!W120)),'Price History'!W120=0),"",'Price History'!W121/'Price History'!W120-1),"")</f>
        <v>-0.0118579848442324</v>
      </c>
      <c r="AQ120" s="154" t="str">
        <f aca="false">IFERROR(IF(OR(NOT(ISNUMBER('Price History'!X121)),NOT(ISNUMBER('Price History'!X120)),'Price History'!X120=0),"",'Price History'!X121/'Price History'!X120-1),"")</f>
        <v/>
      </c>
      <c r="AR120" s="154" t="n">
        <f aca="false">IFERROR(IF(OR(NOT(ISNUMBER('Price History'!Y121)),NOT(ISNUMBER('Price History'!Y120)),'Price History'!Y120=0),"",'Price History'!Y121/'Price History'!Y120-1),"")</f>
        <v>-0.00333456835865131</v>
      </c>
      <c r="AS120" s="154" t="n">
        <f aca="false">IFERROR(IF(OR(NOT(ISNUMBER('Price History'!Z121)),NOT(ISNUMBER('Price History'!Z120)),'Price History'!Z120=0),"",'Price History'!Z121/'Price History'!Z120-1),"")</f>
        <v>0.0246805942121324</v>
      </c>
      <c r="AT120" s="154" t="n">
        <f aca="false">IFERROR(IF(OR(NOT(ISNUMBER('Price History'!AA121)),NOT(ISNUMBER('Price History'!AA120)),'Price History'!AA120=0),"",'Price History'!AA121/'Price History'!AA120-1),"")</f>
        <v>-0.00840424414329233</v>
      </c>
      <c r="AU120" s="154" t="n">
        <f aca="false">IFERROR(IF(OR(NOT(ISNUMBER('Price History'!AB121)),NOT(ISNUMBER('Price History'!AB120)),'Price History'!AB120=0),"",'Price History'!AB121/'Price History'!AB120-1),"")</f>
        <v>-0.00627071575741278</v>
      </c>
    </row>
    <row r="121" customFormat="false" ht="15" hidden="false" customHeight="true" outlineLevel="0" collapsed="false">
      <c r="A121" s="152" t="n">
        <f aca="false">IF('Price History'!A122="","",'Price History'!A122)</f>
        <v>46017</v>
      </c>
      <c r="B121" s="153" t="n">
        <f aca="false">IFERROR(IF(OR(NOT(ISNUMBER('Price History'!B122)),NOT(ISNUMBER('Price History'!B121)),'Price History'!B121=0),"",'Price History'!B122/'Price History'!B121-1),"")</f>
        <v>-0.00578879334569771</v>
      </c>
      <c r="C121" s="153" t="n">
        <f aca="false">IFERROR(IF(OR(NOT(ISNUMBER('Price History'!C122)),NOT(ISNUMBER('Price History'!C121)),'Price History'!C121=0),"",'Price History'!C122/'Price History'!C121-1),"")</f>
        <v>0.00549115314215976</v>
      </c>
      <c r="D121" s="153" t="n">
        <f aca="false">IFERROR(IF(OR(NOT(ISNUMBER('Price History'!D122)),NOT(ISNUMBER('Price History'!D121)),'Price History'!D121=0),"",'Price History'!D122/'Price History'!D121-1),"")</f>
        <v>0.0158425073979276</v>
      </c>
      <c r="E121" s="153" t="n">
        <f aca="false">IFERROR(IF(OR(NOT(ISNUMBER('Price History'!E122)),NOT(ISNUMBER('Price History'!E121)),'Price History'!E121=0),"",'Price History'!E122/'Price History'!E121-1),"")</f>
        <v>0.0365546840313749</v>
      </c>
      <c r="F121" s="153" t="n">
        <f aca="false">IFERROR(IF(OR(NOT(ISNUMBER('Price History'!F122)),NOT(ISNUMBER('Price History'!F121)),'Price History'!F121=0),"",'Price History'!F122/'Price History'!F121-1),"")</f>
        <v>-0.000166223404255317</v>
      </c>
      <c r="G121" s="153" t="n">
        <f aca="false">IFERROR(IF(OR(NOT(ISNUMBER('Price History'!G122)),NOT(ISNUMBER('Price History'!G121)),'Price History'!G121=0),"",'Price History'!G122/'Price History'!G121-1),"")</f>
        <v>0.0272339054064943</v>
      </c>
      <c r="H121" s="153" t="n">
        <f aca="false">IFERROR(IF(OR(NOT(ISNUMBER('Price History'!H122)),NOT(ISNUMBER('Price History'!H121)),'Price History'!H121=0),"",'Price History'!H122/'Price History'!H121-1),"")</f>
        <v>0.0709553564706766</v>
      </c>
      <c r="I121" s="153" t="n">
        <f aca="false">IFERROR(IF(OR(NOT(ISNUMBER('Price History'!I122)),NOT(ISNUMBER('Price History'!I121)),'Price History'!I121=0),"",'Price History'!I122/'Price History'!I121-1),"")</f>
        <v>0.0527219360912665</v>
      </c>
      <c r="J121" s="153" t="n">
        <f aca="false">IFERROR(IF(OR(NOT(ISNUMBER('Price History'!J122)),NOT(ISNUMBER('Price History'!J121)),'Price History'!J121=0),"",'Price History'!J122/'Price History'!J121-1),"")</f>
        <v>0.0115830115830118</v>
      </c>
      <c r="K121" s="153" t="n">
        <f aca="false">IFERROR(IF(OR(NOT(ISNUMBER('Price History'!K122)),NOT(ISNUMBER('Price History'!K121)),'Price History'!K121=0),"",'Price History'!K122/'Price History'!K121-1),"")</f>
        <v>-0.0241493432619712</v>
      </c>
      <c r="L121" s="153" t="n">
        <f aca="false">IFERROR(IF(OR(NOT(ISNUMBER('Price History'!L122)),NOT(ISNUMBER('Price History'!L121)),'Price History'!L121=0),"",'Price History'!L122/'Price History'!L121-1),"")</f>
        <v>0.0480641785838858</v>
      </c>
      <c r="M121" s="153" t="n">
        <f aca="false">IFERROR(IF(OR(NOT(ISNUMBER('Price History'!M122)),NOT(ISNUMBER('Price History'!M121)),'Price History'!M121=0),"",'Price History'!M122/'Price History'!M121-1),"")</f>
        <v>0.0485254523824432</v>
      </c>
      <c r="N121" s="153" t="n">
        <f aca="false">IFERROR(IF(OR(NOT(ISNUMBER('Price History'!N122)),NOT(ISNUMBER('Price History'!N121)),'Price History'!N121=0),"",'Price History'!N122/'Price History'!N121-1),"")</f>
        <v>0.0146865409907935</v>
      </c>
      <c r="O121" s="153" t="n">
        <f aca="false">IFERROR(IF(OR(NOT(ISNUMBER('Price History'!O122)),NOT(ISNUMBER('Price History'!O121)),'Price History'!O121=0),"",'Price History'!O122/'Price History'!O121-1),"")</f>
        <v>-0.000875486381322954</v>
      </c>
      <c r="P121" s="153" t="n">
        <f aca="false">IFERROR(IF(OR(NOT(ISNUMBER('Price History'!P122)),NOT(ISNUMBER('Price History'!P121)),'Price History'!P121=0),"",'Price History'!P122/'Price History'!P121-1),"")</f>
        <v>0.00526885600866112</v>
      </c>
      <c r="Q121" s="153" t="n">
        <f aca="false">IFERROR(IF(OR(NOT(ISNUMBER('Price History'!Q122)),NOT(ISNUMBER('Price History'!Q121)),'Price History'!Q121=0),"",'Price History'!Q122/'Price History'!Q121-1),"")</f>
        <v>0.0106012418597607</v>
      </c>
      <c r="R121" s="153" t="n">
        <f aca="false">IFERROR(IF(OR(NOT(ISNUMBER('Price History'!R122)),NOT(ISNUMBER('Price History'!R121)),'Price History'!R121=0),"",'Price History'!R122/'Price History'!R121-1),"")</f>
        <v>0.0124340617935192</v>
      </c>
      <c r="S121" s="153" t="n">
        <f aca="false">IFERROR(IF(OR(NOT(ISNUMBER('Price History'!S122)),NOT(ISNUMBER('Price History'!S121)),'Price History'!S121=0),"",'Price History'!S122/'Price History'!S121-1),"")</f>
        <v>0.0179701341432548</v>
      </c>
      <c r="T121" s="153" t="n">
        <f aca="false">IFERROR(IF(OR(NOT(ISNUMBER('Price History'!T122)),NOT(ISNUMBER('Price History'!T121)),'Price History'!T121=0),"",'Price History'!T122/'Price History'!T121-1),"")</f>
        <v>0.0066326530612244</v>
      </c>
      <c r="U121" s="153" t="n">
        <f aca="false">IFERROR(IF(OR(NOT(ISNUMBER('Price History'!U122)),NOT(ISNUMBER('Price History'!U121)),'Price History'!U121=0),"",'Price History'!U122/'Price History'!U121-1),"")</f>
        <v>0.00671641791044775</v>
      </c>
      <c r="V121" s="154" t="n">
        <f aca="false">IFERROR(IF(OR(NOT(ISNUMBER('Price History'!V122)),NOT(ISNUMBER('Price History'!V121)),'Price History'!V121=0),"",'Price History'!V122/'Price History'!V121-1),"")</f>
        <v>0.0164472736699599</v>
      </c>
      <c r="W121" s="155" t="n">
        <f aca="false">IFERROR('Price History'!B3+(INDEX('Price History'!B:B,MATCH(9.99E+307,'Returns (Calc)'!$A:$A)+1)-'Price History'!B3)*(ROW()-3)/(MATCH(9.99E+307,'Returns (Calc)'!$A:$A)-3),"")</f>
        <v>316.178301886792</v>
      </c>
      <c r="X121" s="155" t="n">
        <f aca="false">IFERROR('Price History'!C3+(INDEX('Price History'!C:C,MATCH(9.99E+307,'Returns (Calc)'!$A:$A)+1)-'Price History'!C3)*(ROW()-3)/(MATCH(9.99E+307,'Returns (Calc)'!$A:$A)-3),"")</f>
        <v>172.759119496855</v>
      </c>
      <c r="Y121" s="155" t="n">
        <f aca="false">IFERROR('Price History'!D3+(INDEX('Price History'!D:D,MATCH(9.99E+307,'Returns (Calc)'!$A:$A)+1)-'Price History'!D3)*(ROW()-3)/(MATCH(9.99E+307,'Returns (Calc)'!$A:$A)-3),"")</f>
        <v>1471.33666666667</v>
      </c>
      <c r="Z121" s="155" t="n">
        <f aca="false">IFERROR('Price History'!E3+(INDEX('Price History'!E:E,MATCH(9.99E+307,'Returns (Calc)'!$A:$A)+1)-'Price History'!E3)*(ROW()-3)/(MATCH(9.99E+307,'Returns (Calc)'!$A:$A)-3),"")</f>
        <v>289.457358490566</v>
      </c>
      <c r="AA121" s="155" t="n">
        <f aca="false">IFERROR('Price History'!F3+(INDEX('Price History'!F:F,MATCH(9.99E+307,'Returns (Calc)'!$A:$A)+1)-'Price History'!F3)*(ROW()-3)/(MATCH(9.99E+307,'Returns (Calc)'!$A:$A)-3),"")</f>
        <v>214.782893081761</v>
      </c>
      <c r="AB121" s="155" t="n">
        <f aca="false">IFERROR('Price History'!G3+(INDEX('Price History'!G:G,MATCH(9.99E+307,'Returns (Calc)'!$A:$A)+1)-'Price History'!G3)*(ROW()-3)/(MATCH(9.99E+307,'Returns (Calc)'!$A:$A)-3),"")</f>
        <v>156.576163522013</v>
      </c>
      <c r="AC121" s="155" t="n">
        <f aca="false">IFERROR('Price History'!H3+(INDEX('Price History'!H:H,MATCH(9.99E+307,'Returns (Calc)'!$A:$A)+1)-'Price History'!H3)*(ROW()-3)/(MATCH(9.99E+307,'Returns (Calc)'!$A:$A)-3),"")</f>
        <v>781.481194968554</v>
      </c>
      <c r="AD121" s="155" t="n">
        <f aca="false">IFERROR('Price History'!I3+(INDEX('Price History'!I:I,MATCH(9.99E+307,'Returns (Calc)'!$A:$A)+1)-'Price History'!I3)*(ROW()-3)/(MATCH(9.99E+307,'Returns (Calc)'!$A:$A)-3),"")</f>
        <v>181.444088050315</v>
      </c>
      <c r="AE121" s="155" t="n">
        <f aca="false">IFERROR('Price History'!J3+(INDEX('Price History'!J:J,MATCH(9.99E+307,'Returns (Calc)'!$A:$A)+1)-'Price History'!J3)*(ROW()-3)/(MATCH(9.99E+307,'Returns (Calc)'!$A:$A)-3),"")</f>
        <v>124.938742138365</v>
      </c>
      <c r="AF121" s="155" t="n">
        <f aca="false">IFERROR('Price History'!K3+(INDEX('Price History'!K:K,MATCH(9.99E+307,'Returns (Calc)'!$A:$A)+1)-'Price History'!K3)*(ROW()-3)/(MATCH(9.99E+307,'Returns (Calc)'!$A:$A)-3),"")</f>
        <v>159.097044025157</v>
      </c>
      <c r="AG121" s="155" t="n">
        <f aca="false">IFERROR('Price History'!L3+(INDEX('Price History'!L:L,MATCH(9.99E+307,'Returns (Calc)'!$A:$A)+1)-'Price History'!L3)*(ROW()-3)/(MATCH(9.99E+307,'Returns (Calc)'!$A:$A)-3),"")</f>
        <v>358.530377358491</v>
      </c>
      <c r="AH121" s="155" t="n">
        <f aca="false">IFERROR('Price History'!M3+(INDEX('Price History'!M:M,MATCH(9.99E+307,'Returns (Calc)'!$A:$A)+1)-'Price History'!M3)*(ROW()-3)/(MATCH(9.99E+307,'Returns (Calc)'!$A:$A)-3),"")</f>
        <v>189.980251572327</v>
      </c>
      <c r="AI121" s="155" t="n">
        <f aca="false">IFERROR('Price History'!N3+(INDEX('Price History'!N:N,MATCH(9.99E+307,'Returns (Calc)'!$A:$A)+1)-'Price History'!N3)*(ROW()-3)/(MATCH(9.99E+307,'Returns (Calc)'!$A:$A)-3),"")</f>
        <v>468.51786163522</v>
      </c>
      <c r="AJ121" s="155" t="n">
        <f aca="false">IFERROR('Price History'!O3+(INDEX('Price History'!O:O,MATCH(9.99E+307,'Returns (Calc)'!$A:$A)+1)-'Price History'!O3)*(ROW()-3)/(MATCH(9.99E+307,'Returns (Calc)'!$A:$A)-3),"")</f>
        <v>108.208993710692</v>
      </c>
      <c r="AK121" s="155" t="n">
        <f aca="false">IFERROR('Price History'!Q3+(INDEX('Price History'!Q:Q,MATCH(9.99E+307,'Returns (Calc)'!$A:$A)+1)-'Price History'!Q3)*(ROW()-3)/(MATCH(9.99E+307,'Returns (Calc)'!$A:$A)-3),"")</f>
        <v>51.9274213836478</v>
      </c>
      <c r="AL121" s="155" t="n">
        <f aca="false">IFERROR('Price History'!R3+(INDEX('Price History'!R:R,MATCH(9.99E+307,'Returns (Calc)'!$A:$A)+1)-'Price History'!R3)*(ROW()-3)/(MATCH(9.99E+307,'Returns (Calc)'!$A:$A)-3),"")</f>
        <v>54.2283018867925</v>
      </c>
      <c r="AM121" s="155" t="n">
        <f aca="false">IFERROR('Price History'!S3+(INDEX('Price History'!S:S,MATCH(9.99E+307,'Returns (Calc)'!$A:$A)+1)-'Price History'!S3)*(ROW()-3)/(MATCH(9.99E+307,'Returns (Calc)'!$A:$A)-3),"")</f>
        <v>127.042201257862</v>
      </c>
      <c r="AN121" s="155" t="n">
        <f aca="false">IFERROR('Price History'!T3+(INDEX('Price History'!T:T,MATCH(9.99E+307,'Returns (Calc)'!$A:$A)+1)-'Price History'!T3)*(ROW()-3)/(MATCH(9.99E+307,'Returns (Calc)'!$A:$A)-3),"")</f>
        <v>45.7101257861635</v>
      </c>
      <c r="AO121" s="156" t="n">
        <f aca="false">IFERROR('Price History'!V3+(INDEX('Price History'!V:V,MATCH(9.99E+307,'Returns (Calc)'!$A:$A)+1)-'Price History'!V3)*(ROW()-3)/(MATCH(9.99E+307,'Returns (Calc)'!$A:$A)-3),"")</f>
        <v>346.817169811321</v>
      </c>
      <c r="AP121" s="154" t="n">
        <f aca="false">IFERROR(IF(OR(NOT(ISNUMBER('Price History'!W122)),NOT(ISNUMBER('Price History'!W121)),'Price History'!W121=0),"",'Price History'!W122/'Price History'!W121-1),"")</f>
        <v>0.0122843144216431</v>
      </c>
      <c r="AQ121" s="154" t="n">
        <f aca="false">IFERROR(IF(OR(NOT(ISNUMBER('Price History'!X122)),NOT(ISNUMBER('Price History'!X121)),'Price History'!X121=0),"",'Price History'!X122/'Price History'!X121-1),"")</f>
        <v>0.0158550396375992</v>
      </c>
      <c r="AR121" s="154" t="n">
        <f aca="false">IFERROR(IF(OR(NOT(ISNUMBER('Price History'!Y122)),NOT(ISNUMBER('Price History'!Y121)),'Price History'!Y121=0),"",'Price History'!Y122/'Price History'!Y121-1),"")</f>
        <v>0.00836431226765799</v>
      </c>
      <c r="AS121" s="154" t="n">
        <f aca="false">IFERROR(IF(OR(NOT(ISNUMBER('Price History'!Z122)),NOT(ISNUMBER('Price History'!Z121)),'Price History'!Z121=0),"",'Price History'!Z122/'Price History'!Z121-1),"")</f>
        <v>0.0257878718460582</v>
      </c>
      <c r="AT121" s="154" t="n">
        <f aca="false">IFERROR(IF(OR(NOT(ISNUMBER('Price History'!AA122)),NOT(ISNUMBER('Price History'!AA121)),'Price History'!AA121=0),"",'Price History'!AA122/'Price History'!AA121-1),"")</f>
        <v>0.00084754740968318</v>
      </c>
      <c r="AU121" s="154" t="n">
        <f aca="false">IFERROR(IF(OR(NOT(ISNUMBER('Price History'!AB122)),NOT(ISNUMBER('Price History'!AB121)),'Price History'!AB121=0),"",'Price History'!AB122/'Price History'!AB121-1),"")</f>
        <v>0.0125754980618407</v>
      </c>
    </row>
    <row r="122" customFormat="false" ht="15" hidden="false" customHeight="true" outlineLevel="0" collapsed="false">
      <c r="A122" s="152" t="n">
        <f aca="false">IF('Price History'!A123="","",'Price History'!A123)</f>
        <v>46024</v>
      </c>
      <c r="B122" s="153" t="n">
        <f aca="false">IFERROR(IF(OR(NOT(ISNUMBER('Price History'!B123)),NOT(ISNUMBER('Price History'!B122)),'Price History'!B122=0),"",'Price History'!B123/'Price History'!B122-1),"")</f>
        <v>-0.0579423403052572</v>
      </c>
      <c r="C122" s="153" t="n">
        <f aca="false">IFERROR(IF(OR(NOT(ISNUMBER('Price History'!C123)),NOT(ISNUMBER('Price History'!C122)),'Price History'!C122=0),"",'Price History'!C123/'Price History'!C122-1),"")</f>
        <v>0.0133495145631066</v>
      </c>
      <c r="D122" s="153" t="n">
        <f aca="false">IFERROR(IF(OR(NOT(ISNUMBER('Price History'!D123)),NOT(ISNUMBER('Price History'!D122)),'Price History'!D122=0),"",'Price History'!D123/'Price History'!D122-1),"")</f>
        <v>0.0848616548959369</v>
      </c>
      <c r="E122" s="153" t="n">
        <f aca="false">IFERROR(IF(OR(NOT(ISNUMBER('Price History'!E123)),NOT(ISNUMBER('Price History'!E122)),'Price History'!E122=0),"",'Price History'!E123/'Price History'!E122-1),"")</f>
        <v>-0.0128212450028555</v>
      </c>
      <c r="F122" s="153" t="n">
        <f aca="false">IFERROR(IF(OR(NOT(ISNUMBER('Price History'!F123)),NOT(ISNUMBER('Price History'!F122)),'Price History'!F122=0),"",'Price History'!F123/'Price History'!F122-1),"")</f>
        <v>-0.0574397339983375</v>
      </c>
      <c r="G122" s="153" t="n">
        <f aca="false">IFERROR(IF(OR(NOT(ISNUMBER('Price History'!G123)),NOT(ISNUMBER('Price History'!G122)),'Price History'!G122=0),"",'Price History'!G123/'Price History'!G122-1),"")</f>
        <v>-0.00400031375009802</v>
      </c>
      <c r="H122" s="153" t="n">
        <f aca="false">IFERROR(IF(OR(NOT(ISNUMBER('Price History'!H123)),NOT(ISNUMBER('Price History'!H122)),'Price History'!H122=0),"",'Price History'!H123/'Price History'!H122-1),"")</f>
        <v>0.108010263259639</v>
      </c>
      <c r="I122" s="153" t="n">
        <f aca="false">IFERROR(IF(OR(NOT(ISNUMBER('Price History'!I123)),NOT(ISNUMBER('Price History'!I122)),'Price History'!I122=0),"",'Price History'!I123/'Price History'!I122-1),"")</f>
        <v>-0.00883791888053032</v>
      </c>
      <c r="J122" s="153" t="n">
        <f aca="false">IFERROR(IF(OR(NOT(ISNUMBER('Price History'!J123)),NOT(ISNUMBER('Price History'!J122)),'Price History'!J122=0),"",'Price History'!J123/'Price History'!J122-1),"")</f>
        <v>0.0027035623409668</v>
      </c>
      <c r="K122" s="153" t="n">
        <f aca="false">IFERROR(IF(OR(NOT(ISNUMBER('Price History'!K123)),NOT(ISNUMBER('Price History'!K122)),'Price History'!K122=0),"",'Price History'!K123/'Price History'!K122-1),"")</f>
        <v>-0.110486990620529</v>
      </c>
      <c r="L122" s="153" t="n">
        <f aca="false">IFERROR(IF(OR(NOT(ISNUMBER('Price History'!L123)),NOT(ISNUMBER('Price History'!L122)),'Price History'!L122=0),"",'Price History'!L123/'Price History'!L122-1),"")</f>
        <v>0.0553780617678381</v>
      </c>
      <c r="M122" s="153" t="n">
        <f aca="false">IFERROR(IF(OR(NOT(ISNUMBER('Price History'!M123)),NOT(ISNUMBER('Price History'!M122)),'Price History'!M122=0),"",'Price History'!M123/'Price History'!M122-1),"")</f>
        <v>0.0479517496715634</v>
      </c>
      <c r="N122" s="153" t="n">
        <f aca="false">IFERROR(IF(OR(NOT(ISNUMBER('Price History'!N123)),NOT(ISNUMBER('Price History'!N122)),'Price History'!N122=0),"",'Price History'!N123/'Price History'!N122-1),"")</f>
        <v>-0.0232663642255346</v>
      </c>
      <c r="O122" s="153" t="n">
        <f aca="false">IFERROR(IF(OR(NOT(ISNUMBER('Price History'!O123)),NOT(ISNUMBER('Price History'!O122)),'Price History'!O122=0),"",'Price History'!O123/'Price History'!O122-1),"")</f>
        <v>-0.00554960568591167</v>
      </c>
      <c r="P122" s="153" t="n">
        <f aca="false">IFERROR(IF(OR(NOT(ISNUMBER('Price History'!P123)),NOT(ISNUMBER('Price History'!P122)),'Price History'!P122=0),"",'Price History'!P123/'Price History'!P122-1),"")</f>
        <v>7.17978173463418E-005</v>
      </c>
      <c r="Q122" s="153" t="n">
        <f aca="false">IFERROR(IF(OR(NOT(ISNUMBER('Price History'!Q123)),NOT(ISNUMBER('Price History'!Q122)),'Price History'!Q122=0),"",'Price History'!Q123/'Price History'!Q122-1),"")</f>
        <v>-0.00824216993855831</v>
      </c>
      <c r="R122" s="153" t="n">
        <f aca="false">IFERROR(IF(OR(NOT(ISNUMBER('Price History'!R123)),NOT(ISNUMBER('Price History'!R122)),'Price History'!R122=0),"",'Price History'!R123/'Price History'!R122-1),"")</f>
        <v>-0.0115370301451434</v>
      </c>
      <c r="S122" s="153" t="n">
        <f aca="false">IFERROR(IF(OR(NOT(ISNUMBER('Price History'!S123)),NOT(ISNUMBER('Price History'!S122)),'Price History'!S122=0),"",'Price History'!S123/'Price History'!S122-1),"")</f>
        <v>-0.01408917619758</v>
      </c>
      <c r="T122" s="153" t="n">
        <f aca="false">IFERROR(IF(OR(NOT(ISNUMBER('Price History'!T123)),NOT(ISNUMBER('Price History'!T122)),'Price History'!T122=0),"",'Price History'!T123/'Price History'!T122-1),"")</f>
        <v>-0.00937658388241247</v>
      </c>
      <c r="U122" s="153" t="n">
        <f aca="false">IFERROR(IF(OR(NOT(ISNUMBER('Price History'!U123)),NOT(ISNUMBER('Price History'!U122)),'Price History'!U122=0),"",'Price History'!U123/'Price History'!U122-1),"")</f>
        <v>0.00296515937731656</v>
      </c>
      <c r="V122" s="154" t="n">
        <f aca="false">IFERROR(IF(OR(NOT(ISNUMBER('Price History'!V123)),NOT(ISNUMBER('Price History'!V122)),'Price History'!V122=0),"",'Price History'!V123/'Price History'!V122-1),"")</f>
        <v>-0.0240024937655859</v>
      </c>
      <c r="W122" s="155" t="n">
        <f aca="false">IFERROR('Price History'!B3+(INDEX('Price History'!B:B,MATCH(9.99E+307,'Returns (Calc)'!$A:$A)+1)-'Price History'!B3)*(ROW()-3)/(MATCH(9.99E+307,'Returns (Calc)'!$A:$A)-3),"")</f>
        <v>314.375660377359</v>
      </c>
      <c r="X122" s="155" t="n">
        <f aca="false">IFERROR('Price History'!C3+(INDEX('Price History'!C:C,MATCH(9.99E+307,'Returns (Calc)'!$A:$A)+1)-'Price History'!C3)*(ROW()-3)/(MATCH(9.99E+307,'Returns (Calc)'!$A:$A)-3),"")</f>
        <v>173.831823899371</v>
      </c>
      <c r="Y122" s="155" t="n">
        <f aca="false">IFERROR('Price History'!D3+(INDEX('Price History'!D:D,MATCH(9.99E+307,'Returns (Calc)'!$A:$A)+1)-'Price History'!D3)*(ROW()-3)/(MATCH(9.99E+307,'Returns (Calc)'!$A:$A)-3),"")</f>
        <v>1478.87333333333</v>
      </c>
      <c r="Z122" s="155" t="n">
        <f aca="false">IFERROR('Price History'!E3+(INDEX('Price History'!E:E,MATCH(9.99E+307,'Returns (Calc)'!$A:$A)+1)-'Price History'!E3)*(ROW()-3)/(MATCH(9.99E+307,'Returns (Calc)'!$A:$A)-3),"")</f>
        <v>291.215471698113</v>
      </c>
      <c r="AA122" s="155" t="n">
        <f aca="false">IFERROR('Price History'!F3+(INDEX('Price History'!F:F,MATCH(9.99E+307,'Returns (Calc)'!$A:$A)+1)-'Price History'!F3)*(ROW()-3)/(MATCH(9.99E+307,'Returns (Calc)'!$A:$A)-3),"")</f>
        <v>216.252578616352</v>
      </c>
      <c r="AB122" s="155" t="n">
        <f aca="false">IFERROR('Price History'!G3+(INDEX('Price History'!G:G,MATCH(9.99E+307,'Returns (Calc)'!$A:$A)+1)-'Price History'!G3)*(ROW()-3)/(MATCH(9.99E+307,'Returns (Calc)'!$A:$A)-3),"")</f>
        <v>157.527232704403</v>
      </c>
      <c r="AC122" s="155" t="n">
        <f aca="false">IFERROR('Price History'!H3+(INDEX('Price History'!H:H,MATCH(9.99E+307,'Returns (Calc)'!$A:$A)+1)-'Price History'!H3)*(ROW()-3)/(MATCH(9.99E+307,'Returns (Calc)'!$A:$A)-3),"")</f>
        <v>787.518238993711</v>
      </c>
      <c r="AD122" s="155" t="n">
        <f aca="false">IFERROR('Price History'!I3+(INDEX('Price History'!I:I,MATCH(9.99E+307,'Returns (Calc)'!$A:$A)+1)-'Price History'!I3)*(ROW()-3)/(MATCH(9.99E+307,'Returns (Calc)'!$A:$A)-3),"")</f>
        <v>182.610817610063</v>
      </c>
      <c r="AE122" s="155" t="n">
        <f aca="false">IFERROR('Price History'!J3+(INDEX('Price History'!J:J,MATCH(9.99E+307,'Returns (Calc)'!$A:$A)+1)-'Price History'!J3)*(ROW()-3)/(MATCH(9.99E+307,'Returns (Calc)'!$A:$A)-3),"")</f>
        <v>125.049748427673</v>
      </c>
      <c r="AF122" s="155" t="n">
        <f aca="false">IFERROR('Price History'!K3+(INDEX('Price History'!K:K,MATCH(9.99E+307,'Returns (Calc)'!$A:$A)+1)-'Price History'!K3)*(ROW()-3)/(MATCH(9.99E+307,'Returns (Calc)'!$A:$A)-3),"")</f>
        <v>160.315408805031</v>
      </c>
      <c r="AG122" s="155" t="n">
        <f aca="false">IFERROR('Price History'!L3+(INDEX('Price History'!L:L,MATCH(9.99E+307,'Returns (Calc)'!$A:$A)+1)-'Price History'!L3)*(ROW()-3)/(MATCH(9.99E+307,'Returns (Calc)'!$A:$A)-3),"")</f>
        <v>360.842075471698</v>
      </c>
      <c r="AH122" s="155" t="n">
        <f aca="false">IFERROR('Price History'!M3+(INDEX('Price History'!M:M,MATCH(9.99E+307,'Returns (Calc)'!$A:$A)+1)-'Price History'!M3)*(ROW()-3)/(MATCH(9.99E+307,'Returns (Calc)'!$A:$A)-3),"")</f>
        <v>191.268050314465</v>
      </c>
      <c r="AI122" s="155" t="n">
        <f aca="false">IFERROR('Price History'!N3+(INDEX('Price History'!N:N,MATCH(9.99E+307,'Returns (Calc)'!$A:$A)+1)-'Price History'!N3)*(ROW()-3)/(MATCH(9.99E+307,'Returns (Calc)'!$A:$A)-3),"")</f>
        <v>469.531572327044</v>
      </c>
      <c r="AJ122" s="155" t="n">
        <f aca="false">IFERROR('Price History'!O3+(INDEX('Price History'!O:O,MATCH(9.99E+307,'Returns (Calc)'!$A:$A)+1)-'Price History'!O3)*(ROW()-3)/(MATCH(9.99E+307,'Returns (Calc)'!$A:$A)-3),"")</f>
        <v>108.487798742138</v>
      </c>
      <c r="AK122" s="155" t="n">
        <f aca="false">IFERROR('Price History'!Q3+(INDEX('Price History'!Q:Q,MATCH(9.99E+307,'Returns (Calc)'!$A:$A)+1)-'Price History'!Q3)*(ROW()-3)/(MATCH(9.99E+307,'Returns (Calc)'!$A:$A)-3),"")</f>
        <v>52.3674842767296</v>
      </c>
      <c r="AL122" s="155" t="n">
        <f aca="false">IFERROR('Price History'!R3+(INDEX('Price History'!R:R,MATCH(9.99E+307,'Returns (Calc)'!$A:$A)+1)-'Price History'!R3)*(ROW()-3)/(MATCH(9.99E+307,'Returns (Calc)'!$A:$A)-3),"")</f>
        <v>54.3956603773585</v>
      </c>
      <c r="AM122" s="155" t="n">
        <f aca="false">IFERROR('Price History'!S3+(INDEX('Price History'!S:S,MATCH(9.99E+307,'Returns (Calc)'!$A:$A)+1)-'Price History'!S3)*(ROW()-3)/(MATCH(9.99E+307,'Returns (Calc)'!$A:$A)-3),"")</f>
        <v>127.630440251572</v>
      </c>
      <c r="AN122" s="155" t="n">
        <f aca="false">IFERROR('Price History'!T3+(INDEX('Price History'!T:T,MATCH(9.99E+307,'Returns (Calc)'!$A:$A)+1)-'Price History'!T3)*(ROW()-3)/(MATCH(9.99E+307,'Returns (Calc)'!$A:$A)-3),"")</f>
        <v>45.8840251572327</v>
      </c>
      <c r="AO122" s="156" t="n">
        <f aca="false">IFERROR('Price History'!V3+(INDEX('Price History'!V:V,MATCH(9.99E+307,'Returns (Calc)'!$A:$A)+1)-'Price History'!V3)*(ROW()-3)/(MATCH(9.99E+307,'Returns (Calc)'!$A:$A)-3),"")</f>
        <v>347.759433962264</v>
      </c>
      <c r="AP122" s="154" t="n">
        <f aca="false">IFERROR(IF(OR(NOT(ISNUMBER('Price History'!W123)),NOT(ISNUMBER('Price History'!W122)),'Price History'!W122=0),"",'Price History'!W123/'Price History'!W122-1),"")</f>
        <v>-0.00224466891133557</v>
      </c>
      <c r="AQ122" s="154" t="n">
        <f aca="false">IFERROR(IF(OR(NOT(ISNUMBER('Price History'!X123)),NOT(ISNUMBER('Price History'!X122)),'Price History'!X122=0),"",'Price History'!X123/'Price History'!X122-1),"")</f>
        <v>0.0102564102564102</v>
      </c>
      <c r="AR122" s="154" t="n">
        <f aca="false">IFERROR(IF(OR(NOT(ISNUMBER('Price History'!Y123)),NOT(ISNUMBER('Price History'!Y122)),'Price History'!Y122=0),"",'Price History'!Y123/'Price History'!Y122-1),"")</f>
        <v>-0.00479262672811054</v>
      </c>
      <c r="AS122" s="154" t="n">
        <f aca="false">IFERROR(IF(OR(NOT(ISNUMBER('Price History'!Z123)),NOT(ISNUMBER('Price History'!Z122)),'Price History'!Z122=0),"",'Price History'!Z123/'Price History'!Z122-1),"")</f>
        <v>0.0189822938267665</v>
      </c>
      <c r="AT122" s="154" t="n">
        <f aca="false">IFERROR(IF(OR(NOT(ISNUMBER('Price History'!AA123)),NOT(ISNUMBER('Price History'!AA122)),'Price History'!AA122=0),"",'Price History'!AA123/'Price History'!AA122-1),"")</f>
        <v>-0.0368370911400445</v>
      </c>
      <c r="AU122" s="154" t="n">
        <f aca="false">IFERROR(IF(OR(NOT(ISNUMBER('Price History'!AB123)),NOT(ISNUMBER('Price History'!AB122)),'Price History'!AB122=0),"",'Price History'!AB123/'Price History'!AB122-1),"")</f>
        <v>-0.0229690629868684</v>
      </c>
    </row>
    <row r="123" customFormat="false" ht="15" hidden="false" customHeight="true" outlineLevel="0" collapsed="false">
      <c r="A123" s="152" t="n">
        <f aca="false">IF('Price History'!A124="","",'Price History'!A124)</f>
        <v>46031</v>
      </c>
      <c r="B123" s="153" t="n">
        <f aca="false">IFERROR(IF(OR(NOT(ISNUMBER('Price History'!B124)),NOT(ISNUMBER('Price History'!B123)),'Price History'!B123=0),"",'Price History'!B124/'Price History'!B123-1),"")</f>
        <v>0.00195019501950178</v>
      </c>
      <c r="C123" s="153" t="n">
        <f aca="false">IFERROR(IF(OR(NOT(ISNUMBER('Price History'!C124)),NOT(ISNUMBER('Price History'!C123)),'Price History'!C123=0),"",'Price History'!C124/'Price History'!C123-1),"")</f>
        <v>-0.0801646706586826</v>
      </c>
      <c r="D123" s="153" t="n">
        <f aca="false">IFERROR(IF(OR(NOT(ISNUMBER('Price History'!D124)),NOT(ISNUMBER('Price History'!D123)),'Price History'!D123=0),"",'Price History'!D124/'Price History'!D123-1),"")</f>
        <v>0.0946020617844623</v>
      </c>
      <c r="E123" s="153" t="n">
        <f aca="false">IFERROR(IF(OR(NOT(ISNUMBER('Price History'!E124)),NOT(ISNUMBER('Price History'!E123)),'Price History'!E123=0),"",'Price History'!E124/'Price History'!E123-1),"")</f>
        <v>-0.00760753232478084</v>
      </c>
      <c r="F123" s="153" t="n">
        <f aca="false">IFERROR(IF(OR(NOT(ISNUMBER('Price History'!F124)),NOT(ISNUMBER('Price History'!F123)),'Price History'!F123=0),"",'Price History'!F124/'Price History'!F123-1),"")</f>
        <v>0.0375694505688333</v>
      </c>
      <c r="G123" s="153" t="n">
        <f aca="false">IFERROR(IF(OR(NOT(ISNUMBER('Price History'!G124)),NOT(ISNUMBER('Price History'!G123)),'Price History'!G123=0),"",'Price History'!G124/'Price History'!G123-1),"")</f>
        <v>0.0984406993227278</v>
      </c>
      <c r="H123" s="153" t="n">
        <f aca="false">IFERROR(IF(OR(NOT(ISNUMBER('Price History'!H124)),NOT(ISNUMBER('Price History'!H123)),'Price History'!H123=0),"",'Price History'!H124/'Price History'!H123-1),"")</f>
        <v>0.0940553229285623</v>
      </c>
      <c r="I123" s="153" t="n">
        <f aca="false">IFERROR(IF(OR(NOT(ISNUMBER('Price History'!I124)),NOT(ISNUMBER('Price History'!I123)),'Price History'!I123=0),"",'Price History'!I124/'Price History'!I123-1),"")</f>
        <v>-0.0211241441537073</v>
      </c>
      <c r="J123" s="153" t="n">
        <f aca="false">IFERROR(IF(OR(NOT(ISNUMBER('Price History'!J124)),NOT(ISNUMBER('Price History'!J123)),'Price History'!J123=0),"",'Price History'!J124/'Price History'!J123-1),"")</f>
        <v>0.00269627279936557</v>
      </c>
      <c r="K123" s="153" t="n">
        <f aca="false">IFERROR(IF(OR(NOT(ISNUMBER('Price History'!K124)),NOT(ISNUMBER('Price History'!K123)),'Price History'!K123=0),"",'Price History'!K124/'Price History'!K123-1),"")</f>
        <v>0.0573692362683189</v>
      </c>
      <c r="L123" s="153" t="n">
        <f aca="false">IFERROR(IF(OR(NOT(ISNUMBER('Price History'!L124)),NOT(ISNUMBER('Price History'!L123)),'Price History'!L123=0),"",'Price History'!L124/'Price History'!L123-1),"")</f>
        <v>0.0125819878910192</v>
      </c>
      <c r="M123" s="153" t="n">
        <f aca="false">IFERROR(IF(OR(NOT(ISNUMBER('Price History'!M124)),NOT(ISNUMBER('Price History'!M123)),'Price History'!M123=0),"",'Price History'!M124/'Price History'!M123-1),"")</f>
        <v>-0.0684939312781355</v>
      </c>
      <c r="N123" s="153" t="n">
        <f aca="false">IFERROR(IF(OR(NOT(ISNUMBER('Price History'!N124)),NOT(ISNUMBER('Price History'!N123)),'Price History'!N123=0),"",'Price History'!N124/'Price History'!N123-1),"")</f>
        <v>0.0259438657023423</v>
      </c>
      <c r="O123" s="153" t="n">
        <f aca="false">IFERROR(IF(OR(NOT(ISNUMBER('Price History'!O124)),NOT(ISNUMBER('Price History'!O123)),'Price History'!O123=0),"",'Price History'!O124/'Price History'!O123-1),"")</f>
        <v>0.0408263168200509</v>
      </c>
      <c r="P123" s="153" t="n">
        <f aca="false">IFERROR(IF(OR(NOT(ISNUMBER('Price History'!P124)),NOT(ISNUMBER('Price History'!P123)),'Price History'!P123=0),"",'Price History'!P124/'Price History'!P123-1),"")</f>
        <v>0.02096345753464</v>
      </c>
      <c r="Q123" s="153" t="n">
        <f aca="false">IFERROR(IF(OR(NOT(ISNUMBER('Price History'!Q124)),NOT(ISNUMBER('Price History'!Q123)),'Price History'!Q123=0),"",'Price History'!Q124/'Price History'!Q123-1),"")</f>
        <v>0.00906618313689922</v>
      </c>
      <c r="R123" s="153" t="n">
        <f aca="false">IFERROR(IF(OR(NOT(ISNUMBER('Price History'!R124)),NOT(ISNUMBER('Price History'!R123)),'Price History'!R123=0),"",'Price History'!R124/'Price History'!R123-1),"")</f>
        <v>0.0184487951807231</v>
      </c>
      <c r="S123" s="153" t="n">
        <f aca="false">IFERROR(IF(OR(NOT(ISNUMBER('Price History'!S124)),NOT(ISNUMBER('Price History'!S123)),'Price History'!S123=0),"",'Price History'!S124/'Price History'!S123-1),"")</f>
        <v>0.00294216543375936</v>
      </c>
      <c r="T123" s="153" t="n">
        <f aca="false">IFERROR(IF(OR(NOT(ISNUMBER('Price History'!T124)),NOT(ISNUMBER('Price History'!T123)),'Price History'!T123=0),"",'Price History'!T124/'Price History'!T123-1),"")</f>
        <v>0.0255819902788437</v>
      </c>
      <c r="U123" s="153" t="n">
        <f aca="false">IFERROR(IF(OR(NOT(ISNUMBER('Price History'!U124)),NOT(ISNUMBER('Price History'!U123)),'Price History'!U123=0),"",'Price History'!U124/'Price History'!U123-1),"")</f>
        <v>0.0295639320029564</v>
      </c>
      <c r="V123" s="154" t="n">
        <f aca="false">IFERROR(IF(OR(NOT(ISNUMBER('Price History'!V124)),NOT(ISNUMBER('Price History'!V123)),'Price History'!V123=0),"",'Price History'!V124/'Price History'!V123-1),"")</f>
        <v>0.0094944978368805</v>
      </c>
      <c r="W123" s="155" t="n">
        <f aca="false">IFERROR('Price History'!B3+(INDEX('Price History'!B:B,MATCH(9.99E+307,'Returns (Calc)'!$A:$A)+1)-'Price History'!B3)*(ROW()-3)/(MATCH(9.99E+307,'Returns (Calc)'!$A:$A)-3),"")</f>
        <v>312.573018867925</v>
      </c>
      <c r="X123" s="155" t="n">
        <f aca="false">IFERROR('Price History'!C3+(INDEX('Price History'!C:C,MATCH(9.99E+307,'Returns (Calc)'!$A:$A)+1)-'Price History'!C3)*(ROW()-3)/(MATCH(9.99E+307,'Returns (Calc)'!$A:$A)-3),"")</f>
        <v>174.904528301887</v>
      </c>
      <c r="Y123" s="155" t="n">
        <f aca="false">IFERROR('Price History'!D3+(INDEX('Price History'!D:D,MATCH(9.99E+307,'Returns (Calc)'!$A:$A)+1)-'Price History'!D3)*(ROW()-3)/(MATCH(9.99E+307,'Returns (Calc)'!$A:$A)-3),"")</f>
        <v>1486.41</v>
      </c>
      <c r="Z123" s="155" t="n">
        <f aca="false">IFERROR('Price History'!E3+(INDEX('Price History'!E:E,MATCH(9.99E+307,'Returns (Calc)'!$A:$A)+1)-'Price History'!E3)*(ROW()-3)/(MATCH(9.99E+307,'Returns (Calc)'!$A:$A)-3),"")</f>
        <v>292.97358490566</v>
      </c>
      <c r="AA123" s="155" t="n">
        <f aca="false">IFERROR('Price History'!F3+(INDEX('Price History'!F:F,MATCH(9.99E+307,'Returns (Calc)'!$A:$A)+1)-'Price History'!F3)*(ROW()-3)/(MATCH(9.99E+307,'Returns (Calc)'!$A:$A)-3),"")</f>
        <v>217.722264150943</v>
      </c>
      <c r="AB123" s="155" t="n">
        <f aca="false">IFERROR('Price History'!G3+(INDEX('Price History'!G:G,MATCH(9.99E+307,'Returns (Calc)'!$A:$A)+1)-'Price History'!G3)*(ROW()-3)/(MATCH(9.99E+307,'Returns (Calc)'!$A:$A)-3),"")</f>
        <v>158.478301886792</v>
      </c>
      <c r="AC123" s="155" t="n">
        <f aca="false">IFERROR('Price History'!H3+(INDEX('Price History'!H:H,MATCH(9.99E+307,'Returns (Calc)'!$A:$A)+1)-'Price History'!H3)*(ROW()-3)/(MATCH(9.99E+307,'Returns (Calc)'!$A:$A)-3),"")</f>
        <v>793.555283018868</v>
      </c>
      <c r="AD123" s="155" t="n">
        <f aca="false">IFERROR('Price History'!I3+(INDEX('Price History'!I:I,MATCH(9.99E+307,'Returns (Calc)'!$A:$A)+1)-'Price History'!I3)*(ROW()-3)/(MATCH(9.99E+307,'Returns (Calc)'!$A:$A)-3),"")</f>
        <v>183.777547169811</v>
      </c>
      <c r="AE123" s="155" t="n">
        <f aca="false">IFERROR('Price History'!J3+(INDEX('Price History'!J:J,MATCH(9.99E+307,'Returns (Calc)'!$A:$A)+1)-'Price History'!J3)*(ROW()-3)/(MATCH(9.99E+307,'Returns (Calc)'!$A:$A)-3),"")</f>
        <v>125.160754716981</v>
      </c>
      <c r="AF123" s="155" t="n">
        <f aca="false">IFERROR('Price History'!K3+(INDEX('Price History'!K:K,MATCH(9.99E+307,'Returns (Calc)'!$A:$A)+1)-'Price History'!K3)*(ROW()-3)/(MATCH(9.99E+307,'Returns (Calc)'!$A:$A)-3),"")</f>
        <v>161.533773584906</v>
      </c>
      <c r="AG123" s="155" t="n">
        <f aca="false">IFERROR('Price History'!L3+(INDEX('Price History'!L:L,MATCH(9.99E+307,'Returns (Calc)'!$A:$A)+1)-'Price History'!L3)*(ROW()-3)/(MATCH(9.99E+307,'Returns (Calc)'!$A:$A)-3),"")</f>
        <v>363.153773584906</v>
      </c>
      <c r="AH123" s="155" t="n">
        <f aca="false">IFERROR('Price History'!M3+(INDEX('Price History'!M:M,MATCH(9.99E+307,'Returns (Calc)'!$A:$A)+1)-'Price History'!M3)*(ROW()-3)/(MATCH(9.99E+307,'Returns (Calc)'!$A:$A)-3),"")</f>
        <v>192.555849056604</v>
      </c>
      <c r="AI123" s="155" t="n">
        <f aca="false">IFERROR('Price History'!N3+(INDEX('Price History'!N:N,MATCH(9.99E+307,'Returns (Calc)'!$A:$A)+1)-'Price History'!N3)*(ROW()-3)/(MATCH(9.99E+307,'Returns (Calc)'!$A:$A)-3),"")</f>
        <v>470.545283018868</v>
      </c>
      <c r="AJ123" s="155" t="n">
        <f aca="false">IFERROR('Price History'!O3+(INDEX('Price History'!O:O,MATCH(9.99E+307,'Returns (Calc)'!$A:$A)+1)-'Price History'!O3)*(ROW()-3)/(MATCH(9.99E+307,'Returns (Calc)'!$A:$A)-3),"")</f>
        <v>108.766603773585</v>
      </c>
      <c r="AK123" s="155" t="n">
        <f aca="false">IFERROR('Price History'!Q3+(INDEX('Price History'!Q:Q,MATCH(9.99E+307,'Returns (Calc)'!$A:$A)+1)-'Price History'!Q3)*(ROW()-3)/(MATCH(9.99E+307,'Returns (Calc)'!$A:$A)-3),"")</f>
        <v>52.8075471698113</v>
      </c>
      <c r="AL123" s="155" t="n">
        <f aca="false">IFERROR('Price History'!R3+(INDEX('Price History'!R:R,MATCH(9.99E+307,'Returns (Calc)'!$A:$A)+1)-'Price History'!R3)*(ROW()-3)/(MATCH(9.99E+307,'Returns (Calc)'!$A:$A)-3),"")</f>
        <v>54.5630188679245</v>
      </c>
      <c r="AM123" s="155" t="n">
        <f aca="false">IFERROR('Price History'!S3+(INDEX('Price History'!S:S,MATCH(9.99E+307,'Returns (Calc)'!$A:$A)+1)-'Price History'!S3)*(ROW()-3)/(MATCH(9.99E+307,'Returns (Calc)'!$A:$A)-3),"")</f>
        <v>128.218679245283</v>
      </c>
      <c r="AN123" s="155" t="n">
        <f aca="false">IFERROR('Price History'!T3+(INDEX('Price History'!T:T,MATCH(9.99E+307,'Returns (Calc)'!$A:$A)+1)-'Price History'!T3)*(ROW()-3)/(MATCH(9.99E+307,'Returns (Calc)'!$A:$A)-3),"")</f>
        <v>46.0579245283019</v>
      </c>
      <c r="AO123" s="156" t="n">
        <f aca="false">IFERROR('Price History'!V3+(INDEX('Price History'!V:V,MATCH(9.99E+307,'Returns (Calc)'!$A:$A)+1)-'Price History'!V3)*(ROW()-3)/(MATCH(9.99E+307,'Returns (Calc)'!$A:$A)-3),"")</f>
        <v>348.701698113208</v>
      </c>
      <c r="AP123" s="154" t="n">
        <f aca="false">IFERROR(IF(OR(NOT(ISNUMBER('Price History'!W124)),NOT(ISNUMBER('Price History'!W123)),'Price History'!W123=0),"",'Price History'!W124/'Price History'!W123-1),"")</f>
        <v>0.0172244094488188</v>
      </c>
      <c r="AQ123" s="154" t="n">
        <f aca="false">IFERROR(IF(OR(NOT(ISNUMBER('Price History'!X124)),NOT(ISNUMBER('Price History'!X123)),'Price History'!X123=0),"",'Price History'!X124/'Price History'!X123-1),"")</f>
        <v>-0.0200838666960936</v>
      </c>
      <c r="AR123" s="154" t="n">
        <f aca="false">IFERROR(IF(OR(NOT(ISNUMBER('Price History'!Y124)),NOT(ISNUMBER('Price History'!Y123)),'Price History'!Y123=0),"",'Price History'!Y124/'Price History'!Y123-1),"")</f>
        <v>0.0162993146879051</v>
      </c>
      <c r="AS123" s="154" t="n">
        <f aca="false">IFERROR(IF(OR(NOT(ISNUMBER('Price History'!Z124)),NOT(ISNUMBER('Price History'!Z123)),'Price History'!Z123=0),"",'Price History'!Z124/'Price History'!Z123-1),"")</f>
        <v>0.00262993112085175</v>
      </c>
      <c r="AT123" s="154" t="n">
        <f aca="false">IFERROR(IF(OR(NOT(ISNUMBER('Price History'!AA124)),NOT(ISNUMBER('Price History'!AA123)),'Price History'!AA123=0),"",'Price History'!AA124/'Price History'!AA123-1),"")</f>
        <v>-0.016815034619189</v>
      </c>
      <c r="AU123" s="154" t="n">
        <f aca="false">IFERROR(IF(OR(NOT(ISNUMBER('Price History'!AB124)),NOT(ISNUMBER('Price History'!AB123)),'Price History'!AB123=0),"",'Price History'!AB124/'Price History'!AB123-1),"")</f>
        <v>0.0939906146065881</v>
      </c>
    </row>
    <row r="124" customFormat="false" ht="15" hidden="false" customHeight="true" outlineLevel="0" collapsed="false">
      <c r="A124" s="152" t="n">
        <f aca="false">IF('Price History'!A125="","",'Price History'!A125)</f>
        <v>46038</v>
      </c>
      <c r="B124" s="153" t="n">
        <f aca="false">IFERROR(IF(OR(NOT(ISNUMBER('Price History'!B125)),NOT(ISNUMBER('Price History'!B124)),'Price History'!B124=0),"",'Price History'!B125/'Price History'!B124-1),"")</f>
        <v>-0.113280431202276</v>
      </c>
      <c r="C124" s="153" t="n">
        <f aca="false">IFERROR(IF(OR(NOT(ISNUMBER('Price History'!C125)),NOT(ISNUMBER('Price History'!C124)),'Price History'!C124=0),"",'Price History'!C125/'Price History'!C124-1),"")</f>
        <v>0.0564732687769551</v>
      </c>
      <c r="D124" s="153" t="n">
        <f aca="false">IFERROR(IF(OR(NOT(ISNUMBER('Price History'!D125)),NOT(ISNUMBER('Price History'!D124)),'Price History'!D124=0),"",'Price History'!D125/'Price History'!D124-1),"")</f>
        <v>0.0664778867162543</v>
      </c>
      <c r="E124" s="153" t="n">
        <f aca="false">IFERROR(IF(OR(NOT(ISNUMBER('Price History'!E125)),NOT(ISNUMBER('Price History'!E124)),'Price History'!E124=0),"",'Price History'!E125/'Price History'!E124-1),"")</f>
        <v>0.0195289728343244</v>
      </c>
      <c r="F124" s="153" t="n">
        <f aca="false">IFERROR(IF(OR(NOT(ISNUMBER('Price History'!F125)),NOT(ISNUMBER('Price History'!F124)),'Price History'!F124=0),"",'Price History'!F125/'Price History'!F124-1),"")</f>
        <v>-0.0355291117722057</v>
      </c>
      <c r="G124" s="153" t="n">
        <f aca="false">IFERROR(IF(OR(NOT(ISNUMBER('Price History'!G125)),NOT(ISNUMBER('Price History'!G124)),'Price History'!G124=0),"",'Price History'!G125/'Price History'!G124-1),"")</f>
        <v>0.1198738170347</v>
      </c>
      <c r="H124" s="153" t="n">
        <f aca="false">IFERROR(IF(OR(NOT(ISNUMBER('Price History'!H125)),NOT(ISNUMBER('Price History'!H124)),'Price History'!H124=0),"",'Price History'!H125/'Price History'!H124-1),"")</f>
        <v>0.0511757371915684</v>
      </c>
      <c r="I124" s="153" t="n">
        <f aca="false">IFERROR(IF(OR(NOT(ISNUMBER('Price History'!I125)),NOT(ISNUMBER('Price History'!I124)),'Price History'!I124=0),"",'Price History'!I125/'Price History'!I124-1),"")</f>
        <v>0.00742829257712963</v>
      </c>
      <c r="J124" s="153" t="n">
        <f aca="false">IFERROR(IF(OR(NOT(ISNUMBER('Price History'!J125)),NOT(ISNUMBER('Price History'!J124)),'Price History'!J124=0),"",'Price History'!J125/'Price History'!J124-1),"")</f>
        <v>0.0294210692818728</v>
      </c>
      <c r="K124" s="153" t="n">
        <f aca="false">IFERROR(IF(OR(NOT(ISNUMBER('Price History'!K125)),NOT(ISNUMBER('Price History'!K124)),'Price History'!K124=0),"",'Price History'!K125/'Price History'!K124-1),"")</f>
        <v>-0.0367908051157811</v>
      </c>
      <c r="L124" s="153" t="n">
        <f aca="false">IFERROR(IF(OR(NOT(ISNUMBER('Price History'!L125)),NOT(ISNUMBER('Price History'!L124)),'Price History'!L124=0),"",'Price History'!L125/'Price History'!L124-1),"")</f>
        <v>0.0579863598143939</v>
      </c>
      <c r="M124" s="153" t="n">
        <f aca="false">IFERROR(IF(OR(NOT(ISNUMBER('Price History'!M125)),NOT(ISNUMBER('Price History'!M124)),'Price History'!M124=0),"",'Price History'!M125/'Price History'!M124-1),"")</f>
        <v>0.0816051874961767</v>
      </c>
      <c r="N124" s="153" t="n">
        <f aca="false">IFERROR(IF(OR(NOT(ISNUMBER('Price History'!N125)),NOT(ISNUMBER('Price History'!N124)),'Price History'!N124=0),"",'Price History'!N125/'Price History'!N124-1),"")</f>
        <v>-0.0485060147458285</v>
      </c>
      <c r="O124" s="153" t="n">
        <f aca="false">IFERROR(IF(OR(NOT(ISNUMBER('Price History'!O125)),NOT(ISNUMBER('Price History'!O124)),'Price History'!O124=0),"",'Price History'!O125/'Price History'!O124-1),"")</f>
        <v>0.0110055498071677</v>
      </c>
      <c r="P124" s="153" t="n">
        <f aca="false">IFERROR(IF(OR(NOT(ISNUMBER('Price History'!P125)),NOT(ISNUMBER('Price History'!P124)),'Price History'!P124=0),"",'Price History'!P125/'Price History'!P124-1),"")</f>
        <v>0.013008930454961</v>
      </c>
      <c r="Q124" s="153" t="n">
        <f aca="false">IFERROR(IF(OR(NOT(ISNUMBER('Price History'!Q125)),NOT(ISNUMBER('Price History'!Q124)),'Price History'!Q124=0),"",'Price History'!Q125/'Price History'!Q124-1),"")</f>
        <v>-0.00449236298292899</v>
      </c>
      <c r="R124" s="153" t="n">
        <f aca="false">IFERROR(IF(OR(NOT(ISNUMBER('Price History'!R125)),NOT(ISNUMBER('Price History'!R124)),'Price History'!R124=0),"",'Price History'!R125/'Price History'!R124-1),"")</f>
        <v>-0.00406654343807766</v>
      </c>
      <c r="S124" s="153" t="n">
        <f aca="false">IFERROR(IF(OR(NOT(ISNUMBER('Price History'!S125)),NOT(ISNUMBER('Price History'!S124)),'Price History'!S124=0),"",'Price History'!S125/'Price History'!S124-1),"")</f>
        <v>-0.000251445813427176</v>
      </c>
      <c r="T124" s="153" t="n">
        <f aca="false">IFERROR(IF(OR(NOT(ISNUMBER('Price History'!T125)),NOT(ISNUMBER('Price History'!T124)),'Price History'!T124=0),"",'Price History'!T125/'Price History'!T124-1),"")</f>
        <v>-0.0202045397854828</v>
      </c>
      <c r="U124" s="153" t="n">
        <f aca="false">IFERROR(IF(OR(NOT(ISNUMBER('Price History'!U125)),NOT(ISNUMBER('Price History'!U124)),'Price History'!U124=0),"",'Price History'!U125/'Price History'!U124-1),"")</f>
        <v>0.0125628140703518</v>
      </c>
      <c r="V124" s="154" t="n">
        <f aca="false">IFERROR(IF(OR(NOT(ISNUMBER('Price History'!V125)),NOT(ISNUMBER('Price History'!V124)),'Price History'!V124=0),"",'Price History'!V125/'Price History'!V124-1),"")</f>
        <v>-0.0613782788771284</v>
      </c>
      <c r="W124" s="155" t="n">
        <f aca="false">IFERROR('Price History'!B3+(INDEX('Price History'!B:B,MATCH(9.99E+307,'Returns (Calc)'!$A:$A)+1)-'Price History'!B3)*(ROW()-3)/(MATCH(9.99E+307,'Returns (Calc)'!$A:$A)-3),"")</f>
        <v>310.770377358491</v>
      </c>
      <c r="X124" s="155" t="n">
        <f aca="false">IFERROR('Price History'!C3+(INDEX('Price History'!C:C,MATCH(9.99E+307,'Returns (Calc)'!$A:$A)+1)-'Price History'!C3)*(ROW()-3)/(MATCH(9.99E+307,'Returns (Calc)'!$A:$A)-3),"")</f>
        <v>175.977232704403</v>
      </c>
      <c r="Y124" s="155" t="n">
        <f aca="false">IFERROR('Price History'!D3+(INDEX('Price History'!D:D,MATCH(9.99E+307,'Returns (Calc)'!$A:$A)+1)-'Price History'!D3)*(ROW()-3)/(MATCH(9.99E+307,'Returns (Calc)'!$A:$A)-3),"")</f>
        <v>1493.94666666667</v>
      </c>
      <c r="Z124" s="155" t="n">
        <f aca="false">IFERROR('Price History'!E3+(INDEX('Price History'!E:E,MATCH(9.99E+307,'Returns (Calc)'!$A:$A)+1)-'Price History'!E3)*(ROW()-3)/(MATCH(9.99E+307,'Returns (Calc)'!$A:$A)-3),"")</f>
        <v>294.731698113208</v>
      </c>
      <c r="AA124" s="155" t="n">
        <f aca="false">IFERROR('Price History'!F3+(INDEX('Price History'!F:F,MATCH(9.99E+307,'Returns (Calc)'!$A:$A)+1)-'Price History'!F3)*(ROW()-3)/(MATCH(9.99E+307,'Returns (Calc)'!$A:$A)-3),"")</f>
        <v>219.191949685535</v>
      </c>
      <c r="AB124" s="155" t="n">
        <f aca="false">IFERROR('Price History'!G3+(INDEX('Price History'!G:G,MATCH(9.99E+307,'Returns (Calc)'!$A:$A)+1)-'Price History'!G3)*(ROW()-3)/(MATCH(9.99E+307,'Returns (Calc)'!$A:$A)-3),"")</f>
        <v>159.429371069182</v>
      </c>
      <c r="AC124" s="155" t="n">
        <f aca="false">IFERROR('Price History'!H3+(INDEX('Price History'!H:H,MATCH(9.99E+307,'Returns (Calc)'!$A:$A)+1)-'Price History'!H3)*(ROW()-3)/(MATCH(9.99E+307,'Returns (Calc)'!$A:$A)-3),"")</f>
        <v>799.592327044025</v>
      </c>
      <c r="AD124" s="155" t="n">
        <f aca="false">IFERROR('Price History'!I3+(INDEX('Price History'!I:I,MATCH(9.99E+307,'Returns (Calc)'!$A:$A)+1)-'Price History'!I3)*(ROW()-3)/(MATCH(9.99E+307,'Returns (Calc)'!$A:$A)-3),"")</f>
        <v>184.94427672956</v>
      </c>
      <c r="AE124" s="155" t="n">
        <f aca="false">IFERROR('Price History'!J3+(INDEX('Price History'!J:J,MATCH(9.99E+307,'Returns (Calc)'!$A:$A)+1)-'Price History'!J3)*(ROW()-3)/(MATCH(9.99E+307,'Returns (Calc)'!$A:$A)-3),"")</f>
        <v>125.271761006289</v>
      </c>
      <c r="AF124" s="155" t="n">
        <f aca="false">IFERROR('Price History'!K3+(INDEX('Price History'!K:K,MATCH(9.99E+307,'Returns (Calc)'!$A:$A)+1)-'Price History'!K3)*(ROW()-3)/(MATCH(9.99E+307,'Returns (Calc)'!$A:$A)-3),"")</f>
        <v>162.75213836478</v>
      </c>
      <c r="AG124" s="155" t="n">
        <f aca="false">IFERROR('Price History'!L3+(INDEX('Price History'!L:L,MATCH(9.99E+307,'Returns (Calc)'!$A:$A)+1)-'Price History'!L3)*(ROW()-3)/(MATCH(9.99E+307,'Returns (Calc)'!$A:$A)-3),"")</f>
        <v>365.465471698113</v>
      </c>
      <c r="AH124" s="155" t="n">
        <f aca="false">IFERROR('Price History'!M3+(INDEX('Price History'!M:M,MATCH(9.99E+307,'Returns (Calc)'!$A:$A)+1)-'Price History'!M3)*(ROW()-3)/(MATCH(9.99E+307,'Returns (Calc)'!$A:$A)-3),"")</f>
        <v>193.843647798742</v>
      </c>
      <c r="AI124" s="155" t="n">
        <f aca="false">IFERROR('Price History'!N3+(INDEX('Price History'!N:N,MATCH(9.99E+307,'Returns (Calc)'!$A:$A)+1)-'Price History'!N3)*(ROW()-3)/(MATCH(9.99E+307,'Returns (Calc)'!$A:$A)-3),"")</f>
        <v>471.558993710692</v>
      </c>
      <c r="AJ124" s="155" t="n">
        <f aca="false">IFERROR('Price History'!O3+(INDEX('Price History'!O:O,MATCH(9.99E+307,'Returns (Calc)'!$A:$A)+1)-'Price History'!O3)*(ROW()-3)/(MATCH(9.99E+307,'Returns (Calc)'!$A:$A)-3),"")</f>
        <v>109.045408805031</v>
      </c>
      <c r="AK124" s="155" t="n">
        <f aca="false">IFERROR('Price History'!Q3+(INDEX('Price History'!Q:Q,MATCH(9.99E+307,'Returns (Calc)'!$A:$A)+1)-'Price History'!Q3)*(ROW()-3)/(MATCH(9.99E+307,'Returns (Calc)'!$A:$A)-3),"")</f>
        <v>53.2476100628931</v>
      </c>
      <c r="AL124" s="155" t="n">
        <f aca="false">IFERROR('Price History'!R3+(INDEX('Price History'!R:R,MATCH(9.99E+307,'Returns (Calc)'!$A:$A)+1)-'Price History'!R3)*(ROW()-3)/(MATCH(9.99E+307,'Returns (Calc)'!$A:$A)-3),"")</f>
        <v>54.7303773584906</v>
      </c>
      <c r="AM124" s="155" t="n">
        <f aca="false">IFERROR('Price History'!S3+(INDEX('Price History'!S:S,MATCH(9.99E+307,'Returns (Calc)'!$A:$A)+1)-'Price History'!S3)*(ROW()-3)/(MATCH(9.99E+307,'Returns (Calc)'!$A:$A)-3),"")</f>
        <v>128.806918238994</v>
      </c>
      <c r="AN124" s="155" t="n">
        <f aca="false">IFERROR('Price History'!T3+(INDEX('Price History'!T:T,MATCH(9.99E+307,'Returns (Calc)'!$A:$A)+1)-'Price History'!T3)*(ROW()-3)/(MATCH(9.99E+307,'Returns (Calc)'!$A:$A)-3),"")</f>
        <v>46.2318238993711</v>
      </c>
      <c r="AO124" s="156" t="n">
        <f aca="false">IFERROR('Price History'!V3+(INDEX('Price History'!V:V,MATCH(9.99E+307,'Returns (Calc)'!$A:$A)+1)-'Price History'!V3)*(ROW()-3)/(MATCH(9.99E+307,'Returns (Calc)'!$A:$A)-3),"")</f>
        <v>349.643962264151</v>
      </c>
      <c r="AP124" s="154" t="n">
        <f aca="false">IFERROR(IF(OR(NOT(ISNUMBER('Price History'!W125)),NOT(ISNUMBER('Price History'!W124)),'Price History'!W124=0),"",'Price History'!W125/'Price History'!W124-1),"")</f>
        <v>0.010989010989011</v>
      </c>
      <c r="AQ124" s="154" t="n">
        <f aca="false">IFERROR(IF(OR(NOT(ISNUMBER('Price History'!X125)),NOT(ISNUMBER('Price History'!X124)),'Price History'!X124=0),"",'Price History'!X125/'Price History'!X124-1),"")</f>
        <v>0.029054054054054</v>
      </c>
      <c r="AR124" s="154" t="n">
        <f aca="false">IFERROR(IF(OR(NOT(ISNUMBER('Price History'!Y125)),NOT(ISNUMBER('Price History'!Y124)),'Price History'!Y124=0),"",'Price History'!Y125/'Price History'!Y124-1),"")</f>
        <v>0.00273373428102808</v>
      </c>
      <c r="AS124" s="154" t="n">
        <f aca="false">IFERROR(IF(OR(NOT(ISNUMBER('Price History'!Z125)),NOT(ISNUMBER('Price History'!Z124)),'Price History'!Z124=0),"",'Price History'!Z125/'Price History'!Z124-1),"")</f>
        <v>0.0109605296027979</v>
      </c>
      <c r="AT124" s="154" t="n">
        <f aca="false">IFERROR(IF(OR(NOT(ISNUMBER('Price History'!AA125)),NOT(ISNUMBER('Price History'!AA124)),'Price History'!AA124=0),"",'Price History'!AA125/'Price History'!AA124-1),"")</f>
        <v>-0.0163201430807064</v>
      </c>
      <c r="AU124" s="154" t="n">
        <f aca="false">IFERROR(IF(OR(NOT(ISNUMBER('Price History'!AB125)),NOT(ISNUMBER('Price History'!AB124)),'Price History'!AB124=0),"",'Price History'!AB125/'Price History'!AB124-1),"")</f>
        <v>-0.0745877061469266</v>
      </c>
    </row>
    <row r="125" customFormat="false" ht="15" hidden="false" customHeight="true" outlineLevel="0" collapsed="false">
      <c r="A125" s="152" t="n">
        <f aca="false">IF('Price History'!A126="","",'Price History'!A126)</f>
        <v>46045</v>
      </c>
      <c r="B125" s="153" t="n">
        <f aca="false">IFERROR(IF(OR(NOT(ISNUMBER('Price History'!B126)),NOT(ISNUMBER('Price History'!B125)),'Price History'!B125=0),"",'Price History'!B126/'Price History'!B125-1),"")</f>
        <v>0.0167161961367013</v>
      </c>
      <c r="C125" s="153" t="n">
        <f aca="false">IFERROR(IF(OR(NOT(ISNUMBER('Price History'!C126)),NOT(ISNUMBER('Price History'!C125)),'Price History'!C125=0),"",'Price History'!C126/'Price History'!C125-1),"")</f>
        <v>0.0501424940306554</v>
      </c>
      <c r="D125" s="153" t="n">
        <f aca="false">IFERROR(IF(OR(NOT(ISNUMBER('Price History'!D126)),NOT(ISNUMBER('Price History'!D125)),'Price History'!D125=0),"",'Price History'!D126/'Price History'!D125-1),"")</f>
        <v>0.0224322705185385</v>
      </c>
      <c r="E125" s="153" t="n">
        <f aca="false">IFERROR(IF(OR(NOT(ISNUMBER('Price History'!E126)),NOT(ISNUMBER('Price History'!E125)),'Price History'!E125=0),"",'Price History'!E126/'Price History'!E125-1),"")</f>
        <v>-0.0899994282120189</v>
      </c>
      <c r="F125" s="153" t="n">
        <f aca="false">IFERROR(IF(OR(NOT(ISNUMBER('Price History'!F126)),NOT(ISNUMBER('Price History'!F125)),'Price History'!F125=0),"",'Price History'!F126/'Price History'!F125-1),"")</f>
        <v>-0.00308451573103019</v>
      </c>
      <c r="G125" s="153" t="n">
        <f aca="false">IFERROR(IF(OR(NOT(ISNUMBER('Price History'!G126)),NOT(ISNUMBER('Price History'!G125)),'Price History'!G125=0),"",'Price History'!G126/'Price History'!G125-1),"")</f>
        <v>-0.0350832266325224</v>
      </c>
      <c r="H125" s="153" t="n">
        <f aca="false">IFERROR(IF(OR(NOT(ISNUMBER('Price History'!H126)),NOT(ISNUMBER('Price History'!H125)),'Price History'!H125=0),"",'Price History'!H126/'Price History'!H125-1),"")</f>
        <v>0.101726706018646</v>
      </c>
      <c r="I125" s="153" t="n">
        <f aca="false">IFERROR(IF(OR(NOT(ISNUMBER('Price History'!I126)),NOT(ISNUMBER('Price History'!I125)),'Price History'!I125=0),"",'Price History'!I126/'Price History'!I125-1),"")</f>
        <v>0.00769644779332612</v>
      </c>
      <c r="J125" s="153" t="n">
        <f aca="false">IFERROR(IF(OR(NOT(ISNUMBER('Price History'!J126)),NOT(ISNUMBER('Price History'!J125)),'Price History'!J125=0),"",'Price History'!J126/'Price History'!J125-1),"")</f>
        <v>-0.0454824830977258</v>
      </c>
      <c r="K125" s="153" t="n">
        <f aca="false">IFERROR(IF(OR(NOT(ISNUMBER('Price History'!K126)),NOT(ISNUMBER('Price History'!K125)),'Price History'!K125=0),"",'Price History'!K126/'Price History'!K125-1),"")</f>
        <v>-0.0079550772110436</v>
      </c>
      <c r="L125" s="153" t="n">
        <f aca="false">IFERROR(IF(OR(NOT(ISNUMBER('Price History'!L126)),NOT(ISNUMBER('Price History'!L125)),'Price History'!L125=0),"",'Price History'!L126/'Price History'!L125-1),"")</f>
        <v>-0.0219880493332941</v>
      </c>
      <c r="M125" s="153" t="n">
        <f aca="false">IFERROR(IF(OR(NOT(ISNUMBER('Price History'!M126)),NOT(ISNUMBER('Price History'!M125)),'Price History'!M125=0),"",'Price History'!M126/'Price History'!M125-1),"")</f>
        <v>0.0313896272835248</v>
      </c>
      <c r="N125" s="153" t="n">
        <f aca="false">IFERROR(IF(OR(NOT(ISNUMBER('Price History'!N126)),NOT(ISNUMBER('Price History'!N125)),'Price History'!N125=0),"",'Price History'!N126/'Price History'!N125-1),"")</f>
        <v>0.0612878375928947</v>
      </c>
      <c r="O125" s="153" t="n">
        <f aca="false">IFERROR(IF(OR(NOT(ISNUMBER('Price History'!O126)),NOT(ISNUMBER('Price History'!O125)),'Price History'!O125=0),"",'Price History'!O126/'Price History'!O125-1),"")</f>
        <v>-0.000186081131373417</v>
      </c>
      <c r="P125" s="153" t="n">
        <f aca="false">IFERROR(IF(OR(NOT(ISNUMBER('Price History'!P126)),NOT(ISNUMBER('Price History'!P125)),'Price History'!P125=0),"",'Price History'!P126/'Price History'!P125-1),"")</f>
        <v>0.0024989587671802</v>
      </c>
      <c r="Q125" s="153" t="n">
        <f aca="false">IFERROR(IF(OR(NOT(ISNUMBER('Price History'!Q126)),NOT(ISNUMBER('Price History'!Q125)),'Price History'!Q125=0),"",'Price History'!Q126/'Price History'!Q125-1),"")</f>
        <v>-0.000300842358604281</v>
      </c>
      <c r="R125" s="153" t="n">
        <f aca="false">IFERROR(IF(OR(NOT(ISNUMBER('Price History'!R126)),NOT(ISNUMBER('Price History'!R125)),'Price History'!R125=0),"",'Price History'!R126/'Price History'!R125-1),"")</f>
        <v>0.00519673348181127</v>
      </c>
      <c r="S125" s="153" t="n">
        <f aca="false">IFERROR(IF(OR(NOT(ISNUMBER('Price History'!S126)),NOT(ISNUMBER('Price History'!S125)),'Price History'!S125=0),"",'Price History'!S126/'Price History'!S125-1),"")</f>
        <v>-0.017270288397049</v>
      </c>
      <c r="T125" s="153" t="n">
        <f aca="false">IFERROR(IF(OR(NOT(ISNUMBER('Price History'!T126)),NOT(ISNUMBER('Price History'!T125)),'Price History'!T125=0),"",'Price History'!T126/'Price History'!T125-1),"")</f>
        <v>0.00636456211812631</v>
      </c>
      <c r="U125" s="153" t="n">
        <f aca="false">IFERROR(IF(OR(NOT(ISNUMBER('Price History'!U126)),NOT(ISNUMBER('Price History'!U125)),'Price History'!U125=0),"",'Price History'!U126/'Price History'!U125-1),"")</f>
        <v>0.00815313718539534</v>
      </c>
      <c r="V125" s="154" t="n">
        <f aca="false">IFERROR(IF(OR(NOT(ISNUMBER('Price History'!V126)),NOT(ISNUMBER('Price History'!V125)),'Price History'!V125=0),"",'Price History'!V126/'Price History'!V125-1),"")</f>
        <v>-0.00646564932279203</v>
      </c>
      <c r="W125" s="155" t="n">
        <f aca="false">IFERROR('Price History'!B3+(INDEX('Price History'!B:B,MATCH(9.99E+307,'Returns (Calc)'!$A:$A)+1)-'Price History'!B3)*(ROW()-3)/(MATCH(9.99E+307,'Returns (Calc)'!$A:$A)-3),"")</f>
        <v>308.967735849057</v>
      </c>
      <c r="X125" s="155" t="n">
        <f aca="false">IFERROR('Price History'!C3+(INDEX('Price History'!C:C,MATCH(9.99E+307,'Returns (Calc)'!$A:$A)+1)-'Price History'!C3)*(ROW()-3)/(MATCH(9.99E+307,'Returns (Calc)'!$A:$A)-3),"")</f>
        <v>177.049937106918</v>
      </c>
      <c r="Y125" s="155" t="n">
        <f aca="false">IFERROR('Price History'!D3+(INDEX('Price History'!D:D,MATCH(9.99E+307,'Returns (Calc)'!$A:$A)+1)-'Price History'!D3)*(ROW()-3)/(MATCH(9.99E+307,'Returns (Calc)'!$A:$A)-3),"")</f>
        <v>1501.48333333333</v>
      </c>
      <c r="Z125" s="155" t="n">
        <f aca="false">IFERROR('Price History'!E3+(INDEX('Price History'!E:E,MATCH(9.99E+307,'Returns (Calc)'!$A:$A)+1)-'Price History'!E3)*(ROW()-3)/(MATCH(9.99E+307,'Returns (Calc)'!$A:$A)-3),"")</f>
        <v>296.489811320755</v>
      </c>
      <c r="AA125" s="155" t="n">
        <f aca="false">IFERROR('Price History'!F3+(INDEX('Price History'!F:F,MATCH(9.99E+307,'Returns (Calc)'!$A:$A)+1)-'Price History'!F3)*(ROW()-3)/(MATCH(9.99E+307,'Returns (Calc)'!$A:$A)-3),"")</f>
        <v>220.661635220126</v>
      </c>
      <c r="AB125" s="155" t="n">
        <f aca="false">IFERROR('Price History'!G3+(INDEX('Price History'!G:G,MATCH(9.99E+307,'Returns (Calc)'!$A:$A)+1)-'Price History'!G3)*(ROW()-3)/(MATCH(9.99E+307,'Returns (Calc)'!$A:$A)-3),"")</f>
        <v>160.380440251572</v>
      </c>
      <c r="AC125" s="155" t="n">
        <f aca="false">IFERROR('Price History'!H3+(INDEX('Price History'!H:H,MATCH(9.99E+307,'Returns (Calc)'!$A:$A)+1)-'Price History'!H3)*(ROW()-3)/(MATCH(9.99E+307,'Returns (Calc)'!$A:$A)-3),"")</f>
        <v>805.629371069182</v>
      </c>
      <c r="AD125" s="155" t="n">
        <f aca="false">IFERROR('Price History'!I3+(INDEX('Price History'!I:I,MATCH(9.99E+307,'Returns (Calc)'!$A:$A)+1)-'Price History'!I3)*(ROW()-3)/(MATCH(9.99E+307,'Returns (Calc)'!$A:$A)-3),"")</f>
        <v>186.111006289308</v>
      </c>
      <c r="AE125" s="155" t="n">
        <f aca="false">IFERROR('Price History'!J3+(INDEX('Price History'!J:J,MATCH(9.99E+307,'Returns (Calc)'!$A:$A)+1)-'Price History'!J3)*(ROW()-3)/(MATCH(9.99E+307,'Returns (Calc)'!$A:$A)-3),"")</f>
        <v>125.382767295597</v>
      </c>
      <c r="AF125" s="155" t="n">
        <f aca="false">IFERROR('Price History'!K3+(INDEX('Price History'!K:K,MATCH(9.99E+307,'Returns (Calc)'!$A:$A)+1)-'Price History'!K3)*(ROW()-3)/(MATCH(9.99E+307,'Returns (Calc)'!$A:$A)-3),"")</f>
        <v>163.970503144654</v>
      </c>
      <c r="AG125" s="155" t="n">
        <f aca="false">IFERROR('Price History'!L3+(INDEX('Price History'!L:L,MATCH(9.99E+307,'Returns (Calc)'!$A:$A)+1)-'Price History'!L3)*(ROW()-3)/(MATCH(9.99E+307,'Returns (Calc)'!$A:$A)-3),"")</f>
        <v>367.777169811321</v>
      </c>
      <c r="AH125" s="155" t="n">
        <f aca="false">IFERROR('Price History'!M3+(INDEX('Price History'!M:M,MATCH(9.99E+307,'Returns (Calc)'!$A:$A)+1)-'Price History'!M3)*(ROW()-3)/(MATCH(9.99E+307,'Returns (Calc)'!$A:$A)-3),"")</f>
        <v>195.131446540881</v>
      </c>
      <c r="AI125" s="155" t="n">
        <f aca="false">IFERROR('Price History'!N3+(INDEX('Price History'!N:N,MATCH(9.99E+307,'Returns (Calc)'!$A:$A)+1)-'Price History'!N3)*(ROW()-3)/(MATCH(9.99E+307,'Returns (Calc)'!$A:$A)-3),"")</f>
        <v>472.572704402516</v>
      </c>
      <c r="AJ125" s="155" t="n">
        <f aca="false">IFERROR('Price History'!O3+(INDEX('Price History'!O:O,MATCH(9.99E+307,'Returns (Calc)'!$A:$A)+1)-'Price History'!O3)*(ROW()-3)/(MATCH(9.99E+307,'Returns (Calc)'!$A:$A)-3),"")</f>
        <v>109.324213836478</v>
      </c>
      <c r="AK125" s="155" t="n">
        <f aca="false">IFERROR('Price History'!Q3+(INDEX('Price History'!Q:Q,MATCH(9.99E+307,'Returns (Calc)'!$A:$A)+1)-'Price History'!Q3)*(ROW()-3)/(MATCH(9.99E+307,'Returns (Calc)'!$A:$A)-3),"")</f>
        <v>53.6876729559749</v>
      </c>
      <c r="AL125" s="155" t="n">
        <f aca="false">IFERROR('Price History'!R3+(INDEX('Price History'!R:R,MATCH(9.99E+307,'Returns (Calc)'!$A:$A)+1)-'Price History'!R3)*(ROW()-3)/(MATCH(9.99E+307,'Returns (Calc)'!$A:$A)-3),"")</f>
        <v>54.8977358490566</v>
      </c>
      <c r="AM125" s="155" t="n">
        <f aca="false">IFERROR('Price History'!S3+(INDEX('Price History'!S:S,MATCH(9.99E+307,'Returns (Calc)'!$A:$A)+1)-'Price History'!S3)*(ROW()-3)/(MATCH(9.99E+307,'Returns (Calc)'!$A:$A)-3),"")</f>
        <v>129.395157232704</v>
      </c>
      <c r="AN125" s="155" t="n">
        <f aca="false">IFERROR('Price History'!T3+(INDEX('Price History'!T:T,MATCH(9.99E+307,'Returns (Calc)'!$A:$A)+1)-'Price History'!T3)*(ROW()-3)/(MATCH(9.99E+307,'Returns (Calc)'!$A:$A)-3),"")</f>
        <v>46.4057232704403</v>
      </c>
      <c r="AO125" s="156" t="n">
        <f aca="false">IFERROR('Price History'!V3+(INDEX('Price History'!V:V,MATCH(9.99E+307,'Returns (Calc)'!$A:$A)+1)-'Price History'!V3)*(ROW()-3)/(MATCH(9.99E+307,'Returns (Calc)'!$A:$A)-3),"")</f>
        <v>350.586226415094</v>
      </c>
      <c r="AP125" s="154" t="n">
        <f aca="false">IFERROR(IF(OR(NOT(ISNUMBER('Price History'!W126)),NOT(ISNUMBER('Price History'!W125)),'Price History'!W125=0),"",'Price History'!W126/'Price History'!W125-1),"")</f>
        <v>-0.00792999726551813</v>
      </c>
      <c r="AQ125" s="154" t="n">
        <f aca="false">IFERROR(IF(OR(NOT(ISNUMBER('Price History'!X126)),NOT(ISNUMBER('Price History'!X125)),'Price History'!X125=0),"",'Price History'!X126/'Price History'!X125-1),"")</f>
        <v>0.0231998249069818</v>
      </c>
      <c r="AR125" s="154" t="n">
        <f aca="false">IFERROR(IF(OR(NOT(ISNUMBER('Price History'!Y126)),NOT(ISNUMBER('Price History'!Y125)),'Price History'!Y125=0),"",'Price History'!Y126/'Price History'!Y125-1),"")</f>
        <v>-0.000545256270447103</v>
      </c>
      <c r="AS125" s="154" t="n">
        <f aca="false">IFERROR(IF(OR(NOT(ISNUMBER('Price History'!Z126)),NOT(ISNUMBER('Price History'!Z125)),'Price History'!Z125=0),"",'Price History'!Z126/'Price History'!Z125-1),"")</f>
        <v>-0.0961235521235522</v>
      </c>
      <c r="AT125" s="154" t="n">
        <f aca="false">IFERROR(IF(OR(NOT(ISNUMBER('Price History'!AA126)),NOT(ISNUMBER('Price History'!AA125)),'Price History'!AA125=0),"",'Price History'!AA126/'Price History'!AA125-1),"")</f>
        <v>-0.0213636363636364</v>
      </c>
      <c r="AU125" s="154" t="n">
        <f aca="false">IFERROR(IF(OR(NOT(ISNUMBER('Price History'!AB126)),NOT(ISNUMBER('Price History'!AB125)),'Price History'!AB125=0),"",'Price History'!AB126/'Price History'!AB125-1),"")</f>
        <v>-0.000945051977858769</v>
      </c>
    </row>
    <row r="126" customFormat="false" ht="15" hidden="false" customHeight="true" outlineLevel="0" collapsed="false">
      <c r="A126" s="152" t="n">
        <f aca="false">IF('Price History'!A127="","",'Price History'!A127)</f>
        <v>46052</v>
      </c>
      <c r="B126" s="153" t="n">
        <f aca="false">IFERROR(IF(OR(NOT(ISNUMBER('Price History'!B127)),NOT(ISNUMBER('Price History'!B126)),'Price History'!B126=0),"",'Price History'!B127/'Price History'!B126-1),"")</f>
        <v>-0.025974025974026</v>
      </c>
      <c r="C126" s="153" t="n">
        <f aca="false">IFERROR(IF(OR(NOT(ISNUMBER('Price History'!C127)),NOT(ISNUMBER('Price History'!C126)),'Price History'!C126=0),"",'Price History'!C127/'Price History'!C126-1),"")</f>
        <v>0.0396068651899664</v>
      </c>
      <c r="D126" s="153" t="n">
        <f aca="false">IFERROR(IF(OR(NOT(ISNUMBER('Price History'!D127)),NOT(ISNUMBER('Price History'!D126)),'Price History'!D126=0),"",'Price History'!D127/'Price History'!D126-1),"")</f>
        <v>0.0244502314814814</v>
      </c>
      <c r="E126" s="153" t="n">
        <f aca="false">IFERROR(IF(OR(NOT(ISNUMBER('Price History'!E127)),NOT(ISNUMBER('Price History'!E126)),'Price History'!E126=0),"",'Price History'!E127/'Price History'!E126-1),"")</f>
        <v>0.0351240967640591</v>
      </c>
      <c r="F126" s="153" t="n">
        <f aca="false">IFERROR(IF(OR(NOT(ISNUMBER('Price History'!F127)),NOT(ISNUMBER('Price History'!F126)),'Price History'!F126=0),"",'Price History'!F127/'Price History'!F126-1),"")</f>
        <v>-0.0244872701555871</v>
      </c>
      <c r="G126" s="153" t="n">
        <f aca="false">IFERROR(IF(OR(NOT(ISNUMBER('Price History'!G127)),NOT(ISNUMBER('Price History'!G126)),'Price History'!G126=0),"",'Price History'!G127/'Price History'!G126-1),"")</f>
        <v>-0.0560642250530785</v>
      </c>
      <c r="H126" s="153" t="n">
        <f aca="false">IFERROR(IF(OR(NOT(ISNUMBER('Price History'!H127)),NOT(ISNUMBER('Price History'!H126)),'Price History'!H126=0),"",'Price History'!H127/'Price History'!H126-1),"")</f>
        <v>0.0381052526162935</v>
      </c>
      <c r="I126" s="153" t="n">
        <f aca="false">IFERROR(IF(OR(NOT(ISNUMBER('Price History'!I127)),NOT(ISNUMBER('Price History'!I126)),'Price History'!I126=0),"",'Price History'!I127/'Price History'!I126-1),"")</f>
        <v>0.0184265342092613</v>
      </c>
      <c r="J126" s="153" t="n">
        <f aca="false">IFERROR(IF(OR(NOT(ISNUMBER('Price History'!J127)),NOT(ISNUMBER('Price History'!J126)),'Price History'!J126=0),"",'Price History'!J127/'Price History'!J126-1),"")</f>
        <v>0.0268029620090149</v>
      </c>
      <c r="K126" s="153" t="n">
        <f aca="false">IFERROR(IF(OR(NOT(ISNUMBER('Price History'!K127)),NOT(ISNUMBER('Price History'!K126)),'Price History'!K126=0),"",'Price History'!K127/'Price History'!K126-1),"")</f>
        <v>-0.135672169811321</v>
      </c>
      <c r="L126" s="153" t="n">
        <f aca="false">IFERROR(IF(OR(NOT(ISNUMBER('Price History'!L127)),NOT(ISNUMBER('Price History'!L126)),'Price History'!L126=0),"",'Price History'!L127/'Price History'!L126-1),"")</f>
        <v>-0.0128814783603202</v>
      </c>
      <c r="M126" s="153" t="n">
        <f aca="false">IFERROR(IF(OR(NOT(ISNUMBER('Price History'!M127)),NOT(ISNUMBER('Price History'!M126)),'Price History'!M126=0),"",'Price History'!M127/'Price History'!M126-1),"")</f>
        <v>0.0202347005922352</v>
      </c>
      <c r="N126" s="153" t="n">
        <f aca="false">IFERROR(IF(OR(NOT(ISNUMBER('Price History'!N127)),NOT(ISNUMBER('Price History'!N126)),'Price History'!N126=0),"",'Price History'!N127/'Price History'!N126-1),"")</f>
        <v>0.0031809739330928</v>
      </c>
      <c r="O126" s="153" t="n">
        <f aca="false">IFERROR(IF(OR(NOT(ISNUMBER('Price History'!O127)),NOT(ISNUMBER('Price History'!O126)),'Price History'!O126=0),"",'Price History'!O127/'Price History'!O126-1),"")</f>
        <v>0.00725851479620321</v>
      </c>
      <c r="P126" s="153" t="n">
        <f aca="false">IFERROR(IF(OR(NOT(ISNUMBER('Price History'!P127)),NOT(ISNUMBER('Price History'!P126)),'Price History'!P126=0),"",'Price History'!P127/'Price History'!P126-1),"")</f>
        <v>0.0173798642847252</v>
      </c>
      <c r="Q126" s="153" t="n">
        <f aca="false">IFERROR(IF(OR(NOT(ISNUMBER('Price History'!Q127)),NOT(ISNUMBER('Price History'!Q126)),'Price History'!Q126=0),"",'Price History'!Q127/'Price History'!Q126-1),"")</f>
        <v>0.00361119470358129</v>
      </c>
      <c r="R126" s="153" t="n">
        <f aca="false">IFERROR(IF(OR(NOT(ISNUMBER('Price History'!R127)),NOT(ISNUMBER('Price History'!R126)),'Price History'!R126=0),"",'Price History'!R127/'Price History'!R126-1),"")</f>
        <v>0.00350812407680956</v>
      </c>
      <c r="S126" s="153" t="n">
        <f aca="false">IFERROR(IF(OR(NOT(ISNUMBER('Price History'!S127)),NOT(ISNUMBER('Price History'!S126)),'Price History'!S126=0),"",'Price History'!S127/'Price History'!S126-1),"")</f>
        <v>0.0164647671045897</v>
      </c>
      <c r="T126" s="153" t="n">
        <f aca="false">IFERROR(IF(OR(NOT(ISNUMBER('Price History'!T127)),NOT(ISNUMBER('Price History'!T126)),'Price History'!T126=0),"",'Price History'!T127/'Price History'!T126-1),"")</f>
        <v>-0.00986592461421709</v>
      </c>
      <c r="U126" s="153" t="n">
        <f aca="false">IFERROR(IF(OR(NOT(ISNUMBER('Price History'!U127)),NOT(ISNUMBER('Price History'!U126)),'Price History'!U126=0),"",'Price History'!U127/'Price History'!U126-1),"")</f>
        <v>0.0232067510548524</v>
      </c>
      <c r="V126" s="154" t="n">
        <f aca="false">IFERROR(IF(OR(NOT(ISNUMBER('Price History'!V127)),NOT(ISNUMBER('Price History'!V126)),'Price History'!V126=0),"",'Price History'!V127/'Price History'!V126-1),"")</f>
        <v>-0.013323875026987</v>
      </c>
      <c r="W126" s="155" t="n">
        <f aca="false">IFERROR('Price History'!B3+(INDEX('Price History'!B:B,MATCH(9.99E+307,'Returns (Calc)'!$A:$A)+1)-'Price History'!B3)*(ROW()-3)/(MATCH(9.99E+307,'Returns (Calc)'!$A:$A)-3),"")</f>
        <v>307.165094339623</v>
      </c>
      <c r="X126" s="155" t="n">
        <f aca="false">IFERROR('Price History'!C3+(INDEX('Price History'!C:C,MATCH(9.99E+307,'Returns (Calc)'!$A:$A)+1)-'Price History'!C3)*(ROW()-3)/(MATCH(9.99E+307,'Returns (Calc)'!$A:$A)-3),"")</f>
        <v>178.122641509434</v>
      </c>
      <c r="Y126" s="155" t="n">
        <f aca="false">IFERROR('Price History'!D3+(INDEX('Price History'!D:D,MATCH(9.99E+307,'Returns (Calc)'!$A:$A)+1)-'Price History'!D3)*(ROW()-3)/(MATCH(9.99E+307,'Returns (Calc)'!$A:$A)-3),"")</f>
        <v>1509.02</v>
      </c>
      <c r="Z126" s="155" t="n">
        <f aca="false">IFERROR('Price History'!E3+(INDEX('Price History'!E:E,MATCH(9.99E+307,'Returns (Calc)'!$A:$A)+1)-'Price History'!E3)*(ROW()-3)/(MATCH(9.99E+307,'Returns (Calc)'!$A:$A)-3),"")</f>
        <v>298.247924528302</v>
      </c>
      <c r="AA126" s="155" t="n">
        <f aca="false">IFERROR('Price History'!F3+(INDEX('Price History'!F:F,MATCH(9.99E+307,'Returns (Calc)'!$A:$A)+1)-'Price History'!F3)*(ROW()-3)/(MATCH(9.99E+307,'Returns (Calc)'!$A:$A)-3),"")</f>
        <v>222.131320754717</v>
      </c>
      <c r="AB126" s="155" t="n">
        <f aca="false">IFERROR('Price History'!G3+(INDEX('Price History'!G:G,MATCH(9.99E+307,'Returns (Calc)'!$A:$A)+1)-'Price History'!G3)*(ROW()-3)/(MATCH(9.99E+307,'Returns (Calc)'!$A:$A)-3),"")</f>
        <v>161.331509433962</v>
      </c>
      <c r="AC126" s="155" t="n">
        <f aca="false">IFERROR('Price History'!H3+(INDEX('Price History'!H:H,MATCH(9.99E+307,'Returns (Calc)'!$A:$A)+1)-'Price History'!H3)*(ROW()-3)/(MATCH(9.99E+307,'Returns (Calc)'!$A:$A)-3),"")</f>
        <v>811.66641509434</v>
      </c>
      <c r="AD126" s="155" t="n">
        <f aca="false">IFERROR('Price History'!I3+(INDEX('Price History'!I:I,MATCH(9.99E+307,'Returns (Calc)'!$A:$A)+1)-'Price History'!I3)*(ROW()-3)/(MATCH(9.99E+307,'Returns (Calc)'!$A:$A)-3),"")</f>
        <v>187.277735849057</v>
      </c>
      <c r="AE126" s="155" t="n">
        <f aca="false">IFERROR('Price History'!J3+(INDEX('Price History'!J:J,MATCH(9.99E+307,'Returns (Calc)'!$A:$A)+1)-'Price History'!J3)*(ROW()-3)/(MATCH(9.99E+307,'Returns (Calc)'!$A:$A)-3),"")</f>
        <v>125.493773584906</v>
      </c>
      <c r="AF126" s="155" t="n">
        <f aca="false">IFERROR('Price History'!K3+(INDEX('Price History'!K:K,MATCH(9.99E+307,'Returns (Calc)'!$A:$A)+1)-'Price History'!K3)*(ROW()-3)/(MATCH(9.99E+307,'Returns (Calc)'!$A:$A)-3),"")</f>
        <v>165.188867924528</v>
      </c>
      <c r="AG126" s="155" t="n">
        <f aca="false">IFERROR('Price History'!L3+(INDEX('Price History'!L:L,MATCH(9.99E+307,'Returns (Calc)'!$A:$A)+1)-'Price History'!L3)*(ROW()-3)/(MATCH(9.99E+307,'Returns (Calc)'!$A:$A)-3),"")</f>
        <v>370.088867924528</v>
      </c>
      <c r="AH126" s="155" t="n">
        <f aca="false">IFERROR('Price History'!M3+(INDEX('Price History'!M:M,MATCH(9.99E+307,'Returns (Calc)'!$A:$A)+1)-'Price History'!M3)*(ROW()-3)/(MATCH(9.99E+307,'Returns (Calc)'!$A:$A)-3),"")</f>
        <v>196.419245283019</v>
      </c>
      <c r="AI126" s="155" t="n">
        <f aca="false">IFERROR('Price History'!N3+(INDEX('Price History'!N:N,MATCH(9.99E+307,'Returns (Calc)'!$A:$A)+1)-'Price History'!N3)*(ROW()-3)/(MATCH(9.99E+307,'Returns (Calc)'!$A:$A)-3),"")</f>
        <v>473.58641509434</v>
      </c>
      <c r="AJ126" s="155" t="n">
        <f aca="false">IFERROR('Price History'!O3+(INDEX('Price History'!O:O,MATCH(9.99E+307,'Returns (Calc)'!$A:$A)+1)-'Price History'!O3)*(ROW()-3)/(MATCH(9.99E+307,'Returns (Calc)'!$A:$A)-3),"")</f>
        <v>109.603018867925</v>
      </c>
      <c r="AK126" s="155" t="n">
        <f aca="false">IFERROR('Price History'!Q3+(INDEX('Price History'!Q:Q,MATCH(9.99E+307,'Returns (Calc)'!$A:$A)+1)-'Price History'!Q3)*(ROW()-3)/(MATCH(9.99E+307,'Returns (Calc)'!$A:$A)-3),"")</f>
        <v>54.1277358490566</v>
      </c>
      <c r="AL126" s="155" t="n">
        <f aca="false">IFERROR('Price History'!R3+(INDEX('Price History'!R:R,MATCH(9.99E+307,'Returns (Calc)'!$A:$A)+1)-'Price History'!R3)*(ROW()-3)/(MATCH(9.99E+307,'Returns (Calc)'!$A:$A)-3),"")</f>
        <v>55.0650943396227</v>
      </c>
      <c r="AM126" s="155" t="n">
        <f aca="false">IFERROR('Price History'!S3+(INDEX('Price History'!S:S,MATCH(9.99E+307,'Returns (Calc)'!$A:$A)+1)-'Price History'!S3)*(ROW()-3)/(MATCH(9.99E+307,'Returns (Calc)'!$A:$A)-3),"")</f>
        <v>129.983396226415</v>
      </c>
      <c r="AN126" s="155" t="n">
        <f aca="false">IFERROR('Price History'!T3+(INDEX('Price History'!T:T,MATCH(9.99E+307,'Returns (Calc)'!$A:$A)+1)-'Price History'!T3)*(ROW()-3)/(MATCH(9.99E+307,'Returns (Calc)'!$A:$A)-3),"")</f>
        <v>46.5796226415094</v>
      </c>
      <c r="AO126" s="156" t="n">
        <f aca="false">IFERROR('Price History'!V3+(INDEX('Price History'!V:V,MATCH(9.99E+307,'Returns (Calc)'!$A:$A)+1)-'Price History'!V3)*(ROW()-3)/(MATCH(9.99E+307,'Returns (Calc)'!$A:$A)-3),"")</f>
        <v>351.528490566038</v>
      </c>
      <c r="AP126" s="154" t="n">
        <f aca="false">IFERROR(IF(OR(NOT(ISNUMBER('Price History'!W127)),NOT(ISNUMBER('Price History'!W126)),'Price History'!W126=0),"",'Price History'!W127/'Price History'!W126-1),"")</f>
        <v>0.0153665931642777</v>
      </c>
      <c r="AQ126" s="154" t="n">
        <f aca="false">IFERROR(IF(OR(NOT(ISNUMBER('Price History'!X127)),NOT(ISNUMBER('Price History'!X126)),'Price History'!X126=0),"",'Price History'!X127/'Price History'!X126-1),"")</f>
        <v>0.0183957219251336</v>
      </c>
      <c r="AR126" s="154" t="n">
        <f aca="false">IFERROR(IF(OR(NOT(ISNUMBER('Price History'!Y127)),NOT(ISNUMBER('Price History'!Y126)),'Price History'!Y126=0),"",'Price History'!Y127/'Price History'!Y126-1),"")</f>
        <v>0.00309147117657749</v>
      </c>
      <c r="AS126" s="154" t="n">
        <f aca="false">IFERROR(IF(OR(NOT(ISNUMBER('Price History'!Z127)),NOT(ISNUMBER('Price History'!Z126)),'Price History'!Z126=0),"",'Price History'!Z127/'Price History'!Z126-1),"")</f>
        <v>0.0439804531319414</v>
      </c>
      <c r="AT126" s="154" t="n">
        <f aca="false">IFERROR(IF(OR(NOT(ISNUMBER('Price History'!AA127)),NOT(ISNUMBER('Price History'!AA126)),'Price History'!AA126=0),"",'Price History'!AA127/'Price History'!AA126-1),"")</f>
        <v>-0.0305387830933582</v>
      </c>
      <c r="AU126" s="154" t="n">
        <f aca="false">IFERROR(IF(OR(NOT(ISNUMBER('Price History'!AB127)),NOT(ISNUMBER('Price History'!AB126)),'Price History'!AB126=0),"",'Price History'!AB127/'Price History'!AB126-1),"")</f>
        <v>-0.0814414414414415</v>
      </c>
    </row>
    <row r="127" customFormat="false" ht="15" hidden="false" customHeight="true" outlineLevel="0" collapsed="false">
      <c r="A127" s="152" t="n">
        <f aca="false">IF('Price History'!A128="","",'Price History'!A128)</f>
        <v>46059</v>
      </c>
      <c r="B127" s="153" t="n">
        <f aca="false">IFERROR(IF(OR(NOT(ISNUMBER('Price History'!B128)),NOT(ISNUMBER('Price History'!B127)),'Price History'!B127=0),"",'Price History'!B128/'Price History'!B127-1),"")</f>
        <v>-0.0848081841432226</v>
      </c>
      <c r="C127" s="153" t="n">
        <f aca="false">IFERROR(IF(OR(NOT(ISNUMBER('Price History'!C128)),NOT(ISNUMBER('Price History'!C127)),'Price History'!C127=0),"",'Price History'!C128/'Price History'!C127-1),"")</f>
        <v>-0.0299844786228305</v>
      </c>
      <c r="D127" s="153" t="n">
        <f aca="false">IFERROR(IF(OR(NOT(ISNUMBER('Price History'!D128)),NOT(ISNUMBER('Price History'!D127)),'Price History'!D127=0),"",'Price History'!D128/'Price History'!D127-1),"")</f>
        <v>-0.00702584380737192</v>
      </c>
      <c r="E127" s="153" t="n">
        <f aca="false">IFERROR(IF(OR(NOT(ISNUMBER('Price History'!E128)),NOT(ISNUMBER('Price History'!E127)),'Price History'!E127=0),"",'Price History'!E128/'Price History'!E127-1),"")</f>
        <v>0.00491683865485015</v>
      </c>
      <c r="F127" s="153" t="n">
        <f aca="false">IFERROR(IF(OR(NOT(ISNUMBER('Price History'!F128)),NOT(ISNUMBER('Price History'!F127)),'Price History'!F127=0),"",'Price History'!F128/'Price History'!F127-1),"")</f>
        <v>-0.103942002718623</v>
      </c>
      <c r="G127" s="153" t="n">
        <f aca="false">IFERROR(IF(OR(NOT(ISNUMBER('Price History'!G128)),NOT(ISNUMBER('Price History'!G127)),'Price History'!G127=0),"",'Price History'!G128/'Price History'!G127-1),"")</f>
        <v>0.01047304421171</v>
      </c>
      <c r="H127" s="153" t="n">
        <f aca="false">IFERROR(IF(OR(NOT(ISNUMBER('Price History'!H128)),NOT(ISNUMBER('Price History'!H127)),'Price History'!H127=0),"",'Price History'!H128/'Price History'!H127-1),"")</f>
        <v>-0.0486687246768281</v>
      </c>
      <c r="I127" s="153" t="n">
        <f aca="false">IFERROR(IF(OR(NOT(ISNUMBER('Price History'!I128)),NOT(ISNUMBER('Price History'!I127)),'Price History'!I127=0),"",'Price History'!I128/'Price History'!I127-1),"")</f>
        <v>-0.0298930144745123</v>
      </c>
      <c r="J127" s="153" t="n">
        <f aca="false">IFERROR(IF(OR(NOT(ISNUMBER('Price History'!J128)),NOT(ISNUMBER('Price History'!J127)),'Price History'!J127=0),"",'Price History'!J128/'Price History'!J127-1),"")</f>
        <v>0.0489927098847691</v>
      </c>
      <c r="K127" s="153" t="n">
        <f aca="false">IFERROR(IF(OR(NOT(ISNUMBER('Price History'!K128)),NOT(ISNUMBER('Price History'!K127)),'Price History'!K127=0),"",'Price History'!K128/'Price History'!K127-1),"")</f>
        <v>-0.0729244832526093</v>
      </c>
      <c r="L127" s="153" t="n">
        <f aca="false">IFERROR(IF(OR(NOT(ISNUMBER('Price History'!L128)),NOT(ISNUMBER('Price History'!L127)),'Price History'!L127=0),"",'Price History'!L128/'Price History'!L127-1),"")</f>
        <v>0.0553387401670833</v>
      </c>
      <c r="M127" s="153" t="n">
        <f aca="false">IFERROR(IF(OR(NOT(ISNUMBER('Price History'!M128)),NOT(ISNUMBER('Price History'!M127)),'Price History'!M127=0),"",'Price History'!M128/'Price History'!M127-1),"")</f>
        <v>0.0504703036818059</v>
      </c>
      <c r="N127" s="153" t="n">
        <f aca="false">IFERROR(IF(OR(NOT(ISNUMBER('Price History'!N128)),NOT(ISNUMBER('Price History'!N127)),'Price History'!N127=0),"",'Price History'!N128/'Price History'!N127-1),"")</f>
        <v>0.0170674611619495</v>
      </c>
      <c r="O127" s="153" t="n">
        <f aca="false">IFERROR(IF(OR(NOT(ISNUMBER('Price History'!O128)),NOT(ISNUMBER('Price History'!O127)),'Price History'!O127=0),"",'Price History'!O128/'Price History'!O127-1),"")</f>
        <v>0.054138950480414</v>
      </c>
      <c r="P127" s="153" t="n">
        <f aca="false">IFERROR(IF(OR(NOT(ISNUMBER('Price History'!P128)),NOT(ISNUMBER('Price History'!P127)),'Price History'!P127=0),"",'Price History'!P128/'Price History'!P127-1),"")</f>
        <v>0.0330769754304769</v>
      </c>
      <c r="Q127" s="153" t="n">
        <f aca="false">IFERROR(IF(OR(NOT(ISNUMBER('Price History'!Q128)),NOT(ISNUMBER('Price History'!Q127)),'Price History'!Q127=0),"",'Price History'!Q128/'Price History'!Q127-1),"")</f>
        <v>0.00284857571214392</v>
      </c>
      <c r="R127" s="153" t="n">
        <f aca="false">IFERROR(IF(OR(NOT(ISNUMBER('Price History'!R128)),NOT(ISNUMBER('Price History'!R127)),'Price History'!R127=0),"",'Price History'!R128/'Price History'!R127-1),"")</f>
        <v>-0.0154553817847287</v>
      </c>
      <c r="S127" s="153" t="n">
        <f aca="false">IFERROR(IF(OR(NOT(ISNUMBER('Price History'!S128)),NOT(ISNUMBER('Price History'!S127)),'Price History'!S127=0),"",'Price History'!S128/'Price History'!S127-1),"")</f>
        <v>-0.000251783466219013</v>
      </c>
      <c r="T127" s="153" t="n">
        <f aca="false">IFERROR(IF(OR(NOT(ISNUMBER('Price History'!T128)),NOT(ISNUMBER('Price History'!T127)),'Price History'!T127=0),"",'Price History'!T128/'Price History'!T127-1),"")</f>
        <v>0.0242718446601942</v>
      </c>
      <c r="U127" s="153" t="n">
        <f aca="false">IFERROR(IF(OR(NOT(ISNUMBER('Price History'!U128)),NOT(ISNUMBER('Price History'!U127)),'Price History'!U127=0),"",'Price History'!U128/'Price History'!U127-1),"")</f>
        <v>0.0553264604810997</v>
      </c>
      <c r="V127" s="154" t="n">
        <f aca="false">IFERROR(IF(OR(NOT(ISNUMBER('Price History'!V128)),NOT(ISNUMBER('Price History'!V127)),'Price History'!V127=0),"",'Price History'!V128/'Price History'!V127-1),"")</f>
        <v>0.0302897689975306</v>
      </c>
      <c r="W127" s="155" t="n">
        <f aca="false">IFERROR('Price History'!B3+(INDEX('Price History'!B:B,MATCH(9.99E+307,'Returns (Calc)'!$A:$A)+1)-'Price History'!B3)*(ROW()-3)/(MATCH(9.99E+307,'Returns (Calc)'!$A:$A)-3),"")</f>
        <v>305.362452830189</v>
      </c>
      <c r="X127" s="155" t="n">
        <f aca="false">IFERROR('Price History'!C3+(INDEX('Price History'!C:C,MATCH(9.99E+307,'Returns (Calc)'!$A:$A)+1)-'Price History'!C3)*(ROW()-3)/(MATCH(9.99E+307,'Returns (Calc)'!$A:$A)-3),"")</f>
        <v>179.19534591195</v>
      </c>
      <c r="Y127" s="155" t="n">
        <f aca="false">IFERROR('Price History'!D3+(INDEX('Price History'!D:D,MATCH(9.99E+307,'Returns (Calc)'!$A:$A)+1)-'Price History'!D3)*(ROW()-3)/(MATCH(9.99E+307,'Returns (Calc)'!$A:$A)-3),"")</f>
        <v>1516.55666666667</v>
      </c>
      <c r="Z127" s="155" t="n">
        <f aca="false">IFERROR('Price History'!E3+(INDEX('Price History'!E:E,MATCH(9.99E+307,'Returns (Calc)'!$A:$A)+1)-'Price History'!E3)*(ROW()-3)/(MATCH(9.99E+307,'Returns (Calc)'!$A:$A)-3),"")</f>
        <v>300.006037735849</v>
      </c>
      <c r="AA127" s="155" t="n">
        <f aca="false">IFERROR('Price History'!F3+(INDEX('Price History'!F:F,MATCH(9.99E+307,'Returns (Calc)'!$A:$A)+1)-'Price History'!F3)*(ROW()-3)/(MATCH(9.99E+307,'Returns (Calc)'!$A:$A)-3),"")</f>
        <v>223.601006289308</v>
      </c>
      <c r="AB127" s="155" t="n">
        <f aca="false">IFERROR('Price History'!G3+(INDEX('Price History'!G:G,MATCH(9.99E+307,'Returns (Calc)'!$A:$A)+1)-'Price History'!G3)*(ROW()-3)/(MATCH(9.99E+307,'Returns (Calc)'!$A:$A)-3),"")</f>
        <v>162.282578616352</v>
      </c>
      <c r="AC127" s="155" t="n">
        <f aca="false">IFERROR('Price History'!H3+(INDEX('Price History'!H:H,MATCH(9.99E+307,'Returns (Calc)'!$A:$A)+1)-'Price History'!H3)*(ROW()-3)/(MATCH(9.99E+307,'Returns (Calc)'!$A:$A)-3),"")</f>
        <v>817.703459119497</v>
      </c>
      <c r="AD127" s="155" t="n">
        <f aca="false">IFERROR('Price History'!I3+(INDEX('Price History'!I:I,MATCH(9.99E+307,'Returns (Calc)'!$A:$A)+1)-'Price History'!I3)*(ROW()-3)/(MATCH(9.99E+307,'Returns (Calc)'!$A:$A)-3),"")</f>
        <v>188.444465408805</v>
      </c>
      <c r="AE127" s="155" t="n">
        <f aca="false">IFERROR('Price History'!J3+(INDEX('Price History'!J:J,MATCH(9.99E+307,'Returns (Calc)'!$A:$A)+1)-'Price History'!J3)*(ROW()-3)/(MATCH(9.99E+307,'Returns (Calc)'!$A:$A)-3),"")</f>
        <v>125.604779874214</v>
      </c>
      <c r="AF127" s="155" t="n">
        <f aca="false">IFERROR('Price History'!K3+(INDEX('Price History'!K:K,MATCH(9.99E+307,'Returns (Calc)'!$A:$A)+1)-'Price History'!K3)*(ROW()-3)/(MATCH(9.99E+307,'Returns (Calc)'!$A:$A)-3),"")</f>
        <v>166.407232704403</v>
      </c>
      <c r="AG127" s="155" t="n">
        <f aca="false">IFERROR('Price History'!L3+(INDEX('Price History'!L:L,MATCH(9.99E+307,'Returns (Calc)'!$A:$A)+1)-'Price History'!L3)*(ROW()-3)/(MATCH(9.99E+307,'Returns (Calc)'!$A:$A)-3),"")</f>
        <v>372.400566037736</v>
      </c>
      <c r="AH127" s="155" t="n">
        <f aca="false">IFERROR('Price History'!M3+(INDEX('Price History'!M:M,MATCH(9.99E+307,'Returns (Calc)'!$A:$A)+1)-'Price History'!M3)*(ROW()-3)/(MATCH(9.99E+307,'Returns (Calc)'!$A:$A)-3),"")</f>
        <v>197.707044025157</v>
      </c>
      <c r="AI127" s="155" t="n">
        <f aca="false">IFERROR('Price History'!N3+(INDEX('Price History'!N:N,MATCH(9.99E+307,'Returns (Calc)'!$A:$A)+1)-'Price History'!N3)*(ROW()-3)/(MATCH(9.99E+307,'Returns (Calc)'!$A:$A)-3),"")</f>
        <v>474.600125786164</v>
      </c>
      <c r="AJ127" s="155" t="n">
        <f aca="false">IFERROR('Price History'!O3+(INDEX('Price History'!O:O,MATCH(9.99E+307,'Returns (Calc)'!$A:$A)+1)-'Price History'!O3)*(ROW()-3)/(MATCH(9.99E+307,'Returns (Calc)'!$A:$A)-3),"")</f>
        <v>109.881823899371</v>
      </c>
      <c r="AK127" s="155" t="n">
        <f aca="false">IFERROR('Price History'!Q3+(INDEX('Price History'!Q:Q,MATCH(9.99E+307,'Returns (Calc)'!$A:$A)+1)-'Price History'!Q3)*(ROW()-3)/(MATCH(9.99E+307,'Returns (Calc)'!$A:$A)-3),"")</f>
        <v>54.5677987421384</v>
      </c>
      <c r="AL127" s="155" t="n">
        <f aca="false">IFERROR('Price History'!R3+(INDEX('Price History'!R:R,MATCH(9.99E+307,'Returns (Calc)'!$A:$A)+1)-'Price History'!R3)*(ROW()-3)/(MATCH(9.99E+307,'Returns (Calc)'!$A:$A)-3),"")</f>
        <v>55.2324528301887</v>
      </c>
      <c r="AM127" s="155" t="n">
        <f aca="false">IFERROR('Price History'!S3+(INDEX('Price History'!S:S,MATCH(9.99E+307,'Returns (Calc)'!$A:$A)+1)-'Price History'!S3)*(ROW()-3)/(MATCH(9.99E+307,'Returns (Calc)'!$A:$A)-3),"")</f>
        <v>130.571635220126</v>
      </c>
      <c r="AN127" s="155" t="n">
        <f aca="false">IFERROR('Price History'!T3+(INDEX('Price History'!T:T,MATCH(9.99E+307,'Returns (Calc)'!$A:$A)+1)-'Price History'!T3)*(ROW()-3)/(MATCH(9.99E+307,'Returns (Calc)'!$A:$A)-3),"")</f>
        <v>46.7535220125786</v>
      </c>
      <c r="AO127" s="156" t="n">
        <f aca="false">IFERROR('Price History'!V3+(INDEX('Price History'!V:V,MATCH(9.99E+307,'Returns (Calc)'!$A:$A)+1)-'Price History'!V3)*(ROW()-3)/(MATCH(9.99E+307,'Returns (Calc)'!$A:$A)-3),"")</f>
        <v>352.470754716981</v>
      </c>
      <c r="AP127" s="154" t="n">
        <f aca="false">IFERROR(IF(OR(NOT(ISNUMBER('Price History'!W128)),NOT(ISNUMBER('Price History'!W127)),'Price History'!W127=0),"",'Price History'!W128/'Price History'!W127-1),"")</f>
        <v>0.0367153036986767</v>
      </c>
      <c r="AQ127" s="154" t="n">
        <f aca="false">IFERROR(IF(OR(NOT(ISNUMBER('Price History'!X128)),NOT(ISNUMBER('Price History'!X127)),'Price History'!X127=0),"",'Price History'!X128/'Price History'!X127-1),"")</f>
        <v>0.0193236714975846</v>
      </c>
      <c r="AR127" s="154" t="n">
        <f aca="false">IFERROR(IF(OR(NOT(ISNUMBER('Price History'!Y128)),NOT(ISNUMBER('Price History'!Y127)),'Price History'!Y127=0),"",'Price History'!Y128/'Price History'!Y127-1),"")</f>
        <v>0.015409717186367</v>
      </c>
      <c r="AS127" s="154" t="n">
        <f aca="false">IFERROR(IF(OR(NOT(ISNUMBER('Price History'!Z128)),NOT(ISNUMBER('Price History'!Z127)),'Price History'!Z127=0),"",'Price History'!Z128/'Price History'!Z127-1),"")</f>
        <v>0.0463175122749591</v>
      </c>
      <c r="AT127" s="154" t="n">
        <f aca="false">IFERROR(IF(OR(NOT(ISNUMBER('Price History'!AA128)),NOT(ISNUMBER('Price History'!AA127)),'Price History'!AA127=0),"",'Price History'!AA128/'Price History'!AA127-1),"")</f>
        <v>-0.0154509522098454</v>
      </c>
      <c r="AU127" s="154" t="n">
        <f aca="false">IFERROR(IF(OR(NOT(ISNUMBER('Price History'!AB128)),NOT(ISNUMBER('Price History'!AB127)),'Price History'!AB127=0),"",'Price History'!AB128/'Price History'!AB127-1),"")</f>
        <v>-0.0994017261671243</v>
      </c>
    </row>
    <row r="128" customFormat="false" ht="15" hidden="false" customHeight="true" outlineLevel="0" collapsed="false">
      <c r="A128" s="152" t="n">
        <f aca="false">IF('Price History'!A129="","",'Price History'!A129)</f>
        <v>46066</v>
      </c>
      <c r="B128" s="153" t="n">
        <f aca="false">IFERROR(IF(OR(NOT(ISNUMBER('Price History'!B129)),NOT(ISNUMBER('Price History'!B128)),'Price History'!B128=0),"",'Price History'!B129/'Price History'!B128-1),"")</f>
        <v>-0.016431924882629</v>
      </c>
      <c r="C128" s="153" t="n">
        <f aca="false">IFERROR(IF(OR(NOT(ISNUMBER('Price History'!C129)),NOT(ISNUMBER('Price History'!C128)),'Price History'!C128=0),"",'Price History'!C129/'Price History'!C128-1),"")</f>
        <v>0.0298203505709507</v>
      </c>
      <c r="D128" s="153" t="n">
        <f aca="false">IFERROR(IF(OR(NOT(ISNUMBER('Price History'!D129)),NOT(ISNUMBER('Price History'!D128)),'Price History'!D128=0),"",'Price History'!D129/'Price History'!D128-1),"")</f>
        <v>-0.00321422222222223</v>
      </c>
      <c r="E128" s="153" t="n">
        <f aca="false">IFERROR(IF(OR(NOT(ISNUMBER('Price History'!E129)),NOT(ISNUMBER('Price History'!E128)),'Price History'!E128=0),"",'Price History'!E129/'Price History'!E128-1),"")</f>
        <v>-0.0232860163092722</v>
      </c>
      <c r="F128" s="153" t="n">
        <f aca="false">IFERROR(IF(OR(NOT(ISNUMBER('Price History'!F129)),NOT(ISNUMBER('Price History'!F128)),'Price History'!F128=0),"",'Price History'!F129/'Price History'!F128-1),"")</f>
        <v>0.0862661812297736</v>
      </c>
      <c r="G128" s="153" t="n">
        <f aca="false">IFERROR(IF(OR(NOT(ISNUMBER('Price History'!G129)),NOT(ISNUMBER('Price History'!G128)),'Price History'!G128=0),"",'Price History'!G129/'Price History'!G128-1),"")</f>
        <v>0.0146772398441848</v>
      </c>
      <c r="H128" s="153" t="n">
        <f aca="false">IFERROR(IF(OR(NOT(ISNUMBER('Price History'!H129)),NOT(ISNUMBER('Price History'!H128)),'Price History'!H128=0),"",'Price History'!H129/'Price History'!H128-1),"")</f>
        <v>0.0429954875019014</v>
      </c>
      <c r="I128" s="153" t="n">
        <f aca="false">IFERROR(IF(OR(NOT(ISNUMBER('Price History'!I129)),NOT(ISNUMBER('Price History'!I128)),'Price History'!I128=0),"",'Price History'!I129/'Price History'!I128-1),"")</f>
        <v>-0.0140555735755217</v>
      </c>
      <c r="J128" s="153" t="n">
        <f aca="false">IFERROR(IF(OR(NOT(ISNUMBER('Price History'!J129)),NOT(ISNUMBER('Price History'!J128)),'Price History'!J128=0),"",'Price History'!J129/'Price History'!J128-1),"")</f>
        <v>0.0147212673740846</v>
      </c>
      <c r="K128" s="153" t="n">
        <f aca="false">IFERROR(IF(OR(NOT(ISNUMBER('Price History'!K129)),NOT(ISNUMBER('Price History'!K128)),'Price History'!K128=0),"",'Price History'!K129/'Price History'!K128-1),"")</f>
        <v>-0.0330389992641649</v>
      </c>
      <c r="L128" s="153" t="n">
        <f aca="false">IFERROR(IF(OR(NOT(ISNUMBER('Price History'!L129)),NOT(ISNUMBER('Price History'!L128)),'Price History'!L128=0),"",'Price History'!L129/'Price History'!L128-1),"")</f>
        <v>0.050183457082599</v>
      </c>
      <c r="M128" s="153" t="n">
        <f aca="false">IFERROR(IF(OR(NOT(ISNUMBER('Price History'!M129)),NOT(ISNUMBER('Price History'!M128)),'Price History'!M128=0),"",'Price History'!M129/'Price History'!M128-1),"")</f>
        <v>0.199191567744576</v>
      </c>
      <c r="N128" s="153" t="n">
        <f aca="false">IFERROR(IF(OR(NOT(ISNUMBER('Price History'!N129)),NOT(ISNUMBER('Price History'!N128)),'Price History'!N128=0),"",'Price History'!N129/'Price History'!N128-1),"")</f>
        <v>0.0283520254435889</v>
      </c>
      <c r="O128" s="153" t="n">
        <f aca="false">IFERROR(IF(OR(NOT(ISNUMBER('Price History'!O129)),NOT(ISNUMBER('Price History'!O128)),'Price History'!O128=0),"",'Price History'!O129/'Price History'!O128-1),"")</f>
        <v>-0.002541630148992</v>
      </c>
      <c r="P128" s="153" t="n">
        <f aca="false">IFERROR(IF(OR(NOT(ISNUMBER('Price History'!P129)),NOT(ISNUMBER('Price History'!P128)),'Price History'!P128=0),"",'Price History'!P129/'Price History'!P128-1),"")</f>
        <v>0.016074840239805</v>
      </c>
      <c r="Q128" s="153" t="n">
        <f aca="false">IFERROR(IF(OR(NOT(ISNUMBER('Price History'!Q129)),NOT(ISNUMBER('Price History'!Q128)),'Price History'!Q128=0),"",'Price History'!Q129/'Price History'!Q128-1),"")</f>
        <v>-0.00867095230976223</v>
      </c>
      <c r="R128" s="153" t="n">
        <f aca="false">IFERROR(IF(OR(NOT(ISNUMBER('Price History'!R129)),NOT(ISNUMBER('Price History'!R128)),'Price History'!R128=0),"",'Price History'!R129/'Price History'!R128-1),"")</f>
        <v>-0.00934404784152498</v>
      </c>
      <c r="S128" s="153" t="n">
        <f aca="false">IFERROR(IF(OR(NOT(ISNUMBER('Price History'!S129)),NOT(ISNUMBER('Price History'!S128)),'Price History'!S128=0),"",'Price History'!S129/'Price History'!S128-1),"")</f>
        <v>-0.0132639355271994</v>
      </c>
      <c r="T128" s="153" t="n">
        <f aca="false">IFERROR(IF(OR(NOT(ISNUMBER('Price History'!T129)),NOT(ISNUMBER('Price History'!T128)),'Price History'!T128=0),"",'Price History'!T129/'Price History'!T128-1),"")</f>
        <v>-0.00424045896732361</v>
      </c>
      <c r="U128" s="153" t="n">
        <f aca="false">IFERROR(IF(OR(NOT(ISNUMBER('Price History'!U129)),NOT(ISNUMBER('Price History'!U128)),'Price History'!U128=0),"",'Price History'!U129/'Price History'!U128-1),"")</f>
        <v>0.00455877564311291</v>
      </c>
      <c r="V128" s="154" t="n">
        <f aca="false">IFERROR(IF(OR(NOT(ISNUMBER('Price History'!V129)),NOT(ISNUMBER('Price History'!V128)),'Price History'!V128=0),"",'Price History'!V129/'Price History'!V128-1),"")</f>
        <v>-0.0508191747572816</v>
      </c>
      <c r="W128" s="155" t="n">
        <f aca="false">IFERROR('Price History'!B3+(INDEX('Price History'!B:B,MATCH(9.99E+307,'Returns (Calc)'!$A:$A)+1)-'Price History'!B3)*(ROW()-3)/(MATCH(9.99E+307,'Returns (Calc)'!$A:$A)-3),"")</f>
        <v>303.559811320755</v>
      </c>
      <c r="X128" s="155" t="n">
        <f aca="false">IFERROR('Price History'!C3+(INDEX('Price History'!C:C,MATCH(9.99E+307,'Returns (Calc)'!$A:$A)+1)-'Price History'!C3)*(ROW()-3)/(MATCH(9.99E+307,'Returns (Calc)'!$A:$A)-3),"")</f>
        <v>180.268050314465</v>
      </c>
      <c r="Y128" s="155" t="n">
        <f aca="false">IFERROR('Price History'!D3+(INDEX('Price History'!D:D,MATCH(9.99E+307,'Returns (Calc)'!$A:$A)+1)-'Price History'!D3)*(ROW()-3)/(MATCH(9.99E+307,'Returns (Calc)'!$A:$A)-3),"")</f>
        <v>1524.09333333333</v>
      </c>
      <c r="Z128" s="155" t="n">
        <f aca="false">IFERROR('Price History'!E3+(INDEX('Price History'!E:E,MATCH(9.99E+307,'Returns (Calc)'!$A:$A)+1)-'Price History'!E3)*(ROW()-3)/(MATCH(9.99E+307,'Returns (Calc)'!$A:$A)-3),"")</f>
        <v>301.764150943396</v>
      </c>
      <c r="AA128" s="155" t="n">
        <f aca="false">IFERROR('Price History'!F3+(INDEX('Price History'!F:F,MATCH(9.99E+307,'Returns (Calc)'!$A:$A)+1)-'Price History'!F3)*(ROW()-3)/(MATCH(9.99E+307,'Returns (Calc)'!$A:$A)-3),"")</f>
        <v>225.070691823899</v>
      </c>
      <c r="AB128" s="155" t="n">
        <f aca="false">IFERROR('Price History'!G3+(INDEX('Price History'!G:G,MATCH(9.99E+307,'Returns (Calc)'!$A:$A)+1)-'Price History'!G3)*(ROW()-3)/(MATCH(9.99E+307,'Returns (Calc)'!$A:$A)-3),"")</f>
        <v>163.233647798742</v>
      </c>
      <c r="AC128" s="155" t="n">
        <f aca="false">IFERROR('Price History'!H3+(INDEX('Price History'!H:H,MATCH(9.99E+307,'Returns (Calc)'!$A:$A)+1)-'Price History'!H3)*(ROW()-3)/(MATCH(9.99E+307,'Returns (Calc)'!$A:$A)-3),"")</f>
        <v>823.740503144654</v>
      </c>
      <c r="AD128" s="155" t="n">
        <f aca="false">IFERROR('Price History'!I3+(INDEX('Price History'!I:I,MATCH(9.99E+307,'Returns (Calc)'!$A:$A)+1)-'Price History'!I3)*(ROW()-3)/(MATCH(9.99E+307,'Returns (Calc)'!$A:$A)-3),"")</f>
        <v>189.611194968553</v>
      </c>
      <c r="AE128" s="155" t="n">
        <f aca="false">IFERROR('Price History'!J3+(INDEX('Price History'!J:J,MATCH(9.99E+307,'Returns (Calc)'!$A:$A)+1)-'Price History'!J3)*(ROW()-3)/(MATCH(9.99E+307,'Returns (Calc)'!$A:$A)-3),"")</f>
        <v>125.715786163522</v>
      </c>
      <c r="AF128" s="155" t="n">
        <f aca="false">IFERROR('Price History'!K3+(INDEX('Price History'!K:K,MATCH(9.99E+307,'Returns (Calc)'!$A:$A)+1)-'Price History'!K3)*(ROW()-3)/(MATCH(9.99E+307,'Returns (Calc)'!$A:$A)-3),"")</f>
        <v>167.625597484277</v>
      </c>
      <c r="AG128" s="155" t="n">
        <f aca="false">IFERROR('Price History'!L3+(INDEX('Price History'!L:L,MATCH(9.99E+307,'Returns (Calc)'!$A:$A)+1)-'Price History'!L3)*(ROW()-3)/(MATCH(9.99E+307,'Returns (Calc)'!$A:$A)-3),"")</f>
        <v>374.712264150943</v>
      </c>
      <c r="AH128" s="155" t="n">
        <f aca="false">IFERROR('Price History'!M3+(INDEX('Price History'!M:M,MATCH(9.99E+307,'Returns (Calc)'!$A:$A)+1)-'Price History'!M3)*(ROW()-3)/(MATCH(9.99E+307,'Returns (Calc)'!$A:$A)-3),"")</f>
        <v>198.994842767296</v>
      </c>
      <c r="AI128" s="155" t="n">
        <f aca="false">IFERROR('Price History'!N3+(INDEX('Price History'!N:N,MATCH(9.99E+307,'Returns (Calc)'!$A:$A)+1)-'Price History'!N3)*(ROW()-3)/(MATCH(9.99E+307,'Returns (Calc)'!$A:$A)-3),"")</f>
        <v>475.613836477987</v>
      </c>
      <c r="AJ128" s="155" t="n">
        <f aca="false">IFERROR('Price History'!O3+(INDEX('Price History'!O:O,MATCH(9.99E+307,'Returns (Calc)'!$A:$A)+1)-'Price History'!O3)*(ROW()-3)/(MATCH(9.99E+307,'Returns (Calc)'!$A:$A)-3),"")</f>
        <v>110.160628930818</v>
      </c>
      <c r="AK128" s="155" t="n">
        <f aca="false">IFERROR('Price History'!Q3+(INDEX('Price History'!Q:Q,MATCH(9.99E+307,'Returns (Calc)'!$A:$A)+1)-'Price History'!Q3)*(ROW()-3)/(MATCH(9.99E+307,'Returns (Calc)'!$A:$A)-3),"")</f>
        <v>55.0078616352201</v>
      </c>
      <c r="AL128" s="155" t="n">
        <f aca="false">IFERROR('Price History'!R3+(INDEX('Price History'!R:R,MATCH(9.99E+307,'Returns (Calc)'!$A:$A)+1)-'Price History'!R3)*(ROW()-3)/(MATCH(9.99E+307,'Returns (Calc)'!$A:$A)-3),"")</f>
        <v>55.3998113207547</v>
      </c>
      <c r="AM128" s="155" t="n">
        <f aca="false">IFERROR('Price History'!S3+(INDEX('Price History'!S:S,MATCH(9.99E+307,'Returns (Calc)'!$A:$A)+1)-'Price History'!S3)*(ROW()-3)/(MATCH(9.99E+307,'Returns (Calc)'!$A:$A)-3),"")</f>
        <v>131.159874213836</v>
      </c>
      <c r="AN128" s="155" t="n">
        <f aca="false">IFERROR('Price History'!T3+(INDEX('Price History'!T:T,MATCH(9.99E+307,'Returns (Calc)'!$A:$A)+1)-'Price History'!T3)*(ROW()-3)/(MATCH(9.99E+307,'Returns (Calc)'!$A:$A)-3),"")</f>
        <v>46.9274213836478</v>
      </c>
      <c r="AO128" s="156" t="n">
        <f aca="false">IFERROR('Price History'!V3+(INDEX('Price History'!V:V,MATCH(9.99E+307,'Returns (Calc)'!$A:$A)+1)-'Price History'!V3)*(ROW()-3)/(MATCH(9.99E+307,'Returns (Calc)'!$A:$A)-3),"")</f>
        <v>353.413018867925</v>
      </c>
      <c r="AP128" s="154" t="n">
        <f aca="false">IFERROR(IF(OR(NOT(ISNUMBER('Price History'!W129)),NOT(ISNUMBER('Price History'!W128)),'Price History'!W128=0),"",'Price History'!W129/'Price History'!W128-1),"")</f>
        <v>-0.00065462162869856</v>
      </c>
      <c r="AQ128" s="154" t="n">
        <f aca="false">IFERROR(IF(OR(NOT(ISNUMBER('Price History'!X129)),NOT(ISNUMBER('Price History'!X128)),'Price History'!X128=0),"",'Price History'!X129/'Price History'!X128-1),"")</f>
        <v>0.0389449824850607</v>
      </c>
      <c r="AR128" s="154" t="n">
        <f aca="false">IFERROR(IF(OR(NOT(ISNUMBER('Price History'!Y129)),NOT(ISNUMBER('Price History'!Y128)),'Price History'!Y128=0),"",'Price History'!Y129/'Price History'!Y128-1),"")</f>
        <v>0.00321371183717201</v>
      </c>
      <c r="AS128" s="154" t="n">
        <f aca="false">IFERROR(IF(OR(NOT(ISNUMBER('Price History'!Z129)),NOT(ISNUMBER('Price History'!Z128)),'Price History'!Z128=0),"",'Price History'!Z129/'Price History'!Z128-1),"")</f>
        <v>-0.017425308931644</v>
      </c>
      <c r="AT128" s="154" t="n">
        <f aca="false">IFERROR(IF(OR(NOT(ISNUMBER('Price History'!AA129)),NOT(ISNUMBER('Price History'!AA128)),'Price History'!AA128=0),"",'Price History'!AA129/'Price History'!AA128-1),"")</f>
        <v>-0.0648418491484185</v>
      </c>
      <c r="AU128" s="154" t="n">
        <f aca="false">IFERROR(IF(OR(NOT(ISNUMBER('Price History'!AB129)),NOT(ISNUMBER('Price History'!AB128)),'Price History'!AB128=0),"",'Price History'!AB129/'Price History'!AB128-1),"")</f>
        <v>-0.0519466376259188</v>
      </c>
    </row>
    <row r="129" customFormat="false" ht="15" hidden="false" customHeight="true" outlineLevel="0" collapsed="false">
      <c r="A129" s="152" t="n">
        <f aca="false">IF('Price History'!A130="","",'Price History'!A130)</f>
        <v>46073</v>
      </c>
      <c r="B129" s="153" t="n">
        <f aca="false">IFERROR(IF(OR(NOT(ISNUMBER('Price History'!B130)),NOT(ISNUMBER('Price History'!B129)),'Price History'!B129=0),"",'Price History'!B130/'Price History'!B129-1),"")</f>
        <v>-0.0203053377277721</v>
      </c>
      <c r="C129" s="153" t="n">
        <f aca="false">IFERROR(IF(OR(NOT(ISNUMBER('Price History'!C130)),NOT(ISNUMBER('Price History'!C129)),'Price History'!C129=0),"",'Price History'!C130/'Price History'!C129-1),"")</f>
        <v>-0.0621512818701887</v>
      </c>
      <c r="D129" s="153" t="n">
        <f aca="false">IFERROR(IF(OR(NOT(ISNUMBER('Price History'!D130)),NOT(ISNUMBER('Price History'!D129)),'Price History'!D129=0),"",'Price History'!D130/'Price History'!D129-1),"")</f>
        <v>0.0447732444907365</v>
      </c>
      <c r="E129" s="153" t="n">
        <f aca="false">IFERROR(IF(OR(NOT(ISNUMBER('Price History'!E130)),NOT(ISNUMBER('Price History'!E129)),'Price History'!E129=0),"",'Price History'!E130/'Price History'!E129-1),"")</f>
        <v>0.0230062772503787</v>
      </c>
      <c r="F129" s="153" t="n">
        <f aca="false">IFERROR(IF(OR(NOT(ISNUMBER('Price History'!F130)),NOT(ISNUMBER('Price History'!F129)),'Price History'!F129=0),"",'Price History'!F130/'Price History'!F129-1),"")</f>
        <v>-0.0955218322316357</v>
      </c>
      <c r="G129" s="153" t="n">
        <f aca="false">IFERROR(IF(OR(NOT(ISNUMBER('Price History'!G130)),NOT(ISNUMBER('Price History'!G129)),'Price History'!G129=0),"",'Price History'!G130/'Price History'!G129-1),"")</f>
        <v>0.0231027627339413</v>
      </c>
      <c r="H129" s="153" t="n">
        <f aca="false">IFERROR(IF(OR(NOT(ISNUMBER('Price History'!H130)),NOT(ISNUMBER('Price History'!H129)),'Price History'!H129=0),"",'Price History'!H130/'Price History'!H129-1),"")</f>
        <v>0.0401050021875455</v>
      </c>
      <c r="I129" s="153" t="n">
        <f aca="false">IFERROR(IF(OR(NOT(ISNUMBER('Price History'!I130)),NOT(ISNUMBER('Price History'!I129)),'Price History'!I129=0),"",'Price History'!I130/'Price History'!I129-1),"")</f>
        <v>0.0383814014694595</v>
      </c>
      <c r="J129" s="153" t="n">
        <f aca="false">IFERROR(IF(OR(NOT(ISNUMBER('Price History'!J130)),NOT(ISNUMBER('Price History'!J129)),'Price History'!J129=0),"",'Price History'!J130/'Price History'!J129-1),"")</f>
        <v>0.0182634951027323</v>
      </c>
      <c r="K129" s="153" t="n">
        <f aca="false">IFERROR(IF(OR(NOT(ISNUMBER('Price History'!K130)),NOT(ISNUMBER('Price History'!K129)),'Price History'!K129=0),"",'Price History'!K130/'Price History'!K129-1),"")</f>
        <v>0.0291454227227761</v>
      </c>
      <c r="L129" s="153" t="n">
        <f aca="false">IFERROR(IF(OR(NOT(ISNUMBER('Price History'!L130)),NOT(ISNUMBER('Price History'!L129)),'Price History'!L129=0),"",'Price History'!L130/'Price History'!L129-1),"")</f>
        <v>0.0114167812929848</v>
      </c>
      <c r="M129" s="153" t="n">
        <f aca="false">IFERROR(IF(OR(NOT(ISNUMBER('Price History'!M130)),NOT(ISNUMBER('Price History'!M129)),'Price History'!M129=0),"",'Price History'!M130/'Price History'!M129-1),"")</f>
        <v>0.0392968383325512</v>
      </c>
      <c r="N129" s="153" t="n">
        <f aca="false">IFERROR(IF(OR(NOT(ISNUMBER('Price History'!N130)),NOT(ISNUMBER('Price History'!N129)),'Price History'!N129=0),"",'Price History'!N130/'Price History'!N129-1),"")</f>
        <v>-0.0296457566077279</v>
      </c>
      <c r="O129" s="153" t="n">
        <f aca="false">IFERROR(IF(OR(NOT(ISNUMBER('Price History'!O130)),NOT(ISNUMBER('Price History'!O129)),'Price History'!O129=0),"",'Price History'!O130/'Price History'!O129-1),"")</f>
        <v>0.00562340743344181</v>
      </c>
      <c r="P129" s="153" t="n">
        <f aca="false">IFERROR(IF(OR(NOT(ISNUMBER('Price History'!P130)),NOT(ISNUMBER('Price History'!P129)),'Price History'!P129=0),"",'Price History'!P130/'Price History'!P129-1),"")</f>
        <v>-0.00713220514815527</v>
      </c>
      <c r="Q129" s="153" t="n">
        <f aca="false">IFERROR(IF(OR(NOT(ISNUMBER('Price History'!Q130)),NOT(ISNUMBER('Price History'!Q129)),'Price History'!Q129=0),"",'Price History'!Q130/'Price History'!Q129-1),"")</f>
        <v>0.00678630674106473</v>
      </c>
      <c r="R129" s="153" t="n">
        <f aca="false">IFERROR(IF(OR(NOT(ISNUMBER('Price History'!R130)),NOT(ISNUMBER('Price History'!R129)),'Price History'!R129=0),"",'Price History'!R130/'Price History'!R129-1),"")</f>
        <v>0.0111299754763252</v>
      </c>
      <c r="S129" s="153" t="n">
        <f aca="false">IFERROR(IF(OR(NOT(ISNUMBER('Price History'!S130)),NOT(ISNUMBER('Price History'!S129)),'Price History'!S129=0),"",'Price History'!S130/'Price History'!S129-1),"")</f>
        <v>0.0144631614769439</v>
      </c>
      <c r="T129" s="153" t="n">
        <f aca="false">IFERROR(IF(OR(NOT(ISNUMBER('Price History'!T130)),NOT(ISNUMBER('Price History'!T129)),'Price History'!T129=0),"",'Price History'!T130/'Price History'!T129-1),"")</f>
        <v>0.00200400801603196</v>
      </c>
      <c r="U129" s="153" t="n">
        <f aca="false">IFERROR(IF(OR(NOT(ISNUMBER('Price History'!U130)),NOT(ISNUMBER('Price History'!U129)),'Price History'!U129=0),"",'Price History'!U130/'Price History'!U129-1),"")</f>
        <v>0</v>
      </c>
      <c r="V129" s="154" t="n">
        <f aca="false">IFERROR(IF(OR(NOT(ISNUMBER('Price History'!V130)),NOT(ISNUMBER('Price History'!V129)),'Price History'!V129=0),"",'Price History'!V130/'Price History'!V129-1),"")</f>
        <v>0.0218635128655904</v>
      </c>
      <c r="W129" s="155" t="n">
        <f aca="false">IFERROR('Price History'!B3+(INDEX('Price History'!B:B,MATCH(9.99E+307,'Returns (Calc)'!$A:$A)+1)-'Price History'!B3)*(ROW()-3)/(MATCH(9.99E+307,'Returns (Calc)'!$A:$A)-3),"")</f>
        <v>301.757169811321</v>
      </c>
      <c r="X129" s="155" t="n">
        <f aca="false">IFERROR('Price History'!C3+(INDEX('Price History'!C:C,MATCH(9.99E+307,'Returns (Calc)'!$A:$A)+1)-'Price History'!C3)*(ROW()-3)/(MATCH(9.99E+307,'Returns (Calc)'!$A:$A)-3),"")</f>
        <v>181.340754716981</v>
      </c>
      <c r="Y129" s="155" t="n">
        <f aca="false">IFERROR('Price History'!D3+(INDEX('Price History'!D:D,MATCH(9.99E+307,'Returns (Calc)'!$A:$A)+1)-'Price History'!D3)*(ROW()-3)/(MATCH(9.99E+307,'Returns (Calc)'!$A:$A)-3),"")</f>
        <v>1531.63</v>
      </c>
      <c r="Z129" s="155" t="n">
        <f aca="false">IFERROR('Price History'!E3+(INDEX('Price History'!E:E,MATCH(9.99E+307,'Returns (Calc)'!$A:$A)+1)-'Price History'!E3)*(ROW()-3)/(MATCH(9.99E+307,'Returns (Calc)'!$A:$A)-3),"")</f>
        <v>303.522264150943</v>
      </c>
      <c r="AA129" s="155" t="n">
        <f aca="false">IFERROR('Price History'!F3+(INDEX('Price History'!F:F,MATCH(9.99E+307,'Returns (Calc)'!$A:$A)+1)-'Price History'!F3)*(ROW()-3)/(MATCH(9.99E+307,'Returns (Calc)'!$A:$A)-3),"")</f>
        <v>226.540377358491</v>
      </c>
      <c r="AB129" s="155" t="n">
        <f aca="false">IFERROR('Price History'!G3+(INDEX('Price History'!G:G,MATCH(9.99E+307,'Returns (Calc)'!$A:$A)+1)-'Price History'!G3)*(ROW()-3)/(MATCH(9.99E+307,'Returns (Calc)'!$A:$A)-3),"")</f>
        <v>164.184716981132</v>
      </c>
      <c r="AC129" s="155" t="n">
        <f aca="false">IFERROR('Price History'!H3+(INDEX('Price History'!H:H,MATCH(9.99E+307,'Returns (Calc)'!$A:$A)+1)-'Price History'!H3)*(ROW()-3)/(MATCH(9.99E+307,'Returns (Calc)'!$A:$A)-3),"")</f>
        <v>829.777547169811</v>
      </c>
      <c r="AD129" s="155" t="n">
        <f aca="false">IFERROR('Price History'!I3+(INDEX('Price History'!I:I,MATCH(9.99E+307,'Returns (Calc)'!$A:$A)+1)-'Price History'!I3)*(ROW()-3)/(MATCH(9.99E+307,'Returns (Calc)'!$A:$A)-3),"")</f>
        <v>190.777924528302</v>
      </c>
      <c r="AE129" s="155" t="n">
        <f aca="false">IFERROR('Price History'!J3+(INDEX('Price History'!J:J,MATCH(9.99E+307,'Returns (Calc)'!$A:$A)+1)-'Price History'!J3)*(ROW()-3)/(MATCH(9.99E+307,'Returns (Calc)'!$A:$A)-3),"")</f>
        <v>125.82679245283</v>
      </c>
      <c r="AF129" s="155" t="n">
        <f aca="false">IFERROR('Price History'!K3+(INDEX('Price History'!K:K,MATCH(9.99E+307,'Returns (Calc)'!$A:$A)+1)-'Price History'!K3)*(ROW()-3)/(MATCH(9.99E+307,'Returns (Calc)'!$A:$A)-3),"")</f>
        <v>168.843962264151</v>
      </c>
      <c r="AG129" s="155" t="n">
        <f aca="false">IFERROR('Price History'!L3+(INDEX('Price History'!L:L,MATCH(9.99E+307,'Returns (Calc)'!$A:$A)+1)-'Price History'!L3)*(ROW()-3)/(MATCH(9.99E+307,'Returns (Calc)'!$A:$A)-3),"")</f>
        <v>377.023962264151</v>
      </c>
      <c r="AH129" s="155" t="n">
        <f aca="false">IFERROR('Price History'!M3+(INDEX('Price History'!M:M,MATCH(9.99E+307,'Returns (Calc)'!$A:$A)+1)-'Price History'!M3)*(ROW()-3)/(MATCH(9.99E+307,'Returns (Calc)'!$A:$A)-3),"")</f>
        <v>200.282641509434</v>
      </c>
      <c r="AI129" s="155" t="n">
        <f aca="false">IFERROR('Price History'!N3+(INDEX('Price History'!N:N,MATCH(9.99E+307,'Returns (Calc)'!$A:$A)+1)-'Price History'!N3)*(ROW()-3)/(MATCH(9.99E+307,'Returns (Calc)'!$A:$A)-3),"")</f>
        <v>476.627547169811</v>
      </c>
      <c r="AJ129" s="155" t="n">
        <f aca="false">IFERROR('Price History'!O3+(INDEX('Price History'!O:O,MATCH(9.99E+307,'Returns (Calc)'!$A:$A)+1)-'Price History'!O3)*(ROW()-3)/(MATCH(9.99E+307,'Returns (Calc)'!$A:$A)-3),"")</f>
        <v>110.439433962264</v>
      </c>
      <c r="AK129" s="155" t="n">
        <f aca="false">IFERROR('Price History'!Q3+(INDEX('Price History'!Q:Q,MATCH(9.99E+307,'Returns (Calc)'!$A:$A)+1)-'Price History'!Q3)*(ROW()-3)/(MATCH(9.99E+307,'Returns (Calc)'!$A:$A)-3),"")</f>
        <v>55.4479245283019</v>
      </c>
      <c r="AL129" s="155" t="n">
        <f aca="false">IFERROR('Price History'!R3+(INDEX('Price History'!R:R,MATCH(9.99E+307,'Returns (Calc)'!$A:$A)+1)-'Price History'!R3)*(ROW()-3)/(MATCH(9.99E+307,'Returns (Calc)'!$A:$A)-3),"")</f>
        <v>55.5671698113208</v>
      </c>
      <c r="AM129" s="155" t="n">
        <f aca="false">IFERROR('Price History'!S3+(INDEX('Price History'!S:S,MATCH(9.99E+307,'Returns (Calc)'!$A:$A)+1)-'Price History'!S3)*(ROW()-3)/(MATCH(9.99E+307,'Returns (Calc)'!$A:$A)-3),"")</f>
        <v>131.748113207547</v>
      </c>
      <c r="AN129" s="155" t="n">
        <f aca="false">IFERROR('Price History'!T3+(INDEX('Price History'!T:T,MATCH(9.99E+307,'Returns (Calc)'!$A:$A)+1)-'Price History'!T3)*(ROW()-3)/(MATCH(9.99E+307,'Returns (Calc)'!$A:$A)-3),"")</f>
        <v>47.101320754717</v>
      </c>
      <c r="AO129" s="156" t="n">
        <f aca="false">IFERROR('Price History'!V3+(INDEX('Price History'!V:V,MATCH(9.99E+307,'Returns (Calc)'!$A:$A)+1)-'Price History'!V3)*(ROW()-3)/(MATCH(9.99E+307,'Returns (Calc)'!$A:$A)-3),"")</f>
        <v>354.355283018868</v>
      </c>
      <c r="AP129" s="154" t="n">
        <f aca="false">IFERROR(IF(OR(NOT(ISNUMBER('Price History'!W130)),NOT(ISNUMBER('Price History'!W129)),'Price History'!W129=0),"",'Price History'!W130/'Price History'!W129-1),"")</f>
        <v>0.00124459583387915</v>
      </c>
      <c r="AQ129" s="154" t="n">
        <f aca="false">IFERROR(IF(OR(NOT(ISNUMBER('Price History'!X130)),NOT(ISNUMBER('Price History'!X129)),'Price History'!X129=0),"",'Price History'!X130/'Price History'!X129-1),"")</f>
        <v>0.00297500991669963</v>
      </c>
      <c r="AR129" s="154" t="n">
        <f aca="false">IFERROR(IF(OR(NOT(ISNUMBER('Price History'!Y130)),NOT(ISNUMBER('Price History'!Y129)),'Price History'!Y129=0),"",'Price History'!Y130/'Price History'!Y129-1),"")</f>
        <v>0.00320341697810989</v>
      </c>
      <c r="AS129" s="154" t="n">
        <f aca="false">IFERROR(IF(OR(NOT(ISNUMBER('Price History'!Z130)),NOT(ISNUMBER('Price History'!Z129)),'Price History'!Z129=0),"",'Price History'!Z130/'Price History'!Z129-1),"")</f>
        <v>0.0881622516556291</v>
      </c>
      <c r="AT129" s="154" t="n">
        <f aca="false">IFERROR(IF(OR(NOT(ISNUMBER('Price History'!AA130)),NOT(ISNUMBER('Price History'!AA129)),'Price History'!AA129=0),"",'Price History'!AA130/'Price History'!AA129-1),"")</f>
        <v>0.0234161571484324</v>
      </c>
      <c r="AU129" s="154" t="n">
        <f aca="false">IFERROR(IF(OR(NOT(ISNUMBER('Price History'!AB130)),NOT(ISNUMBER('Price History'!AB129)),'Price History'!AB129=0),"",'Price History'!AB130/'Price History'!AB129-1),"")</f>
        <v>0.0356096720464074</v>
      </c>
    </row>
    <row r="130" customFormat="false" ht="15" hidden="false" customHeight="true" outlineLevel="0" collapsed="false">
      <c r="A130" s="152" t="n">
        <f aca="false">IF('Price History'!A131="","",'Price History'!A131)</f>
        <v>46080</v>
      </c>
      <c r="B130" s="153" t="n">
        <f aca="false">IFERROR(IF(OR(NOT(ISNUMBER('Price History'!B131)),NOT(ISNUMBER('Price History'!B130)),'Price History'!B130=0),"",'Price History'!B131/'Price History'!B130-1),"")</f>
        <v>0.0146939406828817</v>
      </c>
      <c r="C130" s="153" t="n">
        <f aca="false">IFERROR(IF(OR(NOT(ISNUMBER('Price History'!C131)),NOT(ISNUMBER('Price History'!C130)),'Price History'!C130=0),"",'Price History'!C131/'Price History'!C130-1),"")</f>
        <v>0.00534678816175926</v>
      </c>
      <c r="D130" s="153" t="n">
        <f aca="false">IFERROR(IF(OR(NOT(ISNUMBER('Price History'!D131)),NOT(ISNUMBER('Price History'!D130)),'Price History'!D130=0),"",'Price History'!D131/'Price History'!D130-1),"")</f>
        <v>-0.0129464864901775</v>
      </c>
      <c r="E130" s="153" t="n">
        <f aca="false">IFERROR(IF(OR(NOT(ISNUMBER('Price History'!E131)),NOT(ISNUMBER('Price History'!E130)),'Price History'!E130=0),"",'Price History'!E131/'Price History'!E130-1),"")</f>
        <v>-0.0393857872623401</v>
      </c>
      <c r="F130" s="153" t="n">
        <f aca="false">IFERROR(IF(OR(NOT(ISNUMBER('Price History'!F131)),NOT(ISNUMBER('Price History'!F130)),'Price History'!F130=0),"",'Price History'!F131/'Price History'!F130-1),"")</f>
        <v>-0.042717447246526</v>
      </c>
      <c r="G130" s="153" t="n">
        <f aca="false">IFERROR(IF(OR(NOT(ISNUMBER('Price History'!G131)),NOT(ISNUMBER('Price History'!G130)),'Price History'!G130=0),"",'Price History'!G131/'Price History'!G130-1),"")</f>
        <v>0.0190967569016349</v>
      </c>
      <c r="H130" s="153" t="n">
        <f aca="false">IFERROR(IF(OR(NOT(ISNUMBER('Price History'!H131)),NOT(ISNUMBER('Price History'!H130)),'Price History'!H130=0),"",'Price History'!H131/'Price History'!H130-1),"")</f>
        <v>-0.036899420452421</v>
      </c>
      <c r="I130" s="153" t="n">
        <f aca="false">IFERROR(IF(OR(NOT(ISNUMBER('Price History'!I131)),NOT(ISNUMBER('Price History'!I130)),'Price History'!I130=0),"",'Price History'!I131/'Price History'!I130-1),"")</f>
        <v>-0.066532896821206</v>
      </c>
      <c r="J130" s="153" t="n">
        <f aca="false">IFERROR(IF(OR(NOT(ISNUMBER('Price History'!J131)),NOT(ISNUMBER('Price History'!J130)),'Price History'!J130=0),"",'Price History'!J131/'Price History'!J130-1),"")</f>
        <v>0.00752151587473771</v>
      </c>
      <c r="K130" s="153" t="n">
        <f aca="false">IFERROR(IF(OR(NOT(ISNUMBER('Price History'!K131)),NOT(ISNUMBER('Price History'!K130)),'Price History'!K130=0),"",'Price History'!K131/'Price History'!K130-1),"")</f>
        <v>0.014418811002662</v>
      </c>
      <c r="L130" s="153" t="n">
        <f aca="false">IFERROR(IF(OR(NOT(ISNUMBER('Price History'!L131)),NOT(ISNUMBER('Price History'!L130)),'Price History'!L130=0),"",'Price History'!L131/'Price History'!L130-1),"")</f>
        <v>0.0109071127430982</v>
      </c>
      <c r="M130" s="153" t="n">
        <f aca="false">IFERROR(IF(OR(NOT(ISNUMBER('Price History'!M131)),NOT(ISNUMBER('Price History'!M130)),'Price History'!M130=0),"",'Price History'!M131/'Price History'!M130-1),"")</f>
        <v>0.0456934066836356</v>
      </c>
      <c r="N130" s="153" t="n">
        <f aca="false">IFERROR(IF(OR(NOT(ISNUMBER('Price History'!N131)),NOT(ISNUMBER('Price History'!N130)),'Price History'!N130=0),"",'Price History'!N131/'Price History'!N130-1),"")</f>
        <v>0.0417907318096038</v>
      </c>
      <c r="O130" s="153" t="n">
        <f aca="false">IFERROR(IF(OR(NOT(ISNUMBER('Price History'!O131)),NOT(ISNUMBER('Price History'!O130)),'Price History'!O130=0),"",'Price History'!O131/'Price History'!O130-1),"")</f>
        <v>-0.0221930974224552</v>
      </c>
      <c r="P130" s="153" t="n">
        <f aca="false">IFERROR(IF(OR(NOT(ISNUMBER('Price History'!P131)),NOT(ISNUMBER('Price History'!P130)),'Price History'!P130=0),"",'Price History'!P131/'Price History'!P130-1),"")</f>
        <v>-0.0033305034937634</v>
      </c>
      <c r="Q130" s="153" t="n">
        <f aca="false">IFERROR(IF(OR(NOT(ISNUMBER('Price History'!Q131)),NOT(ISNUMBER('Price History'!Q130)),'Price History'!Q130=0),"",'Price History'!Q131/'Price History'!Q130-1),"")</f>
        <v>-0.00569203115638117</v>
      </c>
      <c r="R130" s="153" t="n">
        <f aca="false">IFERROR(IF(OR(NOT(ISNUMBER('Price History'!R131)),NOT(ISNUMBER('Price History'!R130)),'Price History'!R130=0),"",'Price History'!R131/'Price History'!R130-1),"")</f>
        <v>-0.00186567164179108</v>
      </c>
      <c r="S130" s="153" t="n">
        <f aca="false">IFERROR(IF(OR(NOT(ISNUMBER('Price History'!S131)),NOT(ISNUMBER('Price History'!S130)),'Price History'!S130=0),"",'Price History'!S131/'Price History'!S130-1),"")</f>
        <v>-0.00402549480040249</v>
      </c>
      <c r="T130" s="153" t="n">
        <f aca="false">IFERROR(IF(OR(NOT(ISNUMBER('Price History'!T131)),NOT(ISNUMBER('Price History'!T130)),'Price History'!T130=0),"",'Price History'!T131/'Price History'!T130-1),"")</f>
        <v>0.00350000000000006</v>
      </c>
      <c r="U130" s="153" t="n">
        <f aca="false">IFERROR(IF(OR(NOT(ISNUMBER('Price History'!U131)),NOT(ISNUMBER('Price History'!U130)),'Price History'!U130=0),"",'Price History'!U131/'Price History'!U130-1),"")</f>
        <v>0.00518638573743924</v>
      </c>
      <c r="V130" s="154" t="n">
        <f aca="false">IFERROR(IF(OR(NOT(ISNUMBER('Price History'!V131)),NOT(ISNUMBER('Price History'!V130)),'Price History'!V130=0),"",'Price History'!V131/'Price History'!V130-1),"")</f>
        <v>-0.00250242422346647</v>
      </c>
      <c r="W130" s="155" t="n">
        <f aca="false">IFERROR('Price History'!B3+(INDEX('Price History'!B:B,MATCH(9.99E+307,'Returns (Calc)'!$A:$A)+1)-'Price History'!B3)*(ROW()-3)/(MATCH(9.99E+307,'Returns (Calc)'!$A:$A)-3),"")</f>
        <v>299.954528301887</v>
      </c>
      <c r="X130" s="155" t="n">
        <f aca="false">IFERROR('Price History'!C3+(INDEX('Price History'!C:C,MATCH(9.99E+307,'Returns (Calc)'!$A:$A)+1)-'Price History'!C3)*(ROW()-3)/(MATCH(9.99E+307,'Returns (Calc)'!$A:$A)-3),"")</f>
        <v>182.413459119497</v>
      </c>
      <c r="Y130" s="155" t="n">
        <f aca="false">IFERROR('Price History'!D3+(INDEX('Price History'!D:D,MATCH(9.99E+307,'Returns (Calc)'!$A:$A)+1)-'Price History'!D3)*(ROW()-3)/(MATCH(9.99E+307,'Returns (Calc)'!$A:$A)-3),"")</f>
        <v>1539.16666666667</v>
      </c>
      <c r="Z130" s="155" t="n">
        <f aca="false">IFERROR('Price History'!E3+(INDEX('Price History'!E:E,MATCH(9.99E+307,'Returns (Calc)'!$A:$A)+1)-'Price History'!E3)*(ROW()-3)/(MATCH(9.99E+307,'Returns (Calc)'!$A:$A)-3),"")</f>
        <v>305.280377358491</v>
      </c>
      <c r="AA130" s="155" t="n">
        <f aca="false">IFERROR('Price History'!F3+(INDEX('Price History'!F:F,MATCH(9.99E+307,'Returns (Calc)'!$A:$A)+1)-'Price History'!F3)*(ROW()-3)/(MATCH(9.99E+307,'Returns (Calc)'!$A:$A)-3),"")</f>
        <v>228.010062893082</v>
      </c>
      <c r="AB130" s="155" t="n">
        <f aca="false">IFERROR('Price History'!G3+(INDEX('Price History'!G:G,MATCH(9.99E+307,'Returns (Calc)'!$A:$A)+1)-'Price History'!G3)*(ROW()-3)/(MATCH(9.99E+307,'Returns (Calc)'!$A:$A)-3),"")</f>
        <v>165.135786163522</v>
      </c>
      <c r="AC130" s="155" t="n">
        <f aca="false">IFERROR('Price History'!H3+(INDEX('Price History'!H:H,MATCH(9.99E+307,'Returns (Calc)'!$A:$A)+1)-'Price History'!H3)*(ROW()-3)/(MATCH(9.99E+307,'Returns (Calc)'!$A:$A)-3),"")</f>
        <v>835.814591194969</v>
      </c>
      <c r="AD130" s="155" t="n">
        <f aca="false">IFERROR('Price History'!I3+(INDEX('Price History'!I:I,MATCH(9.99E+307,'Returns (Calc)'!$A:$A)+1)-'Price History'!I3)*(ROW()-3)/(MATCH(9.99E+307,'Returns (Calc)'!$A:$A)-3),"")</f>
        <v>191.94465408805</v>
      </c>
      <c r="AE130" s="155" t="n">
        <f aca="false">IFERROR('Price History'!J3+(INDEX('Price History'!J:J,MATCH(9.99E+307,'Returns (Calc)'!$A:$A)+1)-'Price History'!J3)*(ROW()-3)/(MATCH(9.99E+307,'Returns (Calc)'!$A:$A)-3),"")</f>
        <v>125.937798742138</v>
      </c>
      <c r="AF130" s="155" t="n">
        <f aca="false">IFERROR('Price History'!K3+(INDEX('Price History'!K:K,MATCH(9.99E+307,'Returns (Calc)'!$A:$A)+1)-'Price History'!K3)*(ROW()-3)/(MATCH(9.99E+307,'Returns (Calc)'!$A:$A)-3),"")</f>
        <v>170.062327044025</v>
      </c>
      <c r="AG130" s="155" t="n">
        <f aca="false">IFERROR('Price History'!L3+(INDEX('Price History'!L:L,MATCH(9.99E+307,'Returns (Calc)'!$A:$A)+1)-'Price History'!L3)*(ROW()-3)/(MATCH(9.99E+307,'Returns (Calc)'!$A:$A)-3),"")</f>
        <v>379.335660377359</v>
      </c>
      <c r="AH130" s="155" t="n">
        <f aca="false">IFERROR('Price History'!M3+(INDEX('Price History'!M:M,MATCH(9.99E+307,'Returns (Calc)'!$A:$A)+1)-'Price History'!M3)*(ROW()-3)/(MATCH(9.99E+307,'Returns (Calc)'!$A:$A)-3),"")</f>
        <v>201.570440251572</v>
      </c>
      <c r="AI130" s="155" t="n">
        <f aca="false">IFERROR('Price History'!N3+(INDEX('Price History'!N:N,MATCH(9.99E+307,'Returns (Calc)'!$A:$A)+1)-'Price History'!N3)*(ROW()-3)/(MATCH(9.99E+307,'Returns (Calc)'!$A:$A)-3),"")</f>
        <v>477.641257861635</v>
      </c>
      <c r="AJ130" s="155" t="n">
        <f aca="false">IFERROR('Price History'!O3+(INDEX('Price History'!O:O,MATCH(9.99E+307,'Returns (Calc)'!$A:$A)+1)-'Price History'!O3)*(ROW()-3)/(MATCH(9.99E+307,'Returns (Calc)'!$A:$A)-3),"")</f>
        <v>110.718238993711</v>
      </c>
      <c r="AK130" s="155" t="n">
        <f aca="false">IFERROR('Price History'!Q3+(INDEX('Price History'!Q:Q,MATCH(9.99E+307,'Returns (Calc)'!$A:$A)+1)-'Price History'!Q3)*(ROW()-3)/(MATCH(9.99E+307,'Returns (Calc)'!$A:$A)-3),"")</f>
        <v>55.8879874213837</v>
      </c>
      <c r="AL130" s="155" t="n">
        <f aca="false">IFERROR('Price History'!R3+(INDEX('Price History'!R:R,MATCH(9.99E+307,'Returns (Calc)'!$A:$A)+1)-'Price History'!R3)*(ROW()-3)/(MATCH(9.99E+307,'Returns (Calc)'!$A:$A)-3),"")</f>
        <v>55.7345283018868</v>
      </c>
      <c r="AM130" s="155" t="n">
        <f aca="false">IFERROR('Price History'!S3+(INDEX('Price History'!S:S,MATCH(9.99E+307,'Returns (Calc)'!$A:$A)+1)-'Price History'!S3)*(ROW()-3)/(MATCH(9.99E+307,'Returns (Calc)'!$A:$A)-3),"")</f>
        <v>132.336352201258</v>
      </c>
      <c r="AN130" s="155" t="n">
        <f aca="false">IFERROR('Price History'!T3+(INDEX('Price History'!T:T,MATCH(9.99E+307,'Returns (Calc)'!$A:$A)+1)-'Price History'!T3)*(ROW()-3)/(MATCH(9.99E+307,'Returns (Calc)'!$A:$A)-3),"")</f>
        <v>47.2752201257862</v>
      </c>
      <c r="AO130" s="156" t="n">
        <f aca="false">IFERROR('Price History'!V3+(INDEX('Price History'!V:V,MATCH(9.99E+307,'Returns (Calc)'!$A:$A)+1)-'Price History'!V3)*(ROW()-3)/(MATCH(9.99E+307,'Returns (Calc)'!$A:$A)-3),"")</f>
        <v>355.297547169811</v>
      </c>
      <c r="AP130" s="154" t="n">
        <f aca="false">IFERROR(IF(OR(NOT(ISNUMBER('Price History'!W131)),NOT(ISNUMBER('Price History'!W130)),'Price History'!W130=0),"",'Price History'!W131/'Price History'!W130-1),"")</f>
        <v>-0.00327118089630352</v>
      </c>
      <c r="AQ130" s="154" t="n">
        <f aca="false">IFERROR(IF(OR(NOT(ISNUMBER('Price History'!X131)),NOT(ISNUMBER('Price History'!X130)),'Price History'!X130=0),"",'Price History'!X131/'Price History'!X130-1),"")</f>
        <v>0.0100850306505833</v>
      </c>
      <c r="AR130" s="154" t="n">
        <f aca="false">IFERROR(IF(OR(NOT(ISNUMBER('Price History'!Y131)),NOT(ISNUMBER('Price History'!Y130)),'Price History'!Y130=0),"",'Price History'!Y131/'Price History'!Y130-1),"")</f>
        <v>0.00638637573177214</v>
      </c>
      <c r="AS130" s="154" t="n">
        <f aca="false">IFERROR(IF(OR(NOT(ISNUMBER('Price History'!Z131)),NOT(ISNUMBER('Price History'!Z130)),'Price History'!Z130=0),"",'Price History'!Z131/'Price History'!Z130-1),"")</f>
        <v>-0.00277964713111156</v>
      </c>
      <c r="AT130" s="154" t="n">
        <f aca="false">IFERROR(IF(OR(NOT(ISNUMBER('Price History'!AA131)),NOT(ISNUMBER('Price History'!AA130)),'Price History'!AA130=0),"",'Price History'!AA131/'Price History'!AA130-1),"")</f>
        <v>0.22333799415279</v>
      </c>
      <c r="AU130" s="154" t="n">
        <f aca="false">IFERROR(IF(OR(NOT(ISNUMBER('Price History'!AB131)),NOT(ISNUMBER('Price History'!AB130)),'Price History'!AB130=0),"",'Price History'!AB131/'Price History'!AB130-1),"")</f>
        <v>0.00942820697687319</v>
      </c>
    </row>
    <row r="131" customFormat="false" ht="15" hidden="false" customHeight="true" outlineLevel="0" collapsed="false">
      <c r="A131" s="152" t="n">
        <f aca="false">IF('Price History'!A132="","",'Price History'!A132)</f>
        <v>46087</v>
      </c>
      <c r="B131" s="153" t="n">
        <f aca="false">IFERROR(IF(OR(NOT(ISNUMBER('Price History'!B132)),NOT(ISNUMBER('Price History'!B131)),'Price History'!B131=0),"",'Price History'!B132/'Price History'!B131-1),"")</f>
        <v>0.0808277123585228</v>
      </c>
      <c r="C131" s="153" t="n">
        <f aca="false">IFERROR(IF(OR(NOT(ISNUMBER('Price History'!C132)),NOT(ISNUMBER('Price History'!C131)),'Price History'!C131=0),"",'Price History'!C132/'Price History'!C131-1),"")</f>
        <v>-0.0045692883895132</v>
      </c>
      <c r="D131" s="153" t="n">
        <f aca="false">IFERROR(IF(OR(NOT(ISNUMBER('Price History'!D132)),NOT(ISNUMBER('Price History'!D131)),'Price History'!D131=0),"",'Price History'!D132/'Price History'!D131-1),"")</f>
        <v>-0.108755958022317</v>
      </c>
      <c r="E131" s="153" t="n">
        <f aca="false">IFERROR(IF(OR(NOT(ISNUMBER('Price History'!E132)),NOT(ISNUMBER('Price History'!E131)),'Price History'!E131=0),"",'Price History'!E132/'Price History'!E131-1),"")</f>
        <v>0.0342039018250473</v>
      </c>
      <c r="F131" s="153" t="n">
        <f aca="false">IFERROR(IF(OR(NOT(ISNUMBER('Price History'!F132)),NOT(ISNUMBER('Price History'!F131)),'Price History'!F131=0),"",'Price History'!F132/'Price History'!F131-1),"")</f>
        <v>0.153225806451613</v>
      </c>
      <c r="G131" s="153" t="n">
        <f aca="false">IFERROR(IF(OR(NOT(ISNUMBER('Price History'!G132)),NOT(ISNUMBER('Price History'!G131)),'Price History'!G131=0),"",'Price History'!G132/'Price History'!G131-1),"")</f>
        <v>-0.118087974225787</v>
      </c>
      <c r="H131" s="153" t="n">
        <f aca="false">IFERROR(IF(OR(NOT(ISNUMBER('Price History'!H132)),NOT(ISNUMBER('Price History'!H131)),'Price History'!H131=0),"",'Price History'!H132/'Price History'!H131-1),"")</f>
        <v>-0.102006648387645</v>
      </c>
      <c r="I131" s="153" t="n">
        <f aca="false">IFERROR(IF(OR(NOT(ISNUMBER('Price History'!I132)),NOT(ISNUMBER('Price History'!I131)),'Price History'!I131=0),"",'Price History'!I132/'Price History'!I131-1),"")</f>
        <v>0.00350718407059625</v>
      </c>
      <c r="J131" s="153" t="n">
        <f aca="false">IFERROR(IF(OR(NOT(ISNUMBER('Price History'!J132)),NOT(ISNUMBER('Price History'!J131)),'Price History'!J131=0),"",'Price History'!J132/'Price History'!J131-1),"")</f>
        <v>-0.0563491493790825</v>
      </c>
      <c r="K131" s="153" t="n">
        <f aca="false">IFERROR(IF(OR(NOT(ISNUMBER('Price History'!K132)),NOT(ISNUMBER('Price History'!K131)),'Price History'!K131=0),"",'Price History'!K132/'Price History'!K131-1),"")</f>
        <v>0.145564545520811</v>
      </c>
      <c r="L131" s="153" t="n">
        <f aca="false">IFERROR(IF(OR(NOT(ISNUMBER('Price History'!L132)),NOT(ISNUMBER('Price History'!L131)),'Price History'!L131=0),"",'Price History'!L132/'Price History'!L131-1),"")</f>
        <v>-0.0952752515740193</v>
      </c>
      <c r="M131" s="153" t="n">
        <f aca="false">IFERROR(IF(OR(NOT(ISNUMBER('Price History'!M132)),NOT(ISNUMBER('Price History'!M131)),'Price History'!M131=0),"",'Price History'!M132/'Price History'!M131-1),"")</f>
        <v>-0.051431039221075</v>
      </c>
      <c r="N131" s="153" t="n">
        <f aca="false">IFERROR(IF(OR(NOT(ISNUMBER('Price History'!N132)),NOT(ISNUMBER('Price History'!N131)),'Price History'!N131=0),"",'Price History'!N132/'Price History'!N131-1),"")</f>
        <v>-0.0807922226918664</v>
      </c>
      <c r="O131" s="153" t="n">
        <f aca="false">IFERROR(IF(OR(NOT(ISNUMBER('Price History'!O132)),NOT(ISNUMBER('Price History'!O131)),'Price History'!O131=0),"",'Price History'!O132/'Price History'!O131-1),"")</f>
        <v>-0.0383343758377267</v>
      </c>
      <c r="P131" s="153" t="n">
        <f aca="false">IFERROR(IF(OR(NOT(ISNUMBER('Price History'!P132)),NOT(ISNUMBER('Price History'!P131)),'Price History'!P131=0),"",'Price History'!P132/'Price History'!P131-1),"")</f>
        <v>-0.0247018739352641</v>
      </c>
      <c r="Q131" s="153" t="n">
        <f aca="false">IFERROR(IF(OR(NOT(ISNUMBER('Price History'!Q132)),NOT(ISNUMBER('Price History'!Q131)),'Price History'!Q131=0),"",'Price History'!Q132/'Price History'!Q131-1),"")</f>
        <v>-0.0112985839108165</v>
      </c>
      <c r="R131" s="153" t="n">
        <f aca="false">IFERROR(IF(OR(NOT(ISNUMBER('Price History'!R132)),NOT(ISNUMBER('Price History'!R131)),'Price History'!R131=0),"",'Price History'!R132/'Price History'!R131-1),"")</f>
        <v>-0.0119626168224299</v>
      </c>
      <c r="S131" s="153" t="n">
        <f aca="false">IFERROR(IF(OR(NOT(ISNUMBER('Price History'!S132)),NOT(ISNUMBER('Price History'!S131)),'Price History'!S131=0),"",'Price History'!S132/'Price History'!S131-1),"")</f>
        <v>-0.0103570225665207</v>
      </c>
      <c r="T131" s="153" t="n">
        <f aca="false">IFERROR(IF(OR(NOT(ISNUMBER('Price History'!T132)),NOT(ISNUMBER('Price History'!T131)),'Price History'!T131=0),"",'Price History'!T132/'Price History'!T131-1),"")</f>
        <v>-0.00896860986547088</v>
      </c>
      <c r="U131" s="153" t="n">
        <f aca="false">IFERROR(IF(OR(NOT(ISNUMBER('Price History'!U132)),NOT(ISNUMBER('Price History'!U131)),'Price History'!U131=0),"",'Price History'!U132/'Price History'!U131-1),"")</f>
        <v>-0.0203160270880361</v>
      </c>
      <c r="V131" s="154" t="n">
        <f aca="false">IFERROR(IF(OR(NOT(ISNUMBER('Price History'!V132)),NOT(ISNUMBER('Price History'!V131)),'Price History'!V131=0),"",'Price History'!V132/'Price History'!V131-1),"")</f>
        <v>-0.00868638088369023</v>
      </c>
      <c r="W131" s="155" t="n">
        <f aca="false">IFERROR('Price History'!B3+(INDEX('Price History'!B:B,MATCH(9.99E+307,'Returns (Calc)'!$A:$A)+1)-'Price History'!B3)*(ROW()-3)/(MATCH(9.99E+307,'Returns (Calc)'!$A:$A)-3),"")</f>
        <v>298.151886792453</v>
      </c>
      <c r="X131" s="155" t="n">
        <f aca="false">IFERROR('Price History'!C3+(INDEX('Price History'!C:C,MATCH(9.99E+307,'Returns (Calc)'!$A:$A)+1)-'Price History'!C3)*(ROW()-3)/(MATCH(9.99E+307,'Returns (Calc)'!$A:$A)-3),"")</f>
        <v>183.486163522013</v>
      </c>
      <c r="Y131" s="155" t="n">
        <f aca="false">IFERROR('Price History'!D3+(INDEX('Price History'!D:D,MATCH(9.99E+307,'Returns (Calc)'!$A:$A)+1)-'Price History'!D3)*(ROW()-3)/(MATCH(9.99E+307,'Returns (Calc)'!$A:$A)-3),"")</f>
        <v>1546.70333333333</v>
      </c>
      <c r="Z131" s="155" t="n">
        <f aca="false">IFERROR('Price History'!E3+(INDEX('Price History'!E:E,MATCH(9.99E+307,'Returns (Calc)'!$A:$A)+1)-'Price History'!E3)*(ROW()-3)/(MATCH(9.99E+307,'Returns (Calc)'!$A:$A)-3),"")</f>
        <v>307.038490566038</v>
      </c>
      <c r="AA131" s="155" t="n">
        <f aca="false">IFERROR('Price History'!F3+(INDEX('Price History'!F:F,MATCH(9.99E+307,'Returns (Calc)'!$A:$A)+1)-'Price History'!F3)*(ROW()-3)/(MATCH(9.99E+307,'Returns (Calc)'!$A:$A)-3),"")</f>
        <v>229.479748427673</v>
      </c>
      <c r="AB131" s="155" t="n">
        <f aca="false">IFERROR('Price History'!G3+(INDEX('Price History'!G:G,MATCH(9.99E+307,'Returns (Calc)'!$A:$A)+1)-'Price History'!G3)*(ROW()-3)/(MATCH(9.99E+307,'Returns (Calc)'!$A:$A)-3),"")</f>
        <v>166.086855345912</v>
      </c>
      <c r="AC131" s="155" t="n">
        <f aca="false">IFERROR('Price History'!H3+(INDEX('Price History'!H:H,MATCH(9.99E+307,'Returns (Calc)'!$A:$A)+1)-'Price History'!H3)*(ROW()-3)/(MATCH(9.99E+307,'Returns (Calc)'!$A:$A)-3),"")</f>
        <v>841.851635220126</v>
      </c>
      <c r="AD131" s="155" t="n">
        <f aca="false">IFERROR('Price History'!I3+(INDEX('Price History'!I:I,MATCH(9.99E+307,'Returns (Calc)'!$A:$A)+1)-'Price History'!I3)*(ROW()-3)/(MATCH(9.99E+307,'Returns (Calc)'!$A:$A)-3),"")</f>
        <v>193.111383647799</v>
      </c>
      <c r="AE131" s="155" t="n">
        <f aca="false">IFERROR('Price History'!J3+(INDEX('Price History'!J:J,MATCH(9.99E+307,'Returns (Calc)'!$A:$A)+1)-'Price History'!J3)*(ROW()-3)/(MATCH(9.99E+307,'Returns (Calc)'!$A:$A)-3),"")</f>
        <v>126.048805031447</v>
      </c>
      <c r="AF131" s="155" t="n">
        <f aca="false">IFERROR('Price History'!K3+(INDEX('Price History'!K:K,MATCH(9.99E+307,'Returns (Calc)'!$A:$A)+1)-'Price History'!K3)*(ROW()-3)/(MATCH(9.99E+307,'Returns (Calc)'!$A:$A)-3),"")</f>
        <v>171.280691823899</v>
      </c>
      <c r="AG131" s="155" t="n">
        <f aca="false">IFERROR('Price History'!L3+(INDEX('Price History'!L:L,MATCH(9.99E+307,'Returns (Calc)'!$A:$A)+1)-'Price History'!L3)*(ROW()-3)/(MATCH(9.99E+307,'Returns (Calc)'!$A:$A)-3),"")</f>
        <v>381.647358490566</v>
      </c>
      <c r="AH131" s="155" t="n">
        <f aca="false">IFERROR('Price History'!M3+(INDEX('Price History'!M:M,MATCH(9.99E+307,'Returns (Calc)'!$A:$A)+1)-'Price History'!M3)*(ROW()-3)/(MATCH(9.99E+307,'Returns (Calc)'!$A:$A)-3),"")</f>
        <v>202.858238993711</v>
      </c>
      <c r="AI131" s="155" t="n">
        <f aca="false">IFERROR('Price History'!N3+(INDEX('Price History'!N:N,MATCH(9.99E+307,'Returns (Calc)'!$A:$A)+1)-'Price History'!N3)*(ROW()-3)/(MATCH(9.99E+307,'Returns (Calc)'!$A:$A)-3),"")</f>
        <v>478.654968553459</v>
      </c>
      <c r="AJ131" s="155" t="n">
        <f aca="false">IFERROR('Price History'!O3+(INDEX('Price History'!O:O,MATCH(9.99E+307,'Returns (Calc)'!$A:$A)+1)-'Price History'!O3)*(ROW()-3)/(MATCH(9.99E+307,'Returns (Calc)'!$A:$A)-3),"")</f>
        <v>110.997044025157</v>
      </c>
      <c r="AK131" s="155" t="n">
        <f aca="false">IFERROR('Price History'!Q3+(INDEX('Price History'!Q:Q,MATCH(9.99E+307,'Returns (Calc)'!$A:$A)+1)-'Price History'!Q3)*(ROW()-3)/(MATCH(9.99E+307,'Returns (Calc)'!$A:$A)-3),"")</f>
        <v>56.3280503144654</v>
      </c>
      <c r="AL131" s="155" t="n">
        <f aca="false">IFERROR('Price History'!R3+(INDEX('Price History'!R:R,MATCH(9.99E+307,'Returns (Calc)'!$A:$A)+1)-'Price History'!R3)*(ROW()-3)/(MATCH(9.99E+307,'Returns (Calc)'!$A:$A)-3),"")</f>
        <v>55.9018867924528</v>
      </c>
      <c r="AM131" s="155" t="n">
        <f aca="false">IFERROR('Price History'!S3+(INDEX('Price History'!S:S,MATCH(9.99E+307,'Returns (Calc)'!$A:$A)+1)-'Price History'!S3)*(ROW()-3)/(MATCH(9.99E+307,'Returns (Calc)'!$A:$A)-3),"")</f>
        <v>132.924591194969</v>
      </c>
      <c r="AN131" s="155" t="n">
        <f aca="false">IFERROR('Price History'!T3+(INDEX('Price History'!T:T,MATCH(9.99E+307,'Returns (Calc)'!$A:$A)+1)-'Price History'!T3)*(ROW()-3)/(MATCH(9.99E+307,'Returns (Calc)'!$A:$A)-3),"")</f>
        <v>47.4491194968553</v>
      </c>
      <c r="AO131" s="156" t="n">
        <f aca="false">IFERROR('Price History'!V3+(INDEX('Price History'!V:V,MATCH(9.99E+307,'Returns (Calc)'!$A:$A)+1)-'Price History'!V3)*(ROW()-3)/(MATCH(9.99E+307,'Returns (Calc)'!$A:$A)-3),"")</f>
        <v>356.239811320755</v>
      </c>
      <c r="AP131" s="154" t="n">
        <f aca="false">IFERROR(IF(OR(NOT(ISNUMBER('Price History'!W132)),NOT(ISNUMBER('Price History'!W131)),'Price History'!W131=0),"",'Price History'!W132/'Price History'!W131-1),"")</f>
        <v>-0.0278306531014111</v>
      </c>
      <c r="AQ131" s="154" t="n">
        <f aca="false">IFERROR(IF(OR(NOT(ISNUMBER('Price History'!X132)),NOT(ISNUMBER('Price History'!X131)),'Price History'!X131=0),"",'Price History'!X132/'Price History'!X131-1),"")</f>
        <v>0.00998433829287393</v>
      </c>
      <c r="AR131" s="154" t="n">
        <f aca="false">IFERROR(IF(OR(NOT(ISNUMBER('Price History'!Y132)),NOT(ISNUMBER('Price History'!Y131)),'Price History'!Y131=0),"",'Price History'!Y132/'Price History'!Y131-1),"")</f>
        <v>-0.024149479992949</v>
      </c>
      <c r="AS131" s="154" t="n">
        <f aca="false">IFERROR(IF(OR(NOT(ISNUMBER('Price History'!Z132)),NOT(ISNUMBER('Price History'!Z131)),'Price History'!Z131=0),"",'Price History'!Z132/'Price History'!Z131-1),"")</f>
        <v>-0.055953289126225</v>
      </c>
      <c r="AT131" s="154" t="n">
        <f aca="false">IFERROR(IF(OR(NOT(ISNUMBER('Price History'!AA132)),NOT(ISNUMBER('Price History'!AA131)),'Price History'!AA131=0),"",'Price History'!AA132/'Price History'!AA131-1),"")</f>
        <v>0.0288861180382378</v>
      </c>
      <c r="AU131" s="154" t="n">
        <f aca="false">IFERROR(IF(OR(NOT(ISNUMBER('Price History'!AB132)),NOT(ISNUMBER('Price History'!AB131)),'Price History'!AB131=0),"",'Price History'!AB132/'Price History'!AB131-1),"")</f>
        <v>0.0740618647327072</v>
      </c>
    </row>
    <row r="132" customFormat="false" ht="15" hidden="false" customHeight="true" outlineLevel="0" collapsed="false">
      <c r="A132" s="152" t="n">
        <f aca="false">IF('Price History'!A133="","",'Price History'!A133)</f>
        <v>46094</v>
      </c>
      <c r="B132" s="153" t="n">
        <f aca="false">IFERROR(IF(OR(NOT(ISNUMBER('Price History'!B133)),NOT(ISNUMBER('Price History'!B132)),'Price History'!B132=0),"",'Price History'!B133/'Price History'!B132-1),"")</f>
        <v>-0.120936464283196</v>
      </c>
      <c r="C132" s="153" t="n">
        <f aca="false">IFERROR(IF(OR(NOT(ISNUMBER('Price History'!C133)),NOT(ISNUMBER('Price History'!C132)),'Price History'!C132=0),"",'Price History'!C133/'Price History'!C132-1),"")</f>
        <v>0.00511701407178866</v>
      </c>
      <c r="D132" s="153" t="n">
        <f aca="false">IFERROR(IF(OR(NOT(ISNUMBER('Price History'!D133)),NOT(ISNUMBER('Price History'!D132)),'Price History'!D132=0),"",'Price History'!D133/'Price History'!D132-1),"")</f>
        <v>0.0409059860904124</v>
      </c>
      <c r="E132" s="153" t="n">
        <f aca="false">IFERROR(IF(OR(NOT(ISNUMBER('Price History'!E133)),NOT(ISNUMBER('Price History'!E132)),'Price History'!E132=0),"",'Price History'!E133/'Price History'!E132-1),"")</f>
        <v>-0.0251924422673199</v>
      </c>
      <c r="F132" s="153" t="n">
        <f aca="false">IFERROR(IF(OR(NOT(ISNUMBER('Price History'!F133)),NOT(ISNUMBER('Price History'!F132)),'Price History'!F132=0),"",'Price History'!F133/'Price History'!F132-1),"")</f>
        <v>0.0297435897435898</v>
      </c>
      <c r="G132" s="153" t="n">
        <f aca="false">IFERROR(IF(OR(NOT(ISNUMBER('Price History'!G133)),NOT(ISNUMBER('Price History'!G132)),'Price History'!G132=0),"",'Price History'!G133/'Price History'!G132-1),"")</f>
        <v>0.0550958025795871</v>
      </c>
      <c r="H132" s="153" t="n">
        <f aca="false">IFERROR(IF(OR(NOT(ISNUMBER('Price History'!H133)),NOT(ISNUMBER('Price History'!H132)),'Price History'!H132=0),"",'Price History'!H133/'Price History'!H132-1),"")</f>
        <v>0.150774136020968</v>
      </c>
      <c r="I132" s="153" t="n">
        <f aca="false">IFERROR(IF(OR(NOT(ISNUMBER('Price History'!I133)),NOT(ISNUMBER('Price History'!I132)),'Price History'!I132=0),"",'Price History'!I133/'Price History'!I132-1),"")</f>
        <v>0.0137542277339346</v>
      </c>
      <c r="J132" s="153" t="n">
        <f aca="false">IFERROR(IF(OR(NOT(ISNUMBER('Price History'!J133)),NOT(ISNUMBER('Price History'!J132)),'Price History'!J132=0),"",'Price History'!J133/'Price History'!J132-1),"")</f>
        <v>-0.0207667731629394</v>
      </c>
      <c r="K132" s="153" t="n">
        <f aca="false">IFERROR(IF(OR(NOT(ISNUMBER('Price History'!K133)),NOT(ISNUMBER('Price History'!K132)),'Price History'!K132=0),"",'Price History'!K133/'Price History'!K132-1),"")</f>
        <v>-0.0395138712140495</v>
      </c>
      <c r="L132" s="153" t="n">
        <f aca="false">IFERROR(IF(OR(NOT(ISNUMBER('Price History'!L133)),NOT(ISNUMBER('Price History'!L132)),'Price History'!L132=0),"",'Price History'!L133/'Price History'!L132-1),"")</f>
        <v>-0.00172490706319695</v>
      </c>
      <c r="M132" s="153" t="n">
        <f aca="false">IFERROR(IF(OR(NOT(ISNUMBER('Price History'!M133)),NOT(ISNUMBER('Price History'!M132)),'Price History'!M132=0),"",'Price History'!M133/'Price History'!M132-1),"")</f>
        <v>0.0707338272422498</v>
      </c>
      <c r="N132" s="153" t="n">
        <f aca="false">IFERROR(IF(OR(NOT(ISNUMBER('Price History'!N133)),NOT(ISNUMBER('Price History'!N132)),'Price History'!N132=0),"",'Price History'!N133/'Price History'!N132-1),"")</f>
        <v>0.0276993146335589</v>
      </c>
      <c r="O132" s="153" t="n">
        <f aca="false">IFERROR(IF(OR(NOT(ISNUMBER('Price History'!O133)),NOT(ISNUMBER('Price History'!O132)),'Price History'!O132=0),"",'Price History'!O133/'Price History'!O132-1),"")</f>
        <v>-0.0191414235272255</v>
      </c>
      <c r="P132" s="153" t="n">
        <f aca="false">IFERROR(IF(OR(NOT(ISNUMBER('Price History'!P133)),NOT(ISNUMBER('Price History'!P132)),'Price History'!P132=0),"",'Price History'!P133/'Price History'!P132-1),"")</f>
        <v>-0.0121598925092375</v>
      </c>
      <c r="Q132" s="153" t="n">
        <f aca="false">IFERROR(IF(OR(NOT(ISNUMBER('Price History'!Q133)),NOT(ISNUMBER('Price History'!Q132)),'Price History'!Q132=0),"",'Price History'!Q133/'Price History'!Q132-1),"")</f>
        <v>-0.0134085022093554</v>
      </c>
      <c r="R132" s="153" t="n">
        <f aca="false">IFERROR(IF(OR(NOT(ISNUMBER('Price History'!R133)),NOT(ISNUMBER('Price History'!R132)),'Price History'!R132=0),"",'Price History'!R133/'Price History'!R132-1),"")</f>
        <v>-0.00510783200908049</v>
      </c>
      <c r="S132" s="153" t="n">
        <f aca="false">IFERROR(IF(OR(NOT(ISNUMBER('Price History'!S133)),NOT(ISNUMBER('Price History'!S132)),'Price History'!S132=0),"",'Price History'!S133/'Price History'!S132-1),"")</f>
        <v>-0.0173572704841317</v>
      </c>
      <c r="T132" s="153" t="n">
        <f aca="false">IFERROR(IF(OR(NOT(ISNUMBER('Price History'!T133)),NOT(ISNUMBER('Price History'!T132)),'Price History'!T132=0),"",'Price History'!T133/'Price History'!T132-1),"")</f>
        <v>-0.0216189039718452</v>
      </c>
      <c r="U132" s="153" t="n">
        <f aca="false">IFERROR(IF(OR(NOT(ISNUMBER('Price History'!U133)),NOT(ISNUMBER('Price History'!U132)),'Price History'!U132=0),"",'Price History'!U133/'Price History'!U132-1),"")</f>
        <v>-0.010533245556287</v>
      </c>
      <c r="V132" s="154" t="n">
        <f aca="false">IFERROR(IF(OR(NOT(ISNUMBER('Price History'!V133)),NOT(ISNUMBER('Price History'!V132)),'Price History'!V132=0),"",'Price History'!V133/'Price History'!V132-1),"")</f>
        <v>-0.0322029609009237</v>
      </c>
      <c r="W132" s="155" t="n">
        <f aca="false">IFERROR('Price History'!B3+(INDEX('Price History'!B:B,MATCH(9.99E+307,'Returns (Calc)'!$A:$A)+1)-'Price History'!B3)*(ROW()-3)/(MATCH(9.99E+307,'Returns (Calc)'!$A:$A)-3),"")</f>
        <v>296.349245283019</v>
      </c>
      <c r="X132" s="155" t="n">
        <f aca="false">IFERROR('Price History'!C3+(INDEX('Price History'!C:C,MATCH(9.99E+307,'Returns (Calc)'!$A:$A)+1)-'Price History'!C3)*(ROW()-3)/(MATCH(9.99E+307,'Returns (Calc)'!$A:$A)-3),"")</f>
        <v>184.558867924528</v>
      </c>
      <c r="Y132" s="155" t="n">
        <f aca="false">IFERROR('Price History'!D3+(INDEX('Price History'!D:D,MATCH(9.99E+307,'Returns (Calc)'!$A:$A)+1)-'Price History'!D3)*(ROW()-3)/(MATCH(9.99E+307,'Returns (Calc)'!$A:$A)-3),"")</f>
        <v>1554.24</v>
      </c>
      <c r="Z132" s="155" t="n">
        <f aca="false">IFERROR('Price History'!E3+(INDEX('Price History'!E:E,MATCH(9.99E+307,'Returns (Calc)'!$A:$A)+1)-'Price History'!E3)*(ROW()-3)/(MATCH(9.99E+307,'Returns (Calc)'!$A:$A)-3),"")</f>
        <v>308.796603773585</v>
      </c>
      <c r="AA132" s="155" t="n">
        <f aca="false">IFERROR('Price History'!F3+(INDEX('Price History'!F:F,MATCH(9.99E+307,'Returns (Calc)'!$A:$A)+1)-'Price History'!F3)*(ROW()-3)/(MATCH(9.99E+307,'Returns (Calc)'!$A:$A)-3),"")</f>
        <v>230.949433962264</v>
      </c>
      <c r="AB132" s="155" t="n">
        <f aca="false">IFERROR('Price History'!G3+(INDEX('Price History'!G:G,MATCH(9.99E+307,'Returns (Calc)'!$A:$A)+1)-'Price History'!G3)*(ROW()-3)/(MATCH(9.99E+307,'Returns (Calc)'!$A:$A)-3),"")</f>
        <v>167.037924528302</v>
      </c>
      <c r="AC132" s="155" t="n">
        <f aca="false">IFERROR('Price History'!H3+(INDEX('Price History'!H:H,MATCH(9.99E+307,'Returns (Calc)'!$A:$A)+1)-'Price History'!H3)*(ROW()-3)/(MATCH(9.99E+307,'Returns (Calc)'!$A:$A)-3),"")</f>
        <v>847.888679245283</v>
      </c>
      <c r="AD132" s="155" t="n">
        <f aca="false">IFERROR('Price History'!I3+(INDEX('Price History'!I:I,MATCH(9.99E+307,'Returns (Calc)'!$A:$A)+1)-'Price History'!I3)*(ROW()-3)/(MATCH(9.99E+307,'Returns (Calc)'!$A:$A)-3),"")</f>
        <v>194.278113207547</v>
      </c>
      <c r="AE132" s="155" t="n">
        <f aca="false">IFERROR('Price History'!J3+(INDEX('Price History'!J:J,MATCH(9.99E+307,'Returns (Calc)'!$A:$A)+1)-'Price History'!J3)*(ROW()-3)/(MATCH(9.99E+307,'Returns (Calc)'!$A:$A)-3),"")</f>
        <v>126.159811320755</v>
      </c>
      <c r="AF132" s="155" t="n">
        <f aca="false">IFERROR('Price History'!K3+(INDEX('Price History'!K:K,MATCH(9.99E+307,'Returns (Calc)'!$A:$A)+1)-'Price History'!K3)*(ROW()-3)/(MATCH(9.99E+307,'Returns (Calc)'!$A:$A)-3),"")</f>
        <v>172.499056603774</v>
      </c>
      <c r="AG132" s="155" t="n">
        <f aca="false">IFERROR('Price History'!L3+(INDEX('Price History'!L:L,MATCH(9.99E+307,'Returns (Calc)'!$A:$A)+1)-'Price History'!L3)*(ROW()-3)/(MATCH(9.99E+307,'Returns (Calc)'!$A:$A)-3),"")</f>
        <v>383.959056603774</v>
      </c>
      <c r="AH132" s="155" t="n">
        <f aca="false">IFERROR('Price History'!M3+(INDEX('Price History'!M:M,MATCH(9.99E+307,'Returns (Calc)'!$A:$A)+1)-'Price History'!M3)*(ROW()-3)/(MATCH(9.99E+307,'Returns (Calc)'!$A:$A)-3),"")</f>
        <v>204.146037735849</v>
      </c>
      <c r="AI132" s="155" t="n">
        <f aca="false">IFERROR('Price History'!N3+(INDEX('Price History'!N:N,MATCH(9.99E+307,'Returns (Calc)'!$A:$A)+1)-'Price History'!N3)*(ROW()-3)/(MATCH(9.99E+307,'Returns (Calc)'!$A:$A)-3),"")</f>
        <v>479.668679245283</v>
      </c>
      <c r="AJ132" s="155" t="n">
        <f aca="false">IFERROR('Price History'!O3+(INDEX('Price History'!O:O,MATCH(9.99E+307,'Returns (Calc)'!$A:$A)+1)-'Price History'!O3)*(ROW()-3)/(MATCH(9.99E+307,'Returns (Calc)'!$A:$A)-3),"")</f>
        <v>111.275849056604</v>
      </c>
      <c r="AK132" s="155" t="n">
        <f aca="false">IFERROR('Price History'!Q3+(INDEX('Price History'!Q:Q,MATCH(9.99E+307,'Returns (Calc)'!$A:$A)+1)-'Price History'!Q3)*(ROW()-3)/(MATCH(9.99E+307,'Returns (Calc)'!$A:$A)-3),"")</f>
        <v>56.7681132075472</v>
      </c>
      <c r="AL132" s="155" t="n">
        <f aca="false">IFERROR('Price History'!R3+(INDEX('Price History'!R:R,MATCH(9.99E+307,'Returns (Calc)'!$A:$A)+1)-'Price History'!R3)*(ROW()-3)/(MATCH(9.99E+307,'Returns (Calc)'!$A:$A)-3),"")</f>
        <v>56.0692452830189</v>
      </c>
      <c r="AM132" s="155" t="n">
        <f aca="false">IFERROR('Price History'!S3+(INDEX('Price History'!S:S,MATCH(9.99E+307,'Returns (Calc)'!$A:$A)+1)-'Price History'!S3)*(ROW()-3)/(MATCH(9.99E+307,'Returns (Calc)'!$A:$A)-3),"")</f>
        <v>133.512830188679</v>
      </c>
      <c r="AN132" s="155" t="n">
        <f aca="false">IFERROR('Price History'!T3+(INDEX('Price History'!T:T,MATCH(9.99E+307,'Returns (Calc)'!$A:$A)+1)-'Price History'!T3)*(ROW()-3)/(MATCH(9.99E+307,'Returns (Calc)'!$A:$A)-3),"")</f>
        <v>47.6230188679245</v>
      </c>
      <c r="AO132" s="156" t="n">
        <f aca="false">IFERROR('Price History'!V3+(INDEX('Price History'!V:V,MATCH(9.99E+307,'Returns (Calc)'!$A:$A)+1)-'Price History'!V3)*(ROW()-3)/(MATCH(9.99E+307,'Returns (Calc)'!$A:$A)-3),"")</f>
        <v>357.182075471698</v>
      </c>
      <c r="AP132" s="154" t="n">
        <f aca="false">IFERROR(IF(OR(NOT(ISNUMBER('Price History'!W133)),NOT(ISNUMBER('Price History'!W132)),'Price History'!W132=0),"",'Price History'!W133/'Price History'!W132-1),"")</f>
        <v>-0.0153264465599893</v>
      </c>
      <c r="AQ132" s="154" t="n">
        <f aca="false">IFERROR(IF(OR(NOT(ISNUMBER('Price History'!X133)),NOT(ISNUMBER('Price History'!X132)),'Price History'!X132=0),"",'Price History'!X133/'Price History'!X132-1),"")</f>
        <v>-0.00426439232409392</v>
      </c>
      <c r="AR132" s="154" t="n">
        <f aca="false">IFERROR(IF(OR(NOT(ISNUMBER('Price History'!Y133)),NOT(ISNUMBER('Price History'!Y132)),'Price History'!Y132=0),"",'Price History'!Y133/'Price History'!Y132-1),"")</f>
        <v>-0.0171604046242775</v>
      </c>
      <c r="AS132" s="154" t="n">
        <f aca="false">IFERROR(IF(OR(NOT(ISNUMBER('Price History'!Z133)),NOT(ISNUMBER('Price History'!Z132)),'Price History'!Z132=0),"",'Price History'!Z133/'Price History'!Z132-1),"")</f>
        <v>-0.0711421911421911</v>
      </c>
      <c r="AT132" s="154" t="n">
        <f aca="false">IFERROR(IF(OR(NOT(ISNUMBER('Price History'!AA133)),NOT(ISNUMBER('Price History'!AA132)),'Price History'!AA132=0),"",'Price History'!AA133/'Price History'!AA132-1),"")</f>
        <v>-0.0374671783478084</v>
      </c>
      <c r="AU132" s="154" t="n">
        <f aca="false">IFERROR(IF(OR(NOT(ISNUMBER('Price History'!AB133)),NOT(ISNUMBER('Price History'!AB132)),'Price History'!AB132=0),"",'Price History'!AB133/'Price History'!AB132-1),"")</f>
        <v>-0.0849659829147271</v>
      </c>
    </row>
    <row r="133" customFormat="false" ht="15" hidden="false" customHeight="true" outlineLevel="0" collapsed="false">
      <c r="A133" s="152" t="n">
        <f aca="false">IF('Price History'!A134="","",'Price History'!A134)</f>
        <v>46101</v>
      </c>
      <c r="B133" s="153" t="n">
        <f aca="false">IFERROR(IF(OR(NOT(ISNUMBER('Price History'!B134)),NOT(ISNUMBER('Price History'!B133)),'Price History'!B133=0),"",'Price History'!B134/'Price History'!B133-1),"")</f>
        <v>-0.0046927643189475</v>
      </c>
      <c r="C133" s="153" t="n">
        <f aca="false">IFERROR(IF(OR(NOT(ISNUMBER('Price History'!C134)),NOT(ISNUMBER('Price History'!C133)),'Price History'!C133=0),"",'Price History'!C134/'Price History'!C133-1),"")</f>
        <v>-0.0175937710563749</v>
      </c>
      <c r="D133" s="153" t="n">
        <f aca="false">IFERROR(IF(OR(NOT(ISNUMBER('Price History'!D134)),NOT(ISNUMBER('Price History'!D133)),'Price History'!D133=0),"",'Price History'!D134/'Price History'!D133-1),"")</f>
        <v>-0.0211331672905698</v>
      </c>
      <c r="E133" s="153" t="n">
        <f aca="false">IFERROR(IF(OR(NOT(ISNUMBER('Price History'!E134)),NOT(ISNUMBER('Price History'!E133)),'Price History'!E133=0),"",'Price History'!E134/'Price History'!E133-1),"")</f>
        <v>-0.0361434501701051</v>
      </c>
      <c r="F133" s="153" t="n">
        <f aca="false">IFERROR(IF(OR(NOT(ISNUMBER('Price History'!F134)),NOT(ISNUMBER('Price History'!F133)),'Price History'!F133=0),"",'Price History'!F134/'Price History'!F133-1),"")</f>
        <v>-0.074157913799348</v>
      </c>
      <c r="G133" s="153" t="n">
        <f aca="false">IFERROR(IF(OR(NOT(ISNUMBER('Price History'!G134)),NOT(ISNUMBER('Price History'!G133)),'Price History'!G133=0),"",'Price History'!G134/'Price History'!G133-1),"")</f>
        <v>0.0564584511023176</v>
      </c>
      <c r="H133" s="153" t="n">
        <f aca="false">IFERROR(IF(OR(NOT(ISNUMBER('Price History'!H134)),NOT(ISNUMBER('Price History'!H133)),'Price History'!H133=0),"",'Price History'!H134/'Price History'!H133-1),"")</f>
        <v>-0.00758411796473257</v>
      </c>
      <c r="I133" s="153" t="n">
        <f aca="false">IFERROR(IF(OR(NOT(ISNUMBER('Price History'!I134)),NOT(ISNUMBER('Price History'!I133)),'Price History'!I133=0),"",'Price History'!I134/'Price History'!I133-1),"")</f>
        <v>-0.0418705516014235</v>
      </c>
      <c r="J133" s="153" t="n">
        <f aca="false">IFERROR(IF(OR(NOT(ISNUMBER('Price History'!J134)),NOT(ISNUMBER('Price History'!J133)),'Price History'!J133=0),"",'Price History'!J134/'Price History'!J133-1),"")</f>
        <v>-0.0205080400838964</v>
      </c>
      <c r="K133" s="153" t="n">
        <f aca="false">IFERROR(IF(OR(NOT(ISNUMBER('Price History'!K134)),NOT(ISNUMBER('Price History'!K133)),'Price History'!K133=0),"",'Price History'!K134/'Price History'!K133-1),"")</f>
        <v>-0.00178867174561104</v>
      </c>
      <c r="L133" s="153" t="n">
        <f aca="false">IFERROR(IF(OR(NOT(ISNUMBER('Price History'!L134)),NOT(ISNUMBER('Price History'!L133)),'Price History'!L133=0),"",'Price History'!L134/'Price History'!L133-1),"")</f>
        <v>-0.0240712604641464</v>
      </c>
      <c r="M133" s="153" t="n">
        <f aca="false">IFERROR(IF(OR(NOT(ISNUMBER('Price History'!M134)),NOT(ISNUMBER('Price History'!M133)),'Price History'!M133=0),"",'Price History'!M134/'Price History'!M133-1),"")</f>
        <v>-0.0113645148821028</v>
      </c>
      <c r="N133" s="153" t="n">
        <f aca="false">IFERROR(IF(OR(NOT(ISNUMBER('Price History'!N134)),NOT(ISNUMBER('Price History'!N133)),'Price History'!N133=0),"",'Price History'!N134/'Price History'!N133-1),"")</f>
        <v>-0.032684194826778</v>
      </c>
      <c r="O133" s="153" t="n">
        <f aca="false">IFERROR(IF(OR(NOT(ISNUMBER('Price History'!O134)),NOT(ISNUMBER('Price History'!O133)),'Price History'!O133=0),"",'Price History'!O134/'Price History'!O133-1),"")</f>
        <v>-0.00198938992042452</v>
      </c>
      <c r="P133" s="153" t="n">
        <f aca="false">IFERROR(IF(OR(NOT(ISNUMBER('Price History'!P134)),NOT(ISNUMBER('Price History'!P133)),'Price History'!P133=0),"",'Price History'!P134/'Price History'!P133-1),"")</f>
        <v>-0.0233949945593036</v>
      </c>
      <c r="Q133" s="153" t="n">
        <f aca="false">IFERROR(IF(OR(NOT(ISNUMBER('Price History'!Q134)),NOT(ISNUMBER('Price History'!Q133)),'Price History'!Q133=0),"",'Price History'!Q134/'Price History'!Q133-1),"")</f>
        <v>-0.0111196911196911</v>
      </c>
      <c r="R133" s="153" t="n">
        <f aca="false">IFERROR(IF(OR(NOT(ISNUMBER('Price History'!R134)),NOT(ISNUMBER('Price History'!R133)),'Price History'!R133=0),"",'Price History'!R134/'Price History'!R133-1),"")</f>
        <v>-0.0140711161817837</v>
      </c>
      <c r="S133" s="153" t="n">
        <f aca="false">IFERROR(IF(OR(NOT(ISNUMBER('Price History'!S134)),NOT(ISNUMBER('Price History'!S133)),'Price History'!S133=0),"",'Price History'!S134/'Price History'!S133-1),"")</f>
        <v>-0.0206944324183912</v>
      </c>
      <c r="T133" s="153" t="n">
        <f aca="false">IFERROR(IF(OR(NOT(ISNUMBER('Price History'!T134)),NOT(ISNUMBER('Price History'!T133)),'Price History'!T133=0),"",'Price History'!T134/'Price History'!T133-1),"")</f>
        <v>0.00102774922918814</v>
      </c>
      <c r="U133" s="153" t="n">
        <f aca="false">IFERROR(IF(OR(NOT(ISNUMBER('Price History'!U134)),NOT(ISNUMBER('Price History'!U133)),'Price History'!U133=0),"",'Price History'!U134/'Price History'!U133-1),"")</f>
        <v>-0.0133067198935461</v>
      </c>
      <c r="V133" s="154" t="n">
        <f aca="false">IFERROR(IF(OR(NOT(ISNUMBER('Price History'!V134)),NOT(ISNUMBER('Price History'!V133)),'Price History'!V133=0),"",'Price History'!V134/'Price History'!V133-1),"")</f>
        <v>-0.0179773811858535</v>
      </c>
      <c r="W133" s="155" t="n">
        <f aca="false">IFERROR('Price History'!B3+(INDEX('Price History'!B:B,MATCH(9.99E+307,'Returns (Calc)'!$A:$A)+1)-'Price History'!B3)*(ROW()-3)/(MATCH(9.99E+307,'Returns (Calc)'!$A:$A)-3),"")</f>
        <v>294.546603773585</v>
      </c>
      <c r="X133" s="155" t="n">
        <f aca="false">IFERROR('Price History'!C3+(INDEX('Price History'!C:C,MATCH(9.99E+307,'Returns (Calc)'!$A:$A)+1)-'Price History'!C3)*(ROW()-3)/(MATCH(9.99E+307,'Returns (Calc)'!$A:$A)-3),"")</f>
        <v>185.631572327044</v>
      </c>
      <c r="Y133" s="155" t="n">
        <f aca="false">IFERROR('Price History'!D3+(INDEX('Price History'!D:D,MATCH(9.99E+307,'Returns (Calc)'!$A:$A)+1)-'Price History'!D3)*(ROW()-3)/(MATCH(9.99E+307,'Returns (Calc)'!$A:$A)-3),"")</f>
        <v>1561.77666666667</v>
      </c>
      <c r="Z133" s="155" t="n">
        <f aca="false">IFERROR('Price History'!E3+(INDEX('Price History'!E:E,MATCH(9.99E+307,'Returns (Calc)'!$A:$A)+1)-'Price History'!E3)*(ROW()-3)/(MATCH(9.99E+307,'Returns (Calc)'!$A:$A)-3),"")</f>
        <v>310.554716981132</v>
      </c>
      <c r="AA133" s="155" t="n">
        <f aca="false">IFERROR('Price History'!F3+(INDEX('Price History'!F:F,MATCH(9.99E+307,'Returns (Calc)'!$A:$A)+1)-'Price History'!F3)*(ROW()-3)/(MATCH(9.99E+307,'Returns (Calc)'!$A:$A)-3),"")</f>
        <v>232.419119496855</v>
      </c>
      <c r="AB133" s="155" t="n">
        <f aca="false">IFERROR('Price History'!G3+(INDEX('Price History'!G:G,MATCH(9.99E+307,'Returns (Calc)'!$A:$A)+1)-'Price History'!G3)*(ROW()-3)/(MATCH(9.99E+307,'Returns (Calc)'!$A:$A)-3),"")</f>
        <v>167.988993710692</v>
      </c>
      <c r="AC133" s="155" t="n">
        <f aca="false">IFERROR('Price History'!H3+(INDEX('Price History'!H:H,MATCH(9.99E+307,'Returns (Calc)'!$A:$A)+1)-'Price History'!H3)*(ROW()-3)/(MATCH(9.99E+307,'Returns (Calc)'!$A:$A)-3),"")</f>
        <v>853.92572327044</v>
      </c>
      <c r="AD133" s="155" t="n">
        <f aca="false">IFERROR('Price History'!I3+(INDEX('Price History'!I:I,MATCH(9.99E+307,'Returns (Calc)'!$A:$A)+1)-'Price History'!I3)*(ROW()-3)/(MATCH(9.99E+307,'Returns (Calc)'!$A:$A)-3),"")</f>
        <v>195.444842767296</v>
      </c>
      <c r="AE133" s="155" t="n">
        <f aca="false">IFERROR('Price History'!J3+(INDEX('Price History'!J:J,MATCH(9.99E+307,'Returns (Calc)'!$A:$A)+1)-'Price History'!J3)*(ROW()-3)/(MATCH(9.99E+307,'Returns (Calc)'!$A:$A)-3),"")</f>
        <v>126.270817610063</v>
      </c>
      <c r="AF133" s="155" t="n">
        <f aca="false">IFERROR('Price History'!K3+(INDEX('Price History'!K:K,MATCH(9.99E+307,'Returns (Calc)'!$A:$A)+1)-'Price History'!K3)*(ROW()-3)/(MATCH(9.99E+307,'Returns (Calc)'!$A:$A)-3),"")</f>
        <v>173.717421383648</v>
      </c>
      <c r="AG133" s="155" t="n">
        <f aca="false">IFERROR('Price History'!L3+(INDEX('Price History'!L:L,MATCH(9.99E+307,'Returns (Calc)'!$A:$A)+1)-'Price History'!L3)*(ROW()-3)/(MATCH(9.99E+307,'Returns (Calc)'!$A:$A)-3),"")</f>
        <v>386.270754716981</v>
      </c>
      <c r="AH133" s="155" t="n">
        <f aca="false">IFERROR('Price History'!M3+(INDEX('Price History'!M:M,MATCH(9.99E+307,'Returns (Calc)'!$A:$A)+1)-'Price History'!M3)*(ROW()-3)/(MATCH(9.99E+307,'Returns (Calc)'!$A:$A)-3),"")</f>
        <v>205.433836477987</v>
      </c>
      <c r="AI133" s="155" t="n">
        <f aca="false">IFERROR('Price History'!N3+(INDEX('Price History'!N:N,MATCH(9.99E+307,'Returns (Calc)'!$A:$A)+1)-'Price History'!N3)*(ROW()-3)/(MATCH(9.99E+307,'Returns (Calc)'!$A:$A)-3),"")</f>
        <v>480.682389937107</v>
      </c>
      <c r="AJ133" s="155" t="n">
        <f aca="false">IFERROR('Price History'!O3+(INDEX('Price History'!O:O,MATCH(9.99E+307,'Returns (Calc)'!$A:$A)+1)-'Price History'!O3)*(ROW()-3)/(MATCH(9.99E+307,'Returns (Calc)'!$A:$A)-3),"")</f>
        <v>111.55465408805</v>
      </c>
      <c r="AK133" s="155" t="n">
        <f aca="false">IFERROR('Price History'!Q3+(INDEX('Price History'!Q:Q,MATCH(9.99E+307,'Returns (Calc)'!$A:$A)+1)-'Price History'!Q3)*(ROW()-3)/(MATCH(9.99E+307,'Returns (Calc)'!$A:$A)-3),"")</f>
        <v>57.2081761006289</v>
      </c>
      <c r="AL133" s="155" t="n">
        <f aca="false">IFERROR('Price History'!R3+(INDEX('Price History'!R:R,MATCH(9.99E+307,'Returns (Calc)'!$A:$A)+1)-'Price History'!R3)*(ROW()-3)/(MATCH(9.99E+307,'Returns (Calc)'!$A:$A)-3),"")</f>
        <v>56.2366037735849</v>
      </c>
      <c r="AM133" s="155" t="n">
        <f aca="false">IFERROR('Price History'!S3+(INDEX('Price History'!S:S,MATCH(9.99E+307,'Returns (Calc)'!$A:$A)+1)-'Price History'!S3)*(ROW()-3)/(MATCH(9.99E+307,'Returns (Calc)'!$A:$A)-3),"")</f>
        <v>134.10106918239</v>
      </c>
      <c r="AN133" s="155" t="n">
        <f aca="false">IFERROR('Price History'!T3+(INDEX('Price History'!T:T,MATCH(9.99E+307,'Returns (Calc)'!$A:$A)+1)-'Price History'!T3)*(ROW()-3)/(MATCH(9.99E+307,'Returns (Calc)'!$A:$A)-3),"")</f>
        <v>47.7969182389937</v>
      </c>
      <c r="AO133" s="156" t="n">
        <f aca="false">IFERROR('Price History'!V3+(INDEX('Price History'!V:V,MATCH(9.99E+307,'Returns (Calc)'!$A:$A)+1)-'Price History'!V3)*(ROW()-3)/(MATCH(9.99E+307,'Returns (Calc)'!$A:$A)-3),"")</f>
        <v>358.124339622642</v>
      </c>
      <c r="AP133" s="154" t="n">
        <f aca="false">IFERROR(IF(OR(NOT(ISNUMBER('Price History'!W134)),NOT(ISNUMBER('Price History'!W133)),'Price History'!W133=0),"",'Price History'!W134/'Price History'!W133-1),"")</f>
        <v>-0.0161821173889195</v>
      </c>
      <c r="AQ133" s="154" t="n">
        <f aca="false">IFERROR(IF(OR(NOT(ISNUMBER('Price History'!X134)),NOT(ISNUMBER('Price History'!X133)),'Price History'!X133=0),"",'Price History'!X134/'Price History'!X133-1),"")</f>
        <v>0.0103173058205179</v>
      </c>
      <c r="AR133" s="154" t="n">
        <f aca="false">IFERROR(IF(OR(NOT(ISNUMBER('Price History'!Y134)),NOT(ISNUMBER('Price History'!Y133)),'Price History'!Y133=0),"",'Price History'!Y134/'Price History'!Y133-1),"")</f>
        <v>-0.0174600257305642</v>
      </c>
      <c r="AS133" s="154" t="n">
        <f aca="false">IFERROR(IF(OR(NOT(ISNUMBER('Price History'!Z134)),NOT(ISNUMBER('Price History'!Z133)),'Price History'!Z133=0),"",'Price History'!Z134/'Price History'!Z133-1),"")</f>
        <v>-0.0430301813558188</v>
      </c>
      <c r="AT133" s="154" t="n">
        <f aca="false">IFERROR(IF(OR(NOT(ISNUMBER('Price History'!AA134)),NOT(ISNUMBER('Price History'!AA133)),'Price History'!AA133=0),"",'Price History'!AA134/'Price History'!AA133-1),"")</f>
        <v>-0.0366173538978073</v>
      </c>
      <c r="AU133" s="154" t="n">
        <f aca="false">IFERROR(IF(OR(NOT(ISNUMBER('Price History'!AB134)),NOT(ISNUMBER('Price History'!AB133)),'Price History'!AB133=0),"",'Price History'!AB134/'Price History'!AB133-1),"")</f>
        <v>0.0290138640429338</v>
      </c>
    </row>
    <row r="134" customFormat="false" ht="15" hidden="false" customHeight="true" outlineLevel="0" collapsed="false">
      <c r="A134" s="152" t="n">
        <f aca="false">IF('Price History'!A135="","",'Price History'!A135)</f>
        <v>46108</v>
      </c>
      <c r="B134" s="153" t="n">
        <f aca="false">IFERROR(IF(OR(NOT(ISNUMBER('Price History'!B135)),NOT(ISNUMBER('Price History'!B134)),'Price History'!B134=0),"",'Price History'!B135/'Price History'!B134-1),"")</f>
        <v>-0.0536369131573645</v>
      </c>
      <c r="C134" s="153" t="n">
        <f aca="false">IFERROR(IF(OR(NOT(ISNUMBER('Price History'!C135)),NOT(ISNUMBER('Price History'!C134)),'Price History'!C134=0),"",'Price History'!C135/'Price History'!C134-1),"")</f>
        <v>-0.0796372504191435</v>
      </c>
      <c r="D134" s="153" t="n">
        <f aca="false">IFERROR(IF(OR(NOT(ISNUMBER('Price History'!D135)),NOT(ISNUMBER('Price History'!D134)),'Price History'!D134=0),"",'Price History'!D135/'Price History'!D134-1),"")</f>
        <v>-0.0112213182192157</v>
      </c>
      <c r="E134" s="153" t="n">
        <f aca="false">IFERROR(IF(OR(NOT(ISNUMBER('Price History'!E135)),NOT(ISNUMBER('Price History'!E134)),'Price History'!E134=0),"",'Price History'!E135/'Price History'!E134-1),"")</f>
        <v>-0.0296298694990447</v>
      </c>
      <c r="F134" s="153" t="n">
        <f aca="false">IFERROR(IF(OR(NOT(ISNUMBER('Price History'!F135)),NOT(ISNUMBER('Price History'!F134)),'Price History'!F134=0),"",'Price History'!F135/'Price History'!F134-1),"")</f>
        <v>-0.0964303178484107</v>
      </c>
      <c r="G134" s="153" t="n">
        <f aca="false">IFERROR(IF(OR(NOT(ISNUMBER('Price History'!G135)),NOT(ISNUMBER('Price History'!G134)),'Price History'!G134=0),"",'Price History'!G135/'Price History'!G134-1),"")</f>
        <v>-0.0370543776336031</v>
      </c>
      <c r="H134" s="153" t="n">
        <f aca="false">IFERROR(IF(OR(NOT(ISNUMBER('Price History'!H135)),NOT(ISNUMBER('Price History'!H134)),'Price History'!H134=0),"",'Price History'!H135/'Price History'!H134-1),"")</f>
        <v>-0.155302134103062</v>
      </c>
      <c r="I134" s="153" t="n">
        <f aca="false">IFERROR(IF(OR(NOT(ISNUMBER('Price History'!I135)),NOT(ISNUMBER('Price History'!I134)),'Price History'!I134=0),"",'Price History'!I135/'Price History'!I134-1),"")</f>
        <v>-0.0300040624455923</v>
      </c>
      <c r="J134" s="153" t="n">
        <f aca="false">IFERROR(IF(OR(NOT(ISNUMBER('Price History'!J135)),NOT(ISNUMBER('Price History'!J134)),'Price History'!J134=0),"",'Price History'!J135/'Price History'!J134-1),"")</f>
        <v>0.00689983345229583</v>
      </c>
      <c r="K134" s="153" t="n">
        <f aca="false">IFERROR(IF(OR(NOT(ISNUMBER('Price History'!K135)),NOT(ISNUMBER('Price History'!K134)),'Price History'!K134=0),"",'Price History'!K135/'Price History'!K134-1),"")</f>
        <v>-0.0505707459516858</v>
      </c>
      <c r="L134" s="153" t="n">
        <f aca="false">IFERROR(IF(OR(NOT(ISNUMBER('Price History'!L135)),NOT(ISNUMBER('Price History'!L134)),'Price History'!L134=0),"",'Price History'!L135/'Price History'!L134-1),"")</f>
        <v>-0.00760096462040949</v>
      </c>
      <c r="M134" s="153" t="n">
        <f aca="false">IFERROR(IF(OR(NOT(ISNUMBER('Price History'!M135)),NOT(ISNUMBER('Price History'!M134)),'Price History'!M134=0),"",'Price History'!M135/'Price History'!M134-1),"")</f>
        <v>-0.0187675946199561</v>
      </c>
      <c r="N134" s="153" t="n">
        <f aca="false">IFERROR(IF(OR(NOT(ISNUMBER('Price History'!N135)),NOT(ISNUMBER('Price History'!N134)),'Price History'!N134=0),"",'Price History'!N135/'Price History'!N134-1),"")</f>
        <v>-0.0461013215859031</v>
      </c>
      <c r="O134" s="153" t="n">
        <f aca="false">IFERROR(IF(OR(NOT(ISNUMBER('Price History'!O135)),NOT(ISNUMBER('Price History'!O134)),'Price History'!O134=0),"",'Price History'!O135/'Price History'!O134-1),"")</f>
        <v>0.0296155671570955</v>
      </c>
      <c r="P134" s="153" t="n">
        <f aca="false">IFERROR(IF(OR(NOT(ISNUMBER('Price History'!P135)),NOT(ISNUMBER('Price History'!P134)),'Price History'!P134=0),"",'Price History'!P135/'Price History'!P134-1),"")</f>
        <v>0.0244428969359334</v>
      </c>
      <c r="Q134" s="153" t="n">
        <f aca="false">IFERROR(IF(OR(NOT(ISNUMBER('Price History'!Q135)),NOT(ISNUMBER('Price History'!Q134)),'Price History'!Q134=0),"",'Price History'!Q135/'Price History'!Q134-1),"")</f>
        <v>-0.0128064969545526</v>
      </c>
      <c r="R134" s="153" t="n">
        <f aca="false">IFERROR(IF(OR(NOT(ISNUMBER('Price History'!R135)),NOT(ISNUMBER('Price History'!R134)),'Price History'!R134=0),"",'Price History'!R135/'Price History'!R134-1),"")</f>
        <v>-0.0293153326904533</v>
      </c>
      <c r="S134" s="153" t="n">
        <f aca="false">IFERROR(IF(OR(NOT(ISNUMBER('Price History'!S135)),NOT(ISNUMBER('Price History'!S134)),'Price History'!S134=0),"",'Price History'!S135/'Price History'!S134-1),"")</f>
        <v>-0.0277630415561451</v>
      </c>
      <c r="T134" s="153" t="n">
        <f aca="false">IFERROR(IF(OR(NOT(ISNUMBER('Price History'!T135)),NOT(ISNUMBER('Price History'!T134)),'Price History'!T134=0),"",'Price History'!T135/'Price History'!T134-1),"")</f>
        <v>-0.0125770020533882</v>
      </c>
      <c r="U134" s="153" t="n">
        <f aca="false">IFERROR(IF(OR(NOT(ISNUMBER('Price History'!U135)),NOT(ISNUMBER('Price History'!U134)),'Price History'!U134=0),"",'Price History'!U135/'Price History'!U134-1),"")</f>
        <v>0.0101146325016859</v>
      </c>
      <c r="V134" s="154" t="n">
        <f aca="false">IFERROR(IF(OR(NOT(ISNUMBER('Price History'!V135)),NOT(ISNUMBER('Price History'!V134)),'Price History'!V134=0),"",'Price History'!V135/'Price History'!V134-1),"")</f>
        <v>-0.0202369857542271</v>
      </c>
      <c r="W134" s="155" t="n">
        <f aca="false">IFERROR('Price History'!B3+(INDEX('Price History'!B:B,MATCH(9.99E+307,'Returns (Calc)'!$A:$A)+1)-'Price History'!B3)*(ROW()-3)/(MATCH(9.99E+307,'Returns (Calc)'!$A:$A)-3),"")</f>
        <v>292.743962264151</v>
      </c>
      <c r="X134" s="155" t="n">
        <f aca="false">IFERROR('Price History'!C3+(INDEX('Price History'!C:C,MATCH(9.99E+307,'Returns (Calc)'!$A:$A)+1)-'Price History'!C3)*(ROW()-3)/(MATCH(9.99E+307,'Returns (Calc)'!$A:$A)-3),"")</f>
        <v>186.70427672956</v>
      </c>
      <c r="Y134" s="155" t="n">
        <f aca="false">IFERROR('Price History'!D3+(INDEX('Price History'!D:D,MATCH(9.99E+307,'Returns (Calc)'!$A:$A)+1)-'Price History'!D3)*(ROW()-3)/(MATCH(9.99E+307,'Returns (Calc)'!$A:$A)-3),"")</f>
        <v>1569.31333333333</v>
      </c>
      <c r="Z134" s="155" t="n">
        <f aca="false">IFERROR('Price History'!E3+(INDEX('Price History'!E:E,MATCH(9.99E+307,'Returns (Calc)'!$A:$A)+1)-'Price History'!E3)*(ROW()-3)/(MATCH(9.99E+307,'Returns (Calc)'!$A:$A)-3),"")</f>
        <v>312.312830188679</v>
      </c>
      <c r="AA134" s="155" t="n">
        <f aca="false">IFERROR('Price History'!F3+(INDEX('Price History'!F:F,MATCH(9.99E+307,'Returns (Calc)'!$A:$A)+1)-'Price History'!F3)*(ROW()-3)/(MATCH(9.99E+307,'Returns (Calc)'!$A:$A)-3),"")</f>
        <v>233.888805031447</v>
      </c>
      <c r="AB134" s="155" t="n">
        <f aca="false">IFERROR('Price History'!G3+(INDEX('Price History'!G:G,MATCH(9.99E+307,'Returns (Calc)'!$A:$A)+1)-'Price History'!G3)*(ROW()-3)/(MATCH(9.99E+307,'Returns (Calc)'!$A:$A)-3),"")</f>
        <v>168.940062893082</v>
      </c>
      <c r="AC134" s="155" t="n">
        <f aca="false">IFERROR('Price History'!H3+(INDEX('Price History'!H:H,MATCH(9.99E+307,'Returns (Calc)'!$A:$A)+1)-'Price History'!H3)*(ROW()-3)/(MATCH(9.99E+307,'Returns (Calc)'!$A:$A)-3),"")</f>
        <v>859.962767295598</v>
      </c>
      <c r="AD134" s="155" t="n">
        <f aca="false">IFERROR('Price History'!I3+(INDEX('Price History'!I:I,MATCH(9.99E+307,'Returns (Calc)'!$A:$A)+1)-'Price History'!I3)*(ROW()-3)/(MATCH(9.99E+307,'Returns (Calc)'!$A:$A)-3),"")</f>
        <v>196.611572327044</v>
      </c>
      <c r="AE134" s="155" t="n">
        <f aca="false">IFERROR('Price History'!J3+(INDEX('Price History'!J:J,MATCH(9.99E+307,'Returns (Calc)'!$A:$A)+1)-'Price History'!J3)*(ROW()-3)/(MATCH(9.99E+307,'Returns (Calc)'!$A:$A)-3),"")</f>
        <v>126.381823899371</v>
      </c>
      <c r="AF134" s="155" t="n">
        <f aca="false">IFERROR('Price History'!K3+(INDEX('Price History'!K:K,MATCH(9.99E+307,'Returns (Calc)'!$A:$A)+1)-'Price History'!K3)*(ROW()-3)/(MATCH(9.99E+307,'Returns (Calc)'!$A:$A)-3),"")</f>
        <v>174.935786163522</v>
      </c>
      <c r="AG134" s="155" t="n">
        <f aca="false">IFERROR('Price History'!L3+(INDEX('Price History'!L:L,MATCH(9.99E+307,'Returns (Calc)'!$A:$A)+1)-'Price History'!L3)*(ROW()-3)/(MATCH(9.99E+307,'Returns (Calc)'!$A:$A)-3),"")</f>
        <v>388.582452830189</v>
      </c>
      <c r="AH134" s="155" t="n">
        <f aca="false">IFERROR('Price History'!M3+(INDEX('Price History'!M:M,MATCH(9.99E+307,'Returns (Calc)'!$A:$A)+1)-'Price History'!M3)*(ROW()-3)/(MATCH(9.99E+307,'Returns (Calc)'!$A:$A)-3),"")</f>
        <v>206.721635220126</v>
      </c>
      <c r="AI134" s="155" t="n">
        <f aca="false">IFERROR('Price History'!N3+(INDEX('Price History'!N:N,MATCH(9.99E+307,'Returns (Calc)'!$A:$A)+1)-'Price History'!N3)*(ROW()-3)/(MATCH(9.99E+307,'Returns (Calc)'!$A:$A)-3),"")</f>
        <v>481.696100628931</v>
      </c>
      <c r="AJ134" s="155" t="n">
        <f aca="false">IFERROR('Price History'!O3+(INDEX('Price History'!O:O,MATCH(9.99E+307,'Returns (Calc)'!$A:$A)+1)-'Price History'!O3)*(ROW()-3)/(MATCH(9.99E+307,'Returns (Calc)'!$A:$A)-3),"")</f>
        <v>111.833459119497</v>
      </c>
      <c r="AK134" s="155" t="n">
        <f aca="false">IFERROR('Price History'!Q3+(INDEX('Price History'!Q:Q,MATCH(9.99E+307,'Returns (Calc)'!$A:$A)+1)-'Price History'!Q3)*(ROW()-3)/(MATCH(9.99E+307,'Returns (Calc)'!$A:$A)-3),"")</f>
        <v>57.6482389937107</v>
      </c>
      <c r="AL134" s="155" t="n">
        <f aca="false">IFERROR('Price History'!R3+(INDEX('Price History'!R:R,MATCH(9.99E+307,'Returns (Calc)'!$A:$A)+1)-'Price History'!R3)*(ROW()-3)/(MATCH(9.99E+307,'Returns (Calc)'!$A:$A)-3),"")</f>
        <v>56.403962264151</v>
      </c>
      <c r="AM134" s="155" t="n">
        <f aca="false">IFERROR('Price History'!S3+(INDEX('Price History'!S:S,MATCH(9.99E+307,'Returns (Calc)'!$A:$A)+1)-'Price History'!S3)*(ROW()-3)/(MATCH(9.99E+307,'Returns (Calc)'!$A:$A)-3),"")</f>
        <v>134.689308176101</v>
      </c>
      <c r="AN134" s="155" t="n">
        <f aca="false">IFERROR('Price History'!T3+(INDEX('Price History'!T:T,MATCH(9.99E+307,'Returns (Calc)'!$A:$A)+1)-'Price History'!T3)*(ROW()-3)/(MATCH(9.99E+307,'Returns (Calc)'!$A:$A)-3),"")</f>
        <v>47.9708176100629</v>
      </c>
      <c r="AO134" s="156" t="n">
        <f aca="false">IFERROR('Price History'!V3+(INDEX('Price History'!V:V,MATCH(9.99E+307,'Returns (Calc)'!$A:$A)+1)-'Price History'!V3)*(ROW()-3)/(MATCH(9.99E+307,'Returns (Calc)'!$A:$A)-3),"")</f>
        <v>359.066603773585</v>
      </c>
      <c r="AP134" s="154" t="n">
        <f aca="false">IFERROR(IF(OR(NOT(ISNUMBER('Price History'!W135)),NOT(ISNUMBER('Price History'!W134)),'Price History'!W134=0),"",'Price History'!W135/'Price History'!W134-1),"")</f>
        <v>0.00362419849456375</v>
      </c>
      <c r="AQ134" s="154" t="n">
        <f aca="false">IFERROR(IF(OR(NOT(ISNUMBER('Price History'!X135)),NOT(ISNUMBER('Price History'!X134)),'Price History'!X134=0),"",'Price History'!X135/'Price History'!X134-1),"")</f>
        <v>0.0263969171483622</v>
      </c>
      <c r="AR134" s="154" t="n">
        <f aca="false">IFERROR(IF(OR(NOT(ISNUMBER('Price History'!Y135)),NOT(ISNUMBER('Price History'!Y134)),'Price History'!Y134=0),"",'Price History'!Y135/'Price History'!Y134-1),"")</f>
        <v>-0.00972689861578757</v>
      </c>
      <c r="AS134" s="154" t="n">
        <f aca="false">IFERROR(IF(OR(NOT(ISNUMBER('Price History'!Z135)),NOT(ISNUMBER('Price History'!Z134)),'Price History'!Z134=0),"",'Price History'!Z135/'Price History'!Z134-1),"")</f>
        <v>-0.013881118881119</v>
      </c>
      <c r="AT134" s="154" t="n">
        <f aca="false">IFERROR(IF(OR(NOT(ISNUMBER('Price History'!AA135)),NOT(ISNUMBER('Price History'!AA134)),'Price History'!AA134=0),"",'Price History'!AA135/'Price History'!AA134-1),"")</f>
        <v>0.0175343062513615</v>
      </c>
      <c r="AU134" s="154" t="n">
        <f aca="false">IFERROR(IF(OR(NOT(ISNUMBER('Price History'!AB135)),NOT(ISNUMBER('Price History'!AB134)),'Price History'!AB134=0),"",'Price History'!AB135/'Price History'!AB134-1),"")</f>
        <v>-0.0623675775520182</v>
      </c>
    </row>
    <row r="135" customFormat="false" ht="15" hidden="false" customHeight="true" outlineLevel="0" collapsed="false">
      <c r="A135" s="152" t="n">
        <f aca="false">IF('Price History'!A136="","",'Price History'!A136)</f>
        <v>46115</v>
      </c>
      <c r="B135" s="153" t="n">
        <f aca="false">IFERROR(IF(OR(NOT(ISNUMBER('Price History'!B136)),NOT(ISNUMBER('Price History'!B135)),'Price History'!B135=0),"",'Price History'!B136/'Price History'!B135-1),"")</f>
        <v>0.0344064043604155</v>
      </c>
      <c r="C135" s="153" t="n">
        <f aca="false">IFERROR(IF(OR(NOT(ISNUMBER('Price History'!C136)),NOT(ISNUMBER('Price History'!C135)),'Price History'!C135=0),"",'Price History'!C136/'Price History'!C135-1),"")</f>
        <v>0.0489359940382546</v>
      </c>
      <c r="D135" s="153" t="n">
        <f aca="false">IFERROR(IF(OR(NOT(ISNUMBER('Price History'!D136)),NOT(ISNUMBER('Price History'!D135)),'Price History'!D135=0),"",'Price History'!D136/'Price History'!D135-1),"")</f>
        <v>0.0113332562887631</v>
      </c>
      <c r="E135" s="153" t="n">
        <f aca="false">IFERROR(IF(OR(NOT(ISNUMBER('Price History'!E136)),NOT(ISNUMBER('Price History'!E135)),'Price History'!E135=0),"",'Price History'!E136/'Price History'!E135-1),"")</f>
        <v>0.0461189347927651</v>
      </c>
      <c r="F135" s="153" t="n">
        <f aca="false">IFERROR(IF(OR(NOT(ISNUMBER('Price History'!F136)),NOT(ISNUMBER('Price History'!F135)),'Price History'!F135=0),"",'Price History'!F136/'Price History'!F135-1),"")</f>
        <v>0.0799870115813399</v>
      </c>
      <c r="G135" s="153" t="n">
        <f aca="false">IFERROR(IF(OR(NOT(ISNUMBER('Price History'!G136)),NOT(ISNUMBER('Price History'!G135)),'Price History'!G135=0),"",'Price History'!G136/'Price History'!G135-1),"")</f>
        <v>0.0510523025630338</v>
      </c>
      <c r="H135" s="153" t="n">
        <f aca="false">IFERROR(IF(OR(NOT(ISNUMBER('Price History'!H136)),NOT(ISNUMBER('Price History'!H135)),'Price History'!H135=0),"",'Price History'!H136/'Price History'!H135-1),"")</f>
        <v>0.0256568259481262</v>
      </c>
      <c r="I135" s="153" t="n">
        <f aca="false">IFERROR(IF(OR(NOT(ISNUMBER('Price History'!I136)),NOT(ISNUMBER('Price History'!I135)),'Price History'!I135=0),"",'Price History'!I136/'Price History'!I135-1),"")</f>
        <v>0.0589326313270313</v>
      </c>
      <c r="J135" s="153" t="n">
        <f aca="false">IFERROR(IF(OR(NOT(ISNUMBER('Price History'!J136)),NOT(ISNUMBER('Price History'!J135)),'Price History'!J135=0),"",'Price History'!J136/'Price History'!J135-1),"")</f>
        <v>0.0378071833648392</v>
      </c>
      <c r="K135" s="153" t="n">
        <f aca="false">IFERROR(IF(OR(NOT(ISNUMBER('Price History'!K136)),NOT(ISNUMBER('Price History'!K135)),'Price History'!K135=0),"",'Price History'!K136/'Price History'!K135-1),"")</f>
        <v>0.0377464001118413</v>
      </c>
      <c r="L135" s="153" t="n">
        <f aca="false">IFERROR(IF(OR(NOT(ISNUMBER('Price History'!L136)),NOT(ISNUMBER('Price History'!L135)),'Price History'!L135=0),"",'Price History'!L136/'Price History'!L135-1),"")</f>
        <v>0.0376499538603505</v>
      </c>
      <c r="M135" s="153" t="n">
        <f aca="false">IFERROR(IF(OR(NOT(ISNUMBER('Price History'!M136)),NOT(ISNUMBER('Price History'!M135)),'Price History'!M135=0),"",'Price History'!M136/'Price History'!M135-1),"")</f>
        <v>0.0406837743066624</v>
      </c>
      <c r="N135" s="153" t="n">
        <f aca="false">IFERROR(IF(OR(NOT(ISNUMBER('Price History'!N136)),NOT(ISNUMBER('Price History'!N135)),'Price History'!N135=0),"",'Price History'!N136/'Price History'!N135-1),"")</f>
        <v>0.0130232987738703</v>
      </c>
      <c r="O135" s="153" t="n">
        <f aca="false">IFERROR(IF(OR(NOT(ISNUMBER('Price History'!O136)),NOT(ISNUMBER('Price History'!O135)),'Price History'!O135=0),"",'Price History'!O136/'Price History'!O135-1),"")</f>
        <v>0.0200977228726837</v>
      </c>
      <c r="P135" s="153" t="n">
        <f aca="false">IFERROR(IF(OR(NOT(ISNUMBER('Price History'!P136)),NOT(ISNUMBER('Price History'!P135)),'Price History'!P135=0),"",'Price History'!P136/'Price History'!P135-1),"")</f>
        <v>0.0144789613214602</v>
      </c>
      <c r="Q135" s="153" t="n">
        <f aca="false">IFERROR(IF(OR(NOT(ISNUMBER('Price History'!Q136)),NOT(ISNUMBER('Price History'!Q135)),'Price History'!Q135=0),"",'Price History'!Q136/'Price History'!Q135-1),"")</f>
        <v>0.0117070083847493</v>
      </c>
      <c r="R135" s="153" t="n">
        <f aca="false">IFERROR(IF(OR(NOT(ISNUMBER('Price History'!R136)),NOT(ISNUMBER('Price History'!R135)),'Price History'!R135=0),"",'Price History'!R136/'Price History'!R135-1),"")</f>
        <v>0.0375521557719054</v>
      </c>
      <c r="S135" s="153" t="n">
        <f aca="false">IFERROR(IF(OR(NOT(ISNUMBER('Price History'!S136)),NOT(ISNUMBER('Price History'!S135)),'Price History'!S135=0),"",'Price History'!S136/'Price History'!S135-1),"")</f>
        <v>0.0401964350672972</v>
      </c>
      <c r="T135" s="153" t="n">
        <f aca="false">IFERROR(IF(OR(NOT(ISNUMBER('Price History'!T136)),NOT(ISNUMBER('Price History'!T135)),'Price History'!T135=0),"",'Price History'!T136/'Price History'!T135-1),"")</f>
        <v>0.0283337665713543</v>
      </c>
      <c r="U135" s="153" t="n">
        <f aca="false">IFERROR(IF(OR(NOT(ISNUMBER('Price History'!U136)),NOT(ISNUMBER('Price History'!U135)),'Price History'!U135=0),"",'Price History'!U136/'Price History'!U135-1),"")</f>
        <v>0.00400534045393841</v>
      </c>
      <c r="V135" s="154" t="n">
        <f aca="false">IFERROR(IF(OR(NOT(ISNUMBER('Price History'!V136)),NOT(ISNUMBER('Price History'!V135)),'Price History'!V135=0),"",'Price History'!V136/'Price History'!V135-1),"")</f>
        <v>0.0178692757168093</v>
      </c>
      <c r="W135" s="155" t="n">
        <f aca="false">IFERROR('Price History'!B3+(INDEX('Price History'!B:B,MATCH(9.99E+307,'Returns (Calc)'!$A:$A)+1)-'Price History'!B3)*(ROW()-3)/(MATCH(9.99E+307,'Returns (Calc)'!$A:$A)-3),"")</f>
        <v>290.941320754717</v>
      </c>
      <c r="X135" s="155" t="n">
        <f aca="false">IFERROR('Price History'!C3+(INDEX('Price History'!C:C,MATCH(9.99E+307,'Returns (Calc)'!$A:$A)+1)-'Price History'!C3)*(ROW()-3)/(MATCH(9.99E+307,'Returns (Calc)'!$A:$A)-3),"")</f>
        <v>187.776981132076</v>
      </c>
      <c r="Y135" s="155" t="n">
        <f aca="false">IFERROR('Price History'!D3+(INDEX('Price History'!D:D,MATCH(9.99E+307,'Returns (Calc)'!$A:$A)+1)-'Price History'!D3)*(ROW()-3)/(MATCH(9.99E+307,'Returns (Calc)'!$A:$A)-3),"")</f>
        <v>1576.85</v>
      </c>
      <c r="Z135" s="155" t="n">
        <f aca="false">IFERROR('Price History'!E3+(INDEX('Price History'!E:E,MATCH(9.99E+307,'Returns (Calc)'!$A:$A)+1)-'Price History'!E3)*(ROW()-3)/(MATCH(9.99E+307,'Returns (Calc)'!$A:$A)-3),"")</f>
        <v>314.070943396226</v>
      </c>
      <c r="AA135" s="155" t="n">
        <f aca="false">IFERROR('Price History'!F3+(INDEX('Price History'!F:F,MATCH(9.99E+307,'Returns (Calc)'!$A:$A)+1)-'Price History'!F3)*(ROW()-3)/(MATCH(9.99E+307,'Returns (Calc)'!$A:$A)-3),"")</f>
        <v>235.358490566038</v>
      </c>
      <c r="AB135" s="155" t="n">
        <f aca="false">IFERROR('Price History'!G3+(INDEX('Price History'!G:G,MATCH(9.99E+307,'Returns (Calc)'!$A:$A)+1)-'Price History'!G3)*(ROW()-3)/(MATCH(9.99E+307,'Returns (Calc)'!$A:$A)-3),"")</f>
        <v>169.891132075472</v>
      </c>
      <c r="AC135" s="155" t="n">
        <f aca="false">IFERROR('Price History'!H3+(INDEX('Price History'!H:H,MATCH(9.99E+307,'Returns (Calc)'!$A:$A)+1)-'Price History'!H3)*(ROW()-3)/(MATCH(9.99E+307,'Returns (Calc)'!$A:$A)-3),"")</f>
        <v>865.999811320755</v>
      </c>
      <c r="AD135" s="155" t="n">
        <f aca="false">IFERROR('Price History'!I3+(INDEX('Price History'!I:I,MATCH(9.99E+307,'Returns (Calc)'!$A:$A)+1)-'Price History'!I3)*(ROW()-3)/(MATCH(9.99E+307,'Returns (Calc)'!$A:$A)-3),"")</f>
        <v>197.778301886792</v>
      </c>
      <c r="AE135" s="155" t="n">
        <f aca="false">IFERROR('Price History'!J3+(INDEX('Price History'!J:J,MATCH(9.99E+307,'Returns (Calc)'!$A:$A)+1)-'Price History'!J3)*(ROW()-3)/(MATCH(9.99E+307,'Returns (Calc)'!$A:$A)-3),"")</f>
        <v>126.492830188679</v>
      </c>
      <c r="AF135" s="155" t="n">
        <f aca="false">IFERROR('Price History'!K3+(INDEX('Price History'!K:K,MATCH(9.99E+307,'Returns (Calc)'!$A:$A)+1)-'Price History'!K3)*(ROW()-3)/(MATCH(9.99E+307,'Returns (Calc)'!$A:$A)-3),"")</f>
        <v>176.154150943396</v>
      </c>
      <c r="AG135" s="155" t="n">
        <f aca="false">IFERROR('Price History'!L3+(INDEX('Price History'!L:L,MATCH(9.99E+307,'Returns (Calc)'!$A:$A)+1)-'Price History'!L3)*(ROW()-3)/(MATCH(9.99E+307,'Returns (Calc)'!$A:$A)-3),"")</f>
        <v>390.894150943396</v>
      </c>
      <c r="AH135" s="155" t="n">
        <f aca="false">IFERROR('Price History'!M3+(INDEX('Price History'!M:M,MATCH(9.99E+307,'Returns (Calc)'!$A:$A)+1)-'Price History'!M3)*(ROW()-3)/(MATCH(9.99E+307,'Returns (Calc)'!$A:$A)-3),"")</f>
        <v>208.009433962264</v>
      </c>
      <c r="AI135" s="155" t="n">
        <f aca="false">IFERROR('Price History'!N3+(INDEX('Price History'!N:N,MATCH(9.99E+307,'Returns (Calc)'!$A:$A)+1)-'Price History'!N3)*(ROW()-3)/(MATCH(9.99E+307,'Returns (Calc)'!$A:$A)-3),"")</f>
        <v>482.709811320755</v>
      </c>
      <c r="AJ135" s="155" t="n">
        <f aca="false">IFERROR('Price History'!O3+(INDEX('Price History'!O:O,MATCH(9.99E+307,'Returns (Calc)'!$A:$A)+1)-'Price History'!O3)*(ROW()-3)/(MATCH(9.99E+307,'Returns (Calc)'!$A:$A)-3),"")</f>
        <v>112.112264150943</v>
      </c>
      <c r="AK135" s="155" t="n">
        <f aca="false">IFERROR('Price History'!Q3+(INDEX('Price History'!Q:Q,MATCH(9.99E+307,'Returns (Calc)'!$A:$A)+1)-'Price History'!Q3)*(ROW()-3)/(MATCH(9.99E+307,'Returns (Calc)'!$A:$A)-3),"")</f>
        <v>58.0883018867924</v>
      </c>
      <c r="AL135" s="155" t="n">
        <f aca="false">IFERROR('Price History'!R3+(INDEX('Price History'!R:R,MATCH(9.99E+307,'Returns (Calc)'!$A:$A)+1)-'Price History'!R3)*(ROW()-3)/(MATCH(9.99E+307,'Returns (Calc)'!$A:$A)-3),"")</f>
        <v>56.571320754717</v>
      </c>
      <c r="AM135" s="155" t="n">
        <f aca="false">IFERROR('Price History'!S3+(INDEX('Price History'!S:S,MATCH(9.99E+307,'Returns (Calc)'!$A:$A)+1)-'Price History'!S3)*(ROW()-3)/(MATCH(9.99E+307,'Returns (Calc)'!$A:$A)-3),"")</f>
        <v>135.277547169811</v>
      </c>
      <c r="AN135" s="155" t="n">
        <f aca="false">IFERROR('Price History'!T3+(INDEX('Price History'!T:T,MATCH(9.99E+307,'Returns (Calc)'!$A:$A)+1)-'Price History'!T3)*(ROW()-3)/(MATCH(9.99E+307,'Returns (Calc)'!$A:$A)-3),"")</f>
        <v>48.1447169811321</v>
      </c>
      <c r="AO135" s="156" t="n">
        <f aca="false">IFERROR('Price History'!V3+(INDEX('Price History'!V:V,MATCH(9.99E+307,'Returns (Calc)'!$A:$A)+1)-'Price History'!V3)*(ROW()-3)/(MATCH(9.99E+307,'Returns (Calc)'!$A:$A)-3),"")</f>
        <v>360.008867924528</v>
      </c>
      <c r="AP135" s="154" t="n">
        <f aca="false">IFERROR(IF(OR(NOT(ISNUMBER('Price History'!W136)),NOT(ISNUMBER('Price History'!W135)),'Price History'!W135=0),"",'Price History'!W136/'Price History'!W135-1),"")</f>
        <v>0.0165277777777777</v>
      </c>
      <c r="AQ135" s="154" t="n">
        <f aca="false">IFERROR(IF(OR(NOT(ISNUMBER('Price History'!X136)),NOT(ISNUMBER('Price History'!X135)),'Price History'!X135=0),"",'Price History'!X136/'Price History'!X135-1),"")</f>
        <v>-0.0183968462549278</v>
      </c>
      <c r="AR135" s="154" t="n">
        <f aca="false">IFERROR(IF(OR(NOT(ISNUMBER('Price History'!Y136)),NOT(ISNUMBER('Price History'!Y135)),'Price History'!Y135=0),"",'Price History'!Y136/'Price History'!Y135-1),"")</f>
        <v>0.0238005289006424</v>
      </c>
      <c r="AS135" s="154" t="n">
        <f aca="false">IFERROR(IF(OR(NOT(ISNUMBER('Price History'!Z136)),NOT(ISNUMBER('Price History'!Z135)),'Price History'!Z135=0),"",'Price History'!Z136/'Price History'!Z135-1),"")</f>
        <v>-0.00585044144239966</v>
      </c>
      <c r="AT135" s="154" t="n">
        <f aca="false">IFERROR(IF(OR(NOT(ISNUMBER('Price History'!AA136)),NOT(ISNUMBER('Price History'!AA135)),'Price History'!AA135=0),"",'Price History'!AA136/'Price History'!AA135-1),"")</f>
        <v>0.0559777373434656</v>
      </c>
      <c r="AU135" s="154" t="n">
        <f aca="false">IFERROR(IF(OR(NOT(ISNUMBER('Price History'!AB136)),NOT(ISNUMBER('Price History'!AB135)),'Price History'!AB135=0),"",'Price History'!AB136/'Price History'!AB135-1),"")</f>
        <v>0.0080537690480329</v>
      </c>
    </row>
    <row r="136" customFormat="false" ht="15" hidden="false" customHeight="true" outlineLevel="0" collapsed="false">
      <c r="A136" s="152" t="n">
        <f aca="false">IF('Price History'!A137="","",'Price History'!A137)</f>
        <v>46122</v>
      </c>
      <c r="B136" s="153" t="n">
        <f aca="false">IFERROR(IF(OR(NOT(ISNUMBER('Price History'!B137)),NOT(ISNUMBER('Price History'!B136)),'Price History'!B136=0),"",'Price History'!B137/'Price History'!B136-1),"")</f>
        <v>-0.07232833854767</v>
      </c>
      <c r="C136" s="153" t="n">
        <f aca="false">IFERROR(IF(OR(NOT(ISNUMBER('Price History'!C137)),NOT(ISNUMBER('Price History'!C136)),'Price History'!C136=0),"",'Price History'!C137/'Price History'!C136-1),"")</f>
        <v>0.163167035048942</v>
      </c>
      <c r="D136" s="153" t="n">
        <f aca="false">IFERROR(IF(OR(NOT(ISNUMBER('Price History'!D137)),NOT(ISNUMBER('Price History'!D136)),'Price History'!D136=0),"",'Price History'!D137/'Price History'!D136-1),"")</f>
        <v>0.122263190772934</v>
      </c>
      <c r="E136" s="153" t="n">
        <f aca="false">IFERROR(IF(OR(NOT(ISNUMBER('Price History'!E137)),NOT(ISNUMBER('Price History'!E136)),'Price History'!E136=0),"",'Price History'!E137/'Price History'!E136-1),"")</f>
        <v>0.181223682531581</v>
      </c>
      <c r="F136" s="153" t="n">
        <f aca="false">IFERROR(IF(OR(NOT(ISNUMBER('Price History'!F137)),NOT(ISNUMBER('Price History'!F136)),'Price History'!F136=0),"",'Price History'!F137/'Price History'!F136-1),"")</f>
        <v>-0.0504109039887753</v>
      </c>
      <c r="G136" s="153" t="n">
        <f aca="false">IFERROR(IF(OR(NOT(ISNUMBER('Price History'!G137)),NOT(ISNUMBER('Price History'!G136)),'Price History'!G136=0),"",'Price History'!G137/'Price History'!G136-1),"")</f>
        <v>0.145321173671689</v>
      </c>
      <c r="H136" s="153" t="n">
        <f aca="false">IFERROR(IF(OR(NOT(ISNUMBER('Price History'!H137)),NOT(ISNUMBER('Price History'!H136)),'Price History'!H136=0),"",'Price History'!H137/'Price History'!H136-1),"")</f>
        <v>0.14842427221585</v>
      </c>
      <c r="I136" s="153" t="n">
        <f aca="false">IFERROR(IF(OR(NOT(ISNUMBER('Price History'!I137)),NOT(ISNUMBER('Price History'!I136)),'Price History'!I136=0),"",'Price History'!I137/'Price History'!I136-1),"")</f>
        <v>0.0633369116899258</v>
      </c>
      <c r="J136" s="153" t="n">
        <f aca="false">IFERROR(IF(OR(NOT(ISNUMBER('Price History'!J137)),NOT(ISNUMBER('Price History'!J136)),'Price History'!J136=0),"",'Price History'!J137/'Price History'!J136-1),"")</f>
        <v>0.0255768063145112</v>
      </c>
      <c r="K136" s="153" t="n">
        <f aca="false">IFERROR(IF(OR(NOT(ISNUMBER('Price History'!K137)),NOT(ISNUMBER('Price History'!K136)),'Price History'!K136=0),"",'Price History'!K137/'Price History'!K136-1),"")</f>
        <v>-0.13741075037047</v>
      </c>
      <c r="L136" s="153" t="n">
        <f aca="false">IFERROR(IF(OR(NOT(ISNUMBER('Price History'!L137)),NOT(ISNUMBER('Price History'!L136)),'Price History'!L136=0),"",'Price History'!L137/'Price History'!L136-1),"")</f>
        <v>0.0930811644038656</v>
      </c>
      <c r="M136" s="153" t="n">
        <f aca="false">IFERROR(IF(OR(NOT(ISNUMBER('Price History'!M137)),NOT(ISNUMBER('Price History'!M136)),'Price History'!M136=0),"",'Price History'!M137/'Price History'!M136-1),"")</f>
        <v>0.129455909943715</v>
      </c>
      <c r="N136" s="153" t="n">
        <f aca="false">IFERROR(IF(OR(NOT(ISNUMBER('Price History'!N137)),NOT(ISNUMBER('Price History'!N136)),'Price History'!N136=0),"",'Price History'!N137/'Price History'!N136-1),"")</f>
        <v>-0.0055617606163525</v>
      </c>
      <c r="O136" s="153" t="n">
        <f aca="false">IFERROR(IF(OR(NOT(ISNUMBER('Price History'!O137)),NOT(ISNUMBER('Price History'!O136)),'Price History'!O136=0),"",'Price History'!O137/'Price History'!O136-1),"")</f>
        <v>0.029733393583371</v>
      </c>
      <c r="P136" s="153" t="n">
        <f aca="false">IFERROR(IF(OR(NOT(ISNUMBER('Price History'!P137)),NOT(ISNUMBER('Price History'!P136)),'Price History'!P136=0),"",'Price History'!P137/'Price History'!P136-1),"")</f>
        <v>0.00515947467166966</v>
      </c>
      <c r="Q136" s="153" t="n">
        <f aca="false">IFERROR(IF(OR(NOT(ISNUMBER('Price History'!Q137)),NOT(ISNUMBER('Price History'!Q136)),'Price History'!Q136=0),"",'Price History'!Q137/'Price History'!Q136-1),"")</f>
        <v>0.0203283815480844</v>
      </c>
      <c r="R136" s="153" t="n">
        <f aca="false">IFERROR(IF(OR(NOT(ISNUMBER('Price History'!R137)),NOT(ISNUMBER('Price History'!R136)),'Price History'!R136=0),"",'Price History'!R137/'Price History'!R136-1),"")</f>
        <v>0.0363845270011489</v>
      </c>
      <c r="S136" s="153" t="n">
        <f aca="false">IFERROR(IF(OR(NOT(ISNUMBER('Price History'!S137)),NOT(ISNUMBER('Price History'!S136)),'Price History'!S136=0),"",'Price History'!S137/'Price History'!S136-1),"")</f>
        <v>0.0749256863087953</v>
      </c>
      <c r="T136" s="153" t="n">
        <f aca="false">IFERROR(IF(OR(NOT(ISNUMBER('Price History'!T137)),NOT(ISNUMBER('Price History'!T136)),'Price History'!T136=0),"",'Price History'!T137/'Price History'!T136-1),"")</f>
        <v>-0.0042972699696664</v>
      </c>
      <c r="U136" s="153" t="n">
        <f aca="false">IFERROR(IF(OR(NOT(ISNUMBER('Price History'!U137)),NOT(ISNUMBER('Price History'!U136)),'Price History'!U136=0),"",'Price History'!U137/'Price History'!U136-1),"")</f>
        <v>0</v>
      </c>
      <c r="V136" s="154" t="n">
        <f aca="false">IFERROR(IF(OR(NOT(ISNUMBER('Price History'!V137)),NOT(ISNUMBER('Price History'!V136)),'Price History'!V136=0),"",'Price History'!V137/'Price History'!V136-1),"")</f>
        <v>0.0118483412322274</v>
      </c>
      <c r="W136" s="155" t="n">
        <f aca="false">IFERROR('Price History'!B3+(INDEX('Price History'!B:B,MATCH(9.99E+307,'Returns (Calc)'!$A:$A)+1)-'Price History'!B3)*(ROW()-3)/(MATCH(9.99E+307,'Returns (Calc)'!$A:$A)-3),"")</f>
        <v>289.138679245283</v>
      </c>
      <c r="X136" s="155" t="n">
        <f aca="false">IFERROR('Price History'!C3+(INDEX('Price History'!C:C,MATCH(9.99E+307,'Returns (Calc)'!$A:$A)+1)-'Price History'!C3)*(ROW()-3)/(MATCH(9.99E+307,'Returns (Calc)'!$A:$A)-3),"")</f>
        <v>188.849685534591</v>
      </c>
      <c r="Y136" s="155" t="n">
        <f aca="false">IFERROR('Price History'!D3+(INDEX('Price History'!D:D,MATCH(9.99E+307,'Returns (Calc)'!$A:$A)+1)-'Price History'!D3)*(ROW()-3)/(MATCH(9.99E+307,'Returns (Calc)'!$A:$A)-3),"")</f>
        <v>1584.38666666667</v>
      </c>
      <c r="Z136" s="155" t="n">
        <f aca="false">IFERROR('Price History'!E3+(INDEX('Price History'!E:E,MATCH(9.99E+307,'Returns (Calc)'!$A:$A)+1)-'Price History'!E3)*(ROW()-3)/(MATCH(9.99E+307,'Returns (Calc)'!$A:$A)-3),"")</f>
        <v>315.829056603774</v>
      </c>
      <c r="AA136" s="155" t="n">
        <f aca="false">IFERROR('Price History'!F3+(INDEX('Price History'!F:F,MATCH(9.99E+307,'Returns (Calc)'!$A:$A)+1)-'Price History'!F3)*(ROW()-3)/(MATCH(9.99E+307,'Returns (Calc)'!$A:$A)-3),"")</f>
        <v>236.828176100629</v>
      </c>
      <c r="AB136" s="155" t="n">
        <f aca="false">IFERROR('Price History'!G3+(INDEX('Price History'!G:G,MATCH(9.99E+307,'Returns (Calc)'!$A:$A)+1)-'Price History'!G3)*(ROW()-3)/(MATCH(9.99E+307,'Returns (Calc)'!$A:$A)-3),"")</f>
        <v>170.842201257862</v>
      </c>
      <c r="AC136" s="155" t="n">
        <f aca="false">IFERROR('Price History'!H3+(INDEX('Price History'!H:H,MATCH(9.99E+307,'Returns (Calc)'!$A:$A)+1)-'Price History'!H3)*(ROW()-3)/(MATCH(9.99E+307,'Returns (Calc)'!$A:$A)-3),"")</f>
        <v>872.036855345912</v>
      </c>
      <c r="AD136" s="155" t="n">
        <f aca="false">IFERROR('Price History'!I3+(INDEX('Price History'!I:I,MATCH(9.99E+307,'Returns (Calc)'!$A:$A)+1)-'Price History'!I3)*(ROW()-3)/(MATCH(9.99E+307,'Returns (Calc)'!$A:$A)-3),"")</f>
        <v>198.945031446541</v>
      </c>
      <c r="AE136" s="155" t="n">
        <f aca="false">IFERROR('Price History'!J3+(INDEX('Price History'!J:J,MATCH(9.99E+307,'Returns (Calc)'!$A:$A)+1)-'Price History'!J3)*(ROW()-3)/(MATCH(9.99E+307,'Returns (Calc)'!$A:$A)-3),"")</f>
        <v>126.603836477987</v>
      </c>
      <c r="AF136" s="155" t="n">
        <f aca="false">IFERROR('Price History'!K3+(INDEX('Price History'!K:K,MATCH(9.99E+307,'Returns (Calc)'!$A:$A)+1)-'Price History'!K3)*(ROW()-3)/(MATCH(9.99E+307,'Returns (Calc)'!$A:$A)-3),"")</f>
        <v>177.37251572327</v>
      </c>
      <c r="AG136" s="155" t="n">
        <f aca="false">IFERROR('Price History'!L3+(INDEX('Price History'!L:L,MATCH(9.99E+307,'Returns (Calc)'!$A:$A)+1)-'Price History'!L3)*(ROW()-3)/(MATCH(9.99E+307,'Returns (Calc)'!$A:$A)-3),"")</f>
        <v>393.205849056604</v>
      </c>
      <c r="AH136" s="155" t="n">
        <f aca="false">IFERROR('Price History'!M3+(INDEX('Price History'!M:M,MATCH(9.99E+307,'Returns (Calc)'!$A:$A)+1)-'Price History'!M3)*(ROW()-3)/(MATCH(9.99E+307,'Returns (Calc)'!$A:$A)-3),"")</f>
        <v>209.297232704403</v>
      </c>
      <c r="AI136" s="155" t="n">
        <f aca="false">IFERROR('Price History'!N3+(INDEX('Price History'!N:N,MATCH(9.99E+307,'Returns (Calc)'!$A:$A)+1)-'Price History'!N3)*(ROW()-3)/(MATCH(9.99E+307,'Returns (Calc)'!$A:$A)-3),"")</f>
        <v>483.723522012579</v>
      </c>
      <c r="AJ136" s="155" t="n">
        <f aca="false">IFERROR('Price History'!O3+(INDEX('Price History'!O:O,MATCH(9.99E+307,'Returns (Calc)'!$A:$A)+1)-'Price History'!O3)*(ROW()-3)/(MATCH(9.99E+307,'Returns (Calc)'!$A:$A)-3),"")</f>
        <v>112.39106918239</v>
      </c>
      <c r="AK136" s="155" t="n">
        <f aca="false">IFERROR('Price History'!Q3+(INDEX('Price History'!Q:Q,MATCH(9.99E+307,'Returns (Calc)'!$A:$A)+1)-'Price History'!Q3)*(ROW()-3)/(MATCH(9.99E+307,'Returns (Calc)'!$A:$A)-3),"")</f>
        <v>58.5283647798742</v>
      </c>
      <c r="AL136" s="155" t="n">
        <f aca="false">IFERROR('Price History'!R3+(INDEX('Price History'!R:R,MATCH(9.99E+307,'Returns (Calc)'!$A:$A)+1)-'Price History'!R3)*(ROW()-3)/(MATCH(9.99E+307,'Returns (Calc)'!$A:$A)-3),"")</f>
        <v>56.738679245283</v>
      </c>
      <c r="AM136" s="155" t="n">
        <f aca="false">IFERROR('Price History'!S3+(INDEX('Price History'!S:S,MATCH(9.99E+307,'Returns (Calc)'!$A:$A)+1)-'Price History'!S3)*(ROW()-3)/(MATCH(9.99E+307,'Returns (Calc)'!$A:$A)-3),"")</f>
        <v>135.865786163522</v>
      </c>
      <c r="AN136" s="155" t="n">
        <f aca="false">IFERROR('Price History'!T3+(INDEX('Price History'!T:T,MATCH(9.99E+307,'Returns (Calc)'!$A:$A)+1)-'Price History'!T3)*(ROW()-3)/(MATCH(9.99E+307,'Returns (Calc)'!$A:$A)-3),"")</f>
        <v>48.3186163522013</v>
      </c>
      <c r="AO136" s="156" t="n">
        <f aca="false">IFERROR('Price History'!V3+(INDEX('Price History'!V:V,MATCH(9.99E+307,'Returns (Calc)'!$A:$A)+1)-'Price History'!V3)*(ROW()-3)/(MATCH(9.99E+307,'Returns (Calc)'!$A:$A)-3),"")</f>
        <v>360.951132075472</v>
      </c>
      <c r="AP136" s="154" t="n">
        <f aca="false">IFERROR(IF(OR(NOT(ISNUMBER('Price History'!W137)),NOT(ISNUMBER('Price History'!W136)),'Price History'!W136=0),"",'Price History'!W137/'Price History'!W136-1),"")</f>
        <v>0.0267112993578358</v>
      </c>
      <c r="AQ136" s="154" t="n">
        <f aca="false">IFERROR(IF(OR(NOT(ISNUMBER('Price History'!X137)),NOT(ISNUMBER('Price History'!X136)),'Price History'!X136=0),"",'Price History'!X137/'Price History'!X136-1),"")</f>
        <v>-0.00114744693057955</v>
      </c>
      <c r="AR136" s="154" t="n">
        <f aca="false">IFERROR(IF(OR(NOT(ISNUMBER('Price History'!Y137)),NOT(ISNUMBER('Price History'!Y136)),'Price History'!Y136=0),"",'Price History'!Y137/'Price History'!Y136-1),"")</f>
        <v>0.0193726937269372</v>
      </c>
      <c r="AS136" s="154" t="n">
        <f aca="false">IFERROR(IF(OR(NOT(ISNUMBER('Price History'!Z137)),NOT(ISNUMBER('Price History'!Z136)),'Price History'!Z136=0),"",'Price History'!Z137/'Price History'!Z136-1),"")</f>
        <v>0.0967258720308153</v>
      </c>
      <c r="AT136" s="154" t="n">
        <f aca="false">IFERROR(IF(OR(NOT(ISNUMBER('Price History'!AA137)),NOT(ISNUMBER('Price History'!AA136)),'Price History'!AA136=0),"",'Price History'!AA137/'Price History'!AA136-1),"")</f>
        <v>0.0440908169470911</v>
      </c>
      <c r="AU136" s="154" t="n">
        <f aca="false">IFERROR(IF(OR(NOT(ISNUMBER('Price History'!AB137)),NOT(ISNUMBER('Price History'!AB136)),'Price History'!AB136=0),"",'Price History'!AB137/'Price History'!AB136-1),"")</f>
        <v>-0.129612599149327</v>
      </c>
    </row>
    <row r="137" customFormat="false" ht="15" hidden="false" customHeight="true" outlineLevel="0" collapsed="false">
      <c r="A137" s="152" t="n">
        <f aca="false">IF('Price History'!A138="","",'Price History'!A138)</f>
        <v>46129</v>
      </c>
      <c r="B137" s="153" t="n">
        <f aca="false">IFERROR(IF(OR(NOT(ISNUMBER('Price History'!B138)),NOT(ISNUMBER('Price History'!B137)),'Price History'!B137=0),"",'Price History'!B138/'Price History'!B137-1),"")</f>
        <v>0.0847570445972932</v>
      </c>
      <c r="C137" s="153" t="n">
        <f aca="false">IFERROR(IF(OR(NOT(ISNUMBER('Price History'!C138)),NOT(ISNUMBER('Price History'!C137)),'Price History'!C137=0),"",'Price History'!C138/'Price History'!C137-1),"")</f>
        <v>0.114557176789956</v>
      </c>
      <c r="D137" s="153" t="n">
        <f aca="false">IFERROR(IF(OR(NOT(ISNUMBER('Price History'!D138)),NOT(ISNUMBER('Price History'!D137)),'Price History'!D137=0),"",'Price History'!D138/'Price History'!D137-1),"")</f>
        <v>-0.012497030173438</v>
      </c>
      <c r="E137" s="153" t="n">
        <f aca="false">IFERROR(IF(OR(NOT(ISNUMBER('Price History'!E138)),NOT(ISNUMBER('Price History'!E137)),'Price History'!E137=0),"",'Price History'!E138/'Price History'!E137-1),"")</f>
        <v>0.0941694347673445</v>
      </c>
      <c r="F137" s="153" t="n">
        <f aca="false">IFERROR(IF(OR(NOT(ISNUMBER('Price History'!F138)),NOT(ISNUMBER('Price History'!F137)),'Price History'!F137=0),"",'Price History'!F138/'Price History'!F137-1),"")</f>
        <v>0.118627968337731</v>
      </c>
      <c r="G137" s="153" t="n">
        <f aca="false">IFERROR(IF(OR(NOT(ISNUMBER('Price History'!G138)),NOT(ISNUMBER('Price History'!G137)),'Price History'!G137=0),"",'Price History'!G138/'Price History'!G137-1),"")</f>
        <v>0.0311580405054528</v>
      </c>
      <c r="H137" s="153" t="n">
        <f aca="false">IFERROR(IF(OR(NOT(ISNUMBER('Price History'!H138)),NOT(ISNUMBER('Price History'!H137)),'Price History'!H137=0),"",'Price History'!H138/'Price History'!H137-1),"")</f>
        <v>0.0819679927710271</v>
      </c>
      <c r="I137" s="153" t="n">
        <f aca="false">IFERROR(IF(OR(NOT(ISNUMBER('Price History'!I138)),NOT(ISNUMBER('Price History'!I137)),'Price History'!I137=0),"",'Price History'!I138/'Price History'!I137-1),"")</f>
        <v>0.069181721572795</v>
      </c>
      <c r="J137" s="153" t="n">
        <f aca="false">IFERROR(IF(OR(NOT(ISNUMBER('Price History'!J138)),NOT(ISNUMBER('Price History'!J137)),'Price History'!J137=0),"",'Price History'!J138/'Price History'!J137-1),"")</f>
        <v>0.0576481906312438</v>
      </c>
      <c r="K137" s="153" t="n">
        <f aca="false">IFERROR(IF(OR(NOT(ISNUMBER('Price History'!K138)),NOT(ISNUMBER('Price History'!K137)),'Price History'!K137=0),"",'Price History'!K138/'Price History'!K137-1),"")</f>
        <v>0.143136029985944</v>
      </c>
      <c r="L137" s="153" t="n">
        <f aca="false">IFERROR(IF(OR(NOT(ISNUMBER('Price History'!L138)),NOT(ISNUMBER('Price History'!L137)),'Price History'!L137=0),"",'Price History'!L138/'Price History'!L137-1),"")</f>
        <v>-0.0002440744155775</v>
      </c>
      <c r="M137" s="153" t="n">
        <f aca="false">IFERROR(IF(OR(NOT(ISNUMBER('Price History'!M138)),NOT(ISNUMBER('Price History'!M137)),'Price History'!M137=0),"",'Price History'!M138/'Price History'!M137-1),"")</f>
        <v>0.0414265373923655</v>
      </c>
      <c r="N137" s="153" t="n">
        <f aca="false">IFERROR(IF(OR(NOT(ISNUMBER('Price History'!N138)),NOT(ISNUMBER('Price History'!N137)),'Price History'!N137=0),"",'Price History'!N138/'Price History'!N137-1),"")</f>
        <v>0.0113003415316204</v>
      </c>
      <c r="O137" s="153" t="n">
        <f aca="false">IFERROR(IF(OR(NOT(ISNUMBER('Price History'!O138)),NOT(ISNUMBER('Price History'!O137)),'Price History'!O137=0),"",'Price History'!O138/'Price History'!O137-1),"")</f>
        <v>0.0243110408987186</v>
      </c>
      <c r="P137" s="153" t="n">
        <f aca="false">IFERROR(IF(OR(NOT(ISNUMBER('Price History'!P138)),NOT(ISNUMBER('Price History'!P137)),'Price History'!P137=0),"",'Price History'!P138/'Price History'!P137-1),"")</f>
        <v>0.00459969335377641</v>
      </c>
      <c r="Q137" s="153" t="n">
        <f aca="false">IFERROR(IF(OR(NOT(ISNUMBER('Price History'!Q138)),NOT(ISNUMBER('Price History'!Q137)),'Price History'!Q137=0),"",'Price History'!Q138/'Price History'!Q137-1),"")</f>
        <v>0.0257471264367817</v>
      </c>
      <c r="R137" s="153" t="n">
        <f aca="false">IFERROR(IF(OR(NOT(ISNUMBER('Price History'!R138)),NOT(ISNUMBER('Price History'!R137)),'Price History'!R137=0),"",'Price History'!R138/'Price History'!R137-1),"")</f>
        <v>0.018107908351811</v>
      </c>
      <c r="S137" s="153" t="n">
        <f aca="false">IFERROR(IF(OR(NOT(ISNUMBER('Price History'!S138)),NOT(ISNUMBER('Price History'!S137)),'Price History'!S137=0),"",'Price History'!S138/'Price History'!S137-1),"")</f>
        <v>0.0401789345262302</v>
      </c>
      <c r="T137" s="153" t="n">
        <f aca="false">IFERROR(IF(OR(NOT(ISNUMBER('Price History'!T138)),NOT(ISNUMBER('Price History'!T137)),'Price History'!T137=0),"",'Price History'!T138/'Price History'!T137-1),"")</f>
        <v>0.0535668951510535</v>
      </c>
      <c r="U137" s="153" t="n">
        <f aca="false">IFERROR(IF(OR(NOT(ISNUMBER('Price History'!U138)),NOT(ISNUMBER('Price History'!U137)),'Price History'!U137=0),"",'Price History'!U138/'Price History'!U137-1),"")</f>
        <v>0.0159574468085106</v>
      </c>
      <c r="V137" s="154" t="n">
        <f aca="false">IFERROR(IF(OR(NOT(ISNUMBER('Price History'!V138)),NOT(ISNUMBER('Price History'!V137)),'Price History'!V137=0),"",'Price History'!V138/'Price History'!V137-1),"")</f>
        <v>0.0415938252465613</v>
      </c>
      <c r="W137" s="155" t="n">
        <f aca="false">IFERROR('Price History'!B3+(INDEX('Price History'!B:B,MATCH(9.99E+307,'Returns (Calc)'!$A:$A)+1)-'Price History'!B3)*(ROW()-3)/(MATCH(9.99E+307,'Returns (Calc)'!$A:$A)-3),"")</f>
        <v>287.336037735849</v>
      </c>
      <c r="X137" s="155" t="n">
        <f aca="false">IFERROR('Price History'!C3+(INDEX('Price History'!C:C,MATCH(9.99E+307,'Returns (Calc)'!$A:$A)+1)-'Price History'!C3)*(ROW()-3)/(MATCH(9.99E+307,'Returns (Calc)'!$A:$A)-3),"")</f>
        <v>189.922389937107</v>
      </c>
      <c r="Y137" s="155" t="n">
        <f aca="false">IFERROR('Price History'!D3+(INDEX('Price History'!D:D,MATCH(9.99E+307,'Returns (Calc)'!$A:$A)+1)-'Price History'!D3)*(ROW()-3)/(MATCH(9.99E+307,'Returns (Calc)'!$A:$A)-3),"")</f>
        <v>1591.92333333333</v>
      </c>
      <c r="Z137" s="155" t="n">
        <f aca="false">IFERROR('Price History'!E3+(INDEX('Price History'!E:E,MATCH(9.99E+307,'Returns (Calc)'!$A:$A)+1)-'Price History'!E3)*(ROW()-3)/(MATCH(9.99E+307,'Returns (Calc)'!$A:$A)-3),"")</f>
        <v>317.587169811321</v>
      </c>
      <c r="AA137" s="155" t="n">
        <f aca="false">IFERROR('Price History'!F3+(INDEX('Price History'!F:F,MATCH(9.99E+307,'Returns (Calc)'!$A:$A)+1)-'Price History'!F3)*(ROW()-3)/(MATCH(9.99E+307,'Returns (Calc)'!$A:$A)-3),"")</f>
        <v>238.29786163522</v>
      </c>
      <c r="AB137" s="155" t="n">
        <f aca="false">IFERROR('Price History'!G3+(INDEX('Price History'!G:G,MATCH(9.99E+307,'Returns (Calc)'!$A:$A)+1)-'Price History'!G3)*(ROW()-3)/(MATCH(9.99E+307,'Returns (Calc)'!$A:$A)-3),"")</f>
        <v>171.793270440252</v>
      </c>
      <c r="AC137" s="155" t="n">
        <f aca="false">IFERROR('Price History'!H3+(INDEX('Price History'!H:H,MATCH(9.99E+307,'Returns (Calc)'!$A:$A)+1)-'Price History'!H3)*(ROW()-3)/(MATCH(9.99E+307,'Returns (Calc)'!$A:$A)-3),"")</f>
        <v>878.073899371069</v>
      </c>
      <c r="AD137" s="155" t="n">
        <f aca="false">IFERROR('Price History'!I3+(INDEX('Price History'!I:I,MATCH(9.99E+307,'Returns (Calc)'!$A:$A)+1)-'Price History'!I3)*(ROW()-3)/(MATCH(9.99E+307,'Returns (Calc)'!$A:$A)-3),"")</f>
        <v>200.111761006289</v>
      </c>
      <c r="AE137" s="155" t="n">
        <f aca="false">IFERROR('Price History'!J3+(INDEX('Price History'!J:J,MATCH(9.99E+307,'Returns (Calc)'!$A:$A)+1)-'Price History'!J3)*(ROW()-3)/(MATCH(9.99E+307,'Returns (Calc)'!$A:$A)-3),"")</f>
        <v>126.714842767296</v>
      </c>
      <c r="AF137" s="155" t="n">
        <f aca="false">IFERROR('Price History'!K3+(INDEX('Price History'!K:K,MATCH(9.99E+307,'Returns (Calc)'!$A:$A)+1)-'Price History'!K3)*(ROW()-3)/(MATCH(9.99E+307,'Returns (Calc)'!$A:$A)-3),"")</f>
        <v>178.590880503145</v>
      </c>
      <c r="AG137" s="155" t="n">
        <f aca="false">IFERROR('Price History'!L3+(INDEX('Price History'!L:L,MATCH(9.99E+307,'Returns (Calc)'!$A:$A)+1)-'Price History'!L3)*(ROW()-3)/(MATCH(9.99E+307,'Returns (Calc)'!$A:$A)-3),"")</f>
        <v>395.517547169811</v>
      </c>
      <c r="AH137" s="155" t="n">
        <f aca="false">IFERROR('Price History'!M3+(INDEX('Price History'!M:M,MATCH(9.99E+307,'Returns (Calc)'!$A:$A)+1)-'Price History'!M3)*(ROW()-3)/(MATCH(9.99E+307,'Returns (Calc)'!$A:$A)-3),"")</f>
        <v>210.585031446541</v>
      </c>
      <c r="AI137" s="155" t="n">
        <f aca="false">IFERROR('Price History'!N3+(INDEX('Price History'!N:N,MATCH(9.99E+307,'Returns (Calc)'!$A:$A)+1)-'Price History'!N3)*(ROW()-3)/(MATCH(9.99E+307,'Returns (Calc)'!$A:$A)-3),"")</f>
        <v>484.737232704403</v>
      </c>
      <c r="AJ137" s="155" t="n">
        <f aca="false">IFERROR('Price History'!O3+(INDEX('Price History'!O:O,MATCH(9.99E+307,'Returns (Calc)'!$A:$A)+1)-'Price History'!O3)*(ROW()-3)/(MATCH(9.99E+307,'Returns (Calc)'!$A:$A)-3),"")</f>
        <v>112.669874213836</v>
      </c>
      <c r="AK137" s="155" t="n">
        <f aca="false">IFERROR('Price History'!Q3+(INDEX('Price History'!Q:Q,MATCH(9.99E+307,'Returns (Calc)'!$A:$A)+1)-'Price History'!Q3)*(ROW()-3)/(MATCH(9.99E+307,'Returns (Calc)'!$A:$A)-3),"")</f>
        <v>58.968427672956</v>
      </c>
      <c r="AL137" s="155" t="n">
        <f aca="false">IFERROR('Price History'!R3+(INDEX('Price History'!R:R,MATCH(9.99E+307,'Returns (Calc)'!$A:$A)+1)-'Price History'!R3)*(ROW()-3)/(MATCH(9.99E+307,'Returns (Calc)'!$A:$A)-3),"")</f>
        <v>56.9060377358491</v>
      </c>
      <c r="AM137" s="155" t="n">
        <f aca="false">IFERROR('Price History'!S3+(INDEX('Price History'!S:S,MATCH(9.99E+307,'Returns (Calc)'!$A:$A)+1)-'Price History'!S3)*(ROW()-3)/(MATCH(9.99E+307,'Returns (Calc)'!$A:$A)-3),"")</f>
        <v>136.454025157233</v>
      </c>
      <c r="AN137" s="155" t="n">
        <f aca="false">IFERROR('Price History'!T3+(INDEX('Price History'!T:T,MATCH(9.99E+307,'Returns (Calc)'!$A:$A)+1)-'Price History'!T3)*(ROW()-3)/(MATCH(9.99E+307,'Returns (Calc)'!$A:$A)-3),"")</f>
        <v>48.4925157232704</v>
      </c>
      <c r="AO137" s="156" t="n">
        <f aca="false">IFERROR('Price History'!V3+(INDEX('Price History'!V:V,MATCH(9.99E+307,'Returns (Calc)'!$A:$A)+1)-'Price History'!V3)*(ROW()-3)/(MATCH(9.99E+307,'Returns (Calc)'!$A:$A)-3),"")</f>
        <v>361.893396226415</v>
      </c>
      <c r="AP137" s="154" t="n">
        <f aca="false">IFERROR(IF(OR(NOT(ISNUMBER('Price History'!W138)),NOT(ISNUMBER('Price History'!W137)),'Price History'!W137=0),"",'Price History'!W138/'Price History'!W137-1),"")</f>
        <v>0.0200279459711226</v>
      </c>
      <c r="AQ137" s="154" t="n">
        <f aca="false">IFERROR(IF(OR(NOT(ISNUMBER('Price History'!X138)),NOT(ISNUMBER('Price History'!X137)),'Price History'!X137=0),"",'Price History'!X138/'Price History'!X137-1),"")</f>
        <v>-0.0250813708596591</v>
      </c>
      <c r="AR137" s="154" t="n">
        <f aca="false">IFERROR(IF(OR(NOT(ISNUMBER('Price History'!Y138)),NOT(ISNUMBER('Price History'!Y137)),'Price History'!Y137=0),"",'Price History'!Y138/'Price History'!Y137-1),"")</f>
        <v>0.00434389140271496</v>
      </c>
      <c r="AS137" s="154" t="n">
        <f aca="false">IFERROR(IF(OR(NOT(ISNUMBER('Price History'!Z138)),NOT(ISNUMBER('Price History'!Z137)),'Price History'!Z137=0),"",'Price History'!Z138/'Price History'!Z137-1),"")</f>
        <v>-0.013691056910569</v>
      </c>
      <c r="AT137" s="154" t="n">
        <f aca="false">IFERROR(IF(OR(NOT(ISNUMBER('Price History'!AA138)),NOT(ISNUMBER('Price History'!AA137)),'Price History'!AA137=0),"",'Price History'!AA138/'Price History'!AA137-1),"")</f>
        <v>-0.0553344335501408</v>
      </c>
      <c r="AU137" s="154" t="n">
        <f aca="false">IFERROR(IF(OR(NOT(ISNUMBER('Price History'!AB138)),NOT(ISNUMBER('Price History'!AB137)),'Price History'!AB137=0),"",'Price History'!AB138/'Price History'!AB137-1),"")</f>
        <v>0.109093310440467</v>
      </c>
    </row>
    <row r="138" customFormat="false" ht="15" hidden="false" customHeight="true" outlineLevel="0" collapsed="false">
      <c r="A138" s="152" t="n">
        <f aca="false">IF('Price History'!A139="","",'Price History'!A139)</f>
        <v>46136</v>
      </c>
      <c r="B138" s="153" t="n">
        <f aca="false">IFERROR(IF(OR(NOT(ISNUMBER('Price History'!B139)),NOT(ISNUMBER('Price History'!B138)),'Price History'!B138=0),"",'Price History'!B139/'Price History'!B138-1),"")</f>
        <v>0.0040499079566374</v>
      </c>
      <c r="C138" s="153" t="n">
        <f aca="false">IFERROR(IF(OR(NOT(ISNUMBER('Price History'!C139)),NOT(ISNUMBER('Price History'!C138)),'Price History'!C138=0),"",'Price History'!C139/'Price History'!C138-1),"")</f>
        <v>0.0772087925470377</v>
      </c>
      <c r="D138" s="153" t="n">
        <f aca="false">IFERROR(IF(OR(NOT(ISNUMBER('Price History'!D139)),NOT(ISNUMBER('Price History'!D138)),'Price History'!D138=0),"",'Price History'!D139/'Price History'!D138-1),"")</f>
        <v>-0.00144355692426135</v>
      </c>
      <c r="E138" s="153" t="n">
        <f aca="false">IFERROR(IF(OR(NOT(ISNUMBER('Price History'!E139)),NOT(ISNUMBER('Price History'!E138)),'Price History'!E138=0),"",'Price History'!E139/'Price History'!E138-1),"")</f>
        <v>0.0398854773422845</v>
      </c>
      <c r="F138" s="153" t="n">
        <f aca="false">IFERROR(IF(OR(NOT(ISNUMBER('Price History'!F139)),NOT(ISNUMBER('Price History'!F138)),'Price History'!F138=0),"",'Price History'!F139/'Price History'!F138-1),"")</f>
        <v>0.0569865081611474</v>
      </c>
      <c r="G138" s="153" t="n">
        <f aca="false">IFERROR(IF(OR(NOT(ISNUMBER('Price History'!G139)),NOT(ISNUMBER('Price History'!G138)),'Price History'!G138=0),"",'Price History'!G139/'Price History'!G138-1),"")</f>
        <v>0.0801857758379496</v>
      </c>
      <c r="H138" s="153" t="n">
        <f aca="false">IFERROR(IF(OR(NOT(ISNUMBER('Price History'!H139)),NOT(ISNUMBER('Price History'!H138)),'Price History'!H138=0),"",'Price History'!H139/'Price History'!H138-1),"")</f>
        <v>0.0915164835164835</v>
      </c>
      <c r="I138" s="153" t="n">
        <f aca="false">IFERROR(IF(OR(NOT(ISNUMBER('Price History'!I139)),NOT(ISNUMBER('Price History'!I138)),'Price History'!I138=0),"",'Price History'!I139/'Price History'!I138-1),"")</f>
        <v>0.0327005267866019</v>
      </c>
      <c r="J138" s="153" t="n">
        <f aca="false">IFERROR(IF(OR(NOT(ISNUMBER('Price History'!J139)),NOT(ISNUMBER('Price History'!J138)),'Price History'!J138=0),"",'Price History'!J139/'Price History'!J138-1),"")</f>
        <v>-0.0207108872096277</v>
      </c>
      <c r="K138" s="153" t="n">
        <f aca="false">IFERROR(IF(OR(NOT(ISNUMBER('Price History'!K139)),NOT(ISNUMBER('Price History'!K138)),'Price History'!K138=0),"",'Price History'!K139/'Price History'!K138-1),"")</f>
        <v>-0.0225425233964067</v>
      </c>
      <c r="L138" s="153" t="n">
        <f aca="false">IFERROR(IF(OR(NOT(ISNUMBER('Price History'!L139)),NOT(ISNUMBER('Price History'!L138)),'Price History'!L138=0),"",'Price History'!L139/'Price History'!L138-1),"")</f>
        <v>0.0862606808626067</v>
      </c>
      <c r="M138" s="153" t="n">
        <f aca="false">IFERROR(IF(OR(NOT(ISNUMBER('Price History'!M139)),NOT(ISNUMBER('Price History'!M138)),'Price History'!M138=0),"",'Price History'!M139/'Price History'!M138-1),"")</f>
        <v>0.05244140625</v>
      </c>
      <c r="N138" s="153" t="n">
        <f aca="false">IFERROR(IF(OR(NOT(ISNUMBER('Price History'!N139)),NOT(ISNUMBER('Price History'!N138)),'Price History'!N138=0),"",'Price History'!N139/'Price History'!N138-1),"")</f>
        <v>-0.0247280145058929</v>
      </c>
      <c r="O138" s="153" t="n">
        <f aca="false">IFERROR(IF(OR(NOT(ISNUMBER('Price History'!O139)),NOT(ISNUMBER('Price History'!O138)),'Price History'!O138=0),"",'Price History'!O139/'Price History'!O138-1),"")</f>
        <v>0.0122525918944392</v>
      </c>
      <c r="P138" s="153" t="n">
        <f aca="false">IFERROR(IF(OR(NOT(ISNUMBER('Price History'!P139)),NOT(ISNUMBER('Price History'!P138)),'Price History'!P138=0),"",'Price History'!P139/'Price History'!P138-1),"")</f>
        <v>-0.00809555408095553</v>
      </c>
      <c r="Q138" s="153" t="n">
        <f aca="false">IFERROR(IF(OR(NOT(ISNUMBER('Price History'!Q139)),NOT(ISNUMBER('Price History'!Q138)),'Price History'!Q138=0),"",'Price History'!Q139/'Price History'!Q138-1),"")</f>
        <v>0.00224114746750326</v>
      </c>
      <c r="R138" s="153" t="n">
        <f aca="false">IFERROR(IF(OR(NOT(ISNUMBER('Price History'!R139)),NOT(ISNUMBER('Price History'!R138)),'Price History'!R138=0),"",'Price History'!R139/'Price History'!R138-1),"")</f>
        <v>0.00562613430127024</v>
      </c>
      <c r="S138" s="153" t="n">
        <f aca="false">IFERROR(IF(OR(NOT(ISNUMBER('Price History'!S139)),NOT(ISNUMBER('Price History'!S138)),'Price History'!S138=0),"",'Price History'!S139/'Price History'!S138-1),"")</f>
        <v>0.0250996950504339</v>
      </c>
      <c r="T138" s="153" t="n">
        <f aca="false">IFERROR(IF(OR(NOT(ISNUMBER('Price History'!T139)),NOT(ISNUMBER('Price History'!T138)),'Price History'!T138=0),"",'Price History'!T139/'Price History'!T138-1),"")</f>
        <v>-0.00578313253012053</v>
      </c>
      <c r="U138" s="153" t="n">
        <f aca="false">IFERROR(IF(OR(NOT(ISNUMBER('Price History'!U139)),NOT(ISNUMBER('Price History'!U138)),'Price History'!U138=0),"",'Price History'!U139/'Price History'!U138-1),"")</f>
        <v>0.00490837696335089</v>
      </c>
      <c r="V138" s="154" t="n">
        <f aca="false">IFERROR(IF(OR(NOT(ISNUMBER('Price History'!V139)),NOT(ISNUMBER('Price History'!V138)),'Price History'!V138=0),"",'Price History'!V139/'Price History'!V138-1),"")</f>
        <v>-0.0239723858382418</v>
      </c>
      <c r="W138" s="155" t="n">
        <f aca="false">IFERROR('Price History'!B3+(INDEX('Price History'!B:B,MATCH(9.99E+307,'Returns (Calc)'!$A:$A)+1)-'Price History'!B3)*(ROW()-3)/(MATCH(9.99E+307,'Returns (Calc)'!$A:$A)-3),"")</f>
        <v>285.533396226415</v>
      </c>
      <c r="X138" s="155" t="n">
        <f aca="false">IFERROR('Price History'!C3+(INDEX('Price History'!C:C,MATCH(9.99E+307,'Returns (Calc)'!$A:$A)+1)-'Price History'!C3)*(ROW()-3)/(MATCH(9.99E+307,'Returns (Calc)'!$A:$A)-3),"")</f>
        <v>190.995094339623</v>
      </c>
      <c r="Y138" s="155" t="n">
        <f aca="false">IFERROR('Price History'!D3+(INDEX('Price History'!D:D,MATCH(9.99E+307,'Returns (Calc)'!$A:$A)+1)-'Price History'!D3)*(ROW()-3)/(MATCH(9.99E+307,'Returns (Calc)'!$A:$A)-3),"")</f>
        <v>1599.46</v>
      </c>
      <c r="Z138" s="155" t="n">
        <f aca="false">IFERROR('Price History'!E3+(INDEX('Price History'!E:E,MATCH(9.99E+307,'Returns (Calc)'!$A:$A)+1)-'Price History'!E3)*(ROW()-3)/(MATCH(9.99E+307,'Returns (Calc)'!$A:$A)-3),"")</f>
        <v>319.345283018868</v>
      </c>
      <c r="AA138" s="155" t="n">
        <f aca="false">IFERROR('Price History'!F3+(INDEX('Price History'!F:F,MATCH(9.99E+307,'Returns (Calc)'!$A:$A)+1)-'Price History'!F3)*(ROW()-3)/(MATCH(9.99E+307,'Returns (Calc)'!$A:$A)-3),"")</f>
        <v>239.767547169811</v>
      </c>
      <c r="AB138" s="155" t="n">
        <f aca="false">IFERROR('Price History'!G3+(INDEX('Price History'!G:G,MATCH(9.99E+307,'Returns (Calc)'!$A:$A)+1)-'Price History'!G3)*(ROW()-3)/(MATCH(9.99E+307,'Returns (Calc)'!$A:$A)-3),"")</f>
        <v>172.744339622642</v>
      </c>
      <c r="AC138" s="155" t="n">
        <f aca="false">IFERROR('Price History'!H3+(INDEX('Price History'!H:H,MATCH(9.99E+307,'Returns (Calc)'!$A:$A)+1)-'Price History'!H3)*(ROW()-3)/(MATCH(9.99E+307,'Returns (Calc)'!$A:$A)-3),"")</f>
        <v>884.110943396226</v>
      </c>
      <c r="AD138" s="155" t="n">
        <f aca="false">IFERROR('Price History'!I3+(INDEX('Price History'!I:I,MATCH(9.99E+307,'Returns (Calc)'!$A:$A)+1)-'Price History'!I3)*(ROW()-3)/(MATCH(9.99E+307,'Returns (Calc)'!$A:$A)-3),"")</f>
        <v>201.278490566038</v>
      </c>
      <c r="AE138" s="155" t="n">
        <f aca="false">IFERROR('Price History'!J3+(INDEX('Price History'!J:J,MATCH(9.99E+307,'Returns (Calc)'!$A:$A)+1)-'Price History'!J3)*(ROW()-3)/(MATCH(9.99E+307,'Returns (Calc)'!$A:$A)-3),"")</f>
        <v>126.825849056604</v>
      </c>
      <c r="AF138" s="155" t="n">
        <f aca="false">IFERROR('Price History'!K3+(INDEX('Price History'!K:K,MATCH(9.99E+307,'Returns (Calc)'!$A:$A)+1)-'Price History'!K3)*(ROW()-3)/(MATCH(9.99E+307,'Returns (Calc)'!$A:$A)-3),"")</f>
        <v>179.809245283019</v>
      </c>
      <c r="AG138" s="155" t="n">
        <f aca="false">IFERROR('Price History'!L3+(INDEX('Price History'!L:L,MATCH(9.99E+307,'Returns (Calc)'!$A:$A)+1)-'Price History'!L3)*(ROW()-3)/(MATCH(9.99E+307,'Returns (Calc)'!$A:$A)-3),"")</f>
        <v>397.829245283019</v>
      </c>
      <c r="AH138" s="155" t="n">
        <f aca="false">IFERROR('Price History'!M3+(INDEX('Price History'!M:M,MATCH(9.99E+307,'Returns (Calc)'!$A:$A)+1)-'Price History'!M3)*(ROW()-3)/(MATCH(9.99E+307,'Returns (Calc)'!$A:$A)-3),"")</f>
        <v>211.872830188679</v>
      </c>
      <c r="AI138" s="155" t="n">
        <f aca="false">IFERROR('Price History'!N3+(INDEX('Price History'!N:N,MATCH(9.99E+307,'Returns (Calc)'!$A:$A)+1)-'Price History'!N3)*(ROW()-3)/(MATCH(9.99E+307,'Returns (Calc)'!$A:$A)-3),"")</f>
        <v>485.750943396226</v>
      </c>
      <c r="AJ138" s="155" t="n">
        <f aca="false">IFERROR('Price History'!O3+(INDEX('Price History'!O:O,MATCH(9.99E+307,'Returns (Calc)'!$A:$A)+1)-'Price History'!O3)*(ROW()-3)/(MATCH(9.99E+307,'Returns (Calc)'!$A:$A)-3),"")</f>
        <v>112.948679245283</v>
      </c>
      <c r="AK138" s="155" t="n">
        <f aca="false">IFERROR('Price History'!Q3+(INDEX('Price History'!Q:Q,MATCH(9.99E+307,'Returns (Calc)'!$A:$A)+1)-'Price History'!Q3)*(ROW()-3)/(MATCH(9.99E+307,'Returns (Calc)'!$A:$A)-3),"")</f>
        <v>59.4084905660377</v>
      </c>
      <c r="AL138" s="155" t="n">
        <f aca="false">IFERROR('Price History'!R3+(INDEX('Price History'!R:R,MATCH(9.99E+307,'Returns (Calc)'!$A:$A)+1)-'Price History'!R3)*(ROW()-3)/(MATCH(9.99E+307,'Returns (Calc)'!$A:$A)-3),"")</f>
        <v>57.0733962264151</v>
      </c>
      <c r="AM138" s="155" t="n">
        <f aca="false">IFERROR('Price History'!S3+(INDEX('Price History'!S:S,MATCH(9.99E+307,'Returns (Calc)'!$A:$A)+1)-'Price History'!S3)*(ROW()-3)/(MATCH(9.99E+307,'Returns (Calc)'!$A:$A)-3),"")</f>
        <v>137.042264150943</v>
      </c>
      <c r="AN138" s="155" t="n">
        <f aca="false">IFERROR('Price History'!T3+(INDEX('Price History'!T:T,MATCH(9.99E+307,'Returns (Calc)'!$A:$A)+1)-'Price History'!T3)*(ROW()-3)/(MATCH(9.99E+307,'Returns (Calc)'!$A:$A)-3),"")</f>
        <v>48.6664150943396</v>
      </c>
      <c r="AO138" s="156" t="n">
        <f aca="false">IFERROR('Price History'!V3+(INDEX('Price History'!V:V,MATCH(9.99E+307,'Returns (Calc)'!$A:$A)+1)-'Price History'!V3)*(ROW()-3)/(MATCH(9.99E+307,'Returns (Calc)'!$A:$A)-3),"")</f>
        <v>362.835660377359</v>
      </c>
      <c r="AP138" s="154" t="n">
        <f aca="false">IFERROR(IF(OR(NOT(ISNUMBER('Price History'!W139)),NOT(ISNUMBER('Price History'!W138)),'Price History'!W138=0),"",'Price History'!W139/'Price History'!W138-1),"")</f>
        <v>-0.00104370515329433</v>
      </c>
      <c r="AQ138" s="154" t="n">
        <f aca="false">IFERROR(IF(OR(NOT(ISNUMBER('Price History'!X139)),NOT(ISNUMBER('Price History'!X138)),'Price History'!X138=0),"",'Price History'!X139/'Price History'!X138-1),"")</f>
        <v>0.0133542812254517</v>
      </c>
      <c r="AR138" s="154" t="n">
        <f aca="false">IFERROR(IF(OR(NOT(ISNUMBER('Price History'!Y139)),NOT(ISNUMBER('Price History'!Y138)),'Price History'!Y138=0),"",'Price History'!Y139/'Price History'!Y138-1),"")</f>
        <v>-0.00810956929176432</v>
      </c>
      <c r="AS138" s="154" t="n">
        <f aca="false">IFERROR(IF(OR(NOT(ISNUMBER('Price History'!Z139)),NOT(ISNUMBER('Price History'!Z138)),'Price History'!Z138=0),"",'Price History'!Z139/'Price History'!Z138-1),"")</f>
        <v>-0.0642289557848924</v>
      </c>
      <c r="AT138" s="154" t="n">
        <f aca="false">IFERROR(IF(OR(NOT(ISNUMBER('Price History'!AA139)),NOT(ISNUMBER('Price History'!AA138)),'Price History'!AA138=0),"",'Price History'!AA139/'Price History'!AA138-1),"")</f>
        <v>-0.0500462439625938</v>
      </c>
      <c r="AU138" s="154" t="n">
        <f aca="false">IFERROR(IF(OR(NOT(ISNUMBER('Price History'!AB139)),NOT(ISNUMBER('Price History'!AB138)),'Price History'!AB138=0),"",'Price History'!AB139/'Price History'!AB138-1),"")</f>
        <v>-0.0406073236082167</v>
      </c>
    </row>
    <row r="139" customFormat="false" ht="15" hidden="false" customHeight="true" outlineLevel="0" collapsed="false">
      <c r="A139" s="152" t="n">
        <f aca="false">IF('Price History'!A140="","",'Price History'!A140)</f>
        <v>46143</v>
      </c>
      <c r="B139" s="153" t="n">
        <f aca="false">IFERROR(IF(OR(NOT(ISNUMBER('Price History'!B140)),NOT(ISNUMBER('Price History'!B139)),'Price History'!B139=0),"",'Price History'!B140/'Price History'!B139-1),"")</f>
        <v>0.0214716427640156</v>
      </c>
      <c r="C139" s="153" t="n">
        <f aca="false">IFERROR(IF(OR(NOT(ISNUMBER('Price History'!C140)),NOT(ISNUMBER('Price History'!C139)),'Price History'!C139=0),"",'Price History'!C140/'Price History'!C139-1),"")</f>
        <v>-0.0237974111129954</v>
      </c>
      <c r="D139" s="153" t="n">
        <f aca="false">IFERROR(IF(OR(NOT(ISNUMBER('Price History'!D140)),NOT(ISNUMBER('Price History'!D139)),'Price History'!D139=0),"",'Price History'!D140/'Price History'!D139-1),"")</f>
        <v>-0.0189035136028197</v>
      </c>
      <c r="E139" s="153" t="n">
        <f aca="false">IFERROR(IF(OR(NOT(ISNUMBER('Price History'!E140)),NOT(ISNUMBER('Price History'!E139)),'Price History'!E139=0),"",'Price History'!E140/'Price History'!E139-1),"")</f>
        <v>-0.00348903446311588</v>
      </c>
      <c r="F139" s="153" t="n">
        <f aca="false">IFERROR(IF(OR(NOT(ISNUMBER('Price History'!F140)),NOT(ISNUMBER('Price History'!F139)),'Price History'!F139=0),"",'Price History'!F140/'Price History'!F139-1),"")</f>
        <v>0.0167812193162544</v>
      </c>
      <c r="G139" s="153" t="n">
        <f aca="false">IFERROR(IF(OR(NOT(ISNUMBER('Price History'!G140)),NOT(ISNUMBER('Price History'!G139)),'Price History'!G139=0),"",'Price History'!G140/'Price History'!G139-1),"")</f>
        <v>-0.107905097389142</v>
      </c>
      <c r="H139" s="153" t="n">
        <f aca="false">IFERROR(IF(OR(NOT(ISNUMBER('Price History'!H140)),NOT(ISNUMBER('Price History'!H139)),'Price History'!H139=0),"",'Price History'!H140/'Price History'!H139-1),"")</f>
        <v>0.0915955219072164</v>
      </c>
      <c r="I139" s="153" t="n">
        <f aca="false">IFERROR(IF(OR(NOT(ISNUMBER('Price History'!I140)),NOT(ISNUMBER('Price History'!I139)),'Price History'!I139=0),"",'Price History'!I140/'Price History'!I139-1),"")</f>
        <v>-0.0471607314725698</v>
      </c>
      <c r="J139" s="153" t="n">
        <f aca="false">IFERROR(IF(OR(NOT(ISNUMBER('Price History'!J140)),NOT(ISNUMBER('Price History'!J139)),'Price History'!J139=0),"",'Price History'!J140/'Price History'!J139-1),"")</f>
        <v>-0.00478708202343536</v>
      </c>
      <c r="K139" s="153" t="n">
        <f aca="false">IFERROR(IF(OR(NOT(ISNUMBER('Price History'!K140)),NOT(ISNUMBER('Price History'!K139)),'Price History'!K139=0),"",'Price History'!K140/'Price History'!K139-1),"")</f>
        <v>0.00684883639667344</v>
      </c>
      <c r="L139" s="153" t="n">
        <f aca="false">IFERROR(IF(OR(NOT(ISNUMBER('Price History'!L140)),NOT(ISNUMBER('Price History'!L139)),'Price History'!L139=0),"",'Price History'!L140/'Price History'!L139-1),"")</f>
        <v>-0.011911599450618</v>
      </c>
      <c r="M139" s="153" t="n">
        <f aca="false">IFERROR(IF(OR(NOT(ISNUMBER('Price History'!M140)),NOT(ISNUMBER('Price History'!M139)),'Price History'!M139=0),"",'Price History'!M140/'Price History'!M139-1),"")</f>
        <v>0.0150010825523492</v>
      </c>
      <c r="N139" s="153" t="n">
        <f aca="false">IFERROR(IF(OR(NOT(ISNUMBER('Price History'!N140)),NOT(ISNUMBER('Price History'!N139)),'Price History'!N139=0),"",'Price History'!N140/'Price History'!N139-1),"")</f>
        <v>-0.0148039694159753</v>
      </c>
      <c r="O139" s="153" t="n">
        <f aca="false">IFERROR(IF(OR(NOT(ISNUMBER('Price History'!O140)),NOT(ISNUMBER('Price History'!O139)),'Price History'!O139=0),"",'Price History'!O140/'Price History'!O139-1),"")</f>
        <v>0.00837988826815628</v>
      </c>
      <c r="P139" s="153" t="n">
        <f aca="false">IFERROR(IF(OR(NOT(ISNUMBER('Price History'!P140)),NOT(ISNUMBER('Price History'!P139)),'Price History'!P139=0),"",'Price History'!P140/'Price History'!P139-1),"")</f>
        <v>0.017928819909018</v>
      </c>
      <c r="Q139" s="153" t="n">
        <f aca="false">IFERROR(IF(OR(NOT(ISNUMBER('Price History'!Q140)),NOT(ISNUMBER('Price History'!Q139)),'Price History'!Q139=0),"",'Price History'!Q140/'Price History'!Q139-1),"")</f>
        <v>0.00402504472271903</v>
      </c>
      <c r="R139" s="153" t="n">
        <f aca="false">IFERROR(IF(OR(NOT(ISNUMBER('Price History'!R140)),NOT(ISNUMBER('Price History'!R139)),'Price History'!R139=0),"",'Price History'!R140/'Price History'!R139-1),"")</f>
        <v>0.0079408049088614</v>
      </c>
      <c r="S139" s="153" t="n">
        <f aca="false">IFERROR(IF(OR(NOT(ISNUMBER('Price History'!S140)),NOT(ISNUMBER('Price History'!S139)),'Price History'!S139=0),"",'Price History'!S140/'Price History'!S139-1),"")</f>
        <v>0.0221205186880245</v>
      </c>
      <c r="T139" s="153" t="n">
        <f aca="false">IFERROR(IF(OR(NOT(ISNUMBER('Price History'!T140)),NOT(ISNUMBER('Price History'!T139)),'Price History'!T139=0),"",'Price History'!T140/'Price History'!T139-1),"")</f>
        <v>0.0256907416383907</v>
      </c>
      <c r="U139" s="153" t="n">
        <f aca="false">IFERROR(IF(OR(NOT(ISNUMBER('Price History'!U140)),NOT(ISNUMBER('Price History'!U139)),'Price History'!U139=0),"",'Price History'!U140/'Price History'!U139-1),"")</f>
        <v>0.0211657440573103</v>
      </c>
      <c r="V139" s="154" t="n">
        <f aca="false">IFERROR(IF(OR(NOT(ISNUMBER('Price History'!V140)),NOT(ISNUMBER('Price History'!V139)),'Price History'!V139=0),"",'Price History'!V140/'Price History'!V139-1),"")</f>
        <v>0.0601213458356316</v>
      </c>
      <c r="W139" s="155" t="n">
        <f aca="false">IFERROR('Price History'!B3+(INDEX('Price History'!B:B,MATCH(9.99E+307,'Returns (Calc)'!$A:$A)+1)-'Price History'!B3)*(ROW()-3)/(MATCH(9.99E+307,'Returns (Calc)'!$A:$A)-3),"")</f>
        <v>283.730754716981</v>
      </c>
      <c r="X139" s="155" t="n">
        <f aca="false">IFERROR('Price History'!C3+(INDEX('Price History'!C:C,MATCH(9.99E+307,'Returns (Calc)'!$A:$A)+1)-'Price History'!C3)*(ROW()-3)/(MATCH(9.99E+307,'Returns (Calc)'!$A:$A)-3),"")</f>
        <v>192.067798742138</v>
      </c>
      <c r="Y139" s="155" t="n">
        <f aca="false">IFERROR('Price History'!D3+(INDEX('Price History'!D:D,MATCH(9.99E+307,'Returns (Calc)'!$A:$A)+1)-'Price History'!D3)*(ROW()-3)/(MATCH(9.99E+307,'Returns (Calc)'!$A:$A)-3),"")</f>
        <v>1606.99666666667</v>
      </c>
      <c r="Z139" s="155" t="n">
        <f aca="false">IFERROR('Price History'!E3+(INDEX('Price History'!E:E,MATCH(9.99E+307,'Returns (Calc)'!$A:$A)+1)-'Price History'!E3)*(ROW()-3)/(MATCH(9.99E+307,'Returns (Calc)'!$A:$A)-3),"")</f>
        <v>321.103396226415</v>
      </c>
      <c r="AA139" s="155" t="n">
        <f aca="false">IFERROR('Price History'!F3+(INDEX('Price History'!F:F,MATCH(9.99E+307,'Returns (Calc)'!$A:$A)+1)-'Price History'!F3)*(ROW()-3)/(MATCH(9.99E+307,'Returns (Calc)'!$A:$A)-3),"")</f>
        <v>241.237232704403</v>
      </c>
      <c r="AB139" s="155" t="n">
        <f aca="false">IFERROR('Price History'!G3+(INDEX('Price History'!G:G,MATCH(9.99E+307,'Returns (Calc)'!$A:$A)+1)-'Price History'!G3)*(ROW()-3)/(MATCH(9.99E+307,'Returns (Calc)'!$A:$A)-3),"")</f>
        <v>173.695408805031</v>
      </c>
      <c r="AC139" s="155" t="n">
        <f aca="false">IFERROR('Price History'!H3+(INDEX('Price History'!H:H,MATCH(9.99E+307,'Returns (Calc)'!$A:$A)+1)-'Price History'!H3)*(ROW()-3)/(MATCH(9.99E+307,'Returns (Calc)'!$A:$A)-3),"")</f>
        <v>890.147987421384</v>
      </c>
      <c r="AD139" s="155" t="n">
        <f aca="false">IFERROR('Price History'!I3+(INDEX('Price History'!I:I,MATCH(9.99E+307,'Returns (Calc)'!$A:$A)+1)-'Price History'!I3)*(ROW()-3)/(MATCH(9.99E+307,'Returns (Calc)'!$A:$A)-3),"")</f>
        <v>202.445220125786</v>
      </c>
      <c r="AE139" s="155" t="n">
        <f aca="false">IFERROR('Price History'!J3+(INDEX('Price History'!J:J,MATCH(9.99E+307,'Returns (Calc)'!$A:$A)+1)-'Price History'!J3)*(ROW()-3)/(MATCH(9.99E+307,'Returns (Calc)'!$A:$A)-3),"")</f>
        <v>126.936855345912</v>
      </c>
      <c r="AF139" s="155" t="n">
        <f aca="false">IFERROR('Price History'!K3+(INDEX('Price History'!K:K,MATCH(9.99E+307,'Returns (Calc)'!$A:$A)+1)-'Price History'!K3)*(ROW()-3)/(MATCH(9.99E+307,'Returns (Calc)'!$A:$A)-3),"")</f>
        <v>181.027610062893</v>
      </c>
      <c r="AG139" s="155" t="n">
        <f aca="false">IFERROR('Price History'!L3+(INDEX('Price History'!L:L,MATCH(9.99E+307,'Returns (Calc)'!$A:$A)+1)-'Price History'!L3)*(ROW()-3)/(MATCH(9.99E+307,'Returns (Calc)'!$A:$A)-3),"")</f>
        <v>400.140943396226</v>
      </c>
      <c r="AH139" s="155" t="n">
        <f aca="false">IFERROR('Price History'!M3+(INDEX('Price History'!M:M,MATCH(9.99E+307,'Returns (Calc)'!$A:$A)+1)-'Price History'!M3)*(ROW()-3)/(MATCH(9.99E+307,'Returns (Calc)'!$A:$A)-3),"")</f>
        <v>213.160628930818</v>
      </c>
      <c r="AI139" s="155" t="n">
        <f aca="false">IFERROR('Price History'!N3+(INDEX('Price History'!N:N,MATCH(9.99E+307,'Returns (Calc)'!$A:$A)+1)-'Price History'!N3)*(ROW()-3)/(MATCH(9.99E+307,'Returns (Calc)'!$A:$A)-3),"")</f>
        <v>486.76465408805</v>
      </c>
      <c r="AJ139" s="155" t="n">
        <f aca="false">IFERROR('Price History'!O3+(INDEX('Price History'!O:O,MATCH(9.99E+307,'Returns (Calc)'!$A:$A)+1)-'Price History'!O3)*(ROW()-3)/(MATCH(9.99E+307,'Returns (Calc)'!$A:$A)-3),"")</f>
        <v>113.22748427673</v>
      </c>
      <c r="AK139" s="155" t="n">
        <f aca="false">IFERROR('Price History'!Q3+(INDEX('Price History'!Q:Q,MATCH(9.99E+307,'Returns (Calc)'!$A:$A)+1)-'Price History'!Q3)*(ROW()-3)/(MATCH(9.99E+307,'Returns (Calc)'!$A:$A)-3),"")</f>
        <v>59.8485534591195</v>
      </c>
      <c r="AL139" s="155" t="n">
        <f aca="false">IFERROR('Price History'!R3+(INDEX('Price History'!R:R,MATCH(9.99E+307,'Returns (Calc)'!$A:$A)+1)-'Price History'!R3)*(ROW()-3)/(MATCH(9.99E+307,'Returns (Calc)'!$A:$A)-3),"")</f>
        <v>57.2407547169811</v>
      </c>
      <c r="AM139" s="155" t="n">
        <f aca="false">IFERROR('Price History'!S3+(INDEX('Price History'!S:S,MATCH(9.99E+307,'Returns (Calc)'!$A:$A)+1)-'Price History'!S3)*(ROW()-3)/(MATCH(9.99E+307,'Returns (Calc)'!$A:$A)-3),"")</f>
        <v>137.630503144654</v>
      </c>
      <c r="AN139" s="155" t="n">
        <f aca="false">IFERROR('Price History'!T3+(INDEX('Price History'!T:T,MATCH(9.99E+307,'Returns (Calc)'!$A:$A)+1)-'Price History'!T3)*(ROW()-3)/(MATCH(9.99E+307,'Returns (Calc)'!$A:$A)-3),"")</f>
        <v>48.8403144654088</v>
      </c>
      <c r="AO139" s="156" t="n">
        <f aca="false">IFERROR('Price History'!V3+(INDEX('Price History'!V:V,MATCH(9.99E+307,'Returns (Calc)'!$A:$A)+1)-'Price History'!V3)*(ROW()-3)/(MATCH(9.99E+307,'Returns (Calc)'!$A:$A)-3),"")</f>
        <v>363.777924528302</v>
      </c>
      <c r="AP139" s="154" t="n">
        <f aca="false">IFERROR(IF(OR(NOT(ISNUMBER('Price History'!W140)),NOT(ISNUMBER('Price History'!W139)),'Price History'!W139=0),"",'Price History'!W140/'Price History'!W139-1),"")</f>
        <v>0.0101214574898787</v>
      </c>
      <c r="AQ139" s="154" t="n">
        <f aca="false">IFERROR(IF(OR(NOT(ISNUMBER('Price History'!X140)),NOT(ISNUMBER('Price History'!X139)),'Price History'!X139=0),"",'Price History'!X140/'Price History'!X139-1),"")</f>
        <v>0.0513565891472867</v>
      </c>
      <c r="AR139" s="154" t="n">
        <f aca="false">IFERROR(IF(OR(NOT(ISNUMBER('Price History'!Y140)),NOT(ISNUMBER('Price History'!Y139)),'Price History'!Y139=0),"",'Price History'!Y140/'Price History'!Y139-1),"")</f>
        <v>-0.000908430232558044</v>
      </c>
      <c r="AS139" s="154" t="n">
        <f aca="false">IFERROR(IF(OR(NOT(ISNUMBER('Price History'!Z140)),NOT(ISNUMBER('Price History'!Z139)),'Price History'!Z139=0),"",'Price History'!Z140/'Price History'!Z139-1),"")</f>
        <v>0.00672985448010999</v>
      </c>
      <c r="AT139" s="154" t="n">
        <f aca="false">IFERROR(IF(OR(NOT(ISNUMBER('Price History'!AA140)),NOT(ISNUMBER('Price History'!AA139)),'Price History'!AA139=0),"",'Price History'!AA140/'Price History'!AA139-1),"")</f>
        <v>-0.00411077455646902</v>
      </c>
      <c r="AU139" s="154" t="n">
        <f aca="false">IFERROR(IF(OR(NOT(ISNUMBER('Price History'!AB140)),NOT(ISNUMBER('Price History'!AB139)),'Price History'!AB139=0),"",'Price History'!AB140/'Price History'!AB139-1),"")</f>
        <v>0.064978588717185</v>
      </c>
    </row>
    <row r="140" customFormat="false" ht="15" hidden="false" customHeight="true" outlineLevel="0" collapsed="false">
      <c r="A140" s="152" t="n">
        <f aca="false">IF('Price History'!A141="","",'Price History'!A141)</f>
        <v>46150</v>
      </c>
      <c r="B140" s="153" t="n">
        <f aca="false">IFERROR(IF(OR(NOT(ISNUMBER('Price History'!B141)),NOT(ISNUMBER('Price History'!B140)),'Price History'!B140=0),"",'Price History'!B141/'Price History'!B140-1),"")</f>
        <v>0.00929360615850983</v>
      </c>
      <c r="C140" s="153" t="n">
        <f aca="false">IFERROR(IF(OR(NOT(ISNUMBER('Price History'!C141)),NOT(ISNUMBER('Price History'!C140)),'Price History'!C140=0),"",'Price History'!C141/'Price History'!C140-1),"")</f>
        <v>-0.179096699478865</v>
      </c>
      <c r="D140" s="153" t="n">
        <f aca="false">IFERROR(IF(OR(NOT(ISNUMBER('Price History'!D141)),NOT(ISNUMBER('Price History'!D140)),'Price History'!D140=0),"",'Price History'!D141/'Price History'!D140-1),"")</f>
        <v>0.115620483026705</v>
      </c>
      <c r="E140" s="153" t="n">
        <f aca="false">IFERROR(IF(OR(NOT(ISNUMBER('Price History'!E141)),NOT(ISNUMBER('Price History'!E140)),'Price History'!E140=0),"",'Price History'!E141/'Price History'!E140-1),"")</f>
        <v>0.0206978682862926</v>
      </c>
      <c r="F140" s="153" t="n">
        <f aca="false">IFERROR(IF(OR(NOT(ISNUMBER('Price History'!F141)),NOT(ISNUMBER('Price History'!F140)),'Price History'!F140=0),"",'Price History'!F141/'Price History'!F140-1),"")</f>
        <v>0.158282854885436</v>
      </c>
      <c r="G140" s="153" t="n">
        <f aca="false">IFERROR(IF(OR(NOT(ISNUMBER('Price History'!G141)),NOT(ISNUMBER('Price History'!G140)),'Price History'!G140=0),"",'Price History'!G141/'Price History'!G140-1),"")</f>
        <v>0.0828058765460775</v>
      </c>
      <c r="H140" s="153" t="n">
        <f aca="false">IFERROR(IF(OR(NOT(ISNUMBER('Price History'!H141)),NOT(ISNUMBER('Price History'!H140)),'Price History'!H140=0),"",'Price History'!H141/'Price History'!H140-1),"")</f>
        <v>0.377344917270765</v>
      </c>
      <c r="I140" s="153" t="n">
        <f aca="false">IFERROR(IF(OR(NOT(ISNUMBER('Price History'!I141)),NOT(ISNUMBER('Price History'!I140)),'Price History'!I140=0),"",'Price History'!I141/'Price History'!I140-1),"")</f>
        <v>0.0843939393939395</v>
      </c>
      <c r="J140" s="153" t="n">
        <f aca="false">IFERROR(IF(OR(NOT(ISNUMBER('Price History'!J141)),NOT(ISNUMBER('Price History'!J140)),'Price History'!J140=0),"",'Price History'!J141/'Price History'!J140-1),"")</f>
        <v>0.0188814703137339</v>
      </c>
      <c r="K140" s="153" t="n">
        <f aca="false">IFERROR(IF(OR(NOT(ISNUMBER('Price History'!K141)),NOT(ISNUMBER('Price History'!K140)),'Price History'!K140=0),"",'Price History'!K141/'Price History'!K140-1),"")</f>
        <v>-0.0435205108627749</v>
      </c>
      <c r="L140" s="153" t="n">
        <f aca="false">IFERROR(IF(OR(NOT(ISNUMBER('Price History'!L141)),NOT(ISNUMBER('Price History'!L140)),'Price History'!L140=0),"",'Price History'!L141/'Price History'!L140-1),"")</f>
        <v>0.0352304892842701</v>
      </c>
      <c r="M140" s="153" t="n">
        <f aca="false">IFERROR(IF(OR(NOT(ISNUMBER('Price History'!M141)),NOT(ISNUMBER('Price History'!M140)),'Price History'!M140=0),"",'Price History'!M141/'Price History'!M140-1),"")</f>
        <v>0.03553144807411</v>
      </c>
      <c r="N140" s="153" t="n">
        <f aca="false">IFERROR(IF(OR(NOT(ISNUMBER('Price History'!N141)),NOT(ISNUMBER('Price History'!N140)),'Price History'!N140=0),"",'Price History'!N141/'Price History'!N140-1),"")</f>
        <v>0.0139177203245895</v>
      </c>
      <c r="O140" s="153" t="n">
        <f aca="false">IFERROR(IF(OR(NOT(ISNUMBER('Price History'!O141)),NOT(ISNUMBER('Price History'!O140)),'Price History'!O140=0),"",'Price History'!O141/'Price History'!O140-1),"")</f>
        <v>-0.00100730294636109</v>
      </c>
      <c r="P140" s="153" t="n">
        <f aca="false">IFERROR(IF(OR(NOT(ISNUMBER('Price History'!P141)),NOT(ISNUMBER('Price History'!P140)),'Price History'!P140=0),"",'Price History'!P141/'Price History'!P140-1),"")</f>
        <v>-0.0151813880126183</v>
      </c>
      <c r="Q140" s="153" t="n">
        <f aca="false">IFERROR(IF(OR(NOT(ISNUMBER('Price History'!Q141)),NOT(ISNUMBER('Price History'!Q140)),'Price History'!Q140=0),"",'Price History'!Q141/'Price History'!Q140-1),"")</f>
        <v>0.00193021529324433</v>
      </c>
      <c r="R140" s="153" t="n">
        <f aca="false">IFERROR(IF(OR(NOT(ISNUMBER('Price History'!R141)),NOT(ISNUMBER('Price History'!R140)),'Price History'!R140=0),"",'Price History'!R141/'Price History'!R140-1),"")</f>
        <v>0.0127126230975829</v>
      </c>
      <c r="S140" s="153" t="n">
        <f aca="false">IFERROR(IF(OR(NOT(ISNUMBER('Price History'!S141)),NOT(ISNUMBER('Price History'!S140)),'Price History'!S140=0),"",'Price History'!S141/'Price History'!S140-1),"")</f>
        <v>0.0698507462686568</v>
      </c>
      <c r="T140" s="153" t="n">
        <f aca="false">IFERROR(IF(OR(NOT(ISNUMBER('Price History'!T141)),NOT(ISNUMBER('Price History'!T140)),'Price History'!T140=0),"",'Price History'!T141/'Price History'!T140-1),"")</f>
        <v>0.0245746691871456</v>
      </c>
      <c r="U140" s="153" t="n">
        <f aca="false">IFERROR(IF(OR(NOT(ISNUMBER('Price History'!U141)),NOT(ISNUMBER('Price History'!U140)),'Price History'!U140=0),"",'Price History'!U141/'Price History'!U140-1),"")</f>
        <v>-0.00765306122448972</v>
      </c>
      <c r="V140" s="154" t="n">
        <f aca="false">IFERROR(IF(OR(NOT(ISNUMBER('Price History'!V141)),NOT(ISNUMBER('Price History'!V140)),'Price History'!V140=0),"",'Price History'!V141/'Price History'!V140-1),"")</f>
        <v>-0.0281569443594295</v>
      </c>
      <c r="W140" s="155" t="n">
        <f aca="false">IFERROR('Price History'!B3+(INDEX('Price History'!B:B,MATCH(9.99E+307,'Returns (Calc)'!$A:$A)+1)-'Price History'!B3)*(ROW()-3)/(MATCH(9.99E+307,'Returns (Calc)'!$A:$A)-3),"")</f>
        <v>281.928113207547</v>
      </c>
      <c r="X140" s="155" t="n">
        <f aca="false">IFERROR('Price History'!C3+(INDEX('Price History'!C:C,MATCH(9.99E+307,'Returns (Calc)'!$A:$A)+1)-'Price History'!C3)*(ROW()-3)/(MATCH(9.99E+307,'Returns (Calc)'!$A:$A)-3),"")</f>
        <v>193.140503144654</v>
      </c>
      <c r="Y140" s="155" t="n">
        <f aca="false">IFERROR('Price History'!D3+(INDEX('Price History'!D:D,MATCH(9.99E+307,'Returns (Calc)'!$A:$A)+1)-'Price History'!D3)*(ROW()-3)/(MATCH(9.99E+307,'Returns (Calc)'!$A:$A)-3),"")</f>
        <v>1614.53333333333</v>
      </c>
      <c r="Z140" s="155" t="n">
        <f aca="false">IFERROR('Price History'!E3+(INDEX('Price History'!E:E,MATCH(9.99E+307,'Returns (Calc)'!$A:$A)+1)-'Price History'!E3)*(ROW()-3)/(MATCH(9.99E+307,'Returns (Calc)'!$A:$A)-3),"")</f>
        <v>322.861509433962</v>
      </c>
      <c r="AA140" s="155" t="n">
        <f aca="false">IFERROR('Price History'!F3+(INDEX('Price History'!F:F,MATCH(9.99E+307,'Returns (Calc)'!$A:$A)+1)-'Price History'!F3)*(ROW()-3)/(MATCH(9.99E+307,'Returns (Calc)'!$A:$A)-3),"")</f>
        <v>242.706918238994</v>
      </c>
      <c r="AB140" s="155" t="n">
        <f aca="false">IFERROR('Price History'!G3+(INDEX('Price History'!G:G,MATCH(9.99E+307,'Returns (Calc)'!$A:$A)+1)-'Price History'!G3)*(ROW()-3)/(MATCH(9.99E+307,'Returns (Calc)'!$A:$A)-3),"")</f>
        <v>174.646477987421</v>
      </c>
      <c r="AC140" s="155" t="n">
        <f aca="false">IFERROR('Price History'!H3+(INDEX('Price History'!H:H,MATCH(9.99E+307,'Returns (Calc)'!$A:$A)+1)-'Price History'!H3)*(ROW()-3)/(MATCH(9.99E+307,'Returns (Calc)'!$A:$A)-3),"")</f>
        <v>896.185031446541</v>
      </c>
      <c r="AD140" s="155" t="n">
        <f aca="false">IFERROR('Price History'!I3+(INDEX('Price History'!I:I,MATCH(9.99E+307,'Returns (Calc)'!$A:$A)+1)-'Price History'!I3)*(ROW()-3)/(MATCH(9.99E+307,'Returns (Calc)'!$A:$A)-3),"")</f>
        <v>203.611949685535</v>
      </c>
      <c r="AE140" s="155" t="n">
        <f aca="false">IFERROR('Price History'!J3+(INDEX('Price History'!J:J,MATCH(9.99E+307,'Returns (Calc)'!$A:$A)+1)-'Price History'!J3)*(ROW()-3)/(MATCH(9.99E+307,'Returns (Calc)'!$A:$A)-3),"")</f>
        <v>127.04786163522</v>
      </c>
      <c r="AF140" s="155" t="n">
        <f aca="false">IFERROR('Price History'!K3+(INDEX('Price History'!K:K,MATCH(9.99E+307,'Returns (Calc)'!$A:$A)+1)-'Price History'!K3)*(ROW()-3)/(MATCH(9.99E+307,'Returns (Calc)'!$A:$A)-3),"")</f>
        <v>182.245974842767</v>
      </c>
      <c r="AG140" s="155" t="n">
        <f aca="false">IFERROR('Price History'!L3+(INDEX('Price History'!L:L,MATCH(9.99E+307,'Returns (Calc)'!$A:$A)+1)-'Price History'!L3)*(ROW()-3)/(MATCH(9.99E+307,'Returns (Calc)'!$A:$A)-3),"")</f>
        <v>402.452641509434</v>
      </c>
      <c r="AH140" s="155" t="n">
        <f aca="false">IFERROR('Price History'!M3+(INDEX('Price History'!M:M,MATCH(9.99E+307,'Returns (Calc)'!$A:$A)+1)-'Price History'!M3)*(ROW()-3)/(MATCH(9.99E+307,'Returns (Calc)'!$A:$A)-3),"")</f>
        <v>214.448427672956</v>
      </c>
      <c r="AI140" s="155" t="n">
        <f aca="false">IFERROR('Price History'!N3+(INDEX('Price History'!N:N,MATCH(9.99E+307,'Returns (Calc)'!$A:$A)+1)-'Price History'!N3)*(ROW()-3)/(MATCH(9.99E+307,'Returns (Calc)'!$A:$A)-3),"")</f>
        <v>487.778364779874</v>
      </c>
      <c r="AJ140" s="155" t="n">
        <f aca="false">IFERROR('Price History'!O3+(INDEX('Price History'!O:O,MATCH(9.99E+307,'Returns (Calc)'!$A:$A)+1)-'Price History'!O3)*(ROW()-3)/(MATCH(9.99E+307,'Returns (Calc)'!$A:$A)-3),"")</f>
        <v>113.506289308176</v>
      </c>
      <c r="AK140" s="155" t="n">
        <f aca="false">IFERROR('Price History'!Q3+(INDEX('Price History'!Q:Q,MATCH(9.99E+307,'Returns (Calc)'!$A:$A)+1)-'Price History'!Q3)*(ROW()-3)/(MATCH(9.99E+307,'Returns (Calc)'!$A:$A)-3),"")</f>
        <v>60.2886163522013</v>
      </c>
      <c r="AL140" s="155" t="n">
        <f aca="false">IFERROR('Price History'!R3+(INDEX('Price History'!R:R,MATCH(9.99E+307,'Returns (Calc)'!$A:$A)+1)-'Price History'!R3)*(ROW()-3)/(MATCH(9.99E+307,'Returns (Calc)'!$A:$A)-3),"")</f>
        <v>57.4081132075472</v>
      </c>
      <c r="AM140" s="155" t="n">
        <f aca="false">IFERROR('Price History'!S3+(INDEX('Price History'!S:S,MATCH(9.99E+307,'Returns (Calc)'!$A:$A)+1)-'Price History'!S3)*(ROW()-3)/(MATCH(9.99E+307,'Returns (Calc)'!$A:$A)-3),"")</f>
        <v>138.218742138365</v>
      </c>
      <c r="AN140" s="155" t="n">
        <f aca="false">IFERROR('Price History'!T3+(INDEX('Price History'!T:T,MATCH(9.99E+307,'Returns (Calc)'!$A:$A)+1)-'Price History'!T3)*(ROW()-3)/(MATCH(9.99E+307,'Returns (Calc)'!$A:$A)-3),"")</f>
        <v>49.014213836478</v>
      </c>
      <c r="AO140" s="156" t="n">
        <f aca="false">IFERROR('Price History'!V3+(INDEX('Price History'!V:V,MATCH(9.99E+307,'Returns (Calc)'!$A:$A)+1)-'Price History'!V3)*(ROW()-3)/(MATCH(9.99E+307,'Returns (Calc)'!$A:$A)-3),"")</f>
        <v>364.720188679245</v>
      </c>
      <c r="AP140" s="154" t="n">
        <f aca="false">IFERROR(IF(OR(NOT(ISNUMBER('Price History'!W141)),NOT(ISNUMBER('Price History'!W140)),'Price History'!W140=0),"",'Price History'!W141/'Price History'!W140-1),"")</f>
        <v>-0.00672312366668815</v>
      </c>
      <c r="AQ140" s="154" t="n">
        <f aca="false">IFERROR(IF(OR(NOT(ISNUMBER('Price History'!X141)),NOT(ISNUMBER('Price History'!X140)),'Price History'!X140=0),"",'Price History'!X141/'Price History'!X140-1),"")</f>
        <v>-0.0352073732718894</v>
      </c>
      <c r="AR140" s="154" t="n">
        <f aca="false">IFERROR(IF(OR(NOT(ISNUMBER('Price History'!Y141)),NOT(ISNUMBER('Price History'!Y140)),'Price History'!Y140=0),"",'Price History'!Y141/'Price History'!Y140-1),"")</f>
        <v>-0.0152755046372068</v>
      </c>
      <c r="AS140" s="154" t="n">
        <f aca="false">IFERROR(IF(OR(NOT(ISNUMBER('Price History'!Z141)),NOT(ISNUMBER('Price History'!Z140)),'Price History'!Z140=0),"",'Price History'!Z141/'Price History'!Z140-1),"")</f>
        <v>0.0371342573148537</v>
      </c>
      <c r="AT140" s="154" t="n">
        <f aca="false">IFERROR(IF(OR(NOT(ISNUMBER('Price History'!AA141)),NOT(ISNUMBER('Price History'!AA140)),'Price History'!AA140=0),"",'Price History'!AA141/'Price History'!AA140-1),"")</f>
        <v>-0.0496415381273083</v>
      </c>
      <c r="AU140" s="154" t="n">
        <f aca="false">IFERROR(IF(OR(NOT(ISNUMBER('Price History'!AB141)),NOT(ISNUMBER('Price History'!AB140)),'Price History'!AB140=0),"",'Price History'!AB141/'Price History'!AB140-1),"")</f>
        <v>-0.0306526806526806</v>
      </c>
    </row>
    <row r="141" customFormat="false" ht="15" hidden="false" customHeight="true" outlineLevel="0" collapsed="false">
      <c r="A141" s="152" t="n">
        <f aca="false">IF('Price History'!A142="","",'Price History'!A142)</f>
        <v>46157</v>
      </c>
      <c r="B141" s="153" t="n">
        <f aca="false">IFERROR(IF(OR(NOT(ISNUMBER('Price History'!B142)),NOT(ISNUMBER('Price History'!B141)),'Price History'!B141=0),"",'Price History'!B142/'Price History'!B141-1),"")</f>
        <v>-0.0214985773000316</v>
      </c>
      <c r="C141" s="153" t="n">
        <f aca="false">IFERROR(IF(OR(NOT(ISNUMBER('Price History'!C142)),NOT(ISNUMBER('Price History'!C141)),'Price History'!C141=0),"",'Price History'!C142/'Price History'!C141-1),"")</f>
        <v>0.00141073569866679</v>
      </c>
      <c r="D141" s="153" t="n">
        <f aca="false">IFERROR(IF(OR(NOT(ISNUMBER('Price History'!D142)),NOT(ISNUMBER('Price History'!D141)),'Price History'!D141=0),"",'Price History'!D142/'Price History'!D141-1),"")</f>
        <v>-0.0566618028126494</v>
      </c>
      <c r="E141" s="153" t="n">
        <f aca="false">IFERROR(IF(OR(NOT(ISNUMBER('Price History'!E142)),NOT(ISNUMBER('Price History'!E141)),'Price History'!E141=0),"",'Price History'!E142/'Price History'!E141-1),"")</f>
        <v>-0.011177486348999</v>
      </c>
      <c r="F141" s="153" t="n">
        <f aca="false">IFERROR(IF(OR(NOT(ISNUMBER('Price History'!F142)),NOT(ISNUMBER('Price History'!F141)),'Price History'!F141=0),"",'Price History'!F142/'Price History'!F141-1),"")</f>
        <v>0.12566318023344</v>
      </c>
      <c r="G141" s="153" t="n">
        <f aca="false">IFERROR(IF(OR(NOT(ISNUMBER('Price History'!G142)),NOT(ISNUMBER('Price History'!G141)),'Price History'!G141=0),"",'Price History'!G142/'Price History'!G141-1),"")</f>
        <v>-0.0346972703383922</v>
      </c>
      <c r="H141" s="153" t="n">
        <f aca="false">IFERROR(IF(OR(NOT(ISNUMBER('Price History'!H142)),NOT(ISNUMBER('Price History'!H141)),'Price History'!H141=0),"",'Price History'!H142/'Price History'!H141-1),"")</f>
        <v>-0.0296638542922192</v>
      </c>
      <c r="I141" s="153" t="n">
        <f aca="false">IFERROR(IF(OR(NOT(ISNUMBER('Price History'!I142)),NOT(ISNUMBER('Price History'!I141)),'Price History'!I141=0),"",'Price History'!I142/'Price History'!I141-1),"")</f>
        <v>0.0470401937497089</v>
      </c>
      <c r="J141" s="153" t="n">
        <f aca="false">IFERROR(IF(OR(NOT(ISNUMBER('Price History'!J142)),NOT(ISNUMBER('Price History'!J141)),'Price History'!J141=0),"",'Price History'!J142/'Price History'!J141-1),"")</f>
        <v>-0.0246617812852311</v>
      </c>
      <c r="K141" s="153" t="n">
        <f aca="false">IFERROR(IF(OR(NOT(ISNUMBER('Price History'!K142)),NOT(ISNUMBER('Price History'!K141)),'Price History'!K141=0),"",'Price History'!K142/'Price History'!K141-1),"")</f>
        <v>-0.0276487663280116</v>
      </c>
      <c r="L141" s="153" t="n">
        <f aca="false">IFERROR(IF(OR(NOT(ISNUMBER('Price History'!L142)),NOT(ISNUMBER('Price History'!L141)),'Price History'!L141=0),"",'Price History'!L142/'Price History'!L141-1),"")</f>
        <v>-0.0177969825692106</v>
      </c>
      <c r="M141" s="153" t="n">
        <f aca="false">IFERROR(IF(OR(NOT(ISNUMBER('Price History'!M142)),NOT(ISNUMBER('Price History'!M141)),'Price History'!M141=0),"",'Price History'!M142/'Price History'!M141-1),"")</f>
        <v>0.0910776293331763</v>
      </c>
      <c r="N141" s="153" t="n">
        <f aca="false">IFERROR(IF(OR(NOT(ISNUMBER('Price History'!N142)),NOT(ISNUMBER('Price History'!N141)),'Price History'!N141=0),"",'Price History'!N142/'Price History'!N141-1),"")</f>
        <v>0.0165883393048252</v>
      </c>
      <c r="O141" s="153" t="n">
        <f aca="false">IFERROR(IF(OR(NOT(ISNUMBER('Price History'!O142)),NOT(ISNUMBER('Price History'!O141)),'Price History'!O141=0),"",'Price History'!O142/'Price History'!O141-1),"")</f>
        <v>-0.0215948239643728</v>
      </c>
      <c r="P141" s="153" t="n">
        <f aca="false">IFERROR(IF(OR(NOT(ISNUMBER('Price History'!P142)),NOT(ISNUMBER('Price History'!P141)),'Price History'!P141=0),"",'Price History'!P142/'Price History'!P141-1),"")</f>
        <v>-0.00867534200867526</v>
      </c>
      <c r="Q141" s="153" t="n">
        <f aca="false">IFERROR(IF(OR(NOT(ISNUMBER('Price History'!Q142)),NOT(ISNUMBER('Price History'!Q141)),'Price History'!Q141=0),"",'Price History'!Q142/'Price History'!Q141-1),"")</f>
        <v>0.000296384113811499</v>
      </c>
      <c r="R141" s="153" t="n">
        <f aca="false">IFERROR(IF(OR(NOT(ISNUMBER('Price History'!R142)),NOT(ISNUMBER('Price History'!R141)),'Price History'!R141=0),"",'Price History'!R142/'Price History'!R141-1),"")</f>
        <v>0.0026520509193777</v>
      </c>
      <c r="S141" s="153" t="n">
        <f aca="false">IFERROR(IF(OR(NOT(ISNUMBER('Price History'!S142)),NOT(ISNUMBER('Price History'!S141)),'Price History'!S141=0),"",'Price History'!S142/'Price History'!S141-1),"")</f>
        <v>-0.0023018973214286</v>
      </c>
      <c r="T141" s="153" t="n">
        <f aca="false">IFERROR(IF(OR(NOT(ISNUMBER('Price History'!T142)),NOT(ISNUMBER('Price History'!T141)),'Price History'!T141=0),"",'Price History'!T142/'Price History'!T141-1),"")</f>
        <v>-0.0255996309963099</v>
      </c>
      <c r="U141" s="153" t="n">
        <f aca="false">IFERROR(IF(OR(NOT(ISNUMBER('Price History'!U142)),NOT(ISNUMBER('Price History'!U141)),'Price History'!U141=0),"",'Price History'!U142/'Price History'!U141-1),"")</f>
        <v>0.0032133676092545</v>
      </c>
      <c r="V141" s="154" t="n">
        <f aca="false">IFERROR(IF(OR(NOT(ISNUMBER('Price History'!V142)),NOT(ISNUMBER('Price History'!V141)),'Price History'!V141=0),"",'Price History'!V142/'Price History'!V141-1),"")</f>
        <v>0.0239654846633495</v>
      </c>
      <c r="W141" s="155" t="n">
        <f aca="false">IFERROR('Price History'!B3+(INDEX('Price History'!B:B,MATCH(9.99E+307,'Returns (Calc)'!$A:$A)+1)-'Price History'!B3)*(ROW()-3)/(MATCH(9.99E+307,'Returns (Calc)'!$A:$A)-3),"")</f>
        <v>280.125471698113</v>
      </c>
      <c r="X141" s="155" t="n">
        <f aca="false">IFERROR('Price History'!C3+(INDEX('Price History'!C:C,MATCH(9.99E+307,'Returns (Calc)'!$A:$A)+1)-'Price History'!C3)*(ROW()-3)/(MATCH(9.99E+307,'Returns (Calc)'!$A:$A)-3),"")</f>
        <v>194.21320754717</v>
      </c>
      <c r="Y141" s="155" t="n">
        <f aca="false">IFERROR('Price History'!D3+(INDEX('Price History'!D:D,MATCH(9.99E+307,'Returns (Calc)'!$A:$A)+1)-'Price History'!D3)*(ROW()-3)/(MATCH(9.99E+307,'Returns (Calc)'!$A:$A)-3),"")</f>
        <v>1622.07</v>
      </c>
      <c r="Z141" s="155" t="n">
        <f aca="false">IFERROR('Price History'!E3+(INDEX('Price History'!E:E,MATCH(9.99E+307,'Returns (Calc)'!$A:$A)+1)-'Price History'!E3)*(ROW()-3)/(MATCH(9.99E+307,'Returns (Calc)'!$A:$A)-3),"")</f>
        <v>324.619622641509</v>
      </c>
      <c r="AA141" s="155" t="n">
        <f aca="false">IFERROR('Price History'!F3+(INDEX('Price History'!F:F,MATCH(9.99E+307,'Returns (Calc)'!$A:$A)+1)-'Price History'!F3)*(ROW()-3)/(MATCH(9.99E+307,'Returns (Calc)'!$A:$A)-3),"")</f>
        <v>244.176603773585</v>
      </c>
      <c r="AB141" s="155" t="n">
        <f aca="false">IFERROR('Price History'!G3+(INDEX('Price History'!G:G,MATCH(9.99E+307,'Returns (Calc)'!$A:$A)+1)-'Price History'!G3)*(ROW()-3)/(MATCH(9.99E+307,'Returns (Calc)'!$A:$A)-3),"")</f>
        <v>175.597547169811</v>
      </c>
      <c r="AC141" s="155" t="n">
        <f aca="false">IFERROR('Price History'!H3+(INDEX('Price History'!H:H,MATCH(9.99E+307,'Returns (Calc)'!$A:$A)+1)-'Price History'!H3)*(ROW()-3)/(MATCH(9.99E+307,'Returns (Calc)'!$A:$A)-3),"")</f>
        <v>902.222075471698</v>
      </c>
      <c r="AD141" s="155" t="n">
        <f aca="false">IFERROR('Price History'!I3+(INDEX('Price History'!I:I,MATCH(9.99E+307,'Returns (Calc)'!$A:$A)+1)-'Price History'!I3)*(ROW()-3)/(MATCH(9.99E+307,'Returns (Calc)'!$A:$A)-3),"")</f>
        <v>204.778679245283</v>
      </c>
      <c r="AE141" s="155" t="n">
        <f aca="false">IFERROR('Price History'!J3+(INDEX('Price History'!J:J,MATCH(9.99E+307,'Returns (Calc)'!$A:$A)+1)-'Price History'!J3)*(ROW()-3)/(MATCH(9.99E+307,'Returns (Calc)'!$A:$A)-3),"")</f>
        <v>127.158867924528</v>
      </c>
      <c r="AF141" s="155" t="n">
        <f aca="false">IFERROR('Price History'!K3+(INDEX('Price History'!K:K,MATCH(9.99E+307,'Returns (Calc)'!$A:$A)+1)-'Price History'!K3)*(ROW()-3)/(MATCH(9.99E+307,'Returns (Calc)'!$A:$A)-3),"")</f>
        <v>183.464339622642</v>
      </c>
      <c r="AG141" s="155" t="n">
        <f aca="false">IFERROR('Price History'!L3+(INDEX('Price History'!L:L,MATCH(9.99E+307,'Returns (Calc)'!$A:$A)+1)-'Price History'!L3)*(ROW()-3)/(MATCH(9.99E+307,'Returns (Calc)'!$A:$A)-3),"")</f>
        <v>404.764339622642</v>
      </c>
      <c r="AH141" s="155" t="n">
        <f aca="false">IFERROR('Price History'!M3+(INDEX('Price History'!M:M,MATCH(9.99E+307,'Returns (Calc)'!$A:$A)+1)-'Price History'!M3)*(ROW()-3)/(MATCH(9.99E+307,'Returns (Calc)'!$A:$A)-3),"")</f>
        <v>215.736226415094</v>
      </c>
      <c r="AI141" s="155" t="n">
        <f aca="false">IFERROR('Price History'!N3+(INDEX('Price History'!N:N,MATCH(9.99E+307,'Returns (Calc)'!$A:$A)+1)-'Price History'!N3)*(ROW()-3)/(MATCH(9.99E+307,'Returns (Calc)'!$A:$A)-3),"")</f>
        <v>488.792075471698</v>
      </c>
      <c r="AJ141" s="155" t="n">
        <f aca="false">IFERROR('Price History'!O3+(INDEX('Price History'!O:O,MATCH(9.99E+307,'Returns (Calc)'!$A:$A)+1)-'Price History'!O3)*(ROW()-3)/(MATCH(9.99E+307,'Returns (Calc)'!$A:$A)-3),"")</f>
        <v>113.785094339623</v>
      </c>
      <c r="AK141" s="155" t="n">
        <f aca="false">IFERROR('Price History'!Q3+(INDEX('Price History'!Q:Q,MATCH(9.99E+307,'Returns (Calc)'!$A:$A)+1)-'Price History'!Q3)*(ROW()-3)/(MATCH(9.99E+307,'Returns (Calc)'!$A:$A)-3),"")</f>
        <v>60.728679245283</v>
      </c>
      <c r="AL141" s="155" t="n">
        <f aca="false">IFERROR('Price History'!R3+(INDEX('Price History'!R:R,MATCH(9.99E+307,'Returns (Calc)'!$A:$A)+1)-'Price History'!R3)*(ROW()-3)/(MATCH(9.99E+307,'Returns (Calc)'!$A:$A)-3),"")</f>
        <v>57.5754716981132</v>
      </c>
      <c r="AM141" s="155" t="n">
        <f aca="false">IFERROR('Price History'!S3+(INDEX('Price History'!S:S,MATCH(9.99E+307,'Returns (Calc)'!$A:$A)+1)-'Price History'!S3)*(ROW()-3)/(MATCH(9.99E+307,'Returns (Calc)'!$A:$A)-3),"")</f>
        <v>138.806981132075</v>
      </c>
      <c r="AN141" s="155" t="n">
        <f aca="false">IFERROR('Price History'!T3+(INDEX('Price History'!T:T,MATCH(9.99E+307,'Returns (Calc)'!$A:$A)+1)-'Price History'!T3)*(ROW()-3)/(MATCH(9.99E+307,'Returns (Calc)'!$A:$A)-3),"")</f>
        <v>49.1881132075472</v>
      </c>
      <c r="AO141" s="156" t="n">
        <f aca="false">IFERROR('Price History'!V3+(INDEX('Price History'!V:V,MATCH(9.99E+307,'Returns (Calc)'!$A:$A)+1)-'Price History'!V3)*(ROW()-3)/(MATCH(9.99E+307,'Returns (Calc)'!$A:$A)-3),"")</f>
        <v>365.662452830189</v>
      </c>
      <c r="AP141" s="154" t="n">
        <f aca="false">IFERROR(IF(OR(NOT(ISNUMBER('Price History'!W142)),NOT(ISNUMBER('Price History'!W141)),'Price History'!W141=0),"",'Price History'!W142/'Price History'!W141-1),"")</f>
        <v>0.00195248942401549</v>
      </c>
      <c r="AQ141" s="154" t="n">
        <f aca="false">IFERROR(IF(OR(NOT(ISNUMBER('Price History'!X142)),NOT(ISNUMBER('Price History'!X141)),'Price History'!X141=0),"",'Price History'!X142/'Price History'!X141-1),"")</f>
        <v>0.0412686282002293</v>
      </c>
      <c r="AR141" s="154" t="n">
        <f aca="false">IFERROR(IF(OR(NOT(ISNUMBER('Price History'!Y142)),NOT(ISNUMBER('Price History'!Y141)),'Price History'!Y141=0),"",'Price History'!Y142/'Price History'!Y141-1),"")</f>
        <v>-0.00110803324099718</v>
      </c>
      <c r="AS141" s="154" t="n">
        <f aca="false">IFERROR(IF(OR(NOT(ISNUMBER('Price History'!Z142)),NOT(ISNUMBER('Price History'!Z141)),'Price History'!Z141=0),"",'Price History'!Z142/'Price History'!Z141-1),"")</f>
        <v>-0.0525765194209158</v>
      </c>
      <c r="AT141" s="154" t="n">
        <f aca="false">IFERROR(IF(OR(NOT(ISNUMBER('Price History'!AA142)),NOT(ISNUMBER('Price History'!AA141)),'Price History'!AA141=0),"",'Price History'!AA142/'Price History'!AA141-1),"")</f>
        <v>-0.00537204251914503</v>
      </c>
      <c r="AU141" s="154" t="n">
        <f aca="false">IFERROR(IF(OR(NOT(ISNUMBER('Price History'!AB142)),NOT(ISNUMBER('Price History'!AB141)),'Price History'!AB141=0),"",'Price History'!AB142/'Price History'!AB141-1),"")</f>
        <v>-0.0449681375495972</v>
      </c>
    </row>
    <row r="142" customFormat="false" ht="15" hidden="false" customHeight="true" outlineLevel="0" collapsed="false">
      <c r="A142" s="152" t="n">
        <f aca="false">IF('Price History'!A143="","",'Price History'!A143)</f>
        <v>46164</v>
      </c>
      <c r="B142" s="153" t="n">
        <f aca="false">IFERROR(IF(OR(NOT(ISNUMBER('Price History'!B143)),NOT(ISNUMBER('Price History'!B142)),'Price History'!B142=0),"",'Price History'!B143/'Price History'!B142-1),"")</f>
        <v>-0.011470113085622</v>
      </c>
      <c r="C142" s="153" t="n">
        <f aca="false">IFERROR(IF(OR(NOT(ISNUMBER('Price History'!C143)),NOT(ISNUMBER('Price History'!C142)),'Price History'!C142=0),"",'Price History'!C143/'Price History'!C142-1),"")</f>
        <v>0.0849475241248152</v>
      </c>
      <c r="D142" s="153" t="n">
        <f aca="false">IFERROR(IF(OR(NOT(ISNUMBER('Price History'!D143)),NOT(ISNUMBER('Price History'!D142)),'Price History'!D142=0),"",'Price History'!D143/'Price History'!D142-1),"")</f>
        <v>0.0872875649222933</v>
      </c>
      <c r="E142" s="153" t="n">
        <f aca="false">IFERROR(IF(OR(NOT(ISNUMBER('Price History'!E143)),NOT(ISNUMBER('Price History'!E142)),'Price History'!E142=0),"",'Price History'!E143/'Price History'!E142-1),"")</f>
        <v>-0.0260058997050147</v>
      </c>
      <c r="F142" s="153" t="n">
        <f aca="false">IFERROR(IF(OR(NOT(ISNUMBER('Price History'!F143)),NOT(ISNUMBER('Price History'!F142)),'Price History'!F142=0),"",'Price History'!F143/'Price History'!F142-1),"")</f>
        <v>0.116819283598169</v>
      </c>
      <c r="G142" s="153" t="n">
        <f aca="false">IFERROR(IF(OR(NOT(ISNUMBER('Price History'!G143)),NOT(ISNUMBER('Price History'!G142)),'Price History'!G142=0),"",'Price History'!G143/'Price History'!G142-1),"")</f>
        <v>0.0478888888888889</v>
      </c>
      <c r="H142" s="153" t="n">
        <f aca="false">IFERROR(IF(OR(NOT(ISNUMBER('Price History'!H143)),NOT(ISNUMBER('Price History'!H142)),'Price History'!H142=0),"",'Price History'!H143/'Price History'!H142-1),"")</f>
        <v>0.0363397971154511</v>
      </c>
      <c r="I142" s="153" t="n">
        <f aca="false">IFERROR(IF(OR(NOT(ISNUMBER('Price History'!I143)),NOT(ISNUMBER('Price History'!I142)),'Price History'!I142=0),"",'Price History'!I143/'Price History'!I142-1),"")</f>
        <v>-0.0443485610070726</v>
      </c>
      <c r="J142" s="153" t="n">
        <f aca="false">IFERROR(IF(OR(NOT(ISNUMBER('Price History'!J143)),NOT(ISNUMBER('Price History'!J142)),'Price History'!J142=0),"",'Price History'!J143/'Price History'!J142-1),"")</f>
        <v>0.0382170206617543</v>
      </c>
      <c r="K142" s="153" t="n">
        <f aca="false">IFERROR(IF(OR(NOT(ISNUMBER('Price History'!K143)),NOT(ISNUMBER('Price History'!K142)),'Price History'!K142=0),"",'Price History'!K143/'Price History'!K142-1),"")</f>
        <v>0.0215687737890886</v>
      </c>
      <c r="L142" s="153" t="n">
        <f aca="false">IFERROR(IF(OR(NOT(ISNUMBER('Price History'!L143)),NOT(ISNUMBER('Price History'!L142)),'Price History'!L142=0),"",'Price History'!L143/'Price History'!L142-1),"")</f>
        <v>0.000422538712002707</v>
      </c>
      <c r="M142" s="153" t="n">
        <f aca="false">IFERROR(IF(OR(NOT(ISNUMBER('Price History'!M143)),NOT(ISNUMBER('Price History'!M142)),'Price History'!M142=0),"",'Price History'!M143/'Price History'!M142-1),"")</f>
        <v>-0.117215524449119</v>
      </c>
      <c r="N142" s="153" t="n">
        <f aca="false">IFERROR(IF(OR(NOT(ISNUMBER('Price History'!N143)),NOT(ISNUMBER('Price History'!N142)),'Price History'!N142=0),"",'Price History'!N143/'Price History'!N142-1),"")</f>
        <v>-0.00556127703398557</v>
      </c>
      <c r="O142" s="153" t="n">
        <f aca="false">IFERROR(IF(OR(NOT(ISNUMBER('Price History'!O143)),NOT(ISNUMBER('Price History'!O142)),'Price History'!O142=0),"",'Price History'!O143/'Price History'!O142-1),"")</f>
        <v>0.0237031947784268</v>
      </c>
      <c r="P142" s="153" t="n">
        <f aca="false">IFERROR(IF(OR(NOT(ISNUMBER('Price History'!P143)),NOT(ISNUMBER('Price History'!P142)),'Price History'!P142=0),"",'Price History'!P143/'Price History'!P142-1),"")</f>
        <v>0.0317738135307977</v>
      </c>
      <c r="Q142" s="153" t="n">
        <f aca="false">IFERROR(IF(OR(NOT(ISNUMBER('Price History'!Q143)),NOT(ISNUMBER('Price History'!Q142)),'Price History'!Q142=0),"",'Price History'!Q143/'Price History'!Q142-1),"")</f>
        <v>0.000740740740740709</v>
      </c>
      <c r="R142" s="153" t="n">
        <f aca="false">IFERROR(IF(OR(NOT(ISNUMBER('Price History'!R143)),NOT(ISNUMBER('Price History'!R142)),'Price History'!R142=0),"",'Price History'!R143/'Price History'!R142-1),"")</f>
        <v>0.00740610121671659</v>
      </c>
      <c r="S142" s="153" t="n">
        <f aca="false">IFERROR(IF(OR(NOT(ISNUMBER('Price History'!S143)),NOT(ISNUMBER('Price History'!S142)),'Price History'!S142=0),"",'Price History'!S143/'Price History'!S142-1),"")</f>
        <v>0.0101377333426553</v>
      </c>
      <c r="T142" s="153" t="n">
        <f aca="false">IFERROR(IF(OR(NOT(ISNUMBER('Price History'!T143)),NOT(ISNUMBER('Price History'!T142)),'Price History'!T142=0),"",'Price History'!T143/'Price History'!T142-1),"")</f>
        <v>0.039526627218935</v>
      </c>
      <c r="U142" s="153" t="n">
        <f aca="false">IFERROR(IF(OR(NOT(ISNUMBER('Price History'!U143)),NOT(ISNUMBER('Price History'!U142)),'Price History'!U142=0),"",'Price History'!U143/'Price History'!U142-1),"")</f>
        <v>0.0349135169762973</v>
      </c>
      <c r="V142" s="154" t="n">
        <f aca="false">IFERROR(IF(OR(NOT(ISNUMBER('Price History'!V143)),NOT(ISNUMBER('Price History'!V142)),'Price History'!V142=0),"",'Price History'!V143/'Price History'!V142-1),"")</f>
        <v>0.00959557127479616</v>
      </c>
      <c r="W142" s="155" t="n">
        <f aca="false">IFERROR('Price History'!B3+(INDEX('Price History'!B:B,MATCH(9.99E+307,'Returns (Calc)'!$A:$A)+1)-'Price History'!B3)*(ROW()-3)/(MATCH(9.99E+307,'Returns (Calc)'!$A:$A)-3),"")</f>
        <v>278.322830188679</v>
      </c>
      <c r="X142" s="155" t="n">
        <f aca="false">IFERROR('Price History'!C3+(INDEX('Price History'!C:C,MATCH(9.99E+307,'Returns (Calc)'!$A:$A)+1)-'Price History'!C3)*(ROW()-3)/(MATCH(9.99E+307,'Returns (Calc)'!$A:$A)-3),"")</f>
        <v>195.285911949686</v>
      </c>
      <c r="Y142" s="155" t="n">
        <f aca="false">IFERROR('Price History'!D3+(INDEX('Price History'!D:D,MATCH(9.99E+307,'Returns (Calc)'!$A:$A)+1)-'Price History'!D3)*(ROW()-3)/(MATCH(9.99E+307,'Returns (Calc)'!$A:$A)-3),"")</f>
        <v>1629.60666666667</v>
      </c>
      <c r="Z142" s="155" t="n">
        <f aca="false">IFERROR('Price History'!E3+(INDEX('Price History'!E:E,MATCH(9.99E+307,'Returns (Calc)'!$A:$A)+1)-'Price History'!E3)*(ROW()-3)/(MATCH(9.99E+307,'Returns (Calc)'!$A:$A)-3),"")</f>
        <v>326.377735849057</v>
      </c>
      <c r="AA142" s="155" t="n">
        <f aca="false">IFERROR('Price History'!F3+(INDEX('Price History'!F:F,MATCH(9.99E+307,'Returns (Calc)'!$A:$A)+1)-'Price History'!F3)*(ROW()-3)/(MATCH(9.99E+307,'Returns (Calc)'!$A:$A)-3),"")</f>
        <v>245.646289308176</v>
      </c>
      <c r="AB142" s="155" t="n">
        <f aca="false">IFERROR('Price History'!G3+(INDEX('Price History'!G:G,MATCH(9.99E+307,'Returns (Calc)'!$A:$A)+1)-'Price History'!G3)*(ROW()-3)/(MATCH(9.99E+307,'Returns (Calc)'!$A:$A)-3),"")</f>
        <v>176.548616352201</v>
      </c>
      <c r="AC142" s="155" t="n">
        <f aca="false">IFERROR('Price History'!H3+(INDEX('Price History'!H:H,MATCH(9.99E+307,'Returns (Calc)'!$A:$A)+1)-'Price History'!H3)*(ROW()-3)/(MATCH(9.99E+307,'Returns (Calc)'!$A:$A)-3),"")</f>
        <v>908.259119496855</v>
      </c>
      <c r="AD142" s="155" t="n">
        <f aca="false">IFERROR('Price History'!I3+(INDEX('Price History'!I:I,MATCH(9.99E+307,'Returns (Calc)'!$A:$A)+1)-'Price History'!I3)*(ROW()-3)/(MATCH(9.99E+307,'Returns (Calc)'!$A:$A)-3),"")</f>
        <v>205.945408805031</v>
      </c>
      <c r="AE142" s="155" t="n">
        <f aca="false">IFERROR('Price History'!J3+(INDEX('Price History'!J:J,MATCH(9.99E+307,'Returns (Calc)'!$A:$A)+1)-'Price History'!J3)*(ROW()-3)/(MATCH(9.99E+307,'Returns (Calc)'!$A:$A)-3),"")</f>
        <v>127.269874213836</v>
      </c>
      <c r="AF142" s="155" t="n">
        <f aca="false">IFERROR('Price History'!K3+(INDEX('Price History'!K:K,MATCH(9.99E+307,'Returns (Calc)'!$A:$A)+1)-'Price History'!K3)*(ROW()-3)/(MATCH(9.99E+307,'Returns (Calc)'!$A:$A)-3),"")</f>
        <v>184.682704402516</v>
      </c>
      <c r="AG142" s="155" t="n">
        <f aca="false">IFERROR('Price History'!L3+(INDEX('Price History'!L:L,MATCH(9.99E+307,'Returns (Calc)'!$A:$A)+1)-'Price History'!L3)*(ROW()-3)/(MATCH(9.99E+307,'Returns (Calc)'!$A:$A)-3),"")</f>
        <v>407.076037735849</v>
      </c>
      <c r="AH142" s="155" t="n">
        <f aca="false">IFERROR('Price History'!M3+(INDEX('Price History'!M:M,MATCH(9.99E+307,'Returns (Calc)'!$A:$A)+1)-'Price History'!M3)*(ROW()-3)/(MATCH(9.99E+307,'Returns (Calc)'!$A:$A)-3),"")</f>
        <v>217.024025157233</v>
      </c>
      <c r="AI142" s="155" t="n">
        <f aca="false">IFERROR('Price History'!N3+(INDEX('Price History'!N:N,MATCH(9.99E+307,'Returns (Calc)'!$A:$A)+1)-'Price History'!N3)*(ROW()-3)/(MATCH(9.99E+307,'Returns (Calc)'!$A:$A)-3),"")</f>
        <v>489.805786163522</v>
      </c>
      <c r="AJ142" s="155" t="n">
        <f aca="false">IFERROR('Price History'!O3+(INDEX('Price History'!O:O,MATCH(9.99E+307,'Returns (Calc)'!$A:$A)+1)-'Price History'!O3)*(ROW()-3)/(MATCH(9.99E+307,'Returns (Calc)'!$A:$A)-3),"")</f>
        <v>114.063899371069</v>
      </c>
      <c r="AK142" s="155" t="n">
        <f aca="false">IFERROR('Price History'!Q3+(INDEX('Price History'!Q:Q,MATCH(9.99E+307,'Returns (Calc)'!$A:$A)+1)-'Price History'!Q3)*(ROW()-3)/(MATCH(9.99E+307,'Returns (Calc)'!$A:$A)-3),"")</f>
        <v>61.1687421383648</v>
      </c>
      <c r="AL142" s="155" t="n">
        <f aca="false">IFERROR('Price History'!R3+(INDEX('Price History'!R:R,MATCH(9.99E+307,'Returns (Calc)'!$A:$A)+1)-'Price History'!R3)*(ROW()-3)/(MATCH(9.99E+307,'Returns (Calc)'!$A:$A)-3),"")</f>
        <v>57.7428301886793</v>
      </c>
      <c r="AM142" s="155" t="n">
        <f aca="false">IFERROR('Price History'!S3+(INDEX('Price History'!S:S,MATCH(9.99E+307,'Returns (Calc)'!$A:$A)+1)-'Price History'!S3)*(ROW()-3)/(MATCH(9.99E+307,'Returns (Calc)'!$A:$A)-3),"")</f>
        <v>139.395220125786</v>
      </c>
      <c r="AN142" s="155" t="n">
        <f aca="false">IFERROR('Price History'!T3+(INDEX('Price History'!T:T,MATCH(9.99E+307,'Returns (Calc)'!$A:$A)+1)-'Price History'!T3)*(ROW()-3)/(MATCH(9.99E+307,'Returns (Calc)'!$A:$A)-3),"")</f>
        <v>49.3620125786164</v>
      </c>
      <c r="AO142" s="156" t="n">
        <f aca="false">IFERROR('Price History'!V3+(INDEX('Price History'!V:V,MATCH(9.99E+307,'Returns (Calc)'!$A:$A)+1)-'Price History'!V3)*(ROW()-3)/(MATCH(9.99E+307,'Returns (Calc)'!$A:$A)-3),"")</f>
        <v>366.604716981132</v>
      </c>
      <c r="AP142" s="154" t="n">
        <f aca="false">IFERROR(IF(OR(NOT(ISNUMBER('Price History'!W143)),NOT(ISNUMBER('Price History'!W142)),'Price History'!W142=0),"",'Price History'!W143/'Price History'!W142-1),"")</f>
        <v>0.0188372848327378</v>
      </c>
      <c r="AQ142" s="154" t="n">
        <f aca="false">IFERROR(IF(OR(NOT(ISNUMBER('Price History'!X143)),NOT(ISNUMBER('Price History'!X142)),'Price History'!X142=0),"",'Price History'!X143/'Price History'!X142-1),"")</f>
        <v>0.00807339449541278</v>
      </c>
      <c r="AR142" s="154" t="n">
        <f aca="false">IFERROR(IF(OR(NOT(ISNUMBER('Price History'!Y143)),NOT(ISNUMBER('Price History'!Y142)),'Price History'!Y142=0),"",'Price History'!Y143/'Price History'!Y142-1),"")</f>
        <v>0.00776483638380476</v>
      </c>
      <c r="AS142" s="154" t="n">
        <f aca="false">IFERROR(IF(OR(NOT(ISNUMBER('Price History'!Z143)),NOT(ISNUMBER('Price History'!Z142)),'Price History'!Z142=0),"",'Price History'!Z143/'Price History'!Z142-1),"")</f>
        <v>0.0756901157613534</v>
      </c>
      <c r="AT142" s="154" t="n">
        <f aca="false">IFERROR(IF(OR(NOT(ISNUMBER('Price History'!AA143)),NOT(ISNUMBER('Price History'!AA142)),'Price History'!AA142=0),"",'Price History'!AA143/'Price History'!AA142-1),"")</f>
        <v>0.0181567455757297</v>
      </c>
      <c r="AU142" s="154" t="n">
        <f aca="false">IFERROR(IF(OR(NOT(ISNUMBER('Price History'!AB143)),NOT(ISNUMBER('Price History'!AB142)),'Price History'!AB142=0),"",'Price History'!AB143/'Price History'!AB142-1),"")</f>
        <v>0.00824625456376671</v>
      </c>
    </row>
    <row r="143" customFormat="false" ht="15" hidden="false" customHeight="true" outlineLevel="0" collapsed="false">
      <c r="A143" s="152" t="n">
        <f aca="false">IF('Price History'!A144="","",'Price History'!A144)</f>
        <v>46171</v>
      </c>
      <c r="B143" s="153" t="n">
        <f aca="false">IFERROR(IF(OR(NOT(ISNUMBER('Price History'!B144)),NOT(ISNUMBER('Price History'!B143)),'Price History'!B143=0),"",'Price History'!B144/'Price History'!B143-1),"")</f>
        <v>0.0590374244157541</v>
      </c>
      <c r="C143" s="153" t="n">
        <f aca="false">IFERROR(IF(OR(NOT(ISNUMBER('Price History'!C144)),NOT(ISNUMBER('Price History'!C143)),'Price History'!C143=0),"",'Price History'!C144/'Price History'!C143-1),"")</f>
        <v>0.0353177952346946</v>
      </c>
      <c r="D143" s="153" t="n">
        <f aca="false">IFERROR(IF(OR(NOT(ISNUMBER('Price History'!D144)),NOT(ISNUMBER('Price History'!D143)),'Price History'!D143=0),"",'Price History'!D144/'Price History'!D143-1),"")</f>
        <v>-0.0123314467221407</v>
      </c>
      <c r="E143" s="153" t="n">
        <f aca="false">IFERROR(IF(OR(NOT(ISNUMBER('Price History'!E144)),NOT(ISNUMBER('Price History'!E143)),'Price History'!E143=0),"",'Price History'!E144/'Price History'!E143-1),"")</f>
        <v>0.0787924308870205</v>
      </c>
      <c r="F143" s="153" t="n">
        <f aca="false">IFERROR(IF(OR(NOT(ISNUMBER('Price History'!F144)),NOT(ISNUMBER('Price History'!F143)),'Price History'!F143=0),"",'Price History'!F144/'Price History'!F143-1),"")</f>
        <v>0.10176644360041</v>
      </c>
      <c r="G143" s="153" t="n">
        <f aca="false">IFERROR(IF(OR(NOT(ISNUMBER('Price History'!G144)),NOT(ISNUMBER('Price History'!G143)),'Price History'!G143=0),"",'Price History'!G144/'Price History'!G143-1),"")</f>
        <v>0.0176545435266673</v>
      </c>
      <c r="H143" s="153" t="n">
        <f aca="false">IFERROR(IF(OR(NOT(ISNUMBER('Price History'!H144)),NOT(ISNUMBER('Price History'!H143)),'Price History'!H143=0),"",'Price History'!H144/'Price History'!H143-1),"")</f>
        <v>0.292949605795866</v>
      </c>
      <c r="I143" s="153" t="n">
        <f aca="false">IFERROR(IF(OR(NOT(ISNUMBER('Price History'!I144)),NOT(ISNUMBER('Price History'!I143)),'Price History'!I143=0),"",'Price History'!I144/'Price History'!I143-1),"")</f>
        <v>-0.019456339601564</v>
      </c>
      <c r="J143" s="153" t="n">
        <f aca="false">IFERROR(IF(OR(NOT(ISNUMBER('Price History'!J144)),NOT(ISNUMBER('Price History'!J143)),'Price History'!J143=0),"",'Price History'!J144/'Price History'!J143-1),"")</f>
        <v>-0.0167002992136943</v>
      </c>
      <c r="K143" s="153" t="n">
        <f aca="false">IFERROR(IF(OR(NOT(ISNUMBER('Price History'!K144)),NOT(ISNUMBER('Price History'!K143)),'Price History'!K143=0),"",'Price History'!K144/'Price History'!K143-1),"")</f>
        <v>0.143629456458211</v>
      </c>
      <c r="L143" s="153" t="n">
        <f aca="false">IFERROR(IF(OR(NOT(ISNUMBER('Price History'!L144)),NOT(ISNUMBER('Price History'!L143)),'Price History'!L143=0),"",'Price History'!L144/'Price History'!L143-1),"")</f>
        <v>0.0344347826086957</v>
      </c>
      <c r="M143" s="153" t="n">
        <f aca="false">IFERROR(IF(OR(NOT(ISNUMBER('Price History'!M144)),NOT(ISNUMBER('Price History'!M143)),'Price History'!M143=0),"",'Price History'!M144/'Price History'!M143-1),"")</f>
        <v>-0.0358681372399254</v>
      </c>
      <c r="N143" s="153" t="n">
        <f aca="false">IFERROR(IF(OR(NOT(ISNUMBER('Price History'!N144)),NOT(ISNUMBER('Price History'!N143)),'Price History'!N143=0),"",'Price History'!N144/'Price History'!N143-1),"")</f>
        <v>0.0299640983153826</v>
      </c>
      <c r="O143" s="153" t="n">
        <f aca="false">IFERROR(IF(OR(NOT(ISNUMBER('Price History'!O144)),NOT(ISNUMBER('Price History'!O143)),'Price History'!O143=0),"",'Price History'!O144/'Price History'!O143-1),"")</f>
        <v>0.000167785234899354</v>
      </c>
      <c r="P143" s="153" t="n">
        <f aca="false">IFERROR(IF(OR(NOT(ISNUMBER('Price History'!P144)),NOT(ISNUMBER('Price History'!P143)),'Price History'!P143=0),"",'Price History'!P144/'Price History'!P143-1),"")</f>
        <v>-0.00508905852417307</v>
      </c>
      <c r="Q143" s="153" t="n">
        <f aca="false">IFERROR(IF(OR(NOT(ISNUMBER('Price History'!Q144)),NOT(ISNUMBER('Price History'!Q143)),'Price History'!Q143=0),"",'Price History'!Q144/'Price History'!Q143-1),"")</f>
        <v>0.00429311621021467</v>
      </c>
      <c r="R143" s="153" t="n">
        <f aca="false">IFERROR(IF(OR(NOT(ISNUMBER('Price History'!R144)),NOT(ISNUMBER('Price History'!R143)),'Price History'!R143=0),"",'Price History'!R144/'Price History'!R143-1),"")</f>
        <v>0.0155785051636619</v>
      </c>
      <c r="S143" s="153" t="n">
        <f aca="false">IFERROR(IF(OR(NOT(ISNUMBER('Price History'!S144)),NOT(ISNUMBER('Price History'!S143)),'Price History'!S143=0),"",'Price History'!S144/'Price History'!S143-1),"")</f>
        <v>0.0389673311184942</v>
      </c>
      <c r="T143" s="153" t="n">
        <f aca="false">IFERROR(IF(OR(NOT(ISNUMBER('Price History'!T144)),NOT(ISNUMBER('Price History'!T143)),'Price History'!T143=0),"",'Price History'!T144/'Price History'!T143-1),"")</f>
        <v>0.0539617486338797</v>
      </c>
      <c r="U143" s="153" t="n">
        <f aca="false">IFERROR(IF(OR(NOT(ISNUMBER('Price History'!U144)),NOT(ISNUMBER('Price History'!U143)),'Price History'!U143=0),"",'Price History'!U144/'Price History'!U143-1),"")</f>
        <v>-0.0099040544722997</v>
      </c>
      <c r="V143" s="154" t="n">
        <f aca="false">IFERROR(IF(OR(NOT(ISNUMBER('Price History'!V144)),NOT(ISNUMBER('Price History'!V143)),'Price History'!V143=0),"",'Price History'!V144/'Price History'!V143-1),"")</f>
        <v>-0.00767660767051503</v>
      </c>
      <c r="W143" s="155" t="n">
        <f aca="false">IFERROR('Price History'!B3+(INDEX('Price History'!B:B,MATCH(9.99E+307,'Returns (Calc)'!$A:$A)+1)-'Price History'!B3)*(ROW()-3)/(MATCH(9.99E+307,'Returns (Calc)'!$A:$A)-3),"")</f>
        <v>276.520188679245</v>
      </c>
      <c r="X143" s="155" t="n">
        <f aca="false">IFERROR('Price History'!C3+(INDEX('Price History'!C:C,MATCH(9.99E+307,'Returns (Calc)'!$A:$A)+1)-'Price History'!C3)*(ROW()-3)/(MATCH(9.99E+307,'Returns (Calc)'!$A:$A)-3),"")</f>
        <v>196.358616352201</v>
      </c>
      <c r="Y143" s="155" t="n">
        <f aca="false">IFERROR('Price History'!D3+(INDEX('Price History'!D:D,MATCH(9.99E+307,'Returns (Calc)'!$A:$A)+1)-'Price History'!D3)*(ROW()-3)/(MATCH(9.99E+307,'Returns (Calc)'!$A:$A)-3),"")</f>
        <v>1637.14333333333</v>
      </c>
      <c r="Z143" s="155" t="n">
        <f aca="false">IFERROR('Price History'!E3+(INDEX('Price History'!E:E,MATCH(9.99E+307,'Returns (Calc)'!$A:$A)+1)-'Price History'!E3)*(ROW()-3)/(MATCH(9.99E+307,'Returns (Calc)'!$A:$A)-3),"")</f>
        <v>328.135849056604</v>
      </c>
      <c r="AA143" s="155" t="n">
        <f aca="false">IFERROR('Price History'!F3+(INDEX('Price History'!F:F,MATCH(9.99E+307,'Returns (Calc)'!$A:$A)+1)-'Price History'!F3)*(ROW()-3)/(MATCH(9.99E+307,'Returns (Calc)'!$A:$A)-3),"")</f>
        <v>247.115974842767</v>
      </c>
      <c r="AB143" s="155" t="n">
        <f aca="false">IFERROR('Price History'!G3+(INDEX('Price History'!G:G,MATCH(9.99E+307,'Returns (Calc)'!$A:$A)+1)-'Price History'!G3)*(ROW()-3)/(MATCH(9.99E+307,'Returns (Calc)'!$A:$A)-3),"")</f>
        <v>177.499685534591</v>
      </c>
      <c r="AC143" s="155" t="n">
        <f aca="false">IFERROR('Price History'!H3+(INDEX('Price History'!H:H,MATCH(9.99E+307,'Returns (Calc)'!$A:$A)+1)-'Price History'!H3)*(ROW()-3)/(MATCH(9.99E+307,'Returns (Calc)'!$A:$A)-3),"")</f>
        <v>914.296163522013</v>
      </c>
      <c r="AD143" s="155" t="n">
        <f aca="false">IFERROR('Price History'!I3+(INDEX('Price History'!I:I,MATCH(9.99E+307,'Returns (Calc)'!$A:$A)+1)-'Price History'!I3)*(ROW()-3)/(MATCH(9.99E+307,'Returns (Calc)'!$A:$A)-3),"")</f>
        <v>207.11213836478</v>
      </c>
      <c r="AE143" s="155" t="n">
        <f aca="false">IFERROR('Price History'!J3+(INDEX('Price History'!J:J,MATCH(9.99E+307,'Returns (Calc)'!$A:$A)+1)-'Price History'!J3)*(ROW()-3)/(MATCH(9.99E+307,'Returns (Calc)'!$A:$A)-3),"")</f>
        <v>127.380880503145</v>
      </c>
      <c r="AF143" s="155" t="n">
        <f aca="false">IFERROR('Price History'!K3+(INDEX('Price History'!K:K,MATCH(9.99E+307,'Returns (Calc)'!$A:$A)+1)-'Price History'!K3)*(ROW()-3)/(MATCH(9.99E+307,'Returns (Calc)'!$A:$A)-3),"")</f>
        <v>185.90106918239</v>
      </c>
      <c r="AG143" s="155" t="n">
        <f aca="false">IFERROR('Price History'!L3+(INDEX('Price History'!L:L,MATCH(9.99E+307,'Returns (Calc)'!$A:$A)+1)-'Price History'!L3)*(ROW()-3)/(MATCH(9.99E+307,'Returns (Calc)'!$A:$A)-3),"")</f>
        <v>409.387735849057</v>
      </c>
      <c r="AH143" s="155" t="n">
        <f aca="false">IFERROR('Price History'!M3+(INDEX('Price History'!M:M,MATCH(9.99E+307,'Returns (Calc)'!$A:$A)+1)-'Price History'!M3)*(ROW()-3)/(MATCH(9.99E+307,'Returns (Calc)'!$A:$A)-3),"")</f>
        <v>218.311823899371</v>
      </c>
      <c r="AI143" s="155" t="n">
        <f aca="false">IFERROR('Price History'!N3+(INDEX('Price History'!N:N,MATCH(9.99E+307,'Returns (Calc)'!$A:$A)+1)-'Price History'!N3)*(ROW()-3)/(MATCH(9.99E+307,'Returns (Calc)'!$A:$A)-3),"")</f>
        <v>490.819496855346</v>
      </c>
      <c r="AJ143" s="155" t="n">
        <f aca="false">IFERROR('Price History'!O3+(INDEX('Price History'!O:O,MATCH(9.99E+307,'Returns (Calc)'!$A:$A)+1)-'Price History'!O3)*(ROW()-3)/(MATCH(9.99E+307,'Returns (Calc)'!$A:$A)-3),"")</f>
        <v>114.342704402516</v>
      </c>
      <c r="AK143" s="155" t="n">
        <f aca="false">IFERROR('Price History'!Q3+(INDEX('Price History'!Q:Q,MATCH(9.99E+307,'Returns (Calc)'!$A:$A)+1)-'Price History'!Q3)*(ROW()-3)/(MATCH(9.99E+307,'Returns (Calc)'!$A:$A)-3),"")</f>
        <v>61.6088050314465</v>
      </c>
      <c r="AL143" s="155" t="n">
        <f aca="false">IFERROR('Price History'!R3+(INDEX('Price History'!R:R,MATCH(9.99E+307,'Returns (Calc)'!$A:$A)+1)-'Price History'!R3)*(ROW()-3)/(MATCH(9.99E+307,'Returns (Calc)'!$A:$A)-3),"")</f>
        <v>57.9101886792453</v>
      </c>
      <c r="AM143" s="155" t="n">
        <f aca="false">IFERROR('Price History'!S3+(INDEX('Price History'!S:S,MATCH(9.99E+307,'Returns (Calc)'!$A:$A)+1)-'Price History'!S3)*(ROW()-3)/(MATCH(9.99E+307,'Returns (Calc)'!$A:$A)-3),"")</f>
        <v>139.983459119497</v>
      </c>
      <c r="AN143" s="155" t="n">
        <f aca="false">IFERROR('Price History'!T3+(INDEX('Price History'!T:T,MATCH(9.99E+307,'Returns (Calc)'!$A:$A)+1)-'Price History'!T3)*(ROW()-3)/(MATCH(9.99E+307,'Returns (Calc)'!$A:$A)-3),"")</f>
        <v>49.5359119496855</v>
      </c>
      <c r="AO143" s="156" t="n">
        <f aca="false">IFERROR('Price History'!V3+(INDEX('Price History'!V:V,MATCH(9.99E+307,'Returns (Calc)'!$A:$A)+1)-'Price History'!V3)*(ROW()-3)/(MATCH(9.99E+307,'Returns (Calc)'!$A:$A)-3),"")</f>
        <v>367.546981132076</v>
      </c>
      <c r="AP143" s="154" t="n">
        <f aca="false">IFERROR(IF(OR(NOT(ISNUMBER('Price History'!W144)),NOT(ISNUMBER('Price History'!W143)),'Price History'!W143=0),"",'Price History'!W144/'Price History'!W143-1),"")</f>
        <v>0.00312400382531086</v>
      </c>
      <c r="AQ143" s="154" t="n">
        <f aca="false">IFERROR(IF(OR(NOT(ISNUMBER('Price History'!X144)),NOT(ISNUMBER('Price History'!X143)),'Price History'!X143=0),"",'Price History'!X144/'Price History'!X143-1),"")</f>
        <v>-0.0536949399344739</v>
      </c>
      <c r="AR143" s="154" t="n">
        <f aca="false">IFERROR(IF(OR(NOT(ISNUMBER('Price History'!Y144)),NOT(ISNUMBER('Price History'!Y143)),'Price History'!Y143=0),"",'Price History'!Y144/'Price History'!Y143-1),"")</f>
        <v>-0.00513667217024405</v>
      </c>
      <c r="AS143" s="154" t="n">
        <f aca="false">IFERROR(IF(OR(NOT(ISNUMBER('Price History'!Z144)),NOT(ISNUMBER('Price History'!Z143)),'Price History'!Z143=0),"",'Price History'!Z144/'Price History'!Z143-1),"")</f>
        <v>0.0691059602649007</v>
      </c>
      <c r="AT143" s="154" t="n">
        <f aca="false">IFERROR(IF(OR(NOT(ISNUMBER('Price History'!AA144)),NOT(ISNUMBER('Price History'!AA143)),'Price History'!AA143=0),"",'Price History'!AA144/'Price History'!AA143-1),"")</f>
        <v>-0.0291196388261851</v>
      </c>
      <c r="AU143" s="154" t="n">
        <f aca="false">IFERROR(IF(OR(NOT(ISNUMBER('Price History'!AB144)),NOT(ISNUMBER('Price History'!AB143)),'Price History'!AB143=0),"",'Price History'!AB144/'Price History'!AB143-1),"")</f>
        <v>0.0884685022163951</v>
      </c>
    </row>
    <row r="144" customFormat="false" ht="15" hidden="false" customHeight="true" outlineLevel="0" collapsed="false">
      <c r="A144" s="152" t="n">
        <f aca="false">IF('Price History'!A145="","",'Price History'!A145)</f>
        <v>46178</v>
      </c>
      <c r="B144" s="153" t="n">
        <f aca="false">IFERROR(IF(OR(NOT(ISNUMBER('Price History'!B145)),NOT(ISNUMBER('Price History'!B144)),'Price History'!B144=0),"",'Price History'!B145/'Price History'!B144-1),"")</f>
        <v>-0.0299756953821225</v>
      </c>
      <c r="C144" s="153" t="n">
        <f aca="false">IFERROR(IF(OR(NOT(ISNUMBER('Price History'!C145)),NOT(ISNUMBER('Price History'!C144)),'Price History'!C144=0),"",'Price History'!C145/'Price History'!C144-1),"")</f>
        <v>-0.032608014046529</v>
      </c>
      <c r="D144" s="153" t="n">
        <f aca="false">IFERROR(IF(OR(NOT(ISNUMBER('Price History'!D145)),NOT(ISNUMBER('Price History'!D144)),'Price History'!D144=0),"",'Price History'!D145/'Price History'!D144-1),"")</f>
        <v>0.0179675664936547</v>
      </c>
      <c r="E144" s="153" t="n">
        <f aca="false">IFERROR(IF(OR(NOT(ISNUMBER('Price History'!E145)),NOT(ISNUMBER('Price History'!E144)),'Price History'!E144=0),"",'Price History'!E145/'Price History'!E144-1),"")</f>
        <v>-0.136619876473891</v>
      </c>
      <c r="F144" s="153" t="n">
        <f aca="false">IFERROR(IF(OR(NOT(ISNUMBER('Price History'!F145)),NOT(ISNUMBER('Price History'!F144)),'Price History'!F144=0),"",'Price History'!F145/'Price History'!F144-1),"")</f>
        <v>-0.0820246238030097</v>
      </c>
      <c r="G144" s="153" t="n">
        <f aca="false">IFERROR(IF(OR(NOT(ISNUMBER('Price History'!G145)),NOT(ISNUMBER('Price History'!G144)),'Price History'!G144=0),"",'Price History'!G145/'Price History'!G144-1),"")</f>
        <v>0.00390726751758264</v>
      </c>
      <c r="H144" s="153" t="n">
        <f aca="false">IFERROR(IF(OR(NOT(ISNUMBER('Price History'!H145)),NOT(ISNUMBER('Price History'!H144)),'Price History'!H144=0),"",'Price History'!H145/'Price History'!H144-1),"")</f>
        <v>-0.110181799454087</v>
      </c>
      <c r="I144" s="153" t="n">
        <f aca="false">IFERROR(IF(OR(NOT(ISNUMBER('Price History'!I145)),NOT(ISNUMBER('Price History'!I144)),'Price History'!I144=0),"",'Price History'!I145/'Price History'!I144-1),"")</f>
        <v>-0.0274850469951581</v>
      </c>
      <c r="J144" s="153" t="n">
        <f aca="false">IFERROR(IF(OR(NOT(ISNUMBER('Price History'!J145)),NOT(ISNUMBER('Price History'!J144)),'Price History'!J144=0),"",'Price History'!J145/'Price History'!J144-1),"")</f>
        <v>0.0075012384120019</v>
      </c>
      <c r="K144" s="153" t="n">
        <f aca="false">IFERROR(IF(OR(NOT(ISNUMBER('Price History'!K145)),NOT(ISNUMBER('Price History'!K144)),'Price History'!K144=0),"",'Price History'!K145/'Price History'!K144-1),"")</f>
        <v>-0.134214897150888</v>
      </c>
      <c r="L144" s="153" t="n">
        <f aca="false">IFERROR(IF(OR(NOT(ISNUMBER('Price History'!L145)),NOT(ISNUMBER('Price History'!L144)),'Price History'!L144=0),"",'Price History'!L145/'Price History'!L144-1),"")</f>
        <v>-0.00785378038236151</v>
      </c>
      <c r="M144" s="153" t="n">
        <f aca="false">IFERROR(IF(OR(NOT(ISNUMBER('Price History'!M145)),NOT(ISNUMBER('Price History'!M144)),'Price History'!M144=0),"",'Price History'!M145/'Price History'!M144-1),"")</f>
        <v>-0.048166809265773</v>
      </c>
      <c r="N144" s="153" t="n">
        <f aca="false">IFERROR(IF(OR(NOT(ISNUMBER('Price History'!N145)),NOT(ISNUMBER('Price History'!N144)),'Price History'!N144=0),"",'Price History'!N145/'Price History'!N144-1),"")</f>
        <v>-0.00158645037315108</v>
      </c>
      <c r="O144" s="153" t="n">
        <f aca="false">IFERROR(IF(OR(NOT(ISNUMBER('Price History'!O145)),NOT(ISNUMBER('Price History'!O144)),'Price History'!O144=0),"",'Price History'!O145/'Price History'!O144-1),"")</f>
        <v>-0.00293574903539673</v>
      </c>
      <c r="P144" s="153" t="n">
        <f aca="false">IFERROR(IF(OR(NOT(ISNUMBER('Price History'!P145)),NOT(ISNUMBER('Price History'!P144)),'Price History'!P144=0),"",'Price History'!P145/'Price History'!P144-1),"")</f>
        <v>0.0028198570398057</v>
      </c>
      <c r="Q144" s="153" t="n">
        <f aca="false">IFERROR(IF(OR(NOT(ISNUMBER('Price History'!Q145)),NOT(ISNUMBER('Price History'!Q144)),'Price History'!Q144=0),"",'Price History'!Q145/'Price History'!Q144-1),"")</f>
        <v>-0.0104658018867926</v>
      </c>
      <c r="R144" s="153" t="n">
        <f aca="false">IFERROR(IF(OR(NOT(ISNUMBER('Price History'!R145)),NOT(ISNUMBER('Price History'!R144)),'Price History'!R144=0),"",'Price History'!R145/'Price History'!R144-1),"")</f>
        <v>-0.0279214064115823</v>
      </c>
      <c r="S144" s="153" t="n">
        <f aca="false">IFERROR(IF(OR(NOT(ISNUMBER('Price History'!S145)),NOT(ISNUMBER('Price History'!S144)),'Price History'!S144=0),"",'Price History'!S145/'Price History'!S144-1),"")</f>
        <v>-0.041902604756512</v>
      </c>
      <c r="T144" s="153" t="n">
        <f aca="false">IFERROR(IF(OR(NOT(ISNUMBER('Price History'!T145)),NOT(ISNUMBER('Price History'!T144)),'Price History'!T144=0),"",'Price History'!T145/'Price History'!T144-1),"")</f>
        <v>-0.0112335277597753</v>
      </c>
      <c r="U144" s="153" t="n">
        <f aca="false">IFERROR(IF(OR(NOT(ISNUMBER('Price History'!U145)),NOT(ISNUMBER('Price History'!U144)),'Price History'!U144=0),"",'Price History'!U145/'Price History'!U144-1),"")</f>
        <v>-0.00625195373554233</v>
      </c>
      <c r="V144" s="154" t="n">
        <f aca="false">IFERROR(IF(OR(NOT(ISNUMBER('Price History'!V145)),NOT(ISNUMBER('Price History'!V144)),'Price History'!V144=0),"",'Price History'!V145/'Price History'!V144-1),"")</f>
        <v>-0.00853415195702212</v>
      </c>
      <c r="W144" s="155" t="n">
        <f aca="false">IFERROR('Price History'!B3+(INDEX('Price History'!B:B,MATCH(9.99E+307,'Returns (Calc)'!$A:$A)+1)-'Price History'!B3)*(ROW()-3)/(MATCH(9.99E+307,'Returns (Calc)'!$A:$A)-3),"")</f>
        <v>274.717547169811</v>
      </c>
      <c r="X144" s="155" t="n">
        <f aca="false">IFERROR('Price History'!C3+(INDEX('Price History'!C:C,MATCH(9.99E+307,'Returns (Calc)'!$A:$A)+1)-'Price History'!C3)*(ROW()-3)/(MATCH(9.99E+307,'Returns (Calc)'!$A:$A)-3),"")</f>
        <v>197.431320754717</v>
      </c>
      <c r="Y144" s="155" t="n">
        <f aca="false">IFERROR('Price History'!D3+(INDEX('Price History'!D:D,MATCH(9.99E+307,'Returns (Calc)'!$A:$A)+1)-'Price History'!D3)*(ROW()-3)/(MATCH(9.99E+307,'Returns (Calc)'!$A:$A)-3),"")</f>
        <v>1644.68</v>
      </c>
      <c r="Z144" s="155" t="n">
        <f aca="false">IFERROR('Price History'!E3+(INDEX('Price History'!E:E,MATCH(9.99E+307,'Returns (Calc)'!$A:$A)+1)-'Price History'!E3)*(ROW()-3)/(MATCH(9.99E+307,'Returns (Calc)'!$A:$A)-3),"")</f>
        <v>329.893962264151</v>
      </c>
      <c r="AA144" s="155" t="n">
        <f aca="false">IFERROR('Price History'!F3+(INDEX('Price History'!F:F,MATCH(9.99E+307,'Returns (Calc)'!$A:$A)+1)-'Price History'!F3)*(ROW()-3)/(MATCH(9.99E+307,'Returns (Calc)'!$A:$A)-3),"")</f>
        <v>248.585660377358</v>
      </c>
      <c r="AB144" s="155" t="n">
        <f aca="false">IFERROR('Price History'!G3+(INDEX('Price History'!G:G,MATCH(9.99E+307,'Returns (Calc)'!$A:$A)+1)-'Price History'!G3)*(ROW()-3)/(MATCH(9.99E+307,'Returns (Calc)'!$A:$A)-3),"")</f>
        <v>178.450754716981</v>
      </c>
      <c r="AC144" s="155" t="n">
        <f aca="false">IFERROR('Price History'!H3+(INDEX('Price History'!H:H,MATCH(9.99E+307,'Returns (Calc)'!$A:$A)+1)-'Price History'!H3)*(ROW()-3)/(MATCH(9.99E+307,'Returns (Calc)'!$A:$A)-3),"")</f>
        <v>920.33320754717</v>
      </c>
      <c r="AD144" s="155" t="n">
        <f aca="false">IFERROR('Price History'!I3+(INDEX('Price History'!I:I,MATCH(9.99E+307,'Returns (Calc)'!$A:$A)+1)-'Price History'!I3)*(ROW()-3)/(MATCH(9.99E+307,'Returns (Calc)'!$A:$A)-3),"")</f>
        <v>208.278867924528</v>
      </c>
      <c r="AE144" s="155" t="n">
        <f aca="false">IFERROR('Price History'!J3+(INDEX('Price History'!J:J,MATCH(9.99E+307,'Returns (Calc)'!$A:$A)+1)-'Price History'!J3)*(ROW()-3)/(MATCH(9.99E+307,'Returns (Calc)'!$A:$A)-3),"")</f>
        <v>127.491886792453</v>
      </c>
      <c r="AF144" s="155" t="n">
        <f aca="false">IFERROR('Price History'!K3+(INDEX('Price History'!K:K,MATCH(9.99E+307,'Returns (Calc)'!$A:$A)+1)-'Price History'!K3)*(ROW()-3)/(MATCH(9.99E+307,'Returns (Calc)'!$A:$A)-3),"")</f>
        <v>187.119433962264</v>
      </c>
      <c r="AG144" s="155" t="n">
        <f aca="false">IFERROR('Price History'!L3+(INDEX('Price History'!L:L,MATCH(9.99E+307,'Returns (Calc)'!$A:$A)+1)-'Price History'!L3)*(ROW()-3)/(MATCH(9.99E+307,'Returns (Calc)'!$A:$A)-3),"")</f>
        <v>411.699433962264</v>
      </c>
      <c r="AH144" s="155" t="n">
        <f aca="false">IFERROR('Price History'!M3+(INDEX('Price History'!M:M,MATCH(9.99E+307,'Returns (Calc)'!$A:$A)+1)-'Price History'!M3)*(ROW()-3)/(MATCH(9.99E+307,'Returns (Calc)'!$A:$A)-3),"")</f>
        <v>219.599622641509</v>
      </c>
      <c r="AI144" s="155" t="n">
        <f aca="false">IFERROR('Price History'!N3+(INDEX('Price History'!N:N,MATCH(9.99E+307,'Returns (Calc)'!$A:$A)+1)-'Price History'!N3)*(ROW()-3)/(MATCH(9.99E+307,'Returns (Calc)'!$A:$A)-3),"")</f>
        <v>491.83320754717</v>
      </c>
      <c r="AJ144" s="155" t="n">
        <f aca="false">IFERROR('Price History'!O3+(INDEX('Price History'!O:O,MATCH(9.99E+307,'Returns (Calc)'!$A:$A)+1)-'Price History'!O3)*(ROW()-3)/(MATCH(9.99E+307,'Returns (Calc)'!$A:$A)-3),"")</f>
        <v>114.621509433962</v>
      </c>
      <c r="AK144" s="155" t="n">
        <f aca="false">IFERROR('Price History'!Q3+(INDEX('Price History'!Q:Q,MATCH(9.99E+307,'Returns (Calc)'!$A:$A)+1)-'Price History'!Q3)*(ROW()-3)/(MATCH(9.99E+307,'Returns (Calc)'!$A:$A)-3),"")</f>
        <v>62.0488679245283</v>
      </c>
      <c r="AL144" s="155" t="n">
        <f aca="false">IFERROR('Price History'!R3+(INDEX('Price History'!R:R,MATCH(9.99E+307,'Returns (Calc)'!$A:$A)+1)-'Price History'!R3)*(ROW()-3)/(MATCH(9.99E+307,'Returns (Calc)'!$A:$A)-3),"")</f>
        <v>58.0775471698113</v>
      </c>
      <c r="AM144" s="155" t="n">
        <f aca="false">IFERROR('Price History'!S3+(INDEX('Price History'!S:S,MATCH(9.99E+307,'Returns (Calc)'!$A:$A)+1)-'Price History'!S3)*(ROW()-3)/(MATCH(9.99E+307,'Returns (Calc)'!$A:$A)-3),"")</f>
        <v>140.571698113208</v>
      </c>
      <c r="AN144" s="155" t="n">
        <f aca="false">IFERROR('Price History'!T3+(INDEX('Price History'!T:T,MATCH(9.99E+307,'Returns (Calc)'!$A:$A)+1)-'Price History'!T3)*(ROW()-3)/(MATCH(9.99E+307,'Returns (Calc)'!$A:$A)-3),"")</f>
        <v>49.7098113207547</v>
      </c>
      <c r="AO144" s="156" t="n">
        <f aca="false">IFERROR('Price History'!V3+(INDEX('Price History'!V:V,MATCH(9.99E+307,'Returns (Calc)'!$A:$A)+1)-'Price History'!V3)*(ROW()-3)/(MATCH(9.99E+307,'Returns (Calc)'!$A:$A)-3),"")</f>
        <v>368.489245283019</v>
      </c>
      <c r="AP144" s="154" t="n">
        <f aca="false">IFERROR(IF(OR(NOT(ISNUMBER('Price History'!W145)),NOT(ISNUMBER('Price History'!W144)),'Price History'!W144=0),"",'Price History'!W145/'Price History'!W144-1),"")</f>
        <v>-0.0059743231219016</v>
      </c>
      <c r="AQ144" s="154" t="n">
        <f aca="false">IFERROR(IF(OR(NOT(ISNUMBER('Price History'!X145)),NOT(ISNUMBER('Price History'!X144)),'Price History'!X144=0),"",'Price History'!X145/'Price History'!X144-1),"")</f>
        <v>0.0234660511636853</v>
      </c>
      <c r="AR144" s="154" t="n">
        <f aca="false">IFERROR(IF(OR(NOT(ISNUMBER('Price History'!Y145)),NOT(ISNUMBER('Price History'!Y144)),'Price History'!Y144=0),"",'Price History'!Y145/'Price History'!Y144-1),"")</f>
        <v>-0.00239719712336339</v>
      </c>
      <c r="AS144" s="154" t="n">
        <f aca="false">IFERROR(IF(OR(NOT(ISNUMBER('Price History'!Z145)),NOT(ISNUMBER('Price History'!Z144)),'Price History'!Z144=0),"",'Price History'!Z145/'Price History'!Z144-1),"")</f>
        <v>0.0130702759624617</v>
      </c>
      <c r="AT144" s="154" t="n">
        <f aca="false">IFERROR(IF(OR(NOT(ISNUMBER('Price History'!AA145)),NOT(ISNUMBER('Price History'!AA144)),'Price History'!AA144=0),"",'Price History'!AA145/'Price History'!AA144-1),"")</f>
        <v>-0.0446407812136711</v>
      </c>
      <c r="AU144" s="154" t="n">
        <f aca="false">IFERROR(IF(OR(NOT(ISNUMBER('Price History'!AB145)),NOT(ISNUMBER('Price History'!AB144)),'Price History'!AB144=0),"",'Price History'!AB145/'Price History'!AB144-1),"")</f>
        <v>-0.0099231386945049</v>
      </c>
    </row>
    <row r="145" customFormat="false" ht="15" hidden="false" customHeight="true" outlineLevel="0" collapsed="false">
      <c r="A145" s="152" t="n">
        <f aca="false">IF('Price History'!A146="","",'Price History'!A146)</f>
        <v>46185</v>
      </c>
      <c r="B145" s="153" t="n">
        <f aca="false">IFERROR(IF(OR(NOT(ISNUMBER('Price History'!B146)),NOT(ISNUMBER('Price History'!B145)),'Price History'!B145=0),"",'Price History'!B146/'Price History'!B145-1),"")</f>
        <v>-0.188593700286351</v>
      </c>
      <c r="C145" s="153" t="n">
        <f aca="false">IFERROR(IF(OR(NOT(ISNUMBER('Price History'!C146)),NOT(ISNUMBER('Price History'!C145)),'Price History'!C145=0),"",'Price History'!C146/'Price History'!C145-1),"")</f>
        <v>0.0581448110455693</v>
      </c>
      <c r="D145" s="153" t="n">
        <f aca="false">IFERROR(IF(OR(NOT(ISNUMBER('Price History'!D146)),NOT(ISNUMBER('Price History'!D145)),'Price History'!D145=0),"",'Price History'!D146/'Price History'!D145-1),"")</f>
        <v>0.135104475427233</v>
      </c>
      <c r="E145" s="153" t="n">
        <f aca="false">IFERROR(IF(OR(NOT(ISNUMBER('Price History'!E146)),NOT(ISNUMBER('Price History'!E145)),'Price History'!E145=0),"",'Price History'!E146/'Price History'!E145-1),"")</f>
        <v>-0.00949482337027219</v>
      </c>
      <c r="F145" s="153" t="n">
        <f aca="false">IFERROR(IF(OR(NOT(ISNUMBER('Price History'!F146)),NOT(ISNUMBER('Price History'!F145)),'Price History'!F145=0),"",'Price History'!F146/'Price History'!F145-1),"")</f>
        <v>0.0175250357653791</v>
      </c>
      <c r="G145" s="153" t="n">
        <f aca="false">IFERROR(IF(OR(NOT(ISNUMBER('Price History'!G146)),NOT(ISNUMBER('Price History'!G145)),'Price History'!G145=0),"",'Price History'!G146/'Price History'!G145-1),"")</f>
        <v>0.319408406850026</v>
      </c>
      <c r="H145" s="153" t="n">
        <f aca="false">IFERROR(IF(OR(NOT(ISNUMBER('Price History'!H146)),NOT(ISNUMBER('Price History'!H145)),'Price History'!H145=0),"",'Price History'!H146/'Price History'!H145-1),"")</f>
        <v>0.136106866694448</v>
      </c>
      <c r="I145" s="153" t="n">
        <f aca="false">IFERROR(IF(OR(NOT(ISNUMBER('Price History'!I146)),NOT(ISNUMBER('Price History'!I145)),'Price History'!I145=0),"",'Price History'!I146/'Price History'!I145-1),"")</f>
        <v>0.000439302972616851</v>
      </c>
      <c r="J145" s="153" t="n">
        <f aca="false">IFERROR(IF(OR(NOT(ISNUMBER('Price History'!J146)),NOT(ISNUMBER('Price History'!J145)),'Price History'!J145=0),"",'Price History'!J146/'Price History'!J145-1),"")</f>
        <v>0.0290791599353795</v>
      </c>
      <c r="K145" s="153" t="n">
        <f aca="false">IFERROR(IF(OR(NOT(ISNUMBER('Price History'!K146)),NOT(ISNUMBER('Price History'!K145)),'Price History'!K145=0),"",'Price History'!K146/'Price History'!K145-1),"")</f>
        <v>-0.0556334390909762</v>
      </c>
      <c r="L145" s="153" t="n">
        <f aca="false">IFERROR(IF(OR(NOT(ISNUMBER('Price History'!L146)),NOT(ISNUMBER('Price History'!L145)),'Price History'!L145=0),"",'Price History'!L146/'Price History'!L145-1),"")</f>
        <v>0.0235057735602413</v>
      </c>
      <c r="M145" s="153" t="n">
        <f aca="false">IFERROR(IF(OR(NOT(ISNUMBER('Price History'!M146)),NOT(ISNUMBER('Price History'!M145)),'Price History'!M145=0),"",'Price History'!M146/'Price History'!M145-1),"")</f>
        <v>0.00785697639577854</v>
      </c>
      <c r="N145" s="153" t="n">
        <f aca="false">IFERROR(IF(OR(NOT(ISNUMBER('Price History'!N146)),NOT(ISNUMBER('Price History'!N145)),'Price History'!N145=0),"",'Price History'!N146/'Price History'!N145-1),"")</f>
        <v>-0.0042521764429424</v>
      </c>
      <c r="O145" s="153" t="n">
        <f aca="false">IFERROR(IF(OR(NOT(ISNUMBER('Price History'!O146)),NOT(ISNUMBER('Price History'!O145)),'Price History'!O145=0),"",'Price History'!O146/'Price History'!O145-1),"")</f>
        <v>0.0429040127870783</v>
      </c>
      <c r="P145" s="153" t="n">
        <f aca="false">IFERROR(IF(OR(NOT(ISNUMBER('Price History'!P146)),NOT(ISNUMBER('Price History'!P145)),'Price History'!P145=0),"",'Price History'!P146/'Price History'!P145-1),"")</f>
        <v>0.0221030604237511</v>
      </c>
      <c r="Q145" s="153" t="n">
        <f aca="false">IFERROR(IF(OR(NOT(ISNUMBER('Price History'!Q146)),NOT(ISNUMBER('Price History'!Q145)),'Price History'!Q145=0),"",'Price History'!Q146/'Price History'!Q145-1),"")</f>
        <v>0.000446894086101546</v>
      </c>
      <c r="R145" s="153" t="n">
        <f aca="false">IFERROR(IF(OR(NOT(ISNUMBER('Price History'!R146)),NOT(ISNUMBER('Price History'!R145)),'Price History'!R145=0),"",'Price History'!R146/'Price History'!R145-1),"")</f>
        <v>0.0163120567375887</v>
      </c>
      <c r="S145" s="153" t="n">
        <f aca="false">IFERROR(IF(OR(NOT(ISNUMBER('Price History'!S146)),NOT(ISNUMBER('Price History'!S145)),'Price History'!S145=0),"",'Price History'!S146/'Price History'!S145-1),"")</f>
        <v>0.0568766513697678</v>
      </c>
      <c r="T145" s="153" t="n">
        <f aca="false">IFERROR(IF(OR(NOT(ISNUMBER('Price History'!T146)),NOT(ISNUMBER('Price History'!T145)),'Price History'!T145=0),"",'Price History'!T146/'Price History'!T145-1),"")</f>
        <v>0.00633602796591659</v>
      </c>
      <c r="U145" s="153" t="n">
        <f aca="false">IFERROR(IF(OR(NOT(ISNUMBER('Price History'!U146)),NOT(ISNUMBER('Price History'!U145)),'Price History'!U145=0),"",'Price History'!U146/'Price History'!U145-1),"")</f>
        <v>0.0160427807486629</v>
      </c>
      <c r="V145" s="154" t="n">
        <f aca="false">IFERROR(IF(OR(NOT(ISNUMBER('Price History'!V146)),NOT(ISNUMBER('Price History'!V145)),'Price History'!V145=0),"",'Price History'!V146/'Price History'!V145-1),"")</f>
        <v>-0.00365359011672917</v>
      </c>
      <c r="W145" s="155" t="n">
        <f aca="false">IFERROR('Price History'!B3+(INDEX('Price History'!B:B,MATCH(9.99E+307,'Returns (Calc)'!$A:$A)+1)-'Price History'!B3)*(ROW()-3)/(MATCH(9.99E+307,'Returns (Calc)'!$A:$A)-3),"")</f>
        <v>272.914905660377</v>
      </c>
      <c r="X145" s="155" t="n">
        <f aca="false">IFERROR('Price History'!C3+(INDEX('Price History'!C:C,MATCH(9.99E+307,'Returns (Calc)'!$A:$A)+1)-'Price History'!C3)*(ROW()-3)/(MATCH(9.99E+307,'Returns (Calc)'!$A:$A)-3),"")</f>
        <v>198.504025157233</v>
      </c>
      <c r="Y145" s="155" t="n">
        <f aca="false">IFERROR('Price History'!D3+(INDEX('Price History'!D:D,MATCH(9.99E+307,'Returns (Calc)'!$A:$A)+1)-'Price History'!D3)*(ROW()-3)/(MATCH(9.99E+307,'Returns (Calc)'!$A:$A)-3),"")</f>
        <v>1652.21666666667</v>
      </c>
      <c r="Z145" s="155" t="n">
        <f aca="false">IFERROR('Price History'!E3+(INDEX('Price History'!E:E,MATCH(9.99E+307,'Returns (Calc)'!$A:$A)+1)-'Price History'!E3)*(ROW()-3)/(MATCH(9.99E+307,'Returns (Calc)'!$A:$A)-3),"")</f>
        <v>331.652075471698</v>
      </c>
      <c r="AA145" s="155" t="n">
        <f aca="false">IFERROR('Price History'!F3+(INDEX('Price History'!F:F,MATCH(9.99E+307,'Returns (Calc)'!$A:$A)+1)-'Price History'!F3)*(ROW()-3)/(MATCH(9.99E+307,'Returns (Calc)'!$A:$A)-3),"")</f>
        <v>250.05534591195</v>
      </c>
      <c r="AB145" s="155" t="n">
        <f aca="false">IFERROR('Price History'!G3+(INDEX('Price History'!G:G,MATCH(9.99E+307,'Returns (Calc)'!$A:$A)+1)-'Price History'!G3)*(ROW()-3)/(MATCH(9.99E+307,'Returns (Calc)'!$A:$A)-3),"")</f>
        <v>179.401823899371</v>
      </c>
      <c r="AC145" s="155" t="n">
        <f aca="false">IFERROR('Price History'!H3+(INDEX('Price History'!H:H,MATCH(9.99E+307,'Returns (Calc)'!$A:$A)+1)-'Price History'!H3)*(ROW()-3)/(MATCH(9.99E+307,'Returns (Calc)'!$A:$A)-3),"")</f>
        <v>926.370251572327</v>
      </c>
      <c r="AD145" s="155" t="n">
        <f aca="false">IFERROR('Price History'!I3+(INDEX('Price History'!I:I,MATCH(9.99E+307,'Returns (Calc)'!$A:$A)+1)-'Price History'!I3)*(ROW()-3)/(MATCH(9.99E+307,'Returns (Calc)'!$A:$A)-3),"")</f>
        <v>209.445597484277</v>
      </c>
      <c r="AE145" s="155" t="n">
        <f aca="false">IFERROR('Price History'!J3+(INDEX('Price History'!J:J,MATCH(9.99E+307,'Returns (Calc)'!$A:$A)+1)-'Price History'!J3)*(ROW()-3)/(MATCH(9.99E+307,'Returns (Calc)'!$A:$A)-3),"")</f>
        <v>127.602893081761</v>
      </c>
      <c r="AF145" s="155" t="n">
        <f aca="false">IFERROR('Price History'!K3+(INDEX('Price History'!K:K,MATCH(9.99E+307,'Returns (Calc)'!$A:$A)+1)-'Price History'!K3)*(ROW()-3)/(MATCH(9.99E+307,'Returns (Calc)'!$A:$A)-3),"")</f>
        <v>188.337798742138</v>
      </c>
      <c r="AG145" s="155" t="n">
        <f aca="false">IFERROR('Price History'!L3+(INDEX('Price History'!L:L,MATCH(9.99E+307,'Returns (Calc)'!$A:$A)+1)-'Price History'!L3)*(ROW()-3)/(MATCH(9.99E+307,'Returns (Calc)'!$A:$A)-3),"")</f>
        <v>414.011132075472</v>
      </c>
      <c r="AH145" s="155" t="n">
        <f aca="false">IFERROR('Price History'!M3+(INDEX('Price History'!M:M,MATCH(9.99E+307,'Returns (Calc)'!$A:$A)+1)-'Price History'!M3)*(ROW()-3)/(MATCH(9.99E+307,'Returns (Calc)'!$A:$A)-3),"")</f>
        <v>220.887421383648</v>
      </c>
      <c r="AI145" s="155" t="n">
        <f aca="false">IFERROR('Price History'!N3+(INDEX('Price History'!N:N,MATCH(9.99E+307,'Returns (Calc)'!$A:$A)+1)-'Price History'!N3)*(ROW()-3)/(MATCH(9.99E+307,'Returns (Calc)'!$A:$A)-3),"")</f>
        <v>492.846918238994</v>
      </c>
      <c r="AJ145" s="155" t="n">
        <f aca="false">IFERROR('Price History'!O3+(INDEX('Price History'!O:O,MATCH(9.99E+307,'Returns (Calc)'!$A:$A)+1)-'Price History'!O3)*(ROW()-3)/(MATCH(9.99E+307,'Returns (Calc)'!$A:$A)-3),"")</f>
        <v>114.900314465409</v>
      </c>
      <c r="AK145" s="155" t="n">
        <f aca="false">IFERROR('Price History'!Q3+(INDEX('Price History'!Q:Q,MATCH(9.99E+307,'Returns (Calc)'!$A:$A)+1)-'Price History'!Q3)*(ROW()-3)/(MATCH(9.99E+307,'Returns (Calc)'!$A:$A)-3),"")</f>
        <v>62.4889308176101</v>
      </c>
      <c r="AL145" s="155" t="n">
        <f aca="false">IFERROR('Price History'!R3+(INDEX('Price History'!R:R,MATCH(9.99E+307,'Returns (Calc)'!$A:$A)+1)-'Price History'!R3)*(ROW()-3)/(MATCH(9.99E+307,'Returns (Calc)'!$A:$A)-3),"")</f>
        <v>58.2449056603774</v>
      </c>
      <c r="AM145" s="155" t="n">
        <f aca="false">IFERROR('Price History'!S3+(INDEX('Price History'!S:S,MATCH(9.99E+307,'Returns (Calc)'!$A:$A)+1)-'Price History'!S3)*(ROW()-3)/(MATCH(9.99E+307,'Returns (Calc)'!$A:$A)-3),"")</f>
        <v>141.159937106918</v>
      </c>
      <c r="AN145" s="155" t="n">
        <f aca="false">IFERROR('Price History'!T3+(INDEX('Price History'!T:T,MATCH(9.99E+307,'Returns (Calc)'!$A:$A)+1)-'Price History'!T3)*(ROW()-3)/(MATCH(9.99E+307,'Returns (Calc)'!$A:$A)-3),"")</f>
        <v>49.8837106918239</v>
      </c>
      <c r="AO145" s="156" t="n">
        <f aca="false">IFERROR('Price History'!V3+(INDEX('Price History'!V:V,MATCH(9.99E+307,'Returns (Calc)'!$A:$A)+1)-'Price History'!V3)*(ROW()-3)/(MATCH(9.99E+307,'Returns (Calc)'!$A:$A)-3),"")</f>
        <v>369.431509433962</v>
      </c>
      <c r="AP145" s="154" t="n">
        <f aca="false">IFERROR(IF(OR(NOT(ISNUMBER('Price History'!W146)),NOT(ISNUMBER('Price History'!W145)),'Price History'!W145=0),"",'Price History'!W146/'Price History'!W145-1),"")</f>
        <v>0.0131713554987212</v>
      </c>
      <c r="AQ145" s="154" t="n">
        <f aca="false">IFERROR(IF(OR(NOT(ISNUMBER('Price History'!X146)),NOT(ISNUMBER('Price History'!X145)),'Price History'!X145=0),"",'Price History'!X146/'Price History'!X145-1),"")</f>
        <v>0.00638977635782734</v>
      </c>
      <c r="AR145" s="154" t="n">
        <f aca="false">IFERROR(IF(OR(NOT(ISNUMBER('Price History'!Y146)),NOT(ISNUMBER('Price History'!Y145)),'Price History'!Y145=0),"",'Price History'!Y146/'Price History'!Y145-1),"")</f>
        <v>0.0094269870609982</v>
      </c>
      <c r="AS145" s="154" t="n">
        <f aca="false">IFERROR(IF(OR(NOT(ISNUMBER('Price History'!Z146)),NOT(ISNUMBER('Price History'!Z145)),'Price History'!Z145=0),"",'Price History'!Z146/'Price History'!Z145-1),"")</f>
        <v>0.0222568711975297</v>
      </c>
      <c r="AT145" s="154" t="n">
        <f aca="false">IFERROR(IF(OR(NOT(ISNUMBER('Price History'!AA146)),NOT(ISNUMBER('Price History'!AA145)),'Price History'!AA145=0),"",'Price History'!AA146/'Price History'!AA145-1),"")</f>
        <v>-0.0223898758822099</v>
      </c>
      <c r="AU145" s="154" t="n">
        <f aca="false">IFERROR(IF(OR(NOT(ISNUMBER('Price History'!AB146)),NOT(ISNUMBER('Price History'!AB145)),'Price History'!AB145=0),"",'Price History'!AB146/'Price History'!AB145-1),"")</f>
        <v>-0.0757198308325128</v>
      </c>
    </row>
    <row r="146" customFormat="false" ht="15" hidden="false" customHeight="true" outlineLevel="0" collapsed="false">
      <c r="A146" s="152" t="n">
        <f aca="false">IF('Price History'!A147="","",'Price History'!A147)</f>
        <v>46192</v>
      </c>
      <c r="B146" s="153" t="n">
        <f aca="false">IFERROR(IF(OR(NOT(ISNUMBER('Price History'!B147)),NOT(ISNUMBER('Price History'!B146)),'Price History'!B146=0),"",'Price History'!B147/'Price History'!B146-1),"")</f>
        <v>-0.0434271149887266</v>
      </c>
      <c r="C146" s="153" t="n">
        <f aca="false">IFERROR(IF(OR(NOT(ISNUMBER('Price History'!C147)),NOT(ISNUMBER('Price History'!C146)),'Price History'!C146=0),"",'Price History'!C147/'Price History'!C146-1),"")</f>
        <v>0.0393898554275911</v>
      </c>
      <c r="D146" s="153" t="n">
        <f aca="false">IFERROR(IF(OR(NOT(ISNUMBER('Price History'!D147)),NOT(ISNUMBER('Price History'!D146)),'Price History'!D146=0),"",'Price History'!D147/'Price History'!D146-1),"")</f>
        <v>0.0354890013647549</v>
      </c>
      <c r="E146" s="153" t="n">
        <f aca="false">IFERROR(IF(OR(NOT(ISNUMBER('Price History'!E147)),NOT(ISNUMBER('Price History'!E146)),'Price History'!E146=0),"",'Price History'!E147/'Price History'!E146-1),"")</f>
        <v>0.0766341886178008</v>
      </c>
      <c r="F146" s="153" t="n">
        <f aca="false">IFERROR(IF(OR(NOT(ISNUMBER('Price History'!F147)),NOT(ISNUMBER('Price History'!F146)),'Price History'!F146=0),"",'Price History'!F147/'Price History'!F146-1),"")</f>
        <v>0.00298769771529006</v>
      </c>
      <c r="G146" s="153" t="n">
        <f aca="false">IFERROR(IF(OR(NOT(ISNUMBER('Price History'!G147)),NOT(ISNUMBER('Price History'!G146)),'Price History'!G146=0),"",'Price History'!G147/'Price History'!G146-1),"")</f>
        <v>0.0197443461160274</v>
      </c>
      <c r="H146" s="153" t="n">
        <f aca="false">IFERROR(IF(OR(NOT(ISNUMBER('Price History'!H147)),NOT(ISNUMBER('Price History'!H146)),'Price History'!H146=0),"",'Price History'!H147/'Price History'!H146-1),"")</f>
        <v>0.155238114645528</v>
      </c>
      <c r="I146" s="153" t="n">
        <f aca="false">IFERROR(IF(OR(NOT(ISNUMBER('Price History'!I147)),NOT(ISNUMBER('Price History'!I146)),'Price History'!I146=0),"",'Price History'!I147/'Price History'!I146-1),"")</f>
        <v>0.0267857142857142</v>
      </c>
      <c r="J146" s="153" t="n">
        <f aca="false">IFERROR(IF(OR(NOT(ISNUMBER('Price History'!J147)),NOT(ISNUMBER('Price History'!J146)),'Price History'!J146=0),"",'Price History'!J147/'Price History'!J146-1),"")</f>
        <v>-0.0483243464609924</v>
      </c>
      <c r="K146" s="153" t="n">
        <f aca="false">IFERROR(IF(OR(NOT(ISNUMBER('Price History'!K147)),NOT(ISNUMBER('Price History'!K146)),'Price History'!K146=0),"",'Price History'!K147/'Price History'!K146-1),"")</f>
        <v>0.00375029299163998</v>
      </c>
      <c r="L146" s="153" t="n">
        <f aca="false">IFERROR(IF(OR(NOT(ISNUMBER('Price History'!L147)),NOT(ISNUMBER('Price History'!L146)),'Price History'!L146=0),"",'Price History'!L147/'Price History'!L146-1),"")</f>
        <v>0.0900662251655628</v>
      </c>
      <c r="M146" s="153" t="n">
        <f aca="false">IFERROR(IF(OR(NOT(ISNUMBER('Price History'!M147)),NOT(ISNUMBER('Price History'!M146)),'Price History'!M146=0),"",'Price History'!M147/'Price History'!M146-1),"")</f>
        <v>0.0998909919730453</v>
      </c>
      <c r="N146" s="153" t="n">
        <f aca="false">IFERROR(IF(OR(NOT(ISNUMBER('Price History'!N147)),NOT(ISNUMBER('Price History'!N146)),'Price History'!N146=0),"",'Price History'!N147/'Price History'!N146-1),"")</f>
        <v>0.0150585485357246</v>
      </c>
      <c r="O146" s="153" t="n">
        <f aca="false">IFERROR(IF(OR(NOT(ISNUMBER('Price History'!O147)),NOT(ISNUMBER('Price History'!O146)),'Price History'!O146=0),"",'Price History'!O147/'Price History'!O146-1),"")</f>
        <v>-0.0191175284342987</v>
      </c>
      <c r="P146" s="153" t="n">
        <f aca="false">IFERROR(IF(OR(NOT(ISNUMBER('Price History'!P147)),NOT(ISNUMBER('Price History'!P146)),'Price History'!P146=0),"",'Price History'!P147/'Price History'!P146-1),"")</f>
        <v>-0.027191298784389</v>
      </c>
      <c r="Q146" s="153" t="n">
        <f aca="false">IFERROR(IF(OR(NOT(ISNUMBER('Price History'!Q147)),NOT(ISNUMBER('Price History'!Q146)),'Price History'!Q146=0),"",'Price History'!Q147/'Price History'!Q146-1),"")</f>
        <v>0.0083382966051222</v>
      </c>
      <c r="R146" s="153" t="n">
        <f aca="false">IFERROR(IF(OR(NOT(ISNUMBER('Price History'!R147)),NOT(ISNUMBER('Price History'!R146)),'Price History'!R146=0),"",'Price History'!R147/'Price History'!R146-1),"")</f>
        <v>0.0247732030704815</v>
      </c>
      <c r="S146" s="153" t="n">
        <f aca="false">IFERROR(IF(OR(NOT(ISNUMBER('Price History'!S147)),NOT(ISNUMBER('Price History'!S146)),'Price History'!S146=0),"",'Price History'!S147/'Price History'!S146-1),"")</f>
        <v>0.0486184210526315</v>
      </c>
      <c r="T146" s="153" t="n">
        <f aca="false">IFERROR(IF(OR(NOT(ISNUMBER('Price History'!T147)),NOT(ISNUMBER('Price History'!T146)),'Price History'!T146=0),"",'Price History'!T147/'Price History'!T146-1),"")</f>
        <v>-0.0225792444637429</v>
      </c>
      <c r="U146" s="153" t="n">
        <f aca="false">IFERROR(IF(OR(NOT(ISNUMBER('Price History'!U147)),NOT(ISNUMBER('Price History'!U146)),'Price History'!U146=0),"",'Price History'!U147/'Price History'!U146-1),"")</f>
        <v>-0.0291021671826625</v>
      </c>
      <c r="V146" s="154" t="n">
        <f aca="false">IFERROR(IF(OR(NOT(ISNUMBER('Price History'!V147)),NOT(ISNUMBER('Price History'!V146)),'Price History'!V146=0),"",'Price History'!V147/'Price History'!V146-1),"")</f>
        <v>0.0150408651605083</v>
      </c>
      <c r="W146" s="155" t="n">
        <f aca="false">IFERROR('Price History'!B3+(INDEX('Price History'!B:B,MATCH(9.99E+307,'Returns (Calc)'!$A:$A)+1)-'Price History'!B3)*(ROW()-3)/(MATCH(9.99E+307,'Returns (Calc)'!$A:$A)-3),"")</f>
        <v>271.112264150943</v>
      </c>
      <c r="X146" s="155" t="n">
        <f aca="false">IFERROR('Price History'!C3+(INDEX('Price History'!C:C,MATCH(9.99E+307,'Returns (Calc)'!$A:$A)+1)-'Price History'!C3)*(ROW()-3)/(MATCH(9.99E+307,'Returns (Calc)'!$A:$A)-3),"")</f>
        <v>199.576729559748</v>
      </c>
      <c r="Y146" s="155" t="n">
        <f aca="false">IFERROR('Price History'!D3+(INDEX('Price History'!D:D,MATCH(9.99E+307,'Returns (Calc)'!$A:$A)+1)-'Price History'!D3)*(ROW()-3)/(MATCH(9.99E+307,'Returns (Calc)'!$A:$A)-3),"")</f>
        <v>1659.75333333333</v>
      </c>
      <c r="Z146" s="155" t="n">
        <f aca="false">IFERROR('Price History'!E3+(INDEX('Price History'!E:E,MATCH(9.99E+307,'Returns (Calc)'!$A:$A)+1)-'Price History'!E3)*(ROW()-3)/(MATCH(9.99E+307,'Returns (Calc)'!$A:$A)-3),"")</f>
        <v>333.410188679245</v>
      </c>
      <c r="AA146" s="155" t="n">
        <f aca="false">IFERROR('Price History'!F3+(INDEX('Price History'!F:F,MATCH(9.99E+307,'Returns (Calc)'!$A:$A)+1)-'Price History'!F3)*(ROW()-3)/(MATCH(9.99E+307,'Returns (Calc)'!$A:$A)-3),"")</f>
        <v>251.525031446541</v>
      </c>
      <c r="AB146" s="155" t="n">
        <f aca="false">IFERROR('Price History'!G3+(INDEX('Price History'!G:G,MATCH(9.99E+307,'Returns (Calc)'!$A:$A)+1)-'Price History'!G3)*(ROW()-3)/(MATCH(9.99E+307,'Returns (Calc)'!$A:$A)-3),"")</f>
        <v>180.352893081761</v>
      </c>
      <c r="AC146" s="155" t="n">
        <f aca="false">IFERROR('Price History'!H3+(INDEX('Price History'!H:H,MATCH(9.99E+307,'Returns (Calc)'!$A:$A)+1)-'Price History'!H3)*(ROW()-3)/(MATCH(9.99E+307,'Returns (Calc)'!$A:$A)-3),"")</f>
        <v>932.407295597484</v>
      </c>
      <c r="AD146" s="155" t="n">
        <f aca="false">IFERROR('Price History'!I3+(INDEX('Price History'!I:I,MATCH(9.99E+307,'Returns (Calc)'!$A:$A)+1)-'Price History'!I3)*(ROW()-3)/(MATCH(9.99E+307,'Returns (Calc)'!$A:$A)-3),"")</f>
        <v>210.612327044025</v>
      </c>
      <c r="AE146" s="155" t="n">
        <f aca="false">IFERROR('Price History'!J3+(INDEX('Price History'!J:J,MATCH(9.99E+307,'Returns (Calc)'!$A:$A)+1)-'Price History'!J3)*(ROW()-3)/(MATCH(9.99E+307,'Returns (Calc)'!$A:$A)-3),"")</f>
        <v>127.713899371069</v>
      </c>
      <c r="AF146" s="155" t="n">
        <f aca="false">IFERROR('Price History'!K3+(INDEX('Price History'!K:K,MATCH(9.99E+307,'Returns (Calc)'!$A:$A)+1)-'Price History'!K3)*(ROW()-3)/(MATCH(9.99E+307,'Returns (Calc)'!$A:$A)-3),"")</f>
        <v>189.556163522013</v>
      </c>
      <c r="AG146" s="155" t="n">
        <f aca="false">IFERROR('Price History'!L3+(INDEX('Price History'!L:L,MATCH(9.99E+307,'Returns (Calc)'!$A:$A)+1)-'Price History'!L3)*(ROW()-3)/(MATCH(9.99E+307,'Returns (Calc)'!$A:$A)-3),"")</f>
        <v>416.322830188679</v>
      </c>
      <c r="AH146" s="155" t="n">
        <f aca="false">IFERROR('Price History'!M3+(INDEX('Price History'!M:M,MATCH(9.99E+307,'Returns (Calc)'!$A:$A)+1)-'Price History'!M3)*(ROW()-3)/(MATCH(9.99E+307,'Returns (Calc)'!$A:$A)-3),"")</f>
        <v>222.175220125786</v>
      </c>
      <c r="AI146" s="155" t="n">
        <f aca="false">IFERROR('Price History'!N3+(INDEX('Price History'!N:N,MATCH(9.99E+307,'Returns (Calc)'!$A:$A)+1)-'Price History'!N3)*(ROW()-3)/(MATCH(9.99E+307,'Returns (Calc)'!$A:$A)-3),"")</f>
        <v>493.860628930818</v>
      </c>
      <c r="AJ146" s="155" t="n">
        <f aca="false">IFERROR('Price History'!O3+(INDEX('Price History'!O:O,MATCH(9.99E+307,'Returns (Calc)'!$A:$A)+1)-'Price History'!O3)*(ROW()-3)/(MATCH(9.99E+307,'Returns (Calc)'!$A:$A)-3),"")</f>
        <v>115.179119496855</v>
      </c>
      <c r="AK146" s="155" t="n">
        <f aca="false">IFERROR('Price History'!Q3+(INDEX('Price History'!Q:Q,MATCH(9.99E+307,'Returns (Calc)'!$A:$A)+1)-'Price History'!Q3)*(ROW()-3)/(MATCH(9.99E+307,'Returns (Calc)'!$A:$A)-3),"")</f>
        <v>62.9289937106918</v>
      </c>
      <c r="AL146" s="155" t="n">
        <f aca="false">IFERROR('Price History'!R3+(INDEX('Price History'!R:R,MATCH(9.99E+307,'Returns (Calc)'!$A:$A)+1)-'Price History'!R3)*(ROW()-3)/(MATCH(9.99E+307,'Returns (Calc)'!$A:$A)-3),"")</f>
        <v>58.4122641509434</v>
      </c>
      <c r="AM146" s="155" t="n">
        <f aca="false">IFERROR('Price History'!S3+(INDEX('Price History'!S:S,MATCH(9.99E+307,'Returns (Calc)'!$A:$A)+1)-'Price History'!S3)*(ROW()-3)/(MATCH(9.99E+307,'Returns (Calc)'!$A:$A)-3),"")</f>
        <v>141.748176100629</v>
      </c>
      <c r="AN146" s="155" t="n">
        <f aca="false">IFERROR('Price History'!T3+(INDEX('Price History'!T:T,MATCH(9.99E+307,'Returns (Calc)'!$A:$A)+1)-'Price History'!T3)*(ROW()-3)/(MATCH(9.99E+307,'Returns (Calc)'!$A:$A)-3),"")</f>
        <v>50.0576100628931</v>
      </c>
      <c r="AO146" s="156" t="n">
        <f aca="false">IFERROR('Price History'!V3+(INDEX('Price History'!V:V,MATCH(9.99E+307,'Returns (Calc)'!$A:$A)+1)-'Price History'!V3)*(ROW()-3)/(MATCH(9.99E+307,'Returns (Calc)'!$A:$A)-3),"")</f>
        <v>370.373773584906</v>
      </c>
      <c r="AP146" s="154" t="n">
        <f aca="false">IFERROR(IF(OR(NOT(ISNUMBER('Price History'!W147)),NOT(ISNUMBER('Price History'!W146)),'Price History'!W146=0),"",'Price History'!W147/'Price History'!W146-1),"")</f>
        <v>-0.00706802978669696</v>
      </c>
      <c r="AQ146" s="154" t="n">
        <f aca="false">IFERROR(IF(OR(NOT(ISNUMBER('Price History'!X147)),NOT(ISNUMBER('Price History'!X146)),'Price History'!X146=0),"",'Price History'!X147/'Price History'!X146-1),"")</f>
        <v>-0.0220354808590103</v>
      </c>
      <c r="AR146" s="154" t="n">
        <f aca="false">IFERROR(IF(OR(NOT(ISNUMBER('Price History'!Y147)),NOT(ISNUMBER('Price History'!Y146)),'Price History'!Y146=0),"",'Price History'!Y147/'Price History'!Y146-1),"")</f>
        <v>0.00109869987181832</v>
      </c>
      <c r="AS146" s="154" t="n">
        <f aca="false">IFERROR(IF(OR(NOT(ISNUMBER('Price History'!Z147)),NOT(ISNUMBER('Price History'!Z146)),'Price History'!Z146=0),"",'Price History'!Z147/'Price History'!Z146-1),"")</f>
        <v>0.0666327720788347</v>
      </c>
      <c r="AT146" s="154" t="n">
        <f aca="false">IFERROR(IF(OR(NOT(ISNUMBER('Price History'!AA147)),NOT(ISNUMBER('Price History'!AA146)),'Price History'!AA146=0),"",'Price History'!AA147/'Price History'!AA146-1),"")</f>
        <v>-0.0368434154841922</v>
      </c>
      <c r="AU146" s="154" t="n">
        <f aca="false">IFERROR(IF(OR(NOT(ISNUMBER('Price History'!AB147)),NOT(ISNUMBER('Price History'!AB146)),'Price History'!AB146=0),"",'Price History'!AB147/'Price History'!AB146-1),"")</f>
        <v>-0.0391124482888303</v>
      </c>
    </row>
    <row r="147" customFormat="false" ht="15" hidden="false" customHeight="true" outlineLevel="0" collapsed="false">
      <c r="A147" s="152" t="n">
        <f aca="false">IF('Price History'!A148="","",'Price History'!A148)</f>
        <v>46199</v>
      </c>
      <c r="B147" s="153" t="n">
        <f aca="false">IFERROR(IF(OR(NOT(ISNUMBER('Price History'!B148)),NOT(ISNUMBER('Price History'!B147)),'Price History'!B147=0),"",'Price History'!B148/'Price History'!B147-1),"")</f>
        <v>0.0387886862061897</v>
      </c>
      <c r="C147" s="153" t="n">
        <f aca="false">IFERROR(IF(OR(NOT(ISNUMBER('Price History'!C148)),NOT(ISNUMBER('Price History'!C147)),'Price History'!C147=0),"",'Price History'!C148/'Price History'!C147-1),"")</f>
        <v>-0.0711380915895562</v>
      </c>
      <c r="D147" s="153" t="n">
        <f aca="false">IFERROR(IF(OR(NOT(ISNUMBER('Price History'!D148)),NOT(ISNUMBER('Price History'!D147)),'Price History'!D147=0),"",'Price History'!D148/'Price History'!D147-1),"")</f>
        <v>-0.0699930987603714</v>
      </c>
      <c r="E147" s="153" t="n">
        <f aca="false">IFERROR(IF(OR(NOT(ISNUMBER('Price History'!E148)),NOT(ISNUMBER('Price History'!E147)),'Price History'!E147=0),"",'Price History'!E148/'Price History'!E147-1),"")</f>
        <v>-0.111208683985852</v>
      </c>
      <c r="F147" s="153" t="n">
        <f aca="false">IFERROR(IF(OR(NOT(ISNUMBER('Price History'!F148)),NOT(ISNUMBER('Price History'!F147)),'Price History'!F147=0),"",'Price History'!F148/'Price History'!F147-1),"")</f>
        <v>0.0237135681327025</v>
      </c>
      <c r="G147" s="153" t="n">
        <f aca="false">IFERROR(IF(OR(NOT(ISNUMBER('Price History'!G148)),NOT(ISNUMBER('Price History'!G147)),'Price History'!G147=0),"",'Price History'!G148/'Price History'!G147-1),"")</f>
        <v>-0.0420796852701816</v>
      </c>
      <c r="H147" s="153" t="n">
        <f aca="false">IFERROR(IF(OR(NOT(ISNUMBER('Price History'!H148)),NOT(ISNUMBER('Price History'!H147)),'Price History'!H147=0),"",'Price History'!H148/'Price History'!H147-1),"")</f>
        <v>-0.00146407719038277</v>
      </c>
      <c r="I147" s="153" t="n">
        <f aca="false">IFERROR(IF(OR(NOT(ISNUMBER('Price History'!I148)),NOT(ISNUMBER('Price History'!I147)),'Price History'!I147=0),"",'Price History'!I148/'Price History'!I147-1),"")</f>
        <v>-0.0861962461392254</v>
      </c>
      <c r="J147" s="153" t="n">
        <f aca="false">IFERROR(IF(OR(NOT(ISNUMBER('Price History'!J148)),NOT(ISNUMBER('Price History'!J147)),'Price History'!J147=0),"",'Price History'!J148/'Price History'!J147-1),"")</f>
        <v>-0.00401635229147246</v>
      </c>
      <c r="K147" s="153" t="n">
        <f aca="false">IFERROR(IF(OR(NOT(ISNUMBER('Price History'!K148)),NOT(ISNUMBER('Price History'!K147)),'Price History'!K147=0),"",'Price History'!K148/'Price History'!K147-1),"")</f>
        <v>-0.120962092317273</v>
      </c>
      <c r="L147" s="153" t="n">
        <f aca="false">IFERROR(IF(OR(NOT(ISNUMBER('Price History'!L148)),NOT(ISNUMBER('Price History'!L147)),'Price History'!L147=0),"",'Price History'!L148/'Price History'!L147-1),"")</f>
        <v>-0.0644202395417463</v>
      </c>
      <c r="M147" s="153" t="n">
        <f aca="false">IFERROR(IF(OR(NOT(ISNUMBER('Price History'!M148)),NOT(ISNUMBER('Price History'!M147)),'Price History'!M147=0),"",'Price History'!M148/'Price History'!M147-1),"")</f>
        <v>-0.0873652280986276</v>
      </c>
      <c r="N147" s="153" t="n">
        <f aca="false">IFERROR(IF(OR(NOT(ISNUMBER('Price History'!N148)),NOT(ISNUMBER('Price History'!N147)),'Price History'!N147=0),"",'Price History'!N148/'Price History'!N147-1),"")</f>
        <v>0.0879259570887674</v>
      </c>
      <c r="O147" s="153" t="n">
        <f aca="false">IFERROR(IF(OR(NOT(ISNUMBER('Price History'!O148)),NOT(ISNUMBER('Price History'!O147)),'Price History'!O147=0),"",'Price History'!O148/'Price History'!O147-1),"")</f>
        <v>0.0240953947368421</v>
      </c>
      <c r="P147" s="153" t="n">
        <f aca="false">IFERROR(IF(OR(NOT(ISNUMBER('Price History'!P148)),NOT(ISNUMBER('Price History'!P147)),'Price History'!P147=0),"",'Price History'!P148/'Price History'!P147-1),"")</f>
        <v>0.0317000986517593</v>
      </c>
      <c r="Q147" s="153" t="n">
        <f aca="false">IFERROR(IF(OR(NOT(ISNUMBER('Price History'!Q148)),NOT(ISNUMBER('Price History'!Q147)),'Price History'!Q147=0),"",'Price History'!Q148/'Price History'!Q147-1),"")</f>
        <v>-0.0107796810395748</v>
      </c>
      <c r="R147" s="153" t="n">
        <f aca="false">IFERROR(IF(OR(NOT(ISNUMBER('Price History'!R148)),NOT(ISNUMBER('Price History'!R147)),'Price History'!R147=0),"",'Price History'!R148/'Price History'!R147-1),"")</f>
        <v>-0.031324480762683</v>
      </c>
      <c r="S147" s="153" t="n">
        <f aca="false">IFERROR(IF(OR(NOT(ISNUMBER('Price History'!S148)),NOT(ISNUMBER('Price History'!S147)),'Price History'!S147=0),"",'Price History'!S148/'Price History'!S147-1),"")</f>
        <v>-0.0341301210866428</v>
      </c>
      <c r="T147" s="153" t="n">
        <f aca="false">IFERROR(IF(OR(NOT(ISNUMBER('Price History'!T148)),NOT(ISNUMBER('Price History'!T147)),'Price History'!T147=0),"",'Price History'!T148/'Price History'!T147-1),"")</f>
        <v>0.0208796090626389</v>
      </c>
      <c r="U147" s="153" t="n">
        <f aca="false">IFERROR(IF(OR(NOT(ISNUMBER('Price History'!U148)),NOT(ISNUMBER('Price History'!U147)),'Price History'!U147=0),"",'Price History'!U148/'Price History'!U147-1),"")</f>
        <v>0.0153061224489797</v>
      </c>
      <c r="V147" s="154" t="n">
        <f aca="false">IFERROR(IF(OR(NOT(ISNUMBER('Price History'!V148)),NOT(ISNUMBER('Price History'!V147)),'Price History'!V147=0),"",'Price History'!V148/'Price History'!V147-1),"")</f>
        <v>0.0274928818540858</v>
      </c>
      <c r="W147" s="155" t="n">
        <f aca="false">IFERROR('Price History'!B3+(INDEX('Price History'!B:B,MATCH(9.99E+307,'Returns (Calc)'!$A:$A)+1)-'Price History'!B3)*(ROW()-3)/(MATCH(9.99E+307,'Returns (Calc)'!$A:$A)-3),"")</f>
        <v>269.309622641509</v>
      </c>
      <c r="X147" s="155" t="n">
        <f aca="false">IFERROR('Price History'!C3+(INDEX('Price History'!C:C,MATCH(9.99E+307,'Returns (Calc)'!$A:$A)+1)-'Price History'!C3)*(ROW()-3)/(MATCH(9.99E+307,'Returns (Calc)'!$A:$A)-3),"")</f>
        <v>200.649433962264</v>
      </c>
      <c r="Y147" s="155" t="n">
        <f aca="false">IFERROR('Price History'!D3+(INDEX('Price History'!D:D,MATCH(9.99E+307,'Returns (Calc)'!$A:$A)+1)-'Price History'!D3)*(ROW()-3)/(MATCH(9.99E+307,'Returns (Calc)'!$A:$A)-3),"")</f>
        <v>1667.29</v>
      </c>
      <c r="Z147" s="155" t="n">
        <f aca="false">IFERROR('Price History'!E3+(INDEX('Price History'!E:E,MATCH(9.99E+307,'Returns (Calc)'!$A:$A)+1)-'Price History'!E3)*(ROW()-3)/(MATCH(9.99E+307,'Returns (Calc)'!$A:$A)-3),"")</f>
        <v>335.168301886793</v>
      </c>
      <c r="AA147" s="155" t="n">
        <f aca="false">IFERROR('Price History'!F3+(INDEX('Price History'!F:F,MATCH(9.99E+307,'Returns (Calc)'!$A:$A)+1)-'Price History'!F3)*(ROW()-3)/(MATCH(9.99E+307,'Returns (Calc)'!$A:$A)-3),"")</f>
        <v>252.994716981132</v>
      </c>
      <c r="AB147" s="155" t="n">
        <f aca="false">IFERROR('Price History'!G3+(INDEX('Price History'!G:G,MATCH(9.99E+307,'Returns (Calc)'!$A:$A)+1)-'Price History'!G3)*(ROW()-3)/(MATCH(9.99E+307,'Returns (Calc)'!$A:$A)-3),"")</f>
        <v>181.303962264151</v>
      </c>
      <c r="AC147" s="155" t="n">
        <f aca="false">IFERROR('Price History'!H3+(INDEX('Price History'!H:H,MATCH(9.99E+307,'Returns (Calc)'!$A:$A)+1)-'Price History'!H3)*(ROW()-3)/(MATCH(9.99E+307,'Returns (Calc)'!$A:$A)-3),"")</f>
        <v>938.444339622642</v>
      </c>
      <c r="AD147" s="155" t="n">
        <f aca="false">IFERROR('Price History'!I3+(INDEX('Price History'!I:I,MATCH(9.99E+307,'Returns (Calc)'!$A:$A)+1)-'Price History'!I3)*(ROW()-3)/(MATCH(9.99E+307,'Returns (Calc)'!$A:$A)-3),"")</f>
        <v>211.779056603774</v>
      </c>
      <c r="AE147" s="155" t="n">
        <f aca="false">IFERROR('Price History'!J3+(INDEX('Price History'!J:J,MATCH(9.99E+307,'Returns (Calc)'!$A:$A)+1)-'Price History'!J3)*(ROW()-3)/(MATCH(9.99E+307,'Returns (Calc)'!$A:$A)-3),"")</f>
        <v>127.824905660377</v>
      </c>
      <c r="AF147" s="155" t="n">
        <f aca="false">IFERROR('Price History'!K3+(INDEX('Price History'!K:K,MATCH(9.99E+307,'Returns (Calc)'!$A:$A)+1)-'Price History'!K3)*(ROW()-3)/(MATCH(9.99E+307,'Returns (Calc)'!$A:$A)-3),"")</f>
        <v>190.774528301887</v>
      </c>
      <c r="AG147" s="155" t="n">
        <f aca="false">IFERROR('Price History'!L3+(INDEX('Price History'!L:L,MATCH(9.99E+307,'Returns (Calc)'!$A:$A)+1)-'Price History'!L3)*(ROW()-3)/(MATCH(9.99E+307,'Returns (Calc)'!$A:$A)-3),"")</f>
        <v>418.634528301887</v>
      </c>
      <c r="AH147" s="155" t="n">
        <f aca="false">IFERROR('Price History'!M3+(INDEX('Price History'!M:M,MATCH(9.99E+307,'Returns (Calc)'!$A:$A)+1)-'Price History'!M3)*(ROW()-3)/(MATCH(9.99E+307,'Returns (Calc)'!$A:$A)-3),"")</f>
        <v>223.463018867925</v>
      </c>
      <c r="AI147" s="155" t="n">
        <f aca="false">IFERROR('Price History'!N3+(INDEX('Price History'!N:N,MATCH(9.99E+307,'Returns (Calc)'!$A:$A)+1)-'Price History'!N3)*(ROW()-3)/(MATCH(9.99E+307,'Returns (Calc)'!$A:$A)-3),"")</f>
        <v>494.874339622642</v>
      </c>
      <c r="AJ147" s="155" t="n">
        <f aca="false">IFERROR('Price History'!O3+(INDEX('Price History'!O:O,MATCH(9.99E+307,'Returns (Calc)'!$A:$A)+1)-'Price History'!O3)*(ROW()-3)/(MATCH(9.99E+307,'Returns (Calc)'!$A:$A)-3),"")</f>
        <v>115.457924528302</v>
      </c>
      <c r="AK147" s="155" t="n">
        <f aca="false">IFERROR('Price History'!Q3+(INDEX('Price History'!Q:Q,MATCH(9.99E+307,'Returns (Calc)'!$A:$A)+1)-'Price History'!Q3)*(ROW()-3)/(MATCH(9.99E+307,'Returns (Calc)'!$A:$A)-3),"")</f>
        <v>63.3690566037736</v>
      </c>
      <c r="AL147" s="155" t="n">
        <f aca="false">IFERROR('Price History'!R3+(INDEX('Price History'!R:R,MATCH(9.99E+307,'Returns (Calc)'!$A:$A)+1)-'Price History'!R3)*(ROW()-3)/(MATCH(9.99E+307,'Returns (Calc)'!$A:$A)-3),"")</f>
        <v>58.5796226415094</v>
      </c>
      <c r="AM147" s="155" t="n">
        <f aca="false">IFERROR('Price History'!S3+(INDEX('Price History'!S:S,MATCH(9.99E+307,'Returns (Calc)'!$A:$A)+1)-'Price History'!S3)*(ROW()-3)/(MATCH(9.99E+307,'Returns (Calc)'!$A:$A)-3),"")</f>
        <v>142.33641509434</v>
      </c>
      <c r="AN147" s="155" t="n">
        <f aca="false">IFERROR('Price History'!T3+(INDEX('Price History'!T:T,MATCH(9.99E+307,'Returns (Calc)'!$A:$A)+1)-'Price History'!T3)*(ROW()-3)/(MATCH(9.99E+307,'Returns (Calc)'!$A:$A)-3),"")</f>
        <v>50.2315094339623</v>
      </c>
      <c r="AO147" s="156" t="n">
        <f aca="false">IFERROR('Price History'!V3+(INDEX('Price History'!V:V,MATCH(9.99E+307,'Returns (Calc)'!$A:$A)+1)-'Price History'!V3)*(ROW()-3)/(MATCH(9.99E+307,'Returns (Calc)'!$A:$A)-3),"")</f>
        <v>371.316037735849</v>
      </c>
      <c r="AP147" s="154" t="n">
        <f aca="false">IFERROR(IF(OR(NOT(ISNUMBER('Price History'!W148)),NOT(ISNUMBER('Price History'!W147)),'Price History'!W147=0),"",'Price History'!W148/'Price History'!W147-1),"")</f>
        <v>6.35566289564071E-005</v>
      </c>
      <c r="AQ147" s="154" t="n">
        <f aca="false">IFERROR(IF(OR(NOT(ISNUMBER('Price History'!X148)),NOT(ISNUMBER('Price History'!X147)),'Price History'!X147=0),"",'Price History'!X148/'Price History'!X147-1),"")</f>
        <v>0.0330341798739737</v>
      </c>
      <c r="AR147" s="154" t="n">
        <f aca="false">IFERROR(IF(OR(NOT(ISNUMBER('Price History'!Y148)),NOT(ISNUMBER('Price History'!Y147)),'Price History'!Y147=0),"",'Price History'!Y148/'Price History'!Y147-1),"")</f>
        <v>0.0010974940552404</v>
      </c>
      <c r="AS147" s="154" t="n">
        <f aca="false">IFERROR(IF(OR(NOT(ISNUMBER('Price History'!Z148)),NOT(ISNUMBER('Price History'!Z147)),'Price History'!Z147=0),"",'Price History'!Z148/'Price History'!Z147-1),"")</f>
        <v>0.0317678396186738</v>
      </c>
      <c r="AT147" s="154" t="n">
        <f aca="false">IFERROR(IF(OR(NOT(ISNUMBER('Price History'!AA148)),NOT(ISNUMBER('Price History'!AA147)),'Price History'!AA147=0),"",'Price History'!AA148/'Price History'!AA147-1),"")</f>
        <v>-0.0461359524424915</v>
      </c>
      <c r="AU147" s="154" t="n">
        <f aca="false">IFERROR(IF(OR(NOT(ISNUMBER('Price History'!AB148)),NOT(ISNUMBER('Price History'!AB147)),'Price History'!AB147=0),"",'Price History'!AB148/'Price History'!AB147-1),"")</f>
        <v>0.117808219178082</v>
      </c>
    </row>
    <row r="148" customFormat="false" ht="15" hidden="false" customHeight="true" outlineLevel="0" collapsed="false">
      <c r="A148" s="152" t="n">
        <f aca="false">IF('Price History'!A149="","",'Price History'!A149)</f>
        <v>46206</v>
      </c>
      <c r="B148" s="153" t="n">
        <f aca="false">IFERROR(IF(OR(NOT(ISNUMBER('Price History'!B149)),NOT(ISNUMBER('Price History'!B148)),'Price History'!B148=0),"",'Price History'!B149/'Price History'!B148-1),"")</f>
        <v>0.0838060474522764</v>
      </c>
      <c r="C148" s="153" t="n">
        <f aca="false">IFERROR(IF(OR(NOT(ISNUMBER('Price History'!C149)),NOT(ISNUMBER('Price History'!C148)),'Price History'!C148=0),"",'Price History'!C149/'Price History'!C148-1),"")</f>
        <v>0.0151649746192895</v>
      </c>
      <c r="D148" s="153" t="n">
        <f aca="false">IFERROR(IF(OR(NOT(ISNUMBER('Price History'!D149)),NOT(ISNUMBER('Price History'!D148)),'Price History'!D148=0),"",'Price History'!D149/'Price History'!D148-1),"")</f>
        <v>-0.0140992021424985</v>
      </c>
      <c r="E148" s="153" t="n">
        <f aca="false">IFERROR(IF(OR(NOT(ISNUMBER('Price History'!E149)),NOT(ISNUMBER('Price History'!E148)),'Price History'!E148=0),"",'Price History'!E149/'Price History'!E148-1),"")</f>
        <v>-0.012542540344714</v>
      </c>
      <c r="F148" s="153" t="n">
        <f aca="false">IFERROR(IF(OR(NOT(ISNUMBER('Price History'!F149)),NOT(ISNUMBER('Price History'!F148)),'Price History'!F148=0),"",'Price History'!F149/'Price History'!F148-1),"")</f>
        <v>0.106749586352485</v>
      </c>
      <c r="G148" s="153" t="n">
        <f aca="false">IFERROR(IF(OR(NOT(ISNUMBER('Price History'!G149)),NOT(ISNUMBER('Price History'!G148)),'Price History'!G148=0),"",'Price History'!G149/'Price History'!G148-1),"")</f>
        <v>-0.0526654855854405</v>
      </c>
      <c r="H148" s="153" t="n">
        <f aca="false">IFERROR(IF(OR(NOT(ISNUMBER('Price History'!H149)),NOT(ISNUMBER('Price History'!H148)),'Price History'!H148=0),"",'Price History'!H149/'Price History'!H148-1),"")</f>
        <v>-0.138452162238553</v>
      </c>
      <c r="I148" s="153" t="n">
        <f aca="false">IFERROR(IF(OR(NOT(ISNUMBER('Price History'!I149)),NOT(ISNUMBER('Price History'!I148)),'Price History'!I148=0),"",'Price History'!I149/'Price History'!I148-1),"")</f>
        <v>0.0119598564817223</v>
      </c>
      <c r="J148" s="153" t="n">
        <f aca="false">IFERROR(IF(OR(NOT(ISNUMBER('Price History'!J149)),NOT(ISNUMBER('Price History'!J148)),'Price History'!J148=0),"",'Price History'!J149/'Price History'!J148-1),"")</f>
        <v>-0.00388852883992219</v>
      </c>
      <c r="K148" s="153" t="n">
        <f aca="false">IFERROR(IF(OR(NOT(ISNUMBER('Price History'!K149)),NOT(ISNUMBER('Price History'!K148)),'Price History'!K148=0),"",'Price History'!K149/'Price History'!K148-1),"")</f>
        <v>0.144957053041707</v>
      </c>
      <c r="L148" s="153" t="n">
        <f aca="false">IFERROR(IF(OR(NOT(ISNUMBER('Price History'!L149)),NOT(ISNUMBER('Price History'!L148)),'Price History'!L148=0),"",'Price History'!L149/'Price History'!L148-1),"")</f>
        <v>0.0041976854750807</v>
      </c>
      <c r="M148" s="153" t="n">
        <f aca="false">IFERROR(IF(OR(NOT(ISNUMBER('Price History'!M149)),NOT(ISNUMBER('Price History'!M148)),'Price History'!M148=0),"",'Price History'!M149/'Price History'!M148-1),"")</f>
        <v>-0.0112544425431091</v>
      </c>
      <c r="N148" s="153" t="n">
        <f aca="false">IFERROR(IF(OR(NOT(ISNUMBER('Price History'!N149)),NOT(ISNUMBER('Price History'!N148)),'Price History'!N148=0),"",'Price History'!N149/'Price History'!N148-1),"")</f>
        <v>0.074693694793829</v>
      </c>
      <c r="O148" s="153" t="n">
        <f aca="false">IFERROR(IF(OR(NOT(ISNUMBER('Price History'!O149)),NOT(ISNUMBER('Price History'!O148)),'Price History'!O148=0),"",'Price History'!O149/'Price History'!O148-1),"")</f>
        <v>-0.0114028748092829</v>
      </c>
      <c r="P148" s="153" t="n">
        <f aca="false">IFERROR(IF(OR(NOT(ISNUMBER('Price History'!P149)),NOT(ISNUMBER('Price History'!P148)),'Price History'!P148=0),"",'Price History'!P149/'Price History'!P148-1),"")</f>
        <v>0.00580098170459609</v>
      </c>
      <c r="Q148" s="153" t="n">
        <f aca="false">IFERROR(IF(OR(NOT(ISNUMBER('Price History'!Q149)),NOT(ISNUMBER('Price History'!Q148)),'Price History'!Q148=0),"",'Price History'!Q149/'Price History'!Q148-1),"")</f>
        <v>0.007613076578594</v>
      </c>
      <c r="R148" s="153" t="n">
        <f aca="false">IFERROR(IF(OR(NOT(ISNUMBER('Price History'!R149)),NOT(ISNUMBER('Price History'!R148)),'Price History'!R148=0),"",'Price History'!R149/'Price History'!R148-1),"")</f>
        <v>0.0100175746924429</v>
      </c>
      <c r="S148" s="153" t="n">
        <f aca="false">IFERROR(IF(OR(NOT(ISNUMBER('Price History'!S149)),NOT(ISNUMBER('Price History'!S148)),'Price History'!S148=0),"",'Price History'!S149/'Price History'!S148-1),"")</f>
        <v>-0.0218902240987332</v>
      </c>
      <c r="T148" s="153" t="n">
        <f aca="false">IFERROR(IF(OR(NOT(ISNUMBER('Price History'!T149)),NOT(ISNUMBER('Price History'!T148)),'Price History'!T148=0),"",'Price History'!T149/'Price History'!T148-1),"")</f>
        <v>0.0176240208877285</v>
      </c>
      <c r="U148" s="153" t="n">
        <f aca="false">IFERROR(IF(OR(NOT(ISNUMBER('Price History'!U149)),NOT(ISNUMBER('Price History'!U148)),'Price History'!U148=0),"",'Price History'!U149/'Price History'!U148-1),"")</f>
        <v>0.00910804020100509</v>
      </c>
      <c r="V148" s="154" t="n">
        <f aca="false">IFERROR(IF(OR(NOT(ISNUMBER('Price History'!V149)),NOT(ISNUMBER('Price History'!V148)),'Price History'!V148=0),"",'Price History'!V149/'Price History'!V148-1),"")</f>
        <v>0.0770239265814485</v>
      </c>
      <c r="W148" s="155" t="n">
        <f aca="false">IFERROR('Price History'!B3+(INDEX('Price History'!B:B,MATCH(9.99E+307,'Returns (Calc)'!$A:$A)+1)-'Price History'!B3)*(ROW()-3)/(MATCH(9.99E+307,'Returns (Calc)'!$A:$A)-3),"")</f>
        <v>267.506981132075</v>
      </c>
      <c r="X148" s="155" t="n">
        <f aca="false">IFERROR('Price History'!C3+(INDEX('Price History'!C:C,MATCH(9.99E+307,'Returns (Calc)'!$A:$A)+1)-'Price History'!C3)*(ROW()-3)/(MATCH(9.99E+307,'Returns (Calc)'!$A:$A)-3),"")</f>
        <v>201.72213836478</v>
      </c>
      <c r="Y148" s="155" t="n">
        <f aca="false">IFERROR('Price History'!D3+(INDEX('Price History'!D:D,MATCH(9.99E+307,'Returns (Calc)'!$A:$A)+1)-'Price History'!D3)*(ROW()-3)/(MATCH(9.99E+307,'Returns (Calc)'!$A:$A)-3),"")</f>
        <v>1674.82666666667</v>
      </c>
      <c r="Z148" s="155" t="n">
        <f aca="false">IFERROR('Price History'!E3+(INDEX('Price History'!E:E,MATCH(9.99E+307,'Returns (Calc)'!$A:$A)+1)-'Price History'!E3)*(ROW()-3)/(MATCH(9.99E+307,'Returns (Calc)'!$A:$A)-3),"")</f>
        <v>336.92641509434</v>
      </c>
      <c r="AA148" s="155" t="n">
        <f aca="false">IFERROR('Price History'!F3+(INDEX('Price History'!F:F,MATCH(9.99E+307,'Returns (Calc)'!$A:$A)+1)-'Price History'!F3)*(ROW()-3)/(MATCH(9.99E+307,'Returns (Calc)'!$A:$A)-3),"")</f>
        <v>254.464402515723</v>
      </c>
      <c r="AB148" s="155" t="n">
        <f aca="false">IFERROR('Price History'!G3+(INDEX('Price History'!G:G,MATCH(9.99E+307,'Returns (Calc)'!$A:$A)+1)-'Price History'!G3)*(ROW()-3)/(MATCH(9.99E+307,'Returns (Calc)'!$A:$A)-3),"")</f>
        <v>182.255031446541</v>
      </c>
      <c r="AC148" s="155" t="n">
        <f aca="false">IFERROR('Price History'!H3+(INDEX('Price History'!H:H,MATCH(9.99E+307,'Returns (Calc)'!$A:$A)+1)-'Price History'!H3)*(ROW()-3)/(MATCH(9.99E+307,'Returns (Calc)'!$A:$A)-3),"")</f>
        <v>944.481383647799</v>
      </c>
      <c r="AD148" s="155" t="n">
        <f aca="false">IFERROR('Price History'!I3+(INDEX('Price History'!I:I,MATCH(9.99E+307,'Returns (Calc)'!$A:$A)+1)-'Price History'!I3)*(ROW()-3)/(MATCH(9.99E+307,'Returns (Calc)'!$A:$A)-3),"")</f>
        <v>212.945786163522</v>
      </c>
      <c r="AE148" s="155" t="n">
        <f aca="false">IFERROR('Price History'!J3+(INDEX('Price History'!J:J,MATCH(9.99E+307,'Returns (Calc)'!$A:$A)+1)-'Price History'!J3)*(ROW()-3)/(MATCH(9.99E+307,'Returns (Calc)'!$A:$A)-3),"")</f>
        <v>127.935911949686</v>
      </c>
      <c r="AF148" s="155" t="n">
        <f aca="false">IFERROR('Price History'!K3+(INDEX('Price History'!K:K,MATCH(9.99E+307,'Returns (Calc)'!$A:$A)+1)-'Price History'!K3)*(ROW()-3)/(MATCH(9.99E+307,'Returns (Calc)'!$A:$A)-3),"")</f>
        <v>191.992893081761</v>
      </c>
      <c r="AG148" s="155" t="n">
        <f aca="false">IFERROR('Price History'!L3+(INDEX('Price History'!L:L,MATCH(9.99E+307,'Returns (Calc)'!$A:$A)+1)-'Price History'!L3)*(ROW()-3)/(MATCH(9.99E+307,'Returns (Calc)'!$A:$A)-3),"")</f>
        <v>420.946226415094</v>
      </c>
      <c r="AH148" s="155" t="n">
        <f aca="false">IFERROR('Price History'!M3+(INDEX('Price History'!M:M,MATCH(9.99E+307,'Returns (Calc)'!$A:$A)+1)-'Price History'!M3)*(ROW()-3)/(MATCH(9.99E+307,'Returns (Calc)'!$A:$A)-3),"")</f>
        <v>224.750817610063</v>
      </c>
      <c r="AI148" s="155" t="n">
        <f aca="false">IFERROR('Price History'!N3+(INDEX('Price History'!N:N,MATCH(9.99E+307,'Returns (Calc)'!$A:$A)+1)-'Price History'!N3)*(ROW()-3)/(MATCH(9.99E+307,'Returns (Calc)'!$A:$A)-3),"")</f>
        <v>495.888050314465</v>
      </c>
      <c r="AJ148" s="155" t="n">
        <f aca="false">IFERROR('Price History'!O3+(INDEX('Price History'!O:O,MATCH(9.99E+307,'Returns (Calc)'!$A:$A)+1)-'Price History'!O3)*(ROW()-3)/(MATCH(9.99E+307,'Returns (Calc)'!$A:$A)-3),"")</f>
        <v>115.736729559748</v>
      </c>
      <c r="AK148" s="155" t="n">
        <f aca="false">IFERROR('Price History'!Q3+(INDEX('Price History'!Q:Q,MATCH(9.99E+307,'Returns (Calc)'!$A:$A)+1)-'Price History'!Q3)*(ROW()-3)/(MATCH(9.99E+307,'Returns (Calc)'!$A:$A)-3),"")</f>
        <v>63.8091194968553</v>
      </c>
      <c r="AL148" s="155" t="n">
        <f aca="false">IFERROR('Price History'!R3+(INDEX('Price History'!R:R,MATCH(9.99E+307,'Returns (Calc)'!$A:$A)+1)-'Price History'!R3)*(ROW()-3)/(MATCH(9.99E+307,'Returns (Calc)'!$A:$A)-3),"")</f>
        <v>58.7469811320755</v>
      </c>
      <c r="AM148" s="155" t="n">
        <f aca="false">IFERROR('Price History'!S3+(INDEX('Price History'!S:S,MATCH(9.99E+307,'Returns (Calc)'!$A:$A)+1)-'Price History'!S3)*(ROW()-3)/(MATCH(9.99E+307,'Returns (Calc)'!$A:$A)-3),"")</f>
        <v>142.92465408805</v>
      </c>
      <c r="AN148" s="155" t="n">
        <f aca="false">IFERROR('Price History'!T3+(INDEX('Price History'!T:T,MATCH(9.99E+307,'Returns (Calc)'!$A:$A)+1)-'Price History'!T3)*(ROW()-3)/(MATCH(9.99E+307,'Returns (Calc)'!$A:$A)-3),"")</f>
        <v>50.4054088050315</v>
      </c>
      <c r="AO148" s="156" t="n">
        <f aca="false">IFERROR('Price History'!V3+(INDEX('Price History'!V:V,MATCH(9.99E+307,'Returns (Calc)'!$A:$A)+1)-'Price History'!V3)*(ROW()-3)/(MATCH(9.99E+307,'Returns (Calc)'!$A:$A)-3),"")</f>
        <v>372.258301886792</v>
      </c>
      <c r="AP148" s="154" t="n">
        <f aca="false">IFERROR(IF(OR(NOT(ISNUMBER('Price History'!W149)),NOT(ISNUMBER('Price History'!W148)),'Price History'!W148=0),"",'Price History'!W149/'Price History'!W148-1),"")</f>
        <v>0.00794407372100414</v>
      </c>
      <c r="AQ148" s="154" t="n">
        <f aca="false">IFERROR(IF(OR(NOT(ISNUMBER('Price History'!X149)),NOT(ISNUMBER('Price History'!X148)),'Price History'!X148=0),"",'Price History'!X149/'Price History'!X148-1),"")</f>
        <v>-0.0181146025878004</v>
      </c>
      <c r="AR148" s="154" t="n">
        <f aca="false">IFERROR(IF(OR(NOT(ISNUMBER('Price History'!Y149)),NOT(ISNUMBER('Price History'!Y148)),'Price History'!Y148=0),"",'Price History'!Y149/'Price History'!Y148-1),"")</f>
        <v>0.0166270783847982</v>
      </c>
      <c r="AS148" s="154" t="n">
        <f aca="false">IFERROR(IF(OR(NOT(ISNUMBER('Price History'!Z149)),NOT(ISNUMBER('Price History'!Z148)),'Price History'!Z148=0),"",'Price History'!Z149/'Price History'!Z148-1),"")</f>
        <v>0.0230990814718191</v>
      </c>
      <c r="AT148" s="154" t="n">
        <f aca="false">IFERROR(IF(OR(NOT(ISNUMBER('Price History'!AA149)),NOT(ISNUMBER('Price History'!AA148)),'Price History'!AA148=0),"",'Price History'!AA149/'Price History'!AA148-1),"")</f>
        <v>0.0520254708034142</v>
      </c>
      <c r="AU148" s="154" t="n">
        <f aca="false">IFERROR(IF(OR(NOT(ISNUMBER('Price History'!AB149)),NOT(ISNUMBER('Price History'!AB148)),'Price History'!AB148=0),"",'Price History'!AB149/'Price History'!AB148-1),"")</f>
        <v>0.124766573295985</v>
      </c>
    </row>
    <row r="149" customFormat="false" ht="15" hidden="false" customHeight="true" outlineLevel="0" collapsed="false">
      <c r="A149" s="152" t="n">
        <f aca="false">IF('Price History'!A150="","",'Price History'!A150)</f>
        <v>46213</v>
      </c>
      <c r="B149" s="153" t="n">
        <f aca="false">IFERROR(IF(OR(NOT(ISNUMBER('Price History'!B150)),NOT(ISNUMBER('Price History'!B149)),'Price History'!B149=0),"",'Price History'!B150/'Price History'!B149-1),"")</f>
        <v>0.0178408884034225</v>
      </c>
      <c r="C149" s="153" t="n">
        <f aca="false">IFERROR(IF(OR(NOT(ISNUMBER('Price History'!C150)),NOT(ISNUMBER('Price History'!C149)),'Price History'!C149=0),"",'Price History'!C150/'Price History'!C149-1),"")</f>
        <v>0.168573035814738</v>
      </c>
      <c r="D149" s="153" t="n">
        <f aca="false">IFERROR(IF(OR(NOT(ISNUMBER('Price History'!D150)),NOT(ISNUMBER('Price History'!D149)),'Price History'!D149=0),"",'Price History'!D150/'Price History'!D149-1),"")</f>
        <v>0.015828820110581</v>
      </c>
      <c r="E149" s="153" t="n">
        <f aca="false">IFERROR(IF(OR(NOT(ISNUMBER('Price History'!E150)),NOT(ISNUMBER('Price History'!E149)),'Price History'!E149=0),"",'Price History'!E150/'Price History'!E149-1),"")</f>
        <v>0.109647294254982</v>
      </c>
      <c r="F149" s="153" t="n">
        <f aca="false">IFERROR(IF(OR(NOT(ISNUMBER('Price History'!F150)),NOT(ISNUMBER('Price History'!F149)),'Price History'!F149=0),"",'Price History'!F150/'Price History'!F149-1),"")</f>
        <v>-0.0350551603258067</v>
      </c>
      <c r="G149" s="153" t="n">
        <f aca="false">IFERROR(IF(OR(NOT(ISNUMBER('Price History'!G150)),NOT(ISNUMBER('Price History'!G149)),'Price History'!G149=0),"",'Price History'!G150/'Price History'!G149-1),"")</f>
        <v>-0.0170860251615097</v>
      </c>
      <c r="H149" s="153" t="n">
        <f aca="false">IFERROR(IF(OR(NOT(ISNUMBER('Price History'!H150)),NOT(ISNUMBER('Price History'!H149)),'Price History'!H149=0),"",'Price History'!H150/'Price History'!H149-1),"")</f>
        <v>0.00398806655662742</v>
      </c>
      <c r="I149" s="153" t="n">
        <f aca="false">IFERROR(IF(OR(NOT(ISNUMBER('Price History'!I150)),NOT(ISNUMBER('Price History'!I149)),'Price History'!I149=0),"",'Price History'!I150/'Price History'!I149-1),"")</f>
        <v>0.0827809465084013</v>
      </c>
      <c r="J149" s="153" t="n">
        <f aca="false">IFERROR(IF(OR(NOT(ISNUMBER('Price History'!J150)),NOT(ISNUMBER('Price History'!J149)),'Price History'!J149=0),"",'Price History'!J150/'Price History'!J149-1),"")</f>
        <v>0.0103375984963492</v>
      </c>
      <c r="K149" s="153" t="n">
        <f aca="false">IFERROR(IF(OR(NOT(ISNUMBER('Price History'!K150)),NOT(ISNUMBER('Price History'!K149)),'Price History'!K149=0),"",'Price History'!K150/'Price History'!K149-1),"")</f>
        <v>-0.0194122196442382</v>
      </c>
      <c r="L149" s="153" t="n">
        <f aca="false">IFERROR(IF(OR(NOT(ISNUMBER('Price History'!L150)),NOT(ISNUMBER('Price History'!L149)),'Price History'!L149=0),"",'Price History'!L150/'Price History'!L149-1),"")</f>
        <v>-0.000115473441108627</v>
      </c>
      <c r="M149" s="153" t="n">
        <f aca="false">IFERROR(IF(OR(NOT(ISNUMBER('Price History'!M150)),NOT(ISNUMBER('Price History'!M149)),'Price History'!M149=0),"",'Price History'!M150/'Price History'!M149-1),"")</f>
        <v>0.0609731744658191</v>
      </c>
      <c r="N149" s="153" t="n">
        <f aca="false">IFERROR(IF(OR(NOT(ISNUMBER('Price History'!N150)),NOT(ISNUMBER('Price History'!N149)),'Price History'!N149=0),"",'Price History'!N150/'Price History'!N149-1),"")</f>
        <v>-0.0807703961821074</v>
      </c>
      <c r="O149" s="153" t="n">
        <f aca="false">IFERROR(IF(OR(NOT(ISNUMBER('Price History'!O150)),NOT(ISNUMBER('Price History'!O149)),'Price History'!O149=0),"",'Price History'!O150/'Price History'!O149-1),"")</f>
        <v>0.00357403947689061</v>
      </c>
      <c r="P149" s="153" t="n">
        <f aca="false">IFERROR(IF(OR(NOT(ISNUMBER('Price History'!P150)),NOT(ISNUMBER('Price History'!P149)),'Price History'!P149=0),"",'Price History'!P150/'Price History'!P149-1),"")</f>
        <v>0.00234503739383962</v>
      </c>
      <c r="Q149" s="153" t="n">
        <f aca="false">IFERROR(IF(OR(NOT(ISNUMBER('Price History'!Q150)),NOT(ISNUMBER('Price History'!Q149)),'Price History'!Q149=0),"",'Price History'!Q150/'Price History'!Q149-1),"")</f>
        <v>0.0109629629629628</v>
      </c>
      <c r="R149" s="153" t="n">
        <f aca="false">IFERROR(IF(OR(NOT(ISNUMBER('Price History'!R150)),NOT(ISNUMBER('Price History'!R149)),'Price History'!R149=0),"",'Price History'!R150/'Price History'!R149-1),"")</f>
        <v>0.0187924134330955</v>
      </c>
      <c r="S149" s="153" t="n">
        <f aca="false">IFERROR(IF(OR(NOT(ISNUMBER('Price History'!S150)),NOT(ISNUMBER('Price History'!S149)),'Price History'!S149=0),"",'Price History'!S150/'Price History'!S149-1),"")</f>
        <v>0.0193916854827998</v>
      </c>
      <c r="T149" s="153" t="n">
        <f aca="false">IFERROR(IF(OR(NOT(ISNUMBER('Price History'!T150)),NOT(ISNUMBER('Price History'!T149)),'Price History'!T149=0),"",'Price History'!T150/'Price History'!T149-1),"")</f>
        <v>0.00876630318580274</v>
      </c>
      <c r="U149" s="153" t="n">
        <f aca="false">IFERROR(IF(OR(NOT(ISNUMBER('Price History'!U150)),NOT(ISNUMBER('Price History'!U149)),'Price History'!U149=0),"",'Price History'!U150/'Price History'!U149-1),"")</f>
        <v>0.000311235605353177</v>
      </c>
      <c r="V149" s="154" t="n">
        <f aca="false">IFERROR(IF(OR(NOT(ISNUMBER('Price History'!V150)),NOT(ISNUMBER('Price History'!V149)),'Price History'!V149=0),"",'Price History'!V150/'Price History'!V149-1),"")</f>
        <v>-0.0363525701322415</v>
      </c>
      <c r="W149" s="155" t="n">
        <f aca="false">IFERROR('Price History'!B3+(INDEX('Price History'!B:B,MATCH(9.99E+307,'Returns (Calc)'!$A:$A)+1)-'Price History'!B3)*(ROW()-3)/(MATCH(9.99E+307,'Returns (Calc)'!$A:$A)-3),"")</f>
        <v>265.704339622642</v>
      </c>
      <c r="X149" s="155" t="n">
        <f aca="false">IFERROR('Price History'!C3+(INDEX('Price History'!C:C,MATCH(9.99E+307,'Returns (Calc)'!$A:$A)+1)-'Price History'!C3)*(ROW()-3)/(MATCH(9.99E+307,'Returns (Calc)'!$A:$A)-3),"")</f>
        <v>202.794842767296</v>
      </c>
      <c r="Y149" s="155" t="n">
        <f aca="false">IFERROR('Price History'!D3+(INDEX('Price History'!D:D,MATCH(9.99E+307,'Returns (Calc)'!$A:$A)+1)-'Price History'!D3)*(ROW()-3)/(MATCH(9.99E+307,'Returns (Calc)'!$A:$A)-3),"")</f>
        <v>1682.36333333333</v>
      </c>
      <c r="Z149" s="155" t="n">
        <f aca="false">IFERROR('Price History'!E3+(INDEX('Price History'!E:E,MATCH(9.99E+307,'Returns (Calc)'!$A:$A)+1)-'Price History'!E3)*(ROW()-3)/(MATCH(9.99E+307,'Returns (Calc)'!$A:$A)-3),"")</f>
        <v>338.684528301887</v>
      </c>
      <c r="AA149" s="155" t="n">
        <f aca="false">IFERROR('Price History'!F3+(INDEX('Price History'!F:F,MATCH(9.99E+307,'Returns (Calc)'!$A:$A)+1)-'Price History'!F3)*(ROW()-3)/(MATCH(9.99E+307,'Returns (Calc)'!$A:$A)-3),"")</f>
        <v>255.934088050314</v>
      </c>
      <c r="AB149" s="155" t="n">
        <f aca="false">IFERROR('Price History'!G3+(INDEX('Price History'!G:G,MATCH(9.99E+307,'Returns (Calc)'!$A:$A)+1)-'Price History'!G3)*(ROW()-3)/(MATCH(9.99E+307,'Returns (Calc)'!$A:$A)-3),"")</f>
        <v>183.206100628931</v>
      </c>
      <c r="AC149" s="155" t="n">
        <f aca="false">IFERROR('Price History'!H3+(INDEX('Price History'!H:H,MATCH(9.99E+307,'Returns (Calc)'!$A:$A)+1)-'Price History'!H3)*(ROW()-3)/(MATCH(9.99E+307,'Returns (Calc)'!$A:$A)-3),"")</f>
        <v>950.518427672956</v>
      </c>
      <c r="AD149" s="155" t="n">
        <f aca="false">IFERROR('Price History'!I3+(INDEX('Price History'!I:I,MATCH(9.99E+307,'Returns (Calc)'!$A:$A)+1)-'Price History'!I3)*(ROW()-3)/(MATCH(9.99E+307,'Returns (Calc)'!$A:$A)-3),"")</f>
        <v>214.11251572327</v>
      </c>
      <c r="AE149" s="155" t="n">
        <f aca="false">IFERROR('Price History'!J3+(INDEX('Price History'!J:J,MATCH(9.99E+307,'Returns (Calc)'!$A:$A)+1)-'Price History'!J3)*(ROW()-3)/(MATCH(9.99E+307,'Returns (Calc)'!$A:$A)-3),"")</f>
        <v>128.046918238994</v>
      </c>
      <c r="AF149" s="155" t="n">
        <f aca="false">IFERROR('Price History'!K3+(INDEX('Price History'!K:K,MATCH(9.99E+307,'Returns (Calc)'!$A:$A)+1)-'Price History'!K3)*(ROW()-3)/(MATCH(9.99E+307,'Returns (Calc)'!$A:$A)-3),"")</f>
        <v>193.211257861635</v>
      </c>
      <c r="AG149" s="155" t="n">
        <f aca="false">IFERROR('Price History'!L3+(INDEX('Price History'!L:L,MATCH(9.99E+307,'Returns (Calc)'!$A:$A)+1)-'Price History'!L3)*(ROW()-3)/(MATCH(9.99E+307,'Returns (Calc)'!$A:$A)-3),"")</f>
        <v>423.257924528302</v>
      </c>
      <c r="AH149" s="155" t="n">
        <f aca="false">IFERROR('Price History'!M3+(INDEX('Price History'!M:M,MATCH(9.99E+307,'Returns (Calc)'!$A:$A)+1)-'Price History'!M3)*(ROW()-3)/(MATCH(9.99E+307,'Returns (Calc)'!$A:$A)-3),"")</f>
        <v>226.038616352201</v>
      </c>
      <c r="AI149" s="155" t="n">
        <f aca="false">IFERROR('Price History'!N3+(INDEX('Price History'!N:N,MATCH(9.99E+307,'Returns (Calc)'!$A:$A)+1)-'Price History'!N3)*(ROW()-3)/(MATCH(9.99E+307,'Returns (Calc)'!$A:$A)-3),"")</f>
        <v>496.901761006289</v>
      </c>
      <c r="AJ149" s="155" t="n">
        <f aca="false">IFERROR('Price History'!O3+(INDEX('Price History'!O:O,MATCH(9.99E+307,'Returns (Calc)'!$A:$A)+1)-'Price History'!O3)*(ROW()-3)/(MATCH(9.99E+307,'Returns (Calc)'!$A:$A)-3),"")</f>
        <v>116.015534591195</v>
      </c>
      <c r="AK149" s="155" t="n">
        <f aca="false">IFERROR('Price History'!Q3+(INDEX('Price History'!Q:Q,MATCH(9.99E+307,'Returns (Calc)'!$A:$A)+1)-'Price History'!Q3)*(ROW()-3)/(MATCH(9.99E+307,'Returns (Calc)'!$A:$A)-3),"")</f>
        <v>64.2491823899371</v>
      </c>
      <c r="AL149" s="155" t="n">
        <f aca="false">IFERROR('Price History'!R3+(INDEX('Price History'!R:R,MATCH(9.99E+307,'Returns (Calc)'!$A:$A)+1)-'Price History'!R3)*(ROW()-3)/(MATCH(9.99E+307,'Returns (Calc)'!$A:$A)-3),"")</f>
        <v>58.9143396226415</v>
      </c>
      <c r="AM149" s="155" t="n">
        <f aca="false">IFERROR('Price History'!S3+(INDEX('Price History'!S:S,MATCH(9.99E+307,'Returns (Calc)'!$A:$A)+1)-'Price History'!S3)*(ROW()-3)/(MATCH(9.99E+307,'Returns (Calc)'!$A:$A)-3),"")</f>
        <v>143.512893081761</v>
      </c>
      <c r="AN149" s="155" t="n">
        <f aca="false">IFERROR('Price History'!T3+(INDEX('Price History'!T:T,MATCH(9.99E+307,'Returns (Calc)'!$A:$A)+1)-'Price History'!T3)*(ROW()-3)/(MATCH(9.99E+307,'Returns (Calc)'!$A:$A)-3),"")</f>
        <v>50.5793081761006</v>
      </c>
      <c r="AO149" s="156" t="n">
        <f aca="false">IFERROR('Price History'!V3+(INDEX('Price History'!V:V,MATCH(9.99E+307,'Returns (Calc)'!$A:$A)+1)-'Price History'!V3)*(ROW()-3)/(MATCH(9.99E+307,'Returns (Calc)'!$A:$A)-3),"")</f>
        <v>373.200566037736</v>
      </c>
      <c r="AP149" s="154" t="n">
        <f aca="false">IFERROR(IF(OR(NOT(ISNUMBER('Price History'!W150)),NOT(ISNUMBER('Price History'!W149)),'Price History'!W149=0),"",'Price History'!W150/'Price History'!W149-1),"")</f>
        <v>0.00989911727616644</v>
      </c>
      <c r="AQ149" s="154" t="n">
        <f aca="false">IFERROR(IF(OR(NOT(ISNUMBER('Price History'!X150)),NOT(ISNUMBER('Price History'!X149)),'Price History'!X149=0),"",'Price History'!X150/'Price History'!X149-1),"")</f>
        <v>0.00790662650602414</v>
      </c>
      <c r="AR149" s="154" t="n">
        <f aca="false">IFERROR(IF(OR(NOT(ISNUMBER('Price History'!Y150)),NOT(ISNUMBER('Price History'!Y149)),'Price History'!Y149=0),"",'Price History'!Y150/'Price History'!Y149-1),"")</f>
        <v>0.000898634076204052</v>
      </c>
      <c r="AS149" s="154" t="n">
        <f aca="false">IFERROR(IF(OR(NOT(ISNUMBER('Price History'!Z150)),NOT(ISNUMBER('Price History'!Z149)),'Price History'!Z149=0),"",'Price History'!Z150/'Price History'!Z149-1),"")</f>
        <v>-0.0471738206544836</v>
      </c>
      <c r="AT149" s="154" t="n">
        <f aca="false">IFERROR(IF(OR(NOT(ISNUMBER('Price History'!AA150)),NOT(ISNUMBER('Price History'!AA149)),'Price History'!AA149=0),"",'Price History'!AA150/'Price History'!AA149-1),"")</f>
        <v>-0.0551191242755956</v>
      </c>
      <c r="AU149" s="154" t="n">
        <f aca="false">IFERROR(IF(OR(NOT(ISNUMBER('Price History'!AB150)),NOT(ISNUMBER('Price History'!AB149)),'Price History'!AB149=0),"",'Price History'!AB150/'Price History'!AB149-1),"")</f>
        <v>-0.0135934419425132</v>
      </c>
    </row>
    <row r="150" customFormat="false" ht="15" hidden="false" customHeight="true" outlineLevel="0" collapsed="false">
      <c r="A150" s="152" t="n">
        <f aca="false">IF('Price History'!A151="","",'Price History'!A151)</f>
        <v>46220</v>
      </c>
      <c r="B150" s="153" t="n">
        <f aca="false">IFERROR(IF(OR(NOT(ISNUMBER('Price History'!B151)),NOT(ISNUMBER('Price History'!B150)),'Price History'!B150=0),"",'Price History'!B151/'Price History'!B150-1),"")</f>
        <v>0.0608567340368449</v>
      </c>
      <c r="C150" s="153" t="n">
        <f aca="false">IFERROR(IF(OR(NOT(ISNUMBER('Price History'!C151)),NOT(ISNUMBER('Price History'!C150)),'Price History'!C150=0),"",'Price History'!C151/'Price History'!C150-1),"")</f>
        <v>-0.0981493367565254</v>
      </c>
      <c r="D150" s="153" t="n">
        <f aca="false">IFERROR(IF(OR(NOT(ISNUMBER('Price History'!D151)),NOT(ISNUMBER('Price History'!D150)),'Price History'!D150=0),"",'Price History'!D151/'Price History'!D150-1),"")</f>
        <v>-0.0276768802228413</v>
      </c>
      <c r="E150" s="153" t="n">
        <f aca="false">IFERROR(IF(OR(NOT(ISNUMBER('Price History'!E151)),NOT(ISNUMBER('Price History'!E150)),'Price History'!E150=0),"",'Price History'!E151/'Price History'!E150-1),"")</f>
        <v>-0.0728383929465984</v>
      </c>
      <c r="F150" s="153" t="n">
        <f aca="false">IFERROR(IF(OR(NOT(ISNUMBER('Price History'!F151)),NOT(ISNUMBER('Price History'!F150)),'Price History'!F150=0),"",'Price History'!F151/'Price History'!F150-1),"")</f>
        <v>0.0849449727534994</v>
      </c>
      <c r="G150" s="153" t="n">
        <f aca="false">IFERROR(IF(OR(NOT(ISNUMBER('Price History'!G151)),NOT(ISNUMBER('Price History'!G150)),'Price History'!G150=0),"",'Price History'!G151/'Price History'!G150-1),"")</f>
        <v>-0.0810775750237828</v>
      </c>
      <c r="H150" s="153" t="n">
        <f aca="false">IFERROR(IF(OR(NOT(ISNUMBER('Price History'!H151)),NOT(ISNUMBER('Price History'!H150)),'Price History'!H150=0),"",'Price History'!H151/'Price History'!H150-1),"")</f>
        <v>-0.133105279281119</v>
      </c>
      <c r="I150" s="153" t="n">
        <f aca="false">IFERROR(IF(OR(NOT(ISNUMBER('Price History'!I151)),NOT(ISNUMBER('Price History'!I150)),'Price History'!I150=0),"",'Price History'!I151/'Price History'!I150-1),"")</f>
        <v>-0.0386294608959756</v>
      </c>
      <c r="J150" s="153" t="n">
        <f aca="false">IFERROR(IF(OR(NOT(ISNUMBER('Price History'!J151)),NOT(ISNUMBER('Price History'!J150)),'Price History'!J150=0),"",'Price History'!J151/'Price History'!J150-1),"")</f>
        <v>0.0633228391528335</v>
      </c>
      <c r="K150" s="153" t="n">
        <f aca="false">IFERROR(IF(OR(NOT(ISNUMBER('Price History'!K151)),NOT(ISNUMBER('Price History'!K150)),'Price History'!K150=0),"",'Price History'!K151/'Price History'!K150-1),"")</f>
        <v>0.0440886505244893</v>
      </c>
      <c r="L150" s="153" t="n">
        <f aca="false">IFERROR(IF(OR(NOT(ISNUMBER('Price History'!L151)),NOT(ISNUMBER('Price History'!L150)),'Price History'!L150=0),"",'Price History'!L151/'Price History'!L150-1),"")</f>
        <v>-0.0823420718327751</v>
      </c>
      <c r="M150" s="153" t="n">
        <f aca="false">IFERROR(IF(OR(NOT(ISNUMBER('Price History'!M151)),NOT(ISNUMBER('Price History'!M150)),'Price History'!M150=0),"",'Price History'!M151/'Price History'!M150-1),"")</f>
        <v>-0.0918815484032874</v>
      </c>
      <c r="N150" s="153" t="n">
        <f aca="false">IFERROR(IF(OR(NOT(ISNUMBER('Price History'!N151)),NOT(ISNUMBER('Price History'!N150)),'Price History'!N150=0),"",'Price History'!N151/'Price History'!N150-1),"")</f>
        <v>0.000535651743958532</v>
      </c>
      <c r="O150" s="153" t="n">
        <f aca="false">IFERROR(IF(OR(NOT(ISNUMBER('Price History'!O151)),NOT(ISNUMBER('Price History'!O150)),'Price History'!O150=0),"",'Price History'!O151/'Price History'!O150-1),"")</f>
        <v>0.0112505058680696</v>
      </c>
      <c r="P150" s="153" t="n">
        <f aca="false">IFERROR(IF(OR(NOT(ISNUMBER('Price History'!P151)),NOT(ISNUMBER('Price History'!P150)),'Price History'!P150=0),"",'Price History'!P151/'Price History'!P150-1),"")</f>
        <v>0.01492254189061</v>
      </c>
      <c r="Q150" s="153" t="n">
        <f aca="false">IFERROR(IF(OR(NOT(ISNUMBER('Price History'!Q151)),NOT(ISNUMBER('Price History'!Q150)),'Price History'!Q150=0),"",'Price History'!Q151/'Price History'!Q150-1),"")</f>
        <v>-0.00923212192262601</v>
      </c>
      <c r="R150" s="153" t="n">
        <f aca="false">IFERROR(IF(OR(NOT(ISNUMBER('Price History'!R151)),NOT(ISNUMBER('Price History'!R150)),'Price History'!R150=0),"",'Price History'!R151/'Price History'!R150-1),"")</f>
        <v>-0.0329632792485055</v>
      </c>
      <c r="S150" s="153" t="n">
        <f aca="false">IFERROR(IF(OR(NOT(ISNUMBER('Price History'!S151)),NOT(ISNUMBER('Price History'!S150)),'Price History'!S150=0),"",'Price History'!S151/'Price History'!S150-1),"")</f>
        <v>-0.0641042345276873</v>
      </c>
      <c r="T150" s="153" t="n">
        <f aca="false">IFERROR(IF(OR(NOT(ISNUMBER('Price History'!T151)),NOT(ISNUMBER('Price History'!T150)),'Price History'!T150=0),"",'Price History'!T151/'Price History'!T150-1),"")</f>
        <v>0.0086901229334464</v>
      </c>
      <c r="U150" s="153" t="n">
        <f aca="false">IFERROR(IF(OR(NOT(ISNUMBER('Price History'!U151)),NOT(ISNUMBER('Price History'!U150)),'Price History'!U150=0),"",'Price History'!U151/'Price History'!U150-1),"")</f>
        <v>0.0158680771624145</v>
      </c>
      <c r="V150" s="154" t="n">
        <f aca="false">IFERROR(IF(OR(NOT(ISNUMBER('Price History'!V151)),NOT(ISNUMBER('Price History'!V150)),'Price History'!V150=0),"",'Price History'!V151/'Price History'!V150-1),"")</f>
        <v>0.0275034451079468</v>
      </c>
      <c r="W150" s="155" t="n">
        <f aca="false">IFERROR('Price History'!B3+(INDEX('Price History'!B:B,MATCH(9.99E+307,'Returns (Calc)'!$A:$A)+1)-'Price History'!B3)*(ROW()-3)/(MATCH(9.99E+307,'Returns (Calc)'!$A:$A)-3),"")</f>
        <v>263.901698113208</v>
      </c>
      <c r="X150" s="155" t="n">
        <f aca="false">IFERROR('Price History'!C3+(INDEX('Price History'!C:C,MATCH(9.99E+307,'Returns (Calc)'!$A:$A)+1)-'Price History'!C3)*(ROW()-3)/(MATCH(9.99E+307,'Returns (Calc)'!$A:$A)-3),"")</f>
        <v>203.867547169811</v>
      </c>
      <c r="Y150" s="155" t="n">
        <f aca="false">IFERROR('Price History'!D3+(INDEX('Price History'!D:D,MATCH(9.99E+307,'Returns (Calc)'!$A:$A)+1)-'Price History'!D3)*(ROW()-3)/(MATCH(9.99E+307,'Returns (Calc)'!$A:$A)-3),"")</f>
        <v>1689.9</v>
      </c>
      <c r="Z150" s="155" t="n">
        <f aca="false">IFERROR('Price History'!E3+(INDEX('Price History'!E:E,MATCH(9.99E+307,'Returns (Calc)'!$A:$A)+1)-'Price History'!E3)*(ROW()-3)/(MATCH(9.99E+307,'Returns (Calc)'!$A:$A)-3),"")</f>
        <v>340.442641509434</v>
      </c>
      <c r="AA150" s="155" t="n">
        <f aca="false">IFERROR('Price History'!F3+(INDEX('Price History'!F:F,MATCH(9.99E+307,'Returns (Calc)'!$A:$A)+1)-'Price History'!F3)*(ROW()-3)/(MATCH(9.99E+307,'Returns (Calc)'!$A:$A)-3),"")</f>
        <v>257.403773584906</v>
      </c>
      <c r="AB150" s="155" t="n">
        <f aca="false">IFERROR('Price History'!G3+(INDEX('Price History'!G:G,MATCH(9.99E+307,'Returns (Calc)'!$A:$A)+1)-'Price History'!G3)*(ROW()-3)/(MATCH(9.99E+307,'Returns (Calc)'!$A:$A)-3),"")</f>
        <v>184.157169811321</v>
      </c>
      <c r="AC150" s="155" t="n">
        <f aca="false">IFERROR('Price History'!H3+(INDEX('Price History'!H:H,MATCH(9.99E+307,'Returns (Calc)'!$A:$A)+1)-'Price History'!H3)*(ROW()-3)/(MATCH(9.99E+307,'Returns (Calc)'!$A:$A)-3),"")</f>
        <v>956.555471698113</v>
      </c>
      <c r="AD150" s="155" t="n">
        <f aca="false">IFERROR('Price History'!I3+(INDEX('Price History'!I:I,MATCH(9.99E+307,'Returns (Calc)'!$A:$A)+1)-'Price History'!I3)*(ROW()-3)/(MATCH(9.99E+307,'Returns (Calc)'!$A:$A)-3),"")</f>
        <v>215.279245283019</v>
      </c>
      <c r="AE150" s="155" t="n">
        <f aca="false">IFERROR('Price History'!J3+(INDEX('Price History'!J:J,MATCH(9.99E+307,'Returns (Calc)'!$A:$A)+1)-'Price History'!J3)*(ROW()-3)/(MATCH(9.99E+307,'Returns (Calc)'!$A:$A)-3),"")</f>
        <v>128.157924528302</v>
      </c>
      <c r="AF150" s="155" t="n">
        <f aca="false">IFERROR('Price History'!K3+(INDEX('Price History'!K:K,MATCH(9.99E+307,'Returns (Calc)'!$A:$A)+1)-'Price History'!K3)*(ROW()-3)/(MATCH(9.99E+307,'Returns (Calc)'!$A:$A)-3),"")</f>
        <v>194.429622641509</v>
      </c>
      <c r="AG150" s="155" t="n">
        <f aca="false">IFERROR('Price History'!L3+(INDEX('Price History'!L:L,MATCH(9.99E+307,'Returns (Calc)'!$A:$A)+1)-'Price History'!L3)*(ROW()-3)/(MATCH(9.99E+307,'Returns (Calc)'!$A:$A)-3),"")</f>
        <v>425.569622641509</v>
      </c>
      <c r="AH150" s="155" t="n">
        <f aca="false">IFERROR('Price History'!M3+(INDEX('Price History'!M:M,MATCH(9.99E+307,'Returns (Calc)'!$A:$A)+1)-'Price History'!M3)*(ROW()-3)/(MATCH(9.99E+307,'Returns (Calc)'!$A:$A)-3),"")</f>
        <v>227.32641509434</v>
      </c>
      <c r="AI150" s="155" t="n">
        <f aca="false">IFERROR('Price History'!N3+(INDEX('Price History'!N:N,MATCH(9.99E+307,'Returns (Calc)'!$A:$A)+1)-'Price History'!N3)*(ROW()-3)/(MATCH(9.99E+307,'Returns (Calc)'!$A:$A)-3),"")</f>
        <v>497.915471698113</v>
      </c>
      <c r="AJ150" s="155" t="n">
        <f aca="false">IFERROR('Price History'!O3+(INDEX('Price History'!O:O,MATCH(9.99E+307,'Returns (Calc)'!$A:$A)+1)-'Price History'!O3)*(ROW()-3)/(MATCH(9.99E+307,'Returns (Calc)'!$A:$A)-3),"")</f>
        <v>116.294339622642</v>
      </c>
      <c r="AK150" s="155" t="n">
        <f aca="false">IFERROR('Price History'!Q3+(INDEX('Price History'!Q:Q,MATCH(9.99E+307,'Returns (Calc)'!$A:$A)+1)-'Price History'!Q3)*(ROW()-3)/(MATCH(9.99E+307,'Returns (Calc)'!$A:$A)-3),"")</f>
        <v>64.6892452830189</v>
      </c>
      <c r="AL150" s="155" t="n">
        <f aca="false">IFERROR('Price History'!R3+(INDEX('Price History'!R:R,MATCH(9.99E+307,'Returns (Calc)'!$A:$A)+1)-'Price History'!R3)*(ROW()-3)/(MATCH(9.99E+307,'Returns (Calc)'!$A:$A)-3),"")</f>
        <v>59.0816981132076</v>
      </c>
      <c r="AM150" s="155" t="n">
        <f aca="false">IFERROR('Price History'!S3+(INDEX('Price History'!S:S,MATCH(9.99E+307,'Returns (Calc)'!$A:$A)+1)-'Price History'!S3)*(ROW()-3)/(MATCH(9.99E+307,'Returns (Calc)'!$A:$A)-3),"")</f>
        <v>144.101132075472</v>
      </c>
      <c r="AN150" s="155" t="n">
        <f aca="false">IFERROR('Price History'!T3+(INDEX('Price History'!T:T,MATCH(9.99E+307,'Returns (Calc)'!$A:$A)+1)-'Price History'!T3)*(ROW()-3)/(MATCH(9.99E+307,'Returns (Calc)'!$A:$A)-3),"")</f>
        <v>50.7532075471698</v>
      </c>
      <c r="AO150" s="156" t="n">
        <f aca="false">IFERROR('Price History'!V3+(INDEX('Price History'!V:V,MATCH(9.99E+307,'Returns (Calc)'!$A:$A)+1)-'Price History'!V3)*(ROW()-3)/(MATCH(9.99E+307,'Returns (Calc)'!$A:$A)-3),"")</f>
        <v>374.142830188679</v>
      </c>
      <c r="AP150" s="154" t="n">
        <f aca="false">IFERROR(IF(OR(NOT(ISNUMBER('Price History'!W151)),NOT(ISNUMBER('Price History'!W150)),'Price History'!W150=0),"",'Price History'!W151/'Price History'!W150-1),"")</f>
        <v>-0.00555659611662596</v>
      </c>
      <c r="AQ150" s="154" t="n">
        <f aca="false">IFERROR(IF(OR(NOT(ISNUMBER('Price History'!X151)),NOT(ISNUMBER('Price History'!X150)),'Price History'!X150=0),"",'Price History'!X151/'Price History'!X150-1),"")</f>
        <v>0.0138214419125888</v>
      </c>
      <c r="AR150" s="154" t="n">
        <f aca="false">IFERROR(IF(OR(NOT(ISNUMBER('Price History'!Y151)),NOT(ISNUMBER('Price History'!Y150)),'Price History'!Y150=0),"",'Price History'!Y151/'Price History'!Y150-1),"")</f>
        <v>-0.00359130903214211</v>
      </c>
      <c r="AS150" s="154" t="n">
        <f aca="false">IFERROR(IF(OR(NOT(ISNUMBER('Price History'!Z151)),NOT(ISNUMBER('Price History'!Z150)),'Price History'!Z150=0),"",'Price History'!Z151/'Price History'!Z150-1),"")</f>
        <v>-0.0290477252453167</v>
      </c>
      <c r="AT150" s="154" t="n">
        <f aca="false">IFERROR(IF(OR(NOT(ISNUMBER('Price History'!AA151)),NOT(ISNUMBER('Price History'!AA150)),'Price History'!AA150=0),"",'Price History'!AA151/'Price History'!AA150-1),"")</f>
        <v>-0.0602426059697424</v>
      </c>
      <c r="AU150" s="154" t="n">
        <f aca="false">IFERROR(IF(OR(NOT(ISNUMBER('Price History'!AB151)),NOT(ISNUMBER('Price History'!AB150)),'Price History'!AB150=0),"",'Price History'!AB151/'Price History'!AB150-1),"")</f>
        <v>0.0276667367978118</v>
      </c>
    </row>
    <row r="151" customFormat="false" ht="15" hidden="false" customHeight="true" outlineLevel="0" collapsed="false">
      <c r="A151" s="152" t="n">
        <f aca="false">IF('Price History'!A152="","",'Price History'!A152)</f>
        <v>46227</v>
      </c>
      <c r="B151" s="153" t="n">
        <f aca="false">IFERROR(IF(OR(NOT(ISNUMBER('Price History'!B152)),NOT(ISNUMBER('Price History'!B151)),'Price History'!B151=0),"",'Price History'!B152/'Price History'!B151-1),"")</f>
        <v>-0.0511696522655426</v>
      </c>
      <c r="C151" s="153" t="n">
        <f aca="false">IFERROR(IF(OR(NOT(ISNUMBER('Price History'!C152)),NOT(ISNUMBER('Price History'!C151)),'Price History'!C151=0),"",'Price History'!C152/'Price History'!C151-1),"")</f>
        <v>0.0319079532649309</v>
      </c>
      <c r="D151" s="153" t="n">
        <f aca="false">IFERROR(IF(OR(NOT(ISNUMBER('Price History'!D152)),NOT(ISNUMBER('Price History'!D151)),'Price History'!D151=0),"",'Price History'!D152/'Price History'!D151-1),"")</f>
        <v>0.00544312790777624</v>
      </c>
      <c r="E151" s="153" t="n">
        <f aca="false">IFERROR(IF(OR(NOT(ISNUMBER('Price History'!E152)),NOT(ISNUMBER('Price History'!E151)),'Price History'!E151=0),"",'Price History'!E152/'Price History'!E151-1),"")</f>
        <v>0.029905986600389</v>
      </c>
      <c r="F151" s="153" t="n">
        <f aca="false">IFERROR(IF(OR(NOT(ISNUMBER('Price History'!F152)),NOT(ISNUMBER('Price History'!F151)),'Price History'!F151=0),"",'Price History'!F152/'Price History'!F151-1),"")</f>
        <v>-0.0974985227496553</v>
      </c>
      <c r="G151" s="153" t="n">
        <f aca="false">IFERROR(IF(OR(NOT(ISNUMBER('Price History'!G152)),NOT(ISNUMBER('Price History'!G151)),'Price History'!G151=0),"",'Price History'!G152/'Price History'!G151-1),"")</f>
        <v>-0.0104936238294668</v>
      </c>
      <c r="H151" s="153" t="n">
        <f aca="false">IFERROR(IF(OR(NOT(ISNUMBER('Price History'!H152)),NOT(ISNUMBER('Price History'!H151)),'Price History'!H151=0),"",'Price History'!H152/'Price History'!H151-1),"")</f>
        <v>0.0848106484480828</v>
      </c>
      <c r="I151" s="153" t="n">
        <f aca="false">IFERROR(IF(OR(NOT(ISNUMBER('Price History'!I152)),NOT(ISNUMBER('Price History'!I151)),'Price History'!I151=0),"",'Price History'!I152/'Price History'!I151-1),"")</f>
        <v>0.0198933754566097</v>
      </c>
      <c r="J151" s="153" t="n">
        <f aca="false">IFERROR(IF(OR(NOT(ISNUMBER('Price History'!J152)),NOT(ISNUMBER('Price History'!J151)),'Price History'!J151=0),"",'Price History'!J152/'Price History'!J151-1),"")</f>
        <v>-0.0144001076643565</v>
      </c>
      <c r="K151" s="153" t="n">
        <f aca="false">IFERROR(IF(OR(NOT(ISNUMBER('Price History'!K152)),NOT(ISNUMBER('Price History'!K151)),'Price History'!K151=0),"",'Price History'!K152/'Price History'!K151-1),"")</f>
        <v>-0.0714609457621996</v>
      </c>
      <c r="L151" s="153" t="n">
        <f aca="false">IFERROR(IF(OR(NOT(ISNUMBER('Price History'!L152)),NOT(ISNUMBER('Price History'!L151)),'Price History'!L151=0),"",'Price History'!L152/'Price History'!L151-1),"")</f>
        <v>0.0126604580921217</v>
      </c>
      <c r="M151" s="153" t="n">
        <f aca="false">IFERROR(IF(OR(NOT(ISNUMBER('Price History'!M152)),NOT(ISNUMBER('Price History'!M151)),'Price History'!M151=0),"",'Price History'!M152/'Price History'!M151-1),"")</f>
        <v>0.00276348060382059</v>
      </c>
      <c r="N151" s="153" t="n">
        <f aca="false">IFERROR(IF(OR(NOT(ISNUMBER('Price History'!N152)),NOT(ISNUMBER('Price History'!N151)),'Price History'!N151=0),"",'Price History'!N152/'Price History'!N151-1),"")</f>
        <v>-0.0170699063111294</v>
      </c>
      <c r="O151" s="153" t="n">
        <f aca="false">IFERROR(IF(OR(NOT(ISNUMBER('Price History'!O152)),NOT(ISNUMBER('Price History'!O151)),'Price History'!O151=0),"",'Price History'!O152/'Price History'!O151-1),"")</f>
        <v>-0.000560268929085894</v>
      </c>
      <c r="P151" s="153" t="n">
        <f aca="false">IFERROR(IF(OR(NOT(ISNUMBER('Price History'!P152)),NOT(ISNUMBER('Price History'!P151)),'Price History'!P151=0),"",'Price History'!P152/'Price History'!P151-1),"")</f>
        <v>0.00716466263784188</v>
      </c>
      <c r="Q151" s="153" t="n">
        <f aca="false">IFERROR(IF(OR(NOT(ISNUMBER('Price History'!Q152)),NOT(ISNUMBER('Price History'!Q151)),'Price History'!Q151=0),"",'Price History'!Q152/'Price History'!Q151-1),"")</f>
        <v>-0.00177488537198645</v>
      </c>
      <c r="R151" s="153" t="n">
        <f aca="false">IFERROR(IF(OR(NOT(ISNUMBER('Price History'!R152)),NOT(ISNUMBER('Price History'!R151)),'Price History'!R151=0),"",'Price History'!R152/'Price History'!R151-1),"")</f>
        <v>-0.00936064994701513</v>
      </c>
      <c r="S151" s="153" t="n">
        <f aca="false">IFERROR(IF(OR(NOT(ISNUMBER('Price History'!S152)),NOT(ISNUMBER('Price History'!S151)),'Price History'!S151=0),"",'Price History'!S152/'Price History'!S151-1),"")</f>
        <v>0.0181678964221079</v>
      </c>
      <c r="T151" s="153" t="n">
        <f aca="false">IFERROR(IF(OR(NOT(ISNUMBER('Price History'!T152)),NOT(ISNUMBER('Price History'!T151)),'Price History'!T151=0),"",'Price History'!T152/'Price History'!T151-1),"")</f>
        <v>0.00714435805841562</v>
      </c>
      <c r="U151" s="153" t="n">
        <f aca="false">IFERROR(IF(OR(NOT(ISNUMBER('Price History'!U152)),NOT(ISNUMBER('Price History'!U151)),'Price History'!U151=0),"",'Price History'!U152/'Price History'!U151-1),"")</f>
        <v>0.0116385911179173</v>
      </c>
      <c r="V151" s="154" t="n">
        <f aca="false">IFERROR(IF(OR(NOT(ISNUMBER('Price History'!V152)),NOT(ISNUMBER('Price History'!V151)),'Price History'!V151=0),"",'Price History'!V152/'Price History'!V151-1),"")</f>
        <v>-0.00787929589270742</v>
      </c>
      <c r="W151" s="155" t="n">
        <f aca="false">IFERROR('Price History'!B3+(INDEX('Price History'!B:B,MATCH(9.99E+307,'Returns (Calc)'!$A:$A)+1)-'Price History'!B3)*(ROW()-3)/(MATCH(9.99E+307,'Returns (Calc)'!$A:$A)-3),"")</f>
        <v>262.099056603774</v>
      </c>
      <c r="X151" s="155" t="n">
        <f aca="false">IFERROR('Price History'!C3+(INDEX('Price History'!C:C,MATCH(9.99E+307,'Returns (Calc)'!$A:$A)+1)-'Price History'!C3)*(ROW()-3)/(MATCH(9.99E+307,'Returns (Calc)'!$A:$A)-3),"")</f>
        <v>204.940251572327</v>
      </c>
      <c r="Y151" s="155" t="n">
        <f aca="false">IFERROR('Price History'!D3+(INDEX('Price History'!D:D,MATCH(9.99E+307,'Returns (Calc)'!$A:$A)+1)-'Price History'!D3)*(ROW()-3)/(MATCH(9.99E+307,'Returns (Calc)'!$A:$A)-3),"")</f>
        <v>1697.43666666667</v>
      </c>
      <c r="Z151" s="155" t="n">
        <f aca="false">IFERROR('Price History'!E3+(INDEX('Price History'!E:E,MATCH(9.99E+307,'Returns (Calc)'!$A:$A)+1)-'Price History'!E3)*(ROW()-3)/(MATCH(9.99E+307,'Returns (Calc)'!$A:$A)-3),"")</f>
        <v>342.200754716981</v>
      </c>
      <c r="AA151" s="155" t="n">
        <f aca="false">IFERROR('Price History'!F3+(INDEX('Price History'!F:F,MATCH(9.99E+307,'Returns (Calc)'!$A:$A)+1)-'Price History'!F3)*(ROW()-3)/(MATCH(9.99E+307,'Returns (Calc)'!$A:$A)-3),"")</f>
        <v>258.873459119497</v>
      </c>
      <c r="AB151" s="155" t="n">
        <f aca="false">IFERROR('Price History'!G3+(INDEX('Price History'!G:G,MATCH(9.99E+307,'Returns (Calc)'!$A:$A)+1)-'Price History'!G3)*(ROW()-3)/(MATCH(9.99E+307,'Returns (Calc)'!$A:$A)-3),"")</f>
        <v>185.108238993711</v>
      </c>
      <c r="AC151" s="155" t="n">
        <f aca="false">IFERROR('Price History'!H3+(INDEX('Price History'!H:H,MATCH(9.99E+307,'Returns (Calc)'!$A:$A)+1)-'Price History'!H3)*(ROW()-3)/(MATCH(9.99E+307,'Returns (Calc)'!$A:$A)-3),"")</f>
        <v>962.592515723271</v>
      </c>
      <c r="AD151" s="155" t="n">
        <f aca="false">IFERROR('Price History'!I3+(INDEX('Price History'!I:I,MATCH(9.99E+307,'Returns (Calc)'!$A:$A)+1)-'Price History'!I3)*(ROW()-3)/(MATCH(9.99E+307,'Returns (Calc)'!$A:$A)-3),"")</f>
        <v>216.445974842767</v>
      </c>
      <c r="AE151" s="155" t="n">
        <f aca="false">IFERROR('Price History'!J3+(INDEX('Price History'!J:J,MATCH(9.99E+307,'Returns (Calc)'!$A:$A)+1)-'Price History'!J3)*(ROW()-3)/(MATCH(9.99E+307,'Returns (Calc)'!$A:$A)-3),"")</f>
        <v>128.26893081761</v>
      </c>
      <c r="AF151" s="155" t="n">
        <f aca="false">IFERROR('Price History'!K3+(INDEX('Price History'!K:K,MATCH(9.99E+307,'Returns (Calc)'!$A:$A)+1)-'Price History'!K3)*(ROW()-3)/(MATCH(9.99E+307,'Returns (Calc)'!$A:$A)-3),"")</f>
        <v>195.647987421384</v>
      </c>
      <c r="AG151" s="155" t="n">
        <f aca="false">IFERROR('Price History'!L3+(INDEX('Price History'!L:L,MATCH(9.99E+307,'Returns (Calc)'!$A:$A)+1)-'Price History'!L3)*(ROW()-3)/(MATCH(9.99E+307,'Returns (Calc)'!$A:$A)-3),"")</f>
        <v>427.881320754717</v>
      </c>
      <c r="AH151" s="155" t="n">
        <f aca="false">IFERROR('Price History'!M3+(INDEX('Price History'!M:M,MATCH(9.99E+307,'Returns (Calc)'!$A:$A)+1)-'Price History'!M3)*(ROW()-3)/(MATCH(9.99E+307,'Returns (Calc)'!$A:$A)-3),"")</f>
        <v>228.614213836478</v>
      </c>
      <c r="AI151" s="155" t="n">
        <f aca="false">IFERROR('Price History'!N3+(INDEX('Price History'!N:N,MATCH(9.99E+307,'Returns (Calc)'!$A:$A)+1)-'Price History'!N3)*(ROW()-3)/(MATCH(9.99E+307,'Returns (Calc)'!$A:$A)-3),"")</f>
        <v>498.929182389937</v>
      </c>
      <c r="AJ151" s="155" t="n">
        <f aca="false">IFERROR('Price History'!O3+(INDEX('Price History'!O:O,MATCH(9.99E+307,'Returns (Calc)'!$A:$A)+1)-'Price History'!O3)*(ROW()-3)/(MATCH(9.99E+307,'Returns (Calc)'!$A:$A)-3),"")</f>
        <v>116.573144654088</v>
      </c>
      <c r="AK151" s="155" t="n">
        <f aca="false">IFERROR('Price History'!Q3+(INDEX('Price History'!Q:Q,MATCH(9.99E+307,'Returns (Calc)'!$A:$A)+1)-'Price History'!Q3)*(ROW()-3)/(MATCH(9.99E+307,'Returns (Calc)'!$A:$A)-3),"")</f>
        <v>65.1293081761006</v>
      </c>
      <c r="AL151" s="155" t="n">
        <f aca="false">IFERROR('Price History'!R3+(INDEX('Price History'!R:R,MATCH(9.99E+307,'Returns (Calc)'!$A:$A)+1)-'Price History'!R3)*(ROW()-3)/(MATCH(9.99E+307,'Returns (Calc)'!$A:$A)-3),"")</f>
        <v>59.2490566037736</v>
      </c>
      <c r="AM151" s="155" t="n">
        <f aca="false">IFERROR('Price History'!S3+(INDEX('Price History'!S:S,MATCH(9.99E+307,'Returns (Calc)'!$A:$A)+1)-'Price History'!S3)*(ROW()-3)/(MATCH(9.99E+307,'Returns (Calc)'!$A:$A)-3),"")</f>
        <v>144.689371069182</v>
      </c>
      <c r="AN151" s="155" t="n">
        <f aca="false">IFERROR('Price History'!T3+(INDEX('Price History'!T:T,MATCH(9.99E+307,'Returns (Calc)'!$A:$A)+1)-'Price History'!T3)*(ROW()-3)/(MATCH(9.99E+307,'Returns (Calc)'!$A:$A)-3),"")</f>
        <v>50.927106918239</v>
      </c>
      <c r="AO151" s="156" t="n">
        <f aca="false">IFERROR('Price History'!V3+(INDEX('Price History'!V:V,MATCH(9.99E+307,'Returns (Calc)'!$A:$A)+1)-'Price History'!V3)*(ROW()-3)/(MATCH(9.99E+307,'Returns (Calc)'!$A:$A)-3),"")</f>
        <v>375.085094339623</v>
      </c>
      <c r="AP151" s="154" t="n">
        <f aca="false">IFERROR(IF(OR(NOT(ISNUMBER('Price History'!W152)),NOT(ISNUMBER('Price History'!W151)),'Price History'!W151=0),"",'Price History'!W152/'Price History'!W151-1),"")</f>
        <v>0.0128704168759417</v>
      </c>
      <c r="AQ151" s="154" t="n">
        <f aca="false">IFERROR(IF(OR(NOT(ISNUMBER('Price History'!X152)),NOT(ISNUMBER('Price History'!X151)),'Price History'!X151=0),"",'Price History'!X152/'Price History'!X151-1),"")</f>
        <v>-0.00018422991893885</v>
      </c>
      <c r="AR151" s="154" t="n">
        <f aca="false">IFERROR(IF(OR(NOT(ISNUMBER('Price History'!Y152)),NOT(ISNUMBER('Price History'!Y151)),'Price History'!Y151=0),"",'Price History'!Y152/'Price History'!Y151-1),"")</f>
        <v>0.00432510362227423</v>
      </c>
      <c r="AS151" s="154" t="n">
        <f aca="false">IFERROR(IF(OR(NOT(ISNUMBER('Price History'!Z152)),NOT(ISNUMBER('Price History'!Z151)),'Price History'!Z151=0),"",'Price History'!Z152/'Price History'!Z151-1),"")</f>
        <v>0.0140396210163651</v>
      </c>
      <c r="AT151" s="154" t="n">
        <f aca="false">IFERROR(IF(OR(NOT(ISNUMBER('Price History'!AA152)),NOT(ISNUMBER('Price History'!AA151)),'Price History'!AA151=0),"",'Price History'!AA152/'Price History'!AA151-1),"")</f>
        <v>0.0165337200870195</v>
      </c>
      <c r="AU151" s="154" t="n">
        <f aca="false">IFERROR(IF(OR(NOT(ISNUMBER('Price History'!AB152)),NOT(ISNUMBER('Price History'!AB151)),'Price History'!AB151=0),"",'Price History'!AB152/'Price History'!AB151-1),"")</f>
        <v>-0.0467806326133687</v>
      </c>
    </row>
    <row r="152" customFormat="false" ht="15" hidden="false" customHeight="true" outlineLevel="0" collapsed="false">
      <c r="A152" s="152" t="n">
        <f aca="false">IF('Price History'!A153="","",'Price History'!A153)</f>
        <v>46234</v>
      </c>
      <c r="B152" s="153" t="n">
        <f aca="false">IFERROR(IF(OR(NOT(ISNUMBER('Price History'!B153)),NOT(ISNUMBER('Price History'!B152)),'Price History'!B152=0),"",'Price History'!B153/'Price History'!B152-1),"")</f>
        <v>0.112389498467416</v>
      </c>
      <c r="C152" s="153" t="n">
        <f aca="false">IFERROR(IF(OR(NOT(ISNUMBER('Price History'!C153)),NOT(ISNUMBER('Price History'!C152)),'Price History'!C152=0),"",'Price History'!C153/'Price History'!C152-1),"")</f>
        <v>0.0365538249324673</v>
      </c>
      <c r="D152" s="153" t="n">
        <f aca="false">IFERROR(IF(OR(NOT(ISNUMBER('Price History'!D153)),NOT(ISNUMBER('Price History'!D152)),'Price History'!D152=0),"",'Price History'!D153/'Price History'!D152-1),"")</f>
        <v>-0.071699661503744</v>
      </c>
      <c r="E152" s="153" t="n">
        <f aca="false">IFERROR(IF(OR(NOT(ISNUMBER('Price History'!E153)),NOT(ISNUMBER('Price History'!E152)),'Price History'!E152=0),"",'Price History'!E153/'Price History'!E152-1),"")</f>
        <v>0.019253469034441</v>
      </c>
      <c r="F152" s="153" t="n">
        <f aca="false">IFERROR(IF(OR(NOT(ISNUMBER('Price History'!F153)),NOT(ISNUMBER('Price History'!F152)),'Price History'!F152=0),"",'Price History'!F153/'Price History'!F152-1),"")</f>
        <v>0.0413574858140551</v>
      </c>
      <c r="G152" s="153" t="n">
        <f aca="false">IFERROR(IF(OR(NOT(ISNUMBER('Price History'!G153)),NOT(ISNUMBER('Price History'!G152)),'Price History'!G152=0),"",'Price History'!G153/'Price History'!G152-1),"")</f>
        <v>-0.1315864561537</v>
      </c>
      <c r="H152" s="153" t="n">
        <f aca="false">IFERROR(IF(OR(NOT(ISNUMBER('Price History'!H153)),NOT(ISNUMBER('Price History'!H152)),'Price History'!H152=0),"",'Price History'!H153/'Price History'!H152-1),"")</f>
        <v>-0.106324990498941</v>
      </c>
      <c r="I152" s="153" t="n">
        <f aca="false">IFERROR(IF(OR(NOT(ISNUMBER('Price History'!I153)),NOT(ISNUMBER('Price History'!I152)),'Price History'!I152=0),"",'Price History'!I153/'Price History'!I152-1),"")</f>
        <v>-0.0294274236484198</v>
      </c>
      <c r="J152" s="153" t="n">
        <f aca="false">IFERROR(IF(OR(NOT(ISNUMBER('Price History'!J153)),NOT(ISNUMBER('Price History'!J152)),'Price History'!J152=0),"",'Price History'!J153/'Price History'!J152-1),"")</f>
        <v>-0.0204820099679115</v>
      </c>
      <c r="K152" s="153" t="n">
        <f aca="false">IFERROR(IF(OR(NOT(ISNUMBER('Price History'!K153)),NOT(ISNUMBER('Price History'!K152)),'Price History'!K152=0),"",'Price History'!K153/'Price History'!K152-1),"")</f>
        <v>0.00113895216400906</v>
      </c>
      <c r="L152" s="153" t="n">
        <f aca="false">IFERROR(IF(OR(NOT(ISNUMBER('Price History'!L153)),NOT(ISNUMBER('Price History'!L152)),'Price History'!L152=0),"",'Price History'!L153/'Price History'!L152-1),"")</f>
        <v>0.00208783834165982</v>
      </c>
      <c r="M152" s="153" t="n">
        <f aca="false">IFERROR(IF(OR(NOT(ISNUMBER('Price History'!M153)),NOT(ISNUMBER('Price History'!M152)),'Price History'!M152=0),"",'Price History'!M153/'Price History'!M152-1),"")</f>
        <v>-0.16803885769403</v>
      </c>
      <c r="N152" s="153" t="n">
        <f aca="false">IFERROR(IF(OR(NOT(ISNUMBER('Price History'!N153)),NOT(ISNUMBER('Price History'!N152)),'Price History'!N152=0),"",'Price History'!N153/'Price History'!N152-1),"")</f>
        <v>-0.000544662309368227</v>
      </c>
      <c r="O152" s="153" t="n">
        <f aca="false">IFERROR(IF(OR(NOT(ISNUMBER('Price History'!O153)),NOT(ISNUMBER('Price History'!O152)),'Price History'!O152=0),"",'Price History'!O153/'Price History'!O152-1),"")</f>
        <v>0</v>
      </c>
      <c r="P152" s="153" t="n">
        <f aca="false">IFERROR(IF(OR(NOT(ISNUMBER('Price History'!P153)),NOT(ISNUMBER('Price History'!P152)),'Price History'!P152=0),"",'Price History'!P153/'Price History'!P152-1),"")</f>
        <v>-0.0109489051094891</v>
      </c>
      <c r="Q152" s="153" t="n">
        <f aca="false">IFERROR(IF(OR(NOT(ISNUMBER('Price History'!Q153)),NOT(ISNUMBER('Price History'!Q152)),'Price History'!Q152=0),"",'Price History'!Q153/'Price History'!Q152-1),"")</f>
        <v>0.0128907986368352</v>
      </c>
      <c r="R152" s="153" t="n">
        <f aca="false">IFERROR(IF(OR(NOT(ISNUMBER('Price History'!R153)),NOT(ISNUMBER('Price History'!R152)),'Price History'!R152=0),"",'Price History'!R153/'Price History'!R152-1),"")</f>
        <v>0.00499197717953281</v>
      </c>
      <c r="S152" s="153" t="n">
        <f aca="false">IFERROR(IF(OR(NOT(ISNUMBER('Price History'!S153)),NOT(ISNUMBER('Price History'!S152)),'Price History'!S152=0),"",'Price History'!S153/'Price History'!S152-1),"")</f>
        <v>-0.0182539139946675</v>
      </c>
      <c r="T152" s="153" t="n">
        <f aca="false">IFERROR(IF(OR(NOT(ISNUMBER('Price History'!T153)),NOT(ISNUMBER('Price History'!T152)),'Price History'!T152=0),"",'Price History'!T153/'Price History'!T152-1),"")</f>
        <v>0.0331733778426873</v>
      </c>
      <c r="U152" s="153" t="n">
        <f aca="false">IFERROR(IF(OR(NOT(ISNUMBER('Price History'!U153)),NOT(ISNUMBER('Price History'!U152)),'Price History'!U152=0),"",'Price History'!U153/'Price History'!U152-1),"")</f>
        <v>0.00544959128065403</v>
      </c>
      <c r="V152" s="154" t="n">
        <f aca="false">IFERROR(IF(OR(NOT(ISNUMBER('Price History'!V153)),NOT(ISNUMBER('Price History'!V152)),'Price History'!V152=0),"",'Price History'!V153/'Price History'!V152-1),"")</f>
        <v>0.0292046862678834</v>
      </c>
      <c r="W152" s="155" t="n">
        <f aca="false">IFERROR('Price History'!B3+(INDEX('Price History'!B:B,MATCH(9.99E+307,'Returns (Calc)'!$A:$A)+1)-'Price History'!B3)*(ROW()-3)/(MATCH(9.99E+307,'Returns (Calc)'!$A:$A)-3),"")</f>
        <v>260.29641509434</v>
      </c>
      <c r="X152" s="155" t="n">
        <f aca="false">IFERROR('Price History'!C3+(INDEX('Price History'!C:C,MATCH(9.99E+307,'Returns (Calc)'!$A:$A)+1)-'Price History'!C3)*(ROW()-3)/(MATCH(9.99E+307,'Returns (Calc)'!$A:$A)-3),"")</f>
        <v>206.012955974843</v>
      </c>
      <c r="Y152" s="155" t="n">
        <f aca="false">IFERROR('Price History'!D3+(INDEX('Price History'!D:D,MATCH(9.99E+307,'Returns (Calc)'!$A:$A)+1)-'Price History'!D3)*(ROW()-3)/(MATCH(9.99E+307,'Returns (Calc)'!$A:$A)-3),"")</f>
        <v>1704.97333333333</v>
      </c>
      <c r="Z152" s="155" t="n">
        <f aca="false">IFERROR('Price History'!E3+(INDEX('Price History'!E:E,MATCH(9.99E+307,'Returns (Calc)'!$A:$A)+1)-'Price History'!E3)*(ROW()-3)/(MATCH(9.99E+307,'Returns (Calc)'!$A:$A)-3),"")</f>
        <v>343.958867924528</v>
      </c>
      <c r="AA152" s="155" t="n">
        <f aca="false">IFERROR('Price History'!F3+(INDEX('Price History'!F:F,MATCH(9.99E+307,'Returns (Calc)'!$A:$A)+1)-'Price History'!F3)*(ROW()-3)/(MATCH(9.99E+307,'Returns (Calc)'!$A:$A)-3),"")</f>
        <v>260.343144654088</v>
      </c>
      <c r="AB152" s="155" t="n">
        <f aca="false">IFERROR('Price History'!G3+(INDEX('Price History'!G:G,MATCH(9.99E+307,'Returns (Calc)'!$A:$A)+1)-'Price History'!G3)*(ROW()-3)/(MATCH(9.99E+307,'Returns (Calc)'!$A:$A)-3),"")</f>
        <v>186.059308176101</v>
      </c>
      <c r="AC152" s="155" t="n">
        <f aca="false">IFERROR('Price History'!H3+(INDEX('Price History'!H:H,MATCH(9.99E+307,'Returns (Calc)'!$A:$A)+1)-'Price History'!H3)*(ROW()-3)/(MATCH(9.99E+307,'Returns (Calc)'!$A:$A)-3),"")</f>
        <v>968.629559748428</v>
      </c>
      <c r="AD152" s="155" t="n">
        <f aca="false">IFERROR('Price History'!I3+(INDEX('Price History'!I:I,MATCH(9.99E+307,'Returns (Calc)'!$A:$A)+1)-'Price History'!I3)*(ROW()-3)/(MATCH(9.99E+307,'Returns (Calc)'!$A:$A)-3),"")</f>
        <v>217.612704402516</v>
      </c>
      <c r="AE152" s="155" t="n">
        <f aca="false">IFERROR('Price History'!J3+(INDEX('Price History'!J:J,MATCH(9.99E+307,'Returns (Calc)'!$A:$A)+1)-'Price History'!J3)*(ROW()-3)/(MATCH(9.99E+307,'Returns (Calc)'!$A:$A)-3),"")</f>
        <v>128.379937106918</v>
      </c>
      <c r="AF152" s="155" t="n">
        <f aca="false">IFERROR('Price History'!K3+(INDEX('Price History'!K:K,MATCH(9.99E+307,'Returns (Calc)'!$A:$A)+1)-'Price History'!K3)*(ROW()-3)/(MATCH(9.99E+307,'Returns (Calc)'!$A:$A)-3),"")</f>
        <v>196.866352201258</v>
      </c>
      <c r="AG152" s="155" t="n">
        <f aca="false">IFERROR('Price History'!L3+(INDEX('Price History'!L:L,MATCH(9.99E+307,'Returns (Calc)'!$A:$A)+1)-'Price History'!L3)*(ROW()-3)/(MATCH(9.99E+307,'Returns (Calc)'!$A:$A)-3),"")</f>
        <v>430.193018867925</v>
      </c>
      <c r="AH152" s="155" t="n">
        <f aca="false">IFERROR('Price History'!M3+(INDEX('Price History'!M:M,MATCH(9.99E+307,'Returns (Calc)'!$A:$A)+1)-'Price History'!M3)*(ROW()-3)/(MATCH(9.99E+307,'Returns (Calc)'!$A:$A)-3),"")</f>
        <v>229.902012578616</v>
      </c>
      <c r="AI152" s="155" t="n">
        <f aca="false">IFERROR('Price History'!N3+(INDEX('Price History'!N:N,MATCH(9.99E+307,'Returns (Calc)'!$A:$A)+1)-'Price History'!N3)*(ROW()-3)/(MATCH(9.99E+307,'Returns (Calc)'!$A:$A)-3),"")</f>
        <v>499.942893081761</v>
      </c>
      <c r="AJ152" s="155" t="n">
        <f aca="false">IFERROR('Price History'!O3+(INDEX('Price History'!O:O,MATCH(9.99E+307,'Returns (Calc)'!$A:$A)+1)-'Price History'!O3)*(ROW()-3)/(MATCH(9.99E+307,'Returns (Calc)'!$A:$A)-3),"")</f>
        <v>116.851949685535</v>
      </c>
      <c r="AK152" s="155" t="n">
        <f aca="false">IFERROR('Price History'!Q3+(INDEX('Price History'!Q:Q,MATCH(9.99E+307,'Returns (Calc)'!$A:$A)+1)-'Price History'!Q3)*(ROW()-3)/(MATCH(9.99E+307,'Returns (Calc)'!$A:$A)-3),"")</f>
        <v>65.5693710691824</v>
      </c>
      <c r="AL152" s="155" t="n">
        <f aca="false">IFERROR('Price History'!R3+(INDEX('Price History'!R:R,MATCH(9.99E+307,'Returns (Calc)'!$A:$A)+1)-'Price History'!R3)*(ROW()-3)/(MATCH(9.99E+307,'Returns (Calc)'!$A:$A)-3),"")</f>
        <v>59.4164150943396</v>
      </c>
      <c r="AM152" s="155" t="n">
        <f aca="false">IFERROR('Price History'!S3+(INDEX('Price History'!S:S,MATCH(9.99E+307,'Returns (Calc)'!$A:$A)+1)-'Price History'!S3)*(ROW()-3)/(MATCH(9.99E+307,'Returns (Calc)'!$A:$A)-3),"")</f>
        <v>145.277610062893</v>
      </c>
      <c r="AN152" s="155" t="n">
        <f aca="false">IFERROR('Price History'!T3+(INDEX('Price History'!T:T,MATCH(9.99E+307,'Returns (Calc)'!$A:$A)+1)-'Price History'!T3)*(ROW()-3)/(MATCH(9.99E+307,'Returns (Calc)'!$A:$A)-3),"")</f>
        <v>51.1010062893082</v>
      </c>
      <c r="AO152" s="156" t="n">
        <f aca="false">IFERROR('Price History'!V3+(INDEX('Price History'!V:V,MATCH(9.99E+307,'Returns (Calc)'!$A:$A)+1)-'Price History'!V3)*(ROW()-3)/(MATCH(9.99E+307,'Returns (Calc)'!$A:$A)-3),"")</f>
        <v>376.027358490566</v>
      </c>
      <c r="AP152" s="154" t="n">
        <f aca="false">IFERROR(IF(OR(NOT(ISNUMBER('Price History'!W153)),NOT(ISNUMBER('Price History'!W152)),'Price History'!W152=0),"",'Price History'!W153/'Price History'!W152-1),"")</f>
        <v>-0.00161160354552792</v>
      </c>
      <c r="AQ152" s="154" t="n">
        <f aca="false">IFERROR(IF(OR(NOT(ISNUMBER('Price History'!X153)),NOT(ISNUMBER('Price History'!X152)),'Price History'!X152=0),"",'Price History'!X153/'Price History'!X152-1),"")</f>
        <v>-0.0217431361709969</v>
      </c>
      <c r="AR152" s="154" t="n">
        <f aca="false">IFERROR(IF(OR(NOT(ISNUMBER('Price History'!Y153)),NOT(ISNUMBER('Price History'!Y152)),'Price History'!Y152=0),"",'Price History'!Y153/'Price History'!Y152-1),"")</f>
        <v>0.0111250672887135</v>
      </c>
      <c r="AS152" s="154" t="n">
        <f aca="false">IFERROR(IF(OR(NOT(ISNUMBER('Price History'!Z153)),NOT(ISNUMBER('Price History'!Z152)),'Price History'!Z152=0),"",'Price History'!Z153/'Price History'!Z152-1),"")</f>
        <v>0.0179223647328632</v>
      </c>
      <c r="AT152" s="154" t="n">
        <f aca="false">IFERROR(IF(OR(NOT(ISNUMBER('Price History'!AA153)),NOT(ISNUMBER('Price History'!AA152)),'Price History'!AA152=0),"",'Price History'!AA153/'Price History'!AA152-1),"")</f>
        <v>0.0231131402482521</v>
      </c>
      <c r="AU152" s="154" t="n">
        <f aca="false">IFERROR(IF(OR(NOT(ISNUMBER('Price History'!AB153)),NOT(ISNUMBER('Price History'!AB152)),'Price History'!AB152=0),"",'Price History'!AB153/'Price History'!AB152-1),"")</f>
        <v>0.0941795532646048</v>
      </c>
    </row>
    <row r="153" customFormat="false" ht="15" hidden="false" customHeight="true" outlineLevel="0" collapsed="false">
      <c r="A153" s="152" t="n">
        <f aca="false">IF('Price History'!A154="","",'Price History'!A154)</f>
        <v>46241</v>
      </c>
      <c r="B153" s="153" t="n">
        <f aca="false">IFERROR(IF(OR(NOT(ISNUMBER('Price History'!B154)),NOT(ISNUMBER('Price History'!B153)),'Price History'!B153=0),"",'Price History'!B154/'Price History'!B153-1),"")</f>
        <v>0.0591030709636196</v>
      </c>
      <c r="C153" s="153" t="n">
        <f aca="false">IFERROR(IF(OR(NOT(ISNUMBER('Price History'!C154)),NOT(ISNUMBER('Price History'!C153)),'Price History'!C153=0),"",'Price History'!C154/'Price History'!C153-1),"")</f>
        <v>0.046132520099806</v>
      </c>
      <c r="D153" s="153" t="n">
        <f aca="false">IFERROR(IF(OR(NOT(ISNUMBER('Price History'!D154)),NOT(ISNUMBER('Price History'!D153)),'Price History'!D153=0),"",'Price History'!D154/'Price History'!D153-1),"")</f>
        <v>0.0687476979742174</v>
      </c>
      <c r="E153" s="153" t="n">
        <f aca="false">IFERROR(IF(OR(NOT(ISNUMBER('Price History'!E154)),NOT(ISNUMBER('Price History'!E153)),'Price History'!E153=0),"",'Price History'!E154/'Price History'!E153-1),"")</f>
        <v>0.0988496281236329</v>
      </c>
      <c r="F153" s="153" t="n">
        <f aca="false">IFERROR(IF(OR(NOT(ISNUMBER('Price History'!F154)),NOT(ISNUMBER('Price History'!F153)),'Price History'!F153=0),"",'Price History'!F154/'Price History'!F153-1),"")</f>
        <v>0.123441265849314</v>
      </c>
      <c r="G153" s="153" t="n">
        <f aca="false">IFERROR(IF(OR(NOT(ISNUMBER('Price History'!G154)),NOT(ISNUMBER('Price History'!G153)),'Price History'!G153=0),"",'Price History'!G154/'Price History'!G153-1),"")</f>
        <v>0.0836755927933846</v>
      </c>
      <c r="H153" s="153" t="n">
        <f aca="false">IFERROR(IF(OR(NOT(ISNUMBER('Price History'!H154)),NOT(ISNUMBER('Price History'!H153)),'Price History'!H153=0),"",'Price History'!H154/'Price History'!H153-1),"")</f>
        <v>0.066267329258958</v>
      </c>
      <c r="I153" s="153" t="n">
        <f aca="false">IFERROR(IF(OR(NOT(ISNUMBER('Price History'!I154)),NOT(ISNUMBER('Price History'!I153)),'Price History'!I153=0),"",'Price History'!I154/'Price History'!I153-1),"")</f>
        <v>0.115593676756595</v>
      </c>
      <c r="J153" s="153" t="n">
        <f aca="false">IFERROR(IF(OR(NOT(ISNUMBER('Price History'!J154)),NOT(ISNUMBER('Price History'!J153)),'Price History'!J153=0),"",'Price History'!J154/'Price History'!J153-1),"")</f>
        <v>-0.0307381334076811</v>
      </c>
      <c r="K153" s="153" t="n">
        <f aca="false">IFERROR(IF(OR(NOT(ISNUMBER('Price History'!K154)),NOT(ISNUMBER('Price History'!K153)),'Price History'!K153=0),"",'Price History'!K154/'Price History'!K153-1),"")</f>
        <v>0.397773443848529</v>
      </c>
      <c r="L153" s="153" t="n">
        <f aca="false">IFERROR(IF(OR(NOT(ISNUMBER('Price History'!L154)),NOT(ISNUMBER('Price History'!L153)),'Price History'!L153=0),"",'Price History'!L154/'Price History'!L153-1),"")</f>
        <v>0.0390654066522806</v>
      </c>
      <c r="M153" s="153" t="n">
        <f aca="false">IFERROR(IF(OR(NOT(ISNUMBER('Price History'!M154)),NOT(ISNUMBER('Price History'!M153)),'Price History'!M153=0),"",'Price History'!M154/'Price History'!M153-1),"")</f>
        <v>0.127613763405242</v>
      </c>
      <c r="N153" s="153" t="n">
        <f aca="false">IFERROR(IF(OR(NOT(ISNUMBER('Price History'!N154)),NOT(ISNUMBER('Price History'!N153)),'Price History'!N153=0),"",'Price History'!N154/'Price History'!N153-1),"")</f>
        <v>0.0397610563823096</v>
      </c>
      <c r="O153" s="153" t="n">
        <f aca="false">IFERROR(IF(OR(NOT(ISNUMBER('Price History'!O154)),NOT(ISNUMBER('Price History'!O153)),'Price History'!O153=0),"",'Price History'!O154/'Price History'!O153-1),"")</f>
        <v>0.0128133258588932</v>
      </c>
      <c r="P153" s="153" t="n">
        <f aca="false">IFERROR(IF(OR(NOT(ISNUMBER('Price History'!P154)),NOT(ISNUMBER('Price History'!P153)),'Price History'!P153=0),"",'Price History'!P154/'Price History'!P153-1),"")</f>
        <v>0.00431546688348261</v>
      </c>
      <c r="Q153" s="153" t="n">
        <f aca="false">IFERROR(IF(OR(NOT(ISNUMBER('Price History'!Q154)),NOT(ISNUMBER('Price History'!Q153)),'Price History'!Q153=0),"",'Price History'!Q154/'Price History'!Q153-1),"")</f>
        <v>0.0206260971328263</v>
      </c>
      <c r="R153" s="153" t="n">
        <f aca="false">IFERROR(IF(OR(NOT(ISNUMBER('Price History'!R154)),NOT(ISNUMBER('Price History'!R153)),'Price History'!R153=0),"",'Price History'!R154/'Price History'!R153-1),"")</f>
        <v>0.0381408550647508</v>
      </c>
      <c r="S153" s="153" t="n">
        <f aca="false">IFERROR(IF(OR(NOT(ISNUMBER('Price History'!S154)),NOT(ISNUMBER('Price History'!S153)),'Price History'!S153=0),"",'Price History'!S154/'Price History'!S153-1),"")</f>
        <v>0.0407381615598885</v>
      </c>
      <c r="T153" s="153" t="n">
        <f aca="false">IFERROR(IF(OR(NOT(ISNUMBER('Price History'!T154)),NOT(ISNUMBER('Price History'!T153)),'Price History'!T153=0),"",'Price History'!T154/'Price History'!T153-1),"")</f>
        <v>0.0351373182552504</v>
      </c>
      <c r="U153" s="153" t="n">
        <f aca="false">IFERROR(IF(OR(NOT(ISNUMBER('Price History'!U154)),NOT(ISNUMBER('Price History'!U153)),'Price History'!U153=0),"",'Price History'!U154/'Price History'!U153-1),"")</f>
        <v>0.0126467931345982</v>
      </c>
      <c r="V153" s="154" t="n">
        <f aca="false">IFERROR(IF(OR(NOT(ISNUMBER('Price History'!V154)),NOT(ISNUMBER('Price History'!V153)),'Price History'!V153=0),"",'Price History'!V154/'Price History'!V153-1),"")</f>
        <v>-0.00990559584074435</v>
      </c>
      <c r="W153" s="155" t="n">
        <f aca="false">IFERROR('Price History'!B3+(INDEX('Price History'!B:B,MATCH(9.99E+307,'Returns (Calc)'!$A:$A)+1)-'Price History'!B3)*(ROW()-3)/(MATCH(9.99E+307,'Returns (Calc)'!$A:$A)-3),"")</f>
        <v>258.493773584906</v>
      </c>
      <c r="X153" s="155" t="n">
        <f aca="false">IFERROR('Price History'!C3+(INDEX('Price History'!C:C,MATCH(9.99E+307,'Returns (Calc)'!$A:$A)+1)-'Price History'!C3)*(ROW()-3)/(MATCH(9.99E+307,'Returns (Calc)'!$A:$A)-3),"")</f>
        <v>207.085660377359</v>
      </c>
      <c r="Y153" s="155" t="n">
        <f aca="false">IFERROR('Price History'!D3+(INDEX('Price History'!D:D,MATCH(9.99E+307,'Returns (Calc)'!$A:$A)+1)-'Price History'!D3)*(ROW()-3)/(MATCH(9.99E+307,'Returns (Calc)'!$A:$A)-3),"")</f>
        <v>1712.51</v>
      </c>
      <c r="Z153" s="155" t="n">
        <f aca="false">IFERROR('Price History'!E3+(INDEX('Price History'!E:E,MATCH(9.99E+307,'Returns (Calc)'!$A:$A)+1)-'Price History'!E3)*(ROW()-3)/(MATCH(9.99E+307,'Returns (Calc)'!$A:$A)-3),"")</f>
        <v>345.716981132076</v>
      </c>
      <c r="AA153" s="155" t="n">
        <f aca="false">IFERROR('Price History'!F3+(INDEX('Price History'!F:F,MATCH(9.99E+307,'Returns (Calc)'!$A:$A)+1)-'Price History'!F3)*(ROW()-3)/(MATCH(9.99E+307,'Returns (Calc)'!$A:$A)-3),"")</f>
        <v>261.812830188679</v>
      </c>
      <c r="AB153" s="155" t="n">
        <f aca="false">IFERROR('Price History'!G3+(INDEX('Price History'!G:G,MATCH(9.99E+307,'Returns (Calc)'!$A:$A)+1)-'Price History'!G3)*(ROW()-3)/(MATCH(9.99E+307,'Returns (Calc)'!$A:$A)-3),"")</f>
        <v>187.010377358491</v>
      </c>
      <c r="AC153" s="155" t="n">
        <f aca="false">IFERROR('Price History'!H3+(INDEX('Price History'!H:H,MATCH(9.99E+307,'Returns (Calc)'!$A:$A)+1)-'Price History'!H3)*(ROW()-3)/(MATCH(9.99E+307,'Returns (Calc)'!$A:$A)-3),"")</f>
        <v>974.666603773585</v>
      </c>
      <c r="AD153" s="155" t="n">
        <f aca="false">IFERROR('Price History'!I3+(INDEX('Price History'!I:I,MATCH(9.99E+307,'Returns (Calc)'!$A:$A)+1)-'Price History'!I3)*(ROW()-3)/(MATCH(9.99E+307,'Returns (Calc)'!$A:$A)-3),"")</f>
        <v>218.779433962264</v>
      </c>
      <c r="AE153" s="155" t="n">
        <f aca="false">IFERROR('Price History'!J3+(INDEX('Price History'!J:J,MATCH(9.99E+307,'Returns (Calc)'!$A:$A)+1)-'Price History'!J3)*(ROW()-3)/(MATCH(9.99E+307,'Returns (Calc)'!$A:$A)-3),"")</f>
        <v>128.490943396226</v>
      </c>
      <c r="AF153" s="155" t="n">
        <f aca="false">IFERROR('Price History'!K3+(INDEX('Price History'!K:K,MATCH(9.99E+307,'Returns (Calc)'!$A:$A)+1)-'Price History'!K3)*(ROW()-3)/(MATCH(9.99E+307,'Returns (Calc)'!$A:$A)-3),"")</f>
        <v>198.084716981132</v>
      </c>
      <c r="AG153" s="155" t="n">
        <f aca="false">IFERROR('Price History'!L3+(INDEX('Price History'!L:L,MATCH(9.99E+307,'Returns (Calc)'!$A:$A)+1)-'Price History'!L3)*(ROW()-3)/(MATCH(9.99E+307,'Returns (Calc)'!$A:$A)-3),"")</f>
        <v>432.504716981132</v>
      </c>
      <c r="AH153" s="155" t="n">
        <f aca="false">IFERROR('Price History'!M3+(INDEX('Price History'!M:M,MATCH(9.99E+307,'Returns (Calc)'!$A:$A)+1)-'Price History'!M3)*(ROW()-3)/(MATCH(9.99E+307,'Returns (Calc)'!$A:$A)-3),"")</f>
        <v>231.189811320755</v>
      </c>
      <c r="AI153" s="155" t="n">
        <f aca="false">IFERROR('Price History'!N3+(INDEX('Price History'!N:N,MATCH(9.99E+307,'Returns (Calc)'!$A:$A)+1)-'Price History'!N3)*(ROW()-3)/(MATCH(9.99E+307,'Returns (Calc)'!$A:$A)-3),"")</f>
        <v>500.956603773585</v>
      </c>
      <c r="AJ153" s="155" t="n">
        <f aca="false">IFERROR('Price History'!O3+(INDEX('Price History'!O:O,MATCH(9.99E+307,'Returns (Calc)'!$A:$A)+1)-'Price History'!O3)*(ROW()-3)/(MATCH(9.99E+307,'Returns (Calc)'!$A:$A)-3),"")</f>
        <v>117.130754716981</v>
      </c>
      <c r="AK153" s="155" t="n">
        <f aca="false">IFERROR('Price History'!Q3+(INDEX('Price History'!Q:Q,MATCH(9.99E+307,'Returns (Calc)'!$A:$A)+1)-'Price History'!Q3)*(ROW()-3)/(MATCH(9.99E+307,'Returns (Calc)'!$A:$A)-3),"")</f>
        <v>66.0094339622642</v>
      </c>
      <c r="AL153" s="155" t="n">
        <f aca="false">IFERROR('Price History'!R3+(INDEX('Price History'!R:R,MATCH(9.99E+307,'Returns (Calc)'!$A:$A)+1)-'Price History'!R3)*(ROW()-3)/(MATCH(9.99E+307,'Returns (Calc)'!$A:$A)-3),"")</f>
        <v>59.5837735849057</v>
      </c>
      <c r="AM153" s="155" t="n">
        <f aca="false">IFERROR('Price History'!S3+(INDEX('Price History'!S:S,MATCH(9.99E+307,'Returns (Calc)'!$A:$A)+1)-'Price History'!S3)*(ROW()-3)/(MATCH(9.99E+307,'Returns (Calc)'!$A:$A)-3),"")</f>
        <v>145.865849056604</v>
      </c>
      <c r="AN153" s="155" t="n">
        <f aca="false">IFERROR('Price History'!T3+(INDEX('Price History'!T:T,MATCH(9.99E+307,'Returns (Calc)'!$A:$A)+1)-'Price History'!T3)*(ROW()-3)/(MATCH(9.99E+307,'Returns (Calc)'!$A:$A)-3),"")</f>
        <v>51.2749056603774</v>
      </c>
      <c r="AO153" s="156" t="n">
        <f aca="false">IFERROR('Price History'!V3+(INDEX('Price History'!V:V,MATCH(9.99E+307,'Returns (Calc)'!$A:$A)+1)-'Price History'!V3)*(ROW()-3)/(MATCH(9.99E+307,'Returns (Calc)'!$A:$A)-3),"")</f>
        <v>376.969622641509</v>
      </c>
      <c r="AP153" s="154" t="n">
        <f aca="false">IFERROR(IF(OR(NOT(ISNUMBER('Price History'!W154)),NOT(ISNUMBER('Price History'!W153)),'Price History'!W153=0),"",'Price History'!W154/'Price History'!W153-1),"")</f>
        <v>0.0226609548643448</v>
      </c>
      <c r="AQ153" s="154" t="n">
        <f aca="false">IFERROR(IF(OR(NOT(ISNUMBER('Price History'!X154)),NOT(ISNUMBER('Price History'!X153)),'Price History'!X153=0),"",'Price History'!X154/'Price History'!X153-1),"")</f>
        <v>-0.0261819551704653</v>
      </c>
      <c r="AR153" s="154" t="n">
        <f aca="false">IFERROR(IF(OR(NOT(ISNUMBER('Price History'!Y154)),NOT(ISNUMBER('Price History'!Y153)),'Price History'!Y153=0),"",'Price History'!Y154/'Price History'!Y153-1),"")</f>
        <v>0.00905057675244003</v>
      </c>
      <c r="AS153" s="154" t="n">
        <f aca="false">IFERROR(IF(OR(NOT(ISNUMBER('Price History'!Z154)),NOT(ISNUMBER('Price History'!Z153)),'Price History'!Z153=0),"",'Price History'!Z154/'Price History'!Z153-1),"")</f>
        <v>0.0278148642634624</v>
      </c>
      <c r="AT153" s="154" t="n">
        <f aca="false">IFERROR(IF(OR(NOT(ISNUMBER('Price History'!AA154)),NOT(ISNUMBER('Price History'!AA153)),'Price History'!AA153=0),"",'Price History'!AA154/'Price History'!AA153-1),"")</f>
        <v>0.0338864872402733</v>
      </c>
      <c r="AU153" s="154" t="n">
        <f aca="false">IFERROR(IF(OR(NOT(ISNUMBER('Price History'!AB154)),NOT(ISNUMBER('Price History'!AB153)),'Price History'!AB153=0),"",'Price History'!AB154/'Price History'!AB153-1),"")</f>
        <v>0.130974580429875</v>
      </c>
    </row>
    <row r="154" customFormat="false" ht="15" hidden="false" customHeight="true" outlineLevel="0" collapsed="false">
      <c r="A154" s="152" t="n">
        <f aca="false">IF('Price History'!A155="","",'Price History'!A155)</f>
        <v>46248</v>
      </c>
      <c r="B154" s="153" t="n">
        <f aca="false">IFERROR(IF(OR(NOT(ISNUMBER('Price History'!B155)),NOT(ISNUMBER('Price History'!B154)),'Price History'!B154=0),"",'Price History'!B155/'Price History'!B154-1),"")</f>
        <v>-0.00448701029372944</v>
      </c>
      <c r="C154" s="153" t="n">
        <f aca="false">IFERROR(IF(OR(NOT(ISNUMBER('Price History'!C155)),NOT(ISNUMBER('Price History'!C154)),'Price History'!C154=0),"",'Price History'!C155/'Price History'!C154-1),"")</f>
        <v>0.0537976360841681</v>
      </c>
      <c r="D154" s="153" t="n">
        <f aca="false">IFERROR(IF(OR(NOT(ISNUMBER('Price History'!D155)),NOT(ISNUMBER('Price History'!D154)),'Price History'!D154=0),"",'Price History'!D155/'Price History'!D154-1),"")</f>
        <v>0.059213436033521</v>
      </c>
      <c r="E154" s="153" t="n">
        <f aca="false">IFERROR(IF(OR(NOT(ISNUMBER('Price History'!E155)),NOT(ISNUMBER('Price History'!E154)),'Price History'!E154=0),"",'Price History'!E155/'Price History'!E154-1),"")</f>
        <v>-0.0812684434868145</v>
      </c>
      <c r="F154" s="153" t="n">
        <f aca="false">IFERROR(IF(OR(NOT(ISNUMBER('Price History'!F155)),NOT(ISNUMBER('Price History'!F154)),'Price History'!F154=0),"",'Price History'!F155/'Price History'!F154-1),"")</f>
        <v>0.0117992724559277</v>
      </c>
      <c r="G154" s="153" t="n">
        <f aca="false">IFERROR(IF(OR(NOT(ISNUMBER('Price History'!G155)),NOT(ISNUMBER('Price History'!G154)),'Price History'!G154=0),"",'Price History'!G155/'Price History'!G154-1),"")</f>
        <v>0.028298549699328</v>
      </c>
      <c r="H154" s="153" t="n">
        <f aca="false">IFERROR(IF(OR(NOT(ISNUMBER('Price History'!H155)),NOT(ISNUMBER('Price History'!H154)),'Price History'!H154=0),"",'Price History'!H155/'Price History'!H154-1),"")</f>
        <v>0.107216518340417</v>
      </c>
      <c r="I154" s="153" t="n">
        <f aca="false">IFERROR(IF(OR(NOT(ISNUMBER('Price History'!I155)),NOT(ISNUMBER('Price History'!I154)),'Price History'!I154=0),"",'Price History'!I155/'Price History'!I154-1),"")</f>
        <v>0.00536408743462524</v>
      </c>
      <c r="J154" s="153" t="n">
        <f aca="false">IFERROR(IF(OR(NOT(ISNUMBER('Price History'!J155)),NOT(ISNUMBER('Price History'!J154)),'Price History'!J154=0),"",'Price History'!J155/'Price History'!J154-1),"")</f>
        <v>0.00618438084280149</v>
      </c>
      <c r="K154" s="153" t="n">
        <f aca="false">IFERROR(IF(OR(NOT(ISNUMBER('Price History'!K155)),NOT(ISNUMBER('Price History'!K154)),'Price History'!K154=0),"",'Price History'!K155/'Price History'!K154-1),"")</f>
        <v>0.0118016394395675</v>
      </c>
      <c r="L154" s="153" t="n">
        <f aca="false">IFERROR(IF(OR(NOT(ISNUMBER('Price History'!L155)),NOT(ISNUMBER('Price History'!L154)),'Price History'!L154=0),"",'Price History'!L155/'Price History'!L154-1),"")</f>
        <v>0.0150147999618064</v>
      </c>
      <c r="M154" s="153" t="n">
        <f aca="false">IFERROR(IF(OR(NOT(ISNUMBER('Price History'!M155)),NOT(ISNUMBER('Price History'!M154)),'Price History'!M154=0),"",'Price History'!M155/'Price History'!M154-1),"")</f>
        <v>0.0787280138067785</v>
      </c>
      <c r="N154" s="153" t="n">
        <f aca="false">IFERROR(IF(OR(NOT(ISNUMBER('Price History'!N155)),NOT(ISNUMBER('Price History'!N154)),'Price History'!N154=0),"",'Price History'!N155/'Price History'!N154-1),"")</f>
        <v>0.0195133751285101</v>
      </c>
      <c r="O154" s="153" t="n">
        <f aca="false">IFERROR(IF(OR(NOT(ISNUMBER('Price History'!O155)),NOT(ISNUMBER('Price History'!O154)),'Price History'!O154=0),"",'Price History'!O155/'Price History'!O154-1),"")</f>
        <v>0.0145489048786274</v>
      </c>
      <c r="P154" s="153" t="n">
        <f aca="false">IFERROR(IF(OR(NOT(ISNUMBER('Price History'!P155)),NOT(ISNUMBER('Price History'!P154)),'Price History'!P154=0),"",'Price History'!P155/'Price History'!P154-1),"")</f>
        <v>0.0222319093286836</v>
      </c>
      <c r="Q154" s="153" t="n">
        <f aca="false">IFERROR(IF(OR(NOT(ISNUMBER('Price History'!Q155)),NOT(ISNUMBER('Price History'!Q154)),'Price History'!Q154=0),"",'Price History'!Q155/'Price History'!Q154-1),"")</f>
        <v>0.00415651426114394</v>
      </c>
      <c r="R154" s="153" t="n">
        <f aca="false">IFERROR(IF(OR(NOT(ISNUMBER('Price History'!R155)),NOT(ISNUMBER('Price History'!R154)),'Price History'!R154=0),"",'Price History'!R155/'Price History'!R154-1),"")</f>
        <v>0.013157894736842</v>
      </c>
      <c r="S154" s="153" t="n">
        <f aca="false">IFERROR(IF(OR(NOT(ISNUMBER('Price History'!S155)),NOT(ISNUMBER('Price History'!S154)),'Price History'!S154=0),"",'Price History'!S155/'Price History'!S154-1),"")</f>
        <v>0.0241552358648378</v>
      </c>
      <c r="T154" s="153" t="n">
        <f aca="false">IFERROR(IF(OR(NOT(ISNUMBER('Price History'!T155)),NOT(ISNUMBER('Price History'!T154)),'Price History'!T154=0),"",'Price History'!T155/'Price History'!T154-1),"")</f>
        <v>0.0438938743659774</v>
      </c>
      <c r="U154" s="153" t="n">
        <f aca="false">IFERROR(IF(OR(NOT(ISNUMBER('Price History'!U155)),NOT(ISNUMBER('Price History'!U154)),'Price History'!U154=0),"",'Price History'!U155/'Price History'!U154-1),"")</f>
        <v>0.0184359203092477</v>
      </c>
      <c r="V154" s="154" t="n">
        <f aca="false">IFERROR(IF(OR(NOT(ISNUMBER('Price History'!V155)),NOT(ISNUMBER('Price History'!V154)),'Price History'!V154=0),"",'Price History'!V155/'Price History'!V154-1),"")</f>
        <v>0.0064118508691926</v>
      </c>
      <c r="W154" s="155" t="n">
        <f aca="false">IFERROR('Price History'!B3+(INDEX('Price History'!B:B,MATCH(9.99E+307,'Returns (Calc)'!$A:$A)+1)-'Price History'!B3)*(ROW()-3)/(MATCH(9.99E+307,'Returns (Calc)'!$A:$A)-3),"")</f>
        <v>256.691132075472</v>
      </c>
      <c r="X154" s="155" t="n">
        <f aca="false">IFERROR('Price History'!C3+(INDEX('Price History'!C:C,MATCH(9.99E+307,'Returns (Calc)'!$A:$A)+1)-'Price History'!C3)*(ROW()-3)/(MATCH(9.99E+307,'Returns (Calc)'!$A:$A)-3),"")</f>
        <v>208.158364779874</v>
      </c>
      <c r="Y154" s="155" t="n">
        <f aca="false">IFERROR('Price History'!D3+(INDEX('Price History'!D:D,MATCH(9.99E+307,'Returns (Calc)'!$A:$A)+1)-'Price History'!D3)*(ROW()-3)/(MATCH(9.99E+307,'Returns (Calc)'!$A:$A)-3),"")</f>
        <v>1720.04666666667</v>
      </c>
      <c r="Z154" s="155" t="n">
        <f aca="false">IFERROR('Price History'!E3+(INDEX('Price History'!E:E,MATCH(9.99E+307,'Returns (Calc)'!$A:$A)+1)-'Price History'!E3)*(ROW()-3)/(MATCH(9.99E+307,'Returns (Calc)'!$A:$A)-3),"")</f>
        <v>347.475094339623</v>
      </c>
      <c r="AA154" s="155" t="n">
        <f aca="false">IFERROR('Price History'!F3+(INDEX('Price History'!F:F,MATCH(9.99E+307,'Returns (Calc)'!$A:$A)+1)-'Price History'!F3)*(ROW()-3)/(MATCH(9.99E+307,'Returns (Calc)'!$A:$A)-3),"")</f>
        <v>263.28251572327</v>
      </c>
      <c r="AB154" s="155" t="n">
        <f aca="false">IFERROR('Price History'!G3+(INDEX('Price History'!G:G,MATCH(9.99E+307,'Returns (Calc)'!$A:$A)+1)-'Price History'!G3)*(ROW()-3)/(MATCH(9.99E+307,'Returns (Calc)'!$A:$A)-3),"")</f>
        <v>187.961446540881</v>
      </c>
      <c r="AC154" s="155" t="n">
        <f aca="false">IFERROR('Price History'!H3+(INDEX('Price History'!H:H,MATCH(9.99E+307,'Returns (Calc)'!$A:$A)+1)-'Price History'!H3)*(ROW()-3)/(MATCH(9.99E+307,'Returns (Calc)'!$A:$A)-3),"")</f>
        <v>980.703647798742</v>
      </c>
      <c r="AD154" s="155" t="n">
        <f aca="false">IFERROR('Price History'!I3+(INDEX('Price History'!I:I,MATCH(9.99E+307,'Returns (Calc)'!$A:$A)+1)-'Price History'!I3)*(ROW()-3)/(MATCH(9.99E+307,'Returns (Calc)'!$A:$A)-3),"")</f>
        <v>219.946163522013</v>
      </c>
      <c r="AE154" s="155" t="n">
        <f aca="false">IFERROR('Price History'!J3+(INDEX('Price History'!J:J,MATCH(9.99E+307,'Returns (Calc)'!$A:$A)+1)-'Price History'!J3)*(ROW()-3)/(MATCH(9.99E+307,'Returns (Calc)'!$A:$A)-3),"")</f>
        <v>128.601949685535</v>
      </c>
      <c r="AF154" s="155" t="n">
        <f aca="false">IFERROR('Price History'!K3+(INDEX('Price History'!K:K,MATCH(9.99E+307,'Returns (Calc)'!$A:$A)+1)-'Price History'!K3)*(ROW()-3)/(MATCH(9.99E+307,'Returns (Calc)'!$A:$A)-3),"")</f>
        <v>199.303081761006</v>
      </c>
      <c r="AG154" s="155" t="n">
        <f aca="false">IFERROR('Price History'!L3+(INDEX('Price History'!L:L,MATCH(9.99E+307,'Returns (Calc)'!$A:$A)+1)-'Price History'!L3)*(ROW()-3)/(MATCH(9.99E+307,'Returns (Calc)'!$A:$A)-3),"")</f>
        <v>434.81641509434</v>
      </c>
      <c r="AH154" s="155" t="n">
        <f aca="false">IFERROR('Price History'!M3+(INDEX('Price History'!M:M,MATCH(9.99E+307,'Returns (Calc)'!$A:$A)+1)-'Price History'!M3)*(ROW()-3)/(MATCH(9.99E+307,'Returns (Calc)'!$A:$A)-3),"")</f>
        <v>232.477610062893</v>
      </c>
      <c r="AI154" s="155" t="n">
        <f aca="false">IFERROR('Price History'!N3+(INDEX('Price History'!N:N,MATCH(9.99E+307,'Returns (Calc)'!$A:$A)+1)-'Price History'!N3)*(ROW()-3)/(MATCH(9.99E+307,'Returns (Calc)'!$A:$A)-3),"")</f>
        <v>501.970314465409</v>
      </c>
      <c r="AJ154" s="155" t="n">
        <f aca="false">IFERROR('Price History'!O3+(INDEX('Price History'!O:O,MATCH(9.99E+307,'Returns (Calc)'!$A:$A)+1)-'Price History'!O3)*(ROW()-3)/(MATCH(9.99E+307,'Returns (Calc)'!$A:$A)-3),"")</f>
        <v>117.409559748428</v>
      </c>
      <c r="AK154" s="155" t="n">
        <f aca="false">IFERROR('Price History'!Q3+(INDEX('Price History'!Q:Q,MATCH(9.99E+307,'Returns (Calc)'!$A:$A)+1)-'Price History'!Q3)*(ROW()-3)/(MATCH(9.99E+307,'Returns (Calc)'!$A:$A)-3),"")</f>
        <v>66.4494968553459</v>
      </c>
      <c r="AL154" s="155" t="n">
        <f aca="false">IFERROR('Price History'!R3+(INDEX('Price History'!R:R,MATCH(9.99E+307,'Returns (Calc)'!$A:$A)+1)-'Price History'!R3)*(ROW()-3)/(MATCH(9.99E+307,'Returns (Calc)'!$A:$A)-3),"")</f>
        <v>59.7511320754717</v>
      </c>
      <c r="AM154" s="155" t="n">
        <f aca="false">IFERROR('Price History'!S3+(INDEX('Price History'!S:S,MATCH(9.99E+307,'Returns (Calc)'!$A:$A)+1)-'Price History'!S3)*(ROW()-3)/(MATCH(9.99E+307,'Returns (Calc)'!$A:$A)-3),"")</f>
        <v>146.454088050314</v>
      </c>
      <c r="AN154" s="155" t="n">
        <f aca="false">IFERROR('Price History'!T3+(INDEX('Price History'!T:T,MATCH(9.99E+307,'Returns (Calc)'!$A:$A)+1)-'Price History'!T3)*(ROW()-3)/(MATCH(9.99E+307,'Returns (Calc)'!$A:$A)-3),"")</f>
        <v>51.4488050314466</v>
      </c>
      <c r="AO154" s="156" t="n">
        <f aca="false">IFERROR('Price History'!V3+(INDEX('Price History'!V:V,MATCH(9.99E+307,'Returns (Calc)'!$A:$A)+1)-'Price History'!V3)*(ROW()-3)/(MATCH(9.99E+307,'Returns (Calc)'!$A:$A)-3),"")</f>
        <v>377.911886792453</v>
      </c>
      <c r="AP154" s="154" t="n">
        <f aca="false">IFERROR(IF(OR(NOT(ISNUMBER('Price History'!W155)),NOT(ISNUMBER('Price History'!W154)),'Price History'!W154=0),"",'Price History'!W155/'Price History'!W154-1),"")</f>
        <v>0.00534239922292379</v>
      </c>
      <c r="AQ154" s="154" t="n">
        <f aca="false">IFERROR(IF(OR(NOT(ISNUMBER('Price History'!X155)),NOT(ISNUMBER('Price History'!X154)),'Price History'!X154=0),"",'Price History'!X155/'Price History'!X154-1),"")</f>
        <v>0.0396518375241779</v>
      </c>
      <c r="AR154" s="154" t="n">
        <f aca="false">IFERROR(IF(OR(NOT(ISNUMBER('Price History'!Y155)),NOT(ISNUMBER('Price History'!Y154)),'Price History'!Y154=0),"",'Price History'!Y155/'Price History'!Y154-1),"")</f>
        <v>0.00773830460780856</v>
      </c>
      <c r="AS154" s="154" t="n">
        <f aca="false">IFERROR(IF(OR(NOT(ISNUMBER('Price History'!Z155)),NOT(ISNUMBER('Price History'!Z154)),'Price History'!Z154=0),"",'Price History'!Z155/'Price History'!Z154-1),"")</f>
        <v>-0.00460056289240096</v>
      </c>
      <c r="AT154" s="154" t="n">
        <f aca="false">IFERROR(IF(OR(NOT(ISNUMBER('Price History'!AA155)),NOT(ISNUMBER('Price History'!AA154)),'Price History'!AA154=0),"",'Price History'!AA155/'Price History'!AA154-1),"")</f>
        <v>0.0542217426490423</v>
      </c>
      <c r="AU154" s="154" t="n">
        <f aca="false">IFERROR(IF(OR(NOT(ISNUMBER('Price History'!AB155)),NOT(ISNUMBER('Price History'!AB154)),'Price History'!AB154=0),"",'Price History'!AB155/'Price History'!AB154-1),"")</f>
        <v>0.0576213823925023</v>
      </c>
    </row>
    <row r="155" customFormat="false" ht="15" hidden="false" customHeight="true" outlineLevel="0" collapsed="false">
      <c r="A155" s="152" t="n">
        <f aca="false">IF('Price History'!A156="","",'Price History'!A156)</f>
        <v>46255</v>
      </c>
      <c r="B155" s="153" t="n">
        <f aca="false">IFERROR(IF(OR(NOT(ISNUMBER('Price History'!B156)),NOT(ISNUMBER('Price History'!B155)),'Price History'!B155=0),"",'Price History'!B156/'Price History'!B155-1),"")</f>
        <v>0.0427240360578745</v>
      </c>
      <c r="C155" s="153" t="n">
        <f aca="false">IFERROR(IF(OR(NOT(ISNUMBER('Price History'!C156)),NOT(ISNUMBER('Price History'!C155)),'Price History'!C155=0),"",'Price History'!C156/'Price History'!C155-1),"")</f>
        <v>-0.0511517955940045</v>
      </c>
      <c r="D155" s="153" t="n">
        <f aca="false">IFERROR(IF(OR(NOT(ISNUMBER('Price History'!D156)),NOT(ISNUMBER('Price History'!D155)),'Price History'!D155=0),"",'Price History'!D156/'Price History'!D155-1),"")</f>
        <v>-0.0435555941173919</v>
      </c>
      <c r="E155" s="153" t="n">
        <f aca="false">IFERROR(IF(OR(NOT(ISNUMBER('Price History'!E156)),NOT(ISNUMBER('Price History'!E155)),'Price History'!E155=0),"",'Price History'!E156/'Price History'!E155-1),"")</f>
        <v>-0.0624553890078515</v>
      </c>
      <c r="F155" s="153" t="n">
        <f aca="false">IFERROR(IF(OR(NOT(ISNUMBER('Price History'!F156)),NOT(ISNUMBER('Price History'!F155)),'Price History'!F155=0),"",'Price History'!F156/'Price History'!F155-1),"")</f>
        <v>-0.115233924867481</v>
      </c>
      <c r="G155" s="153" t="n">
        <f aca="false">IFERROR(IF(OR(NOT(ISNUMBER('Price History'!G156)),NOT(ISNUMBER('Price History'!G155)),'Price History'!G155=0),"",'Price History'!G156/'Price History'!G155-1),"")</f>
        <v>-0.095827804806133</v>
      </c>
      <c r="H155" s="153" t="n">
        <f aca="false">IFERROR(IF(OR(NOT(ISNUMBER('Price History'!H156)),NOT(ISNUMBER('Price History'!H155)),'Price History'!H155=0),"",'Price History'!H156/'Price History'!H155-1),"")</f>
        <v>-0.00502233291480558</v>
      </c>
      <c r="I155" s="153" t="n">
        <f aca="false">IFERROR(IF(OR(NOT(ISNUMBER('Price History'!I156)),NOT(ISNUMBER('Price History'!I155)),'Price History'!I155=0),"",'Price History'!I156/'Price History'!I155-1),"")</f>
        <v>-0.0463741051976346</v>
      </c>
      <c r="J155" s="153" t="n">
        <f aca="false">IFERROR(IF(OR(NOT(ISNUMBER('Price History'!J156)),NOT(ISNUMBER('Price History'!J155)),'Price History'!J155=0),"",'Price History'!J156/'Price History'!J155-1),"")</f>
        <v>0.00543167524299615</v>
      </c>
      <c r="K155" s="153" t="n">
        <f aca="false">IFERROR(IF(OR(NOT(ISNUMBER('Price History'!K156)),NOT(ISNUMBER('Price History'!K155)),'Price History'!K155=0),"",'Price History'!K156/'Price History'!K155-1),"")</f>
        <v>0.0339002528154448</v>
      </c>
      <c r="L155" s="153" t="n">
        <f aca="false">IFERROR(IF(OR(NOT(ISNUMBER('Price History'!L156)),NOT(ISNUMBER('Price History'!L155)),'Price History'!L155=0),"",'Price History'!L156/'Price History'!L155-1),"")</f>
        <v>-0.0173561299122786</v>
      </c>
      <c r="M155" s="153" t="n">
        <f aca="false">IFERROR(IF(OR(NOT(ISNUMBER('Price History'!M156)),NOT(ISNUMBER('Price History'!M155)),'Price History'!M155=0),"",'Price History'!M156/'Price History'!M155-1),"")</f>
        <v>-0.108520270960275</v>
      </c>
      <c r="N155" s="153" t="n">
        <f aca="false">IFERROR(IF(OR(NOT(ISNUMBER('Price History'!N156)),NOT(ISNUMBER('Price History'!N155)),'Price History'!N155=0),"",'Price History'!N156/'Price History'!N155-1),"")</f>
        <v>0.0836381611468116</v>
      </c>
      <c r="O155" s="153" t="n">
        <f aca="false">IFERROR(IF(OR(NOT(ISNUMBER('Price History'!O156)),NOT(ISNUMBER('Price History'!O155)),'Price History'!O155=0),"",'Price History'!O156/'Price History'!O155-1),"")</f>
        <v>-0.0176915283298261</v>
      </c>
      <c r="P155" s="153" t="n">
        <f aca="false">IFERROR(IF(OR(NOT(ISNUMBER('Price History'!P156)),NOT(ISNUMBER('Price History'!P155)),'Price History'!P155=0),"",'Price History'!P156/'Price History'!P155-1),"")</f>
        <v>-0.00852878464818763</v>
      </c>
      <c r="Q155" s="153" t="n">
        <f aca="false">IFERROR(IF(OR(NOT(ISNUMBER('Price History'!Q156)),NOT(ISNUMBER('Price History'!Q155)),'Price History'!Q155=0),"",'Price History'!Q156/'Price History'!Q155-1),"")</f>
        <v>-0.0105623751070513</v>
      </c>
      <c r="R155" s="153" t="n">
        <f aca="false">IFERROR(IF(OR(NOT(ISNUMBER('Price History'!R156)),NOT(ISNUMBER('Price History'!R155)),'Price History'!R155=0),"",'Price History'!R156/'Price History'!R155-1),"")</f>
        <v>-0.0114690504300894</v>
      </c>
      <c r="S155" s="153" t="n">
        <f aca="false">IFERROR(IF(OR(NOT(ISNUMBER('Price History'!S156)),NOT(ISNUMBER('Price History'!S155)),'Price History'!S155=0),"",'Price History'!S156/'Price History'!S155-1),"")</f>
        <v>-0.0298575721939108</v>
      </c>
      <c r="T155" s="153" t="n">
        <f aca="false">IFERROR(IF(OR(NOT(ISNUMBER('Price History'!T156)),NOT(ISNUMBER('Price History'!T155)),'Price History'!T155=0),"",'Price History'!T156/'Price History'!T155-1),"")</f>
        <v>0.0323304055316764</v>
      </c>
      <c r="U155" s="153" t="n">
        <f aca="false">IFERROR(IF(OR(NOT(ISNUMBER('Price History'!U156)),NOT(ISNUMBER('Price History'!U155)),'Price History'!U155=0),"",'Price History'!U156/'Price History'!U155-1),"")</f>
        <v>0.016934306569343</v>
      </c>
      <c r="V155" s="154" t="n">
        <f aca="false">IFERROR(IF(OR(NOT(ISNUMBER('Price History'!V156)),NOT(ISNUMBER('Price History'!V155)),'Price History'!V155=0),"",'Price History'!V156/'Price History'!V155-1),"")</f>
        <v>0.0189207744061515</v>
      </c>
      <c r="W155" s="155" t="n">
        <f aca="false">IFERROR('Price History'!B3+(INDEX('Price History'!B:B,MATCH(9.99E+307,'Returns (Calc)'!$A:$A)+1)-'Price History'!B3)*(ROW()-3)/(MATCH(9.99E+307,'Returns (Calc)'!$A:$A)-3),"")</f>
        <v>254.888490566038</v>
      </c>
      <c r="X155" s="155" t="n">
        <f aca="false">IFERROR('Price History'!C3+(INDEX('Price History'!C:C,MATCH(9.99E+307,'Returns (Calc)'!$A:$A)+1)-'Price History'!C3)*(ROW()-3)/(MATCH(9.99E+307,'Returns (Calc)'!$A:$A)-3),"")</f>
        <v>209.23106918239</v>
      </c>
      <c r="Y155" s="155" t="n">
        <f aca="false">IFERROR('Price History'!D3+(INDEX('Price History'!D:D,MATCH(9.99E+307,'Returns (Calc)'!$A:$A)+1)-'Price History'!D3)*(ROW()-3)/(MATCH(9.99E+307,'Returns (Calc)'!$A:$A)-3),"")</f>
        <v>1727.58333333333</v>
      </c>
      <c r="Z155" s="155" t="n">
        <f aca="false">IFERROR('Price History'!E3+(INDEX('Price History'!E:E,MATCH(9.99E+307,'Returns (Calc)'!$A:$A)+1)-'Price History'!E3)*(ROW()-3)/(MATCH(9.99E+307,'Returns (Calc)'!$A:$A)-3),"")</f>
        <v>349.23320754717</v>
      </c>
      <c r="AA155" s="155" t="n">
        <f aca="false">IFERROR('Price History'!F3+(INDEX('Price History'!F:F,MATCH(9.99E+307,'Returns (Calc)'!$A:$A)+1)-'Price History'!F3)*(ROW()-3)/(MATCH(9.99E+307,'Returns (Calc)'!$A:$A)-3),"")</f>
        <v>264.752201257862</v>
      </c>
      <c r="AB155" s="155" t="n">
        <f aca="false">IFERROR('Price History'!G3+(INDEX('Price History'!G:G,MATCH(9.99E+307,'Returns (Calc)'!$A:$A)+1)-'Price History'!G3)*(ROW()-3)/(MATCH(9.99E+307,'Returns (Calc)'!$A:$A)-3),"")</f>
        <v>188.91251572327</v>
      </c>
      <c r="AC155" s="155" t="n">
        <f aca="false">IFERROR('Price History'!H3+(INDEX('Price History'!H:H,MATCH(9.99E+307,'Returns (Calc)'!$A:$A)+1)-'Price History'!H3)*(ROW()-3)/(MATCH(9.99E+307,'Returns (Calc)'!$A:$A)-3),"")</f>
        <v>986.740691823899</v>
      </c>
      <c r="AD155" s="155" t="n">
        <f aca="false">IFERROR('Price History'!I3+(INDEX('Price History'!I:I,MATCH(9.99E+307,'Returns (Calc)'!$A:$A)+1)-'Price History'!I3)*(ROW()-3)/(MATCH(9.99E+307,'Returns (Calc)'!$A:$A)-3),"")</f>
        <v>221.112893081761</v>
      </c>
      <c r="AE155" s="155" t="n">
        <f aca="false">IFERROR('Price History'!J3+(INDEX('Price History'!J:J,MATCH(9.99E+307,'Returns (Calc)'!$A:$A)+1)-'Price History'!J3)*(ROW()-3)/(MATCH(9.99E+307,'Returns (Calc)'!$A:$A)-3),"")</f>
        <v>128.712955974843</v>
      </c>
      <c r="AF155" s="155" t="n">
        <f aca="false">IFERROR('Price History'!K3+(INDEX('Price History'!K:K,MATCH(9.99E+307,'Returns (Calc)'!$A:$A)+1)-'Price History'!K3)*(ROW()-3)/(MATCH(9.99E+307,'Returns (Calc)'!$A:$A)-3),"")</f>
        <v>200.521446540881</v>
      </c>
      <c r="AG155" s="155" t="n">
        <f aca="false">IFERROR('Price History'!L3+(INDEX('Price History'!L:L,MATCH(9.99E+307,'Returns (Calc)'!$A:$A)+1)-'Price History'!L3)*(ROW()-3)/(MATCH(9.99E+307,'Returns (Calc)'!$A:$A)-3),"")</f>
        <v>437.128113207547</v>
      </c>
      <c r="AH155" s="155" t="n">
        <f aca="false">IFERROR('Price History'!M3+(INDEX('Price History'!M:M,MATCH(9.99E+307,'Returns (Calc)'!$A:$A)+1)-'Price History'!M3)*(ROW()-3)/(MATCH(9.99E+307,'Returns (Calc)'!$A:$A)-3),"")</f>
        <v>233.765408805031</v>
      </c>
      <c r="AI155" s="155" t="n">
        <f aca="false">IFERROR('Price History'!N3+(INDEX('Price History'!N:N,MATCH(9.99E+307,'Returns (Calc)'!$A:$A)+1)-'Price History'!N3)*(ROW()-3)/(MATCH(9.99E+307,'Returns (Calc)'!$A:$A)-3),"")</f>
        <v>502.984025157233</v>
      </c>
      <c r="AJ155" s="155" t="n">
        <f aca="false">IFERROR('Price History'!O3+(INDEX('Price History'!O:O,MATCH(9.99E+307,'Returns (Calc)'!$A:$A)+1)-'Price History'!O3)*(ROW()-3)/(MATCH(9.99E+307,'Returns (Calc)'!$A:$A)-3),"")</f>
        <v>117.688364779874</v>
      </c>
      <c r="AK155" s="155" t="n">
        <f aca="false">IFERROR('Price History'!Q3+(INDEX('Price History'!Q:Q,MATCH(9.99E+307,'Returns (Calc)'!$A:$A)+1)-'Price History'!Q3)*(ROW()-3)/(MATCH(9.99E+307,'Returns (Calc)'!$A:$A)-3),"")</f>
        <v>66.8895597484277</v>
      </c>
      <c r="AL155" s="155" t="n">
        <f aca="false">IFERROR('Price History'!R3+(INDEX('Price History'!R:R,MATCH(9.99E+307,'Returns (Calc)'!$A:$A)+1)-'Price History'!R3)*(ROW()-3)/(MATCH(9.99E+307,'Returns (Calc)'!$A:$A)-3),"")</f>
        <v>59.9184905660377</v>
      </c>
      <c r="AM155" s="155" t="n">
        <f aca="false">IFERROR('Price History'!S3+(INDEX('Price History'!S:S,MATCH(9.99E+307,'Returns (Calc)'!$A:$A)+1)-'Price History'!S3)*(ROW()-3)/(MATCH(9.99E+307,'Returns (Calc)'!$A:$A)-3),"")</f>
        <v>147.042327044025</v>
      </c>
      <c r="AN155" s="155" t="n">
        <f aca="false">IFERROR('Price History'!T3+(INDEX('Price History'!T:T,MATCH(9.99E+307,'Returns (Calc)'!$A:$A)+1)-'Price History'!T3)*(ROW()-3)/(MATCH(9.99E+307,'Returns (Calc)'!$A:$A)-3),"")</f>
        <v>51.6227044025157</v>
      </c>
      <c r="AO155" s="156" t="n">
        <f aca="false">IFERROR('Price History'!V3+(INDEX('Price History'!V:V,MATCH(9.99E+307,'Returns (Calc)'!$A:$A)+1)-'Price History'!V3)*(ROW()-3)/(MATCH(9.99E+307,'Returns (Calc)'!$A:$A)-3),"")</f>
        <v>378.854150943396</v>
      </c>
      <c r="AP155" s="154" t="n">
        <f aca="false">IFERROR(IF(OR(NOT(ISNUMBER('Price History'!W156)),NOT(ISNUMBER('Price History'!W155)),'Price History'!W155=0),"",'Price History'!W156/'Price History'!W155-1),"")</f>
        <v>-0.00929951690821251</v>
      </c>
      <c r="AQ155" s="154" t="n">
        <f aca="false">IFERROR(IF(OR(NOT(ISNUMBER('Price History'!X156)),NOT(ISNUMBER('Price History'!X155)),'Price History'!X155=0),"",'Price History'!X156/'Price History'!X155-1),"")</f>
        <v>-0.00967441860465124</v>
      </c>
      <c r="AR155" s="154" t="n">
        <f aca="false">IFERROR(IF(OR(NOT(ISNUMBER('Price History'!Y156)),NOT(ISNUMBER('Price History'!Y155)),'Price History'!Y155=0),"",'Price History'!Y156/'Price History'!Y155-1),"")</f>
        <v>-0.00174520069808015</v>
      </c>
      <c r="AS155" s="154" t="n">
        <f aca="false">IFERROR(IF(OR(NOT(ISNUMBER('Price History'!Z156)),NOT(ISNUMBER('Price History'!Z155)),'Price History'!Z155=0),"",'Price History'!Z156/'Price History'!Z155-1),"")</f>
        <v>-0.0543200478494916</v>
      </c>
      <c r="AT155" s="154" t="n">
        <f aca="false">IFERROR(IF(OR(NOT(ISNUMBER('Price History'!AA156)),NOT(ISNUMBER('Price History'!AA155)),'Price History'!AA155=0),"",'Price History'!AA156/'Price History'!AA155-1),"")</f>
        <v>0.0182958034800411</v>
      </c>
      <c r="AU155" s="154" t="n">
        <f aca="false">IFERROR(IF(OR(NOT(ISNUMBER('Price History'!AB156)),NOT(ISNUMBER('Price History'!AB155)),'Price History'!AB155=0),"",'Price History'!AB156/'Price History'!AB155-1),"")</f>
        <v>0.0170256410256411</v>
      </c>
    </row>
    <row r="156" customFormat="false" ht="15" hidden="false" customHeight="true" outlineLevel="0" collapsed="false">
      <c r="A156" s="152" t="n">
        <f aca="false">IF('Price History'!A157="","",'Price History'!A157)</f>
        <v>46262</v>
      </c>
      <c r="B156" s="153" t="n">
        <f aca="false">IFERROR(IF(OR(NOT(ISNUMBER('Price History'!B157)),NOT(ISNUMBER('Price History'!B156)),'Price History'!B156=0),"",'Price History'!B157/'Price History'!B156-1),"")</f>
        <v>0.0589175444969123</v>
      </c>
      <c r="C156" s="153" t="n">
        <f aca="false">IFERROR(IF(OR(NOT(ISNUMBER('Price History'!C157)),NOT(ISNUMBER('Price History'!C156)),'Price History'!C156=0),"",'Price History'!C157/'Price History'!C156-1),"")</f>
        <v>0.0356745295520806</v>
      </c>
      <c r="D156" s="153" t="n">
        <f aca="false">IFERROR(IF(OR(NOT(ISNUMBER('Price History'!D157)),NOT(ISNUMBER('Price History'!D156)),'Price History'!D156=0),"",'Price History'!D157/'Price History'!D156-1),"")</f>
        <v>-0.0383272100512541</v>
      </c>
      <c r="E156" s="153" t="n">
        <f aca="false">IFERROR(IF(OR(NOT(ISNUMBER('Price History'!E157)),NOT(ISNUMBER('Price History'!E156)),'Price History'!E156=0),"",'Price History'!E157/'Price History'!E156-1),"")</f>
        <v>0.000924465713198153</v>
      </c>
      <c r="F156" s="153" t="n">
        <f aca="false">IFERROR(IF(OR(NOT(ISNUMBER('Price History'!F157)),NOT(ISNUMBER('Price History'!F156)),'Price History'!F156=0),"",'Price History'!F157/'Price History'!F156-1),"")</f>
        <v>0.137796301120083</v>
      </c>
      <c r="G156" s="153" t="n">
        <f aca="false">IFERROR(IF(OR(NOT(ISNUMBER('Price History'!G157)),NOT(ISNUMBER('Price History'!G156)),'Price History'!G156=0),"",'Price History'!G157/'Price History'!G156-1),"")</f>
        <v>-0.0459264090439698</v>
      </c>
      <c r="H156" s="153" t="n">
        <f aca="false">IFERROR(IF(OR(NOT(ISNUMBER('Price History'!H157)),NOT(ISNUMBER('Price History'!H156)),'Price History'!H156=0),"",'Price History'!H157/'Price History'!H156-1),"")</f>
        <v>-0.0350855416951116</v>
      </c>
      <c r="I156" s="153" t="n">
        <f aca="false">IFERROR(IF(OR(NOT(ISNUMBER('Price History'!I157)),NOT(ISNUMBER('Price History'!I156)),'Price History'!I156=0),"",'Price History'!I157/'Price History'!I156-1),"")</f>
        <v>0.0131947034688549</v>
      </c>
      <c r="J156" s="153" t="n">
        <f aca="false">IFERROR(IF(OR(NOT(ISNUMBER('Price History'!J157)),NOT(ISNUMBER('Price History'!J156)),'Price History'!J156=0),"",'Price History'!J157/'Price History'!J156-1),"")</f>
        <v>-0.00774808075063982</v>
      </c>
      <c r="K156" s="153" t="n">
        <f aca="false">IFERROR(IF(OR(NOT(ISNUMBER('Price History'!K157)),NOT(ISNUMBER('Price History'!K156)),'Price History'!K156=0),"",'Price History'!K157/'Price History'!K156-1),"")</f>
        <v>0.0352895409580971</v>
      </c>
      <c r="L156" s="153" t="n">
        <f aca="false">IFERROR(IF(OR(NOT(ISNUMBER('Price History'!L157)),NOT(ISNUMBER('Price History'!L156)),'Price History'!L156=0),"",'Price History'!L157/'Price History'!L156-1),"")</f>
        <v>-0.00342244453485874</v>
      </c>
      <c r="M156" s="153" t="n">
        <f aca="false">IFERROR(IF(OR(NOT(ISNUMBER('Price History'!M157)),NOT(ISNUMBER('Price History'!M156)),'Price History'!M156=0),"",'Price History'!M157/'Price History'!M156-1),"")</f>
        <v>-0.0185955935698194</v>
      </c>
      <c r="N156" s="153" t="n">
        <f aca="false">IFERROR(IF(OR(NOT(ISNUMBER('Price History'!N157)),NOT(ISNUMBER('Price History'!N156)),'Price History'!N156=0),"",'Price History'!N157/'Price History'!N156-1),"")</f>
        <v>-0.0116047805857128</v>
      </c>
      <c r="O156" s="153" t="n">
        <f aca="false">IFERROR(IF(OR(NOT(ISNUMBER('Price History'!O157)),NOT(ISNUMBER('Price History'!O156)),'Price History'!O156=0),"",'Price History'!O157/'Price History'!O156-1),"")</f>
        <v>-0.00698191050460184</v>
      </c>
      <c r="P156" s="153" t="n">
        <f aca="false">IFERROR(IF(OR(NOT(ISNUMBER('Price History'!P157)),NOT(ISNUMBER('Price History'!P156)),'Price History'!P156=0),"",'Price History'!P157/'Price History'!P156-1),"")</f>
        <v>-0.00178187403993846</v>
      </c>
      <c r="Q156" s="153" t="n">
        <f aca="false">IFERROR(IF(OR(NOT(ISNUMBER('Price History'!Q157)),NOT(ISNUMBER('Price History'!Q156)),'Price History'!Q156=0),"",'Price History'!Q157/'Price History'!Q156-1),"")</f>
        <v>0.0040392383150607</v>
      </c>
      <c r="R156" s="153" t="n">
        <f aca="false">IFERROR(IF(OR(NOT(ISNUMBER('Price History'!R157)),NOT(ISNUMBER('Price History'!R156)),'Price History'!R156=0),"",'Price History'!R157/'Price History'!R156-1),"")</f>
        <v>0.00528919979525688</v>
      </c>
      <c r="S156" s="153" t="n">
        <f aca="false">IFERROR(IF(OR(NOT(ISNUMBER('Price History'!S157)),NOT(ISNUMBER('Price History'!S156)),'Price History'!S156=0),"",'Price History'!S157/'Price History'!S156-1),"")</f>
        <v>-0.0131321974543741</v>
      </c>
      <c r="T156" s="153" t="n">
        <f aca="false">IFERROR(IF(OR(NOT(ISNUMBER('Price History'!T157)),NOT(ISNUMBER('Price History'!T156)),'Price History'!T156=0),"",'Price History'!T157/'Price History'!T156-1),"")</f>
        <v>0.00380159304851557</v>
      </c>
      <c r="U156" s="153" t="n">
        <f aca="false">IFERROR(IF(OR(NOT(ISNUMBER('Price History'!U157)),NOT(ISNUMBER('Price History'!U156)),'Price History'!U156=0),"",'Price History'!U157/'Price History'!U156-1),"")</f>
        <v>-0.00602928509905254</v>
      </c>
      <c r="V156" s="154" t="n">
        <f aca="false">IFERROR(IF(OR(NOT(ISNUMBER('Price History'!V157)),NOT(ISNUMBER('Price History'!V156)),'Price History'!V156=0),"",'Price History'!V157/'Price History'!V156-1),"")</f>
        <v>0.0284605433376455</v>
      </c>
      <c r="W156" s="155" t="n">
        <f aca="false">IFERROR('Price History'!B3+(INDEX('Price History'!B:B,MATCH(9.99E+307,'Returns (Calc)'!$A:$A)+1)-'Price History'!B3)*(ROW()-3)/(MATCH(9.99E+307,'Returns (Calc)'!$A:$A)-3),"")</f>
        <v>253.085849056604</v>
      </c>
      <c r="X156" s="155" t="n">
        <f aca="false">IFERROR('Price History'!C3+(INDEX('Price History'!C:C,MATCH(9.99E+307,'Returns (Calc)'!$A:$A)+1)-'Price History'!C3)*(ROW()-3)/(MATCH(9.99E+307,'Returns (Calc)'!$A:$A)-3),"")</f>
        <v>210.303773584906</v>
      </c>
      <c r="Y156" s="155" t="n">
        <f aca="false">IFERROR('Price History'!D3+(INDEX('Price History'!D:D,MATCH(9.99E+307,'Returns (Calc)'!$A:$A)+1)-'Price History'!D3)*(ROW()-3)/(MATCH(9.99E+307,'Returns (Calc)'!$A:$A)-3),"")</f>
        <v>1735.12</v>
      </c>
      <c r="Z156" s="155" t="n">
        <f aca="false">IFERROR('Price History'!E3+(INDEX('Price History'!E:E,MATCH(9.99E+307,'Returns (Calc)'!$A:$A)+1)-'Price History'!E3)*(ROW()-3)/(MATCH(9.99E+307,'Returns (Calc)'!$A:$A)-3),"")</f>
        <v>350.991320754717</v>
      </c>
      <c r="AA156" s="155" t="n">
        <f aca="false">IFERROR('Price History'!F3+(INDEX('Price History'!F:F,MATCH(9.99E+307,'Returns (Calc)'!$A:$A)+1)-'Price History'!F3)*(ROW()-3)/(MATCH(9.99E+307,'Returns (Calc)'!$A:$A)-3),"")</f>
        <v>266.221886792453</v>
      </c>
      <c r="AB156" s="155" t="n">
        <f aca="false">IFERROR('Price History'!G3+(INDEX('Price History'!G:G,MATCH(9.99E+307,'Returns (Calc)'!$A:$A)+1)-'Price History'!G3)*(ROW()-3)/(MATCH(9.99E+307,'Returns (Calc)'!$A:$A)-3),"")</f>
        <v>189.86358490566</v>
      </c>
      <c r="AC156" s="155" t="n">
        <f aca="false">IFERROR('Price History'!H3+(INDEX('Price History'!H:H,MATCH(9.99E+307,'Returns (Calc)'!$A:$A)+1)-'Price History'!H3)*(ROW()-3)/(MATCH(9.99E+307,'Returns (Calc)'!$A:$A)-3),"")</f>
        <v>992.777735849057</v>
      </c>
      <c r="AD156" s="155" t="n">
        <f aca="false">IFERROR('Price History'!I3+(INDEX('Price History'!I:I,MATCH(9.99E+307,'Returns (Calc)'!$A:$A)+1)-'Price History'!I3)*(ROW()-3)/(MATCH(9.99E+307,'Returns (Calc)'!$A:$A)-3),"")</f>
        <v>222.279622641509</v>
      </c>
      <c r="AE156" s="155" t="n">
        <f aca="false">IFERROR('Price History'!J3+(INDEX('Price History'!J:J,MATCH(9.99E+307,'Returns (Calc)'!$A:$A)+1)-'Price History'!J3)*(ROW()-3)/(MATCH(9.99E+307,'Returns (Calc)'!$A:$A)-3),"")</f>
        <v>128.823962264151</v>
      </c>
      <c r="AF156" s="155" t="n">
        <f aca="false">IFERROR('Price History'!K3+(INDEX('Price History'!K:K,MATCH(9.99E+307,'Returns (Calc)'!$A:$A)+1)-'Price History'!K3)*(ROW()-3)/(MATCH(9.99E+307,'Returns (Calc)'!$A:$A)-3),"")</f>
        <v>201.739811320755</v>
      </c>
      <c r="AG156" s="155" t="n">
        <f aca="false">IFERROR('Price History'!L3+(INDEX('Price History'!L:L,MATCH(9.99E+307,'Returns (Calc)'!$A:$A)+1)-'Price History'!L3)*(ROW()-3)/(MATCH(9.99E+307,'Returns (Calc)'!$A:$A)-3),"")</f>
        <v>439.439811320755</v>
      </c>
      <c r="AH156" s="155" t="n">
        <f aca="false">IFERROR('Price History'!M3+(INDEX('Price History'!M:M,MATCH(9.99E+307,'Returns (Calc)'!$A:$A)+1)-'Price History'!M3)*(ROW()-3)/(MATCH(9.99E+307,'Returns (Calc)'!$A:$A)-3),"")</f>
        <v>235.05320754717</v>
      </c>
      <c r="AI156" s="155" t="n">
        <f aca="false">IFERROR('Price History'!N3+(INDEX('Price History'!N:N,MATCH(9.99E+307,'Returns (Calc)'!$A:$A)+1)-'Price History'!N3)*(ROW()-3)/(MATCH(9.99E+307,'Returns (Calc)'!$A:$A)-3),"")</f>
        <v>503.997735849057</v>
      </c>
      <c r="AJ156" s="155" t="n">
        <f aca="false">IFERROR('Price History'!O3+(INDEX('Price History'!O:O,MATCH(9.99E+307,'Returns (Calc)'!$A:$A)+1)-'Price History'!O3)*(ROW()-3)/(MATCH(9.99E+307,'Returns (Calc)'!$A:$A)-3),"")</f>
        <v>117.967169811321</v>
      </c>
      <c r="AK156" s="155" t="n">
        <f aca="false">IFERROR('Price History'!Q3+(INDEX('Price History'!Q:Q,MATCH(9.99E+307,'Returns (Calc)'!$A:$A)+1)-'Price History'!Q3)*(ROW()-3)/(MATCH(9.99E+307,'Returns (Calc)'!$A:$A)-3),"")</f>
        <v>67.3296226415094</v>
      </c>
      <c r="AL156" s="155" t="n">
        <f aca="false">IFERROR('Price History'!R3+(INDEX('Price History'!R:R,MATCH(9.99E+307,'Returns (Calc)'!$A:$A)+1)-'Price History'!R3)*(ROW()-3)/(MATCH(9.99E+307,'Returns (Calc)'!$A:$A)-3),"")</f>
        <v>60.0858490566038</v>
      </c>
      <c r="AM156" s="155" t="n">
        <f aca="false">IFERROR('Price History'!S3+(INDEX('Price History'!S:S,MATCH(9.99E+307,'Returns (Calc)'!$A:$A)+1)-'Price History'!S3)*(ROW()-3)/(MATCH(9.99E+307,'Returns (Calc)'!$A:$A)-3),"")</f>
        <v>147.630566037736</v>
      </c>
      <c r="AN156" s="155" t="n">
        <f aca="false">IFERROR('Price History'!T3+(INDEX('Price History'!T:T,MATCH(9.99E+307,'Returns (Calc)'!$A:$A)+1)-'Price History'!T3)*(ROW()-3)/(MATCH(9.99E+307,'Returns (Calc)'!$A:$A)-3),"")</f>
        <v>51.7966037735849</v>
      </c>
      <c r="AO156" s="156" t="n">
        <f aca="false">IFERROR('Price History'!V3+(INDEX('Price History'!V:V,MATCH(9.99E+307,'Returns (Calc)'!$A:$A)+1)-'Price History'!V3)*(ROW()-3)/(MATCH(9.99E+307,'Returns (Calc)'!$A:$A)-3),"")</f>
        <v>379.79641509434</v>
      </c>
      <c r="AP156" s="154" t="n">
        <f aca="false">IFERROR(IF(OR(NOT(ISNUMBER('Price History'!W157)),NOT(ISNUMBER('Price History'!W156)),'Price History'!W156=0),"",'Price History'!W157/'Price History'!W156-1),"")</f>
        <v>-0.0043886383030598</v>
      </c>
      <c r="AQ156" s="154" t="n">
        <f aca="false">IFERROR(IF(OR(NOT(ISNUMBER('Price History'!X157)),NOT(ISNUMBER('Price History'!X156)),'Price History'!X156=0),"",'Price History'!X157/'Price History'!X156-1),"")</f>
        <v>0.00770242344542549</v>
      </c>
      <c r="AR156" s="154" t="n">
        <f aca="false">IFERROR(IF(OR(NOT(ISNUMBER('Price History'!Y157)),NOT(ISNUMBER('Price History'!Y156)),'Price History'!Y156=0),"",'Price History'!Y157/'Price History'!Y156-1),"")</f>
        <v>-0.00227272727272732</v>
      </c>
      <c r="AS156" s="154" t="n">
        <f aca="false">IFERROR(IF(OR(NOT(ISNUMBER('Price History'!Z157)),NOT(ISNUMBER('Price History'!Z156)),'Price History'!Z156=0),"",'Price History'!Z157/'Price History'!Z156-1),"")</f>
        <v>-0.0166168353265869</v>
      </c>
      <c r="AT156" s="154" t="n">
        <f aca="false">IFERROR(IF(OR(NOT(ISNUMBER('Price History'!AA157)),NOT(ISNUMBER('Price History'!AA156)),'Price History'!AA156=0),"",'Price History'!AA157/'Price History'!AA156-1),"")</f>
        <v>0.0267621560497549</v>
      </c>
      <c r="AU156" s="154" t="n">
        <f aca="false">IFERROR(IF(OR(NOT(ISNUMBER('Price History'!AB157)),NOT(ISNUMBER('Price History'!AB156)),'Price History'!AB156=0),"",'Price History'!AB157/'Price History'!AB156-1),"")</f>
        <v>0.116135538523598</v>
      </c>
    </row>
    <row r="157" customFormat="false" ht="15" hidden="false" customHeight="true" outlineLevel="0" collapsed="false">
      <c r="A157" s="152" t="n">
        <f aca="false">IF('Price History'!A158="","",'Price History'!A158)</f>
        <v>46269</v>
      </c>
      <c r="B157" s="153" t="n">
        <f aca="false">IFERROR(IF(OR(NOT(ISNUMBER('Price History'!B158)),NOT(ISNUMBER('Price History'!B157)),'Price History'!B157=0),"",'Price History'!B158/'Price History'!B157-1),"")</f>
        <v>-0.0857917124039517</v>
      </c>
      <c r="C157" s="153" t="n">
        <f aca="false">IFERROR(IF(OR(NOT(ISNUMBER('Price History'!C158)),NOT(ISNUMBER('Price History'!C157)),'Price History'!C157=0),"",'Price History'!C158/'Price History'!C157-1),"")</f>
        <v>-0.00818916982290918</v>
      </c>
      <c r="D157" s="153" t="n">
        <f aca="false">IFERROR(IF(OR(NOT(ISNUMBER('Price History'!D158)),NOT(ISNUMBER('Price History'!D157)),'Price History'!D157=0),"",'Price History'!D158/'Price History'!D157-1),"")</f>
        <v>0.011036694651448</v>
      </c>
      <c r="E157" s="153" t="n">
        <f aca="false">IFERROR(IF(OR(NOT(ISNUMBER('Price History'!E158)),NOT(ISNUMBER('Price History'!E157)),'Price History'!E157=0),"",'Price History'!E158/'Price History'!E157-1),"")</f>
        <v>-0.0295284146473976</v>
      </c>
      <c r="F157" s="153" t="n">
        <f aca="false">IFERROR(IF(OR(NOT(ISNUMBER('Price History'!F158)),NOT(ISNUMBER('Price History'!F157)),'Price History'!F157=0),"",'Price History'!F158/'Price History'!F157-1),"")</f>
        <v>-0.0242673992673993</v>
      </c>
      <c r="G157" s="153" t="n">
        <f aca="false">IFERROR(IF(OR(NOT(ISNUMBER('Price History'!G158)),NOT(ISNUMBER('Price History'!G157)),'Price History'!G157=0),"",'Price History'!G158/'Price History'!G157-1),"")</f>
        <v>0.0573088754699784</v>
      </c>
      <c r="H157" s="153" t="n">
        <f aca="false">IFERROR(IF(OR(NOT(ISNUMBER('Price History'!H158)),NOT(ISNUMBER('Price History'!H157)),'Price History'!H157=0),"",'Price History'!H158/'Price History'!H157-1),"")</f>
        <v>0.0897562335184272</v>
      </c>
      <c r="I157" s="153" t="n">
        <f aca="false">IFERROR(IF(OR(NOT(ISNUMBER('Price History'!I158)),NOT(ISNUMBER('Price History'!I157)),'Price History'!I157=0),"",'Price History'!I158/'Price History'!I157-1),"")</f>
        <v>0.0588560121485435</v>
      </c>
      <c r="J157" s="153" t="n">
        <f aca="false">IFERROR(IF(OR(NOT(ISNUMBER('Price History'!J158)),NOT(ISNUMBER('Price History'!J157)),'Price History'!J157=0),"",'Price History'!J158/'Price History'!J157-1),"")</f>
        <v>-0.0238555770470665</v>
      </c>
      <c r="K157" s="153" t="n">
        <f aca="false">IFERROR(IF(OR(NOT(ISNUMBER('Price History'!K158)),NOT(ISNUMBER('Price History'!K157)),'Price History'!K157=0),"",'Price History'!K158/'Price History'!K157-1),"")</f>
        <v>-0.0642009769713886</v>
      </c>
      <c r="L157" s="153" t="n">
        <f aca="false">IFERROR(IF(OR(NOT(ISNUMBER('Price History'!L158)),NOT(ISNUMBER('Price History'!L157)),'Price History'!L157=0),"",'Price History'!L158/'Price History'!L157-1),"")</f>
        <v>0.0272814601344862</v>
      </c>
      <c r="M157" s="153" t="n">
        <f aca="false">IFERROR(IF(OR(NOT(ISNUMBER('Price History'!M158)),NOT(ISNUMBER('Price History'!M157)),'Price History'!M157=0),"",'Price History'!M158/'Price History'!M157-1),"")</f>
        <v>0.0911991284724925</v>
      </c>
      <c r="N157" s="153" t="n">
        <f aca="false">IFERROR(IF(OR(NOT(ISNUMBER('Price History'!N158)),NOT(ISNUMBER('Price History'!N157)),'Price History'!N157=0),"",'Price History'!N158/'Price History'!N157-1),"")</f>
        <v>0.0081781092506783</v>
      </c>
      <c r="O157" s="153" t="n">
        <f aca="false">IFERROR(IF(OR(NOT(ISNUMBER('Price History'!O158)),NOT(ISNUMBER('Price History'!O157)),'Price History'!O157=0),"",'Price History'!O158/'Price History'!O157-1),"")</f>
        <v>0.0108660914030041</v>
      </c>
      <c r="P157" s="153" t="n">
        <f aca="false">IFERROR(IF(OR(NOT(ISNUMBER('Price History'!P158)),NOT(ISNUMBER('Price History'!P157)),'Price History'!P157=0),"",'Price History'!P158/'Price History'!P157-1),"")</f>
        <v>0.00276991259386916</v>
      </c>
      <c r="Q157" s="153" t="n">
        <f aca="false">IFERROR(IF(OR(NOT(ISNUMBER('Price History'!Q158)),NOT(ISNUMBER('Price History'!Q157)),'Price History'!Q157=0),"",'Price History'!Q158/'Price History'!Q157-1),"")</f>
        <v>0.000431034482758719</v>
      </c>
      <c r="R157" s="153" t="n">
        <f aca="false">IFERROR(IF(OR(NOT(ISNUMBER('Price History'!R158)),NOT(ISNUMBER('Price History'!R157)),'Price History'!R157=0),"",'Price History'!R158/'Price History'!R157-1),"")</f>
        <v>0.00678886625933473</v>
      </c>
      <c r="S157" s="153" t="n">
        <f aca="false">IFERROR(IF(OR(NOT(ISNUMBER('Price History'!S158)),NOT(ISNUMBER('Price History'!S157)),'Price History'!S157=0),"",'Price History'!S158/'Price History'!S157-1),"")</f>
        <v>0.0200627814931076</v>
      </c>
      <c r="T157" s="153" t="n">
        <f aca="false">IFERROR(IF(OR(NOT(ISNUMBER('Price History'!T158)),NOT(ISNUMBER('Price History'!T157)),'Price History'!T157=0),"",'Price History'!T158/'Price History'!T157-1),"")</f>
        <v>-0.00667267808836802</v>
      </c>
      <c r="U157" s="153" t="n">
        <f aca="false">IFERROR(IF(OR(NOT(ISNUMBER('Price History'!U158)),NOT(ISNUMBER('Price History'!U157)),'Price History'!U157=0),"",'Price History'!U158/'Price History'!U157-1),"")</f>
        <v>-0.00288850375505467</v>
      </c>
      <c r="V157" s="154" t="n">
        <f aca="false">IFERROR(IF(OR(NOT(ISNUMBER('Price History'!V158)),NOT(ISNUMBER('Price History'!V157)),'Price History'!V157=0),"",'Price History'!V158/'Price History'!V157-1),"")</f>
        <v>-0.0171121593291406</v>
      </c>
      <c r="W157" s="155" t="n">
        <f aca="false">IFERROR('Price History'!B3+(INDEX('Price History'!B:B,MATCH(9.99E+307,'Returns (Calc)'!$A:$A)+1)-'Price History'!B3)*(ROW()-3)/(MATCH(9.99E+307,'Returns (Calc)'!$A:$A)-3),"")</f>
        <v>251.28320754717</v>
      </c>
      <c r="X157" s="155" t="n">
        <f aca="false">IFERROR('Price History'!C3+(INDEX('Price History'!C:C,MATCH(9.99E+307,'Returns (Calc)'!$A:$A)+1)-'Price History'!C3)*(ROW()-3)/(MATCH(9.99E+307,'Returns (Calc)'!$A:$A)-3),"")</f>
        <v>211.376477987421</v>
      </c>
      <c r="Y157" s="155" t="n">
        <f aca="false">IFERROR('Price History'!D3+(INDEX('Price History'!D:D,MATCH(9.99E+307,'Returns (Calc)'!$A:$A)+1)-'Price History'!D3)*(ROW()-3)/(MATCH(9.99E+307,'Returns (Calc)'!$A:$A)-3),"")</f>
        <v>1742.65666666667</v>
      </c>
      <c r="Z157" s="155" t="n">
        <f aca="false">IFERROR('Price History'!E3+(INDEX('Price History'!E:E,MATCH(9.99E+307,'Returns (Calc)'!$A:$A)+1)-'Price History'!E3)*(ROW()-3)/(MATCH(9.99E+307,'Returns (Calc)'!$A:$A)-3),"")</f>
        <v>352.749433962264</v>
      </c>
      <c r="AA157" s="155" t="n">
        <f aca="false">IFERROR('Price History'!F3+(INDEX('Price History'!F:F,MATCH(9.99E+307,'Returns (Calc)'!$A:$A)+1)-'Price History'!F3)*(ROW()-3)/(MATCH(9.99E+307,'Returns (Calc)'!$A:$A)-3),"")</f>
        <v>267.691572327044</v>
      </c>
      <c r="AB157" s="155" t="n">
        <f aca="false">IFERROR('Price History'!G3+(INDEX('Price History'!G:G,MATCH(9.99E+307,'Returns (Calc)'!$A:$A)+1)-'Price History'!G3)*(ROW()-3)/(MATCH(9.99E+307,'Returns (Calc)'!$A:$A)-3),"")</f>
        <v>190.81465408805</v>
      </c>
      <c r="AC157" s="155" t="n">
        <f aca="false">IFERROR('Price History'!H3+(INDEX('Price History'!H:H,MATCH(9.99E+307,'Returns (Calc)'!$A:$A)+1)-'Price History'!H3)*(ROW()-3)/(MATCH(9.99E+307,'Returns (Calc)'!$A:$A)-3),"")</f>
        <v>998.814779874214</v>
      </c>
      <c r="AD157" s="155" t="n">
        <f aca="false">IFERROR('Price History'!I3+(INDEX('Price History'!I:I,MATCH(9.99E+307,'Returns (Calc)'!$A:$A)+1)-'Price History'!I3)*(ROW()-3)/(MATCH(9.99E+307,'Returns (Calc)'!$A:$A)-3),"")</f>
        <v>223.446352201258</v>
      </c>
      <c r="AE157" s="155" t="n">
        <f aca="false">IFERROR('Price History'!J3+(INDEX('Price History'!J:J,MATCH(9.99E+307,'Returns (Calc)'!$A:$A)+1)-'Price History'!J3)*(ROW()-3)/(MATCH(9.99E+307,'Returns (Calc)'!$A:$A)-3),"")</f>
        <v>128.934968553459</v>
      </c>
      <c r="AF157" s="155" t="n">
        <f aca="false">IFERROR('Price History'!K3+(INDEX('Price History'!K:K,MATCH(9.99E+307,'Returns (Calc)'!$A:$A)+1)-'Price History'!K3)*(ROW()-3)/(MATCH(9.99E+307,'Returns (Calc)'!$A:$A)-3),"")</f>
        <v>202.958176100629</v>
      </c>
      <c r="AG157" s="155" t="n">
        <f aca="false">IFERROR('Price History'!L3+(INDEX('Price History'!L:L,MATCH(9.99E+307,'Returns (Calc)'!$A:$A)+1)-'Price History'!L3)*(ROW()-3)/(MATCH(9.99E+307,'Returns (Calc)'!$A:$A)-3),"")</f>
        <v>441.751509433962</v>
      </c>
      <c r="AH157" s="155" t="n">
        <f aca="false">IFERROR('Price History'!M3+(INDEX('Price History'!M:M,MATCH(9.99E+307,'Returns (Calc)'!$A:$A)+1)-'Price History'!M3)*(ROW()-3)/(MATCH(9.99E+307,'Returns (Calc)'!$A:$A)-3),"")</f>
        <v>236.341006289308</v>
      </c>
      <c r="AI157" s="155" t="n">
        <f aca="false">IFERROR('Price History'!N3+(INDEX('Price History'!N:N,MATCH(9.99E+307,'Returns (Calc)'!$A:$A)+1)-'Price History'!N3)*(ROW()-3)/(MATCH(9.99E+307,'Returns (Calc)'!$A:$A)-3),"")</f>
        <v>505.01144654088</v>
      </c>
      <c r="AJ157" s="155" t="n">
        <f aca="false">IFERROR('Price History'!O3+(INDEX('Price History'!O:O,MATCH(9.99E+307,'Returns (Calc)'!$A:$A)+1)-'Price History'!O3)*(ROW()-3)/(MATCH(9.99E+307,'Returns (Calc)'!$A:$A)-3),"")</f>
        <v>118.245974842767</v>
      </c>
      <c r="AK157" s="155" t="n">
        <f aca="false">IFERROR('Price History'!Q3+(INDEX('Price History'!Q:Q,MATCH(9.99E+307,'Returns (Calc)'!$A:$A)+1)-'Price History'!Q3)*(ROW()-3)/(MATCH(9.99E+307,'Returns (Calc)'!$A:$A)-3),"")</f>
        <v>67.7696855345912</v>
      </c>
      <c r="AL157" s="155" t="n">
        <f aca="false">IFERROR('Price History'!R3+(INDEX('Price History'!R:R,MATCH(9.99E+307,'Returns (Calc)'!$A:$A)+1)-'Price History'!R3)*(ROW()-3)/(MATCH(9.99E+307,'Returns (Calc)'!$A:$A)-3),"")</f>
        <v>60.2532075471698</v>
      </c>
      <c r="AM157" s="155" t="n">
        <f aca="false">IFERROR('Price History'!S3+(INDEX('Price History'!S:S,MATCH(9.99E+307,'Returns (Calc)'!$A:$A)+1)-'Price History'!S3)*(ROW()-3)/(MATCH(9.99E+307,'Returns (Calc)'!$A:$A)-3),"")</f>
        <v>148.218805031447</v>
      </c>
      <c r="AN157" s="155" t="n">
        <f aca="false">IFERROR('Price History'!T3+(INDEX('Price History'!T:T,MATCH(9.99E+307,'Returns (Calc)'!$A:$A)+1)-'Price History'!T3)*(ROW()-3)/(MATCH(9.99E+307,'Returns (Calc)'!$A:$A)-3),"")</f>
        <v>51.9705031446541</v>
      </c>
      <c r="AO157" s="156" t="n">
        <f aca="false">IFERROR('Price History'!V3+(INDEX('Price History'!V:V,MATCH(9.99E+307,'Returns (Calc)'!$A:$A)+1)-'Price History'!V3)*(ROW()-3)/(MATCH(9.99E+307,'Returns (Calc)'!$A:$A)-3),"")</f>
        <v>380.738679245283</v>
      </c>
      <c r="AP157" s="154" t="n">
        <f aca="false">IFERROR(IF(OR(NOT(ISNUMBER('Price History'!W158)),NOT(ISNUMBER('Price History'!W157)),'Price History'!W157=0),"",'Price History'!W158/'Price History'!W157-1),"")</f>
        <v>-0.000122443981878329</v>
      </c>
      <c r="AQ157" s="154" t="n">
        <f aca="false">IFERROR(IF(OR(NOT(ISNUMBER('Price History'!X158)),NOT(ISNUMBER('Price History'!X157)),'Price History'!X157=0),"",'Price History'!X158/'Price History'!X157-1),"")</f>
        <v>0.00652498135719615</v>
      </c>
      <c r="AR157" s="154" t="n">
        <f aca="false">IFERROR(IF(OR(NOT(ISNUMBER('Price History'!Y158)),NOT(ISNUMBER('Price History'!Y157)),'Price History'!Y157=0),"",'Price History'!Y158/'Price History'!Y157-1),"")</f>
        <v>-0.00350446819695116</v>
      </c>
      <c r="AS157" s="154" t="n">
        <f aca="false">IFERROR(IF(OR(NOT(ISNUMBER('Price History'!Z158)),NOT(ISNUMBER('Price History'!Z157)),'Price History'!Z157=0),"",'Price History'!Z158/'Price History'!Z157-1),"")</f>
        <v>-0.015932877272993</v>
      </c>
      <c r="AT157" s="154" t="n">
        <f aca="false">IFERROR(IF(OR(NOT(ISNUMBER('Price History'!AA158)),NOT(ISNUMBER('Price History'!AA157)),'Price History'!AA157=0),"",'Price History'!AA158/'Price History'!AA157-1),"")</f>
        <v>-0.0424620655898189</v>
      </c>
      <c r="AU157" s="154" t="n">
        <f aca="false">IFERROR(IF(OR(NOT(ISNUMBER('Price History'!AB158)),NOT(ISNUMBER('Price History'!AB157)),'Price History'!AB157=0),"",'Price History'!AB158/'Price History'!AB157-1),"")</f>
        <v>-0.00578264483718249</v>
      </c>
    </row>
    <row r="158" customFormat="false" ht="15" hidden="false" customHeight="true" outlineLevel="0" collapsed="false">
      <c r="A158" s="152" t="n">
        <f aca="false">IF('Price History'!A159="","",'Price History'!A159)</f>
        <v>46276</v>
      </c>
      <c r="B158" s="153" t="n">
        <f aca="false">IFERROR(IF(OR(NOT(ISNUMBER('Price History'!B159)),NOT(ISNUMBER('Price History'!B158)),'Price History'!B158=0),"",'Price History'!B159/'Price History'!B158-1),"")</f>
        <v>-0.0535814791189824</v>
      </c>
      <c r="C158" s="153" t="n">
        <f aca="false">IFERROR(IF(OR(NOT(ISNUMBER('Price History'!C159)),NOT(ISNUMBER('Price History'!C158)),'Price History'!C158=0),"",'Price History'!C159/'Price History'!C158-1),"")</f>
        <v>0.0299824543296523</v>
      </c>
      <c r="D158" s="153" t="n">
        <f aca="false">IFERROR(IF(OR(NOT(ISNUMBER('Price History'!D159)),NOT(ISNUMBER('Price History'!D158)),'Price History'!D158=0),"",'Price History'!D159/'Price History'!D158-1),"")</f>
        <v>-0.00966831498413889</v>
      </c>
      <c r="E158" s="153" t="n">
        <f aca="false">IFERROR(IF(OR(NOT(ISNUMBER('Price History'!E159)),NOT(ISNUMBER('Price History'!E158)),'Price History'!E158=0),"",'Price History'!E159/'Price History'!E158-1),"")</f>
        <v>0.0114205738278517</v>
      </c>
      <c r="F158" s="153" t="n">
        <f aca="false">IFERROR(IF(OR(NOT(ISNUMBER('Price History'!F159)),NOT(ISNUMBER('Price History'!F158)),'Price History'!F158=0),"",'Price History'!F159/'Price History'!F158-1),"")</f>
        <v>-0.0298451431252932</v>
      </c>
      <c r="G158" s="153" t="n">
        <f aca="false">IFERROR(IF(OR(NOT(ISNUMBER('Price History'!G159)),NOT(ISNUMBER('Price History'!G158)),'Price History'!G158=0),"",'Price History'!G159/'Price History'!G158-1),"")</f>
        <v>-0.0267241379310346</v>
      </c>
      <c r="H158" s="153" t="n">
        <f aca="false">IFERROR(IF(OR(NOT(ISNUMBER('Price History'!H159)),NOT(ISNUMBER('Price History'!H158)),'Price History'!H158=0),"",'Price History'!H159/'Price History'!H158-1),"")</f>
        <v>-0.0406555248428571</v>
      </c>
      <c r="I158" s="153" t="n">
        <f aca="false">IFERROR(IF(OR(NOT(ISNUMBER('Price History'!I159)),NOT(ISNUMBER('Price History'!I158)),'Price History'!I158=0),"",'Price History'!I159/'Price History'!I158-1),"")</f>
        <v>-0.0513255106475445</v>
      </c>
      <c r="J158" s="153" t="n">
        <f aca="false">IFERROR(IF(OR(NOT(ISNUMBER('Price History'!J159)),NOT(ISNUMBER('Price History'!J158)),'Price History'!J158=0),"",'Price History'!J159/'Price History'!J158-1),"")</f>
        <v>-0.011595479230882</v>
      </c>
      <c r="K158" s="153" t="n">
        <f aca="false">IFERROR(IF(OR(NOT(ISNUMBER('Price History'!K159)),NOT(ISNUMBER('Price History'!K158)),'Price History'!K158=0),"",'Price History'!K159/'Price History'!K158-1),"")</f>
        <v>-0.0407273561635979</v>
      </c>
      <c r="L158" s="153" t="n">
        <f aca="false">IFERROR(IF(OR(NOT(ISNUMBER('Price History'!L159)),NOT(ISNUMBER('Price History'!L158)),'Price History'!L158=0),"",'Price History'!L159/'Price History'!L158-1),"")</f>
        <v>0.0100991210024313</v>
      </c>
      <c r="M158" s="153" t="n">
        <f aca="false">IFERROR(IF(OR(NOT(ISNUMBER('Price History'!M159)),NOT(ISNUMBER('Price History'!M158)),'Price History'!M158=0),"",'Price History'!M159/'Price History'!M158-1),"")</f>
        <v>-0.0836482920915638</v>
      </c>
      <c r="N158" s="153" t="n">
        <f aca="false">IFERROR(IF(OR(NOT(ISNUMBER('Price History'!N159)),NOT(ISNUMBER('Price History'!N158)),'Price History'!N158=0),"",'Price History'!N159/'Price History'!N158-1),"")</f>
        <v>-0.056178129348861</v>
      </c>
      <c r="O158" s="153" t="n">
        <f aca="false">IFERROR(IF(OR(NOT(ISNUMBER('Price History'!O159)),NOT(ISNUMBER('Price History'!O158)),'Price History'!O158=0),"",'Price History'!O159/'Price History'!O158-1),"")</f>
        <v>-0.0159658552007588</v>
      </c>
      <c r="P158" s="153" t="n">
        <f aca="false">IFERROR(IF(OR(NOT(ISNUMBER('Price History'!P159)),NOT(ISNUMBER('Price History'!P158)),'Price History'!P158=0),"",'Price History'!P159/'Price History'!P158-1),"")</f>
        <v>-0.01154011417347</v>
      </c>
      <c r="Q158" s="153" t="n">
        <f aca="false">IFERROR(IF(OR(NOT(ISNUMBER('Price History'!Q159)),NOT(ISNUMBER('Price History'!Q158)),'Price History'!Q158=0),"",'Price History'!Q159/'Price History'!Q158-1),"")</f>
        <v>-0.00689358035329579</v>
      </c>
      <c r="R158" s="153" t="n">
        <f aca="false">IFERROR(IF(OR(NOT(ISNUMBER('Price History'!R159)),NOT(ISNUMBER('Price History'!R158)),'Price History'!R158=0),"",'Price History'!R159/'Price History'!R158-1),"")</f>
        <v>-0.00151719487525293</v>
      </c>
      <c r="S158" s="153" t="n">
        <f aca="false">IFERROR(IF(OR(NOT(ISNUMBER('Price History'!S159)),NOT(ISNUMBER('Price History'!S158)),'Price History'!S158=0),"",'Price History'!S159/'Price History'!S158-1),"")</f>
        <v>-0.00943270002675944</v>
      </c>
      <c r="T158" s="153" t="n">
        <f aca="false">IFERROR(IF(OR(NOT(ISNUMBER('Price History'!T159)),NOT(ISNUMBER('Price History'!T158)),'Price History'!T158=0),"",'Price History'!T159/'Price History'!T158-1),"")</f>
        <v>-0.0236020334059549</v>
      </c>
      <c r="U158" s="153" t="n">
        <f aca="false">IFERROR(IF(OR(NOT(ISNUMBER('Price History'!U159)),NOT(ISNUMBER('Price History'!U158)),'Price History'!U158=0),"",'Price History'!U159/'Price History'!U158-1),"")</f>
        <v>-0.0194090382387022</v>
      </c>
      <c r="V158" s="154" t="n">
        <f aca="false">IFERROR(IF(OR(NOT(ISNUMBER('Price History'!V159)),NOT(ISNUMBER('Price History'!V158)),'Price History'!V158=0),"",'Price History'!V159/'Price History'!V158-1),"")</f>
        <v>-0.0123177006958701</v>
      </c>
      <c r="W158" s="156" t="n">
        <f aca="false">IFERROR('Price History'!B3+(INDEX('Price History'!B:B,MATCH(9.99E+307,'Returns (Calc)'!$A:$A)+1)-'Price History'!B3)*(ROW()-3)/(MATCH(9.99E+307,'Returns (Calc)'!$A:$A)-3),"")</f>
        <v>249.480566037736</v>
      </c>
      <c r="X158" s="156" t="n">
        <f aca="false">IFERROR('Price History'!C3+(INDEX('Price History'!C:C,MATCH(9.99E+307,'Returns (Calc)'!$A:$A)+1)-'Price History'!C3)*(ROW()-3)/(MATCH(9.99E+307,'Returns (Calc)'!$A:$A)-3),"")</f>
        <v>212.449182389937</v>
      </c>
      <c r="Y158" s="156" t="n">
        <f aca="false">IFERROR('Price History'!D3+(INDEX('Price History'!D:D,MATCH(9.99E+307,'Returns (Calc)'!$A:$A)+1)-'Price History'!D3)*(ROW()-3)/(MATCH(9.99E+307,'Returns (Calc)'!$A:$A)-3),"")</f>
        <v>1750.19333333333</v>
      </c>
      <c r="Z158" s="156" t="n">
        <f aca="false">IFERROR('Price History'!E3+(INDEX('Price History'!E:E,MATCH(9.99E+307,'Returns (Calc)'!$A:$A)+1)-'Price History'!E3)*(ROW()-3)/(MATCH(9.99E+307,'Returns (Calc)'!$A:$A)-3),"")</f>
        <v>354.507547169811</v>
      </c>
      <c r="AA158" s="156" t="n">
        <f aca="false">IFERROR('Price History'!F3+(INDEX('Price History'!F:F,MATCH(9.99E+307,'Returns (Calc)'!$A:$A)+1)-'Price History'!F3)*(ROW()-3)/(MATCH(9.99E+307,'Returns (Calc)'!$A:$A)-3),"")</f>
        <v>269.161257861635</v>
      </c>
      <c r="AB158" s="156" t="n">
        <f aca="false">IFERROR('Price History'!G3+(INDEX('Price History'!G:G,MATCH(9.99E+307,'Returns (Calc)'!$A:$A)+1)-'Price History'!G3)*(ROW()-3)/(MATCH(9.99E+307,'Returns (Calc)'!$A:$A)-3),"")</f>
        <v>191.76572327044</v>
      </c>
      <c r="AC158" s="156" t="n">
        <f aca="false">IFERROR('Price History'!H3+(INDEX('Price History'!H:H,MATCH(9.99E+307,'Returns (Calc)'!$A:$A)+1)-'Price History'!H3)*(ROW()-3)/(MATCH(9.99E+307,'Returns (Calc)'!$A:$A)-3),"")</f>
        <v>1004.85182389937</v>
      </c>
      <c r="AD158" s="156" t="n">
        <f aca="false">IFERROR('Price History'!I3+(INDEX('Price History'!I:I,MATCH(9.99E+307,'Returns (Calc)'!$A:$A)+1)-'Price History'!I3)*(ROW()-3)/(MATCH(9.99E+307,'Returns (Calc)'!$A:$A)-3),"")</f>
        <v>224.613081761006</v>
      </c>
      <c r="AE158" s="156" t="n">
        <f aca="false">IFERROR('Price History'!J3+(INDEX('Price History'!J:J,MATCH(9.99E+307,'Returns (Calc)'!$A:$A)+1)-'Price History'!J3)*(ROW()-3)/(MATCH(9.99E+307,'Returns (Calc)'!$A:$A)-3),"")</f>
        <v>129.045974842767</v>
      </c>
      <c r="AF158" s="156" t="n">
        <f aca="false">IFERROR('Price History'!K3+(INDEX('Price History'!K:K,MATCH(9.99E+307,'Returns (Calc)'!$A:$A)+1)-'Price History'!K3)*(ROW()-3)/(MATCH(9.99E+307,'Returns (Calc)'!$A:$A)-3),"")</f>
        <v>204.176540880503</v>
      </c>
      <c r="AG158" s="156" t="n">
        <f aca="false">IFERROR('Price History'!L3+(INDEX('Price History'!L:L,MATCH(9.99E+307,'Returns (Calc)'!$A:$A)+1)-'Price History'!L3)*(ROW()-3)/(MATCH(9.99E+307,'Returns (Calc)'!$A:$A)-3),"")</f>
        <v>444.06320754717</v>
      </c>
      <c r="AH158" s="156" t="n">
        <f aca="false">IFERROR('Price History'!M3+(INDEX('Price History'!M:M,MATCH(9.99E+307,'Returns (Calc)'!$A:$A)+1)-'Price History'!M3)*(ROW()-3)/(MATCH(9.99E+307,'Returns (Calc)'!$A:$A)-3),"")</f>
        <v>237.628805031447</v>
      </c>
      <c r="AI158" s="156" t="n">
        <f aca="false">IFERROR('Price History'!N3+(INDEX('Price History'!N:N,MATCH(9.99E+307,'Returns (Calc)'!$A:$A)+1)-'Price History'!N3)*(ROW()-3)/(MATCH(9.99E+307,'Returns (Calc)'!$A:$A)-3),"")</f>
        <v>506.025157232704</v>
      </c>
      <c r="AJ158" s="156" t="n">
        <f aca="false">IFERROR('Price History'!O3+(INDEX('Price History'!O:O,MATCH(9.99E+307,'Returns (Calc)'!$A:$A)+1)-'Price History'!O3)*(ROW()-3)/(MATCH(9.99E+307,'Returns (Calc)'!$A:$A)-3),"")</f>
        <v>118.524779874214</v>
      </c>
      <c r="AK158" s="156" t="n">
        <f aca="false">IFERROR('Price History'!Q3+(INDEX('Price History'!Q:Q,MATCH(9.99E+307,'Returns (Calc)'!$A:$A)+1)-'Price History'!Q3)*(ROW()-3)/(MATCH(9.99E+307,'Returns (Calc)'!$A:$A)-3),"")</f>
        <v>68.209748427673</v>
      </c>
      <c r="AL158" s="156" t="n">
        <f aca="false">IFERROR('Price History'!R3+(INDEX('Price History'!R:R,MATCH(9.99E+307,'Returns (Calc)'!$A:$A)+1)-'Price History'!R3)*(ROW()-3)/(MATCH(9.99E+307,'Returns (Calc)'!$A:$A)-3),"")</f>
        <v>60.4205660377359</v>
      </c>
      <c r="AM158" s="156" t="n">
        <f aca="false">IFERROR('Price History'!S3+(INDEX('Price History'!S:S,MATCH(9.99E+307,'Returns (Calc)'!$A:$A)+1)-'Price History'!S3)*(ROW()-3)/(MATCH(9.99E+307,'Returns (Calc)'!$A:$A)-3),"")</f>
        <v>148.807044025157</v>
      </c>
      <c r="AN158" s="156" t="n">
        <f aca="false">IFERROR('Price History'!T3+(INDEX('Price History'!T:T,MATCH(9.99E+307,'Returns (Calc)'!$A:$A)+1)-'Price History'!T3)*(ROW()-3)/(MATCH(9.99E+307,'Returns (Calc)'!$A:$A)-3),"")</f>
        <v>52.1444025157233</v>
      </c>
      <c r="AO158" s="156" t="n">
        <f aca="false">IFERROR('Price History'!V3+(INDEX('Price History'!V:V,MATCH(9.99E+307,'Returns (Calc)'!$A:$A)+1)-'Price History'!V3)*(ROW()-3)/(MATCH(9.99E+307,'Returns (Calc)'!$A:$A)-3),"")</f>
        <v>381.680943396226</v>
      </c>
      <c r="AP158" s="154" t="n">
        <f aca="false">IFERROR(IF(OR(NOT(ISNUMBER('Price History'!W159)),NOT(ISNUMBER('Price History'!W158)),'Price History'!W158=0),"",'Price History'!W159/'Price History'!W158-1),"")</f>
        <v>-0.00795983345579221</v>
      </c>
      <c r="AQ158" s="154" t="n">
        <f aca="false">IFERROR(IF(OR(NOT(ISNUMBER('Price History'!X159)),NOT(ISNUMBER('Price History'!X158)),'Price History'!X158=0),"",'Price History'!X159/'Price History'!X158-1),"")</f>
        <v>-0.0116688275606595</v>
      </c>
      <c r="AR158" s="154" t="n">
        <f aca="false">IFERROR(IF(OR(NOT(ISNUMBER('Price History'!Y159)),NOT(ISNUMBER('Price History'!Y158)),'Price History'!Y158=0),"",'Price History'!Y159/'Price History'!Y158-1),"")</f>
        <v>-0.00984701951819933</v>
      </c>
      <c r="AS158" s="154" t="n">
        <f aca="false">IFERROR(IF(OR(NOT(ISNUMBER('Price History'!Z159)),NOT(ISNUMBER('Price History'!Z158)),'Price History'!Z158=0),"",'Price History'!Z159/'Price History'!Z158-1),"")</f>
        <v>-0.0399275125516176</v>
      </c>
      <c r="AT158" s="154" t="n">
        <f aca="false">IFERROR(IF(OR(NOT(ISNUMBER('Price History'!AA159)),NOT(ISNUMBER('Price History'!AA158)),'Price History'!AA158=0),"",'Price History'!AA159/'Price History'!AA158-1),"")</f>
        <v>-0.0108626198083066</v>
      </c>
      <c r="AU158" s="154" t="n">
        <f aca="false">IFERROR(IF(OR(NOT(ISNUMBER('Price History'!AB159)),NOT(ISNUMBER('Price History'!AB158)),'Price History'!AB158=0),"",'Price History'!AB159/'Price History'!AB158-1),"")</f>
        <v>-0.0461303573375986</v>
      </c>
    </row>
    <row r="159" customFormat="false" ht="15" hidden="false" customHeight="true" outlineLevel="0" collapsed="false">
      <c r="A159" s="152" t="n">
        <f aca="false">IF('Price History'!A160="","",'Price History'!A160)</f>
        <v>46283</v>
      </c>
      <c r="B159" s="153" t="n">
        <f aca="false">IFERROR(IF(OR(NOT(ISNUMBER('Price History'!B160)),NOT(ISNUMBER('Price History'!B159)),'Price History'!B159=0),"",'Price History'!B160/'Price History'!B159-1),"")</f>
        <v>-0.0131229433453594</v>
      </c>
      <c r="C159" s="153" t="n">
        <f aca="false">IFERROR(IF(OR(NOT(ISNUMBER('Price History'!C160)),NOT(ISNUMBER('Price History'!C159)),'Price History'!C159=0),"",'Price History'!C160/'Price History'!C159-1),"")</f>
        <v>-0.00100205421113286</v>
      </c>
      <c r="D159" s="153" t="n">
        <f aca="false">IFERROR(IF(OR(NOT(ISNUMBER('Price History'!D160)),NOT(ISNUMBER('Price History'!D159)),'Price History'!D159=0),"",'Price History'!D160/'Price History'!D159-1),"")</f>
        <v>-0.0108225872931754</v>
      </c>
      <c r="E159" s="153" t="n">
        <f aca="false">IFERROR(IF(OR(NOT(ISNUMBER('Price History'!E160)),NOT(ISNUMBER('Price History'!E159)),'Price History'!E159=0),"",'Price History'!E160/'Price History'!E159-1),"")</f>
        <v>-0.0120942075111394</v>
      </c>
      <c r="F159" s="153" t="n">
        <f aca="false">IFERROR(IF(OR(NOT(ISNUMBER('Price History'!F160)),NOT(ISNUMBER('Price History'!F159)),'Price History'!F159=0),"",'Price History'!F160/'Price History'!F159-1),"")</f>
        <v>0.14951146367418</v>
      </c>
      <c r="G159" s="153" t="n">
        <f aca="false">IFERROR(IF(OR(NOT(ISNUMBER('Price History'!G160)),NOT(ISNUMBER('Price History'!G159)),'Price History'!G159=0),"",'Price History'!G160/'Price History'!G159-1),"")</f>
        <v>-0.0202059344552701</v>
      </c>
      <c r="H159" s="153" t="n">
        <f aca="false">IFERROR(IF(OR(NOT(ISNUMBER('Price History'!H160)),NOT(ISNUMBER('Price History'!H159)),'Price History'!H159=0),"",'Price History'!H160/'Price History'!H159-1),"")</f>
        <v>0.0415684022722145</v>
      </c>
      <c r="I159" s="153" t="n">
        <f aca="false">IFERROR(IF(OR(NOT(ISNUMBER('Price History'!I160)),NOT(ISNUMBER('Price History'!I159)),'Price History'!I159=0),"",'Price History'!I160/'Price History'!I159-1),"")</f>
        <v>0.0182326263227817</v>
      </c>
      <c r="J159" s="153" t="n">
        <f aca="false">IFERROR(IF(OR(NOT(ISNUMBER('Price History'!J160)),NOT(ISNUMBER('Price History'!J159)),'Price History'!J159=0),"",'Price History'!J160/'Price History'!J159-1),"")</f>
        <v>0.00118800118800122</v>
      </c>
      <c r="K159" s="153" t="n">
        <f aca="false">IFERROR(IF(OR(NOT(ISNUMBER('Price History'!K160)),NOT(ISNUMBER('Price History'!K159)),'Price History'!K159=0),"",'Price History'!K160/'Price History'!K159-1),"")</f>
        <v>0.0622495963642886</v>
      </c>
      <c r="L159" s="153" t="n">
        <f aca="false">IFERROR(IF(OR(NOT(ISNUMBER('Price History'!L160)),NOT(ISNUMBER('Price History'!L159)),'Price History'!L159=0),"",'Price History'!L160/'Price History'!L159-1),"")</f>
        <v>0.00599426032216255</v>
      </c>
      <c r="M159" s="153" t="n">
        <f aca="false">IFERROR(IF(OR(NOT(ISNUMBER('Price History'!M160)),NOT(ISNUMBER('Price History'!M159)),'Price History'!M159=0),"",'Price History'!M160/'Price History'!M159-1),"")</f>
        <v>-0.0296108949416343</v>
      </c>
      <c r="N159" s="153" t="n">
        <f aca="false">IFERROR(IF(OR(NOT(ISNUMBER('Price History'!N160)),NOT(ISNUMBER('Price History'!N159)),'Price History'!N159=0),"",'Price History'!N160/'Price History'!N159-1),"")</f>
        <v>-0.0137746391432564</v>
      </c>
      <c r="O159" s="153" t="n">
        <f aca="false">IFERROR(IF(OR(NOT(ISNUMBER('Price History'!O160)),NOT(ISNUMBER('Price History'!O159)),'Price History'!O159=0),"",'Price History'!O160/'Price History'!O159-1),"")</f>
        <v>-0.0204016064257029</v>
      </c>
      <c r="P159" s="153" t="n">
        <f aca="false">IFERROR(IF(OR(NOT(ISNUMBER('Price History'!P160)),NOT(ISNUMBER('Price History'!P159)),'Price History'!P159=0),"",'Price History'!P160/'Price History'!P159-1),"")</f>
        <v>-0.0173259641060671</v>
      </c>
      <c r="Q159" s="153" t="n">
        <f aca="false">IFERROR(IF(OR(NOT(ISNUMBER('Price History'!Q160)),NOT(ISNUMBER('Price History'!Q159)),'Price History'!Q159=0),"",'Price History'!Q160/'Price History'!Q159-1),"")</f>
        <v>-0.00231381055676083</v>
      </c>
      <c r="R159" s="153" t="n">
        <f aca="false">IFERROR(IF(OR(NOT(ISNUMBER('Price History'!R160)),NOT(ISNUMBER('Price History'!R159)),'Price History'!R159=0),"",'Price History'!R160/'Price History'!R159-1),"")</f>
        <v>0.00759750126625036</v>
      </c>
      <c r="S159" s="153" t="n">
        <f aca="false">IFERROR(IF(OR(NOT(ISNUMBER('Price History'!S160)),NOT(ISNUMBER('Price History'!S159)),'Price History'!S159=0),"",'Price History'!S160/'Price History'!S159-1),"")</f>
        <v>0.00607820625379896</v>
      </c>
      <c r="T159" s="153" t="n">
        <f aca="false">IFERROR(IF(OR(NOT(ISNUMBER('Price History'!T160)),NOT(ISNUMBER('Price History'!T159)),'Price History'!T159=0),"",'Price History'!T160/'Price History'!T159-1),"")</f>
        <v>-0.0163629602082559</v>
      </c>
      <c r="U159" s="153" t="n">
        <f aca="false">IFERROR(IF(OR(NOT(ISNUMBER('Price History'!U160)),NOT(ISNUMBER('Price History'!U159)),'Price History'!U159=0),"",'Price History'!U160/'Price History'!U159-1),"")</f>
        <v>-0.0129985228951257</v>
      </c>
      <c r="V159" s="154" t="n">
        <f aca="false">IFERROR(IF(OR(NOT(ISNUMBER('Price History'!V160)),NOT(ISNUMBER('Price History'!V159)),'Price History'!V159=0),"",'Price History'!V160/'Price History'!V159-1),"")</f>
        <v>-0.00583074638952619</v>
      </c>
      <c r="W159" s="156" t="n">
        <f aca="false">IFERROR('Price History'!B3+(INDEX('Price History'!B:B,MATCH(9.99E+307,'Returns (Calc)'!$A:$A)+1)-'Price History'!B3)*(ROW()-3)/(MATCH(9.99E+307,'Returns (Calc)'!$A:$A)-3),"")</f>
        <v>247.677924528302</v>
      </c>
      <c r="X159" s="156" t="n">
        <f aca="false">IFERROR('Price History'!C3+(INDEX('Price History'!C:C,MATCH(9.99E+307,'Returns (Calc)'!$A:$A)+1)-'Price History'!C3)*(ROW()-3)/(MATCH(9.99E+307,'Returns (Calc)'!$A:$A)-3),"")</f>
        <v>213.521886792453</v>
      </c>
      <c r="Y159" s="156" t="n">
        <f aca="false">IFERROR('Price History'!D3+(INDEX('Price History'!D:D,MATCH(9.99E+307,'Returns (Calc)'!$A:$A)+1)-'Price History'!D3)*(ROW()-3)/(MATCH(9.99E+307,'Returns (Calc)'!$A:$A)-3),"")</f>
        <v>1757.73</v>
      </c>
      <c r="Z159" s="156" t="n">
        <f aca="false">IFERROR('Price History'!E3+(INDEX('Price History'!E:E,MATCH(9.99E+307,'Returns (Calc)'!$A:$A)+1)-'Price History'!E3)*(ROW()-3)/(MATCH(9.99E+307,'Returns (Calc)'!$A:$A)-3),"")</f>
        <v>356.265660377359</v>
      </c>
      <c r="AA159" s="156" t="n">
        <f aca="false">IFERROR('Price History'!F3+(INDEX('Price History'!F:F,MATCH(9.99E+307,'Returns (Calc)'!$A:$A)+1)-'Price History'!F3)*(ROW()-3)/(MATCH(9.99E+307,'Returns (Calc)'!$A:$A)-3),"")</f>
        <v>270.630943396226</v>
      </c>
      <c r="AB159" s="156" t="n">
        <f aca="false">IFERROR('Price History'!G3+(INDEX('Price History'!G:G,MATCH(9.99E+307,'Returns (Calc)'!$A:$A)+1)-'Price History'!G3)*(ROW()-3)/(MATCH(9.99E+307,'Returns (Calc)'!$A:$A)-3),"")</f>
        <v>192.71679245283</v>
      </c>
      <c r="AC159" s="156" t="n">
        <f aca="false">IFERROR('Price History'!H3+(INDEX('Price History'!H:H,MATCH(9.99E+307,'Returns (Calc)'!$A:$A)+1)-'Price History'!H3)*(ROW()-3)/(MATCH(9.99E+307,'Returns (Calc)'!$A:$A)-3),"")</f>
        <v>1010.88886792453</v>
      </c>
      <c r="AD159" s="156" t="n">
        <f aca="false">IFERROR('Price History'!I3+(INDEX('Price History'!I:I,MATCH(9.99E+307,'Returns (Calc)'!$A:$A)+1)-'Price History'!I3)*(ROW()-3)/(MATCH(9.99E+307,'Returns (Calc)'!$A:$A)-3),"")</f>
        <v>225.779811320755</v>
      </c>
      <c r="AE159" s="156" t="n">
        <f aca="false">IFERROR('Price History'!J3+(INDEX('Price History'!J:J,MATCH(9.99E+307,'Returns (Calc)'!$A:$A)+1)-'Price History'!J3)*(ROW()-3)/(MATCH(9.99E+307,'Returns (Calc)'!$A:$A)-3),"")</f>
        <v>129.156981132076</v>
      </c>
      <c r="AF159" s="156" t="n">
        <f aca="false">IFERROR('Price History'!K3+(INDEX('Price History'!K:K,MATCH(9.99E+307,'Returns (Calc)'!$A:$A)+1)-'Price History'!K3)*(ROW()-3)/(MATCH(9.99E+307,'Returns (Calc)'!$A:$A)-3),"")</f>
        <v>205.394905660377</v>
      </c>
      <c r="AG159" s="156" t="n">
        <f aca="false">IFERROR('Price History'!L3+(INDEX('Price History'!L:L,MATCH(9.99E+307,'Returns (Calc)'!$A:$A)+1)-'Price History'!L3)*(ROW()-3)/(MATCH(9.99E+307,'Returns (Calc)'!$A:$A)-3),"")</f>
        <v>446.374905660377</v>
      </c>
      <c r="AH159" s="156" t="n">
        <f aca="false">IFERROR('Price History'!M3+(INDEX('Price History'!M:M,MATCH(9.99E+307,'Returns (Calc)'!$A:$A)+1)-'Price History'!M3)*(ROW()-3)/(MATCH(9.99E+307,'Returns (Calc)'!$A:$A)-3),"")</f>
        <v>238.916603773585</v>
      </c>
      <c r="AI159" s="156" t="n">
        <f aca="false">IFERROR('Price History'!N3+(INDEX('Price History'!N:N,MATCH(9.99E+307,'Returns (Calc)'!$A:$A)+1)-'Price History'!N3)*(ROW()-3)/(MATCH(9.99E+307,'Returns (Calc)'!$A:$A)-3),"")</f>
        <v>507.038867924528</v>
      </c>
      <c r="AJ159" s="156" t="n">
        <f aca="false">IFERROR('Price History'!O3+(INDEX('Price History'!O:O,MATCH(9.99E+307,'Returns (Calc)'!$A:$A)+1)-'Price History'!O3)*(ROW()-3)/(MATCH(9.99E+307,'Returns (Calc)'!$A:$A)-3),"")</f>
        <v>118.80358490566</v>
      </c>
      <c r="AK159" s="156" t="n">
        <f aca="false">IFERROR('Price History'!Q3+(INDEX('Price History'!Q:Q,MATCH(9.99E+307,'Returns (Calc)'!$A:$A)+1)-'Price History'!Q3)*(ROW()-3)/(MATCH(9.99E+307,'Returns (Calc)'!$A:$A)-3),"")</f>
        <v>68.6498113207547</v>
      </c>
      <c r="AL159" s="156" t="n">
        <f aca="false">IFERROR('Price History'!R3+(INDEX('Price History'!R:R,MATCH(9.99E+307,'Returns (Calc)'!$A:$A)+1)-'Price History'!R3)*(ROW()-3)/(MATCH(9.99E+307,'Returns (Calc)'!$A:$A)-3),"")</f>
        <v>60.5879245283019</v>
      </c>
      <c r="AM159" s="156" t="n">
        <f aca="false">IFERROR('Price History'!S3+(INDEX('Price History'!S:S,MATCH(9.99E+307,'Returns (Calc)'!$A:$A)+1)-'Price History'!S3)*(ROW()-3)/(MATCH(9.99E+307,'Returns (Calc)'!$A:$A)-3),"")</f>
        <v>149.395283018868</v>
      </c>
      <c r="AN159" s="156" t="n">
        <f aca="false">IFERROR('Price History'!T3+(INDEX('Price History'!T:T,MATCH(9.99E+307,'Returns (Calc)'!$A:$A)+1)-'Price History'!T3)*(ROW()-3)/(MATCH(9.99E+307,'Returns (Calc)'!$A:$A)-3),"")</f>
        <v>52.3183018867925</v>
      </c>
      <c r="AO159" s="156" t="n">
        <f aca="false">IFERROR('Price History'!V3+(INDEX('Price History'!V:V,MATCH(9.99E+307,'Returns (Calc)'!$A:$A)+1)-'Price History'!V3)*(ROW()-3)/(MATCH(9.99E+307,'Returns (Calc)'!$A:$A)-3),"")</f>
        <v>382.62320754717</v>
      </c>
      <c r="AP159" s="154" t="n">
        <f aca="false">IFERROR(IF(OR(NOT(ISNUMBER('Price History'!W160)),NOT(ISNUMBER('Price History'!W159)),'Price History'!W159=0),"",'Price History'!W160/'Price History'!W159-1),"")</f>
        <v>-0.0170349339587707</v>
      </c>
      <c r="AQ159" s="154" t="n">
        <f aca="false">IFERROR(IF(OR(NOT(ISNUMBER('Price History'!X160)),NOT(ISNUMBER('Price History'!X159)),'Price History'!X159=0),"",'Price History'!X160/'Price History'!X159-1),"")</f>
        <v>-0.0103073463268365</v>
      </c>
      <c r="AR159" s="154" t="n">
        <f aca="false">IFERROR(IF(OR(NOT(ISNUMBER('Price History'!Y160)),NOT(ISNUMBER('Price History'!Y159)),'Price History'!Y159=0),"",'Price History'!Y160/'Price History'!Y159-1),"")</f>
        <v>-0.0072811223583733</v>
      </c>
      <c r="AS159" s="154" t="n">
        <f aca="false">IFERROR(IF(OR(NOT(ISNUMBER('Price History'!Z160)),NOT(ISNUMBER('Price History'!Z159)),'Price History'!Z159=0),"",'Price History'!Z160/'Price History'!Z159-1),"")</f>
        <v>-0.0290249713772937</v>
      </c>
      <c r="AT159" s="154" t="n">
        <f aca="false">IFERROR(IF(OR(NOT(ISNUMBER('Price History'!AA160)),NOT(ISNUMBER('Price History'!AA159)),'Price History'!AA159=0),"",'Price History'!AA160/'Price History'!AA159-1),"")</f>
        <v>-0.0724806201550388</v>
      </c>
      <c r="AU159" s="154" t="n">
        <f aca="false">IFERROR(IF(OR(NOT(ISNUMBER('Price History'!AB160)),NOT(ISNUMBER('Price History'!AB159)),'Price History'!AB159=0),"",'Price History'!AB160/'Price History'!AB159-1),"")</f>
        <v>-0.00834603658536581</v>
      </c>
    </row>
    <row r="160" customFormat="false" ht="15" hidden="false" customHeight="true" outlineLevel="0" collapsed="false">
      <c r="A160" s="152" t="n">
        <f aca="false">IF('Price History'!A161="","",'Price History'!A161)</f>
        <v>46290</v>
      </c>
      <c r="B160" s="153" t="n">
        <f aca="false">IFERROR(IF(OR(NOT(ISNUMBER('Price History'!B161)),NOT(ISNUMBER('Price History'!B160)),'Price History'!B160=0),"",'Price History'!B161/'Price History'!B160-1),"")</f>
        <v>-0.0540334243933793</v>
      </c>
      <c r="C160" s="153" t="n">
        <f aca="false">IFERROR(IF(OR(NOT(ISNUMBER('Price History'!C161)),NOT(ISNUMBER('Price History'!C160)),'Price History'!C160=0),"",'Price History'!C161/'Price History'!C160-1),"")</f>
        <v>0.0359095240483476</v>
      </c>
      <c r="D160" s="153" t="n">
        <f aca="false">IFERROR(IF(OR(NOT(ISNUMBER('Price History'!D161)),NOT(ISNUMBER('Price History'!D160)),'Price History'!D160=0),"",'Price History'!D161/'Price History'!D160-1),"")</f>
        <v>0.038108957569408</v>
      </c>
      <c r="E160" s="153" t="n">
        <f aca="false">IFERROR(IF(OR(NOT(ISNUMBER('Price History'!E161)),NOT(ISNUMBER('Price History'!E160)),'Price History'!E160=0),"",'Price History'!E161/'Price History'!E160-1),"")</f>
        <v>-0.0116259524876736</v>
      </c>
      <c r="F160" s="153" t="n">
        <f aca="false">IFERROR(IF(OR(NOT(ISNUMBER('Price History'!F161)),NOT(ISNUMBER('Price History'!F160)),'Price History'!F160=0),"",'Price History'!F161/'Price History'!F160-1),"")</f>
        <v>0.0609299389859035</v>
      </c>
      <c r="G160" s="153" t="n">
        <f aca="false">IFERROR(IF(OR(NOT(ISNUMBER('Price History'!G161)),NOT(ISNUMBER('Price History'!G160)),'Price History'!G160=0),"",'Price History'!G161/'Price History'!G160-1),"")</f>
        <v>0.061754901406859</v>
      </c>
      <c r="H160" s="153" t="n">
        <f aca="false">IFERROR(IF(OR(NOT(ISNUMBER('Price History'!H161)),NOT(ISNUMBER('Price History'!H160)),'Price History'!H160=0),"",'Price History'!H161/'Price History'!H160-1),"")</f>
        <v>0.0654459539279386</v>
      </c>
      <c r="I160" s="153" t="n">
        <f aca="false">IFERROR(IF(OR(NOT(ISNUMBER('Price History'!I161)),NOT(ISNUMBER('Price History'!I160)),'Price History'!I160=0),"",'Price History'!I161/'Price History'!I160-1),"")</f>
        <v>0.0125972915823098</v>
      </c>
      <c r="J160" s="153" t="n">
        <f aca="false">IFERROR(IF(OR(NOT(ISNUMBER('Price History'!J161)),NOT(ISNUMBER('Price History'!J160)),'Price History'!J160=0),"",'Price History'!J161/'Price History'!J160-1),"")</f>
        <v>-0.0132749925838029</v>
      </c>
      <c r="K160" s="153" t="n">
        <f aca="false">IFERROR(IF(OR(NOT(ISNUMBER('Price History'!K161)),NOT(ISNUMBER('Price History'!K160)),'Price History'!K160=0),"",'Price History'!K161/'Price History'!K160-1),"")</f>
        <v>0.0677212339563162</v>
      </c>
      <c r="L160" s="153" t="n">
        <f aca="false">IFERROR(IF(OR(NOT(ISNUMBER('Price History'!L161)),NOT(ISNUMBER('Price History'!L160)),'Price History'!L160=0),"",'Price History'!L161/'Price History'!L160-1),"")</f>
        <v>0.0366714979179608</v>
      </c>
      <c r="M160" s="153" t="n">
        <f aca="false">IFERROR(IF(OR(NOT(ISNUMBER('Price History'!M161)),NOT(ISNUMBER('Price History'!M160)),'Price History'!M160=0),"",'Price History'!M161/'Price History'!M160-1),"")</f>
        <v>0.0155980592646057</v>
      </c>
      <c r="N160" s="153" t="n">
        <f aca="false">IFERROR(IF(OR(NOT(ISNUMBER('Price History'!N161)),NOT(ISNUMBER('Price History'!N160)),'Price History'!N160=0),"",'Price History'!N161/'Price History'!N160-1),"")</f>
        <v>0.0351142935830351</v>
      </c>
      <c r="O160" s="153" t="n">
        <f aca="false">IFERROR(IF(OR(NOT(ISNUMBER('Price History'!O161)),NOT(ISNUMBER('Price History'!O160)),'Price History'!O160=0),"",'Price History'!O161/'Price History'!O160-1),"")</f>
        <v>-0.0127090849458839</v>
      </c>
      <c r="P160" s="153" t="n">
        <f aca="false">IFERROR(IF(OR(NOT(ISNUMBER('Price History'!P161)),NOT(ISNUMBER('Price History'!P160)),'Price History'!P160=0),"",'Price History'!P161/'Price History'!P160-1),"")</f>
        <v>-0.0221814964610719</v>
      </c>
      <c r="Q160" s="153" t="n">
        <f aca="false">IFERROR(IF(OR(NOT(ISNUMBER('Price History'!Q161)),NOT(ISNUMBER('Price History'!Q160)),'Price History'!Q160=0),"",'Price History'!Q161/'Price History'!Q160-1),"")</f>
        <v>0.00855196405276137</v>
      </c>
      <c r="R160" s="153" t="n">
        <f aca="false">IFERROR(IF(OR(NOT(ISNUMBER('Price History'!R161)),NOT(ISNUMBER('Price History'!R160)),'Price History'!R160=0),"",'Price History'!R161/'Price History'!R160-1),"")</f>
        <v>0.0165884718498659</v>
      </c>
      <c r="S160" s="153" t="n">
        <f aca="false">IFERROR(IF(OR(NOT(ISNUMBER('Price History'!S161)),NOT(ISNUMBER('Price History'!S160)),'Price History'!S160=0),"",'Price History'!S161/'Price History'!S160-1),"")</f>
        <v>0.0265154057863999</v>
      </c>
      <c r="T160" s="153" t="n">
        <f aca="false">IFERROR(IF(OR(NOT(ISNUMBER('Price History'!T161)),NOT(ISNUMBER('Price History'!T160)),'Price History'!T160=0),"",'Price History'!T161/'Price History'!T160-1),"")</f>
        <v>-0.0262759924385634</v>
      </c>
      <c r="U160" s="153" t="n">
        <f aca="false">IFERROR(IF(OR(NOT(ISNUMBER('Price History'!U161)),NOT(ISNUMBER('Price History'!U160)),'Price History'!U160=0),"",'Price History'!U161/'Price History'!U160-1),"")</f>
        <v>-0.00598623166716539</v>
      </c>
      <c r="V160" s="154" t="n">
        <f aca="false">IFERROR(IF(OR(NOT(ISNUMBER('Price History'!V161)),NOT(ISNUMBER('Price History'!V160)),'Price History'!V160=0),"",'Price History'!V161/'Price History'!V160-1),"")</f>
        <v>-0.00247087892693265</v>
      </c>
      <c r="W160" s="156" t="n">
        <f aca="false">IFERROR('Price History'!B3+(INDEX('Price History'!B:B,MATCH(9.99E+307,'Returns (Calc)'!$A:$A)+1)-'Price History'!B3)*(ROW()-3)/(MATCH(9.99E+307,'Returns (Calc)'!$A:$A)-3),"")</f>
        <v>245.875283018868</v>
      </c>
      <c r="X160" s="156" t="n">
        <f aca="false">IFERROR('Price History'!C3+(INDEX('Price History'!C:C,MATCH(9.99E+307,'Returns (Calc)'!$A:$A)+1)-'Price History'!C3)*(ROW()-3)/(MATCH(9.99E+307,'Returns (Calc)'!$A:$A)-3),"")</f>
        <v>214.594591194969</v>
      </c>
      <c r="Y160" s="156" t="n">
        <f aca="false">IFERROR('Price History'!D3+(INDEX('Price History'!D:D,MATCH(9.99E+307,'Returns (Calc)'!$A:$A)+1)-'Price History'!D3)*(ROW()-3)/(MATCH(9.99E+307,'Returns (Calc)'!$A:$A)-3),"")</f>
        <v>1765.26666666667</v>
      </c>
      <c r="Z160" s="156" t="n">
        <f aca="false">IFERROR('Price History'!E3+(INDEX('Price History'!E:E,MATCH(9.99E+307,'Returns (Calc)'!$A:$A)+1)-'Price History'!E3)*(ROW()-3)/(MATCH(9.99E+307,'Returns (Calc)'!$A:$A)-3),"")</f>
        <v>358.023773584906</v>
      </c>
      <c r="AA160" s="156" t="n">
        <f aca="false">IFERROR('Price History'!F3+(INDEX('Price History'!F:F,MATCH(9.99E+307,'Returns (Calc)'!$A:$A)+1)-'Price History'!F3)*(ROW()-3)/(MATCH(9.99E+307,'Returns (Calc)'!$A:$A)-3),"")</f>
        <v>272.100628930818</v>
      </c>
      <c r="AB160" s="156" t="n">
        <f aca="false">IFERROR('Price History'!G3+(INDEX('Price History'!G:G,MATCH(9.99E+307,'Returns (Calc)'!$A:$A)+1)-'Price History'!G3)*(ROW()-3)/(MATCH(9.99E+307,'Returns (Calc)'!$A:$A)-3),"")</f>
        <v>193.66786163522</v>
      </c>
      <c r="AC160" s="156" t="n">
        <f aca="false">IFERROR('Price History'!H3+(INDEX('Price History'!H:H,MATCH(9.99E+307,'Returns (Calc)'!$A:$A)+1)-'Price History'!H3)*(ROW()-3)/(MATCH(9.99E+307,'Returns (Calc)'!$A:$A)-3),"")</f>
        <v>1016.92591194969</v>
      </c>
      <c r="AD160" s="156" t="n">
        <f aca="false">IFERROR('Price History'!I3+(INDEX('Price History'!I:I,MATCH(9.99E+307,'Returns (Calc)'!$A:$A)+1)-'Price History'!I3)*(ROW()-3)/(MATCH(9.99E+307,'Returns (Calc)'!$A:$A)-3),"")</f>
        <v>226.946540880503</v>
      </c>
      <c r="AE160" s="156" t="n">
        <f aca="false">IFERROR('Price History'!J3+(INDEX('Price History'!J:J,MATCH(9.99E+307,'Returns (Calc)'!$A:$A)+1)-'Price History'!J3)*(ROW()-3)/(MATCH(9.99E+307,'Returns (Calc)'!$A:$A)-3),"")</f>
        <v>129.267987421384</v>
      </c>
      <c r="AF160" s="156" t="n">
        <f aca="false">IFERROR('Price History'!K3+(INDEX('Price History'!K:K,MATCH(9.99E+307,'Returns (Calc)'!$A:$A)+1)-'Price History'!K3)*(ROW()-3)/(MATCH(9.99E+307,'Returns (Calc)'!$A:$A)-3),"")</f>
        <v>206.613270440252</v>
      </c>
      <c r="AG160" s="156" t="n">
        <f aca="false">IFERROR('Price History'!L3+(INDEX('Price History'!L:L,MATCH(9.99E+307,'Returns (Calc)'!$A:$A)+1)-'Price History'!L3)*(ROW()-3)/(MATCH(9.99E+307,'Returns (Calc)'!$A:$A)-3),"")</f>
        <v>448.686603773585</v>
      </c>
      <c r="AH160" s="156" t="n">
        <f aca="false">IFERROR('Price History'!M3+(INDEX('Price History'!M:M,MATCH(9.99E+307,'Returns (Calc)'!$A:$A)+1)-'Price History'!M3)*(ROW()-3)/(MATCH(9.99E+307,'Returns (Calc)'!$A:$A)-3),"")</f>
        <v>240.204402515723</v>
      </c>
      <c r="AI160" s="156" t="n">
        <f aca="false">IFERROR('Price History'!N3+(INDEX('Price History'!N:N,MATCH(9.99E+307,'Returns (Calc)'!$A:$A)+1)-'Price History'!N3)*(ROW()-3)/(MATCH(9.99E+307,'Returns (Calc)'!$A:$A)-3),"")</f>
        <v>508.052578616352</v>
      </c>
      <c r="AJ160" s="156" t="n">
        <f aca="false">IFERROR('Price History'!O3+(INDEX('Price History'!O:O,MATCH(9.99E+307,'Returns (Calc)'!$A:$A)+1)-'Price History'!O3)*(ROW()-3)/(MATCH(9.99E+307,'Returns (Calc)'!$A:$A)-3),"")</f>
        <v>119.082389937107</v>
      </c>
      <c r="AK160" s="156" t="n">
        <f aca="false">IFERROR('Price History'!Q3+(INDEX('Price History'!Q:Q,MATCH(9.99E+307,'Returns (Calc)'!$A:$A)+1)-'Price History'!Q3)*(ROW()-3)/(MATCH(9.99E+307,'Returns (Calc)'!$A:$A)-3),"")</f>
        <v>69.0898742138365</v>
      </c>
      <c r="AL160" s="156" t="n">
        <f aca="false">IFERROR('Price History'!R3+(INDEX('Price History'!R:R,MATCH(9.99E+307,'Returns (Calc)'!$A:$A)+1)-'Price History'!R3)*(ROW()-3)/(MATCH(9.99E+307,'Returns (Calc)'!$A:$A)-3),"")</f>
        <v>60.7552830188679</v>
      </c>
      <c r="AM160" s="156" t="n">
        <f aca="false">IFERROR('Price History'!S3+(INDEX('Price History'!S:S,MATCH(9.99E+307,'Returns (Calc)'!$A:$A)+1)-'Price History'!S3)*(ROW()-3)/(MATCH(9.99E+307,'Returns (Calc)'!$A:$A)-3),"")</f>
        <v>149.983522012579</v>
      </c>
      <c r="AN160" s="156" t="n">
        <f aca="false">IFERROR('Price History'!T3+(INDEX('Price History'!T:T,MATCH(9.99E+307,'Returns (Calc)'!$A:$A)+1)-'Price History'!T3)*(ROW()-3)/(MATCH(9.99E+307,'Returns (Calc)'!$A:$A)-3),"")</f>
        <v>52.4922012578616</v>
      </c>
      <c r="AO160" s="156" t="n">
        <f aca="false">IFERROR('Price History'!V3+(INDEX('Price History'!V:V,MATCH(9.99E+307,'Returns (Calc)'!$A:$A)+1)-'Price History'!V3)*(ROW()-3)/(MATCH(9.99E+307,'Returns (Calc)'!$A:$A)-3),"")</f>
        <v>383.565471698113</v>
      </c>
      <c r="AP160" s="154" t="n">
        <f aca="false">IFERROR(IF(OR(NOT(ISNUMBER('Price History'!W161)),NOT(ISNUMBER('Price History'!W160)),'Price History'!W160=0),"",'Price History'!W161/'Price History'!W160-1),"")</f>
        <v>-0.00992088408891112</v>
      </c>
      <c r="AQ160" s="154" t="n">
        <f aca="false">IFERROR(IF(OR(NOT(ISNUMBER('Price History'!X161)),NOT(ISNUMBER('Price History'!X160)),'Price History'!X160=0),"",'Price History'!X161/'Price History'!X160-1),"")</f>
        <v>-0.0323802310168528</v>
      </c>
      <c r="AR160" s="154" t="n">
        <f aca="false">IFERROR(IF(OR(NOT(ISNUMBER('Price History'!Y161)),NOT(ISNUMBER('Price History'!Y160)),'Price History'!Y160=0),"",'Price History'!Y161/'Price History'!Y160-1),"")</f>
        <v>0.00930232558139532</v>
      </c>
      <c r="AS160" s="154" t="n">
        <f aca="false">IFERROR(IF(OR(NOT(ISNUMBER('Price History'!Z161)),NOT(ISNUMBER('Price History'!Z160)),'Price History'!Z160=0),"",'Price History'!Z161/'Price History'!Z160-1),"")</f>
        <v>0.040791612224736</v>
      </c>
      <c r="AT160" s="154" t="n">
        <f aca="false">IFERROR(IF(OR(NOT(ISNUMBER('Price History'!AA161)),NOT(ISNUMBER('Price History'!AA160)),'Price History'!AA160=0),"",'Price History'!AA161/'Price History'!AA160-1),"")</f>
        <v>-0.00891489065329432</v>
      </c>
      <c r="AU160" s="154" t="n">
        <f aca="false">IFERROR(IF(OR(NOT(ISNUMBER('Price History'!AB161)),NOT(ISNUMBER('Price History'!AB160)),'Price History'!AB160=0),"",'Price History'!AB161/'Price History'!AB160-1),"")</f>
        <v>0.0786672303139773</v>
      </c>
    </row>
    <row r="161" customFormat="false" ht="15" hidden="false" customHeight="true" outlineLevel="0" collapsed="false">
      <c r="A161" s="152" t="n">
        <f aca="false">IF('Price History'!A162="","",'Price History'!A162)</f>
        <v>46297</v>
      </c>
      <c r="B161" s="153" t="n">
        <f aca="false">IFERROR(IF(OR(NOT(ISNUMBER('Price History'!B162)),NOT(ISNUMBER('Price History'!B161)),'Price History'!B161=0),"",'Price History'!B162/'Price History'!B161-1),"")</f>
        <v>0.0094279526054275</v>
      </c>
      <c r="C161" s="153" t="n">
        <f aca="false">IFERROR(IF(OR(NOT(ISNUMBER('Price History'!C162)),NOT(ISNUMBER('Price History'!C161)),'Price History'!C161=0),"",'Price History'!C162/'Price History'!C161-1),"")</f>
        <v>0.00387315419995149</v>
      </c>
      <c r="D161" s="153" t="n">
        <f aca="false">IFERROR(IF(OR(NOT(ISNUMBER('Price History'!D162)),NOT(ISNUMBER('Price History'!D161)),'Price History'!D161=0),"",'Price History'!D162/'Price History'!D161-1),"")</f>
        <v>0.0707421126873631</v>
      </c>
      <c r="E161" s="153" t="n">
        <f aca="false">IFERROR(IF(OR(NOT(ISNUMBER('Price History'!E162)),NOT(ISNUMBER('Price History'!E161)),'Price History'!E161=0),"",'Price History'!E162/'Price History'!E161-1),"")</f>
        <v>0.00660412119837872</v>
      </c>
      <c r="F161" s="153" t="n">
        <f aca="false">IFERROR(IF(OR(NOT(ISNUMBER('Price History'!F162)),NOT(ISNUMBER('Price History'!F161)),'Price History'!F161=0),"",'Price History'!F162/'Price History'!F161-1),"")</f>
        <v>0.0710347836433587</v>
      </c>
      <c r="G161" s="153" t="n">
        <f aca="false">IFERROR(IF(OR(NOT(ISNUMBER('Price History'!G162)),NOT(ISNUMBER('Price History'!G161)),'Price History'!G161=0),"",'Price History'!G162/'Price History'!G161-1),"")</f>
        <v>0.100947211579395</v>
      </c>
      <c r="H161" s="153" t="n">
        <f aca="false">IFERROR(IF(OR(NOT(ISNUMBER('Price History'!H162)),NOT(ISNUMBER('Price History'!H161)),'Price History'!H161=0),"",'Price History'!H162/'Price History'!H161-1),"")</f>
        <v>-0.00682817755109577</v>
      </c>
      <c r="I161" s="153" t="n">
        <f aca="false">IFERROR(IF(OR(NOT(ISNUMBER('Price History'!I162)),NOT(ISNUMBER('Price History'!I161)),'Price History'!I161=0),"",'Price History'!I162/'Price History'!I161-1),"")</f>
        <v>0.0394543919669437</v>
      </c>
      <c r="J161" s="153" t="n">
        <f aca="false">IFERROR(IF(OR(NOT(ISNUMBER('Price History'!J162)),NOT(ISNUMBER('Price History'!J161)),'Price History'!J161=0),"",'Price History'!J162/'Price History'!J161-1),"")</f>
        <v>-0.0311161217587375</v>
      </c>
      <c r="K161" s="153" t="n">
        <f aca="false">IFERROR(IF(OR(NOT(ISNUMBER('Price History'!K162)),NOT(ISNUMBER('Price History'!K161)),'Price History'!K161=0),"",'Price History'!K162/'Price History'!K161-1),"")</f>
        <v>-0.00485052986766488</v>
      </c>
      <c r="L161" s="153" t="n">
        <f aca="false">IFERROR(IF(OR(NOT(ISNUMBER('Price History'!L162)),NOT(ISNUMBER('Price History'!L161)),'Price History'!L161=0),"",'Price History'!L162/'Price History'!L161-1),"")</f>
        <v>0.0491999733694324</v>
      </c>
      <c r="M161" s="153" t="n">
        <f aca="false">IFERROR(IF(OR(NOT(ISNUMBER('Price History'!M162)),NOT(ISNUMBER('Price History'!M161)),'Price History'!M161=0),"",'Price History'!M162/'Price History'!M161-1),"")</f>
        <v>-0.00434301958307015</v>
      </c>
      <c r="N161" s="153" t="n">
        <f aca="false">IFERROR(IF(OR(NOT(ISNUMBER('Price History'!N162)),NOT(ISNUMBER('Price History'!N161)),'Price History'!N161=0),"",'Price History'!N162/'Price History'!N161-1),"")</f>
        <v>-0.0407837473156085</v>
      </c>
      <c r="O161" s="153" t="n">
        <f aca="false">IFERROR(IF(OR(NOT(ISNUMBER('Price History'!O162)),NOT(ISNUMBER('Price History'!O161)),'Price History'!O161=0),"",'Price History'!O162/'Price History'!O161-1),"")</f>
        <v>-0.00315588406278544</v>
      </c>
      <c r="P161" s="153" t="n">
        <f aca="false">IFERROR(IF(OR(NOT(ISNUMBER('Price History'!P162)),NOT(ISNUMBER('Price History'!P161)),'Price History'!P161=0),"",'Price History'!P162/'Price History'!P161-1),"")</f>
        <v>-0.0108576229561169</v>
      </c>
      <c r="Q161" s="153" t="n">
        <f aca="false">IFERROR(IF(OR(NOT(ISNUMBER('Price History'!Q162)),NOT(ISNUMBER('Price History'!Q161)),'Price History'!Q161=0),"",'Price History'!Q162/'Price History'!Q161-1),"")</f>
        <v>-0.00229951135383721</v>
      </c>
      <c r="R161" s="153" t="n">
        <f aca="false">IFERROR(IF(OR(NOT(ISNUMBER('Price History'!R162)),NOT(ISNUMBER('Price History'!R161)),'Price History'!R161=0),"",'Price History'!R162/'Price History'!R161-1),"")</f>
        <v>0.0060985660128563</v>
      </c>
      <c r="S161" s="153" t="n">
        <f aca="false">IFERROR(IF(OR(NOT(ISNUMBER('Price History'!S162)),NOT(ISNUMBER('Price History'!S161)),'Price History'!S161=0),"",'Price History'!S162/'Price History'!S161-1),"")</f>
        <v>0.00202720376667531</v>
      </c>
      <c r="T161" s="153" t="n">
        <f aca="false">IFERROR(IF(OR(NOT(ISNUMBER('Price History'!T162)),NOT(ISNUMBER('Price History'!T161)),'Price History'!T161=0),"",'Price History'!T162/'Price History'!T161-1),"")</f>
        <v>0.00407687827606296</v>
      </c>
      <c r="U161" s="153" t="n">
        <f aca="false">IFERROR(IF(OR(NOT(ISNUMBER('Price History'!U162)),NOT(ISNUMBER('Price History'!U161)),'Price History'!U161=0),"",'Price History'!U162/'Price History'!U161-1),"")</f>
        <v>-0.0147545919903644</v>
      </c>
      <c r="V161" s="154" t="n">
        <f aca="false">IFERROR(IF(OR(NOT(ISNUMBER('Price History'!V162)),NOT(ISNUMBER('Price History'!V161)),'Price History'!V161=0),"",'Price History'!V162/'Price History'!V161-1),"")</f>
        <v>-0.0182916870814959</v>
      </c>
      <c r="W161" s="156" t="n">
        <f aca="false">IFERROR('Price History'!B3+(INDEX('Price History'!B:B,MATCH(9.99E+307,'Returns (Calc)'!$A:$A)+1)-'Price History'!B3)*(ROW()-3)/(MATCH(9.99E+307,'Returns (Calc)'!$A:$A)-3),"")</f>
        <v>244.072641509434</v>
      </c>
      <c r="X161" s="156" t="n">
        <f aca="false">IFERROR('Price History'!C3+(INDEX('Price History'!C:C,MATCH(9.99E+307,'Returns (Calc)'!$A:$A)+1)-'Price History'!C3)*(ROW()-3)/(MATCH(9.99E+307,'Returns (Calc)'!$A:$A)-3),"")</f>
        <v>215.667295597484</v>
      </c>
      <c r="Y161" s="156" t="n">
        <f aca="false">IFERROR('Price History'!D3+(INDEX('Price History'!D:D,MATCH(9.99E+307,'Returns (Calc)'!$A:$A)+1)-'Price History'!D3)*(ROW()-3)/(MATCH(9.99E+307,'Returns (Calc)'!$A:$A)-3),"")</f>
        <v>1772.80333333333</v>
      </c>
      <c r="Z161" s="156" t="n">
        <f aca="false">IFERROR('Price History'!E3+(INDEX('Price History'!E:E,MATCH(9.99E+307,'Returns (Calc)'!$A:$A)+1)-'Price History'!E3)*(ROW()-3)/(MATCH(9.99E+307,'Returns (Calc)'!$A:$A)-3),"")</f>
        <v>359.781886792453</v>
      </c>
      <c r="AA161" s="156" t="n">
        <f aca="false">IFERROR('Price History'!F3+(INDEX('Price History'!F:F,MATCH(9.99E+307,'Returns (Calc)'!$A:$A)+1)-'Price History'!F3)*(ROW()-3)/(MATCH(9.99E+307,'Returns (Calc)'!$A:$A)-3),"")</f>
        <v>273.570314465409</v>
      </c>
      <c r="AB161" s="156" t="n">
        <f aca="false">IFERROR('Price History'!G3+(INDEX('Price History'!G:G,MATCH(9.99E+307,'Returns (Calc)'!$A:$A)+1)-'Price History'!G3)*(ROW()-3)/(MATCH(9.99E+307,'Returns (Calc)'!$A:$A)-3),"")</f>
        <v>194.61893081761</v>
      </c>
      <c r="AC161" s="156" t="n">
        <f aca="false">IFERROR('Price History'!H3+(INDEX('Price History'!H:H,MATCH(9.99E+307,'Returns (Calc)'!$A:$A)+1)-'Price History'!H3)*(ROW()-3)/(MATCH(9.99E+307,'Returns (Calc)'!$A:$A)-3),"")</f>
        <v>1022.96295597484</v>
      </c>
      <c r="AD161" s="156" t="n">
        <f aca="false">IFERROR('Price History'!I3+(INDEX('Price History'!I:I,MATCH(9.99E+307,'Returns (Calc)'!$A:$A)+1)-'Price History'!I3)*(ROW()-3)/(MATCH(9.99E+307,'Returns (Calc)'!$A:$A)-3),"")</f>
        <v>228.113270440252</v>
      </c>
      <c r="AE161" s="156" t="n">
        <f aca="false">IFERROR('Price History'!J3+(INDEX('Price History'!J:J,MATCH(9.99E+307,'Returns (Calc)'!$A:$A)+1)-'Price History'!J3)*(ROW()-3)/(MATCH(9.99E+307,'Returns (Calc)'!$A:$A)-3),"")</f>
        <v>129.378993710692</v>
      </c>
      <c r="AF161" s="156" t="n">
        <f aca="false">IFERROR('Price History'!K3+(INDEX('Price History'!K:K,MATCH(9.99E+307,'Returns (Calc)'!$A:$A)+1)-'Price History'!K3)*(ROW()-3)/(MATCH(9.99E+307,'Returns (Calc)'!$A:$A)-3),"")</f>
        <v>207.831635220126</v>
      </c>
      <c r="AG161" s="156" t="n">
        <f aca="false">IFERROR('Price History'!L3+(INDEX('Price History'!L:L,MATCH(9.99E+307,'Returns (Calc)'!$A:$A)+1)-'Price History'!L3)*(ROW()-3)/(MATCH(9.99E+307,'Returns (Calc)'!$A:$A)-3),"")</f>
        <v>450.998301886793</v>
      </c>
      <c r="AH161" s="156" t="n">
        <f aca="false">IFERROR('Price History'!M3+(INDEX('Price History'!M:M,MATCH(9.99E+307,'Returns (Calc)'!$A:$A)+1)-'Price History'!M3)*(ROW()-3)/(MATCH(9.99E+307,'Returns (Calc)'!$A:$A)-3),"")</f>
        <v>241.492201257862</v>
      </c>
      <c r="AI161" s="156" t="n">
        <f aca="false">IFERROR('Price History'!N3+(INDEX('Price History'!N:N,MATCH(9.99E+307,'Returns (Calc)'!$A:$A)+1)-'Price History'!N3)*(ROW()-3)/(MATCH(9.99E+307,'Returns (Calc)'!$A:$A)-3),"")</f>
        <v>509.066289308176</v>
      </c>
      <c r="AJ161" s="156" t="n">
        <f aca="false">IFERROR('Price History'!O3+(INDEX('Price History'!O:O,MATCH(9.99E+307,'Returns (Calc)'!$A:$A)+1)-'Price History'!O3)*(ROW()-3)/(MATCH(9.99E+307,'Returns (Calc)'!$A:$A)-3),"")</f>
        <v>119.361194968553</v>
      </c>
      <c r="AK161" s="156" t="n">
        <f aca="false">IFERROR('Price History'!Q3+(INDEX('Price History'!Q:Q,MATCH(9.99E+307,'Returns (Calc)'!$A:$A)+1)-'Price History'!Q3)*(ROW()-3)/(MATCH(9.99E+307,'Returns (Calc)'!$A:$A)-3),"")</f>
        <v>69.5299371069182</v>
      </c>
      <c r="AL161" s="156" t="n">
        <f aca="false">IFERROR('Price History'!R3+(INDEX('Price History'!R:R,MATCH(9.99E+307,'Returns (Calc)'!$A:$A)+1)-'Price History'!R3)*(ROW()-3)/(MATCH(9.99E+307,'Returns (Calc)'!$A:$A)-3),"")</f>
        <v>60.922641509434</v>
      </c>
      <c r="AM161" s="156" t="n">
        <f aca="false">IFERROR('Price History'!S3+(INDEX('Price History'!S:S,MATCH(9.99E+307,'Returns (Calc)'!$A:$A)+1)-'Price History'!S3)*(ROW()-3)/(MATCH(9.99E+307,'Returns (Calc)'!$A:$A)-3),"")</f>
        <v>150.571761006289</v>
      </c>
      <c r="AN161" s="156" t="n">
        <f aca="false">IFERROR('Price History'!T3+(INDEX('Price History'!T:T,MATCH(9.99E+307,'Returns (Calc)'!$A:$A)+1)-'Price History'!T3)*(ROW()-3)/(MATCH(9.99E+307,'Returns (Calc)'!$A:$A)-3),"")</f>
        <v>52.6661006289308</v>
      </c>
      <c r="AO161" s="156" t="n">
        <f aca="false">IFERROR('Price History'!V3+(INDEX('Price History'!V:V,MATCH(9.99E+307,'Returns (Calc)'!$A:$A)+1)-'Price History'!V3)*(ROW()-3)/(MATCH(9.99E+307,'Returns (Calc)'!$A:$A)-3),"")</f>
        <v>384.507735849057</v>
      </c>
      <c r="AP161" s="154" t="n">
        <f aca="false">IFERROR(IF(OR(NOT(ISNUMBER('Price History'!W162)),NOT(ISNUMBER('Price History'!W161)),'Price History'!W161=0),"",'Price History'!W162/'Price History'!W161-1),"")</f>
        <v>-0.00773718924403855</v>
      </c>
      <c r="AQ161" s="154" t="n">
        <f aca="false">IFERROR(IF(OR(NOT(ISNUMBER('Price History'!X162)),NOT(ISNUMBER('Price History'!X161)),'Price History'!X161=0),"",'Price History'!X162/'Price History'!X161-1),"")</f>
        <v>0.00136986301369868</v>
      </c>
      <c r="AR161" s="154" t="n">
        <f aca="false">IFERROR(IF(OR(NOT(ISNUMBER('Price History'!Y162)),NOT(ISNUMBER('Price History'!Y161)),'Price History'!Y161=0),"",'Price History'!Y162/'Price History'!Y161-1),"")</f>
        <v>-0.00567174760723144</v>
      </c>
      <c r="AS161" s="154" t="n">
        <f aca="false">IFERROR(IF(OR(NOT(ISNUMBER('Price History'!Z162)),NOT(ISNUMBER('Price History'!Z161)),'Price History'!Z161=0),"",'Price History'!Z162/'Price History'!Z161-1),"")</f>
        <v>-0.0535840044091981</v>
      </c>
      <c r="AT161" s="154" t="n">
        <f aca="false">IFERROR(IF(OR(NOT(ISNUMBER('Price History'!AA162)),NOT(ISNUMBER('Price History'!AA161)),'Price History'!AA161=0),"",'Price History'!AA162/'Price History'!AA161-1),"")</f>
        <v>-0.0574841883345046</v>
      </c>
      <c r="AU161" s="154" t="n">
        <f aca="false">IFERROR(IF(OR(NOT(ISNUMBER('Price History'!AB162)),NOT(ISNUMBER('Price History'!AB161)),'Price History'!AB161=0),"",'Price History'!AB162/'Price History'!AB161-1),"")</f>
        <v>-0.0261864044463447</v>
      </c>
    </row>
    <row r="162" customFormat="false" ht="15" hidden="false" customHeight="true" outlineLevel="0" collapsed="false">
      <c r="A162" s="152" t="n">
        <f aca="false">IF('Price History'!A163="","",'Price History'!A163)</f>
        <v>46304</v>
      </c>
      <c r="B162" s="153" t="n">
        <f aca="false">IFERROR(IF(OR(NOT(ISNUMBER('Price History'!B163)),NOT(ISNUMBER('Price History'!B162)),'Price History'!B162=0),"",'Price History'!B163/'Price History'!B162-1),"")</f>
        <v>0.019268795489924</v>
      </c>
      <c r="C162" s="153" t="n">
        <f aca="false">IFERROR(IF(OR(NOT(ISNUMBER('Price History'!C163)),NOT(ISNUMBER('Price History'!C162)),'Price History'!C162=0),"",'Price History'!C163/'Price History'!C162-1),"")</f>
        <v>0.0452857487340246</v>
      </c>
      <c r="D162" s="153" t="n">
        <f aca="false">IFERROR(IF(OR(NOT(ISNUMBER('Price History'!D163)),NOT(ISNUMBER('Price History'!D162)),'Price History'!D162=0),"",'Price History'!D163/'Price History'!D162-1),"")</f>
        <v>-0.0465750196807172</v>
      </c>
      <c r="E162" s="153" t="n">
        <f aca="false">IFERROR(IF(OR(NOT(ISNUMBER('Price History'!E163)),NOT(ISNUMBER('Price History'!E162)),'Price History'!E162=0),"",'Price History'!E163/'Price History'!E162-1),"")</f>
        <v>0.0180210621163486</v>
      </c>
      <c r="F162" s="153" t="n">
        <f aca="false">IFERROR(IF(OR(NOT(ISNUMBER('Price History'!F163)),NOT(ISNUMBER('Price History'!F162)),'Price History'!F162=0),"",'Price History'!F163/'Price History'!F162-1),"")</f>
        <v>0.0185157754406755</v>
      </c>
      <c r="G162" s="153" t="n">
        <f aca="false">IFERROR(IF(OR(NOT(ISNUMBER('Price History'!G163)),NOT(ISNUMBER('Price History'!G162)),'Price History'!G162=0),"",'Price History'!G163/'Price History'!G162-1),"")</f>
        <v>-0.0547150659770892</v>
      </c>
      <c r="H162" s="153" t="n">
        <f aca="false">IFERROR(IF(OR(NOT(ISNUMBER('Price History'!H163)),NOT(ISNUMBER('Price History'!H162)),'Price History'!H162=0),"",'Price History'!H163/'Price History'!H162-1),"")</f>
        <v>-0.0426927406525319</v>
      </c>
      <c r="I162" s="153" t="n">
        <f aca="false">IFERROR(IF(OR(NOT(ISNUMBER('Price History'!I163)),NOT(ISNUMBER('Price History'!I162)),'Price History'!I162=0),"",'Price History'!I163/'Price History'!I162-1),"")</f>
        <v>-0.0199615302415045</v>
      </c>
      <c r="J162" s="153" t="n">
        <f aca="false">IFERROR(IF(OR(NOT(ISNUMBER('Price History'!J163)),NOT(ISNUMBER('Price History'!J162)),'Price History'!J162=0),"",'Price History'!J163/'Price History'!J162-1),"")</f>
        <v>0.00449926305174153</v>
      </c>
      <c r="K162" s="153" t="n">
        <f aca="false">IFERROR(IF(OR(NOT(ISNUMBER('Price History'!K163)),NOT(ISNUMBER('Price History'!K162)),'Price History'!K162=0),"",'Price History'!K163/'Price History'!K162-1),"")</f>
        <v>0.107549668874172</v>
      </c>
      <c r="L162" s="153" t="n">
        <f aca="false">IFERROR(IF(OR(NOT(ISNUMBER('Price History'!L163)),NOT(ISNUMBER('Price History'!L162)),'Price History'!L162=0),"",'Price History'!L163/'Price History'!L162-1),"")</f>
        <v>-0.0411819450907398</v>
      </c>
      <c r="M162" s="153" t="n">
        <f aca="false">IFERROR(IF(OR(NOT(ISNUMBER('Price History'!M163)),NOT(ISNUMBER('Price History'!M162)),'Price History'!M162=0),"",'Price History'!M163/'Price History'!M162-1),"")</f>
        <v>-0.0372749623284956</v>
      </c>
      <c r="N162" s="153" t="n">
        <f aca="false">IFERROR(IF(OR(NOT(ISNUMBER('Price History'!N163)),NOT(ISNUMBER('Price History'!N162)),'Price History'!N162=0),"",'Price History'!N163/'Price History'!N162-1),"")</f>
        <v>0.0105997265864917</v>
      </c>
      <c r="O162" s="153" t="n">
        <f aca="false">IFERROR(IF(OR(NOT(ISNUMBER('Price History'!O163)),NOT(ISNUMBER('Price History'!O162)),'Price History'!O162=0),"",'Price History'!O163/'Price History'!O162-1),"")</f>
        <v>-0.00324918770307425</v>
      </c>
      <c r="P162" s="153" t="n">
        <f aca="false">IFERROR(IF(OR(NOT(ISNUMBER('Price History'!P163)),NOT(ISNUMBER('Price History'!P162)),'Price History'!P162=0),"",'Price History'!P163/'Price History'!P162-1),"")</f>
        <v>0.0085592943482522</v>
      </c>
      <c r="Q162" s="153" t="n">
        <f aca="false">IFERROR(IF(OR(NOT(ISNUMBER('Price History'!Q163)),NOT(ISNUMBER('Price History'!Q162)),'Price History'!Q162=0),"",'Price History'!Q163/'Price History'!Q162-1),"")</f>
        <v>0.00792278882166508</v>
      </c>
      <c r="R162" s="153" t="n">
        <f aca="false">IFERROR(IF(OR(NOT(ISNUMBER('Price History'!R163)),NOT(ISNUMBER('Price History'!R162)),'Price History'!R162=0),"",'Price History'!R163/'Price History'!R162-1),"")</f>
        <v>0.000819134993446991</v>
      </c>
      <c r="S162" s="153" t="n">
        <f aca="false">IFERROR(IF(OR(NOT(ISNUMBER('Price History'!S163)),NOT(ISNUMBER('Price History'!S162)),'Price History'!S162=0),"",'Price History'!S163/'Price History'!S162-1),"")</f>
        <v>-0.0135091039613652</v>
      </c>
      <c r="T162" s="153" t="n">
        <f aca="false">IFERROR(IF(OR(NOT(ISNUMBER('Price History'!T163)),NOT(ISNUMBER('Price History'!T162)),'Price History'!T162=0),"",'Price History'!T163/'Price History'!T162-1),"")</f>
        <v>0.0216550657385926</v>
      </c>
      <c r="U162" s="153" t="n">
        <f aca="false">IFERROR(IF(OR(NOT(ISNUMBER('Price History'!U163)),NOT(ISNUMBER('Price History'!U162)),'Price History'!U162=0),"",'Price History'!U163/'Price History'!U162-1),"")</f>
        <v>0.00977995110024454</v>
      </c>
      <c r="V162" s="154" t="n">
        <f aca="false">IFERROR(IF(OR(NOT(ISNUMBER('Price History'!V163)),NOT(ISNUMBER('Price History'!V162)),'Price History'!V162=0),"",'Price History'!V163/'Price History'!V162-1),"")</f>
        <v>0.0687350967670382</v>
      </c>
      <c r="W162" s="156" t="n">
        <f aca="false">IFERROR('Price History'!B3+(INDEX('Price History'!B:B,MATCH(9.99E+307,'Returns (Calc)'!$A:$A)+1)-'Price History'!B3)*(ROW()-3)/(MATCH(9.99E+307,'Returns (Calc)'!$A:$A)-3),"")</f>
        <v>242.27</v>
      </c>
      <c r="X162" s="156" t="n">
        <f aca="false">IFERROR('Price History'!C3+(INDEX('Price History'!C:C,MATCH(9.99E+307,'Returns (Calc)'!$A:$A)+1)-'Price History'!C3)*(ROW()-3)/(MATCH(9.99E+307,'Returns (Calc)'!$A:$A)-3),"")</f>
        <v>216.74</v>
      </c>
      <c r="Y162" s="156" t="n">
        <f aca="false">IFERROR('Price History'!D3+(INDEX('Price History'!D:D,MATCH(9.99E+307,'Returns (Calc)'!$A:$A)+1)-'Price History'!D3)*(ROW()-3)/(MATCH(9.99E+307,'Returns (Calc)'!$A:$A)-3),"")</f>
        <v>1780.34</v>
      </c>
      <c r="Z162" s="156" t="n">
        <f aca="false">IFERROR('Price History'!E3+(INDEX('Price History'!E:E,MATCH(9.99E+307,'Returns (Calc)'!$A:$A)+1)-'Price History'!E3)*(ROW()-3)/(MATCH(9.99E+307,'Returns (Calc)'!$A:$A)-3),"")</f>
        <v>361.54</v>
      </c>
      <c r="AA162" s="156" t="n">
        <f aca="false">IFERROR('Price History'!F3+(INDEX('Price History'!F:F,MATCH(9.99E+307,'Returns (Calc)'!$A:$A)+1)-'Price History'!F3)*(ROW()-3)/(MATCH(9.99E+307,'Returns (Calc)'!$A:$A)-3),"")</f>
        <v>275.04</v>
      </c>
      <c r="AB162" s="156" t="n">
        <f aca="false">IFERROR('Price History'!G3+(INDEX('Price History'!G:G,MATCH(9.99E+307,'Returns (Calc)'!$A:$A)+1)-'Price History'!G3)*(ROW()-3)/(MATCH(9.99E+307,'Returns (Calc)'!$A:$A)-3),"")</f>
        <v>195.57</v>
      </c>
      <c r="AC162" s="156" t="n">
        <f aca="false">IFERROR('Price History'!H3+(INDEX('Price History'!H:H,MATCH(9.99E+307,'Returns (Calc)'!$A:$A)+1)-'Price History'!H3)*(ROW()-3)/(MATCH(9.99E+307,'Returns (Calc)'!$A:$A)-3),"")</f>
        <v>1029</v>
      </c>
      <c r="AD162" s="156" t="n">
        <f aca="false">IFERROR('Price History'!I3+(INDEX('Price History'!I:I,MATCH(9.99E+307,'Returns (Calc)'!$A:$A)+1)-'Price History'!I3)*(ROW()-3)/(MATCH(9.99E+307,'Returns (Calc)'!$A:$A)-3),"")</f>
        <v>229.28</v>
      </c>
      <c r="AE162" s="156" t="n">
        <f aca="false">IFERROR('Price History'!J3+(INDEX('Price History'!J:J,MATCH(9.99E+307,'Returns (Calc)'!$A:$A)+1)-'Price History'!J3)*(ROW()-3)/(MATCH(9.99E+307,'Returns (Calc)'!$A:$A)-3),"")</f>
        <v>129.49</v>
      </c>
      <c r="AF162" s="156" t="n">
        <f aca="false">IFERROR('Price History'!K3+(INDEX('Price History'!K:K,MATCH(9.99E+307,'Returns (Calc)'!$A:$A)+1)-'Price History'!K3)*(ROW()-3)/(MATCH(9.99E+307,'Returns (Calc)'!$A:$A)-3),"")</f>
        <v>209.05</v>
      </c>
      <c r="AG162" s="156" t="n">
        <f aca="false">IFERROR('Price History'!L3+(INDEX('Price History'!L:L,MATCH(9.99E+307,'Returns (Calc)'!$A:$A)+1)-'Price History'!L3)*(ROW()-3)/(MATCH(9.99E+307,'Returns (Calc)'!$A:$A)-3),"")</f>
        <v>453.31</v>
      </c>
      <c r="AH162" s="156" t="n">
        <f aca="false">IFERROR('Price History'!M3+(INDEX('Price History'!M:M,MATCH(9.99E+307,'Returns (Calc)'!$A:$A)+1)-'Price History'!M3)*(ROW()-3)/(MATCH(9.99E+307,'Returns (Calc)'!$A:$A)-3),"")</f>
        <v>242.78</v>
      </c>
      <c r="AI162" s="156" t="n">
        <f aca="false">IFERROR('Price History'!N3+(INDEX('Price History'!N:N,MATCH(9.99E+307,'Returns (Calc)'!$A:$A)+1)-'Price History'!N3)*(ROW()-3)/(MATCH(9.99E+307,'Returns (Calc)'!$A:$A)-3),"")</f>
        <v>510.08</v>
      </c>
      <c r="AJ162" s="156" t="n">
        <f aca="false">IFERROR('Price History'!O3+(INDEX('Price History'!O:O,MATCH(9.99E+307,'Returns (Calc)'!$A:$A)+1)-'Price History'!O3)*(ROW()-3)/(MATCH(9.99E+307,'Returns (Calc)'!$A:$A)-3),"")</f>
        <v>119.64</v>
      </c>
      <c r="AK162" s="156" t="n">
        <f aca="false">IFERROR('Price History'!Q3+(INDEX('Price History'!Q:Q,MATCH(9.99E+307,'Returns (Calc)'!$A:$A)+1)-'Price History'!Q3)*(ROW()-3)/(MATCH(9.99E+307,'Returns (Calc)'!$A:$A)-3),"")</f>
        <v>69.97</v>
      </c>
      <c r="AL162" s="156" t="n">
        <f aca="false">IFERROR('Price History'!R3+(INDEX('Price History'!R:R,MATCH(9.99E+307,'Returns (Calc)'!$A:$A)+1)-'Price History'!R3)*(ROW()-3)/(MATCH(9.99E+307,'Returns (Calc)'!$A:$A)-3),"")</f>
        <v>61.09</v>
      </c>
      <c r="AM162" s="156" t="n">
        <f aca="false">IFERROR('Price History'!S3+(INDEX('Price History'!S:S,MATCH(9.99E+307,'Returns (Calc)'!$A:$A)+1)-'Price History'!S3)*(ROW()-3)/(MATCH(9.99E+307,'Returns (Calc)'!$A:$A)-3),"")</f>
        <v>151.16</v>
      </c>
      <c r="AN162" s="156" t="n">
        <f aca="false">IFERROR('Price History'!T3+(INDEX('Price History'!T:T,MATCH(9.99E+307,'Returns (Calc)'!$A:$A)+1)-'Price History'!T3)*(ROW()-3)/(MATCH(9.99E+307,'Returns (Calc)'!$A:$A)-3),"")</f>
        <v>52.84</v>
      </c>
      <c r="AO162" s="156" t="n">
        <f aca="false">IFERROR('Price History'!V3+(INDEX('Price History'!V:V,MATCH(9.99E+307,'Returns (Calc)'!$A:$A)+1)-'Price History'!V3)*(ROW()-3)/(MATCH(9.99E+307,'Returns (Calc)'!$A:$A)-3),"")</f>
        <v>385.45</v>
      </c>
      <c r="AP162" s="154" t="n">
        <f aca="false">IFERROR(IF(OR(NOT(ISNUMBER('Price History'!W163)),NOT(ISNUMBER('Price History'!W162)),'Price History'!W162=0),"",'Price History'!W163/'Price History'!W162-1),"")</f>
        <v>0.0146363287741276</v>
      </c>
      <c r="AQ162" s="154" t="n">
        <f aca="false">IFERROR(IF(OR(NOT(ISNUMBER('Price History'!X163)),NOT(ISNUMBER('Price History'!X162)),'Price History'!X162=0),"",'Price History'!X163/'Price History'!X162-1),"")</f>
        <v>0.017783857729138</v>
      </c>
      <c r="AR162" s="154" t="n">
        <f aca="false">IFERROR(IF(OR(NOT(ISNUMBER('Price History'!Y163)),NOT(ISNUMBER('Price History'!Y162)),'Price History'!Y162=0),"",'Price History'!Y163/'Price History'!Y162-1),"")</f>
        <v>0.0119429590017826</v>
      </c>
      <c r="AS162" s="154" t="n">
        <f aca="false">IFERROR(IF(OR(NOT(ISNUMBER('Price History'!Z163)),NOT(ISNUMBER('Price History'!Z162)),'Price History'!Z162=0),"",'Price History'!Z163/'Price History'!Z162-1),"")</f>
        <v>-0.00287942023358889</v>
      </c>
      <c r="AT162" s="154" t="n">
        <f aca="false">IFERROR(IF(OR(NOT(ISNUMBER('Price History'!AA163)),NOT(ISNUMBER('Price History'!AA162)),'Price History'!AA162=0),"",'Price History'!AA163/'Price History'!AA162-1),"")</f>
        <v>0.0483149418431255</v>
      </c>
      <c r="AU162" s="154" t="n">
        <f aca="false">IFERROR(IF(OR(NOT(ISNUMBER('Price History'!AB163)),NOT(ISNUMBER('Price History'!AB162)),'Price History'!AB162=0),"",'Price History'!AB163/'Price History'!AB162-1),"")</f>
        <v>0.0834156514103832</v>
      </c>
    </row>
    <row r="163" customFormat="false" ht="15" hidden="false" customHeight="true" outlineLevel="0" collapsed="false">
      <c r="A163" s="152" t="str">
        <f aca="false">IF('Price History'!A164="","",'Price History'!A164)</f>
        <v/>
      </c>
      <c r="B163" s="153" t="str">
        <f aca="false">IFERROR(IF(OR(NOT(ISNUMBER('Price History'!B164)),NOT(ISNUMBER('Price History'!B163)),'Price History'!B163=0),"",'Price History'!B164/'Price History'!B163-1),"")</f>
        <v/>
      </c>
      <c r="C163" s="153" t="str">
        <f aca="false">IFERROR(IF(OR(NOT(ISNUMBER('Price History'!C164)),NOT(ISNUMBER('Price History'!C163)),'Price History'!C163=0),"",'Price History'!C164/'Price History'!C163-1),"")</f>
        <v/>
      </c>
      <c r="D163" s="153" t="str">
        <f aca="false">IFERROR(IF(OR(NOT(ISNUMBER('Price History'!D164)),NOT(ISNUMBER('Price History'!D163)),'Price History'!D163=0),"",'Price History'!D164/'Price History'!D163-1),"")</f>
        <v/>
      </c>
      <c r="E163" s="153" t="str">
        <f aca="false">IFERROR(IF(OR(NOT(ISNUMBER('Price History'!E164)),NOT(ISNUMBER('Price History'!E163)),'Price History'!E163=0),"",'Price History'!E164/'Price History'!E163-1),"")</f>
        <v/>
      </c>
      <c r="F163" s="153" t="str">
        <f aca="false">IFERROR(IF(OR(NOT(ISNUMBER('Price History'!F164)),NOT(ISNUMBER('Price History'!F163)),'Price History'!F163=0),"",'Price History'!F164/'Price History'!F163-1),"")</f>
        <v/>
      </c>
      <c r="G163" s="153" t="str">
        <f aca="false">IFERROR(IF(OR(NOT(ISNUMBER('Price History'!G164)),NOT(ISNUMBER('Price History'!G163)),'Price History'!G163=0),"",'Price History'!G164/'Price History'!G163-1),"")</f>
        <v/>
      </c>
      <c r="H163" s="153" t="str">
        <f aca="false">IFERROR(IF(OR(NOT(ISNUMBER('Price History'!H164)),NOT(ISNUMBER('Price History'!H163)),'Price History'!H163=0),"",'Price History'!H164/'Price History'!H163-1),"")</f>
        <v/>
      </c>
      <c r="I163" s="153" t="str">
        <f aca="false">IFERROR(IF(OR(NOT(ISNUMBER('Price History'!I164)),NOT(ISNUMBER('Price History'!I163)),'Price History'!I163=0),"",'Price History'!I164/'Price History'!I163-1),"")</f>
        <v/>
      </c>
      <c r="J163" s="153" t="str">
        <f aca="false">IFERROR(IF(OR(NOT(ISNUMBER('Price History'!J164)),NOT(ISNUMBER('Price History'!J163)),'Price History'!J163=0),"",'Price History'!J164/'Price History'!J163-1),"")</f>
        <v/>
      </c>
      <c r="K163" s="153" t="str">
        <f aca="false">IFERROR(IF(OR(NOT(ISNUMBER('Price History'!K164)),NOT(ISNUMBER('Price History'!K163)),'Price History'!K163=0),"",'Price History'!K164/'Price History'!K163-1),"")</f>
        <v/>
      </c>
      <c r="L163" s="153" t="str">
        <f aca="false">IFERROR(IF(OR(NOT(ISNUMBER('Price History'!L164)),NOT(ISNUMBER('Price History'!L163)),'Price History'!L163=0),"",'Price History'!L164/'Price History'!L163-1),"")</f>
        <v/>
      </c>
      <c r="M163" s="153" t="str">
        <f aca="false">IFERROR(IF(OR(NOT(ISNUMBER('Price History'!M164)),NOT(ISNUMBER('Price History'!M163)),'Price History'!M163=0),"",'Price History'!M164/'Price History'!M163-1),"")</f>
        <v/>
      </c>
      <c r="N163" s="153" t="str">
        <f aca="false">IFERROR(IF(OR(NOT(ISNUMBER('Price History'!N164)),NOT(ISNUMBER('Price History'!N163)),'Price History'!N163=0),"",'Price History'!N164/'Price History'!N163-1),"")</f>
        <v/>
      </c>
      <c r="O163" s="153" t="str">
        <f aca="false">IFERROR(IF(OR(NOT(ISNUMBER('Price History'!O164)),NOT(ISNUMBER('Price History'!O163)),'Price History'!O163=0),"",'Price History'!O164/'Price History'!O163-1),"")</f>
        <v/>
      </c>
      <c r="P163" s="153" t="str">
        <f aca="false">IFERROR(IF(OR(NOT(ISNUMBER('Price History'!P164)),NOT(ISNUMBER('Price History'!P163)),'Price History'!P163=0),"",'Price History'!P164/'Price History'!P163-1),"")</f>
        <v/>
      </c>
      <c r="Q163" s="153" t="str">
        <f aca="false">IFERROR(IF(OR(NOT(ISNUMBER('Price History'!Q164)),NOT(ISNUMBER('Price History'!Q163)),'Price History'!Q163=0),"",'Price History'!Q164/'Price History'!Q163-1),"")</f>
        <v/>
      </c>
      <c r="R163" s="153" t="str">
        <f aca="false">IFERROR(IF(OR(NOT(ISNUMBER('Price History'!R164)),NOT(ISNUMBER('Price History'!R163)),'Price History'!R163=0),"",'Price History'!R164/'Price History'!R163-1),"")</f>
        <v/>
      </c>
      <c r="S163" s="153" t="str">
        <f aca="false">IFERROR(IF(OR(NOT(ISNUMBER('Price History'!S164)),NOT(ISNUMBER('Price History'!S163)),'Price History'!S163=0),"",'Price History'!S164/'Price History'!S163-1),"")</f>
        <v/>
      </c>
      <c r="T163" s="153" t="str">
        <f aca="false">IFERROR(IF(OR(NOT(ISNUMBER('Price History'!T164)),NOT(ISNUMBER('Price History'!T163)),'Price History'!T163=0),"",'Price History'!T164/'Price History'!T163-1),"")</f>
        <v/>
      </c>
      <c r="U163" s="153" t="str">
        <f aca="false">IFERROR(IF(OR(NOT(ISNUMBER('Price History'!U164)),NOT(ISNUMBER('Price History'!U163)),'Price History'!U163=0),"",'Price History'!U164/'Price History'!U163-1),"")</f>
        <v/>
      </c>
      <c r="V163" s="154" t="str">
        <f aca="false">IFERROR(IF(OR(NOT(ISNUMBER('Price History'!V164)),NOT(ISNUMBER('Price History'!V163)),'Price History'!V163=0),"",'Price History'!V164/'Price History'!V163-1),"")</f>
        <v/>
      </c>
      <c r="W163" s="156" t="n">
        <f aca="false">IFERROR('Price History'!B3+(INDEX('Price History'!B:B,MATCH(9.99E+307,'Returns (Calc)'!$A:$A)+1)-'Price History'!B3)*(ROW()-3)/(MATCH(9.99E+307,'Returns (Calc)'!$A:$A)-3),"")</f>
        <v>240.467358490566</v>
      </c>
      <c r="X163" s="156" t="n">
        <f aca="false">IFERROR('Price History'!C3+(INDEX('Price History'!C:C,MATCH(9.99E+307,'Returns (Calc)'!$A:$A)+1)-'Price History'!C3)*(ROW()-3)/(MATCH(9.99E+307,'Returns (Calc)'!$A:$A)-3),"")</f>
        <v>217.812704402516</v>
      </c>
      <c r="Y163" s="156" t="n">
        <f aca="false">IFERROR('Price History'!D3+(INDEX('Price History'!D:D,MATCH(9.99E+307,'Returns (Calc)'!$A:$A)+1)-'Price History'!D3)*(ROW()-3)/(MATCH(9.99E+307,'Returns (Calc)'!$A:$A)-3),"")</f>
        <v>1787.87666666667</v>
      </c>
      <c r="Z163" s="156" t="n">
        <f aca="false">IFERROR('Price History'!E3+(INDEX('Price History'!E:E,MATCH(9.99E+307,'Returns (Calc)'!$A:$A)+1)-'Price History'!E3)*(ROW()-3)/(MATCH(9.99E+307,'Returns (Calc)'!$A:$A)-3),"")</f>
        <v>363.298113207547</v>
      </c>
      <c r="AA163" s="156" t="n">
        <f aca="false">IFERROR('Price History'!F3+(INDEX('Price History'!F:F,MATCH(9.99E+307,'Returns (Calc)'!$A:$A)+1)-'Price History'!F3)*(ROW()-3)/(MATCH(9.99E+307,'Returns (Calc)'!$A:$A)-3),"")</f>
        <v>276.509685534591</v>
      </c>
      <c r="AB163" s="156" t="n">
        <f aca="false">IFERROR('Price History'!G3+(INDEX('Price History'!G:G,MATCH(9.99E+307,'Returns (Calc)'!$A:$A)+1)-'Price History'!G3)*(ROW()-3)/(MATCH(9.99E+307,'Returns (Calc)'!$A:$A)-3),"")</f>
        <v>196.52106918239</v>
      </c>
      <c r="AC163" s="156" t="n">
        <f aca="false">IFERROR('Price History'!H3+(INDEX('Price History'!H:H,MATCH(9.99E+307,'Returns (Calc)'!$A:$A)+1)-'Price History'!H3)*(ROW()-3)/(MATCH(9.99E+307,'Returns (Calc)'!$A:$A)-3),"")</f>
        <v>1035.03704402516</v>
      </c>
      <c r="AD163" s="156" t="n">
        <f aca="false">IFERROR('Price History'!I3+(INDEX('Price History'!I:I,MATCH(9.99E+307,'Returns (Calc)'!$A:$A)+1)-'Price History'!I3)*(ROW()-3)/(MATCH(9.99E+307,'Returns (Calc)'!$A:$A)-3),"")</f>
        <v>230.446729559748</v>
      </c>
      <c r="AE163" s="156" t="n">
        <f aca="false">IFERROR('Price History'!J3+(INDEX('Price History'!J:J,MATCH(9.99E+307,'Returns (Calc)'!$A:$A)+1)-'Price History'!J3)*(ROW()-3)/(MATCH(9.99E+307,'Returns (Calc)'!$A:$A)-3),"")</f>
        <v>129.601006289308</v>
      </c>
      <c r="AF163" s="156" t="n">
        <f aca="false">IFERROR('Price History'!K3+(INDEX('Price History'!K:K,MATCH(9.99E+307,'Returns (Calc)'!$A:$A)+1)-'Price History'!K3)*(ROW()-3)/(MATCH(9.99E+307,'Returns (Calc)'!$A:$A)-3),"")</f>
        <v>210.268364779874</v>
      </c>
      <c r="AG163" s="156" t="n">
        <f aca="false">IFERROR('Price History'!L3+(INDEX('Price History'!L:L,MATCH(9.99E+307,'Returns (Calc)'!$A:$A)+1)-'Price History'!L3)*(ROW()-3)/(MATCH(9.99E+307,'Returns (Calc)'!$A:$A)-3),"")</f>
        <v>455.621698113208</v>
      </c>
      <c r="AH163" s="156" t="n">
        <f aca="false">IFERROR('Price History'!M3+(INDEX('Price History'!M:M,MATCH(9.99E+307,'Returns (Calc)'!$A:$A)+1)-'Price History'!M3)*(ROW()-3)/(MATCH(9.99E+307,'Returns (Calc)'!$A:$A)-3),"")</f>
        <v>244.067798742138</v>
      </c>
      <c r="AI163" s="156" t="n">
        <f aca="false">IFERROR('Price History'!N3+(INDEX('Price History'!N:N,MATCH(9.99E+307,'Returns (Calc)'!$A:$A)+1)-'Price History'!N3)*(ROW()-3)/(MATCH(9.99E+307,'Returns (Calc)'!$A:$A)-3),"")</f>
        <v>511.093710691824</v>
      </c>
      <c r="AJ163" s="156" t="n">
        <f aca="false">IFERROR('Price History'!O3+(INDEX('Price History'!O:O,MATCH(9.99E+307,'Returns (Calc)'!$A:$A)+1)-'Price History'!O3)*(ROW()-3)/(MATCH(9.99E+307,'Returns (Calc)'!$A:$A)-3),"")</f>
        <v>119.918805031447</v>
      </c>
      <c r="AK163" s="156" t="n">
        <f aca="false">IFERROR('Price History'!Q3+(INDEX('Price History'!Q:Q,MATCH(9.99E+307,'Returns (Calc)'!$A:$A)+1)-'Price History'!Q3)*(ROW()-3)/(MATCH(9.99E+307,'Returns (Calc)'!$A:$A)-3),"")</f>
        <v>70.4100628930818</v>
      </c>
      <c r="AL163" s="156" t="n">
        <f aca="false">IFERROR('Price History'!R3+(INDEX('Price History'!R:R,MATCH(9.99E+307,'Returns (Calc)'!$A:$A)+1)-'Price History'!R3)*(ROW()-3)/(MATCH(9.99E+307,'Returns (Calc)'!$A:$A)-3),"")</f>
        <v>61.257358490566</v>
      </c>
      <c r="AM163" s="156" t="n">
        <f aca="false">IFERROR('Price History'!S3+(INDEX('Price History'!S:S,MATCH(9.99E+307,'Returns (Calc)'!$A:$A)+1)-'Price History'!S3)*(ROW()-3)/(MATCH(9.99E+307,'Returns (Calc)'!$A:$A)-3),"")</f>
        <v>151.748238993711</v>
      </c>
      <c r="AN163" s="156" t="n">
        <f aca="false">IFERROR('Price History'!T3+(INDEX('Price History'!T:T,MATCH(9.99E+307,'Returns (Calc)'!$A:$A)+1)-'Price History'!T3)*(ROW()-3)/(MATCH(9.99E+307,'Returns (Calc)'!$A:$A)-3),"")</f>
        <v>53.0138993710692</v>
      </c>
      <c r="AO163" s="156" t="n">
        <f aca="false">IFERROR('Price History'!V3+(INDEX('Price History'!V:V,MATCH(9.99E+307,'Returns (Calc)'!$A:$A)+1)-'Price History'!V3)*(ROW()-3)/(MATCH(9.99E+307,'Returns (Calc)'!$A:$A)-3),"")</f>
        <v>386.392264150943</v>
      </c>
      <c r="AP163" s="154" t="str">
        <f aca="false">IFERROR(IF(OR(NOT(ISNUMBER('Price History'!W164)),NOT(ISNUMBER('Price History'!W163)),'Price History'!W163=0),"",'Price History'!W164/'Price History'!W163-1),"")</f>
        <v/>
      </c>
      <c r="AQ163" s="154" t="str">
        <f aca="false">IFERROR(IF(OR(NOT(ISNUMBER('Price History'!X164)),NOT(ISNUMBER('Price History'!X163)),'Price History'!X163=0),"",'Price History'!X164/'Price History'!X163-1),"")</f>
        <v/>
      </c>
      <c r="AR163" s="154" t="str">
        <f aca="false">IFERROR(IF(OR(NOT(ISNUMBER('Price History'!Y164)),NOT(ISNUMBER('Price History'!Y163)),'Price History'!Y163=0),"",'Price History'!Y164/'Price History'!Y163-1),"")</f>
        <v/>
      </c>
      <c r="AS163" s="154" t="str">
        <f aca="false">IFERROR(IF(OR(NOT(ISNUMBER('Price History'!Z164)),NOT(ISNUMBER('Price History'!Z163)),'Price History'!Z163=0),"",'Price History'!Z164/'Price History'!Z163-1),"")</f>
        <v/>
      </c>
      <c r="AT163" s="154" t="str">
        <f aca="false">IFERROR(IF(OR(NOT(ISNUMBER('Price History'!AA164)),NOT(ISNUMBER('Price History'!AA163)),'Price History'!AA163=0),"",'Price History'!AA164/'Price History'!AA163-1),"")</f>
        <v/>
      </c>
      <c r="AU163" s="154" t="str">
        <f aca="false">IFERROR(IF(OR(NOT(ISNUMBER('Price History'!AB164)),NOT(ISNUMBER('Price History'!AB163)),'Price History'!AB163=0),"",'Price History'!AB164/'Price History'!AB163-1),"")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7" t="s">
        <v>471</v>
      </c>
      <c r="B1" s="157"/>
      <c r="C1" s="157"/>
      <c r="D1" s="157"/>
      <c r="E1" s="157"/>
      <c r="F1" s="157"/>
      <c r="G1" s="157"/>
      <c r="H1" s="157"/>
      <c r="I1" s="157"/>
      <c r="J1" s="157"/>
      <c r="K1" s="157"/>
      <c r="L1" s="157"/>
      <c r="M1" s="157"/>
      <c r="N1" s="157"/>
      <c r="O1" s="157"/>
      <c r="P1" s="157"/>
      <c r="Q1" s="157"/>
      <c r="R1" s="157"/>
      <c r="S1" s="157"/>
      <c r="T1" s="157"/>
      <c r="U1" s="157"/>
      <c r="V1" s="157"/>
      <c r="W1" s="157"/>
      <c r="X1" s="157"/>
      <c r="Y1" s="157"/>
      <c r="Z1" s="157"/>
      <c r="AA1" s="157"/>
      <c r="AB1" s="157"/>
      <c r="AC1" s="157"/>
      <c r="AD1" s="157"/>
      <c r="AE1" s="157"/>
      <c r="AF1" s="157"/>
      <c r="AG1" s="157"/>
    </row>
    <row r="2" customFormat="false" ht="15" hidden="false" customHeight="true" outlineLevel="0" collapsed="false">
      <c r="A2" s="158" t="s">
        <v>472</v>
      </c>
      <c r="J2" s="159" t="n">
        <f aca="false">COUNTIF(AG6:AG32,"&gt;1")</f>
        <v>11</v>
      </c>
    </row>
    <row r="3" customFormat="false" ht="15" hidden="false" customHeight="true" outlineLevel="0" collapsed="false">
      <c r="A3" s="158" t="s">
        <v>473</v>
      </c>
      <c r="J3" s="159" t="str">
        <f aca="false">IF(J2&gt;0,"REVIEW REQUIRED","OK")</f>
        <v>REVIEW REQUIRED</v>
      </c>
    </row>
    <row r="5" customFormat="false" ht="27.75" hidden="false" customHeight="true" outlineLevel="0" collapsed="false">
      <c r="A5" s="160" t="s">
        <v>82</v>
      </c>
      <c r="B5" s="160" t="str">
        <f aca="false">'Returns (Calc)'!B2</f>
        <v>ADBE</v>
      </c>
      <c r="C5" s="160" t="str">
        <f aca="false">'Returns (Calc)'!C2</f>
        <v>ANET</v>
      </c>
      <c r="D5" s="160" t="str">
        <f aca="false">'Returns (Calc)'!D2</f>
        <v>ASML</v>
      </c>
      <c r="E5" s="160" t="str">
        <f aca="false">'Returns (Calc)'!E2</f>
        <v>AVGO</v>
      </c>
      <c r="F5" s="160" t="str">
        <f aca="false">'Returns (Calc)'!F2</f>
        <v>CRWD</v>
      </c>
      <c r="G5" s="160" t="str">
        <f aca="false">'Returns (Calc)'!G2</f>
        <v>KLAC</v>
      </c>
      <c r="H5" s="160" t="str">
        <f aca="false">'Returns (Calc)'!H2</f>
        <v>MU</v>
      </c>
      <c r="I5" s="160" t="str">
        <f aca="false">'Returns (Calc)'!I2</f>
        <v>NVDA</v>
      </c>
      <c r="J5" s="160" t="str">
        <f aca="false">'Returns (Calc)'!J2</f>
        <v>PLD</v>
      </c>
      <c r="K5" s="160" t="str">
        <f aca="false">'Returns (Calc)'!K2</f>
        <v>PLTR</v>
      </c>
      <c r="L5" s="160" t="str">
        <f aca="false">'Returns (Calc)'!L2</f>
        <v>TSM</v>
      </c>
      <c r="M5" s="160" t="str">
        <f aca="false">'Returns (Calc)'!M2</f>
        <v>VRT</v>
      </c>
      <c r="N5" s="160" t="str">
        <f aca="false">'Returns (Calc)'!N2</f>
        <v>VRTX</v>
      </c>
      <c r="O5" s="160" t="str">
        <f aca="false">'Returns (Calc)'!O2</f>
        <v>AVUV</v>
      </c>
      <c r="P5" s="160" t="str">
        <f aca="false">'Returns (Calc)'!P2</f>
        <v>DVY</v>
      </c>
      <c r="Q5" s="160" t="str">
        <f aca="false">'Returns (Calc)'!Q2</f>
        <v>HELO</v>
      </c>
      <c r="R5" s="160" t="str">
        <f aca="false">'Returns (Calc)'!R2</f>
        <v>JEPQ</v>
      </c>
      <c r="S5" s="160" t="str">
        <f aca="false">'Returns (Calc)'!S2</f>
        <v>SPMO</v>
      </c>
      <c r="T5" s="160" t="str">
        <f aca="false">'Returns (Calc)'!T2</f>
        <v>VFLO</v>
      </c>
      <c r="U5" s="160" t="str">
        <f aca="false">'Returns (Calc)'!U2</f>
        <v>SCHD</v>
      </c>
      <c r="V5" s="160" t="str">
        <f aca="false">'Returns (Calc)'!V2</f>
        <v>V</v>
      </c>
      <c r="W5" s="160" t="str">
        <f aca="false">'Returns (Calc)'!AP2</f>
        <v>VYM</v>
      </c>
      <c r="X5" s="160" t="str">
        <f aca="false">'Returns (Calc)'!AQ2</f>
        <v>MLPI</v>
      </c>
      <c r="Y5" s="160" t="str">
        <f aca="false">'Returns (Calc)'!AR2</f>
        <v>JEPI</v>
      </c>
      <c r="Z5" s="160" t="str">
        <f aca="false">'Returns (Calc)'!AS2</f>
        <v>GE</v>
      </c>
      <c r="AA5" s="160" t="str">
        <f aca="false">'Returns (Calc)'!AT2</f>
        <v>NFLX</v>
      </c>
      <c r="AB5" s="160" t="str">
        <f aca="false">'Returns (Calc)'!AU2</f>
        <v>VEEV</v>
      </c>
      <c r="AC5" s="161"/>
      <c r="AD5" s="161"/>
      <c r="AE5" s="161"/>
      <c r="AF5" s="161"/>
      <c r="AG5" s="160" t="s">
        <v>474</v>
      </c>
    </row>
    <row r="6" customFormat="false" ht="15" hidden="false" customHeight="true" outlineLevel="0" collapsed="false">
      <c r="A6" s="162" t="str">
        <f aca="false">'Returns (Calc)'!B2</f>
        <v>ADBE</v>
      </c>
      <c r="B6" s="163" t="n">
        <v>1</v>
      </c>
      <c r="C6" s="163" t="n">
        <f aca="false">IFERROR(ROUND(CORREL('Returns (Calc)'!$B$3:$B$500,'Returns (Calc)'!$C$3:$C$500),2),"")</f>
        <v>0.2</v>
      </c>
      <c r="D6" s="163" t="n">
        <f aca="false">IFERROR(ROUND(CORREL('Returns (Calc)'!$B$3:$B$500,'Returns (Calc)'!$D$3:$D$500),2),"")</f>
        <v>0.01</v>
      </c>
      <c r="E6" s="163" t="n">
        <f aca="false">IFERROR(ROUND(CORREL('Returns (Calc)'!$B$3:$B$500,'Returns (Calc)'!$E$3:$E$500),2),"")</f>
        <v>0.17</v>
      </c>
      <c r="F6" s="163" t="n">
        <f aca="false">IFERROR(ROUND(CORREL('Returns (Calc)'!$B$3:$B$500,'Returns (Calc)'!$F$3:$F$500),2),"")</f>
        <v>0.4</v>
      </c>
      <c r="G6" s="163" t="n">
        <f aca="false">IFERROR(ROUND(CORREL('Returns (Calc)'!$B$3:$B$500,'Returns (Calc)'!$G$3:$G$500),2),"")</f>
        <v>-0.06</v>
      </c>
      <c r="H6" s="163" t="n">
        <f aca="false">IFERROR(ROUND(CORREL('Returns (Calc)'!$B$3:$B$500,'Returns (Calc)'!$H$3:$H$500),2),"")</f>
        <v>0.04</v>
      </c>
      <c r="I6" s="163" t="n">
        <f aca="false">IFERROR(ROUND(CORREL('Returns (Calc)'!$B$3:$B$500,'Returns (Calc)'!$I$3:$I$500),2),"")</f>
        <v>0.21</v>
      </c>
      <c r="J6" s="163" t="n">
        <f aca="false">IFERROR(ROUND(CORREL('Returns (Calc)'!$B$3:$B$500,'Returns (Calc)'!$J$3:$J$500),2),"")</f>
        <v>0.18</v>
      </c>
      <c r="K6" s="163" t="n">
        <f aca="false">IFERROR(ROUND(CORREL('Returns (Calc)'!$B$3:$B$500,'Returns (Calc)'!$K$3:$K$500),2),"")</f>
        <v>0.38</v>
      </c>
      <c r="L6" s="163" t="n">
        <f aca="false">IFERROR(ROUND(CORREL('Returns (Calc)'!$B$3:$B$500,'Returns (Calc)'!$L$3:$L$500),2),"")</f>
        <v>0.15</v>
      </c>
      <c r="M6" s="163" t="n">
        <f aca="false">IFERROR(ROUND(CORREL('Returns (Calc)'!$B$3:$B$500,'Returns (Calc)'!$M$3:$M$500),2),"")</f>
        <v>0.05</v>
      </c>
      <c r="N6" s="163" t="n">
        <f aca="false">IFERROR(ROUND(CORREL('Returns (Calc)'!$B$3:$B$500,'Returns (Calc)'!$N$3:$N$500),2),"")</f>
        <v>0.14</v>
      </c>
      <c r="O6" s="163" t="n">
        <f aca="false">IFERROR(ROUND(CORREL('Returns (Calc)'!$B$3:$B$500,'Returns (Calc)'!$O$3:$O$500),2),"")</f>
        <v>0.16</v>
      </c>
      <c r="P6" s="163" t="n">
        <f aca="false">IFERROR(ROUND(CORREL('Returns (Calc)'!$B$3:$B$500,'Returns (Calc)'!$P$3:$P$500),2),"")</f>
        <v>0.14</v>
      </c>
      <c r="Q6" s="163" t="n">
        <f aca="false">IFERROR(ROUND(CORREL('Returns (Calc)'!$B$3:$B$500,'Returns (Calc)'!$Q$3:$Q$500),2),"")</f>
        <v>0.44</v>
      </c>
      <c r="R6" s="163" t="n">
        <f aca="false">IFERROR(ROUND(CORREL('Returns (Calc)'!$B$3:$B$500,'Returns (Calc)'!$R$3:$R$500),2),"")</f>
        <v>0.34</v>
      </c>
      <c r="S6" s="163" t="n">
        <f aca="false">IFERROR(ROUND(CORREL('Returns (Calc)'!$B$3:$B$500,'Returns (Calc)'!$S$3:$S$500),2),"")</f>
        <v>0.23</v>
      </c>
      <c r="T6" s="163" t="n">
        <f aca="false">IFERROR(ROUND(CORREL('Returns (Calc)'!$B$3:$B$500,'Returns (Calc)'!$T$3:$T$500),2),"")</f>
        <v>0.42</v>
      </c>
      <c r="U6" s="163" t="n">
        <f aca="false">IFERROR(ROUND(CORREL('Returns (Calc)'!$B$3:$B$500,'Returns (Calc)'!$U$3:$U$500),2),"")</f>
        <v>0.22</v>
      </c>
      <c r="V6" s="163" t="n">
        <f aca="false">IFERROR(ROUND(CORREL('Returns (Calc)'!$B$3:$B$500,'Returns (Calc)'!$V$3:$V$500),2),"")</f>
        <v>0.4</v>
      </c>
      <c r="W6" s="163" t="n">
        <f aca="false">IFERROR(ROUND(CORREL('Returns (Calc)'!$B$3:$B$500,'Returns (Calc)'!$AP$3:$AP$500),2),"")</f>
        <v>0.22</v>
      </c>
      <c r="X6" s="163" t="n">
        <f aca="false">IFERROR(ROUND(CORREL('Returns (Calc)'!$B$3:$B$500,'Returns (Calc)'!$AQ$3:$AQ$500),2),"")</f>
        <v>-0.23</v>
      </c>
      <c r="Y6" s="163" t="n">
        <f aca="false">IFERROR(ROUND(CORREL('Returns (Calc)'!$B$3:$B$500,'Returns (Calc)'!$AR$3:$AR$500),2),"")</f>
        <v>0.33</v>
      </c>
      <c r="Z6" s="163" t="n">
        <f aca="false">IFERROR(ROUND(CORREL('Returns (Calc)'!$B$3:$B$500,'Returns (Calc)'!$AS$3:$AS$500),2),"")</f>
        <v>0.09</v>
      </c>
      <c r="AA6" s="163" t="n">
        <f aca="false">IFERROR(ROUND(CORREL('Returns (Calc)'!$B$3:$B$500,'Returns (Calc)'!$AT$3:$AT$500),2),"")</f>
        <v>0.22</v>
      </c>
      <c r="AB6" s="163" t="n">
        <f aca="false">IFERROR(ROUND(CORREL('Returns (Calc)'!$B$3:$B$500,'Returns (Calc)'!$AU$3:$AU$500),2),"")</f>
        <v>0.52</v>
      </c>
      <c r="AG6" s="164" t="n">
        <f aca="false">COUNTIF(B6:AB6,"&gt;0.7")-1</f>
        <v>0</v>
      </c>
    </row>
    <row r="7" customFormat="false" ht="15" hidden="false" customHeight="true" outlineLevel="0" collapsed="false">
      <c r="A7" s="162" t="str">
        <f aca="false">'Returns (Calc)'!C2</f>
        <v>ANET</v>
      </c>
      <c r="B7" s="163" t="n">
        <f aca="false">IFERROR(ROUND(CORREL('Returns (Calc)'!$C$3:$C$500,'Returns (Calc)'!$B$3:$B$500),2),"")</f>
        <v>0.2</v>
      </c>
      <c r="C7" s="163" t="n">
        <v>1</v>
      </c>
      <c r="D7" s="163" t="n">
        <f aca="false">IFERROR(ROUND(CORREL('Returns (Calc)'!$C$3:$C$500,'Returns (Calc)'!$D$3:$D$500),2),"")</f>
        <v>0.39</v>
      </c>
      <c r="E7" s="163" t="n">
        <f aca="false">IFERROR(ROUND(CORREL('Returns (Calc)'!$C$3:$C$500,'Returns (Calc)'!$E$3:$E$500),2),"")</f>
        <v>0.59</v>
      </c>
      <c r="F7" s="163" t="n">
        <f aca="false">IFERROR(ROUND(CORREL('Returns (Calc)'!$C$3:$C$500,'Returns (Calc)'!$F$3:$F$500),2),"")</f>
        <v>0.37</v>
      </c>
      <c r="G7" s="163" t="n">
        <f aca="false">IFERROR(ROUND(CORREL('Returns (Calc)'!$C$3:$C$500,'Returns (Calc)'!$G$3:$G$500),2),"")</f>
        <v>0.43</v>
      </c>
      <c r="H7" s="163" t="n">
        <f aca="false">IFERROR(ROUND(CORREL('Returns (Calc)'!$C$3:$C$500,'Returns (Calc)'!$H$3:$H$500),2),"")</f>
        <v>0.34</v>
      </c>
      <c r="I7" s="163" t="n">
        <f aca="false">IFERROR(ROUND(CORREL('Returns (Calc)'!$C$3:$C$500,'Returns (Calc)'!$I$3:$I$500),2),"")</f>
        <v>0.52</v>
      </c>
      <c r="J7" s="163" t="n">
        <f aca="false">IFERROR(ROUND(CORREL('Returns (Calc)'!$C$3:$C$500,'Returns (Calc)'!$J$3:$J$500),2),"")</f>
        <v>0.18</v>
      </c>
      <c r="K7" s="163" t="n">
        <f aca="false">IFERROR(ROUND(CORREL('Returns (Calc)'!$C$3:$C$500,'Returns (Calc)'!$K$3:$K$500),2),"")</f>
        <v>0.34</v>
      </c>
      <c r="L7" s="163" t="n">
        <f aca="false">IFERROR(ROUND(CORREL('Returns (Calc)'!$C$3:$C$500,'Returns (Calc)'!$L$3:$L$500),2),"")</f>
        <v>0.55</v>
      </c>
      <c r="M7" s="163" t="n">
        <f aca="false">IFERROR(ROUND(CORREL('Returns (Calc)'!$C$3:$C$500,'Returns (Calc)'!$M$3:$M$500),2),"")</f>
        <v>0.58</v>
      </c>
      <c r="N7" s="163" t="n">
        <f aca="false">IFERROR(ROUND(CORREL('Returns (Calc)'!$C$3:$C$500,'Returns (Calc)'!$N$3:$N$500),2),"")</f>
        <v>0.05</v>
      </c>
      <c r="O7" s="163" t="n">
        <f aca="false">IFERROR(ROUND(CORREL('Returns (Calc)'!$C$3:$C$500,'Returns (Calc)'!$O$3:$O$500),2),"")</f>
        <v>0.35</v>
      </c>
      <c r="P7" s="163" t="n">
        <f aca="false">IFERROR(ROUND(CORREL('Returns (Calc)'!$C$3:$C$500,'Returns (Calc)'!$P$3:$P$500),2),"")</f>
        <v>0.24</v>
      </c>
      <c r="Q7" s="163" t="n">
        <f aca="false">IFERROR(ROUND(CORREL('Returns (Calc)'!$C$3:$C$500,'Returns (Calc)'!$Q$3:$Q$500),2),"")</f>
        <v>0.65</v>
      </c>
      <c r="R7" s="163" t="n">
        <f aca="false">IFERROR(ROUND(CORREL('Returns (Calc)'!$C$3:$C$500,'Returns (Calc)'!$R$3:$R$500),2),"")</f>
        <v>0.67</v>
      </c>
      <c r="S7" s="163" t="n">
        <f aca="false">IFERROR(ROUND(CORREL('Returns (Calc)'!$C$3:$C$500,'Returns (Calc)'!$S$3:$S$500),2),"")</f>
        <v>0.64</v>
      </c>
      <c r="T7" s="163" t="n">
        <f aca="false">IFERROR(ROUND(CORREL('Returns (Calc)'!$C$3:$C$500,'Returns (Calc)'!$T$3:$T$500),2),"")</f>
        <v>0.34</v>
      </c>
      <c r="U7" s="163" t="n">
        <f aca="false">IFERROR(ROUND(CORREL('Returns (Calc)'!$C$3:$C$500,'Returns (Calc)'!$U$3:$U$500),2),"")</f>
        <v>0.27</v>
      </c>
      <c r="V7" s="163" t="n">
        <f aca="false">IFERROR(ROUND(CORREL('Returns (Calc)'!$C$3:$C$500,'Returns (Calc)'!$V$3:$V$500),2),"")</f>
        <v>0.25</v>
      </c>
      <c r="W7" s="163" t="n">
        <f aca="false">IFERROR(ROUND(CORREL('Returns (Calc)'!$C$3:$C$500,'Returns (Calc)'!$AP$3:$AP$500),2),"")</f>
        <v>0.46</v>
      </c>
      <c r="X7" s="163" t="n">
        <f aca="false">IFERROR(ROUND(CORREL('Returns (Calc)'!$C$3:$C$500,'Returns (Calc)'!$AQ$3:$AQ$500),2),"")</f>
        <v>-0.03</v>
      </c>
      <c r="Y7" s="163" t="n">
        <f aca="false">IFERROR(ROUND(CORREL('Returns (Calc)'!$C$3:$C$500,'Returns (Calc)'!$AR$3:$AR$500),2),"")</f>
        <v>0.51</v>
      </c>
      <c r="Z7" s="163" t="n">
        <f aca="false">IFERROR(ROUND(CORREL('Returns (Calc)'!$C$3:$C$500,'Returns (Calc)'!$AS$3:$AS$500),2),"")</f>
        <v>0.34</v>
      </c>
      <c r="AA7" s="163" t="n">
        <f aca="false">IFERROR(ROUND(CORREL('Returns (Calc)'!$C$3:$C$500,'Returns (Calc)'!$AT$3:$AT$500),2),"")</f>
        <v>0.39</v>
      </c>
      <c r="AB7" s="163" t="n">
        <f aca="false">IFERROR(ROUND(CORREL('Returns (Calc)'!$C$3:$C$500,'Returns (Calc)'!$AU$3:$AU$500),2),"")</f>
        <v>0.13</v>
      </c>
      <c r="AG7" s="164" t="n">
        <f aca="false">COUNTIF(B7:AB7,"&gt;0.7")-1</f>
        <v>0</v>
      </c>
    </row>
    <row r="8" customFormat="false" ht="15" hidden="false" customHeight="true" outlineLevel="0" collapsed="false">
      <c r="A8" s="162" t="str">
        <f aca="false">'Returns (Calc)'!D2</f>
        <v>ASML</v>
      </c>
      <c r="B8" s="163" t="n">
        <f aca="false">IFERROR(ROUND(CORREL('Returns (Calc)'!$D$3:$D$500,'Returns (Calc)'!$B$3:$B$500),2),"")</f>
        <v>0.01</v>
      </c>
      <c r="C8" s="163" t="n">
        <f aca="false">IFERROR(ROUND(CORREL('Returns (Calc)'!$D$3:$D$500,'Returns (Calc)'!$C$3:$C$500),2),"")</f>
        <v>0.39</v>
      </c>
      <c r="D8" s="163" t="n">
        <v>1</v>
      </c>
      <c r="E8" s="163" t="n">
        <f aca="false">IFERROR(ROUND(CORREL('Returns (Calc)'!$D$3:$D$500,'Returns (Calc)'!$E$3:$E$500),2),"")</f>
        <v>0.49</v>
      </c>
      <c r="F8" s="163" t="n">
        <f aca="false">IFERROR(ROUND(CORREL('Returns (Calc)'!$D$3:$D$500,'Returns (Calc)'!$F$3:$F$500),2),"")</f>
        <v>0.32</v>
      </c>
      <c r="G8" s="163" t="n">
        <f aca="false">IFERROR(ROUND(CORREL('Returns (Calc)'!$D$3:$D$500,'Returns (Calc)'!$G$3:$G$500),2),"")</f>
        <v>0.78</v>
      </c>
      <c r="H8" s="163" t="n">
        <f aca="false">IFERROR(ROUND(CORREL('Returns (Calc)'!$D$3:$D$500,'Returns (Calc)'!$H$3:$H$500),2),"")</f>
        <v>0.6</v>
      </c>
      <c r="I8" s="163" t="n">
        <f aca="false">IFERROR(ROUND(CORREL('Returns (Calc)'!$D$3:$D$500,'Returns (Calc)'!$I$3:$I$500),2),"")</f>
        <v>0.49</v>
      </c>
      <c r="J8" s="163" t="n">
        <f aca="false">IFERROR(ROUND(CORREL('Returns (Calc)'!$D$3:$D$500,'Returns (Calc)'!$J$3:$J$500),2),"")</f>
        <v>0.27</v>
      </c>
      <c r="K8" s="163" t="n">
        <f aca="false">IFERROR(ROUND(CORREL('Returns (Calc)'!$D$3:$D$500,'Returns (Calc)'!$K$3:$K$500),2),"")</f>
        <v>0.2</v>
      </c>
      <c r="L8" s="163" t="n">
        <f aca="false">IFERROR(ROUND(CORREL('Returns (Calc)'!$D$3:$D$500,'Returns (Calc)'!$L$3:$L$500),2),"")</f>
        <v>0.64</v>
      </c>
      <c r="M8" s="163" t="n">
        <f aca="false">IFERROR(ROUND(CORREL('Returns (Calc)'!$D$3:$D$500,'Returns (Calc)'!$M$3:$M$500),2),"")</f>
        <v>0.43</v>
      </c>
      <c r="N8" s="163" t="n">
        <f aca="false">IFERROR(ROUND(CORREL('Returns (Calc)'!$D$3:$D$500,'Returns (Calc)'!$N$3:$N$500),2),"")</f>
        <v>0.11</v>
      </c>
      <c r="O8" s="163" t="n">
        <f aca="false">IFERROR(ROUND(CORREL('Returns (Calc)'!$D$3:$D$500,'Returns (Calc)'!$O$3:$O$500),2),"")</f>
        <v>0.38</v>
      </c>
      <c r="P8" s="163" t="n">
        <f aca="false">IFERROR(ROUND(CORREL('Returns (Calc)'!$D$3:$D$500,'Returns (Calc)'!$P$3:$P$500),2),"")</f>
        <v>0.23</v>
      </c>
      <c r="Q8" s="163" t="n">
        <f aca="false">IFERROR(ROUND(CORREL('Returns (Calc)'!$D$3:$D$500,'Returns (Calc)'!$Q$3:$Q$500),2),"")</f>
        <v>0.51</v>
      </c>
      <c r="R8" s="163" t="n">
        <f aca="false">IFERROR(ROUND(CORREL('Returns (Calc)'!$D$3:$D$500,'Returns (Calc)'!$R$3:$R$500),2),"")</f>
        <v>0.61</v>
      </c>
      <c r="S8" s="163" t="n">
        <f aca="false">IFERROR(ROUND(CORREL('Returns (Calc)'!$D$3:$D$500,'Returns (Calc)'!$S$3:$S$500),2),"")</f>
        <v>0.61</v>
      </c>
      <c r="T8" s="163" t="n">
        <f aca="false">IFERROR(ROUND(CORREL('Returns (Calc)'!$D$3:$D$500,'Returns (Calc)'!$T$3:$T$500),2),"")</f>
        <v>0.29</v>
      </c>
      <c r="U8" s="163" t="n">
        <f aca="false">IFERROR(ROUND(CORREL('Returns (Calc)'!$D$3:$D$500,'Returns (Calc)'!$U$3:$U$500),2),"")</f>
        <v>0.26</v>
      </c>
      <c r="V8" s="163" t="n">
        <f aca="false">IFERROR(ROUND(CORREL('Returns (Calc)'!$D$3:$D$500,'Returns (Calc)'!$V$3:$V$500),2),"")</f>
        <v>0.02</v>
      </c>
      <c r="W8" s="163" t="n">
        <f aca="false">IFERROR(ROUND(CORREL('Returns (Calc)'!$D$3:$D$500,'Returns (Calc)'!$AP$3:$AP$500),2),"")</f>
        <v>0.41</v>
      </c>
      <c r="X8" s="163" t="n">
        <f aca="false">IFERROR(ROUND(CORREL('Returns (Calc)'!$D$3:$D$500,'Returns (Calc)'!$AQ$3:$AQ$500),2),"")</f>
        <v>-0.19</v>
      </c>
      <c r="Y8" s="163" t="n">
        <f aca="false">IFERROR(ROUND(CORREL('Returns (Calc)'!$D$3:$D$500,'Returns (Calc)'!$AR$3:$AR$500),2),"")</f>
        <v>0.42</v>
      </c>
      <c r="Z8" s="163" t="n">
        <f aca="false">IFERROR(ROUND(CORREL('Returns (Calc)'!$D$3:$D$500,'Returns (Calc)'!$AS$3:$AS$500),2),"")</f>
        <v>0.39</v>
      </c>
      <c r="AA8" s="163" t="n">
        <f aca="false">IFERROR(ROUND(CORREL('Returns (Calc)'!$D$3:$D$500,'Returns (Calc)'!$AT$3:$AT$500),2),"")</f>
        <v>0.21</v>
      </c>
      <c r="AB8" s="163" t="n">
        <f aca="false">IFERROR(ROUND(CORREL('Returns (Calc)'!$D$3:$D$500,'Returns (Calc)'!$AU$3:$AU$500),2),"")</f>
        <v>0.02</v>
      </c>
      <c r="AG8" s="164" t="n">
        <f aca="false">COUNTIF(B8:AB8,"&gt;0.7")-1</f>
        <v>1</v>
      </c>
    </row>
    <row r="9" customFormat="false" ht="15" hidden="false" customHeight="true" outlineLevel="0" collapsed="false">
      <c r="A9" s="162" t="str">
        <f aca="false">'Returns (Calc)'!E2</f>
        <v>AVGO</v>
      </c>
      <c r="B9" s="163" t="n">
        <f aca="false">IFERROR(ROUND(CORREL('Returns (Calc)'!$E$3:$E$500,'Returns (Calc)'!$B$3:$B$500),2),"")</f>
        <v>0.17</v>
      </c>
      <c r="C9" s="163" t="n">
        <f aca="false">IFERROR(ROUND(CORREL('Returns (Calc)'!$E$3:$E$500,'Returns (Calc)'!$C$3:$C$500),2),"")</f>
        <v>0.59</v>
      </c>
      <c r="D9" s="163" t="n">
        <f aca="false">IFERROR(ROUND(CORREL('Returns (Calc)'!$E$3:$E$500,'Returns (Calc)'!$D$3:$D$500),2),"")</f>
        <v>0.49</v>
      </c>
      <c r="E9" s="163" t="n">
        <v>1</v>
      </c>
      <c r="F9" s="163" t="n">
        <f aca="false">IFERROR(ROUND(CORREL('Returns (Calc)'!$E$3:$E$500,'Returns (Calc)'!$F$3:$F$500),2),"")</f>
        <v>0.4</v>
      </c>
      <c r="G9" s="163" t="n">
        <f aca="false">IFERROR(ROUND(CORREL('Returns (Calc)'!$E$3:$E$500,'Returns (Calc)'!$G$3:$G$500),2),"")</f>
        <v>0.53</v>
      </c>
      <c r="H9" s="163" t="n">
        <f aca="false">IFERROR(ROUND(CORREL('Returns (Calc)'!$E$3:$E$500,'Returns (Calc)'!$H$3:$H$500),2),"")</f>
        <v>0.48</v>
      </c>
      <c r="I9" s="163" t="n">
        <f aca="false">IFERROR(ROUND(CORREL('Returns (Calc)'!$E$3:$E$500,'Returns (Calc)'!$I$3:$I$500),2),"")</f>
        <v>0.62</v>
      </c>
      <c r="J9" s="163" t="n">
        <f aca="false">IFERROR(ROUND(CORREL('Returns (Calc)'!$E$3:$E$500,'Returns (Calc)'!$J$3:$J$500),2),"")</f>
        <v>0.22</v>
      </c>
      <c r="K9" s="163" t="n">
        <f aca="false">IFERROR(ROUND(CORREL('Returns (Calc)'!$E$3:$E$500,'Returns (Calc)'!$K$3:$K$500),2),"")</f>
        <v>0.37</v>
      </c>
      <c r="L9" s="163" t="n">
        <f aca="false">IFERROR(ROUND(CORREL('Returns (Calc)'!$E$3:$E$500,'Returns (Calc)'!$L$3:$L$500),2),"")</f>
        <v>0.62</v>
      </c>
      <c r="M9" s="163" t="n">
        <f aca="false">IFERROR(ROUND(CORREL('Returns (Calc)'!$E$3:$E$500,'Returns (Calc)'!$M$3:$M$500),2),"")</f>
        <v>0.52</v>
      </c>
      <c r="N9" s="163" t="n">
        <f aca="false">IFERROR(ROUND(CORREL('Returns (Calc)'!$E$3:$E$500,'Returns (Calc)'!$N$3:$N$500),2),"")</f>
        <v>0.14</v>
      </c>
      <c r="O9" s="163" t="n">
        <f aca="false">IFERROR(ROUND(CORREL('Returns (Calc)'!$E$3:$E$500,'Returns (Calc)'!$O$3:$O$500),2),"")</f>
        <v>0.29</v>
      </c>
      <c r="P9" s="163" t="n">
        <f aca="false">IFERROR(ROUND(CORREL('Returns (Calc)'!$E$3:$E$500,'Returns (Calc)'!$P$3:$P$500),2),"")</f>
        <v>0.11</v>
      </c>
      <c r="Q9" s="163" t="n">
        <f aca="false">IFERROR(ROUND(CORREL('Returns (Calc)'!$E$3:$E$500,'Returns (Calc)'!$Q$3:$Q$500),2),"")</f>
        <v>0.67</v>
      </c>
      <c r="R9" s="163" t="n">
        <f aca="false">IFERROR(ROUND(CORREL('Returns (Calc)'!$E$3:$E$500,'Returns (Calc)'!$R$3:$R$500),2),"")</f>
        <v>0.73</v>
      </c>
      <c r="S9" s="163" t="n">
        <f aca="false">IFERROR(ROUND(CORREL('Returns (Calc)'!$E$3:$E$500,'Returns (Calc)'!$S$3:$S$500),2),"")</f>
        <v>0.73</v>
      </c>
      <c r="T9" s="163" t="n">
        <f aca="false">IFERROR(ROUND(CORREL('Returns (Calc)'!$E$3:$E$500,'Returns (Calc)'!$T$3:$T$500),2),"")</f>
        <v>0.27</v>
      </c>
      <c r="U9" s="163" t="n">
        <f aca="false">IFERROR(ROUND(CORREL('Returns (Calc)'!$E$3:$E$500,'Returns (Calc)'!$U$3:$U$500),2),"")</f>
        <v>0.16</v>
      </c>
      <c r="V9" s="163" t="n">
        <f aca="false">IFERROR(ROUND(CORREL('Returns (Calc)'!$E$3:$E$500,'Returns (Calc)'!$V$3:$V$500),2),"")</f>
        <v>0.19</v>
      </c>
      <c r="W9" s="163" t="n">
        <f aca="false">IFERROR(ROUND(CORREL('Returns (Calc)'!$E$3:$E$500,'Returns (Calc)'!$AP$3:$AP$500),2),"")</f>
        <v>0.45</v>
      </c>
      <c r="X9" s="163" t="n">
        <f aca="false">IFERROR(ROUND(CORREL('Returns (Calc)'!$E$3:$E$500,'Returns (Calc)'!$AQ$3:$AQ$500),2),"")</f>
        <v>-0.44</v>
      </c>
      <c r="Y9" s="163" t="n">
        <f aca="false">IFERROR(ROUND(CORREL('Returns (Calc)'!$E$3:$E$500,'Returns (Calc)'!$AR$3:$AR$500),2),"")</f>
        <v>0.44</v>
      </c>
      <c r="Z9" s="163" t="n">
        <f aca="false">IFERROR(ROUND(CORREL('Returns (Calc)'!$E$3:$E$500,'Returns (Calc)'!$AS$3:$AS$500),2),"")</f>
        <v>0.36</v>
      </c>
      <c r="AA9" s="163" t="n">
        <f aca="false">IFERROR(ROUND(CORREL('Returns (Calc)'!$E$3:$E$500,'Returns (Calc)'!$AT$3:$AT$500),2),"")</f>
        <v>0.3</v>
      </c>
      <c r="AB9" s="163" t="n">
        <f aca="false">IFERROR(ROUND(CORREL('Returns (Calc)'!$E$3:$E$500,'Returns (Calc)'!$AU$3:$AU$500),2),"")</f>
        <v>0.1</v>
      </c>
      <c r="AG9" s="164" t="n">
        <f aca="false">COUNTIF(B9:AB9,"&gt;0.7")-1</f>
        <v>2</v>
      </c>
    </row>
    <row r="10" customFormat="false" ht="15" hidden="false" customHeight="true" outlineLevel="0" collapsed="false">
      <c r="A10" s="162" t="str">
        <f aca="false">'Returns (Calc)'!F2</f>
        <v>CRWD</v>
      </c>
      <c r="B10" s="163" t="n">
        <f aca="false">IFERROR(ROUND(CORREL('Returns (Calc)'!$F$3:$F$500,'Returns (Calc)'!$B$3:$B$500),2),"")</f>
        <v>0.4</v>
      </c>
      <c r="C10" s="163" t="n">
        <f aca="false">IFERROR(ROUND(CORREL('Returns (Calc)'!$F$3:$F$500,'Returns (Calc)'!$C$3:$C$500),2),"")</f>
        <v>0.37</v>
      </c>
      <c r="D10" s="163" t="n">
        <f aca="false">IFERROR(ROUND(CORREL('Returns (Calc)'!$F$3:$F$500,'Returns (Calc)'!$D$3:$D$500),2),"")</f>
        <v>0.32</v>
      </c>
      <c r="E10" s="163" t="n">
        <f aca="false">IFERROR(ROUND(CORREL('Returns (Calc)'!$F$3:$F$500,'Returns (Calc)'!$E$3:$E$500),2),"")</f>
        <v>0.4</v>
      </c>
      <c r="F10" s="163" t="n">
        <v>1</v>
      </c>
      <c r="G10" s="163" t="n">
        <f aca="false">IFERROR(ROUND(CORREL('Returns (Calc)'!$F$3:$F$500,'Returns (Calc)'!$G$3:$G$500),2),"")</f>
        <v>0.33</v>
      </c>
      <c r="H10" s="163" t="n">
        <f aca="false">IFERROR(ROUND(CORREL('Returns (Calc)'!$F$3:$F$500,'Returns (Calc)'!$H$3:$H$500),2),"")</f>
        <v>0.32</v>
      </c>
      <c r="I10" s="163" t="n">
        <f aca="false">IFERROR(ROUND(CORREL('Returns (Calc)'!$F$3:$F$500,'Returns (Calc)'!$I$3:$I$500),2),"")</f>
        <v>0.46</v>
      </c>
      <c r="J10" s="163" t="n">
        <f aca="false">IFERROR(ROUND(CORREL('Returns (Calc)'!$F$3:$F$500,'Returns (Calc)'!$J$3:$J$500),2),"")</f>
        <v>0.1</v>
      </c>
      <c r="K10" s="163" t="n">
        <f aca="false">IFERROR(ROUND(CORREL('Returns (Calc)'!$F$3:$F$500,'Returns (Calc)'!$K$3:$K$500),2),"")</f>
        <v>0.5</v>
      </c>
      <c r="L10" s="163" t="n">
        <f aca="false">IFERROR(ROUND(CORREL('Returns (Calc)'!$F$3:$F$500,'Returns (Calc)'!$L$3:$L$500),2),"")</f>
        <v>0.38</v>
      </c>
      <c r="M10" s="163" t="n">
        <f aca="false">IFERROR(ROUND(CORREL('Returns (Calc)'!$F$3:$F$500,'Returns (Calc)'!$M$3:$M$500),2),"")</f>
        <v>0.4</v>
      </c>
      <c r="N10" s="163" t="n">
        <f aca="false">IFERROR(ROUND(CORREL('Returns (Calc)'!$F$3:$F$500,'Returns (Calc)'!$N$3:$N$500),2),"")</f>
        <v>0.17</v>
      </c>
      <c r="O10" s="163" t="n">
        <f aca="false">IFERROR(ROUND(CORREL('Returns (Calc)'!$F$3:$F$500,'Returns (Calc)'!$O$3:$O$500),2),"")</f>
        <v>0.19</v>
      </c>
      <c r="P10" s="163" t="n">
        <f aca="false">IFERROR(ROUND(CORREL('Returns (Calc)'!$F$3:$F$500,'Returns (Calc)'!$P$3:$P$500),2),"")</f>
        <v>0.1</v>
      </c>
      <c r="Q10" s="163" t="n">
        <f aca="false">IFERROR(ROUND(CORREL('Returns (Calc)'!$F$3:$F$500,'Returns (Calc)'!$Q$3:$Q$500),2),"")</f>
        <v>0.47</v>
      </c>
      <c r="R10" s="163" t="n">
        <f aca="false">IFERROR(ROUND(CORREL('Returns (Calc)'!$F$3:$F$500,'Returns (Calc)'!$R$3:$R$500),2),"")</f>
        <v>0.55</v>
      </c>
      <c r="S10" s="163" t="n">
        <f aca="false">IFERROR(ROUND(CORREL('Returns (Calc)'!$F$3:$F$500,'Returns (Calc)'!$S$3:$S$500),2),"")</f>
        <v>0.52</v>
      </c>
      <c r="T10" s="163" t="n">
        <f aca="false">IFERROR(ROUND(CORREL('Returns (Calc)'!$F$3:$F$500,'Returns (Calc)'!$T$3:$T$500),2),"")</f>
        <v>0.29</v>
      </c>
      <c r="U10" s="163" t="n">
        <f aca="false">IFERROR(ROUND(CORREL('Returns (Calc)'!$F$3:$F$500,'Returns (Calc)'!$U$3:$U$500),2),"")</f>
        <v>0.11</v>
      </c>
      <c r="V10" s="163" t="n">
        <f aca="false">IFERROR(ROUND(CORREL('Returns (Calc)'!$F$3:$F$500,'Returns (Calc)'!$V$3:$V$500),2),"")</f>
        <v>0.27</v>
      </c>
      <c r="W10" s="163" t="n">
        <f aca="false">IFERROR(ROUND(CORREL('Returns (Calc)'!$F$3:$F$500,'Returns (Calc)'!$AP$3:$AP$500),2),"")</f>
        <v>0.24</v>
      </c>
      <c r="X10" s="163" t="n">
        <f aca="false">IFERROR(ROUND(CORREL('Returns (Calc)'!$F$3:$F$500,'Returns (Calc)'!$AQ$3:$AQ$500),2),"")</f>
        <v>-0.3</v>
      </c>
      <c r="Y10" s="163" t="n">
        <f aca="false">IFERROR(ROUND(CORREL('Returns (Calc)'!$F$3:$F$500,'Returns (Calc)'!$AR$3:$AR$500),2),"")</f>
        <v>0.29</v>
      </c>
      <c r="Z10" s="163" t="n">
        <f aca="false">IFERROR(ROUND(CORREL('Returns (Calc)'!$F$3:$F$500,'Returns (Calc)'!$AS$3:$AS$500),2),"")</f>
        <v>0.24</v>
      </c>
      <c r="AA10" s="163" t="n">
        <f aca="false">IFERROR(ROUND(CORREL('Returns (Calc)'!$F$3:$F$500,'Returns (Calc)'!$AT$3:$AT$500),2),"")</f>
        <v>0.24</v>
      </c>
      <c r="AB10" s="163" t="n">
        <f aca="false">IFERROR(ROUND(CORREL('Returns (Calc)'!$F$3:$F$500,'Returns (Calc)'!$AU$3:$AU$500),2),"")</f>
        <v>0.36</v>
      </c>
      <c r="AG10" s="164" t="n">
        <f aca="false">COUNTIF(B10:AB10,"&gt;0.7")-1</f>
        <v>0</v>
      </c>
    </row>
    <row r="11" customFormat="false" ht="15" hidden="false" customHeight="true" outlineLevel="0" collapsed="false">
      <c r="A11" s="162" t="str">
        <f aca="false">'Returns (Calc)'!G2</f>
        <v>KLAC</v>
      </c>
      <c r="B11" s="163" t="n">
        <f aca="false">IFERROR(ROUND(CORREL('Returns (Calc)'!$G$3:$G$500,'Returns (Calc)'!$B$3:$B$500),2),"")</f>
        <v>-0.06</v>
      </c>
      <c r="C11" s="163" t="n">
        <f aca="false">IFERROR(ROUND(CORREL('Returns (Calc)'!$G$3:$G$500,'Returns (Calc)'!$C$3:$C$500),2),"")</f>
        <v>0.43</v>
      </c>
      <c r="D11" s="163" t="n">
        <f aca="false">IFERROR(ROUND(CORREL('Returns (Calc)'!$G$3:$G$500,'Returns (Calc)'!$D$3:$D$500),2),"")</f>
        <v>0.78</v>
      </c>
      <c r="E11" s="163" t="n">
        <f aca="false">IFERROR(ROUND(CORREL('Returns (Calc)'!$G$3:$G$500,'Returns (Calc)'!$E$3:$E$500),2),"")</f>
        <v>0.53</v>
      </c>
      <c r="F11" s="163" t="n">
        <f aca="false">IFERROR(ROUND(CORREL('Returns (Calc)'!$G$3:$G$500,'Returns (Calc)'!$F$3:$F$500),2),"")</f>
        <v>0.33</v>
      </c>
      <c r="G11" s="163" t="n">
        <v>1</v>
      </c>
      <c r="H11" s="163" t="n">
        <f aca="false">IFERROR(ROUND(CORREL('Returns (Calc)'!$G$3:$G$500,'Returns (Calc)'!$H$3:$H$500),2),"")</f>
        <v>0.59</v>
      </c>
      <c r="I11" s="163" t="n">
        <f aca="false">IFERROR(ROUND(CORREL('Returns (Calc)'!$G$3:$G$500,'Returns (Calc)'!$I$3:$I$500),2),"")</f>
        <v>0.52</v>
      </c>
      <c r="J11" s="163" t="n">
        <f aca="false">IFERROR(ROUND(CORREL('Returns (Calc)'!$G$3:$G$500,'Returns (Calc)'!$J$3:$J$500),2),"")</f>
        <v>0.27</v>
      </c>
      <c r="K11" s="163" t="n">
        <f aca="false">IFERROR(ROUND(CORREL('Returns (Calc)'!$G$3:$G$500,'Returns (Calc)'!$K$3:$K$500),2),"")</f>
        <v>0.24</v>
      </c>
      <c r="L11" s="163" t="n">
        <f aca="false">IFERROR(ROUND(CORREL('Returns (Calc)'!$G$3:$G$500,'Returns (Calc)'!$L$3:$L$500),2),"")</f>
        <v>0.62</v>
      </c>
      <c r="M11" s="163" t="n">
        <f aca="false">IFERROR(ROUND(CORREL('Returns (Calc)'!$G$3:$G$500,'Returns (Calc)'!$M$3:$M$500),2),"")</f>
        <v>0.51</v>
      </c>
      <c r="N11" s="163" t="n">
        <f aca="false">IFERROR(ROUND(CORREL('Returns (Calc)'!$G$3:$G$500,'Returns (Calc)'!$N$3:$N$500),2),"")</f>
        <v>0.16</v>
      </c>
      <c r="O11" s="163" t="n">
        <f aca="false">IFERROR(ROUND(CORREL('Returns (Calc)'!$G$3:$G$500,'Returns (Calc)'!$O$3:$O$500),2),"")</f>
        <v>0.43</v>
      </c>
      <c r="P11" s="163" t="n">
        <f aca="false">IFERROR(ROUND(CORREL('Returns (Calc)'!$G$3:$G$500,'Returns (Calc)'!$P$3:$P$500),2),"")</f>
        <v>0.25</v>
      </c>
      <c r="Q11" s="163" t="n">
        <f aca="false">IFERROR(ROUND(CORREL('Returns (Calc)'!$G$3:$G$500,'Returns (Calc)'!$Q$3:$Q$500),2),"")</f>
        <v>0.52</v>
      </c>
      <c r="R11" s="163" t="n">
        <f aca="false">IFERROR(ROUND(CORREL('Returns (Calc)'!$G$3:$G$500,'Returns (Calc)'!$R$3:$R$500),2),"")</f>
        <v>0.61</v>
      </c>
      <c r="S11" s="163" t="n">
        <f aca="false">IFERROR(ROUND(CORREL('Returns (Calc)'!$G$3:$G$500,'Returns (Calc)'!$S$3:$S$500),2),"")</f>
        <v>0.67</v>
      </c>
      <c r="T11" s="163" t="n">
        <f aca="false">IFERROR(ROUND(CORREL('Returns (Calc)'!$G$3:$G$500,'Returns (Calc)'!$T$3:$T$500),2),"")</f>
        <v>0.3</v>
      </c>
      <c r="U11" s="163" t="n">
        <f aca="false">IFERROR(ROUND(CORREL('Returns (Calc)'!$G$3:$G$500,'Returns (Calc)'!$U$3:$U$500),2),"")</f>
        <v>0.28</v>
      </c>
      <c r="V11" s="163" t="n">
        <f aca="false">IFERROR(ROUND(CORREL('Returns (Calc)'!$G$3:$G$500,'Returns (Calc)'!$V$3:$V$500),2),"")</f>
        <v>0</v>
      </c>
      <c r="W11" s="163" t="n">
        <f aca="false">IFERROR(ROUND(CORREL('Returns (Calc)'!$G$3:$G$500,'Returns (Calc)'!$AP$3:$AP$500),2),"")</f>
        <v>0.45</v>
      </c>
      <c r="X11" s="163" t="n">
        <f aca="false">IFERROR(ROUND(CORREL('Returns (Calc)'!$G$3:$G$500,'Returns (Calc)'!$AQ$3:$AQ$500),2),"")</f>
        <v>-0.18</v>
      </c>
      <c r="Y11" s="163" t="n">
        <f aca="false">IFERROR(ROUND(CORREL('Returns (Calc)'!$G$3:$G$500,'Returns (Calc)'!$AR$3:$AR$500),2),"")</f>
        <v>0.44</v>
      </c>
      <c r="Z11" s="163" t="n">
        <f aca="false">IFERROR(ROUND(CORREL('Returns (Calc)'!$G$3:$G$500,'Returns (Calc)'!$AS$3:$AS$500),2),"")</f>
        <v>0.39</v>
      </c>
      <c r="AA11" s="163" t="n">
        <f aca="false">IFERROR(ROUND(CORREL('Returns (Calc)'!$G$3:$G$500,'Returns (Calc)'!$AT$3:$AT$500),2),"")</f>
        <v>0.1</v>
      </c>
      <c r="AB11" s="163" t="n">
        <f aca="false">IFERROR(ROUND(CORREL('Returns (Calc)'!$G$3:$G$500,'Returns (Calc)'!$AU$3:$AU$500),2),"")</f>
        <v>0.01</v>
      </c>
      <c r="AG11" s="164" t="n">
        <f aca="false">COUNTIF(B11:AB11,"&gt;0.7")-1</f>
        <v>1</v>
      </c>
    </row>
    <row r="12" customFormat="false" ht="15" hidden="false" customHeight="true" outlineLevel="0" collapsed="false">
      <c r="A12" s="162" t="str">
        <f aca="false">'Returns (Calc)'!H2</f>
        <v>MU</v>
      </c>
      <c r="B12" s="163" t="n">
        <f aca="false">IFERROR(ROUND(CORREL('Returns (Calc)'!$H$3:$H$500,'Returns (Calc)'!$B$3:$B$500),2),"")</f>
        <v>0.04</v>
      </c>
      <c r="C12" s="163" t="n">
        <f aca="false">IFERROR(ROUND(CORREL('Returns (Calc)'!$H$3:$H$500,'Returns (Calc)'!$C$3:$C$500),2),"")</f>
        <v>0.34</v>
      </c>
      <c r="D12" s="163" t="n">
        <f aca="false">IFERROR(ROUND(CORREL('Returns (Calc)'!$H$3:$H$500,'Returns (Calc)'!$D$3:$D$500),2),"")</f>
        <v>0.6</v>
      </c>
      <c r="E12" s="163" t="n">
        <f aca="false">IFERROR(ROUND(CORREL('Returns (Calc)'!$H$3:$H$500,'Returns (Calc)'!$E$3:$E$500),2),"")</f>
        <v>0.48</v>
      </c>
      <c r="F12" s="163" t="n">
        <f aca="false">IFERROR(ROUND(CORREL('Returns (Calc)'!$H$3:$H$500,'Returns (Calc)'!$F$3:$F$500),2),"")</f>
        <v>0.32</v>
      </c>
      <c r="G12" s="163" t="n">
        <f aca="false">IFERROR(ROUND(CORREL('Returns (Calc)'!$H$3:$H$500,'Returns (Calc)'!$G$3:$G$500),2),"")</f>
        <v>0.59</v>
      </c>
      <c r="H12" s="163" t="n">
        <v>1</v>
      </c>
      <c r="I12" s="163" t="n">
        <f aca="false">IFERROR(ROUND(CORREL('Returns (Calc)'!$H$3:$H$500,'Returns (Calc)'!$I$3:$I$500),2),"")</f>
        <v>0.5</v>
      </c>
      <c r="J12" s="163" t="n">
        <f aca="false">IFERROR(ROUND(CORREL('Returns (Calc)'!$H$3:$H$500,'Returns (Calc)'!$J$3:$J$500),2),"")</f>
        <v>0.2</v>
      </c>
      <c r="K12" s="163" t="n">
        <f aca="false">IFERROR(ROUND(CORREL('Returns (Calc)'!$H$3:$H$500,'Returns (Calc)'!$K$3:$K$500),2),"")</f>
        <v>0.16</v>
      </c>
      <c r="L12" s="163" t="n">
        <f aca="false">IFERROR(ROUND(CORREL('Returns (Calc)'!$H$3:$H$500,'Returns (Calc)'!$L$3:$L$500),2),"")</f>
        <v>0.56</v>
      </c>
      <c r="M12" s="163" t="n">
        <f aca="false">IFERROR(ROUND(CORREL('Returns (Calc)'!$H$3:$H$500,'Returns (Calc)'!$M$3:$M$500),2),"")</f>
        <v>0.5</v>
      </c>
      <c r="N12" s="163" t="n">
        <f aca="false">IFERROR(ROUND(CORREL('Returns (Calc)'!$H$3:$H$500,'Returns (Calc)'!$N$3:$N$500),2),"")</f>
        <v>0.18</v>
      </c>
      <c r="O12" s="163" t="n">
        <f aca="false">IFERROR(ROUND(CORREL('Returns (Calc)'!$H$3:$H$500,'Returns (Calc)'!$O$3:$O$500),2),"")</f>
        <v>0.35</v>
      </c>
      <c r="P12" s="163" t="n">
        <f aca="false">IFERROR(ROUND(CORREL('Returns (Calc)'!$H$3:$H$500,'Returns (Calc)'!$P$3:$P$500),2),"")</f>
        <v>0.22</v>
      </c>
      <c r="Q12" s="163" t="n">
        <f aca="false">IFERROR(ROUND(CORREL('Returns (Calc)'!$H$3:$H$500,'Returns (Calc)'!$Q$3:$Q$500),2),"")</f>
        <v>0.51</v>
      </c>
      <c r="R12" s="163" t="n">
        <f aca="false">IFERROR(ROUND(CORREL('Returns (Calc)'!$H$3:$H$500,'Returns (Calc)'!$R$3:$R$500),2),"")</f>
        <v>0.61</v>
      </c>
      <c r="S12" s="163" t="n">
        <f aca="false">IFERROR(ROUND(CORREL('Returns (Calc)'!$H$3:$H$500,'Returns (Calc)'!$S$3:$S$500),2),"")</f>
        <v>0.66</v>
      </c>
      <c r="T12" s="163" t="n">
        <f aca="false">IFERROR(ROUND(CORREL('Returns (Calc)'!$H$3:$H$500,'Returns (Calc)'!$T$3:$T$500),2),"")</f>
        <v>0.41</v>
      </c>
      <c r="U12" s="163" t="n">
        <f aca="false">IFERROR(ROUND(CORREL('Returns (Calc)'!$H$3:$H$500,'Returns (Calc)'!$U$3:$U$500),2),"")</f>
        <v>0.25</v>
      </c>
      <c r="V12" s="163" t="n">
        <f aca="false">IFERROR(ROUND(CORREL('Returns (Calc)'!$H$3:$H$500,'Returns (Calc)'!$V$3:$V$500),2),"")</f>
        <v>0.01</v>
      </c>
      <c r="W12" s="163" t="n">
        <f aca="false">IFERROR(ROUND(CORREL('Returns (Calc)'!$H$3:$H$500,'Returns (Calc)'!$AP$3:$AP$500),2),"")</f>
        <v>0.39</v>
      </c>
      <c r="X12" s="163" t="n">
        <f aca="false">IFERROR(ROUND(CORREL('Returns (Calc)'!$H$3:$H$500,'Returns (Calc)'!$AQ$3:$AQ$500),2),"")</f>
        <v>-0.36</v>
      </c>
      <c r="Y12" s="163" t="n">
        <f aca="false">IFERROR(ROUND(CORREL('Returns (Calc)'!$H$3:$H$500,'Returns (Calc)'!$AR$3:$AR$500),2),"")</f>
        <v>0.35</v>
      </c>
      <c r="Z12" s="163" t="n">
        <f aca="false">IFERROR(ROUND(CORREL('Returns (Calc)'!$H$3:$H$500,'Returns (Calc)'!$AS$3:$AS$500),2),"")</f>
        <v>0.36</v>
      </c>
      <c r="AA12" s="163" t="n">
        <f aca="false">IFERROR(ROUND(CORREL('Returns (Calc)'!$H$3:$H$500,'Returns (Calc)'!$AT$3:$AT$500),2),"")</f>
        <v>0.1</v>
      </c>
      <c r="AB12" s="163" t="n">
        <f aca="false">IFERROR(ROUND(CORREL('Returns (Calc)'!$H$3:$H$500,'Returns (Calc)'!$AU$3:$AU$500),2),"")</f>
        <v>0.1</v>
      </c>
      <c r="AG12" s="164" t="n">
        <f aca="false">COUNTIF(B12:AB12,"&gt;0.7")-1</f>
        <v>0</v>
      </c>
    </row>
    <row r="13" customFormat="false" ht="15" hidden="false" customHeight="true" outlineLevel="0" collapsed="false">
      <c r="A13" s="162" t="str">
        <f aca="false">'Returns (Calc)'!I2</f>
        <v>NVDA</v>
      </c>
      <c r="B13" s="163" t="n">
        <f aca="false">IFERROR(ROUND(CORREL('Returns (Calc)'!$I$3:$I$500,'Returns (Calc)'!$B$3:$B$500),2),"")</f>
        <v>0.21</v>
      </c>
      <c r="C13" s="163" t="n">
        <f aca="false">IFERROR(ROUND(CORREL('Returns (Calc)'!$I$3:$I$500,'Returns (Calc)'!$C$3:$C$500),2),"")</f>
        <v>0.52</v>
      </c>
      <c r="D13" s="163" t="n">
        <f aca="false">IFERROR(ROUND(CORREL('Returns (Calc)'!$I$3:$I$500,'Returns (Calc)'!$D$3:$D$500),2),"")</f>
        <v>0.49</v>
      </c>
      <c r="E13" s="163" t="n">
        <f aca="false">IFERROR(ROUND(CORREL('Returns (Calc)'!$I$3:$I$500,'Returns (Calc)'!$E$3:$E$500),2),"")</f>
        <v>0.62</v>
      </c>
      <c r="F13" s="163" t="n">
        <f aca="false">IFERROR(ROUND(CORREL('Returns (Calc)'!$I$3:$I$500,'Returns (Calc)'!$F$3:$F$500),2),"")</f>
        <v>0.46</v>
      </c>
      <c r="G13" s="163" t="n">
        <f aca="false">IFERROR(ROUND(CORREL('Returns (Calc)'!$I$3:$I$500,'Returns (Calc)'!$G$3:$G$500),2),"")</f>
        <v>0.52</v>
      </c>
      <c r="H13" s="163" t="n">
        <f aca="false">IFERROR(ROUND(CORREL('Returns (Calc)'!$I$3:$I$500,'Returns (Calc)'!$H$3:$H$500),2),"")</f>
        <v>0.5</v>
      </c>
      <c r="I13" s="163" t="n">
        <v>1</v>
      </c>
      <c r="J13" s="163" t="n">
        <f aca="false">IFERROR(ROUND(CORREL('Returns (Calc)'!$I$3:$I$500,'Returns (Calc)'!$J$3:$J$500),2),"")</f>
        <v>0.16</v>
      </c>
      <c r="K13" s="163" t="n">
        <f aca="false">IFERROR(ROUND(CORREL('Returns (Calc)'!$I$3:$I$500,'Returns (Calc)'!$K$3:$K$500),2),"")</f>
        <v>0.45</v>
      </c>
      <c r="L13" s="163" t="n">
        <f aca="false">IFERROR(ROUND(CORREL('Returns (Calc)'!$I$3:$I$500,'Returns (Calc)'!$L$3:$L$500),2),"")</f>
        <v>0.64</v>
      </c>
      <c r="M13" s="163" t="n">
        <f aca="false">IFERROR(ROUND(CORREL('Returns (Calc)'!$I$3:$I$500,'Returns (Calc)'!$M$3:$M$500),2),"")</f>
        <v>0.65</v>
      </c>
      <c r="N13" s="163" t="n">
        <f aca="false">IFERROR(ROUND(CORREL('Returns (Calc)'!$I$3:$I$500,'Returns (Calc)'!$N$3:$N$500),2),"")</f>
        <v>0.14</v>
      </c>
      <c r="O13" s="163" t="n">
        <f aca="false">IFERROR(ROUND(CORREL('Returns (Calc)'!$I$3:$I$500,'Returns (Calc)'!$O$3:$O$500),2),"")</f>
        <v>0.28</v>
      </c>
      <c r="P13" s="163" t="n">
        <f aca="false">IFERROR(ROUND(CORREL('Returns (Calc)'!$I$3:$I$500,'Returns (Calc)'!$P$3:$P$500),2),"")</f>
        <v>0.14</v>
      </c>
      <c r="Q13" s="163" t="n">
        <f aca="false">IFERROR(ROUND(CORREL('Returns (Calc)'!$I$3:$I$500,'Returns (Calc)'!$Q$3:$Q$500),2),"")</f>
        <v>0.7</v>
      </c>
      <c r="R13" s="163" t="n">
        <f aca="false">IFERROR(ROUND(CORREL('Returns (Calc)'!$I$3:$I$500,'Returns (Calc)'!$R$3:$R$500),2),"")</f>
        <v>0.73</v>
      </c>
      <c r="S13" s="163" t="n">
        <f aca="false">IFERROR(ROUND(CORREL('Returns (Calc)'!$I$3:$I$500,'Returns (Calc)'!$S$3:$S$500),2),"")</f>
        <v>0.75</v>
      </c>
      <c r="T13" s="163" t="n">
        <f aca="false">IFERROR(ROUND(CORREL('Returns (Calc)'!$I$3:$I$500,'Returns (Calc)'!$T$3:$T$500),2),"")</f>
        <v>0.3</v>
      </c>
      <c r="U13" s="163" t="n">
        <f aca="false">IFERROR(ROUND(CORREL('Returns (Calc)'!$I$3:$I$500,'Returns (Calc)'!$U$3:$U$500),2),"")</f>
        <v>0.18</v>
      </c>
      <c r="V13" s="163" t="n">
        <f aca="false">IFERROR(ROUND(CORREL('Returns (Calc)'!$I$3:$I$500,'Returns (Calc)'!$V$3:$V$500),2),"")</f>
        <v>0.19</v>
      </c>
      <c r="W13" s="163" t="n">
        <f aca="false">IFERROR(ROUND(CORREL('Returns (Calc)'!$I$3:$I$500,'Returns (Calc)'!$AP$3:$AP$500),2),"")</f>
        <v>0.38</v>
      </c>
      <c r="X13" s="163" t="n">
        <f aca="false">IFERROR(ROUND(CORREL('Returns (Calc)'!$I$3:$I$500,'Returns (Calc)'!$AQ$3:$AQ$500),2),"")</f>
        <v>-0.31</v>
      </c>
      <c r="Y13" s="163" t="n">
        <f aca="false">IFERROR(ROUND(CORREL('Returns (Calc)'!$I$3:$I$500,'Returns (Calc)'!$AR$3:$AR$500),2),"")</f>
        <v>0.43</v>
      </c>
      <c r="Z13" s="163" t="n">
        <f aca="false">IFERROR(ROUND(CORREL('Returns (Calc)'!$I$3:$I$500,'Returns (Calc)'!$AS$3:$AS$500),2),"")</f>
        <v>0.38</v>
      </c>
      <c r="AA13" s="163" t="n">
        <f aca="false">IFERROR(ROUND(CORREL('Returns (Calc)'!$I$3:$I$500,'Returns (Calc)'!$AT$3:$AT$500),2),"")</f>
        <v>0.27</v>
      </c>
      <c r="AB13" s="163" t="n">
        <f aca="false">IFERROR(ROUND(CORREL('Returns (Calc)'!$I$3:$I$500,'Returns (Calc)'!$AU$3:$AU$500),2),"")</f>
        <v>0.14</v>
      </c>
      <c r="AG13" s="164" t="n">
        <f aca="false">COUNTIF(B13:AB13,"&gt;0.7")-1</f>
        <v>2</v>
      </c>
    </row>
    <row r="14" customFormat="false" ht="15" hidden="false" customHeight="true" outlineLevel="0" collapsed="false">
      <c r="A14" s="162" t="str">
        <f aca="false">'Returns (Calc)'!J2</f>
        <v>PLD</v>
      </c>
      <c r="B14" s="163" t="n">
        <f aca="false">IFERROR(ROUND(CORREL('Returns (Calc)'!$J$3:$J$500,'Returns (Calc)'!$B$3:$B$500),2),"")</f>
        <v>0.18</v>
      </c>
      <c r="C14" s="163" t="n">
        <f aca="false">IFERROR(ROUND(CORREL('Returns (Calc)'!$J$3:$J$500,'Returns (Calc)'!$C$3:$C$500),2),"")</f>
        <v>0.18</v>
      </c>
      <c r="D14" s="163" t="n">
        <f aca="false">IFERROR(ROUND(CORREL('Returns (Calc)'!$J$3:$J$500,'Returns (Calc)'!$D$3:$D$500),2),"")</f>
        <v>0.27</v>
      </c>
      <c r="E14" s="163" t="n">
        <f aca="false">IFERROR(ROUND(CORREL('Returns (Calc)'!$J$3:$J$500,'Returns (Calc)'!$E$3:$E$500),2),"")</f>
        <v>0.22</v>
      </c>
      <c r="F14" s="163" t="n">
        <f aca="false">IFERROR(ROUND(CORREL('Returns (Calc)'!$J$3:$J$500,'Returns (Calc)'!$F$3:$F$500),2),"")</f>
        <v>0.1</v>
      </c>
      <c r="G14" s="163" t="n">
        <f aca="false">IFERROR(ROUND(CORREL('Returns (Calc)'!$J$3:$J$500,'Returns (Calc)'!$G$3:$G$500),2),"")</f>
        <v>0.27</v>
      </c>
      <c r="H14" s="163" t="n">
        <f aca="false">IFERROR(ROUND(CORREL('Returns (Calc)'!$J$3:$J$500,'Returns (Calc)'!$H$3:$H$500),2),"")</f>
        <v>0.2</v>
      </c>
      <c r="I14" s="163" t="n">
        <f aca="false">IFERROR(ROUND(CORREL('Returns (Calc)'!$J$3:$J$500,'Returns (Calc)'!$I$3:$I$500),2),"")</f>
        <v>0.16</v>
      </c>
      <c r="J14" s="163" t="n">
        <v>1</v>
      </c>
      <c r="K14" s="163" t="n">
        <f aca="false">IFERROR(ROUND(CORREL('Returns (Calc)'!$J$3:$J$500,'Returns (Calc)'!$K$3:$K$500),2),"")</f>
        <v>0.13</v>
      </c>
      <c r="L14" s="163" t="n">
        <f aca="false">IFERROR(ROUND(CORREL('Returns (Calc)'!$J$3:$J$500,'Returns (Calc)'!$L$3:$L$500),2),"")</f>
        <v>0.2</v>
      </c>
      <c r="M14" s="163" t="n">
        <f aca="false">IFERROR(ROUND(CORREL('Returns (Calc)'!$J$3:$J$500,'Returns (Calc)'!$M$3:$M$500),2),"")</f>
        <v>0.15</v>
      </c>
      <c r="N14" s="163" t="n">
        <f aca="false">IFERROR(ROUND(CORREL('Returns (Calc)'!$J$3:$J$500,'Returns (Calc)'!$N$3:$N$500),2),"")</f>
        <v>0.25</v>
      </c>
      <c r="O14" s="163" t="n">
        <f aca="false">IFERROR(ROUND(CORREL('Returns (Calc)'!$J$3:$J$500,'Returns (Calc)'!$O$3:$O$500),2),"")</f>
        <v>0.62</v>
      </c>
      <c r="P14" s="163" t="n">
        <f aca="false">IFERROR(ROUND(CORREL('Returns (Calc)'!$J$3:$J$500,'Returns (Calc)'!$P$3:$P$500),2),"")</f>
        <v>0.65</v>
      </c>
      <c r="Q14" s="163" t="n">
        <f aca="false">IFERROR(ROUND(CORREL('Returns (Calc)'!$J$3:$J$500,'Returns (Calc)'!$Q$3:$Q$500),2),"")</f>
        <v>0.48</v>
      </c>
      <c r="R14" s="163" t="n">
        <f aca="false">IFERROR(ROUND(CORREL('Returns (Calc)'!$J$3:$J$500,'Returns (Calc)'!$R$3:$R$500),2),"")</f>
        <v>0.36</v>
      </c>
      <c r="S14" s="163" t="n">
        <f aca="false">IFERROR(ROUND(CORREL('Returns (Calc)'!$J$3:$J$500,'Returns (Calc)'!$S$3:$S$500),2),"")</f>
        <v>0.34</v>
      </c>
      <c r="T14" s="163" t="n">
        <f aca="false">IFERROR(ROUND(CORREL('Returns (Calc)'!$J$3:$J$500,'Returns (Calc)'!$T$3:$T$500),2),"")</f>
        <v>0.52</v>
      </c>
      <c r="U14" s="163" t="n">
        <f aca="false">IFERROR(ROUND(CORREL('Returns (Calc)'!$J$3:$J$500,'Returns (Calc)'!$U$3:$U$500),2),"")</f>
        <v>0.66</v>
      </c>
      <c r="V14" s="163" t="n">
        <f aca="false">IFERROR(ROUND(CORREL('Returns (Calc)'!$J$3:$J$500,'Returns (Calc)'!$V$3:$V$500),2),"")</f>
        <v>0.36</v>
      </c>
      <c r="W14" s="163" t="n">
        <f aca="false">IFERROR(ROUND(CORREL('Returns (Calc)'!$J$3:$J$500,'Returns (Calc)'!$AP$3:$AP$500),2),"")</f>
        <v>0.65</v>
      </c>
      <c r="X14" s="163" t="n">
        <f aca="false">IFERROR(ROUND(CORREL('Returns (Calc)'!$J$3:$J$500,'Returns (Calc)'!$AQ$3:$AQ$500),2),"")</f>
        <v>0.09</v>
      </c>
      <c r="Y14" s="163" t="n">
        <f aca="false">IFERROR(ROUND(CORREL('Returns (Calc)'!$J$3:$J$500,'Returns (Calc)'!$AR$3:$AR$500),2),"")</f>
        <v>0.61</v>
      </c>
      <c r="Z14" s="163" t="n">
        <f aca="false">IFERROR(ROUND(CORREL('Returns (Calc)'!$J$3:$J$500,'Returns (Calc)'!$AS$3:$AS$500),2),"")</f>
        <v>0.29</v>
      </c>
      <c r="AA14" s="163" t="n">
        <f aca="false">IFERROR(ROUND(CORREL('Returns (Calc)'!$J$3:$J$500,'Returns (Calc)'!$AT$3:$AT$500),2),"")</f>
        <v>0.13</v>
      </c>
      <c r="AB14" s="163" t="n">
        <f aca="false">IFERROR(ROUND(CORREL('Returns (Calc)'!$J$3:$J$500,'Returns (Calc)'!$AU$3:$AU$500),2),"")</f>
        <v>0.15</v>
      </c>
      <c r="AG14" s="164" t="n">
        <f aca="false">COUNTIF(B14:AB14,"&gt;0.7")-1</f>
        <v>0</v>
      </c>
    </row>
    <row r="15" customFormat="false" ht="15" hidden="false" customHeight="true" outlineLevel="0" collapsed="false">
      <c r="A15" s="162" t="str">
        <f aca="false">'Returns (Calc)'!K2</f>
        <v>PLTR</v>
      </c>
      <c r="B15" s="163" t="n">
        <f aca="false">IFERROR(ROUND(CORREL('Returns (Calc)'!$K$3:$K$500,'Returns (Calc)'!$B$3:$B$500),2),"")</f>
        <v>0.38</v>
      </c>
      <c r="C15" s="163" t="n">
        <f aca="false">IFERROR(ROUND(CORREL('Returns (Calc)'!$K$3:$K$500,'Returns (Calc)'!$C$3:$C$500),2),"")</f>
        <v>0.34</v>
      </c>
      <c r="D15" s="163" t="n">
        <f aca="false">IFERROR(ROUND(CORREL('Returns (Calc)'!$K$3:$K$500,'Returns (Calc)'!$D$3:$D$500),2),"")</f>
        <v>0.2</v>
      </c>
      <c r="E15" s="163" t="n">
        <f aca="false">IFERROR(ROUND(CORREL('Returns (Calc)'!$K$3:$K$500,'Returns (Calc)'!$E$3:$E$500),2),"")</f>
        <v>0.37</v>
      </c>
      <c r="F15" s="163" t="n">
        <f aca="false">IFERROR(ROUND(CORREL('Returns (Calc)'!$K$3:$K$500,'Returns (Calc)'!$F$3:$F$500),2),"")</f>
        <v>0.5</v>
      </c>
      <c r="G15" s="163" t="n">
        <f aca="false">IFERROR(ROUND(CORREL('Returns (Calc)'!$K$3:$K$500,'Returns (Calc)'!$G$3:$G$500),2),"")</f>
        <v>0.24</v>
      </c>
      <c r="H15" s="163" t="n">
        <f aca="false">IFERROR(ROUND(CORREL('Returns (Calc)'!$K$3:$K$500,'Returns (Calc)'!$H$3:$H$500),2),"")</f>
        <v>0.16</v>
      </c>
      <c r="I15" s="163" t="n">
        <f aca="false">IFERROR(ROUND(CORREL('Returns (Calc)'!$K$3:$K$500,'Returns (Calc)'!$I$3:$I$500),2),"")</f>
        <v>0.45</v>
      </c>
      <c r="J15" s="163" t="n">
        <f aca="false">IFERROR(ROUND(CORREL('Returns (Calc)'!$K$3:$K$500,'Returns (Calc)'!$J$3:$J$500),2),"")</f>
        <v>0.13</v>
      </c>
      <c r="K15" s="163" t="n">
        <v>1</v>
      </c>
      <c r="L15" s="163" t="n">
        <f aca="false">IFERROR(ROUND(CORREL('Returns (Calc)'!$K$3:$K$500,'Returns (Calc)'!$L$3:$L$500),2),"")</f>
        <v>0.37</v>
      </c>
      <c r="M15" s="163" t="n">
        <f aca="false">IFERROR(ROUND(CORREL('Returns (Calc)'!$K$3:$K$500,'Returns (Calc)'!$M$3:$M$500),2),"")</f>
        <v>0.32</v>
      </c>
      <c r="N15" s="163" t="n">
        <f aca="false">IFERROR(ROUND(CORREL('Returns (Calc)'!$K$3:$K$500,'Returns (Calc)'!$N$3:$N$500),2),"")</f>
        <v>0.08</v>
      </c>
      <c r="O15" s="163" t="n">
        <f aca="false">IFERROR(ROUND(CORREL('Returns (Calc)'!$K$3:$K$500,'Returns (Calc)'!$O$3:$O$500),2),"")</f>
        <v>0.23</v>
      </c>
      <c r="P15" s="163" t="n">
        <f aca="false">IFERROR(ROUND(CORREL('Returns (Calc)'!$K$3:$K$500,'Returns (Calc)'!$P$3:$P$500),2),"")</f>
        <v>0.1</v>
      </c>
      <c r="Q15" s="163" t="n">
        <f aca="false">IFERROR(ROUND(CORREL('Returns (Calc)'!$K$3:$K$500,'Returns (Calc)'!$Q$3:$Q$500),2),"")</f>
        <v>0.48</v>
      </c>
      <c r="R15" s="163" t="n">
        <f aca="false">IFERROR(ROUND(CORREL('Returns (Calc)'!$K$3:$K$500,'Returns (Calc)'!$R$3:$R$500),2),"")</f>
        <v>0.52</v>
      </c>
      <c r="S15" s="163" t="n">
        <f aca="false">IFERROR(ROUND(CORREL('Returns (Calc)'!$K$3:$K$500,'Returns (Calc)'!$S$3:$S$500),2),"")</f>
        <v>0.44</v>
      </c>
      <c r="T15" s="163" t="n">
        <f aca="false">IFERROR(ROUND(CORREL('Returns (Calc)'!$K$3:$K$500,'Returns (Calc)'!$T$3:$T$500),2),"")</f>
        <v>0.35</v>
      </c>
      <c r="U15" s="163" t="n">
        <f aca="false">IFERROR(ROUND(CORREL('Returns (Calc)'!$K$3:$K$500,'Returns (Calc)'!$U$3:$U$500),2),"")</f>
        <v>0.15</v>
      </c>
      <c r="V15" s="163" t="n">
        <f aca="false">IFERROR(ROUND(CORREL('Returns (Calc)'!$K$3:$K$500,'Returns (Calc)'!$V$3:$V$500),2),"")</f>
        <v>0.25</v>
      </c>
      <c r="W15" s="163" t="n">
        <f aca="false">IFERROR(ROUND(CORREL('Returns (Calc)'!$K$3:$K$500,'Returns (Calc)'!$AP$3:$AP$500),2),"")</f>
        <v>0.26</v>
      </c>
      <c r="X15" s="163" t="n">
        <f aca="false">IFERROR(ROUND(CORREL('Returns (Calc)'!$K$3:$K$500,'Returns (Calc)'!$AQ$3:$AQ$500),2),"")</f>
        <v>-0.46</v>
      </c>
      <c r="Y15" s="163" t="n">
        <f aca="false">IFERROR(ROUND(CORREL('Returns (Calc)'!$K$3:$K$500,'Returns (Calc)'!$AR$3:$AR$500),2),"")</f>
        <v>0.32</v>
      </c>
      <c r="Z15" s="163" t="n">
        <f aca="false">IFERROR(ROUND(CORREL('Returns (Calc)'!$K$3:$K$500,'Returns (Calc)'!$AS$3:$AS$500),2),"")</f>
        <v>0.26</v>
      </c>
      <c r="AA15" s="163" t="n">
        <f aca="false">IFERROR(ROUND(CORREL('Returns (Calc)'!$K$3:$K$500,'Returns (Calc)'!$AT$3:$AT$500),2),"")</f>
        <v>0.3</v>
      </c>
      <c r="AB15" s="163" t="n">
        <f aca="false">IFERROR(ROUND(CORREL('Returns (Calc)'!$K$3:$K$500,'Returns (Calc)'!$AU$3:$AU$500),2),"")</f>
        <v>0.41</v>
      </c>
      <c r="AG15" s="164" t="n">
        <f aca="false">COUNTIF(B15:AB15,"&gt;0.7")-1</f>
        <v>0</v>
      </c>
    </row>
    <row r="16" customFormat="false" ht="15" hidden="false" customHeight="true" outlineLevel="0" collapsed="false">
      <c r="A16" s="162" t="str">
        <f aca="false">'Returns (Calc)'!L2</f>
        <v>TSM</v>
      </c>
      <c r="B16" s="163" t="n">
        <f aca="false">IFERROR(ROUND(CORREL('Returns (Calc)'!$L$3:$L$500,'Returns (Calc)'!$B$3:$B$500),2),"")</f>
        <v>0.15</v>
      </c>
      <c r="C16" s="163" t="n">
        <f aca="false">IFERROR(ROUND(CORREL('Returns (Calc)'!$L$3:$L$500,'Returns (Calc)'!$C$3:$C$500),2),"")</f>
        <v>0.55</v>
      </c>
      <c r="D16" s="163" t="n">
        <f aca="false">IFERROR(ROUND(CORREL('Returns (Calc)'!$L$3:$L$500,'Returns (Calc)'!$D$3:$D$500),2),"")</f>
        <v>0.64</v>
      </c>
      <c r="E16" s="163" t="n">
        <f aca="false">IFERROR(ROUND(CORREL('Returns (Calc)'!$L$3:$L$500,'Returns (Calc)'!$E$3:$E$500),2),"")</f>
        <v>0.62</v>
      </c>
      <c r="F16" s="163" t="n">
        <f aca="false">IFERROR(ROUND(CORREL('Returns (Calc)'!$L$3:$L$500,'Returns (Calc)'!$F$3:$F$500),2),"")</f>
        <v>0.38</v>
      </c>
      <c r="G16" s="163" t="n">
        <f aca="false">IFERROR(ROUND(CORREL('Returns (Calc)'!$L$3:$L$500,'Returns (Calc)'!$G$3:$G$500),2),"")</f>
        <v>0.62</v>
      </c>
      <c r="H16" s="163" t="n">
        <f aca="false">IFERROR(ROUND(CORREL('Returns (Calc)'!$L$3:$L$500,'Returns (Calc)'!$H$3:$H$500),2),"")</f>
        <v>0.56</v>
      </c>
      <c r="I16" s="163" t="n">
        <f aca="false">IFERROR(ROUND(CORREL('Returns (Calc)'!$L$3:$L$500,'Returns (Calc)'!$I$3:$I$500),2),"")</f>
        <v>0.64</v>
      </c>
      <c r="J16" s="163" t="n">
        <f aca="false">IFERROR(ROUND(CORREL('Returns (Calc)'!$L$3:$L$500,'Returns (Calc)'!$J$3:$J$500),2),"")</f>
        <v>0.2</v>
      </c>
      <c r="K16" s="163" t="n">
        <f aca="false">IFERROR(ROUND(CORREL('Returns (Calc)'!$L$3:$L$500,'Returns (Calc)'!$K$3:$K$500),2),"")</f>
        <v>0.37</v>
      </c>
      <c r="L16" s="163" t="n">
        <v>1</v>
      </c>
      <c r="M16" s="163" t="n">
        <f aca="false">IFERROR(ROUND(CORREL('Returns (Calc)'!$L$3:$L$500,'Returns (Calc)'!$M$3:$M$500),2),"")</f>
        <v>0.6</v>
      </c>
      <c r="N16" s="163" t="n">
        <f aca="false">IFERROR(ROUND(CORREL('Returns (Calc)'!$L$3:$L$500,'Returns (Calc)'!$N$3:$N$500),2),"")</f>
        <v>0.14</v>
      </c>
      <c r="O16" s="163" t="n">
        <f aca="false">IFERROR(ROUND(CORREL('Returns (Calc)'!$L$3:$L$500,'Returns (Calc)'!$O$3:$O$500),2),"")</f>
        <v>0.33</v>
      </c>
      <c r="P16" s="163" t="n">
        <f aca="false">IFERROR(ROUND(CORREL('Returns (Calc)'!$L$3:$L$500,'Returns (Calc)'!$P$3:$P$500),2),"")</f>
        <v>0.16</v>
      </c>
      <c r="Q16" s="163" t="n">
        <f aca="false">IFERROR(ROUND(CORREL('Returns (Calc)'!$L$3:$L$500,'Returns (Calc)'!$Q$3:$Q$500),2),"")</f>
        <v>0.62</v>
      </c>
      <c r="R16" s="163" t="n">
        <f aca="false">IFERROR(ROUND(CORREL('Returns (Calc)'!$L$3:$L$500,'Returns (Calc)'!$R$3:$R$500),2),"")</f>
        <v>0.69</v>
      </c>
      <c r="S16" s="163" t="n">
        <f aca="false">IFERROR(ROUND(CORREL('Returns (Calc)'!$L$3:$L$500,'Returns (Calc)'!$S$3:$S$500),2),"")</f>
        <v>0.7</v>
      </c>
      <c r="T16" s="163" t="n">
        <f aca="false">IFERROR(ROUND(CORREL('Returns (Calc)'!$L$3:$L$500,'Returns (Calc)'!$T$3:$T$500),2),"")</f>
        <v>0.27</v>
      </c>
      <c r="U16" s="163" t="n">
        <f aca="false">IFERROR(ROUND(CORREL('Returns (Calc)'!$L$3:$L$500,'Returns (Calc)'!$U$3:$U$500),2),"")</f>
        <v>0.21</v>
      </c>
      <c r="V16" s="163" t="n">
        <f aca="false">IFERROR(ROUND(CORREL('Returns (Calc)'!$L$3:$L$500,'Returns (Calc)'!$V$3:$V$500),2),"")</f>
        <v>0.11</v>
      </c>
      <c r="W16" s="163" t="n">
        <f aca="false">IFERROR(ROUND(CORREL('Returns (Calc)'!$L$3:$L$500,'Returns (Calc)'!$AP$3:$AP$500),2),"")</f>
        <v>0.41</v>
      </c>
      <c r="X16" s="163" t="n">
        <f aca="false">IFERROR(ROUND(CORREL('Returns (Calc)'!$L$3:$L$500,'Returns (Calc)'!$AQ$3:$AQ$500),2),"")</f>
        <v>-0.26</v>
      </c>
      <c r="Y16" s="163" t="n">
        <f aca="false">IFERROR(ROUND(CORREL('Returns (Calc)'!$L$3:$L$500,'Returns (Calc)'!$AR$3:$AR$500),2),"")</f>
        <v>0.47</v>
      </c>
      <c r="Z16" s="163" t="n">
        <f aca="false">IFERROR(ROUND(CORREL('Returns (Calc)'!$L$3:$L$500,'Returns (Calc)'!$AS$3:$AS$500),2),"")</f>
        <v>0.44</v>
      </c>
      <c r="AA16" s="163" t="n">
        <f aca="false">IFERROR(ROUND(CORREL('Returns (Calc)'!$L$3:$L$500,'Returns (Calc)'!$AT$3:$AT$500),2),"")</f>
        <v>0.29</v>
      </c>
      <c r="AB16" s="163" t="n">
        <f aca="false">IFERROR(ROUND(CORREL('Returns (Calc)'!$L$3:$L$500,'Returns (Calc)'!$AU$3:$AU$500),2),"")</f>
        <v>0.11</v>
      </c>
      <c r="AG16" s="164" t="n">
        <f aca="false">COUNTIF(B16:AB16,"&gt;0.7")-1</f>
        <v>0</v>
      </c>
    </row>
    <row r="17" customFormat="false" ht="15" hidden="false" customHeight="true" outlineLevel="0" collapsed="false">
      <c r="A17" s="162" t="str">
        <f aca="false">'Returns (Calc)'!M2</f>
        <v>VRT</v>
      </c>
      <c r="B17" s="163" t="n">
        <f aca="false">IFERROR(ROUND(CORREL('Returns (Calc)'!$M$3:$M$500,'Returns (Calc)'!$B$3:$B$500),2),"")</f>
        <v>0.05</v>
      </c>
      <c r="C17" s="163" t="n">
        <f aca="false">IFERROR(ROUND(CORREL('Returns (Calc)'!$M$3:$M$500,'Returns (Calc)'!$C$3:$C$500),2),"")</f>
        <v>0.58</v>
      </c>
      <c r="D17" s="163" t="n">
        <f aca="false">IFERROR(ROUND(CORREL('Returns (Calc)'!$M$3:$M$500,'Returns (Calc)'!$D$3:$D$500),2),"")</f>
        <v>0.43</v>
      </c>
      <c r="E17" s="163" t="n">
        <f aca="false">IFERROR(ROUND(CORREL('Returns (Calc)'!$M$3:$M$500,'Returns (Calc)'!$E$3:$E$500),2),"")</f>
        <v>0.52</v>
      </c>
      <c r="F17" s="163" t="n">
        <f aca="false">IFERROR(ROUND(CORREL('Returns (Calc)'!$M$3:$M$500,'Returns (Calc)'!$F$3:$F$500),2),"")</f>
        <v>0.4</v>
      </c>
      <c r="G17" s="163" t="n">
        <f aca="false">IFERROR(ROUND(CORREL('Returns (Calc)'!$M$3:$M$500,'Returns (Calc)'!$G$3:$G$500),2),"")</f>
        <v>0.51</v>
      </c>
      <c r="H17" s="163" t="n">
        <f aca="false">IFERROR(ROUND(CORREL('Returns (Calc)'!$M$3:$M$500,'Returns (Calc)'!$H$3:$H$500),2),"")</f>
        <v>0.5</v>
      </c>
      <c r="I17" s="163" t="n">
        <f aca="false">IFERROR(ROUND(CORREL('Returns (Calc)'!$M$3:$M$500,'Returns (Calc)'!$I$3:$I$500),2),"")</f>
        <v>0.65</v>
      </c>
      <c r="J17" s="163" t="n">
        <f aca="false">IFERROR(ROUND(CORREL('Returns (Calc)'!$M$3:$M$500,'Returns (Calc)'!$J$3:$J$500),2),"")</f>
        <v>0.15</v>
      </c>
      <c r="K17" s="163" t="n">
        <f aca="false">IFERROR(ROUND(CORREL('Returns (Calc)'!$M$3:$M$500,'Returns (Calc)'!$K$3:$K$500),2),"")</f>
        <v>0.32</v>
      </c>
      <c r="L17" s="163" t="n">
        <f aca="false">IFERROR(ROUND(CORREL('Returns (Calc)'!$M$3:$M$500,'Returns (Calc)'!$L$3:$L$500),2),"")</f>
        <v>0.6</v>
      </c>
      <c r="M17" s="163" t="n">
        <v>1</v>
      </c>
      <c r="N17" s="163" t="n">
        <f aca="false">IFERROR(ROUND(CORREL('Returns (Calc)'!$M$3:$M$500,'Returns (Calc)'!$N$3:$N$500),2),"")</f>
        <v>0.12</v>
      </c>
      <c r="O17" s="163" t="n">
        <f aca="false">IFERROR(ROUND(CORREL('Returns (Calc)'!$M$3:$M$500,'Returns (Calc)'!$O$3:$O$500),2),"")</f>
        <v>0.35</v>
      </c>
      <c r="P17" s="163" t="n">
        <f aca="false">IFERROR(ROUND(CORREL('Returns (Calc)'!$M$3:$M$500,'Returns (Calc)'!$P$3:$P$500),2),"")</f>
        <v>0.21</v>
      </c>
      <c r="Q17" s="163" t="n">
        <f aca="false">IFERROR(ROUND(CORREL('Returns (Calc)'!$M$3:$M$500,'Returns (Calc)'!$Q$3:$Q$500),2),"")</f>
        <v>0.57</v>
      </c>
      <c r="R17" s="163" t="n">
        <f aca="false">IFERROR(ROUND(CORREL('Returns (Calc)'!$M$3:$M$500,'Returns (Calc)'!$R$3:$R$500),2),"")</f>
        <v>0.63</v>
      </c>
      <c r="S17" s="163" t="n">
        <f aca="false">IFERROR(ROUND(CORREL('Returns (Calc)'!$M$3:$M$500,'Returns (Calc)'!$S$3:$S$500),2),"")</f>
        <v>0.67</v>
      </c>
      <c r="T17" s="163" t="n">
        <f aca="false">IFERROR(ROUND(CORREL('Returns (Calc)'!$M$3:$M$500,'Returns (Calc)'!$T$3:$T$500),2),"")</f>
        <v>0.29</v>
      </c>
      <c r="U17" s="163" t="n">
        <f aca="false">IFERROR(ROUND(CORREL('Returns (Calc)'!$M$3:$M$500,'Returns (Calc)'!$U$3:$U$500),2),"")</f>
        <v>0.21</v>
      </c>
      <c r="V17" s="163" t="n">
        <f aca="false">IFERROR(ROUND(CORREL('Returns (Calc)'!$M$3:$M$500,'Returns (Calc)'!$V$3:$V$500),2),"")</f>
        <v>0.13</v>
      </c>
      <c r="W17" s="163" t="n">
        <f aca="false">IFERROR(ROUND(CORREL('Returns (Calc)'!$M$3:$M$500,'Returns (Calc)'!$AP$3:$AP$500),2),"")</f>
        <v>0.42</v>
      </c>
      <c r="X17" s="163" t="n">
        <f aca="false">IFERROR(ROUND(CORREL('Returns (Calc)'!$M$3:$M$500,'Returns (Calc)'!$AQ$3:$AQ$500),2),"")</f>
        <v>0.19</v>
      </c>
      <c r="Y17" s="163" t="n">
        <f aca="false">IFERROR(ROUND(CORREL('Returns (Calc)'!$M$3:$M$500,'Returns (Calc)'!$AR$3:$AR$500),2),"")</f>
        <v>0.44</v>
      </c>
      <c r="Z17" s="163" t="n">
        <f aca="false">IFERROR(ROUND(CORREL('Returns (Calc)'!$M$3:$M$500,'Returns (Calc)'!$AS$3:$AS$500),2),"")</f>
        <v>0.44</v>
      </c>
      <c r="AA17" s="163" t="n">
        <f aca="false">IFERROR(ROUND(CORREL('Returns (Calc)'!$M$3:$M$500,'Returns (Calc)'!$AT$3:$AT$500),2),"")</f>
        <v>0.31</v>
      </c>
      <c r="AB17" s="163" t="n">
        <f aca="false">IFERROR(ROUND(CORREL('Returns (Calc)'!$M$3:$M$500,'Returns (Calc)'!$AU$3:$AU$500),2),"")</f>
        <v>0.06</v>
      </c>
      <c r="AG17" s="164" t="n">
        <f aca="false">COUNTIF(B17:AB17,"&gt;0.7")-1</f>
        <v>0</v>
      </c>
    </row>
    <row r="18" customFormat="false" ht="15" hidden="false" customHeight="true" outlineLevel="0" collapsed="false">
      <c r="A18" s="162" t="str">
        <f aca="false">'Returns (Calc)'!N2</f>
        <v>VRTX</v>
      </c>
      <c r="B18" s="163" t="n">
        <f aca="false">IFERROR(ROUND(CORREL('Returns (Calc)'!$N$3:$N$500,'Returns (Calc)'!$B$3:$B$500),2),"")</f>
        <v>0.14</v>
      </c>
      <c r="C18" s="163" t="n">
        <f aca="false">IFERROR(ROUND(CORREL('Returns (Calc)'!$N$3:$N$500,'Returns (Calc)'!$C$3:$C$500),2),"")</f>
        <v>0.05</v>
      </c>
      <c r="D18" s="163" t="n">
        <f aca="false">IFERROR(ROUND(CORREL('Returns (Calc)'!$N$3:$N$500,'Returns (Calc)'!$D$3:$D$500),2),"")</f>
        <v>0.11</v>
      </c>
      <c r="E18" s="163" t="n">
        <f aca="false">IFERROR(ROUND(CORREL('Returns (Calc)'!$N$3:$N$500,'Returns (Calc)'!$E$3:$E$500),2),"")</f>
        <v>0.14</v>
      </c>
      <c r="F18" s="163" t="n">
        <f aca="false">IFERROR(ROUND(CORREL('Returns (Calc)'!$N$3:$N$500,'Returns (Calc)'!$F$3:$F$500),2),"")</f>
        <v>0.17</v>
      </c>
      <c r="G18" s="163" t="n">
        <f aca="false">IFERROR(ROUND(CORREL('Returns (Calc)'!$N$3:$N$500,'Returns (Calc)'!$G$3:$G$500),2),"")</f>
        <v>0.16</v>
      </c>
      <c r="H18" s="163" t="n">
        <f aca="false">IFERROR(ROUND(CORREL('Returns (Calc)'!$N$3:$N$500,'Returns (Calc)'!$H$3:$H$500),2),"")</f>
        <v>0.18</v>
      </c>
      <c r="I18" s="163" t="n">
        <f aca="false">IFERROR(ROUND(CORREL('Returns (Calc)'!$N$3:$N$500,'Returns (Calc)'!$I$3:$I$500),2),"")</f>
        <v>0.14</v>
      </c>
      <c r="J18" s="163" t="n">
        <f aca="false">IFERROR(ROUND(CORREL('Returns (Calc)'!$N$3:$N$500,'Returns (Calc)'!$J$3:$J$500),2),"")</f>
        <v>0.25</v>
      </c>
      <c r="K18" s="163" t="n">
        <f aca="false">IFERROR(ROUND(CORREL('Returns (Calc)'!$N$3:$N$500,'Returns (Calc)'!$K$3:$K$500),2),"")</f>
        <v>0.08</v>
      </c>
      <c r="L18" s="163" t="n">
        <f aca="false">IFERROR(ROUND(CORREL('Returns (Calc)'!$N$3:$N$500,'Returns (Calc)'!$L$3:$L$500),2),"")</f>
        <v>0.14</v>
      </c>
      <c r="M18" s="163" t="n">
        <f aca="false">IFERROR(ROUND(CORREL('Returns (Calc)'!$N$3:$N$500,'Returns (Calc)'!$M$3:$M$500),2),"")</f>
        <v>0.12</v>
      </c>
      <c r="N18" s="163" t="n">
        <v>1</v>
      </c>
      <c r="O18" s="163" t="n">
        <f aca="false">IFERROR(ROUND(CORREL('Returns (Calc)'!$N$3:$N$500,'Returns (Calc)'!$O$3:$O$500),2),"")</f>
        <v>0.22</v>
      </c>
      <c r="P18" s="163" t="n">
        <f aca="false">IFERROR(ROUND(CORREL('Returns (Calc)'!$N$3:$N$500,'Returns (Calc)'!$P$3:$P$500),2),"")</f>
        <v>0.23</v>
      </c>
      <c r="Q18" s="163" t="n">
        <f aca="false">IFERROR(ROUND(CORREL('Returns (Calc)'!$N$3:$N$500,'Returns (Calc)'!$Q$3:$Q$500),2),"")</f>
        <v>0.27</v>
      </c>
      <c r="R18" s="163" t="n">
        <f aca="false">IFERROR(ROUND(CORREL('Returns (Calc)'!$N$3:$N$500,'Returns (Calc)'!$R$3:$R$500),2),"")</f>
        <v>0.2</v>
      </c>
      <c r="S18" s="163" t="n">
        <f aca="false">IFERROR(ROUND(CORREL('Returns (Calc)'!$N$3:$N$500,'Returns (Calc)'!$S$3:$S$500),2),"")</f>
        <v>0.17</v>
      </c>
      <c r="T18" s="163" t="n">
        <f aca="false">IFERROR(ROUND(CORREL('Returns (Calc)'!$N$3:$N$500,'Returns (Calc)'!$T$3:$T$500),2),"")</f>
        <v>0.32</v>
      </c>
      <c r="U18" s="163" t="n">
        <f aca="false">IFERROR(ROUND(CORREL('Returns (Calc)'!$N$3:$N$500,'Returns (Calc)'!$U$3:$U$500),2),"")</f>
        <v>0.35</v>
      </c>
      <c r="V18" s="163" t="n">
        <f aca="false">IFERROR(ROUND(CORREL('Returns (Calc)'!$N$3:$N$500,'Returns (Calc)'!$V$3:$V$500),2),"")</f>
        <v>0.26</v>
      </c>
      <c r="W18" s="163" t="n">
        <f aca="false">IFERROR(ROUND(CORREL('Returns (Calc)'!$N$3:$N$500,'Returns (Calc)'!$AP$3:$AP$500),2),"")</f>
        <v>0.28</v>
      </c>
      <c r="X18" s="163" t="n">
        <f aca="false">IFERROR(ROUND(CORREL('Returns (Calc)'!$N$3:$N$500,'Returns (Calc)'!$AQ$3:$AQ$500),2),"")</f>
        <v>-0.16</v>
      </c>
      <c r="Y18" s="163" t="n">
        <f aca="false">IFERROR(ROUND(CORREL('Returns (Calc)'!$N$3:$N$500,'Returns (Calc)'!$AR$3:$AR$500),2),"")</f>
        <v>0.34</v>
      </c>
      <c r="Z18" s="163" t="n">
        <f aca="false">IFERROR(ROUND(CORREL('Returns (Calc)'!$N$3:$N$500,'Returns (Calc)'!$AS$3:$AS$500),2),"")</f>
        <v>0.08</v>
      </c>
      <c r="AA18" s="163" t="n">
        <f aca="false">IFERROR(ROUND(CORREL('Returns (Calc)'!$N$3:$N$500,'Returns (Calc)'!$AT$3:$AT$500),2),"")</f>
        <v>0.08</v>
      </c>
      <c r="AB18" s="163" t="n">
        <f aca="false">IFERROR(ROUND(CORREL('Returns (Calc)'!$N$3:$N$500,'Returns (Calc)'!$AU$3:$AU$500),2),"")</f>
        <v>0.27</v>
      </c>
      <c r="AG18" s="164" t="n">
        <f aca="false">COUNTIF(B18:AB18,"&gt;0.7")-1</f>
        <v>0</v>
      </c>
    </row>
    <row r="19" customFormat="false" ht="15" hidden="false" customHeight="true" outlineLevel="0" collapsed="false">
      <c r="A19" s="162" t="str">
        <f aca="false">'Returns (Calc)'!O2</f>
        <v>AVUV</v>
      </c>
      <c r="B19" s="163" t="n">
        <f aca="false">IFERROR(ROUND(CORREL('Returns (Calc)'!$O$3:$O$500,'Returns (Calc)'!$B$3:$B$500),2),"")</f>
        <v>0.16</v>
      </c>
      <c r="C19" s="163" t="n">
        <f aca="false">IFERROR(ROUND(CORREL('Returns (Calc)'!$O$3:$O$500,'Returns (Calc)'!$C$3:$C$500),2),"")</f>
        <v>0.35</v>
      </c>
      <c r="D19" s="163" t="n">
        <f aca="false">IFERROR(ROUND(CORREL('Returns (Calc)'!$O$3:$O$500,'Returns (Calc)'!$D$3:$D$500),2),"")</f>
        <v>0.38</v>
      </c>
      <c r="E19" s="163" t="n">
        <f aca="false">IFERROR(ROUND(CORREL('Returns (Calc)'!$O$3:$O$500,'Returns (Calc)'!$E$3:$E$500),2),"")</f>
        <v>0.29</v>
      </c>
      <c r="F19" s="163" t="n">
        <f aca="false">IFERROR(ROUND(CORREL('Returns (Calc)'!$O$3:$O$500,'Returns (Calc)'!$F$3:$F$500),2),"")</f>
        <v>0.19</v>
      </c>
      <c r="G19" s="163" t="n">
        <f aca="false">IFERROR(ROUND(CORREL('Returns (Calc)'!$O$3:$O$500,'Returns (Calc)'!$G$3:$G$500),2),"")</f>
        <v>0.43</v>
      </c>
      <c r="H19" s="163" t="n">
        <f aca="false">IFERROR(ROUND(CORREL('Returns (Calc)'!$O$3:$O$500,'Returns (Calc)'!$H$3:$H$500),2),"")</f>
        <v>0.35</v>
      </c>
      <c r="I19" s="163" t="n">
        <f aca="false">IFERROR(ROUND(CORREL('Returns (Calc)'!$O$3:$O$500,'Returns (Calc)'!$I$3:$I$500),2),"")</f>
        <v>0.28</v>
      </c>
      <c r="J19" s="163" t="n">
        <f aca="false">IFERROR(ROUND(CORREL('Returns (Calc)'!$O$3:$O$500,'Returns (Calc)'!$J$3:$J$500),2),"")</f>
        <v>0.62</v>
      </c>
      <c r="K19" s="163" t="n">
        <f aca="false">IFERROR(ROUND(CORREL('Returns (Calc)'!$O$3:$O$500,'Returns (Calc)'!$K$3:$K$500),2),"")</f>
        <v>0.23</v>
      </c>
      <c r="L19" s="163" t="n">
        <f aca="false">IFERROR(ROUND(CORREL('Returns (Calc)'!$O$3:$O$500,'Returns (Calc)'!$L$3:$L$500),2),"")</f>
        <v>0.33</v>
      </c>
      <c r="M19" s="163" t="n">
        <f aca="false">IFERROR(ROUND(CORREL('Returns (Calc)'!$O$3:$O$500,'Returns (Calc)'!$M$3:$M$500),2),"")</f>
        <v>0.35</v>
      </c>
      <c r="N19" s="163" t="n">
        <f aca="false">IFERROR(ROUND(CORREL('Returns (Calc)'!$O$3:$O$500,'Returns (Calc)'!$N$3:$N$500),2),"")</f>
        <v>0.22</v>
      </c>
      <c r="O19" s="163" t="n">
        <v>1</v>
      </c>
      <c r="P19" s="163" t="n">
        <f aca="false">IFERROR(ROUND(CORREL('Returns (Calc)'!$O$3:$O$500,'Returns (Calc)'!$P$3:$P$500),2),"")</f>
        <v>0.86</v>
      </c>
      <c r="Q19" s="163" t="n">
        <f aca="false">IFERROR(ROUND(CORREL('Returns (Calc)'!$O$3:$O$500,'Returns (Calc)'!$Q$3:$Q$500),2),"")</f>
        <v>0.64</v>
      </c>
      <c r="R19" s="163" t="n">
        <f aca="false">IFERROR(ROUND(CORREL('Returns (Calc)'!$O$3:$O$500,'Returns (Calc)'!$R$3:$R$500),2),"")</f>
        <v>0.52</v>
      </c>
      <c r="S19" s="163" t="n">
        <f aca="false">IFERROR(ROUND(CORREL('Returns (Calc)'!$O$3:$O$500,'Returns (Calc)'!$S$3:$S$500),2),"")</f>
        <v>0.5</v>
      </c>
      <c r="T19" s="163" t="n">
        <f aca="false">IFERROR(ROUND(CORREL('Returns (Calc)'!$O$3:$O$500,'Returns (Calc)'!$T$3:$T$500),2),"")</f>
        <v>0.78</v>
      </c>
      <c r="U19" s="163" t="n">
        <f aca="false">IFERROR(ROUND(CORREL('Returns (Calc)'!$O$3:$O$500,'Returns (Calc)'!$U$3:$U$500),2),"")</f>
        <v>0.83</v>
      </c>
      <c r="V19" s="163" t="n">
        <f aca="false">IFERROR(ROUND(CORREL('Returns (Calc)'!$O$3:$O$500,'Returns (Calc)'!$V$3:$V$500),2),"")</f>
        <v>0.35</v>
      </c>
      <c r="W19" s="163" t="n">
        <f aca="false">IFERROR(ROUND(CORREL('Returns (Calc)'!$O$3:$O$500,'Returns (Calc)'!$AP$3:$AP$500),2),"")</f>
        <v>0.87</v>
      </c>
      <c r="X19" s="163" t="n">
        <f aca="false">IFERROR(ROUND(CORREL('Returns (Calc)'!$O$3:$O$500,'Returns (Calc)'!$AQ$3:$AQ$500),2),"")</f>
        <v>0.11</v>
      </c>
      <c r="Y19" s="163" t="n">
        <f aca="false">IFERROR(ROUND(CORREL('Returns (Calc)'!$O$3:$O$500,'Returns (Calc)'!$AR$3:$AR$500),2),"")</f>
        <v>0.73</v>
      </c>
      <c r="Z19" s="163" t="n">
        <f aca="false">IFERROR(ROUND(CORREL('Returns (Calc)'!$O$3:$O$500,'Returns (Calc)'!$AS$3:$AS$500),2),"")</f>
        <v>0.46</v>
      </c>
      <c r="AA19" s="163" t="n">
        <f aca="false">IFERROR(ROUND(CORREL('Returns (Calc)'!$O$3:$O$500,'Returns (Calc)'!$AT$3:$AT$500),2),"")</f>
        <v>0.21</v>
      </c>
      <c r="AB19" s="163" t="n">
        <f aca="false">IFERROR(ROUND(CORREL('Returns (Calc)'!$O$3:$O$500,'Returns (Calc)'!$AU$3:$AU$500),2),"")</f>
        <v>0.22</v>
      </c>
      <c r="AG19" s="164" t="n">
        <f aca="false">COUNTIF(B19:AB19,"&gt;0.7")-1</f>
        <v>5</v>
      </c>
    </row>
    <row r="20" customFormat="false" ht="15" hidden="false" customHeight="true" outlineLevel="0" collapsed="false">
      <c r="A20" s="162" t="str">
        <f aca="false">'Returns (Calc)'!P2</f>
        <v>DVY</v>
      </c>
      <c r="B20" s="163" t="n">
        <f aca="false">IFERROR(ROUND(CORREL('Returns (Calc)'!$P$3:$P$500,'Returns (Calc)'!$B$3:$B$500),2),"")</f>
        <v>0.14</v>
      </c>
      <c r="C20" s="163" t="n">
        <f aca="false">IFERROR(ROUND(CORREL('Returns (Calc)'!$P$3:$P$500,'Returns (Calc)'!$C$3:$C$500),2),"")</f>
        <v>0.24</v>
      </c>
      <c r="D20" s="163" t="n">
        <f aca="false">IFERROR(ROUND(CORREL('Returns (Calc)'!$P$3:$P$500,'Returns (Calc)'!$D$3:$D$500),2),"")</f>
        <v>0.23</v>
      </c>
      <c r="E20" s="163" t="n">
        <f aca="false">IFERROR(ROUND(CORREL('Returns (Calc)'!$P$3:$P$500,'Returns (Calc)'!$E$3:$E$500),2),"")</f>
        <v>0.11</v>
      </c>
      <c r="F20" s="163" t="n">
        <f aca="false">IFERROR(ROUND(CORREL('Returns (Calc)'!$P$3:$P$500,'Returns (Calc)'!$F$3:$F$500),2),"")</f>
        <v>0.1</v>
      </c>
      <c r="G20" s="163" t="n">
        <f aca="false">IFERROR(ROUND(CORREL('Returns (Calc)'!$P$3:$P$500,'Returns (Calc)'!$G$3:$G$500),2),"")</f>
        <v>0.25</v>
      </c>
      <c r="H20" s="163" t="n">
        <f aca="false">IFERROR(ROUND(CORREL('Returns (Calc)'!$P$3:$P$500,'Returns (Calc)'!$H$3:$H$500),2),"")</f>
        <v>0.22</v>
      </c>
      <c r="I20" s="163" t="n">
        <f aca="false">IFERROR(ROUND(CORREL('Returns (Calc)'!$P$3:$P$500,'Returns (Calc)'!$I$3:$I$500),2),"")</f>
        <v>0.14</v>
      </c>
      <c r="J20" s="163" t="n">
        <f aca="false">IFERROR(ROUND(CORREL('Returns (Calc)'!$P$3:$P$500,'Returns (Calc)'!$J$3:$J$500),2),"")</f>
        <v>0.65</v>
      </c>
      <c r="K20" s="163" t="n">
        <f aca="false">IFERROR(ROUND(CORREL('Returns (Calc)'!$P$3:$P$500,'Returns (Calc)'!$K$3:$K$500),2),"")</f>
        <v>0.1</v>
      </c>
      <c r="L20" s="163" t="n">
        <f aca="false">IFERROR(ROUND(CORREL('Returns (Calc)'!$P$3:$P$500,'Returns (Calc)'!$L$3:$L$500),2),"")</f>
        <v>0.16</v>
      </c>
      <c r="M20" s="163" t="n">
        <f aca="false">IFERROR(ROUND(CORREL('Returns (Calc)'!$P$3:$P$500,'Returns (Calc)'!$M$3:$M$500),2),"")</f>
        <v>0.21</v>
      </c>
      <c r="N20" s="163" t="n">
        <f aca="false">IFERROR(ROUND(CORREL('Returns (Calc)'!$P$3:$P$500,'Returns (Calc)'!$N$3:$N$500),2),"")</f>
        <v>0.23</v>
      </c>
      <c r="O20" s="163" t="n">
        <f aca="false">IFERROR(ROUND(CORREL('Returns (Calc)'!$P$3:$P$500,'Returns (Calc)'!$O$3:$O$500),2),"")</f>
        <v>0.86</v>
      </c>
      <c r="P20" s="163" t="n">
        <v>1</v>
      </c>
      <c r="Q20" s="163" t="n">
        <f aca="false">IFERROR(ROUND(CORREL('Returns (Calc)'!$P$3:$P$500,'Returns (Calc)'!$Q$3:$Q$500),2),"")</f>
        <v>0.52</v>
      </c>
      <c r="R20" s="163" t="n">
        <f aca="false">IFERROR(ROUND(CORREL('Returns (Calc)'!$P$3:$P$500,'Returns (Calc)'!$R$3:$R$500),2),"")</f>
        <v>0.38</v>
      </c>
      <c r="S20" s="163" t="n">
        <f aca="false">IFERROR(ROUND(CORREL('Returns (Calc)'!$P$3:$P$500,'Returns (Calc)'!$S$3:$S$500),2),"")</f>
        <v>0.34</v>
      </c>
      <c r="T20" s="163" t="n">
        <f aca="false">IFERROR(ROUND(CORREL('Returns (Calc)'!$P$3:$P$500,'Returns (Calc)'!$T$3:$T$500),2),"")</f>
        <v>0.73</v>
      </c>
      <c r="U20" s="163" t="n">
        <f aca="false">IFERROR(ROUND(CORREL('Returns (Calc)'!$P$3:$P$500,'Returns (Calc)'!$U$3:$U$500),2),"")</f>
        <v>0.89</v>
      </c>
      <c r="V20" s="163" t="n">
        <f aca="false">IFERROR(ROUND(CORREL('Returns (Calc)'!$P$3:$P$500,'Returns (Calc)'!$V$3:$V$500),2),"")</f>
        <v>0.42</v>
      </c>
      <c r="W20" s="163" t="n">
        <f aca="false">IFERROR(ROUND(CORREL('Returns (Calc)'!$P$3:$P$500,'Returns (Calc)'!$AP$3:$AP$500),2),"")</f>
        <v>0.88</v>
      </c>
      <c r="X20" s="163" t="n">
        <f aca="false">IFERROR(ROUND(CORREL('Returns (Calc)'!$P$3:$P$500,'Returns (Calc)'!$AQ$3:$AQ$500),2),"")</f>
        <v>0.45</v>
      </c>
      <c r="Y20" s="163" t="n">
        <f aca="false">IFERROR(ROUND(CORREL('Returns (Calc)'!$P$3:$P$500,'Returns (Calc)'!$AR$3:$AR$500),2),"")</f>
        <v>0.76</v>
      </c>
      <c r="Z20" s="163" t="n">
        <f aca="false">IFERROR(ROUND(CORREL('Returns (Calc)'!$P$3:$P$500,'Returns (Calc)'!$AS$3:$AS$500),2),"")</f>
        <v>0.4</v>
      </c>
      <c r="AA20" s="163" t="n">
        <f aca="false">IFERROR(ROUND(CORREL('Returns (Calc)'!$P$3:$P$500,'Returns (Calc)'!$AT$3:$AT$500),2),"")</f>
        <v>0.18</v>
      </c>
      <c r="AB20" s="163" t="n">
        <f aca="false">IFERROR(ROUND(CORREL('Returns (Calc)'!$P$3:$P$500,'Returns (Calc)'!$AU$3:$AU$500),2),"")</f>
        <v>0.19</v>
      </c>
      <c r="AG20" s="164" t="n">
        <f aca="false">COUNTIF(B20:AB20,"&gt;0.7")-1</f>
        <v>5</v>
      </c>
    </row>
    <row r="21" customFormat="false" ht="15" hidden="false" customHeight="true" outlineLevel="0" collapsed="false">
      <c r="A21" s="162" t="str">
        <f aca="false">'Returns (Calc)'!Q2</f>
        <v>HELO</v>
      </c>
      <c r="B21" s="163" t="n">
        <f aca="false">IFERROR(ROUND(CORREL('Returns (Calc)'!$Q$3:$Q$500,'Returns (Calc)'!$B$3:$B$500),2),"")</f>
        <v>0.44</v>
      </c>
      <c r="C21" s="163" t="n">
        <f aca="false">IFERROR(ROUND(CORREL('Returns (Calc)'!$Q$3:$Q$500,'Returns (Calc)'!$C$3:$C$500),2),"")</f>
        <v>0.65</v>
      </c>
      <c r="D21" s="163" t="n">
        <f aca="false">IFERROR(ROUND(CORREL('Returns (Calc)'!$Q$3:$Q$500,'Returns (Calc)'!$D$3:$D$500),2),"")</f>
        <v>0.51</v>
      </c>
      <c r="E21" s="163" t="n">
        <f aca="false">IFERROR(ROUND(CORREL('Returns (Calc)'!$Q$3:$Q$500,'Returns (Calc)'!$E$3:$E$500),2),"")</f>
        <v>0.67</v>
      </c>
      <c r="F21" s="163" t="n">
        <f aca="false">IFERROR(ROUND(CORREL('Returns (Calc)'!$Q$3:$Q$500,'Returns (Calc)'!$F$3:$F$500),2),"")</f>
        <v>0.47</v>
      </c>
      <c r="G21" s="163" t="n">
        <f aca="false">IFERROR(ROUND(CORREL('Returns (Calc)'!$Q$3:$Q$500,'Returns (Calc)'!$G$3:$G$500),2),"")</f>
        <v>0.52</v>
      </c>
      <c r="H21" s="163" t="n">
        <f aca="false">IFERROR(ROUND(CORREL('Returns (Calc)'!$Q$3:$Q$500,'Returns (Calc)'!$H$3:$H$500),2),"")</f>
        <v>0.51</v>
      </c>
      <c r="I21" s="163" t="n">
        <f aca="false">IFERROR(ROUND(CORREL('Returns (Calc)'!$Q$3:$Q$500,'Returns (Calc)'!$I$3:$I$500),2),"")</f>
        <v>0.7</v>
      </c>
      <c r="J21" s="163" t="n">
        <f aca="false">IFERROR(ROUND(CORREL('Returns (Calc)'!$Q$3:$Q$500,'Returns (Calc)'!$J$3:$J$500),2),"")</f>
        <v>0.48</v>
      </c>
      <c r="K21" s="163" t="n">
        <f aca="false">IFERROR(ROUND(CORREL('Returns (Calc)'!$Q$3:$Q$500,'Returns (Calc)'!$K$3:$K$500),2),"")</f>
        <v>0.48</v>
      </c>
      <c r="L21" s="163" t="n">
        <f aca="false">IFERROR(ROUND(CORREL('Returns (Calc)'!$Q$3:$Q$500,'Returns (Calc)'!$L$3:$L$500),2),"")</f>
        <v>0.62</v>
      </c>
      <c r="M21" s="163" t="n">
        <f aca="false">IFERROR(ROUND(CORREL('Returns (Calc)'!$Q$3:$Q$500,'Returns (Calc)'!$M$3:$M$500),2),"")</f>
        <v>0.57</v>
      </c>
      <c r="N21" s="163" t="n">
        <f aca="false">IFERROR(ROUND(CORREL('Returns (Calc)'!$Q$3:$Q$500,'Returns (Calc)'!$N$3:$N$500),2),"")</f>
        <v>0.27</v>
      </c>
      <c r="O21" s="163" t="n">
        <f aca="false">IFERROR(ROUND(CORREL('Returns (Calc)'!$Q$3:$Q$500,'Returns (Calc)'!$O$3:$O$500),2),"")</f>
        <v>0.64</v>
      </c>
      <c r="P21" s="163" t="n">
        <f aca="false">IFERROR(ROUND(CORREL('Returns (Calc)'!$Q$3:$Q$500,'Returns (Calc)'!$P$3:$P$500),2),"")</f>
        <v>0.52</v>
      </c>
      <c r="Q21" s="163" t="n">
        <v>1</v>
      </c>
      <c r="R21" s="163" t="n">
        <f aca="false">IFERROR(ROUND(CORREL('Returns (Calc)'!$Q$3:$Q$500,'Returns (Calc)'!$R$3:$R$500),2),"")</f>
        <v>0.9</v>
      </c>
      <c r="S21" s="163" t="n">
        <f aca="false">IFERROR(ROUND(CORREL('Returns (Calc)'!$Q$3:$Q$500,'Returns (Calc)'!$S$3:$S$500),2),"")</f>
        <v>0.84</v>
      </c>
      <c r="T21" s="163" t="n">
        <f aca="false">IFERROR(ROUND(CORREL('Returns (Calc)'!$Q$3:$Q$500,'Returns (Calc)'!$T$3:$T$500),2),"")</f>
        <v>0.66</v>
      </c>
      <c r="U21" s="163" t="n">
        <f aca="false">IFERROR(ROUND(CORREL('Returns (Calc)'!$Q$3:$Q$500,'Returns (Calc)'!$U$3:$U$500),2),"")</f>
        <v>0.58</v>
      </c>
      <c r="V21" s="163" t="n">
        <f aca="false">IFERROR(ROUND(CORREL('Returns (Calc)'!$Q$3:$Q$500,'Returns (Calc)'!$V$3:$V$500),2),"")</f>
        <v>0.52</v>
      </c>
      <c r="W21" s="163" t="n">
        <f aca="false">IFERROR(ROUND(CORREL('Returns (Calc)'!$Q$3:$Q$500,'Returns (Calc)'!$AP$3:$AP$500),2),"")</f>
        <v>0.78</v>
      </c>
      <c r="X21" s="163" t="n">
        <f aca="false">IFERROR(ROUND(CORREL('Returns (Calc)'!$Q$3:$Q$500,'Returns (Calc)'!$AQ$3:$AQ$500),2),"")</f>
        <v>-0.41</v>
      </c>
      <c r="Y21" s="163" t="n">
        <f aca="false">IFERROR(ROUND(CORREL('Returns (Calc)'!$Q$3:$Q$500,'Returns (Calc)'!$AR$3:$AR$500),2),"")</f>
        <v>0.83</v>
      </c>
      <c r="Z21" s="163" t="n">
        <f aca="false">IFERROR(ROUND(CORREL('Returns (Calc)'!$Q$3:$Q$500,'Returns (Calc)'!$AS$3:$AS$500),2),"")</f>
        <v>0.53</v>
      </c>
      <c r="AA21" s="163" t="n">
        <f aca="false">IFERROR(ROUND(CORREL('Returns (Calc)'!$Q$3:$Q$500,'Returns (Calc)'!$AT$3:$AT$500),2),"")</f>
        <v>0.39</v>
      </c>
      <c r="AB21" s="163" t="n">
        <f aca="false">IFERROR(ROUND(CORREL('Returns (Calc)'!$Q$3:$Q$500,'Returns (Calc)'!$AU$3:$AU$500),2),"")</f>
        <v>0.34</v>
      </c>
      <c r="AG21" s="164" t="n">
        <f aca="false">COUNTIF(B21:AB21,"&gt;0.7")-1</f>
        <v>4</v>
      </c>
    </row>
    <row r="22" customFormat="false" ht="15" hidden="false" customHeight="true" outlineLevel="0" collapsed="false">
      <c r="A22" s="162" t="str">
        <f aca="false">'Returns (Calc)'!R2</f>
        <v>JEPQ</v>
      </c>
      <c r="B22" s="163" t="n">
        <f aca="false">IFERROR(ROUND(CORREL('Returns (Calc)'!$R$3:$R$500,'Returns (Calc)'!$B$3:$B$500),2),"")</f>
        <v>0.34</v>
      </c>
      <c r="C22" s="163" t="n">
        <f aca="false">IFERROR(ROUND(CORREL('Returns (Calc)'!$R$3:$R$500,'Returns (Calc)'!$C$3:$C$500),2),"")</f>
        <v>0.67</v>
      </c>
      <c r="D22" s="163" t="n">
        <f aca="false">IFERROR(ROUND(CORREL('Returns (Calc)'!$R$3:$R$500,'Returns (Calc)'!$D$3:$D$500),2),"")</f>
        <v>0.61</v>
      </c>
      <c r="E22" s="163" t="n">
        <f aca="false">IFERROR(ROUND(CORREL('Returns (Calc)'!$R$3:$R$500,'Returns (Calc)'!$E$3:$E$500),2),"")</f>
        <v>0.73</v>
      </c>
      <c r="F22" s="163" t="n">
        <f aca="false">IFERROR(ROUND(CORREL('Returns (Calc)'!$R$3:$R$500,'Returns (Calc)'!$F$3:$F$500),2),"")</f>
        <v>0.55</v>
      </c>
      <c r="G22" s="163" t="n">
        <f aca="false">IFERROR(ROUND(CORREL('Returns (Calc)'!$R$3:$R$500,'Returns (Calc)'!$G$3:$G$500),2),"")</f>
        <v>0.61</v>
      </c>
      <c r="H22" s="163" t="n">
        <f aca="false">IFERROR(ROUND(CORREL('Returns (Calc)'!$R$3:$R$500,'Returns (Calc)'!$H$3:$H$500),2),"")</f>
        <v>0.61</v>
      </c>
      <c r="I22" s="163" t="n">
        <f aca="false">IFERROR(ROUND(CORREL('Returns (Calc)'!$R$3:$R$500,'Returns (Calc)'!$I$3:$I$500),2),"")</f>
        <v>0.73</v>
      </c>
      <c r="J22" s="163" t="n">
        <f aca="false">IFERROR(ROUND(CORREL('Returns (Calc)'!$R$3:$R$500,'Returns (Calc)'!$J$3:$J$500),2),"")</f>
        <v>0.36</v>
      </c>
      <c r="K22" s="163" t="n">
        <f aca="false">IFERROR(ROUND(CORREL('Returns (Calc)'!$R$3:$R$500,'Returns (Calc)'!$K$3:$K$500),2),"")</f>
        <v>0.52</v>
      </c>
      <c r="L22" s="163" t="n">
        <f aca="false">IFERROR(ROUND(CORREL('Returns (Calc)'!$R$3:$R$500,'Returns (Calc)'!$L$3:$L$500),2),"")</f>
        <v>0.69</v>
      </c>
      <c r="M22" s="163" t="n">
        <f aca="false">IFERROR(ROUND(CORREL('Returns (Calc)'!$R$3:$R$500,'Returns (Calc)'!$M$3:$M$500),2),"")</f>
        <v>0.63</v>
      </c>
      <c r="N22" s="163" t="n">
        <f aca="false">IFERROR(ROUND(CORREL('Returns (Calc)'!$R$3:$R$500,'Returns (Calc)'!$N$3:$N$500),2),"")</f>
        <v>0.2</v>
      </c>
      <c r="O22" s="163" t="n">
        <f aca="false">IFERROR(ROUND(CORREL('Returns (Calc)'!$R$3:$R$500,'Returns (Calc)'!$O$3:$O$500),2),"")</f>
        <v>0.52</v>
      </c>
      <c r="P22" s="163" t="n">
        <f aca="false">IFERROR(ROUND(CORREL('Returns (Calc)'!$R$3:$R$500,'Returns (Calc)'!$P$3:$P$500),2),"")</f>
        <v>0.38</v>
      </c>
      <c r="Q22" s="163" t="n">
        <f aca="false">IFERROR(ROUND(CORREL('Returns (Calc)'!$R$3:$R$500,'Returns (Calc)'!$Q$3:$Q$500),2),"")</f>
        <v>0.9</v>
      </c>
      <c r="R22" s="163" t="n">
        <v>1</v>
      </c>
      <c r="S22" s="163" t="n">
        <f aca="false">IFERROR(ROUND(CORREL('Returns (Calc)'!$R$3:$R$500,'Returns (Calc)'!$S$3:$S$500),2),"")</f>
        <v>0.89</v>
      </c>
      <c r="T22" s="163" t="n">
        <f aca="false">IFERROR(ROUND(CORREL('Returns (Calc)'!$R$3:$R$500,'Returns (Calc)'!$T$3:$T$500),2),"")</f>
        <v>0.55</v>
      </c>
      <c r="U22" s="163" t="n">
        <f aca="false">IFERROR(ROUND(CORREL('Returns (Calc)'!$R$3:$R$500,'Returns (Calc)'!$U$3:$U$500),2),"")</f>
        <v>0.41</v>
      </c>
      <c r="V22" s="163" t="n">
        <f aca="false">IFERROR(ROUND(CORREL('Returns (Calc)'!$R$3:$R$500,'Returns (Calc)'!$V$3:$V$500),2),"")</f>
        <v>0.42</v>
      </c>
      <c r="W22" s="163" t="n">
        <f aca="false">IFERROR(ROUND(CORREL('Returns (Calc)'!$R$3:$R$500,'Returns (Calc)'!$AP$3:$AP$500),2),"")</f>
        <v>0.66</v>
      </c>
      <c r="X22" s="163" t="n">
        <f aca="false">IFERROR(ROUND(CORREL('Returns (Calc)'!$R$3:$R$500,'Returns (Calc)'!$AQ$3:$AQ$500),2),"")</f>
        <v>-0.49</v>
      </c>
      <c r="Y22" s="163" t="n">
        <f aca="false">IFERROR(ROUND(CORREL('Returns (Calc)'!$R$3:$R$500,'Returns (Calc)'!$AR$3:$AR$500),2),"")</f>
        <v>0.76</v>
      </c>
      <c r="Z22" s="163" t="n">
        <f aca="false">IFERROR(ROUND(CORREL('Returns (Calc)'!$R$3:$R$500,'Returns (Calc)'!$AS$3:$AS$500),2),"")</f>
        <v>0.52</v>
      </c>
      <c r="AA22" s="163" t="n">
        <f aca="false">IFERROR(ROUND(CORREL('Returns (Calc)'!$R$3:$R$500,'Returns (Calc)'!$AT$3:$AT$500),2),"")</f>
        <v>0.43</v>
      </c>
      <c r="AB22" s="163" t="n">
        <f aca="false">IFERROR(ROUND(CORREL('Returns (Calc)'!$R$3:$R$500,'Returns (Calc)'!$AU$3:$AU$500),2),"")</f>
        <v>0.29</v>
      </c>
      <c r="AG22" s="164" t="n">
        <f aca="false">COUNTIF(B22:AB22,"&gt;0.7")-1</f>
        <v>5</v>
      </c>
    </row>
    <row r="23" customFormat="false" ht="15" hidden="false" customHeight="true" outlineLevel="0" collapsed="false">
      <c r="A23" s="162" t="str">
        <f aca="false">'Returns (Calc)'!S2</f>
        <v>SPMO</v>
      </c>
      <c r="B23" s="163" t="n">
        <f aca="false">IFERROR(ROUND(CORREL('Returns (Calc)'!$S$3:$S$500,'Returns (Calc)'!$B$3:$B$500),2),"")</f>
        <v>0.23</v>
      </c>
      <c r="C23" s="163" t="n">
        <f aca="false">IFERROR(ROUND(CORREL('Returns (Calc)'!$S$3:$S$500,'Returns (Calc)'!$C$3:$C$500),2),"")</f>
        <v>0.64</v>
      </c>
      <c r="D23" s="163" t="n">
        <f aca="false">IFERROR(ROUND(CORREL('Returns (Calc)'!$S$3:$S$500,'Returns (Calc)'!$D$3:$D$500),2),"")</f>
        <v>0.61</v>
      </c>
      <c r="E23" s="163" t="n">
        <f aca="false">IFERROR(ROUND(CORREL('Returns (Calc)'!$S$3:$S$500,'Returns (Calc)'!$E$3:$E$500),2),"")</f>
        <v>0.73</v>
      </c>
      <c r="F23" s="163" t="n">
        <f aca="false">IFERROR(ROUND(CORREL('Returns (Calc)'!$S$3:$S$500,'Returns (Calc)'!$F$3:$F$500),2),"")</f>
        <v>0.52</v>
      </c>
      <c r="G23" s="163" t="n">
        <f aca="false">IFERROR(ROUND(CORREL('Returns (Calc)'!$S$3:$S$500,'Returns (Calc)'!$G$3:$G$500),2),"")</f>
        <v>0.67</v>
      </c>
      <c r="H23" s="163" t="n">
        <f aca="false">IFERROR(ROUND(CORREL('Returns (Calc)'!$S$3:$S$500,'Returns (Calc)'!$H$3:$H$500),2),"")</f>
        <v>0.66</v>
      </c>
      <c r="I23" s="163" t="n">
        <f aca="false">IFERROR(ROUND(CORREL('Returns (Calc)'!$S$3:$S$500,'Returns (Calc)'!$I$3:$I$500),2),"")</f>
        <v>0.75</v>
      </c>
      <c r="J23" s="163" t="n">
        <f aca="false">IFERROR(ROUND(CORREL('Returns (Calc)'!$S$3:$S$500,'Returns (Calc)'!$J$3:$J$500),2),"")</f>
        <v>0.34</v>
      </c>
      <c r="K23" s="163" t="n">
        <f aca="false">IFERROR(ROUND(CORREL('Returns (Calc)'!$S$3:$S$500,'Returns (Calc)'!$K$3:$K$500),2),"")</f>
        <v>0.44</v>
      </c>
      <c r="L23" s="163" t="n">
        <f aca="false">IFERROR(ROUND(CORREL('Returns (Calc)'!$S$3:$S$500,'Returns (Calc)'!$L$3:$L$500),2),"")</f>
        <v>0.7</v>
      </c>
      <c r="M23" s="163" t="n">
        <f aca="false">IFERROR(ROUND(CORREL('Returns (Calc)'!$S$3:$S$500,'Returns (Calc)'!$M$3:$M$500),2),"")</f>
        <v>0.67</v>
      </c>
      <c r="N23" s="163" t="n">
        <f aca="false">IFERROR(ROUND(CORREL('Returns (Calc)'!$S$3:$S$500,'Returns (Calc)'!$N$3:$N$500),2),"")</f>
        <v>0.17</v>
      </c>
      <c r="O23" s="163" t="n">
        <f aca="false">IFERROR(ROUND(CORREL('Returns (Calc)'!$S$3:$S$500,'Returns (Calc)'!$O$3:$O$500),2),"")</f>
        <v>0.5</v>
      </c>
      <c r="P23" s="163" t="n">
        <f aca="false">IFERROR(ROUND(CORREL('Returns (Calc)'!$S$3:$S$500,'Returns (Calc)'!$P$3:$P$500),2),"")</f>
        <v>0.34</v>
      </c>
      <c r="Q23" s="163" t="n">
        <f aca="false">IFERROR(ROUND(CORREL('Returns (Calc)'!$S$3:$S$500,'Returns (Calc)'!$Q$3:$Q$500),2),"")</f>
        <v>0.84</v>
      </c>
      <c r="R23" s="163" t="n">
        <f aca="false">IFERROR(ROUND(CORREL('Returns (Calc)'!$S$3:$S$500,'Returns (Calc)'!$R$3:$R$500),2),"")</f>
        <v>0.89</v>
      </c>
      <c r="S23" s="163" t="n">
        <v>1</v>
      </c>
      <c r="T23" s="163" t="n">
        <f aca="false">IFERROR(ROUND(CORREL('Returns (Calc)'!$S$3:$S$500,'Returns (Calc)'!$T$3:$T$500),2),"")</f>
        <v>0.5</v>
      </c>
      <c r="U23" s="163" t="n">
        <f aca="false">IFERROR(ROUND(CORREL('Returns (Calc)'!$S$3:$S$500,'Returns (Calc)'!$U$3:$U$500),2),"")</f>
        <v>0.36</v>
      </c>
      <c r="V23" s="163" t="n">
        <f aca="false">IFERROR(ROUND(CORREL('Returns (Calc)'!$S$3:$S$500,'Returns (Calc)'!$V$3:$V$500),2),"")</f>
        <v>0.35</v>
      </c>
      <c r="W23" s="163" t="n">
        <f aca="false">IFERROR(ROUND(CORREL('Returns (Calc)'!$S$3:$S$500,'Returns (Calc)'!$AP$3:$AP$500),2),"")</f>
        <v>0.63</v>
      </c>
      <c r="X23" s="163" t="n">
        <f aca="false">IFERROR(ROUND(CORREL('Returns (Calc)'!$S$3:$S$500,'Returns (Calc)'!$AQ$3:$AQ$500),2),"")</f>
        <v>-0.4</v>
      </c>
      <c r="Y23" s="163" t="n">
        <f aca="false">IFERROR(ROUND(CORREL('Returns (Calc)'!$S$3:$S$500,'Returns (Calc)'!$AR$3:$AR$500),2),"")</f>
        <v>0.66</v>
      </c>
      <c r="Z23" s="163" t="n">
        <f aca="false">IFERROR(ROUND(CORREL('Returns (Calc)'!$S$3:$S$500,'Returns (Calc)'!$AS$3:$AS$500),2),"")</f>
        <v>0.61</v>
      </c>
      <c r="AA23" s="163" t="n">
        <f aca="false">IFERROR(ROUND(CORREL('Returns (Calc)'!$S$3:$S$500,'Returns (Calc)'!$AT$3:$AT$500),2),"")</f>
        <v>0.4</v>
      </c>
      <c r="AB23" s="163" t="n">
        <f aca="false">IFERROR(ROUND(CORREL('Returns (Calc)'!$S$3:$S$500,'Returns (Calc)'!$AU$3:$AU$500),2),"")</f>
        <v>0.19</v>
      </c>
      <c r="AG23" s="164" t="n">
        <f aca="false">COUNTIF(B23:AB23,"&gt;0.7")-1</f>
        <v>4</v>
      </c>
    </row>
    <row r="24" customFormat="false" ht="15" hidden="false" customHeight="true" outlineLevel="0" collapsed="false">
      <c r="A24" s="162" t="str">
        <f aca="false">'Returns (Calc)'!T2</f>
        <v>VFLO</v>
      </c>
      <c r="B24" s="163" t="n">
        <f aca="false">IFERROR(ROUND(CORREL('Returns (Calc)'!$T$3:$T$500,'Returns (Calc)'!$B$3:$B$500),2),"")</f>
        <v>0.42</v>
      </c>
      <c r="C24" s="163" t="n">
        <f aca="false">IFERROR(ROUND(CORREL('Returns (Calc)'!$T$3:$T$500,'Returns (Calc)'!$C$3:$C$500),2),"")</f>
        <v>0.34</v>
      </c>
      <c r="D24" s="163" t="n">
        <f aca="false">IFERROR(ROUND(CORREL('Returns (Calc)'!$T$3:$T$500,'Returns (Calc)'!$D$3:$D$500),2),"")</f>
        <v>0.29</v>
      </c>
      <c r="E24" s="163" t="n">
        <f aca="false">IFERROR(ROUND(CORREL('Returns (Calc)'!$T$3:$T$500,'Returns (Calc)'!$E$3:$E$500),2),"")</f>
        <v>0.27</v>
      </c>
      <c r="F24" s="163" t="n">
        <f aca="false">IFERROR(ROUND(CORREL('Returns (Calc)'!$T$3:$T$500,'Returns (Calc)'!$F$3:$F$500),2),"")</f>
        <v>0.29</v>
      </c>
      <c r="G24" s="163" t="n">
        <f aca="false">IFERROR(ROUND(CORREL('Returns (Calc)'!$T$3:$T$500,'Returns (Calc)'!$G$3:$G$500),2),"")</f>
        <v>0.3</v>
      </c>
      <c r="H24" s="163" t="n">
        <f aca="false">IFERROR(ROUND(CORREL('Returns (Calc)'!$T$3:$T$500,'Returns (Calc)'!$H$3:$H$500),2),"")</f>
        <v>0.41</v>
      </c>
      <c r="I24" s="163" t="n">
        <f aca="false">IFERROR(ROUND(CORREL('Returns (Calc)'!$T$3:$T$500,'Returns (Calc)'!$I$3:$I$500),2),"")</f>
        <v>0.3</v>
      </c>
      <c r="J24" s="163" t="n">
        <f aca="false">IFERROR(ROUND(CORREL('Returns (Calc)'!$T$3:$T$500,'Returns (Calc)'!$J$3:$J$500),2),"")</f>
        <v>0.52</v>
      </c>
      <c r="K24" s="163" t="n">
        <f aca="false">IFERROR(ROUND(CORREL('Returns (Calc)'!$T$3:$T$500,'Returns (Calc)'!$K$3:$K$500),2),"")</f>
        <v>0.35</v>
      </c>
      <c r="L24" s="163" t="n">
        <f aca="false">IFERROR(ROUND(CORREL('Returns (Calc)'!$T$3:$T$500,'Returns (Calc)'!$L$3:$L$500),2),"")</f>
        <v>0.27</v>
      </c>
      <c r="M24" s="163" t="n">
        <f aca="false">IFERROR(ROUND(CORREL('Returns (Calc)'!$T$3:$T$500,'Returns (Calc)'!$M$3:$M$500),2),"")</f>
        <v>0.29</v>
      </c>
      <c r="N24" s="163" t="n">
        <f aca="false">IFERROR(ROUND(CORREL('Returns (Calc)'!$T$3:$T$500,'Returns (Calc)'!$N$3:$N$500),2),"")</f>
        <v>0.32</v>
      </c>
      <c r="O24" s="163" t="n">
        <f aca="false">IFERROR(ROUND(CORREL('Returns (Calc)'!$T$3:$T$500,'Returns (Calc)'!$O$3:$O$500),2),"")</f>
        <v>0.78</v>
      </c>
      <c r="P24" s="163" t="n">
        <f aca="false">IFERROR(ROUND(CORREL('Returns (Calc)'!$T$3:$T$500,'Returns (Calc)'!$P$3:$P$500),2),"")</f>
        <v>0.73</v>
      </c>
      <c r="Q24" s="163" t="n">
        <f aca="false">IFERROR(ROUND(CORREL('Returns (Calc)'!$T$3:$T$500,'Returns (Calc)'!$Q$3:$Q$500),2),"")</f>
        <v>0.66</v>
      </c>
      <c r="R24" s="163" t="n">
        <f aca="false">IFERROR(ROUND(CORREL('Returns (Calc)'!$T$3:$T$500,'Returns (Calc)'!$R$3:$R$500),2),"")</f>
        <v>0.55</v>
      </c>
      <c r="S24" s="163" t="n">
        <f aca="false">IFERROR(ROUND(CORREL('Returns (Calc)'!$T$3:$T$500,'Returns (Calc)'!$S$3:$S$500),2),"")</f>
        <v>0.5</v>
      </c>
      <c r="T24" s="163" t="n">
        <v>1</v>
      </c>
      <c r="U24" s="163" t="n">
        <f aca="false">IFERROR(ROUND(CORREL('Returns (Calc)'!$T$3:$T$500,'Returns (Calc)'!$U$3:$U$500),2),"")</f>
        <v>0.78</v>
      </c>
      <c r="V24" s="163" t="n">
        <f aca="false">IFERROR(ROUND(CORREL('Returns (Calc)'!$T$3:$T$500,'Returns (Calc)'!$V$3:$V$500),2),"")</f>
        <v>0.45</v>
      </c>
      <c r="W24" s="163" t="n">
        <f aca="false">IFERROR(ROUND(CORREL('Returns (Calc)'!$T$3:$T$500,'Returns (Calc)'!$AP$3:$AP$500),2),"")</f>
        <v>0.79</v>
      </c>
      <c r="X24" s="163" t="n">
        <f aca="false">IFERROR(ROUND(CORREL('Returns (Calc)'!$T$3:$T$500,'Returns (Calc)'!$AQ$3:$AQ$500),2),"")</f>
        <v>-0.25</v>
      </c>
      <c r="Y24" s="163" t="n">
        <f aca="false">IFERROR(ROUND(CORREL('Returns (Calc)'!$T$3:$T$500,'Returns (Calc)'!$AR$3:$AR$500),2),"")</f>
        <v>0.72</v>
      </c>
      <c r="Z24" s="163" t="n">
        <f aca="false">IFERROR(ROUND(CORREL('Returns (Calc)'!$T$3:$T$500,'Returns (Calc)'!$AS$3:$AS$500),2),"")</f>
        <v>0.43</v>
      </c>
      <c r="AA24" s="163" t="n">
        <f aca="false">IFERROR(ROUND(CORREL('Returns (Calc)'!$T$3:$T$500,'Returns (Calc)'!$AT$3:$AT$500),2),"")</f>
        <v>0.26</v>
      </c>
      <c r="AB24" s="163" t="n">
        <f aca="false">IFERROR(ROUND(CORREL('Returns (Calc)'!$T$3:$T$500,'Returns (Calc)'!$AU$3:$AU$500),2),"")</f>
        <v>0.43</v>
      </c>
      <c r="AG24" s="164" t="n">
        <f aca="false">COUNTIF(B24:AB24,"&gt;0.7")-1</f>
        <v>5</v>
      </c>
    </row>
    <row r="25" customFormat="false" ht="15" hidden="false" customHeight="true" outlineLevel="0" collapsed="false">
      <c r="A25" s="162" t="str">
        <f aca="false">'Returns (Calc)'!U2</f>
        <v>SCHD</v>
      </c>
      <c r="B25" s="163" t="n">
        <f aca="false">IFERROR(ROUND(CORREL('Returns (Calc)'!$U$3:$U$500,'Returns (Calc)'!$B$3:$B$500),2),"")</f>
        <v>0.22</v>
      </c>
      <c r="C25" s="163" t="n">
        <f aca="false">IFERROR(ROUND(CORREL('Returns (Calc)'!$U$3:$U$500,'Returns (Calc)'!$C$3:$C$500),2),"")</f>
        <v>0.27</v>
      </c>
      <c r="D25" s="163" t="n">
        <f aca="false">IFERROR(ROUND(CORREL('Returns (Calc)'!$U$3:$U$500,'Returns (Calc)'!$D$3:$D$500),2),"")</f>
        <v>0.26</v>
      </c>
      <c r="E25" s="163" t="n">
        <f aca="false">IFERROR(ROUND(CORREL('Returns (Calc)'!$U$3:$U$500,'Returns (Calc)'!$E$3:$E$500),2),"")</f>
        <v>0.16</v>
      </c>
      <c r="F25" s="163" t="n">
        <f aca="false">IFERROR(ROUND(CORREL('Returns (Calc)'!$U$3:$U$500,'Returns (Calc)'!$F$3:$F$500),2),"")</f>
        <v>0.11</v>
      </c>
      <c r="G25" s="163" t="n">
        <f aca="false">IFERROR(ROUND(CORREL('Returns (Calc)'!$U$3:$U$500,'Returns (Calc)'!$G$3:$G$500),2),"")</f>
        <v>0.28</v>
      </c>
      <c r="H25" s="163" t="n">
        <f aca="false">IFERROR(ROUND(CORREL('Returns (Calc)'!$U$3:$U$500,'Returns (Calc)'!$H$3:$H$500),2),"")</f>
        <v>0.25</v>
      </c>
      <c r="I25" s="163" t="n">
        <f aca="false">IFERROR(ROUND(CORREL('Returns (Calc)'!$U$3:$U$500,'Returns (Calc)'!$I$3:$I$500),2),"")</f>
        <v>0.18</v>
      </c>
      <c r="J25" s="163" t="n">
        <f aca="false">IFERROR(ROUND(CORREL('Returns (Calc)'!$U$3:$U$500,'Returns (Calc)'!$J$3:$J$500),2),"")</f>
        <v>0.66</v>
      </c>
      <c r="K25" s="163" t="n">
        <f aca="false">IFERROR(ROUND(CORREL('Returns (Calc)'!$U$3:$U$500,'Returns (Calc)'!$K$3:$K$500),2),"")</f>
        <v>0.15</v>
      </c>
      <c r="L25" s="163" t="n">
        <f aca="false">IFERROR(ROUND(CORREL('Returns (Calc)'!$U$3:$U$500,'Returns (Calc)'!$L$3:$L$500),2),"")</f>
        <v>0.21</v>
      </c>
      <c r="M25" s="163" t="n">
        <f aca="false">IFERROR(ROUND(CORREL('Returns (Calc)'!$U$3:$U$500,'Returns (Calc)'!$M$3:$M$500),2),"")</f>
        <v>0.21</v>
      </c>
      <c r="N25" s="163" t="n">
        <f aca="false">IFERROR(ROUND(CORREL('Returns (Calc)'!$U$3:$U$500,'Returns (Calc)'!$N$3:$N$500),2),"")</f>
        <v>0.35</v>
      </c>
      <c r="O25" s="163" t="n">
        <f aca="false">IFERROR(ROUND(CORREL('Returns (Calc)'!$U$3:$U$500,'Returns (Calc)'!$O$3:$O$500),2),"")</f>
        <v>0.83</v>
      </c>
      <c r="P25" s="163" t="n">
        <f aca="false">IFERROR(ROUND(CORREL('Returns (Calc)'!$U$3:$U$500,'Returns (Calc)'!$P$3:$P$500),2),"")</f>
        <v>0.89</v>
      </c>
      <c r="Q25" s="163" t="n">
        <f aca="false">IFERROR(ROUND(CORREL('Returns (Calc)'!$U$3:$U$500,'Returns (Calc)'!$Q$3:$Q$500),2),"")</f>
        <v>0.58</v>
      </c>
      <c r="R25" s="163" t="n">
        <f aca="false">IFERROR(ROUND(CORREL('Returns (Calc)'!$U$3:$U$500,'Returns (Calc)'!$R$3:$R$500),2),"")</f>
        <v>0.41</v>
      </c>
      <c r="S25" s="163" t="n">
        <f aca="false">IFERROR(ROUND(CORREL('Returns (Calc)'!$U$3:$U$500,'Returns (Calc)'!$S$3:$S$500),2),"")</f>
        <v>0.36</v>
      </c>
      <c r="T25" s="163" t="n">
        <f aca="false">IFERROR(ROUND(CORREL('Returns (Calc)'!$U$3:$U$500,'Returns (Calc)'!$T$3:$T$500),2),"")</f>
        <v>0.78</v>
      </c>
      <c r="U25" s="163" t="n">
        <v>1</v>
      </c>
      <c r="V25" s="163" t="n">
        <f aca="false">IFERROR(ROUND(CORREL('Returns (Calc)'!$U$3:$U$500,'Returns (Calc)'!$V$3:$V$500),2),"")</f>
        <v>0.44</v>
      </c>
      <c r="W25" s="163" t="n">
        <f aca="false">IFERROR(ROUND(CORREL('Returns (Calc)'!$U$3:$U$500,'Returns (Calc)'!$AP$3:$AP$500),2),"")</f>
        <v>0.88</v>
      </c>
      <c r="X25" s="163" t="n">
        <f aca="false">IFERROR(ROUND(CORREL('Returns (Calc)'!$U$3:$U$500,'Returns (Calc)'!$AQ$3:$AQ$500),2),"")</f>
        <v>0.32</v>
      </c>
      <c r="Y25" s="163" t="n">
        <f aca="false">IFERROR(ROUND(CORREL('Returns (Calc)'!$U$3:$U$500,'Returns (Calc)'!$AR$3:$AR$500),2),"")</f>
        <v>0.78</v>
      </c>
      <c r="Z25" s="163" t="n">
        <f aca="false">IFERROR(ROUND(CORREL('Returns (Calc)'!$U$3:$U$500,'Returns (Calc)'!$AS$3:$AS$500),2),"")</f>
        <v>0.34</v>
      </c>
      <c r="AA25" s="163" t="n">
        <f aca="false">IFERROR(ROUND(CORREL('Returns (Calc)'!$U$3:$U$500,'Returns (Calc)'!$AT$3:$AT$500),2),"")</f>
        <v>0.16</v>
      </c>
      <c r="AB25" s="163" t="n">
        <f aca="false">IFERROR(ROUND(CORREL('Returns (Calc)'!$U$3:$U$500,'Returns (Calc)'!$AU$3:$AU$500),2),"")</f>
        <v>0.26</v>
      </c>
      <c r="AG25" s="164" t="n">
        <f aca="false">COUNTIF(B25:AB25,"&gt;0.7")-1</f>
        <v>5</v>
      </c>
    </row>
    <row r="26" customFormat="false" ht="15" hidden="false" customHeight="true" outlineLevel="0" collapsed="false">
      <c r="A26" s="162" t="str">
        <f aca="false">'Returns (Calc)'!V2</f>
        <v>V</v>
      </c>
      <c r="B26" s="163" t="n">
        <f aca="false">IFERROR(ROUND(CORREL('Returns (Calc)'!$V$3:$V$500,'Returns (Calc)'!$B$3:$B$500),2),"")</f>
        <v>0.4</v>
      </c>
      <c r="C26" s="163" t="n">
        <f aca="false">IFERROR(ROUND(CORREL('Returns (Calc)'!$V$3:$V$500,'Returns (Calc)'!$C$3:$C$500),2),"")</f>
        <v>0.25</v>
      </c>
      <c r="D26" s="163" t="n">
        <f aca="false">IFERROR(ROUND(CORREL('Returns (Calc)'!$V$3:$V$500,'Returns (Calc)'!$D$3:$D$500),2),"")</f>
        <v>0.02</v>
      </c>
      <c r="E26" s="163" t="n">
        <f aca="false">IFERROR(ROUND(CORREL('Returns (Calc)'!$V$3:$V$500,'Returns (Calc)'!$E$3:$E$500),2),"")</f>
        <v>0.19</v>
      </c>
      <c r="F26" s="163" t="n">
        <f aca="false">IFERROR(ROUND(CORREL('Returns (Calc)'!$V$3:$V$500,'Returns (Calc)'!$F$3:$F$500),2),"")</f>
        <v>0.27</v>
      </c>
      <c r="G26" s="163" t="n">
        <f aca="false">IFERROR(ROUND(CORREL('Returns (Calc)'!$V$3:$V$500,'Returns (Calc)'!$G$3:$G$500),2),"")</f>
        <v>0</v>
      </c>
      <c r="H26" s="163" t="n">
        <f aca="false">IFERROR(ROUND(CORREL('Returns (Calc)'!$V$3:$V$500,'Returns (Calc)'!$H$3:$H$500),2),"")</f>
        <v>0.01</v>
      </c>
      <c r="I26" s="163" t="n">
        <f aca="false">IFERROR(ROUND(CORREL('Returns (Calc)'!$V$3:$V$500,'Returns (Calc)'!$I$3:$I$500),2),"")</f>
        <v>0.19</v>
      </c>
      <c r="J26" s="163" t="n">
        <f aca="false">IFERROR(ROUND(CORREL('Returns (Calc)'!$V$3:$V$500,'Returns (Calc)'!$J$3:$J$500),2),"")</f>
        <v>0.36</v>
      </c>
      <c r="K26" s="163" t="n">
        <f aca="false">IFERROR(ROUND(CORREL('Returns (Calc)'!$V$3:$V$500,'Returns (Calc)'!$K$3:$K$500),2),"")</f>
        <v>0.25</v>
      </c>
      <c r="L26" s="163" t="n">
        <f aca="false">IFERROR(ROUND(CORREL('Returns (Calc)'!$V$3:$V$500,'Returns (Calc)'!$L$3:$L$500),2),"")</f>
        <v>0.11</v>
      </c>
      <c r="M26" s="163" t="n">
        <f aca="false">IFERROR(ROUND(CORREL('Returns (Calc)'!$V$3:$V$500,'Returns (Calc)'!$M$3:$M$500),2),"")</f>
        <v>0.13</v>
      </c>
      <c r="N26" s="163" t="n">
        <f aca="false">IFERROR(ROUND(CORREL('Returns (Calc)'!$V$3:$V$500,'Returns (Calc)'!$N$3:$N$500),2),"")</f>
        <v>0.26</v>
      </c>
      <c r="O26" s="163" t="n">
        <f aca="false">IFERROR(ROUND(CORREL('Returns (Calc)'!$V$3:$V$500,'Returns (Calc)'!$O$3:$O$500),2),"")</f>
        <v>0.35</v>
      </c>
      <c r="P26" s="163" t="n">
        <f aca="false">IFERROR(ROUND(CORREL('Returns (Calc)'!$V$3:$V$500,'Returns (Calc)'!$P$3:$P$500),2),"")</f>
        <v>0.42</v>
      </c>
      <c r="Q26" s="163" t="n">
        <f aca="false">IFERROR(ROUND(CORREL('Returns (Calc)'!$V$3:$V$500,'Returns (Calc)'!$Q$3:$Q$500),2),"")</f>
        <v>0.52</v>
      </c>
      <c r="R26" s="163" t="n">
        <f aca="false">IFERROR(ROUND(CORREL('Returns (Calc)'!$V$3:$V$500,'Returns (Calc)'!$R$3:$R$500),2),"")</f>
        <v>0.42</v>
      </c>
      <c r="S26" s="163" t="n">
        <f aca="false">IFERROR(ROUND(CORREL('Returns (Calc)'!$V$3:$V$500,'Returns (Calc)'!$S$3:$S$500),2),"")</f>
        <v>0.35</v>
      </c>
      <c r="T26" s="163" t="n">
        <f aca="false">IFERROR(ROUND(CORREL('Returns (Calc)'!$V$3:$V$500,'Returns (Calc)'!$T$3:$T$500),2),"")</f>
        <v>0.45</v>
      </c>
      <c r="U26" s="163" t="n">
        <f aca="false">IFERROR(ROUND(CORREL('Returns (Calc)'!$V$3:$V$500,'Returns (Calc)'!$U$3:$U$500),2),"")</f>
        <v>0.44</v>
      </c>
      <c r="V26" s="163" t="n">
        <v>1</v>
      </c>
      <c r="W26" s="163" t="n">
        <f aca="false">IFERROR(ROUND(CORREL('Returns (Calc)'!$V$3:$V$500,'Returns (Calc)'!$AP$3:$AP$500),2),"")</f>
        <v>0.51</v>
      </c>
      <c r="X26" s="163" t="n">
        <f aca="false">IFERROR(ROUND(CORREL('Returns (Calc)'!$V$3:$V$500,'Returns (Calc)'!$AQ$3:$AQ$500),2),"")</f>
        <v>-0.03</v>
      </c>
      <c r="Y26" s="163" t="n">
        <f aca="false">IFERROR(ROUND(CORREL('Returns (Calc)'!$V$3:$V$500,'Returns (Calc)'!$AR$3:$AR$500),2),"")</f>
        <v>0.63</v>
      </c>
      <c r="Z26" s="163" t="n">
        <f aca="false">IFERROR(ROUND(CORREL('Returns (Calc)'!$V$3:$V$500,'Returns (Calc)'!$AS$3:$AS$500),2),"")</f>
        <v>0.4</v>
      </c>
      <c r="AA26" s="163" t="n">
        <f aca="false">IFERROR(ROUND(CORREL('Returns (Calc)'!$V$3:$V$500,'Returns (Calc)'!$AT$3:$AT$500),2),"")</f>
        <v>0.29</v>
      </c>
      <c r="AB26" s="163" t="n">
        <f aca="false">IFERROR(ROUND(CORREL('Returns (Calc)'!$V$3:$V$500,'Returns (Calc)'!$AU$3:$AU$500),2),"")</f>
        <v>0.37</v>
      </c>
      <c r="AG26" s="164" t="n">
        <f aca="false">COUNTIF(B26:AB26,"&gt;0.7")-1</f>
        <v>0</v>
      </c>
    </row>
    <row r="27" customFormat="false" ht="15" hidden="false" customHeight="true" outlineLevel="0" collapsed="false">
      <c r="A27" s="162" t="str">
        <f aca="false">'Returns (Calc)'!AP2</f>
        <v>VYM</v>
      </c>
      <c r="B27" s="163" t="n">
        <f aca="false">IFERROR(ROUND(CORREL('Returns (Calc)'!$AP$3:$AP$500,'Returns (Calc)'!$B$3:$B$500),2),"")</f>
        <v>0.22</v>
      </c>
      <c r="C27" s="163" t="n">
        <f aca="false">IFERROR(ROUND(CORREL('Returns (Calc)'!$AP$3:$AP$500,'Returns (Calc)'!$C$3:$C$500),2),"")</f>
        <v>0.46</v>
      </c>
      <c r="D27" s="163" t="n">
        <f aca="false">IFERROR(ROUND(CORREL('Returns (Calc)'!$AP$3:$AP$500,'Returns (Calc)'!$D$3:$D$500),2),"")</f>
        <v>0.41</v>
      </c>
      <c r="E27" s="163" t="n">
        <f aca="false">IFERROR(ROUND(CORREL('Returns (Calc)'!$AP$3:$AP$500,'Returns (Calc)'!$E$3:$E$500),2),"")</f>
        <v>0.45</v>
      </c>
      <c r="F27" s="163" t="n">
        <f aca="false">IFERROR(ROUND(CORREL('Returns (Calc)'!$AP$3:$AP$500,'Returns (Calc)'!$F$3:$F$500),2),"")</f>
        <v>0.24</v>
      </c>
      <c r="G27" s="163" t="n">
        <f aca="false">IFERROR(ROUND(CORREL('Returns (Calc)'!$AP$3:$AP$500,'Returns (Calc)'!$G$3:$G$500),2),"")</f>
        <v>0.45</v>
      </c>
      <c r="H27" s="163" t="n">
        <f aca="false">IFERROR(ROUND(CORREL('Returns (Calc)'!$AP$3:$AP$500,'Returns (Calc)'!$H$3:$H$500),2),"")</f>
        <v>0.39</v>
      </c>
      <c r="I27" s="163" t="n">
        <f aca="false">IFERROR(ROUND(CORREL('Returns (Calc)'!$AP$3:$AP$500,'Returns (Calc)'!$I$3:$I$500),2),"")</f>
        <v>0.38</v>
      </c>
      <c r="J27" s="163" t="n">
        <f aca="false">IFERROR(ROUND(CORREL('Returns (Calc)'!$AP$3:$AP$500,'Returns (Calc)'!$J$3:$J$500),2),"")</f>
        <v>0.65</v>
      </c>
      <c r="K27" s="163" t="n">
        <f aca="false">IFERROR(ROUND(CORREL('Returns (Calc)'!$AP$3:$AP$500,'Returns (Calc)'!$K$3:$K$500),2),"")</f>
        <v>0.26</v>
      </c>
      <c r="L27" s="163" t="n">
        <f aca="false">IFERROR(ROUND(CORREL('Returns (Calc)'!$AP$3:$AP$500,'Returns (Calc)'!$L$3:$L$500),2),"")</f>
        <v>0.41</v>
      </c>
      <c r="M27" s="163" t="n">
        <f aca="false">IFERROR(ROUND(CORREL('Returns (Calc)'!$AP$3:$AP$500,'Returns (Calc)'!$M$3:$M$500),2),"")</f>
        <v>0.42</v>
      </c>
      <c r="N27" s="163" t="n">
        <f aca="false">IFERROR(ROUND(CORREL('Returns (Calc)'!$AP$3:$AP$500,'Returns (Calc)'!$N$3:$N$500),2),"")</f>
        <v>0.28</v>
      </c>
      <c r="O27" s="163" t="n">
        <f aca="false">IFERROR(ROUND(CORREL('Returns (Calc)'!$AP$3:$AP$500,'Returns (Calc)'!$O$3:$O$500),2),"")</f>
        <v>0.87</v>
      </c>
      <c r="P27" s="163" t="n">
        <f aca="false">IFERROR(ROUND(CORREL('Returns (Calc)'!$AP$3:$AP$500,'Returns (Calc)'!$P$3:$P$500),2),"")</f>
        <v>0.88</v>
      </c>
      <c r="Q27" s="163" t="n">
        <f aca="false">IFERROR(ROUND(CORREL('Returns (Calc)'!$AP$3:$AP$500,'Returns (Calc)'!$Q$3:$Q$500),2),"")</f>
        <v>0.78</v>
      </c>
      <c r="R27" s="163" t="n">
        <f aca="false">IFERROR(ROUND(CORREL('Returns (Calc)'!$AP$3:$AP$500,'Returns (Calc)'!$R$3:$R$500),2),"")</f>
        <v>0.66</v>
      </c>
      <c r="S27" s="163" t="n">
        <f aca="false">IFERROR(ROUND(CORREL('Returns (Calc)'!$AP$3:$AP$500,'Returns (Calc)'!$S$3:$S$500),2),"")</f>
        <v>0.63</v>
      </c>
      <c r="T27" s="163" t="n">
        <f aca="false">IFERROR(ROUND(CORREL('Returns (Calc)'!$AP$3:$AP$500,'Returns (Calc)'!$T$3:$T$500),2),"")</f>
        <v>0.79</v>
      </c>
      <c r="U27" s="163" t="n">
        <f aca="false">IFERROR(ROUND(CORREL('Returns (Calc)'!$AP$3:$AP$500,'Returns (Calc)'!$U$3:$U$500),2),"")</f>
        <v>0.88</v>
      </c>
      <c r="V27" s="163" t="n">
        <f aca="false">IFERROR(ROUND(CORREL('Returns (Calc)'!$AP$3:$AP$500,'Returns (Calc)'!$V$3:$V$500),2),"")</f>
        <v>0.51</v>
      </c>
      <c r="W27" s="163" t="n">
        <v>1</v>
      </c>
      <c r="X27" s="163" t="n">
        <f aca="false">IFERROR(ROUND(CORREL('Returns (Calc)'!$AP$3:$AP$500,'Returns (Calc)'!$AQ$3:$AQ$500),2),"")</f>
        <v>0.05</v>
      </c>
      <c r="Y27" s="163" t="n">
        <f aca="false">IFERROR(ROUND(CORREL('Returns (Calc)'!$AP$3:$AP$500,'Returns (Calc)'!$AR$3:$AR$500),2),"")</f>
        <v>0.9</v>
      </c>
      <c r="Z27" s="163" t="n">
        <f aca="false">IFERROR(ROUND(CORREL('Returns (Calc)'!$AP$3:$AP$500,'Returns (Calc)'!$AS$3:$AS$500),2),"")</f>
        <v>0.54</v>
      </c>
      <c r="AA27" s="163" t="n">
        <f aca="false">IFERROR(ROUND(CORREL('Returns (Calc)'!$AP$3:$AP$500,'Returns (Calc)'!$AT$3:$AT$500),2),"")</f>
        <v>0.3</v>
      </c>
      <c r="AB27" s="163" t="n">
        <f aca="false">IFERROR(ROUND(CORREL('Returns (Calc)'!$AP$3:$AP$500,'Returns (Calc)'!$AU$3:$AU$500),2),"")</f>
        <v>0.25</v>
      </c>
      <c r="AG27" s="164" t="n">
        <f aca="false">COUNTIF(B27:AB27,"&gt;0.7")-1</f>
        <v>6</v>
      </c>
    </row>
    <row r="28" customFormat="false" ht="15" hidden="false" customHeight="true" outlineLevel="0" collapsed="false">
      <c r="A28" s="162" t="str">
        <f aca="false">'Returns (Calc)'!AQ2</f>
        <v>MLPI</v>
      </c>
      <c r="B28" s="163" t="n">
        <f aca="false">IFERROR(ROUND(CORREL('Returns (Calc)'!$AQ$3:$AQ$500,'Returns (Calc)'!$B$3:$B$500),2),"")</f>
        <v>-0.23</v>
      </c>
      <c r="C28" s="163" t="n">
        <f aca="false">IFERROR(ROUND(CORREL('Returns (Calc)'!$AQ$3:$AQ$500,'Returns (Calc)'!$C$3:$C$500),2),"")</f>
        <v>-0.03</v>
      </c>
      <c r="D28" s="163" t="n">
        <f aca="false">IFERROR(ROUND(CORREL('Returns (Calc)'!$AQ$3:$AQ$500,'Returns (Calc)'!$D$3:$D$500),2),"")</f>
        <v>-0.19</v>
      </c>
      <c r="E28" s="163" t="n">
        <f aca="false">IFERROR(ROUND(CORREL('Returns (Calc)'!$AQ$3:$AQ$500,'Returns (Calc)'!$E$3:$E$500),2),"")</f>
        <v>-0.44</v>
      </c>
      <c r="F28" s="163" t="n">
        <f aca="false">IFERROR(ROUND(CORREL('Returns (Calc)'!$AQ$3:$AQ$500,'Returns (Calc)'!$F$3:$F$500),2),"")</f>
        <v>-0.3</v>
      </c>
      <c r="G28" s="163" t="n">
        <f aca="false">IFERROR(ROUND(CORREL('Returns (Calc)'!$AQ$3:$AQ$500,'Returns (Calc)'!$G$3:$G$500),2),"")</f>
        <v>-0.18</v>
      </c>
      <c r="H28" s="163" t="n">
        <f aca="false">IFERROR(ROUND(CORREL('Returns (Calc)'!$AQ$3:$AQ$500,'Returns (Calc)'!$H$3:$H$500),2),"")</f>
        <v>-0.36</v>
      </c>
      <c r="I28" s="163" t="n">
        <f aca="false">IFERROR(ROUND(CORREL('Returns (Calc)'!$AQ$3:$AQ$500,'Returns (Calc)'!$I$3:$I$500),2),"")</f>
        <v>-0.31</v>
      </c>
      <c r="J28" s="163" t="n">
        <f aca="false">IFERROR(ROUND(CORREL('Returns (Calc)'!$AQ$3:$AQ$500,'Returns (Calc)'!$J$3:$J$500),2),"")</f>
        <v>0.09</v>
      </c>
      <c r="K28" s="163" t="n">
        <f aca="false">IFERROR(ROUND(CORREL('Returns (Calc)'!$AQ$3:$AQ$500,'Returns (Calc)'!$K$3:$K$500),2),"")</f>
        <v>-0.46</v>
      </c>
      <c r="L28" s="163" t="n">
        <f aca="false">IFERROR(ROUND(CORREL('Returns (Calc)'!$AQ$3:$AQ$500,'Returns (Calc)'!$L$3:$L$500),2),"")</f>
        <v>-0.26</v>
      </c>
      <c r="M28" s="163" t="n">
        <f aca="false">IFERROR(ROUND(CORREL('Returns (Calc)'!$AQ$3:$AQ$500,'Returns (Calc)'!$M$3:$M$500),2),"")</f>
        <v>0.19</v>
      </c>
      <c r="N28" s="163" t="n">
        <f aca="false">IFERROR(ROUND(CORREL('Returns (Calc)'!$AQ$3:$AQ$500,'Returns (Calc)'!$N$3:$N$500),2),"")</f>
        <v>-0.16</v>
      </c>
      <c r="O28" s="163" t="n">
        <f aca="false">IFERROR(ROUND(CORREL('Returns (Calc)'!$AQ$3:$AQ$500,'Returns (Calc)'!$O$3:$O$500),2),"")</f>
        <v>0.11</v>
      </c>
      <c r="P28" s="163" t="n">
        <f aca="false">IFERROR(ROUND(CORREL('Returns (Calc)'!$AQ$3:$AQ$500,'Returns (Calc)'!$P$3:$P$500),2),"")</f>
        <v>0.45</v>
      </c>
      <c r="Q28" s="163" t="n">
        <f aca="false">IFERROR(ROUND(CORREL('Returns (Calc)'!$AQ$3:$AQ$500,'Returns (Calc)'!$Q$3:$Q$500),2),"")</f>
        <v>-0.41</v>
      </c>
      <c r="R28" s="163" t="n">
        <f aca="false">IFERROR(ROUND(CORREL('Returns (Calc)'!$AQ$3:$AQ$500,'Returns (Calc)'!$R$3:$R$500),2),"")</f>
        <v>-0.49</v>
      </c>
      <c r="S28" s="163" t="n">
        <f aca="false">IFERROR(ROUND(CORREL('Returns (Calc)'!$AQ$3:$AQ$500,'Returns (Calc)'!$S$3:$S$500),2),"")</f>
        <v>-0.4</v>
      </c>
      <c r="T28" s="163" t="n">
        <f aca="false">IFERROR(ROUND(CORREL('Returns (Calc)'!$AQ$3:$AQ$500,'Returns (Calc)'!$T$3:$T$500),2),"")</f>
        <v>-0.25</v>
      </c>
      <c r="U28" s="163" t="n">
        <f aca="false">IFERROR(ROUND(CORREL('Returns (Calc)'!$AQ$3:$AQ$500,'Returns (Calc)'!$U$3:$U$500),2),"")</f>
        <v>0.32</v>
      </c>
      <c r="V28" s="163" t="n">
        <f aca="false">IFERROR(ROUND(CORREL('Returns (Calc)'!$AQ$3:$AQ$500,'Returns (Calc)'!$V$3:$V$500),2),"")</f>
        <v>-0.03</v>
      </c>
      <c r="W28" s="163" t="n">
        <f aca="false">IFERROR(ROUND(CORREL('Returns (Calc)'!$AQ$3:$AQ$500,'Returns (Calc)'!$AP$3:$AP$500),2),"")</f>
        <v>0.05</v>
      </c>
      <c r="X28" s="163" t="n">
        <v>1</v>
      </c>
      <c r="Y28" s="163" t="n">
        <f aca="false">IFERROR(ROUND(CORREL('Returns (Calc)'!$AQ$3:$AQ$500,'Returns (Calc)'!$AR$3:$AR$500),2),"")</f>
        <v>-0.08</v>
      </c>
      <c r="Z28" s="163" t="n">
        <f aca="false">IFERROR(ROUND(CORREL('Returns (Calc)'!$AQ$3:$AQ$500,'Returns (Calc)'!$AS$3:$AS$500),2),"")</f>
        <v>-0.26</v>
      </c>
      <c r="AA28" s="163" t="n">
        <f aca="false">IFERROR(ROUND(CORREL('Returns (Calc)'!$AQ$3:$AQ$500,'Returns (Calc)'!$AT$3:$AT$500),2),"")</f>
        <v>0.01</v>
      </c>
      <c r="AB28" s="163" t="n">
        <f aca="false">IFERROR(ROUND(CORREL('Returns (Calc)'!$AQ$3:$AQ$500,'Returns (Calc)'!$AU$3:$AU$500),2),"")</f>
        <v>-0.27</v>
      </c>
      <c r="AG28" s="164" t="n">
        <f aca="false">COUNTIF(B28:AB28,"&gt;0.7")-1</f>
        <v>0</v>
      </c>
    </row>
    <row r="29" customFormat="false" ht="15" hidden="false" customHeight="true" outlineLevel="0" collapsed="false">
      <c r="A29" s="162" t="str">
        <f aca="false">'Returns (Calc)'!AR2</f>
        <v>JEPI</v>
      </c>
      <c r="B29" s="163" t="n">
        <f aca="false">IFERROR(ROUND(CORREL('Returns (Calc)'!$AR$3:$AR$500,'Returns (Calc)'!$B$3:$B$500),2),"")</f>
        <v>0.33</v>
      </c>
      <c r="C29" s="163" t="n">
        <f aca="false">IFERROR(ROUND(CORREL('Returns (Calc)'!$AR$3:$AR$500,'Returns (Calc)'!$C$3:$C$500),2),"")</f>
        <v>0.51</v>
      </c>
      <c r="D29" s="163" t="n">
        <f aca="false">IFERROR(ROUND(CORREL('Returns (Calc)'!$AR$3:$AR$500,'Returns (Calc)'!$D$3:$D$500),2),"")</f>
        <v>0.42</v>
      </c>
      <c r="E29" s="163" t="n">
        <f aca="false">IFERROR(ROUND(CORREL('Returns (Calc)'!$AR$3:$AR$500,'Returns (Calc)'!$E$3:$E$500),2),"")</f>
        <v>0.44</v>
      </c>
      <c r="F29" s="163" t="n">
        <f aca="false">IFERROR(ROUND(CORREL('Returns (Calc)'!$AR$3:$AR$500,'Returns (Calc)'!$F$3:$F$500),2),"")</f>
        <v>0.29</v>
      </c>
      <c r="G29" s="163" t="n">
        <f aca="false">IFERROR(ROUND(CORREL('Returns (Calc)'!$AR$3:$AR$500,'Returns (Calc)'!$G$3:$G$500),2),"")</f>
        <v>0.44</v>
      </c>
      <c r="H29" s="163" t="n">
        <f aca="false">IFERROR(ROUND(CORREL('Returns (Calc)'!$AR$3:$AR$500,'Returns (Calc)'!$H$3:$H$500),2),"")</f>
        <v>0.35</v>
      </c>
      <c r="I29" s="163" t="n">
        <f aca="false">IFERROR(ROUND(CORREL('Returns (Calc)'!$AR$3:$AR$500,'Returns (Calc)'!$I$3:$I$500),2),"")</f>
        <v>0.43</v>
      </c>
      <c r="J29" s="163" t="n">
        <f aca="false">IFERROR(ROUND(CORREL('Returns (Calc)'!$AR$3:$AR$500,'Returns (Calc)'!$J$3:$J$500),2),"")</f>
        <v>0.61</v>
      </c>
      <c r="K29" s="163" t="n">
        <f aca="false">IFERROR(ROUND(CORREL('Returns (Calc)'!$AR$3:$AR$500,'Returns (Calc)'!$K$3:$K$500),2),"")</f>
        <v>0.32</v>
      </c>
      <c r="L29" s="163" t="n">
        <f aca="false">IFERROR(ROUND(CORREL('Returns (Calc)'!$AR$3:$AR$500,'Returns (Calc)'!$L$3:$L$500),2),"")</f>
        <v>0.47</v>
      </c>
      <c r="M29" s="163" t="n">
        <f aca="false">IFERROR(ROUND(CORREL('Returns (Calc)'!$AR$3:$AR$500,'Returns (Calc)'!$M$3:$M$500),2),"")</f>
        <v>0.44</v>
      </c>
      <c r="N29" s="163" t="n">
        <f aca="false">IFERROR(ROUND(CORREL('Returns (Calc)'!$AR$3:$AR$500,'Returns (Calc)'!$N$3:$N$500),2),"")</f>
        <v>0.34</v>
      </c>
      <c r="O29" s="163" t="n">
        <f aca="false">IFERROR(ROUND(CORREL('Returns (Calc)'!$AR$3:$AR$500,'Returns (Calc)'!$O$3:$O$500),2),"")</f>
        <v>0.73</v>
      </c>
      <c r="P29" s="163" t="n">
        <f aca="false">IFERROR(ROUND(CORREL('Returns (Calc)'!$AR$3:$AR$500,'Returns (Calc)'!$P$3:$P$500),2),"")</f>
        <v>0.76</v>
      </c>
      <c r="Q29" s="163" t="n">
        <f aca="false">IFERROR(ROUND(CORREL('Returns (Calc)'!$AR$3:$AR$500,'Returns (Calc)'!$Q$3:$Q$500),2),"")</f>
        <v>0.83</v>
      </c>
      <c r="R29" s="163" t="n">
        <f aca="false">IFERROR(ROUND(CORREL('Returns (Calc)'!$AR$3:$AR$500,'Returns (Calc)'!$R$3:$R$500),2),"")</f>
        <v>0.76</v>
      </c>
      <c r="S29" s="163" t="n">
        <f aca="false">IFERROR(ROUND(CORREL('Returns (Calc)'!$AR$3:$AR$500,'Returns (Calc)'!$S$3:$S$500),2),"")</f>
        <v>0.66</v>
      </c>
      <c r="T29" s="163" t="n">
        <f aca="false">IFERROR(ROUND(CORREL('Returns (Calc)'!$AR$3:$AR$500,'Returns (Calc)'!$T$3:$T$500),2),"")</f>
        <v>0.72</v>
      </c>
      <c r="U29" s="163" t="n">
        <f aca="false">IFERROR(ROUND(CORREL('Returns (Calc)'!$AR$3:$AR$500,'Returns (Calc)'!$U$3:$U$500),2),"")</f>
        <v>0.78</v>
      </c>
      <c r="V29" s="163" t="n">
        <f aca="false">IFERROR(ROUND(CORREL('Returns (Calc)'!$AR$3:$AR$500,'Returns (Calc)'!$V$3:$V$500),2),"")</f>
        <v>0.63</v>
      </c>
      <c r="W29" s="163" t="n">
        <f aca="false">IFERROR(ROUND(CORREL('Returns (Calc)'!$AR$3:$AR$500,'Returns (Calc)'!$AP$3:$AP$500),2),"")</f>
        <v>0.9</v>
      </c>
      <c r="X29" s="163" t="n">
        <f aca="false">IFERROR(ROUND(CORREL('Returns (Calc)'!$AR$3:$AR$500,'Returns (Calc)'!$AQ$3:$AQ$500),2),"")</f>
        <v>-0.08</v>
      </c>
      <c r="Y29" s="163" t="n">
        <v>1</v>
      </c>
      <c r="Z29" s="163" t="n">
        <f aca="false">IFERROR(ROUND(CORREL('Returns (Calc)'!$AR$3:$AR$500,'Returns (Calc)'!$AS$3:$AS$500),2),"")</f>
        <v>0.57</v>
      </c>
      <c r="AA29" s="163" t="n">
        <f aca="false">IFERROR(ROUND(CORREL('Returns (Calc)'!$AR$3:$AR$500,'Returns (Calc)'!$AT$3:$AT$500),2),"")</f>
        <v>0.39</v>
      </c>
      <c r="AB29" s="163" t="n">
        <f aca="false">IFERROR(ROUND(CORREL('Returns (Calc)'!$AR$3:$AR$500,'Returns (Calc)'!$AU$3:$AU$500),2),"")</f>
        <v>0.31</v>
      </c>
      <c r="AG29" s="164" t="n">
        <f aca="false">COUNTIF(B29:AB29,"&gt;0.7")-1</f>
        <v>7</v>
      </c>
    </row>
    <row r="30" customFormat="false" ht="15" hidden="false" customHeight="true" outlineLevel="0" collapsed="false">
      <c r="A30" s="162" t="str">
        <f aca="false">'Returns (Calc)'!AS2</f>
        <v>GE</v>
      </c>
      <c r="B30" s="163" t="n">
        <f aca="false">IFERROR(ROUND(CORREL('Returns (Calc)'!$AS$3:$AS$500,'Returns (Calc)'!$B$3:$B$500),2),"")</f>
        <v>0.09</v>
      </c>
      <c r="C30" s="163" t="n">
        <f aca="false">IFERROR(ROUND(CORREL('Returns (Calc)'!$AS$3:$AS$500,'Returns (Calc)'!$C$3:$C$500),2),"")</f>
        <v>0.34</v>
      </c>
      <c r="D30" s="163" t="n">
        <f aca="false">IFERROR(ROUND(CORREL('Returns (Calc)'!$AS$3:$AS$500,'Returns (Calc)'!$D$3:$D$500),2),"")</f>
        <v>0.39</v>
      </c>
      <c r="E30" s="163" t="n">
        <f aca="false">IFERROR(ROUND(CORREL('Returns (Calc)'!$AS$3:$AS$500,'Returns (Calc)'!$E$3:$E$500),2),"")</f>
        <v>0.36</v>
      </c>
      <c r="F30" s="163" t="n">
        <f aca="false">IFERROR(ROUND(CORREL('Returns (Calc)'!$AS$3:$AS$500,'Returns (Calc)'!$F$3:$F$500),2),"")</f>
        <v>0.24</v>
      </c>
      <c r="G30" s="163" t="n">
        <f aca="false">IFERROR(ROUND(CORREL('Returns (Calc)'!$AS$3:$AS$500,'Returns (Calc)'!$G$3:$G$500),2),"")</f>
        <v>0.39</v>
      </c>
      <c r="H30" s="163" t="n">
        <f aca="false">IFERROR(ROUND(CORREL('Returns (Calc)'!$AS$3:$AS$500,'Returns (Calc)'!$H$3:$H$500),2),"")</f>
        <v>0.36</v>
      </c>
      <c r="I30" s="163" t="n">
        <f aca="false">IFERROR(ROUND(CORREL('Returns (Calc)'!$AS$3:$AS$500,'Returns (Calc)'!$I$3:$I$500),2),"")</f>
        <v>0.38</v>
      </c>
      <c r="J30" s="163" t="n">
        <f aca="false">IFERROR(ROUND(CORREL('Returns (Calc)'!$AS$3:$AS$500,'Returns (Calc)'!$J$3:$J$500),2),"")</f>
        <v>0.29</v>
      </c>
      <c r="K30" s="163" t="n">
        <f aca="false">IFERROR(ROUND(CORREL('Returns (Calc)'!$AS$3:$AS$500,'Returns (Calc)'!$K$3:$K$500),2),"")</f>
        <v>0.26</v>
      </c>
      <c r="L30" s="163" t="n">
        <f aca="false">IFERROR(ROUND(CORREL('Returns (Calc)'!$AS$3:$AS$500,'Returns (Calc)'!$L$3:$L$500),2),"")</f>
        <v>0.44</v>
      </c>
      <c r="M30" s="163" t="n">
        <f aca="false">IFERROR(ROUND(CORREL('Returns (Calc)'!$AS$3:$AS$500,'Returns (Calc)'!$M$3:$M$500),2),"")</f>
        <v>0.44</v>
      </c>
      <c r="N30" s="163" t="n">
        <f aca="false">IFERROR(ROUND(CORREL('Returns (Calc)'!$AS$3:$AS$500,'Returns (Calc)'!$N$3:$N$500),2),"")</f>
        <v>0.08</v>
      </c>
      <c r="O30" s="163" t="n">
        <f aca="false">IFERROR(ROUND(CORREL('Returns (Calc)'!$AS$3:$AS$500,'Returns (Calc)'!$O$3:$O$500),2),"")</f>
        <v>0.46</v>
      </c>
      <c r="P30" s="163" t="n">
        <f aca="false">IFERROR(ROUND(CORREL('Returns (Calc)'!$AS$3:$AS$500,'Returns (Calc)'!$P$3:$P$500),2),"")</f>
        <v>0.4</v>
      </c>
      <c r="Q30" s="163" t="n">
        <f aca="false">IFERROR(ROUND(CORREL('Returns (Calc)'!$AS$3:$AS$500,'Returns (Calc)'!$Q$3:$Q$500),2),"")</f>
        <v>0.53</v>
      </c>
      <c r="R30" s="163" t="n">
        <f aca="false">IFERROR(ROUND(CORREL('Returns (Calc)'!$AS$3:$AS$500,'Returns (Calc)'!$R$3:$R$500),2),"")</f>
        <v>0.52</v>
      </c>
      <c r="S30" s="163" t="n">
        <f aca="false">IFERROR(ROUND(CORREL('Returns (Calc)'!$AS$3:$AS$500,'Returns (Calc)'!$S$3:$S$500),2),"")</f>
        <v>0.61</v>
      </c>
      <c r="T30" s="163" t="n">
        <f aca="false">IFERROR(ROUND(CORREL('Returns (Calc)'!$AS$3:$AS$500,'Returns (Calc)'!$T$3:$T$500),2),"")</f>
        <v>0.43</v>
      </c>
      <c r="U30" s="163" t="n">
        <f aca="false">IFERROR(ROUND(CORREL('Returns (Calc)'!$AS$3:$AS$500,'Returns (Calc)'!$U$3:$U$500),2),"")</f>
        <v>0.34</v>
      </c>
      <c r="V30" s="163" t="n">
        <f aca="false">IFERROR(ROUND(CORREL('Returns (Calc)'!$AS$3:$AS$500,'Returns (Calc)'!$V$3:$V$500),2),"")</f>
        <v>0.4</v>
      </c>
      <c r="W30" s="163" t="n">
        <f aca="false">IFERROR(ROUND(CORREL('Returns (Calc)'!$AS$3:$AS$500,'Returns (Calc)'!$AP$3:$AP$500),2),"")</f>
        <v>0.54</v>
      </c>
      <c r="X30" s="163" t="n">
        <f aca="false">IFERROR(ROUND(CORREL('Returns (Calc)'!$AS$3:$AS$500,'Returns (Calc)'!$AQ$3:$AQ$500),2),"")</f>
        <v>-0.26</v>
      </c>
      <c r="Y30" s="163" t="n">
        <f aca="false">IFERROR(ROUND(CORREL('Returns (Calc)'!$AS$3:$AS$500,'Returns (Calc)'!$AR$3:$AR$500),2),"")</f>
        <v>0.57</v>
      </c>
      <c r="Z30" s="163" t="n">
        <v>1</v>
      </c>
      <c r="AA30" s="163" t="n">
        <f aca="false">IFERROR(ROUND(CORREL('Returns (Calc)'!$AS$3:$AS$500,'Returns (Calc)'!$AT$3:$AT$500),2),"")</f>
        <v>0.39</v>
      </c>
      <c r="AB30" s="163" t="n">
        <f aca="false">IFERROR(ROUND(CORREL('Returns (Calc)'!$AS$3:$AS$500,'Returns (Calc)'!$AU$3:$AU$500),2),"")</f>
        <v>0.17</v>
      </c>
      <c r="AG30" s="164" t="n">
        <f aca="false">COUNTIF(B30:AB30,"&gt;0.7")-1</f>
        <v>0</v>
      </c>
    </row>
    <row r="31" customFormat="false" ht="15" hidden="false" customHeight="true" outlineLevel="0" collapsed="false">
      <c r="A31" s="162" t="str">
        <f aca="false">'Returns (Calc)'!AT2</f>
        <v>NFLX</v>
      </c>
      <c r="B31" s="163" t="n">
        <f aca="false">IFERROR(ROUND(CORREL('Returns (Calc)'!$AT$3:$AT$500,'Returns (Calc)'!$B$3:$B$500),2),"")</f>
        <v>0.22</v>
      </c>
      <c r="C31" s="163" t="n">
        <f aca="false">IFERROR(ROUND(CORREL('Returns (Calc)'!$AT$3:$AT$500,'Returns (Calc)'!$C$3:$C$500),2),"")</f>
        <v>0.39</v>
      </c>
      <c r="D31" s="163" t="n">
        <f aca="false">IFERROR(ROUND(CORREL('Returns (Calc)'!$AT$3:$AT$500,'Returns (Calc)'!$D$3:$D$500),2),"")</f>
        <v>0.21</v>
      </c>
      <c r="E31" s="163" t="n">
        <f aca="false">IFERROR(ROUND(CORREL('Returns (Calc)'!$AT$3:$AT$500,'Returns (Calc)'!$E$3:$E$500),2),"")</f>
        <v>0.3</v>
      </c>
      <c r="F31" s="163" t="n">
        <f aca="false">IFERROR(ROUND(CORREL('Returns (Calc)'!$AT$3:$AT$500,'Returns (Calc)'!$F$3:$F$500),2),"")</f>
        <v>0.24</v>
      </c>
      <c r="G31" s="163" t="n">
        <f aca="false">IFERROR(ROUND(CORREL('Returns (Calc)'!$AT$3:$AT$500,'Returns (Calc)'!$G$3:$G$500),2),"")</f>
        <v>0.1</v>
      </c>
      <c r="H31" s="163" t="n">
        <f aca="false">IFERROR(ROUND(CORREL('Returns (Calc)'!$AT$3:$AT$500,'Returns (Calc)'!$H$3:$H$500),2),"")</f>
        <v>0.1</v>
      </c>
      <c r="I31" s="163" t="n">
        <f aca="false">IFERROR(ROUND(CORREL('Returns (Calc)'!$AT$3:$AT$500,'Returns (Calc)'!$I$3:$I$500),2),"")</f>
        <v>0.27</v>
      </c>
      <c r="J31" s="163" t="n">
        <f aca="false">IFERROR(ROUND(CORREL('Returns (Calc)'!$AT$3:$AT$500,'Returns (Calc)'!$J$3:$J$500),2),"")</f>
        <v>0.13</v>
      </c>
      <c r="K31" s="163" t="n">
        <f aca="false">IFERROR(ROUND(CORREL('Returns (Calc)'!$AT$3:$AT$500,'Returns (Calc)'!$K$3:$K$500),2),"")</f>
        <v>0.3</v>
      </c>
      <c r="L31" s="163" t="n">
        <f aca="false">IFERROR(ROUND(CORREL('Returns (Calc)'!$AT$3:$AT$500,'Returns (Calc)'!$L$3:$L$500),2),"")</f>
        <v>0.29</v>
      </c>
      <c r="M31" s="163" t="n">
        <f aca="false">IFERROR(ROUND(CORREL('Returns (Calc)'!$AT$3:$AT$500,'Returns (Calc)'!$M$3:$M$500),2),"")</f>
        <v>0.31</v>
      </c>
      <c r="N31" s="163" t="n">
        <f aca="false">IFERROR(ROUND(CORREL('Returns (Calc)'!$AT$3:$AT$500,'Returns (Calc)'!$N$3:$N$500),2),"")</f>
        <v>0.08</v>
      </c>
      <c r="O31" s="163" t="n">
        <f aca="false">IFERROR(ROUND(CORREL('Returns (Calc)'!$AT$3:$AT$500,'Returns (Calc)'!$O$3:$O$500),2),"")</f>
        <v>0.21</v>
      </c>
      <c r="P31" s="163" t="n">
        <f aca="false">IFERROR(ROUND(CORREL('Returns (Calc)'!$AT$3:$AT$500,'Returns (Calc)'!$P$3:$P$500),2),"")</f>
        <v>0.18</v>
      </c>
      <c r="Q31" s="163" t="n">
        <f aca="false">IFERROR(ROUND(CORREL('Returns (Calc)'!$AT$3:$AT$500,'Returns (Calc)'!$Q$3:$Q$500),2),"")</f>
        <v>0.39</v>
      </c>
      <c r="R31" s="163" t="n">
        <f aca="false">IFERROR(ROUND(CORREL('Returns (Calc)'!$AT$3:$AT$500,'Returns (Calc)'!$R$3:$R$500),2),"")</f>
        <v>0.43</v>
      </c>
      <c r="S31" s="163" t="n">
        <f aca="false">IFERROR(ROUND(CORREL('Returns (Calc)'!$AT$3:$AT$500,'Returns (Calc)'!$S$3:$S$500),2),"")</f>
        <v>0.4</v>
      </c>
      <c r="T31" s="163" t="n">
        <f aca="false">IFERROR(ROUND(CORREL('Returns (Calc)'!$AT$3:$AT$500,'Returns (Calc)'!$T$3:$T$500),2),"")</f>
        <v>0.26</v>
      </c>
      <c r="U31" s="163" t="n">
        <f aca="false">IFERROR(ROUND(CORREL('Returns (Calc)'!$AT$3:$AT$500,'Returns (Calc)'!$U$3:$U$500),2),"")</f>
        <v>0.16</v>
      </c>
      <c r="V31" s="163" t="n">
        <f aca="false">IFERROR(ROUND(CORREL('Returns (Calc)'!$AT$3:$AT$500,'Returns (Calc)'!$V$3:$V$500),2),"")</f>
        <v>0.29</v>
      </c>
      <c r="W31" s="163" t="n">
        <f aca="false">IFERROR(ROUND(CORREL('Returns (Calc)'!$AT$3:$AT$500,'Returns (Calc)'!$AP$3:$AP$500),2),"")</f>
        <v>0.3</v>
      </c>
      <c r="X31" s="163" t="n">
        <f aca="false">IFERROR(ROUND(CORREL('Returns (Calc)'!$AT$3:$AT$500,'Returns (Calc)'!$AQ$3:$AQ$500),2),"")</f>
        <v>0.01</v>
      </c>
      <c r="Y31" s="163" t="n">
        <f aca="false">IFERROR(ROUND(CORREL('Returns (Calc)'!$AT$3:$AT$500,'Returns (Calc)'!$AR$3:$AR$500),2),"")</f>
        <v>0.39</v>
      </c>
      <c r="Z31" s="163" t="n">
        <f aca="false">IFERROR(ROUND(CORREL('Returns (Calc)'!$AT$3:$AT$500,'Returns (Calc)'!$AS$3:$AS$500),2),"")</f>
        <v>0.39</v>
      </c>
      <c r="AA31" s="163" t="n">
        <v>1</v>
      </c>
      <c r="AB31" s="163" t="n">
        <f aca="false">IFERROR(ROUND(CORREL('Returns (Calc)'!$AT$3:$AT$500,'Returns (Calc)'!$AU$3:$AU$500),2),"")</f>
        <v>0.17</v>
      </c>
      <c r="AG31" s="164" t="n">
        <f aca="false">COUNTIF(B31:AB31,"&gt;0.7")-1</f>
        <v>0</v>
      </c>
    </row>
    <row r="32" customFormat="false" ht="15" hidden="false" customHeight="true" outlineLevel="0" collapsed="false">
      <c r="A32" s="162" t="str">
        <f aca="false">'Returns (Calc)'!AU2</f>
        <v>VEEV</v>
      </c>
      <c r="B32" s="163" t="n">
        <f aca="false">IFERROR(ROUND(CORREL('Returns (Calc)'!$AU$3:$AU$500,'Returns (Calc)'!$B$3:$B$500),2),"")</f>
        <v>0.52</v>
      </c>
      <c r="C32" s="163" t="n">
        <f aca="false">IFERROR(ROUND(CORREL('Returns (Calc)'!$AU$3:$AU$500,'Returns (Calc)'!$C$3:$C$500),2),"")</f>
        <v>0.13</v>
      </c>
      <c r="D32" s="163" t="n">
        <f aca="false">IFERROR(ROUND(CORREL('Returns (Calc)'!$AU$3:$AU$500,'Returns (Calc)'!$D$3:$D$500),2),"")</f>
        <v>0.02</v>
      </c>
      <c r="E32" s="163" t="n">
        <f aca="false">IFERROR(ROUND(CORREL('Returns (Calc)'!$AU$3:$AU$500,'Returns (Calc)'!$E$3:$E$500),2),"")</f>
        <v>0.1</v>
      </c>
      <c r="F32" s="163" t="n">
        <f aca="false">IFERROR(ROUND(CORREL('Returns (Calc)'!$AU$3:$AU$500,'Returns (Calc)'!$F$3:$F$500),2),"")</f>
        <v>0.36</v>
      </c>
      <c r="G32" s="163" t="n">
        <f aca="false">IFERROR(ROUND(CORREL('Returns (Calc)'!$AU$3:$AU$500,'Returns (Calc)'!$G$3:$G$500),2),"")</f>
        <v>0.01</v>
      </c>
      <c r="H32" s="163" t="n">
        <f aca="false">IFERROR(ROUND(CORREL('Returns (Calc)'!$AU$3:$AU$500,'Returns (Calc)'!$H$3:$H$500),2),"")</f>
        <v>0.1</v>
      </c>
      <c r="I32" s="163" t="n">
        <f aca="false">IFERROR(ROUND(CORREL('Returns (Calc)'!$AU$3:$AU$500,'Returns (Calc)'!$I$3:$I$500),2),"")</f>
        <v>0.14</v>
      </c>
      <c r="J32" s="163" t="n">
        <f aca="false">IFERROR(ROUND(CORREL('Returns (Calc)'!$AU$3:$AU$500,'Returns (Calc)'!$J$3:$J$500),2),"")</f>
        <v>0.15</v>
      </c>
      <c r="K32" s="163" t="n">
        <f aca="false">IFERROR(ROUND(CORREL('Returns (Calc)'!$AU$3:$AU$500,'Returns (Calc)'!$K$3:$K$500),2),"")</f>
        <v>0.41</v>
      </c>
      <c r="L32" s="163" t="n">
        <f aca="false">IFERROR(ROUND(CORREL('Returns (Calc)'!$AU$3:$AU$500,'Returns (Calc)'!$L$3:$L$500),2),"")</f>
        <v>0.11</v>
      </c>
      <c r="M32" s="163" t="n">
        <f aca="false">IFERROR(ROUND(CORREL('Returns (Calc)'!$AU$3:$AU$500,'Returns (Calc)'!$M$3:$M$500),2),"")</f>
        <v>0.06</v>
      </c>
      <c r="N32" s="163" t="n">
        <f aca="false">IFERROR(ROUND(CORREL('Returns (Calc)'!$AU$3:$AU$500,'Returns (Calc)'!$N$3:$N$500),2),"")</f>
        <v>0.27</v>
      </c>
      <c r="O32" s="163" t="n">
        <f aca="false">IFERROR(ROUND(CORREL('Returns (Calc)'!$AU$3:$AU$500,'Returns (Calc)'!$O$3:$O$500),2),"")</f>
        <v>0.22</v>
      </c>
      <c r="P32" s="163" t="n">
        <f aca="false">IFERROR(ROUND(CORREL('Returns (Calc)'!$AU$3:$AU$500,'Returns (Calc)'!$P$3:$P$500),2),"")</f>
        <v>0.19</v>
      </c>
      <c r="Q32" s="163" t="n">
        <f aca="false">IFERROR(ROUND(CORREL('Returns (Calc)'!$AU$3:$AU$500,'Returns (Calc)'!$Q$3:$Q$500),2),"")</f>
        <v>0.34</v>
      </c>
      <c r="R32" s="163" t="n">
        <f aca="false">IFERROR(ROUND(CORREL('Returns (Calc)'!$AU$3:$AU$500,'Returns (Calc)'!$R$3:$R$500),2),"")</f>
        <v>0.29</v>
      </c>
      <c r="S32" s="163" t="n">
        <f aca="false">IFERROR(ROUND(CORREL('Returns (Calc)'!$AU$3:$AU$500,'Returns (Calc)'!$S$3:$S$500),2),"")</f>
        <v>0.19</v>
      </c>
      <c r="T32" s="163" t="n">
        <f aca="false">IFERROR(ROUND(CORREL('Returns (Calc)'!$AU$3:$AU$500,'Returns (Calc)'!$T$3:$T$500),2),"")</f>
        <v>0.43</v>
      </c>
      <c r="U32" s="163" t="n">
        <f aca="false">IFERROR(ROUND(CORREL('Returns (Calc)'!$AU$3:$AU$500,'Returns (Calc)'!$U$3:$U$500),2),"")</f>
        <v>0.26</v>
      </c>
      <c r="V32" s="163" t="n">
        <f aca="false">IFERROR(ROUND(CORREL('Returns (Calc)'!$AU$3:$AU$500,'Returns (Calc)'!$V$3:$V$500),2),"")</f>
        <v>0.37</v>
      </c>
      <c r="W32" s="163" t="n">
        <f aca="false">IFERROR(ROUND(CORREL('Returns (Calc)'!$AU$3:$AU$500,'Returns (Calc)'!$AP$3:$AP$500),2),"")</f>
        <v>0.25</v>
      </c>
      <c r="X32" s="163" t="n">
        <f aca="false">IFERROR(ROUND(CORREL('Returns (Calc)'!$AU$3:$AU$500,'Returns (Calc)'!$AQ$3:$AQ$500),2),"")</f>
        <v>-0.27</v>
      </c>
      <c r="Y32" s="163" t="n">
        <f aca="false">IFERROR(ROUND(CORREL('Returns (Calc)'!$AU$3:$AU$500,'Returns (Calc)'!$AR$3:$AR$500),2),"")</f>
        <v>0.31</v>
      </c>
      <c r="Z32" s="163" t="n">
        <f aca="false">IFERROR(ROUND(CORREL('Returns (Calc)'!$AU$3:$AU$500,'Returns (Calc)'!$AS$3:$AS$500),2),"")</f>
        <v>0.17</v>
      </c>
      <c r="AA32" s="163" t="n">
        <f aca="false">IFERROR(ROUND(CORREL('Returns (Calc)'!$AU$3:$AU$500,'Returns (Calc)'!$AT$3:$AT$500),2),"")</f>
        <v>0.17</v>
      </c>
      <c r="AB32" s="163" t="n">
        <v>1</v>
      </c>
      <c r="AG32" s="164" t="n">
        <f aca="false">COUNTIF(B32:AB32,"&gt;0.7")-1</f>
        <v>0</v>
      </c>
    </row>
  </sheetData>
  <mergeCells count="1">
    <mergeCell ref="A1:AG1"/>
  </mergeCells>
  <conditionalFormatting sqref="B6:AB32">
    <cfRule type="expression" priority="2" aboveAverage="0" equalAverage="0" bottom="0" percent="0" rank="0" text="" dxfId="28">
      <formula>AND(B6&lt;&gt;1,ABS(B6)&gt;0.7)</formula>
    </cfRule>
  </conditionalFormatting>
  <conditionalFormatting sqref="AG6:AG32">
    <cfRule type="cellIs" priority="3" operator="greaterThan" aboveAverage="0" equalAverage="0" bottom="0" percent="0" rank="0" text="" dxfId="28">
      <formula>1</formula>
    </cfRule>
  </conditionalFormatting>
  <conditionalFormatting sqref="J3">
    <cfRule type="cellIs" priority="4" operator="equal" aboveAverage="0" equalAverage="0" bottom="0" percent="0" rank="0" text="" dxfId="28">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0.66"/>
    <col collapsed="false" customWidth="true" hidden="false" outlineLevel="0" max="3" min="2" style="1" width="15"/>
    <col collapsed="false" customWidth="true" hidden="false" outlineLevel="0" max="4" min="4" style="1" width="10.51"/>
    <col collapsed="false" customWidth="true" hidden="false" outlineLevel="0" max="6" min="5" style="1" width="10.33"/>
    <col collapsed="false" customWidth="true" hidden="false" outlineLevel="0" max="7" min="7" style="1" width="22"/>
    <col collapsed="false" customWidth="true" hidden="false" outlineLevel="0" max="8" min="8" style="144" width="69.16"/>
  </cols>
  <sheetData>
    <row r="1" customFormat="false" ht="24" hidden="false" customHeight="true" outlineLevel="0" collapsed="false">
      <c r="A1" s="165" t="s">
        <v>475</v>
      </c>
      <c r="B1" s="165"/>
      <c r="C1" s="165"/>
      <c r="D1" s="165"/>
      <c r="E1" s="165"/>
      <c r="F1" s="165"/>
      <c r="G1" s="165"/>
      <c r="H1" s="165"/>
    </row>
    <row r="2" customFormat="false" ht="27.75" hidden="false" customHeight="true" outlineLevel="0" collapsed="false">
      <c r="A2" s="121" t="s">
        <v>476</v>
      </c>
      <c r="B2" s="121" t="s">
        <v>477</v>
      </c>
      <c r="C2" s="121" t="s">
        <v>478</v>
      </c>
      <c r="D2" s="121" t="s">
        <v>479</v>
      </c>
      <c r="E2" s="121" t="s">
        <v>480</v>
      </c>
      <c r="F2" s="121" t="s">
        <v>481</v>
      </c>
      <c r="G2" s="121" t="s">
        <v>482</v>
      </c>
      <c r="H2" s="121" t="s">
        <v>219</v>
      </c>
    </row>
    <row r="3" customFormat="false" ht="15" hidden="false" customHeight="true" outlineLevel="0" collapsed="false">
      <c r="A3" s="166" t="n">
        <v>46245</v>
      </c>
      <c r="B3" s="167" t="n">
        <v>700739.19</v>
      </c>
      <c r="C3" s="168" t="n">
        <f aca="false">IF(B3="","",B3)</f>
        <v>700739.19</v>
      </c>
      <c r="D3" s="169" t="n">
        <f aca="false">IF(OR(B3="",C3=""),"",B3/C3-1)</f>
        <v>0</v>
      </c>
      <c r="E3" s="170" t="str">
        <f aca="false">IF(D3="","",IF(D3&gt;=-0.1,"Normal",IF(D3&gt;=-0.2,"Elevated",IF(D3&gt;=-0.3,"Severe","Critical"))))</f>
        <v>Normal</v>
      </c>
      <c r="F3" s="171" t="str">
        <f aca="false">IF(E3="","",IF(E3="Normal","5-15%",IF(E3="Elevated","15%",IF(E3="Severe","20%","25%"))))</f>
        <v>5-15%</v>
      </c>
      <c r="G3" s="171" t="str">
        <f aca="false">IF(E3="","",IF(E3="Normal","Standard (score &gt;=65)",IF(E3="Elevated","Restricted (score &gt;=80 only)","Suspended")))</f>
        <v>Standard (score &gt;=65)</v>
      </c>
      <c r="H3" s="172"/>
    </row>
    <row r="4" customFormat="false" ht="15" hidden="false" customHeight="true" outlineLevel="0" collapsed="false">
      <c r="A4" s="166" t="n">
        <v>46269</v>
      </c>
      <c r="B4" s="167" t="n">
        <v>751223.12</v>
      </c>
      <c r="C4" s="168" t="n">
        <f aca="false">IF(B4="","",MAX(C3,B4))</f>
        <v>751223.12</v>
      </c>
      <c r="D4" s="169" t="n">
        <f aca="false">IF(OR(B4="",C4=""),"",B4/C4-1)</f>
        <v>0</v>
      </c>
      <c r="E4" s="170" t="str">
        <f aca="false">IF(D4="","",IF(D4&gt;=-0.1,"Normal",IF(D4&gt;=-0.2,"Elevated",IF(D4&gt;=-0.3,"Severe","Critical"))))</f>
        <v>Normal</v>
      </c>
      <c r="F4" s="171" t="str">
        <f aca="false">IF(E4="","",IF(E4="Normal","5-15%",IF(E4="Elevated","15%",IF(E4="Severe","20%","25%"))))</f>
        <v>5-15%</v>
      </c>
      <c r="G4" s="171" t="str">
        <f aca="false">IF(E4="","",IF(E4="Normal","Standard (score &gt;=65)",IF(E4="Elevated","Restricted (score &gt;=80 only)","Suspended")))</f>
        <v>Standard (score &gt;=65)</v>
      </c>
      <c r="H4" s="172" t="s">
        <v>483</v>
      </c>
    </row>
    <row r="5" customFormat="false" ht="15" hidden="false" customHeight="true" outlineLevel="0" collapsed="false">
      <c r="A5" s="166" t="n">
        <v>46295</v>
      </c>
      <c r="B5" s="167" t="n">
        <v>741557.65</v>
      </c>
      <c r="C5" s="168" t="n">
        <f aca="false">IF(B5="","",MAX(C4,B5))</f>
        <v>751223.12</v>
      </c>
      <c r="D5" s="169" t="n">
        <f aca="false">IF(OR(B5="",C5=""),"",B5/C5-1)</f>
        <v>-0.0128663106108875</v>
      </c>
      <c r="E5" s="170" t="str">
        <f aca="false">IF(D5="","",IF(D5&gt;=-0.1,"Normal",IF(D5&gt;=-0.2,"Elevated",IF(D5&gt;=-0.3,"Severe","Critical"))))</f>
        <v>Normal</v>
      </c>
      <c r="F5" s="171" t="str">
        <f aca="false">IF(E5="","",IF(E5="Normal","5-15%",IF(E5="Elevated","15%",IF(E5="Severe","20%","25%"))))</f>
        <v>5-15%</v>
      </c>
      <c r="G5" s="171" t="str">
        <f aca="false">IF(E5="","",IF(E5="Normal","Standard (score &gt;=65)",IF(E5="Elevated","Restricted (score &gt;=80 only)","Suspended")))</f>
        <v>Standard (score &gt;=65)</v>
      </c>
      <c r="H5" s="172" t="s">
        <v>484</v>
      </c>
    </row>
    <row r="6" customFormat="false" ht="15" hidden="false" customHeight="true" outlineLevel="0" collapsed="false">
      <c r="A6" s="166" t="n">
        <v>46301</v>
      </c>
      <c r="B6" s="167" t="n">
        <v>753520.32</v>
      </c>
      <c r="C6" s="168" t="n">
        <f aca="false">IF(B6="","",MAX(C5,B6))</f>
        <v>753520.32</v>
      </c>
      <c r="D6" s="169" t="n">
        <f aca="false">IF(OR(B6="",C6=""),"",B6/C6-1)</f>
        <v>0</v>
      </c>
      <c r="E6" s="170" t="str">
        <f aca="false">IF(D6="","",IF(D6&gt;=-0.1,"Normal",IF(D6&gt;=-0.2,"Elevated",IF(D6&gt;=-0.3,"Severe","Critical"))))</f>
        <v>Normal</v>
      </c>
      <c r="F6" s="171" t="str">
        <f aca="false">IF(E6="","",IF(E6="Normal","5-15%",IF(E6="Elevated","15%",IF(E6="Severe","20%","25%"))))</f>
        <v>5-15%</v>
      </c>
      <c r="G6" s="171" t="str">
        <f aca="false">IF(E6="","",IF(E6="Normal","Standard (score &gt;=65)",IF(E6="Elevated","Restricted (score &gt;=80 only)","Suspended")))</f>
        <v>Standard (score &gt;=65)</v>
      </c>
      <c r="H6" s="172" t="s">
        <v>485</v>
      </c>
    </row>
    <row r="7" customFormat="false" ht="15" hidden="false" customHeight="true" outlineLevel="0" collapsed="false">
      <c r="A7" s="166" t="n">
        <v>46304</v>
      </c>
      <c r="B7" s="167" t="n">
        <v>753965.2</v>
      </c>
      <c r="C7" s="168" t="n">
        <f aca="false">IF(B7="","",MAX(C6,B7))</f>
        <v>753965.2</v>
      </c>
      <c r="D7" s="169" t="n">
        <f aca="false">IF(OR(B7="",C7=""),"",B7/C7-1)</f>
        <v>0</v>
      </c>
      <c r="E7" s="170" t="str">
        <f aca="false">IF(D7="","",IF(D7&gt;=-0.1,"Normal",IF(D7&gt;=-0.2,"Elevated",IF(D7&gt;=-0.3,"Severe","Critical"))))</f>
        <v>Normal</v>
      </c>
      <c r="F7" s="171" t="str">
        <f aca="false">IF(E7="","",IF(E7="Normal","5-15%",IF(E7="Elevated","15%",IF(E7="Severe","20%","25%"))))</f>
        <v>5-15%</v>
      </c>
      <c r="G7" s="171" t="str">
        <f aca="false">IF(E7="","",IF(E7="Normal","Standard (score &gt;=65)",IF(E7="Elevated","Restricted (score &gt;=80 only)","Suspended")))</f>
        <v>Standard (score &gt;=65)</v>
      </c>
      <c r="H7" s="172" t="s">
        <v>486</v>
      </c>
    </row>
    <row r="8" customFormat="false" ht="15" hidden="false" customHeight="true" outlineLevel="0" collapsed="false">
      <c r="A8" s="166"/>
      <c r="B8" s="167"/>
      <c r="C8" s="168" t="str">
        <f aca="false">IF(B8="","",MAX(C7,B8))</f>
        <v/>
      </c>
      <c r="D8" s="169" t="str">
        <f aca="false">IF(OR(B8="",C8=""),"",B8/C8-1)</f>
        <v/>
      </c>
      <c r="E8" s="170" t="str">
        <f aca="false">IF(D8="","",IF(D8&gt;=-0.1,"Normal",IF(D8&gt;=-0.2,"Elevated",IF(D8&gt;=-0.3,"Severe","Critical"))))</f>
        <v/>
      </c>
      <c r="F8" s="171" t="str">
        <f aca="false">IF(E8="","",IF(E8="Normal","5-15%",IF(E8="Elevated","15%",IF(E8="Severe","20%","25%"))))</f>
        <v/>
      </c>
      <c r="G8" s="171" t="str">
        <f aca="false">IF(E8="","",IF(E8="Normal","Standard (score &gt;=65)",IF(E8="Elevated","Restricted (score &gt;=80 only)","Suspended")))</f>
        <v/>
      </c>
      <c r="H8" s="172"/>
    </row>
    <row r="9" customFormat="false" ht="15" hidden="false" customHeight="true" outlineLevel="0" collapsed="false">
      <c r="A9" s="166"/>
      <c r="B9" s="167"/>
      <c r="C9" s="168" t="str">
        <f aca="false">IF(B9="","",MAX(C8,B9))</f>
        <v/>
      </c>
      <c r="D9" s="169" t="str">
        <f aca="false">IF(OR(B9="",C9=""),"",B9/C9-1)</f>
        <v/>
      </c>
      <c r="E9" s="170" t="str">
        <f aca="false">IF(D9="","",IF(D9&gt;=-0.1,"Normal",IF(D9&gt;=-0.2,"Elevated",IF(D9&gt;=-0.3,"Severe","Critical"))))</f>
        <v/>
      </c>
      <c r="F9" s="171" t="str">
        <f aca="false">IF(E9="","",IF(E9="Normal","5-15%",IF(E9="Elevated","15%",IF(E9="Severe","20%","25%"))))</f>
        <v/>
      </c>
      <c r="G9" s="171" t="str">
        <f aca="false">IF(E9="","",IF(E9="Normal","Standard (score &gt;=65)",IF(E9="Elevated","Restricted (score &gt;=80 only)","Suspended")))</f>
        <v/>
      </c>
      <c r="H9" s="172"/>
    </row>
    <row r="10" customFormat="false" ht="15" hidden="false" customHeight="true" outlineLevel="0" collapsed="false">
      <c r="A10" s="166"/>
      <c r="B10" s="167"/>
      <c r="C10" s="168" t="str">
        <f aca="false">IF(B10="","",MAX(C9,B10))</f>
        <v/>
      </c>
      <c r="D10" s="169" t="str">
        <f aca="false">IF(OR(B10="",C10=""),"",B10/C10-1)</f>
        <v/>
      </c>
      <c r="E10" s="170" t="str">
        <f aca="false">IF(D10="","",IF(D10&gt;=-0.1,"Normal",IF(D10&gt;=-0.2,"Elevated",IF(D10&gt;=-0.3,"Severe","Critical"))))</f>
        <v/>
      </c>
      <c r="F10" s="171" t="str">
        <f aca="false">IF(E10="","",IF(E10="Normal","5-15%",IF(E10="Elevated","15%",IF(E10="Severe","20%","25%"))))</f>
        <v/>
      </c>
      <c r="G10" s="171" t="str">
        <f aca="false">IF(E10="","",IF(E10="Normal","Standard (score &gt;=65)",IF(E10="Elevated","Restricted (score &gt;=80 only)","Suspended")))</f>
        <v/>
      </c>
      <c r="H10" s="172"/>
    </row>
    <row r="11" customFormat="false" ht="15" hidden="false" customHeight="true" outlineLevel="0" collapsed="false">
      <c r="A11" s="166"/>
      <c r="B11" s="167"/>
      <c r="C11" s="168" t="str">
        <f aca="false">IF(B11="","",MAX(C10,B11))</f>
        <v/>
      </c>
      <c r="D11" s="169" t="str">
        <f aca="false">IF(OR(B11="",C11=""),"",B11/C11-1)</f>
        <v/>
      </c>
      <c r="E11" s="170" t="str">
        <f aca="false">IF(D11="","",IF(D11&gt;=-0.1,"Normal",IF(D11&gt;=-0.2,"Elevated",IF(D11&gt;=-0.3,"Severe","Critical"))))</f>
        <v/>
      </c>
      <c r="F11" s="171" t="str">
        <f aca="false">IF(E11="","",IF(E11="Normal","5-15%",IF(E11="Elevated","15%",IF(E11="Severe","20%","25%"))))</f>
        <v/>
      </c>
      <c r="G11" s="171" t="str">
        <f aca="false">IF(E11="","",IF(E11="Normal","Standard (score &gt;=65)",IF(E11="Elevated","Restricted (score &gt;=80 only)","Suspended")))</f>
        <v/>
      </c>
      <c r="H11" s="172"/>
    </row>
    <row r="12" customFormat="false" ht="15" hidden="false" customHeight="true" outlineLevel="0" collapsed="false">
      <c r="A12" s="166"/>
      <c r="B12" s="167"/>
      <c r="C12" s="168" t="str">
        <f aca="false">IF(B12="","",MAX(C11,B12))</f>
        <v/>
      </c>
      <c r="D12" s="169" t="str">
        <f aca="false">IF(OR(B12="",C12=""),"",B12/C12-1)</f>
        <v/>
      </c>
      <c r="E12" s="170" t="str">
        <f aca="false">IF(D12="","",IF(D12&gt;=-0.1,"Normal",IF(D12&gt;=-0.2,"Elevated",IF(D12&gt;=-0.3,"Severe","Critical"))))</f>
        <v/>
      </c>
      <c r="F12" s="171" t="str">
        <f aca="false">IF(E12="","",IF(E12="Normal","5-15%",IF(E12="Elevated","15%",IF(E12="Severe","20%","25%"))))</f>
        <v/>
      </c>
      <c r="G12" s="171" t="str">
        <f aca="false">IF(E12="","",IF(E12="Normal","Standard (score &gt;=65)",IF(E12="Elevated","Restricted (score &gt;=80 only)","Suspended")))</f>
        <v/>
      </c>
      <c r="H12" s="172"/>
    </row>
    <row r="13" customFormat="false" ht="15" hidden="false" customHeight="true" outlineLevel="0" collapsed="false">
      <c r="A13" s="166"/>
      <c r="B13" s="167"/>
      <c r="C13" s="168" t="str">
        <f aca="false">IF(B13="","",MAX(C12,B13))</f>
        <v/>
      </c>
      <c r="D13" s="169" t="str">
        <f aca="false">IF(OR(B13="",C13=""),"",B13/C13-1)</f>
        <v/>
      </c>
      <c r="E13" s="170" t="str">
        <f aca="false">IF(D13="","",IF(D13&gt;=-0.1,"Normal",IF(D13&gt;=-0.2,"Elevated",IF(D13&gt;=-0.3,"Severe","Critical"))))</f>
        <v/>
      </c>
      <c r="F13" s="171" t="str">
        <f aca="false">IF(E13="","",IF(E13="Normal","5-15%",IF(E13="Elevated","15%",IF(E13="Severe","20%","25%"))))</f>
        <v/>
      </c>
      <c r="G13" s="171" t="str">
        <f aca="false">IF(E13="","",IF(E13="Normal","Standard (score &gt;=65)",IF(E13="Elevated","Restricted (score &gt;=80 only)","Suspended")))</f>
        <v/>
      </c>
      <c r="H13" s="172"/>
    </row>
    <row r="14" customFormat="false" ht="15" hidden="false" customHeight="true" outlineLevel="0" collapsed="false">
      <c r="A14" s="166"/>
      <c r="B14" s="167"/>
      <c r="C14" s="168" t="str">
        <f aca="false">IF(B14="","",MAX(C13,B14))</f>
        <v/>
      </c>
      <c r="D14" s="169" t="str">
        <f aca="false">IF(OR(B14="",C14=""),"",B14/C14-1)</f>
        <v/>
      </c>
      <c r="E14" s="170" t="str">
        <f aca="false">IF(D14="","",IF(D14&gt;=-0.1,"Normal",IF(D14&gt;=-0.2,"Elevated",IF(D14&gt;=-0.3,"Severe","Critical"))))</f>
        <v/>
      </c>
      <c r="F14" s="171" t="str">
        <f aca="false">IF(E14="","",IF(E14="Normal","5-15%",IF(E14="Elevated","15%",IF(E14="Severe","20%","25%"))))</f>
        <v/>
      </c>
      <c r="G14" s="171" t="str">
        <f aca="false">IF(E14="","",IF(E14="Normal","Standard (score &gt;=65)",IF(E14="Elevated","Restricted (score &gt;=80 only)","Suspended")))</f>
        <v/>
      </c>
      <c r="H14" s="172"/>
    </row>
    <row r="15" customFormat="false" ht="15" hidden="false" customHeight="true" outlineLevel="0" collapsed="false">
      <c r="A15" s="166"/>
      <c r="B15" s="167"/>
      <c r="C15" s="168" t="str">
        <f aca="false">IF(B15="","",MAX(C14,B15))</f>
        <v/>
      </c>
      <c r="D15" s="169" t="str">
        <f aca="false">IF(OR(B15="",C15=""),"",B15/C15-1)</f>
        <v/>
      </c>
      <c r="E15" s="170" t="str">
        <f aca="false">IF(D15="","",IF(D15&gt;=-0.1,"Normal",IF(D15&gt;=-0.2,"Elevated",IF(D15&gt;=-0.3,"Severe","Critical"))))</f>
        <v/>
      </c>
      <c r="F15" s="171" t="str">
        <f aca="false">IF(E15="","",IF(E15="Normal","5-15%",IF(E15="Elevated","15%",IF(E15="Severe","20%","25%"))))</f>
        <v/>
      </c>
      <c r="G15" s="171" t="str">
        <f aca="false">IF(E15="","",IF(E15="Normal","Standard (score &gt;=65)",IF(E15="Elevated","Restricted (score &gt;=80 only)","Suspended")))</f>
        <v/>
      </c>
      <c r="H15" s="172"/>
    </row>
    <row r="16" customFormat="false" ht="15" hidden="false" customHeight="true" outlineLevel="0" collapsed="false">
      <c r="A16" s="166"/>
      <c r="B16" s="167"/>
      <c r="C16" s="168" t="str">
        <f aca="false">IF(B16="","",MAX(C15,B16))</f>
        <v/>
      </c>
      <c r="D16" s="169" t="str">
        <f aca="false">IF(OR(B16="",C16=""),"",B16/C16-1)</f>
        <v/>
      </c>
      <c r="E16" s="170" t="str">
        <f aca="false">IF(D16="","",IF(D16&gt;=-0.1,"Normal",IF(D16&gt;=-0.2,"Elevated",IF(D16&gt;=-0.3,"Severe","Critical"))))</f>
        <v/>
      </c>
      <c r="F16" s="171" t="str">
        <f aca="false">IF(E16="","",IF(E16="Normal","5-15%",IF(E16="Elevated","15%",IF(E16="Severe","20%","25%"))))</f>
        <v/>
      </c>
      <c r="G16" s="171" t="str">
        <f aca="false">IF(E16="","",IF(E16="Normal","Standard (score &gt;=65)",IF(E16="Elevated","Restricted (score &gt;=80 only)","Suspended")))</f>
        <v/>
      </c>
      <c r="H16" s="172"/>
    </row>
    <row r="17" customFormat="false" ht="15" hidden="false" customHeight="true" outlineLevel="0" collapsed="false">
      <c r="A17" s="166"/>
      <c r="B17" s="167"/>
      <c r="C17" s="168" t="str">
        <f aca="false">IF(B17="","",MAX(C16,B17))</f>
        <v/>
      </c>
      <c r="D17" s="169" t="str">
        <f aca="false">IF(OR(B17="",C17=""),"",B17/C17-1)</f>
        <v/>
      </c>
      <c r="E17" s="170" t="str">
        <f aca="false">IF(D17="","",IF(D17&gt;=-0.1,"Normal",IF(D17&gt;=-0.2,"Elevated",IF(D17&gt;=-0.3,"Severe","Critical"))))</f>
        <v/>
      </c>
      <c r="F17" s="171" t="str">
        <f aca="false">IF(E17="","",IF(E17="Normal","5-15%",IF(E17="Elevated","15%",IF(E17="Severe","20%","25%"))))</f>
        <v/>
      </c>
      <c r="G17" s="171" t="str">
        <f aca="false">IF(E17="","",IF(E17="Normal","Standard (score &gt;=65)",IF(E17="Elevated","Restricted (score &gt;=80 only)","Suspended")))</f>
        <v/>
      </c>
      <c r="H17" s="172"/>
    </row>
    <row r="18" customFormat="false" ht="15" hidden="false" customHeight="true" outlineLevel="0" collapsed="false">
      <c r="A18" s="166"/>
      <c r="B18" s="167"/>
      <c r="C18" s="168" t="str">
        <f aca="false">IF(B18="","",MAX(C17,B18))</f>
        <v/>
      </c>
      <c r="D18" s="169" t="str">
        <f aca="false">IF(OR(B18="",C18=""),"",B18/C18-1)</f>
        <v/>
      </c>
      <c r="E18" s="170" t="str">
        <f aca="false">IF(D18="","",IF(D18&gt;=-0.1,"Normal",IF(D18&gt;=-0.2,"Elevated",IF(D18&gt;=-0.3,"Severe","Critical"))))</f>
        <v/>
      </c>
      <c r="F18" s="171" t="str">
        <f aca="false">IF(E18="","",IF(E18="Normal","5-15%",IF(E18="Elevated","15%",IF(E18="Severe","20%","25%"))))</f>
        <v/>
      </c>
      <c r="G18" s="171" t="str">
        <f aca="false">IF(E18="","",IF(E18="Normal","Standard (score &gt;=65)",IF(E18="Elevated","Restricted (score &gt;=80 only)","Suspended")))</f>
        <v/>
      </c>
      <c r="H18" s="172"/>
    </row>
    <row r="19" customFormat="false" ht="15" hidden="false" customHeight="true" outlineLevel="0" collapsed="false">
      <c r="A19" s="166"/>
      <c r="B19" s="167"/>
      <c r="C19" s="168" t="str">
        <f aca="false">IF(B19="","",MAX(C18,B19))</f>
        <v/>
      </c>
      <c r="D19" s="169" t="str">
        <f aca="false">IF(OR(B19="",C19=""),"",B19/C19-1)</f>
        <v/>
      </c>
      <c r="E19" s="170" t="str">
        <f aca="false">IF(D19="","",IF(D19&gt;=-0.1,"Normal",IF(D19&gt;=-0.2,"Elevated",IF(D19&gt;=-0.3,"Severe","Critical"))))</f>
        <v/>
      </c>
      <c r="F19" s="171" t="str">
        <f aca="false">IF(E19="","",IF(E19="Normal","5-15%",IF(E19="Elevated","15%",IF(E19="Severe","20%","25%"))))</f>
        <v/>
      </c>
      <c r="G19" s="171" t="str">
        <f aca="false">IF(E19="","",IF(E19="Normal","Standard (score &gt;=65)",IF(E19="Elevated","Restricted (score &gt;=80 only)","Suspended")))</f>
        <v/>
      </c>
      <c r="H19" s="172"/>
    </row>
    <row r="20" customFormat="false" ht="15" hidden="false" customHeight="true" outlineLevel="0" collapsed="false">
      <c r="A20" s="166"/>
      <c r="B20" s="167"/>
      <c r="C20" s="168" t="str">
        <f aca="false">IF(B20="","",MAX(C19,B20))</f>
        <v/>
      </c>
      <c r="D20" s="169" t="str">
        <f aca="false">IF(OR(B20="",C20=""),"",B20/C20-1)</f>
        <v/>
      </c>
      <c r="E20" s="170" t="str">
        <f aca="false">IF(D20="","",IF(D20&gt;=-0.1,"Normal",IF(D20&gt;=-0.2,"Elevated",IF(D20&gt;=-0.3,"Severe","Critical"))))</f>
        <v/>
      </c>
      <c r="F20" s="171" t="str">
        <f aca="false">IF(E20="","",IF(E20="Normal","5-15%",IF(E20="Elevated","15%",IF(E20="Severe","20%","25%"))))</f>
        <v/>
      </c>
      <c r="G20" s="171" t="str">
        <f aca="false">IF(E20="","",IF(E20="Normal","Standard (score &gt;=65)",IF(E20="Elevated","Restricted (score &gt;=80 only)","Suspended")))</f>
        <v/>
      </c>
      <c r="H20" s="172"/>
    </row>
    <row r="21" customFormat="false" ht="15" hidden="false" customHeight="true" outlineLevel="0" collapsed="false">
      <c r="A21" s="166"/>
      <c r="B21" s="167"/>
      <c r="C21" s="168" t="str">
        <f aca="false">IF(B21="","",MAX(C20,B21))</f>
        <v/>
      </c>
      <c r="D21" s="169" t="str">
        <f aca="false">IF(OR(B21="",C21=""),"",B21/C21-1)</f>
        <v/>
      </c>
      <c r="E21" s="170" t="str">
        <f aca="false">IF(D21="","",IF(D21&gt;=-0.1,"Normal",IF(D21&gt;=-0.2,"Elevated",IF(D21&gt;=-0.3,"Severe","Critical"))))</f>
        <v/>
      </c>
      <c r="F21" s="171" t="str">
        <f aca="false">IF(E21="","",IF(E21="Normal","5-15%",IF(E21="Elevated","15%",IF(E21="Severe","20%","25%"))))</f>
        <v/>
      </c>
      <c r="G21" s="171" t="str">
        <f aca="false">IF(E21="","",IF(E21="Normal","Standard (score &gt;=65)",IF(E21="Elevated","Restricted (score &gt;=80 only)","Suspended")))</f>
        <v/>
      </c>
      <c r="H21" s="172"/>
    </row>
    <row r="22" customFormat="false" ht="15" hidden="false" customHeight="true" outlineLevel="0" collapsed="false">
      <c r="A22" s="166"/>
      <c r="B22" s="167"/>
      <c r="C22" s="168" t="str">
        <f aca="false">IF(B22="","",MAX(C21,B22))</f>
        <v/>
      </c>
      <c r="D22" s="169" t="str">
        <f aca="false">IF(OR(B22="",C22=""),"",B22/C22-1)</f>
        <v/>
      </c>
      <c r="E22" s="170" t="str">
        <f aca="false">IF(D22="","",IF(D22&gt;=-0.1,"Normal",IF(D22&gt;=-0.2,"Elevated",IF(D22&gt;=-0.3,"Severe","Critical"))))</f>
        <v/>
      </c>
      <c r="F22" s="171" t="str">
        <f aca="false">IF(E22="","",IF(E22="Normal","5-15%",IF(E22="Elevated","15%",IF(E22="Severe","20%","25%"))))</f>
        <v/>
      </c>
      <c r="G22" s="171" t="str">
        <f aca="false">IF(E22="","",IF(E22="Normal","Standard (score &gt;=65)",IF(E22="Elevated","Restricted (score &gt;=80 only)","Suspended")))</f>
        <v/>
      </c>
      <c r="H22" s="172"/>
    </row>
    <row r="23" customFormat="false" ht="15" hidden="false" customHeight="true" outlineLevel="0" collapsed="false">
      <c r="A23" s="166"/>
      <c r="B23" s="167"/>
      <c r="C23" s="168" t="str">
        <f aca="false">IF(B23="","",MAX(C22,B23))</f>
        <v/>
      </c>
      <c r="D23" s="169" t="str">
        <f aca="false">IF(OR(B23="",C23=""),"",B23/C23-1)</f>
        <v/>
      </c>
      <c r="E23" s="170" t="str">
        <f aca="false">IF(D23="","",IF(D23&gt;=-0.1,"Normal",IF(D23&gt;=-0.2,"Elevated",IF(D23&gt;=-0.3,"Severe","Critical"))))</f>
        <v/>
      </c>
      <c r="F23" s="171" t="str">
        <f aca="false">IF(E23="","",IF(E23="Normal","5-15%",IF(E23="Elevated","15%",IF(E23="Severe","20%","25%"))))</f>
        <v/>
      </c>
      <c r="G23" s="171" t="str">
        <f aca="false">IF(E23="","",IF(E23="Normal","Standard (score &gt;=65)",IF(E23="Elevated","Restricted (score &gt;=80 only)","Suspended")))</f>
        <v/>
      </c>
      <c r="H23" s="172"/>
    </row>
    <row r="24" customFormat="false" ht="15" hidden="false" customHeight="true" outlineLevel="0" collapsed="false">
      <c r="A24" s="166"/>
      <c r="B24" s="167"/>
      <c r="C24" s="168" t="str">
        <f aca="false">IF(B24="","",MAX(C23,B24))</f>
        <v/>
      </c>
      <c r="D24" s="169" t="str">
        <f aca="false">IF(OR(B24="",C24=""),"",B24/C24-1)</f>
        <v/>
      </c>
      <c r="E24" s="170" t="str">
        <f aca="false">IF(D24="","",IF(D24&gt;=-0.1,"Normal",IF(D24&gt;=-0.2,"Elevated",IF(D24&gt;=-0.3,"Severe","Critical"))))</f>
        <v/>
      </c>
      <c r="F24" s="171" t="str">
        <f aca="false">IF(E24="","",IF(E24="Normal","5-15%",IF(E24="Elevated","15%",IF(E24="Severe","20%","25%"))))</f>
        <v/>
      </c>
      <c r="G24" s="171" t="str">
        <f aca="false">IF(E24="","",IF(E24="Normal","Standard (score &gt;=65)",IF(E24="Elevated","Restricted (score &gt;=80 only)","Suspended")))</f>
        <v/>
      </c>
      <c r="H24" s="172"/>
    </row>
    <row r="25" customFormat="false" ht="15" hidden="false" customHeight="true" outlineLevel="0" collapsed="false">
      <c r="A25" s="166"/>
      <c r="B25" s="167"/>
      <c r="C25" s="168" t="str">
        <f aca="false">IF(B25="","",MAX(C24,B25))</f>
        <v/>
      </c>
      <c r="D25" s="169" t="str">
        <f aca="false">IF(OR(B25="",C25=""),"",B25/C25-1)</f>
        <v/>
      </c>
      <c r="E25" s="170" t="str">
        <f aca="false">IF(D25="","",IF(D25&gt;=-0.1,"Normal",IF(D25&gt;=-0.2,"Elevated",IF(D25&gt;=-0.3,"Severe","Critical"))))</f>
        <v/>
      </c>
      <c r="F25" s="171" t="str">
        <f aca="false">IF(E25="","",IF(E25="Normal","5-15%",IF(E25="Elevated","15%",IF(E25="Severe","20%","25%"))))</f>
        <v/>
      </c>
      <c r="G25" s="171" t="str">
        <f aca="false">IF(E25="","",IF(E25="Normal","Standard (score &gt;=65)",IF(E25="Elevated","Restricted (score &gt;=80 only)","Suspended")))</f>
        <v/>
      </c>
      <c r="H25" s="172"/>
    </row>
    <row r="26" customFormat="false" ht="15" hidden="false" customHeight="true" outlineLevel="0" collapsed="false">
      <c r="A26" s="166"/>
      <c r="B26" s="167"/>
      <c r="C26" s="168" t="str">
        <f aca="false">IF(B26="","",MAX(C25,B26))</f>
        <v/>
      </c>
      <c r="D26" s="169" t="str">
        <f aca="false">IF(OR(B26="",C26=""),"",B26/C26-1)</f>
        <v/>
      </c>
      <c r="E26" s="170" t="str">
        <f aca="false">IF(D26="","",IF(D26&gt;=-0.1,"Normal",IF(D26&gt;=-0.2,"Elevated",IF(D26&gt;=-0.3,"Severe","Critical"))))</f>
        <v/>
      </c>
      <c r="F26" s="171" t="str">
        <f aca="false">IF(E26="","",IF(E26="Normal","5-15%",IF(E26="Elevated","15%",IF(E26="Severe","20%","25%"))))</f>
        <v/>
      </c>
      <c r="G26" s="171" t="str">
        <f aca="false">IF(E26="","",IF(E26="Normal","Standard (score &gt;=65)",IF(E26="Elevated","Restricted (score &gt;=80 only)","Suspended")))</f>
        <v/>
      </c>
      <c r="H26" s="172"/>
    </row>
    <row r="27" customFormat="false" ht="15" hidden="false" customHeight="true" outlineLevel="0" collapsed="false">
      <c r="A27" s="166"/>
      <c r="B27" s="167"/>
      <c r="C27" s="168" t="str">
        <f aca="false">IF(B27="","",MAX(C26,B27))</f>
        <v/>
      </c>
      <c r="D27" s="169" t="str">
        <f aca="false">IF(OR(B27="",C27=""),"",B27/C27-1)</f>
        <v/>
      </c>
      <c r="E27" s="170" t="str">
        <f aca="false">IF(D27="","",IF(D27&gt;=-0.1,"Normal",IF(D27&gt;=-0.2,"Elevated",IF(D27&gt;=-0.3,"Severe","Critical"))))</f>
        <v/>
      </c>
      <c r="F27" s="171" t="str">
        <f aca="false">IF(E27="","",IF(E27="Normal","5-15%",IF(E27="Elevated","15%",IF(E27="Severe","20%","25%"))))</f>
        <v/>
      </c>
      <c r="G27" s="171" t="str">
        <f aca="false">IF(E27="","",IF(E27="Normal","Standard (score &gt;=65)",IF(E27="Elevated","Restricted (score &gt;=80 only)","Suspended")))</f>
        <v/>
      </c>
      <c r="H27" s="172"/>
    </row>
    <row r="28" customFormat="false" ht="15" hidden="false" customHeight="true" outlineLevel="0" collapsed="false">
      <c r="A28" s="166"/>
      <c r="B28" s="167"/>
      <c r="C28" s="168" t="str">
        <f aca="false">IF(B28="","",MAX(C27,B28))</f>
        <v/>
      </c>
      <c r="D28" s="169" t="str">
        <f aca="false">IF(OR(B28="",C28=""),"",B28/C28-1)</f>
        <v/>
      </c>
      <c r="E28" s="170" t="str">
        <f aca="false">IF(D28="","",IF(D28&gt;=-0.1,"Normal",IF(D28&gt;=-0.2,"Elevated",IF(D28&gt;=-0.3,"Severe","Critical"))))</f>
        <v/>
      </c>
      <c r="F28" s="171" t="str">
        <f aca="false">IF(E28="","",IF(E28="Normal","5-15%",IF(E28="Elevated","15%",IF(E28="Severe","20%","25%"))))</f>
        <v/>
      </c>
      <c r="G28" s="171" t="str">
        <f aca="false">IF(E28="","",IF(E28="Normal","Standard (score &gt;=65)",IF(E28="Elevated","Restricted (score &gt;=80 only)","Suspended")))</f>
        <v/>
      </c>
      <c r="H28" s="172"/>
    </row>
    <row r="29" customFormat="false" ht="15" hidden="false" customHeight="true" outlineLevel="0" collapsed="false">
      <c r="A29" s="166"/>
      <c r="B29" s="167"/>
      <c r="C29" s="168" t="str">
        <f aca="false">IF(B29="","",MAX(C28,B29))</f>
        <v/>
      </c>
      <c r="D29" s="169" t="str">
        <f aca="false">IF(OR(B29="",C29=""),"",B29/C29-1)</f>
        <v/>
      </c>
      <c r="E29" s="170" t="str">
        <f aca="false">IF(D29="","",IF(D29&gt;=-0.1,"Normal",IF(D29&gt;=-0.2,"Elevated",IF(D29&gt;=-0.3,"Severe","Critical"))))</f>
        <v/>
      </c>
      <c r="F29" s="171" t="str">
        <f aca="false">IF(E29="","",IF(E29="Normal","5-15%",IF(E29="Elevated","15%",IF(E29="Severe","20%","25%"))))</f>
        <v/>
      </c>
      <c r="G29" s="171" t="str">
        <f aca="false">IF(E29="","",IF(E29="Normal","Standard (score &gt;=65)",IF(E29="Elevated","Restricted (score &gt;=80 only)","Suspended")))</f>
        <v/>
      </c>
      <c r="H29" s="172"/>
    </row>
    <row r="30" customFormat="false" ht="15" hidden="false" customHeight="true" outlineLevel="0" collapsed="false">
      <c r="A30" s="166"/>
      <c r="B30" s="167"/>
      <c r="C30" s="168" t="str">
        <f aca="false">IF(B30="","",MAX(C29,B30))</f>
        <v/>
      </c>
      <c r="D30" s="169" t="str">
        <f aca="false">IF(OR(B30="",C30=""),"",B30/C30-1)</f>
        <v/>
      </c>
      <c r="E30" s="170" t="str">
        <f aca="false">IF(D30="","",IF(D30&gt;=-0.1,"Normal",IF(D30&gt;=-0.2,"Elevated",IF(D30&gt;=-0.3,"Severe","Critical"))))</f>
        <v/>
      </c>
      <c r="F30" s="171" t="str">
        <f aca="false">IF(E30="","",IF(E30="Normal","5-15%",IF(E30="Elevated","15%",IF(E30="Severe","20%","25%"))))</f>
        <v/>
      </c>
      <c r="G30" s="171" t="str">
        <f aca="false">IF(E30="","",IF(E30="Normal","Standard (score &gt;=65)",IF(E30="Elevated","Restricted (score &gt;=80 only)","Suspended")))</f>
        <v/>
      </c>
      <c r="H30" s="172"/>
    </row>
    <row r="31" customFormat="false" ht="15" hidden="false" customHeight="true" outlineLevel="0" collapsed="false">
      <c r="A31" s="166"/>
      <c r="B31" s="167"/>
      <c r="C31" s="168" t="str">
        <f aca="false">IF(B31="","",MAX(C30,B31))</f>
        <v/>
      </c>
      <c r="D31" s="169" t="str">
        <f aca="false">IF(OR(B31="",C31=""),"",B31/C31-1)</f>
        <v/>
      </c>
      <c r="E31" s="170" t="str">
        <f aca="false">IF(D31="","",IF(D31&gt;=-0.1,"Normal",IF(D31&gt;=-0.2,"Elevated",IF(D31&gt;=-0.3,"Severe","Critical"))))</f>
        <v/>
      </c>
      <c r="F31" s="171" t="str">
        <f aca="false">IF(E31="","",IF(E31="Normal","5-15%",IF(E31="Elevated","15%",IF(E31="Severe","20%","25%"))))</f>
        <v/>
      </c>
      <c r="G31" s="171" t="str">
        <f aca="false">IF(E31="","",IF(E31="Normal","Standard (score &gt;=65)",IF(E31="Elevated","Restricted (score &gt;=80 only)","Suspended")))</f>
        <v/>
      </c>
      <c r="H31" s="172"/>
    </row>
    <row r="32" customFormat="false" ht="15" hidden="false" customHeight="true" outlineLevel="0" collapsed="false">
      <c r="A32" s="166"/>
      <c r="B32" s="167"/>
      <c r="C32" s="168" t="str">
        <f aca="false">IF(B32="","",MAX(C31,B32))</f>
        <v/>
      </c>
      <c r="D32" s="169" t="str">
        <f aca="false">IF(OR(B32="",C32=""),"",B32/C32-1)</f>
        <v/>
      </c>
      <c r="E32" s="170" t="str">
        <f aca="false">IF(D32="","",IF(D32&gt;=-0.1,"Normal",IF(D32&gt;=-0.2,"Elevated",IF(D32&gt;=-0.3,"Severe","Critical"))))</f>
        <v/>
      </c>
      <c r="F32" s="171" t="str">
        <f aca="false">IF(E32="","",IF(E32="Normal","5-15%",IF(E32="Elevated","15%",IF(E32="Severe","20%","25%"))))</f>
        <v/>
      </c>
      <c r="G32" s="171" t="str">
        <f aca="false">IF(E32="","",IF(E32="Normal","Standard (score &gt;=65)",IF(E32="Elevated","Restricted (score &gt;=80 only)","Suspended")))</f>
        <v/>
      </c>
      <c r="H32" s="172"/>
    </row>
    <row r="33" customFormat="false" ht="15" hidden="false" customHeight="true" outlineLevel="0" collapsed="false">
      <c r="A33" s="166"/>
      <c r="B33" s="167"/>
      <c r="C33" s="168" t="str">
        <f aca="false">IF(B33="","",MAX(C32,B33))</f>
        <v/>
      </c>
      <c r="D33" s="169" t="str">
        <f aca="false">IF(OR(B33="",C33=""),"",B33/C33-1)</f>
        <v/>
      </c>
      <c r="E33" s="170" t="str">
        <f aca="false">IF(D33="","",IF(D33&gt;=-0.1,"Normal",IF(D33&gt;=-0.2,"Elevated",IF(D33&gt;=-0.3,"Severe","Critical"))))</f>
        <v/>
      </c>
      <c r="F33" s="171" t="str">
        <f aca="false">IF(E33="","",IF(E33="Normal","5-15%",IF(E33="Elevated","15%",IF(E33="Severe","20%","25%"))))</f>
        <v/>
      </c>
      <c r="G33" s="171" t="str">
        <f aca="false">IF(E33="","",IF(E33="Normal","Standard (score &gt;=65)",IF(E33="Elevated","Restricted (score &gt;=80 only)","Suspended")))</f>
        <v/>
      </c>
      <c r="H33" s="172"/>
    </row>
    <row r="34" customFormat="false" ht="15" hidden="false" customHeight="true" outlineLevel="0" collapsed="false">
      <c r="A34" s="166"/>
      <c r="B34" s="167"/>
      <c r="C34" s="168" t="str">
        <f aca="false">IF(B34="","",MAX(C33,B34))</f>
        <v/>
      </c>
      <c r="D34" s="169" t="str">
        <f aca="false">IF(OR(B34="",C34=""),"",B34/C34-1)</f>
        <v/>
      </c>
      <c r="E34" s="170" t="str">
        <f aca="false">IF(D34="","",IF(D34&gt;=-0.1,"Normal",IF(D34&gt;=-0.2,"Elevated",IF(D34&gt;=-0.3,"Severe","Critical"))))</f>
        <v/>
      </c>
      <c r="F34" s="171" t="str">
        <f aca="false">IF(E34="","",IF(E34="Normal","5-15%",IF(E34="Elevated","15%",IF(E34="Severe","20%","25%"))))</f>
        <v/>
      </c>
      <c r="G34" s="171" t="str">
        <f aca="false">IF(E34="","",IF(E34="Normal","Standard (score &gt;=65)",IF(E34="Elevated","Restricted (score &gt;=80 only)","Suspended")))</f>
        <v/>
      </c>
      <c r="H34" s="172"/>
    </row>
    <row r="35" customFormat="false" ht="15" hidden="false" customHeight="true" outlineLevel="0" collapsed="false">
      <c r="A35" s="166"/>
      <c r="B35" s="167"/>
      <c r="C35" s="168" t="str">
        <f aca="false">IF(B35="","",MAX(C34,B35))</f>
        <v/>
      </c>
      <c r="D35" s="169" t="str">
        <f aca="false">IF(OR(B35="",C35=""),"",B35/C35-1)</f>
        <v/>
      </c>
      <c r="E35" s="170" t="str">
        <f aca="false">IF(D35="","",IF(D35&gt;=-0.1,"Normal",IF(D35&gt;=-0.2,"Elevated",IF(D35&gt;=-0.3,"Severe","Critical"))))</f>
        <v/>
      </c>
      <c r="F35" s="171" t="str">
        <f aca="false">IF(E35="","",IF(E35="Normal","5-15%",IF(E35="Elevated","15%",IF(E35="Severe","20%","25%"))))</f>
        <v/>
      </c>
      <c r="G35" s="171" t="str">
        <f aca="false">IF(E35="","",IF(E35="Normal","Standard (score &gt;=65)",IF(E35="Elevated","Restricted (score &gt;=80 only)","Suspended")))</f>
        <v/>
      </c>
      <c r="H35" s="172"/>
    </row>
    <row r="36" customFormat="false" ht="15" hidden="false" customHeight="true" outlineLevel="0" collapsed="false">
      <c r="A36" s="166"/>
      <c r="B36" s="167"/>
      <c r="C36" s="168" t="str">
        <f aca="false">IF(B36="","",MAX(C35,B36))</f>
        <v/>
      </c>
      <c r="D36" s="169" t="str">
        <f aca="false">IF(OR(B36="",C36=""),"",B36/C36-1)</f>
        <v/>
      </c>
      <c r="E36" s="170" t="str">
        <f aca="false">IF(D36="","",IF(D36&gt;=-0.1,"Normal",IF(D36&gt;=-0.2,"Elevated",IF(D36&gt;=-0.3,"Severe","Critical"))))</f>
        <v/>
      </c>
      <c r="F36" s="171" t="str">
        <f aca="false">IF(E36="","",IF(E36="Normal","5-15%",IF(E36="Elevated","15%",IF(E36="Severe","20%","25%"))))</f>
        <v/>
      </c>
      <c r="G36" s="171" t="str">
        <f aca="false">IF(E36="","",IF(E36="Normal","Standard (score &gt;=65)",IF(E36="Elevated","Restricted (score &gt;=80 only)","Suspended")))</f>
        <v/>
      </c>
      <c r="H36" s="172"/>
    </row>
    <row r="37" customFormat="false" ht="15" hidden="false" customHeight="true" outlineLevel="0" collapsed="false">
      <c r="A37" s="166"/>
      <c r="B37" s="167"/>
      <c r="C37" s="168" t="str">
        <f aca="false">IF(B37="","",MAX(C36,B37))</f>
        <v/>
      </c>
      <c r="D37" s="169" t="str">
        <f aca="false">IF(OR(B37="",C37=""),"",B37/C37-1)</f>
        <v/>
      </c>
      <c r="E37" s="170" t="str">
        <f aca="false">IF(D37="","",IF(D37&gt;=-0.1,"Normal",IF(D37&gt;=-0.2,"Elevated",IF(D37&gt;=-0.3,"Severe","Critical"))))</f>
        <v/>
      </c>
      <c r="F37" s="171" t="str">
        <f aca="false">IF(E37="","",IF(E37="Normal","5-15%",IF(E37="Elevated","15%",IF(E37="Severe","20%","25%"))))</f>
        <v/>
      </c>
      <c r="G37" s="171" t="str">
        <f aca="false">IF(E37="","",IF(E37="Normal","Standard (score &gt;=65)",IF(E37="Elevated","Restricted (score &gt;=80 only)","Suspended")))</f>
        <v/>
      </c>
      <c r="H37" s="172"/>
    </row>
    <row r="38" customFormat="false" ht="15" hidden="false" customHeight="true" outlineLevel="0" collapsed="false">
      <c r="A38" s="166"/>
      <c r="B38" s="167"/>
      <c r="C38" s="168" t="str">
        <f aca="false">IF(B38="","",MAX(C37,B38))</f>
        <v/>
      </c>
      <c r="D38" s="169" t="str">
        <f aca="false">IF(OR(B38="",C38=""),"",B38/C38-1)</f>
        <v/>
      </c>
      <c r="E38" s="170" t="str">
        <f aca="false">IF(D38="","",IF(D38&gt;=-0.1,"Normal",IF(D38&gt;=-0.2,"Elevated",IF(D38&gt;=-0.3,"Severe","Critical"))))</f>
        <v/>
      </c>
      <c r="F38" s="171" t="str">
        <f aca="false">IF(E38="","",IF(E38="Normal","5-15%",IF(E38="Elevated","15%",IF(E38="Severe","20%","25%"))))</f>
        <v/>
      </c>
      <c r="G38" s="171" t="str">
        <f aca="false">IF(E38="","",IF(E38="Normal","Standard (score &gt;=65)",IF(E38="Elevated","Restricted (score &gt;=80 only)","Suspended")))</f>
        <v/>
      </c>
      <c r="H38" s="172"/>
    </row>
    <row r="39" customFormat="false" ht="15" hidden="false" customHeight="true" outlineLevel="0" collapsed="false">
      <c r="A39" s="166"/>
      <c r="B39" s="167"/>
      <c r="C39" s="168" t="str">
        <f aca="false">IF(B39="","",MAX(C38,B39))</f>
        <v/>
      </c>
      <c r="D39" s="169" t="str">
        <f aca="false">IF(OR(B39="",C39=""),"",B39/C39-1)</f>
        <v/>
      </c>
      <c r="E39" s="170" t="str">
        <f aca="false">IF(D39="","",IF(D39&gt;=-0.1,"Normal",IF(D39&gt;=-0.2,"Elevated",IF(D39&gt;=-0.3,"Severe","Critical"))))</f>
        <v/>
      </c>
      <c r="F39" s="171" t="str">
        <f aca="false">IF(E39="","",IF(E39="Normal","5-15%",IF(E39="Elevated","15%",IF(E39="Severe","20%","25%"))))</f>
        <v/>
      </c>
      <c r="G39" s="171" t="str">
        <f aca="false">IF(E39="","",IF(E39="Normal","Standard (score &gt;=65)",IF(E39="Elevated","Restricted (score &gt;=80 only)","Suspended")))</f>
        <v/>
      </c>
      <c r="H39" s="172"/>
    </row>
    <row r="40" customFormat="false" ht="15" hidden="false" customHeight="true" outlineLevel="0" collapsed="false">
      <c r="A40" s="166"/>
      <c r="B40" s="167"/>
      <c r="C40" s="168" t="str">
        <f aca="false">IF(B40="","",MAX(C39,B40))</f>
        <v/>
      </c>
      <c r="D40" s="169" t="str">
        <f aca="false">IF(OR(B40="",C40=""),"",B40/C40-1)</f>
        <v/>
      </c>
      <c r="E40" s="170" t="str">
        <f aca="false">IF(D40="","",IF(D40&gt;=-0.1,"Normal",IF(D40&gt;=-0.2,"Elevated",IF(D40&gt;=-0.3,"Severe","Critical"))))</f>
        <v/>
      </c>
      <c r="F40" s="171" t="str">
        <f aca="false">IF(E40="","",IF(E40="Normal","5-15%",IF(E40="Elevated","15%",IF(E40="Severe","20%","25%"))))</f>
        <v/>
      </c>
      <c r="G40" s="171" t="str">
        <f aca="false">IF(E40="","",IF(E40="Normal","Standard (score &gt;=65)",IF(E40="Elevated","Restricted (score &gt;=80 only)","Suspended")))</f>
        <v/>
      </c>
      <c r="H40" s="172"/>
    </row>
    <row r="41" customFormat="false" ht="15" hidden="false" customHeight="true" outlineLevel="0" collapsed="false">
      <c r="A41" s="166"/>
      <c r="B41" s="167"/>
      <c r="C41" s="168" t="str">
        <f aca="false">IF(B41="","",MAX(C40,B41))</f>
        <v/>
      </c>
      <c r="D41" s="169" t="str">
        <f aca="false">IF(OR(B41="",C41=""),"",B41/C41-1)</f>
        <v/>
      </c>
      <c r="E41" s="170" t="str">
        <f aca="false">IF(D41="","",IF(D41&gt;=-0.1,"Normal",IF(D41&gt;=-0.2,"Elevated",IF(D41&gt;=-0.3,"Severe","Critical"))))</f>
        <v/>
      </c>
      <c r="F41" s="171" t="str">
        <f aca="false">IF(E41="","",IF(E41="Normal","5-15%",IF(E41="Elevated","15%",IF(E41="Severe","20%","25%"))))</f>
        <v/>
      </c>
      <c r="G41" s="171" t="str">
        <f aca="false">IF(E41="","",IF(E41="Normal","Standard (score &gt;=65)",IF(E41="Elevated","Restricted (score &gt;=80 only)","Suspended")))</f>
        <v/>
      </c>
      <c r="H41" s="172"/>
    </row>
    <row r="42" customFormat="false" ht="15" hidden="false" customHeight="true" outlineLevel="0" collapsed="false">
      <c r="A42" s="166"/>
      <c r="B42" s="167"/>
      <c r="C42" s="168" t="str">
        <f aca="false">IF(B42="","",MAX(C41,B42))</f>
        <v/>
      </c>
      <c r="D42" s="169" t="str">
        <f aca="false">IF(OR(B42="",C42=""),"",B42/C42-1)</f>
        <v/>
      </c>
      <c r="E42" s="170" t="str">
        <f aca="false">IF(D42="","",IF(D42&gt;=-0.1,"Normal",IF(D42&gt;=-0.2,"Elevated",IF(D42&gt;=-0.3,"Severe","Critical"))))</f>
        <v/>
      </c>
      <c r="F42" s="171" t="str">
        <f aca="false">IF(E42="","",IF(E42="Normal","5-15%",IF(E42="Elevated","15%",IF(E42="Severe","20%","25%"))))</f>
        <v/>
      </c>
      <c r="G42" s="171" t="str">
        <f aca="false">IF(E42="","",IF(E42="Normal","Standard (score &gt;=65)",IF(E42="Elevated","Restricted (score &gt;=80 only)","Suspended")))</f>
        <v/>
      </c>
      <c r="H42" s="172"/>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9">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3" activeCellId="0" sqref="A3"/>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73"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74" t="s">
        <v>487</v>
      </c>
      <c r="B1" s="174"/>
      <c r="C1" s="174"/>
      <c r="D1" s="174"/>
      <c r="E1" s="174"/>
      <c r="F1" s="174"/>
      <c r="G1" s="174"/>
      <c r="H1" s="174"/>
      <c r="I1" s="175"/>
      <c r="J1" s="174"/>
      <c r="K1" s="174"/>
      <c r="L1" s="174"/>
      <c r="M1" s="174"/>
    </row>
    <row r="2" customFormat="false" ht="45.75" hidden="false" customHeight="true" outlineLevel="0" collapsed="false">
      <c r="A2" s="60" t="s">
        <v>82</v>
      </c>
      <c r="B2" s="60" t="s">
        <v>296</v>
      </c>
      <c r="C2" s="60" t="s">
        <v>488</v>
      </c>
      <c r="D2" s="60" t="s">
        <v>489</v>
      </c>
      <c r="E2" s="60" t="s">
        <v>490</v>
      </c>
      <c r="F2" s="60" t="s">
        <v>491</v>
      </c>
      <c r="G2" s="60" t="s">
        <v>492</v>
      </c>
      <c r="H2" s="60" t="s">
        <v>493</v>
      </c>
      <c r="I2" s="60" t="s">
        <v>494</v>
      </c>
      <c r="J2" s="60" t="s">
        <v>495</v>
      </c>
      <c r="K2" s="60" t="s">
        <v>496</v>
      </c>
      <c r="L2" s="60" t="s">
        <v>497</v>
      </c>
      <c r="M2" s="27" t="s">
        <v>498</v>
      </c>
    </row>
    <row r="3" customFormat="false" ht="81.75" hidden="false" customHeight="true" outlineLevel="0" collapsed="false">
      <c r="A3" s="125" t="s">
        <v>105</v>
      </c>
      <c r="B3" s="125" t="s">
        <v>106</v>
      </c>
      <c r="C3" s="125" t="s">
        <v>499</v>
      </c>
      <c r="D3" s="124" t="n">
        <v>46299</v>
      </c>
      <c r="E3" s="125" t="n">
        <v>63.4</v>
      </c>
      <c r="F3" s="125" t="n">
        <v>63.4</v>
      </c>
      <c r="G3" s="124" t="n">
        <v>46278</v>
      </c>
      <c r="H3" s="125" t="s">
        <v>224</v>
      </c>
      <c r="I3" s="176" t="n">
        <f aca="false">IF(D3="","",D3+90)</f>
        <v>46389</v>
      </c>
      <c r="J3" s="177" t="n">
        <f aca="true">IF(I3="","",I3-TODAY())</f>
        <v>84</v>
      </c>
      <c r="K3" s="178"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9" t="s">
        <v>500</v>
      </c>
      <c r="M3" s="180" t="n">
        <v>0</v>
      </c>
    </row>
    <row r="4" customFormat="false" ht="51.75" hidden="false" customHeight="true" outlineLevel="0" collapsed="false">
      <c r="A4" s="125"/>
      <c r="B4" s="125"/>
      <c r="C4" s="125"/>
      <c r="D4" s="124"/>
      <c r="E4" s="125"/>
      <c r="F4" s="125"/>
      <c r="G4" s="124"/>
      <c r="H4" s="125"/>
      <c r="I4" s="176" t="str">
        <f aca="false">IF(D4="","",D4+90)</f>
        <v/>
      </c>
      <c r="J4" s="177" t="str">
        <f aca="true">IF(I4="","",I4-TODAY())</f>
        <v/>
      </c>
      <c r="K4" s="178"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9"/>
      <c r="M4" s="181"/>
    </row>
    <row r="5" customFormat="false" ht="51.75" hidden="false" customHeight="true" outlineLevel="0" collapsed="false">
      <c r="A5" s="125"/>
      <c r="B5" s="125"/>
      <c r="C5" s="125"/>
      <c r="D5" s="124"/>
      <c r="E5" s="125"/>
      <c r="F5" s="125"/>
      <c r="G5" s="124"/>
      <c r="H5" s="125"/>
      <c r="I5" s="176" t="str">
        <f aca="false">IF(D5="","",D5+90)</f>
        <v/>
      </c>
      <c r="J5" s="177" t="str">
        <f aca="true">IF(I5="","",I5-TODAY())</f>
        <v/>
      </c>
      <c r="K5" s="178"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9"/>
      <c r="M5" s="181"/>
    </row>
    <row r="6" customFormat="false" ht="15" hidden="false" customHeight="true" outlineLevel="0" collapsed="false">
      <c r="A6" s="125"/>
      <c r="B6" s="125"/>
      <c r="C6" s="125"/>
      <c r="D6" s="124"/>
      <c r="E6" s="125"/>
      <c r="F6" s="125"/>
      <c r="G6" s="124"/>
      <c r="H6" s="125"/>
      <c r="I6" s="176" t="str">
        <f aca="false">IF(D6="","",D6+90)</f>
        <v/>
      </c>
      <c r="J6" s="177" t="str">
        <f aca="true">IF(I6="","",I6-TODAY())</f>
        <v/>
      </c>
      <c r="K6" s="178"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82"/>
      <c r="M6" s="181"/>
    </row>
    <row r="7" customFormat="false" ht="15" hidden="false" customHeight="true" outlineLevel="0" collapsed="false">
      <c r="A7" s="125"/>
      <c r="B7" s="125"/>
      <c r="C7" s="125"/>
      <c r="D7" s="124"/>
      <c r="E7" s="125"/>
      <c r="F7" s="125"/>
      <c r="G7" s="124"/>
      <c r="H7" s="125"/>
      <c r="I7" s="176" t="str">
        <f aca="false">IF(D7="","",D7+90)</f>
        <v/>
      </c>
      <c r="J7" s="177" t="str">
        <f aca="true">IF(I7="","",I7-TODAY())</f>
        <v/>
      </c>
      <c r="K7" s="178"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82"/>
      <c r="M7" s="181"/>
    </row>
    <row r="8" customFormat="false" ht="15" hidden="false" customHeight="true" outlineLevel="0" collapsed="false">
      <c r="A8" s="125"/>
      <c r="B8" s="125"/>
      <c r="C8" s="125"/>
      <c r="D8" s="124"/>
      <c r="E8" s="125"/>
      <c r="F8" s="125"/>
      <c r="G8" s="124"/>
      <c r="H8" s="125"/>
      <c r="I8" s="176" t="str">
        <f aca="false">IF(D8="","",D8+90)</f>
        <v/>
      </c>
      <c r="J8" s="177" t="str">
        <f aca="true">IF(I8="","",I8-TODAY())</f>
        <v/>
      </c>
      <c r="K8" s="178"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82"/>
      <c r="M8" s="181"/>
    </row>
    <row r="9" customFormat="false" ht="15" hidden="false" customHeight="true" outlineLevel="0" collapsed="false">
      <c r="A9" s="125"/>
      <c r="B9" s="125"/>
      <c r="C9" s="125"/>
      <c r="D9" s="124"/>
      <c r="E9" s="125"/>
      <c r="F9" s="125"/>
      <c r="G9" s="124"/>
      <c r="H9" s="125"/>
      <c r="I9" s="176" t="str">
        <f aca="false">IF(D9="","",D9+90)</f>
        <v/>
      </c>
      <c r="J9" s="177" t="str">
        <f aca="true">IF(I9="","",I9-TODAY())</f>
        <v/>
      </c>
      <c r="K9" s="178"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82"/>
      <c r="M9" s="181"/>
    </row>
    <row r="10" customFormat="false" ht="15" hidden="false" customHeight="true" outlineLevel="0" collapsed="false">
      <c r="A10" s="125"/>
      <c r="B10" s="125"/>
      <c r="C10" s="125"/>
      <c r="D10" s="124"/>
      <c r="E10" s="125"/>
      <c r="F10" s="125"/>
      <c r="G10" s="124"/>
      <c r="H10" s="125"/>
      <c r="I10" s="176" t="str">
        <f aca="false">IF(D10="","",D10+90)</f>
        <v/>
      </c>
      <c r="J10" s="177" t="str">
        <f aca="true">IF(I10="","",I10-TODAY())</f>
        <v/>
      </c>
      <c r="K10" s="178"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82"/>
      <c r="M10" s="181"/>
    </row>
    <row r="11" customFormat="false" ht="15" hidden="false" customHeight="true" outlineLevel="0" collapsed="false">
      <c r="A11" s="125"/>
      <c r="B11" s="125"/>
      <c r="C11" s="125"/>
      <c r="D11" s="124"/>
      <c r="E11" s="125"/>
      <c r="F11" s="125"/>
      <c r="G11" s="124"/>
      <c r="H11" s="125"/>
      <c r="I11" s="176" t="str">
        <f aca="false">IF(D11="","",D11+90)</f>
        <v/>
      </c>
      <c r="J11" s="177" t="str">
        <f aca="true">IF(I11="","",I11-TODAY())</f>
        <v/>
      </c>
      <c r="K11" s="178"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82"/>
      <c r="M11" s="181"/>
    </row>
    <row r="12" customFormat="false" ht="15" hidden="false" customHeight="true" outlineLevel="0" collapsed="false">
      <c r="A12" s="125"/>
      <c r="B12" s="125"/>
      <c r="C12" s="125"/>
      <c r="D12" s="124"/>
      <c r="E12" s="125"/>
      <c r="F12" s="125"/>
      <c r="G12" s="124"/>
      <c r="H12" s="125"/>
      <c r="I12" s="176" t="str">
        <f aca="false">IF(D12="","",D12+90)</f>
        <v/>
      </c>
      <c r="J12" s="177" t="str">
        <f aca="true">IF(I12="","",I12-TODAY())</f>
        <v/>
      </c>
      <c r="K12" s="178"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82"/>
      <c r="M12" s="181"/>
    </row>
    <row r="13" customFormat="false" ht="15" hidden="false" customHeight="true" outlineLevel="0" collapsed="false">
      <c r="A13" s="125"/>
      <c r="B13" s="125"/>
      <c r="C13" s="125"/>
      <c r="D13" s="124"/>
      <c r="E13" s="125"/>
      <c r="F13" s="125"/>
      <c r="G13" s="124"/>
      <c r="H13" s="125"/>
      <c r="I13" s="176" t="str">
        <f aca="false">IF(D13="","",D13+90)</f>
        <v/>
      </c>
      <c r="J13" s="177" t="str">
        <f aca="true">IF(I13="","",I13-TODAY())</f>
        <v/>
      </c>
      <c r="K13" s="178"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82"/>
      <c r="M13" s="181"/>
    </row>
    <row r="14" customFormat="false" ht="15" hidden="false" customHeight="true" outlineLevel="0" collapsed="false">
      <c r="A14" s="125"/>
      <c r="B14" s="125"/>
      <c r="C14" s="125"/>
      <c r="D14" s="124"/>
      <c r="E14" s="125"/>
      <c r="F14" s="125"/>
      <c r="G14" s="124"/>
      <c r="H14" s="125"/>
      <c r="I14" s="176" t="str">
        <f aca="false">IF(D14="","",D14+90)</f>
        <v/>
      </c>
      <c r="J14" s="177" t="str">
        <f aca="true">IF(I14="","",I14-TODAY())</f>
        <v/>
      </c>
      <c r="K14" s="178"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82"/>
      <c r="M14" s="181"/>
    </row>
    <row r="15" customFormat="false" ht="15" hidden="false" customHeight="true" outlineLevel="0" collapsed="false">
      <c r="A15" s="125"/>
      <c r="B15" s="125"/>
      <c r="C15" s="125"/>
      <c r="D15" s="124"/>
      <c r="E15" s="125"/>
      <c r="F15" s="125"/>
      <c r="G15" s="124"/>
      <c r="H15" s="125"/>
      <c r="I15" s="176" t="str">
        <f aca="false">IF(D15="","",D15+90)</f>
        <v/>
      </c>
      <c r="J15" s="177" t="str">
        <f aca="true">IF(I15="","",I15-TODAY())</f>
        <v/>
      </c>
      <c r="K15" s="178"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82"/>
      <c r="M15" s="181"/>
    </row>
    <row r="16" customFormat="false" ht="15" hidden="false" customHeight="true" outlineLevel="0" collapsed="false">
      <c r="A16" s="125"/>
      <c r="B16" s="125"/>
      <c r="C16" s="125"/>
      <c r="D16" s="124"/>
      <c r="E16" s="125"/>
      <c r="F16" s="125"/>
      <c r="G16" s="124"/>
      <c r="H16" s="125"/>
      <c r="I16" s="176" t="str">
        <f aca="false">IF(D16="","",D16+90)</f>
        <v/>
      </c>
      <c r="J16" s="177" t="str">
        <f aca="true">IF(I16="","",I16-TODAY())</f>
        <v/>
      </c>
      <c r="K16" s="178"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82"/>
      <c r="M16" s="181"/>
    </row>
    <row r="17" customFormat="false" ht="15" hidden="false" customHeight="true" outlineLevel="0" collapsed="false">
      <c r="A17" s="125"/>
      <c r="B17" s="125"/>
      <c r="C17" s="125"/>
      <c r="D17" s="124"/>
      <c r="E17" s="125"/>
      <c r="F17" s="125"/>
      <c r="G17" s="124"/>
      <c r="H17" s="125"/>
      <c r="I17" s="176" t="str">
        <f aca="false">IF(D17="","",D17+90)</f>
        <v/>
      </c>
      <c r="J17" s="177" t="str">
        <f aca="true">IF(I17="","",I17-TODAY())</f>
        <v/>
      </c>
      <c r="K17" s="178"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82"/>
      <c r="M17" s="181"/>
    </row>
    <row r="18" customFormat="false" ht="15" hidden="false" customHeight="true" outlineLevel="0" collapsed="false">
      <c r="A18" s="125"/>
      <c r="B18" s="125"/>
      <c r="C18" s="125"/>
      <c r="D18" s="124"/>
      <c r="E18" s="125"/>
      <c r="F18" s="125"/>
      <c r="G18" s="124"/>
      <c r="H18" s="125"/>
      <c r="I18" s="176" t="str">
        <f aca="false">IF(D18="","",D18+90)</f>
        <v/>
      </c>
      <c r="J18" s="177" t="str">
        <f aca="true">IF(I18="","",I18-TODAY())</f>
        <v/>
      </c>
      <c r="K18" s="178"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82"/>
      <c r="M18" s="181"/>
    </row>
    <row r="19" customFormat="false" ht="15" hidden="false" customHeight="true" outlineLevel="0" collapsed="false">
      <c r="A19" s="125"/>
      <c r="B19" s="125"/>
      <c r="C19" s="125"/>
      <c r="D19" s="124"/>
      <c r="E19" s="125"/>
      <c r="F19" s="125"/>
      <c r="G19" s="124"/>
      <c r="H19" s="125"/>
      <c r="I19" s="176" t="str">
        <f aca="false">IF(D19="","",D19+90)</f>
        <v/>
      </c>
      <c r="J19" s="177" t="str">
        <f aca="true">IF(I19="","",I19-TODAY())</f>
        <v/>
      </c>
      <c r="K19" s="178"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82"/>
      <c r="M19" s="181"/>
    </row>
    <row r="20" customFormat="false" ht="15" hidden="false" customHeight="true" outlineLevel="0" collapsed="false">
      <c r="A20" s="125"/>
      <c r="B20" s="125"/>
      <c r="C20" s="125"/>
      <c r="D20" s="124"/>
      <c r="E20" s="125"/>
      <c r="F20" s="125"/>
      <c r="G20" s="124"/>
      <c r="H20" s="125"/>
      <c r="I20" s="176" t="str">
        <f aca="false">IF(D20="","",D20+90)</f>
        <v/>
      </c>
      <c r="J20" s="177" t="str">
        <f aca="true">IF(I20="","",I20-TODAY())</f>
        <v/>
      </c>
      <c r="K20" s="178"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82"/>
      <c r="M20" s="181"/>
    </row>
    <row r="21" customFormat="false" ht="15" hidden="false" customHeight="true" outlineLevel="0" collapsed="false">
      <c r="A21" s="125"/>
      <c r="B21" s="125"/>
      <c r="C21" s="125"/>
      <c r="D21" s="124"/>
      <c r="E21" s="125"/>
      <c r="F21" s="125"/>
      <c r="G21" s="124"/>
      <c r="H21" s="125"/>
      <c r="I21" s="176" t="str">
        <f aca="false">IF(D21="","",D21+90)</f>
        <v/>
      </c>
      <c r="J21" s="177" t="str">
        <f aca="true">IF(I21="","",I21-TODAY())</f>
        <v/>
      </c>
      <c r="K21" s="178"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82"/>
      <c r="M21" s="181"/>
    </row>
    <row r="22" customFormat="false" ht="15" hidden="false" customHeight="true" outlineLevel="0" collapsed="false">
      <c r="A22" s="125"/>
      <c r="B22" s="125"/>
      <c r="C22" s="125"/>
      <c r="D22" s="124"/>
      <c r="E22" s="125"/>
      <c r="F22" s="125"/>
      <c r="G22" s="124"/>
      <c r="H22" s="125"/>
      <c r="I22" s="176" t="str">
        <f aca="false">IF(D22="","",D22+90)</f>
        <v/>
      </c>
      <c r="J22" s="177" t="str">
        <f aca="true">IF(I22="","",I22-TODAY())</f>
        <v/>
      </c>
      <c r="K22" s="178"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82"/>
      <c r="M22" s="181"/>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9" activePane="bottomRight" state="frozen"/>
      <selection pane="topLeft" activeCell="A1" activeCellId="0" sqref="A1"/>
      <selection pane="topRight" activeCell="D1" activeCellId="0" sqref="D1"/>
      <selection pane="bottomLeft" activeCell="A9" activeCellId="0" sqref="A9"/>
      <selection pane="bottomRight" activeCell="V35" activeCellId="0" sqref="V35"/>
    </sheetView>
  </sheetViews>
  <sheetFormatPr defaultColWidth="8.66796875" defaultRowHeight="15" customHeight="false" zeroHeight="false" outlineLevelRow="0" outlineLevelCol="0"/>
  <cols>
    <col collapsed="false" customWidth="true" hidden="false" outlineLevel="0" max="1" min="1" style="173" width="6.67"/>
    <col collapsed="false" customWidth="true" hidden="false" outlineLevel="0" max="2" min="2" style="1" width="14"/>
    <col collapsed="false" customWidth="true" hidden="false" outlineLevel="0" max="4" min="3" style="1" width="8.16"/>
    <col collapsed="false" customWidth="true" hidden="false" outlineLevel="0" max="5" min="5" style="1" width="7.5"/>
    <col collapsed="false" customWidth="true" hidden="false" outlineLevel="0" max="6" min="6" style="1" width="8"/>
    <col collapsed="false" customWidth="true" hidden="false" outlineLevel="0" max="7" min="7" style="1" width="7.83"/>
    <col collapsed="false" customWidth="true" hidden="false" outlineLevel="0" max="8" min="8" style="1" width="6.67"/>
    <col collapsed="false" customWidth="true" hidden="false" outlineLevel="0" max="9" min="9" style="1" width="9.52"/>
    <col collapsed="false" customWidth="true" hidden="false" outlineLevel="0" max="10" min="10" style="1" width="8.16"/>
    <col collapsed="false" customWidth="true" hidden="false" outlineLevel="0" max="11" min="11" style="1" width="7.83"/>
    <col collapsed="false" customWidth="true" hidden="false" outlineLevel="0" max="12" min="12" style="1" width="8.16"/>
    <col collapsed="false" customWidth="true" hidden="false" outlineLevel="0" max="13" min="13" style="1" width="6.33"/>
    <col collapsed="false" customWidth="true" hidden="false" outlineLevel="0" max="14" min="14" style="1" width="7.5"/>
    <col collapsed="false" customWidth="true" hidden="false" outlineLevel="0" max="15" min="15" style="1" width="7.67"/>
    <col collapsed="false" customWidth="true" hidden="false" outlineLevel="0" max="16" min="16" style="1" width="7"/>
    <col collapsed="false" customWidth="true" hidden="false" outlineLevel="0" max="17" min="17" style="1" width="8"/>
    <col collapsed="false" customWidth="true" hidden="false" outlineLevel="0" max="18" min="18" style="1" width="7"/>
    <col collapsed="false" customWidth="true" hidden="false" outlineLevel="0" max="19" min="19" style="1" width="6.67"/>
    <col collapsed="false" customWidth="true" hidden="false" outlineLevel="0" max="20" min="20" style="1" width="5.83"/>
    <col collapsed="false" customWidth="true" hidden="false" outlineLevel="0" max="21" min="21" style="1" width="7.67"/>
  </cols>
  <sheetData>
    <row r="1" customFormat="false" ht="25.5" hidden="false" customHeight="true" outlineLevel="0" collapsed="false">
      <c r="A1" s="174" t="s">
        <v>501</v>
      </c>
      <c r="B1" s="174"/>
      <c r="C1" s="174"/>
      <c r="D1" s="174"/>
      <c r="E1" s="174"/>
      <c r="F1" s="174"/>
      <c r="G1" s="174"/>
      <c r="H1" s="174"/>
      <c r="I1" s="174"/>
      <c r="J1" s="174"/>
      <c r="K1" s="174"/>
      <c r="L1" s="174"/>
      <c r="M1" s="174"/>
      <c r="N1" s="174"/>
      <c r="O1" s="174"/>
      <c r="P1" s="174"/>
      <c r="Q1" s="174"/>
      <c r="R1" s="174"/>
      <c r="S1" s="174"/>
      <c r="T1" s="174"/>
    </row>
    <row r="2" customFormat="false" ht="15.75" hidden="false" customHeight="true" outlineLevel="0" collapsed="false">
      <c r="D2" s="183" t="s">
        <v>502</v>
      </c>
      <c r="E2" s="183"/>
      <c r="F2" s="183"/>
      <c r="G2" s="183"/>
      <c r="H2" s="183"/>
      <c r="I2" s="184" t="s">
        <v>503</v>
      </c>
      <c r="J2" s="184"/>
      <c r="K2" s="184"/>
      <c r="L2" s="184"/>
      <c r="M2" s="184"/>
      <c r="N2" s="185" t="s">
        <v>504</v>
      </c>
      <c r="O2" s="185"/>
      <c r="P2" s="185"/>
      <c r="Q2" s="185"/>
      <c r="R2" s="185"/>
      <c r="S2" s="186" t="s">
        <v>505</v>
      </c>
      <c r="T2" s="186"/>
      <c r="U2" s="186"/>
    </row>
    <row r="3" customFormat="false" ht="42.75" hidden="false" customHeight="true" outlineLevel="0" collapsed="false">
      <c r="A3" s="121" t="s">
        <v>82</v>
      </c>
      <c r="B3" s="121" t="s">
        <v>296</v>
      </c>
      <c r="C3" s="121" t="s">
        <v>506</v>
      </c>
      <c r="D3" s="121" t="s">
        <v>507</v>
      </c>
      <c r="E3" s="121" t="s">
        <v>508</v>
      </c>
      <c r="F3" s="121" t="s">
        <v>509</v>
      </c>
      <c r="G3" s="121" t="s">
        <v>510</v>
      </c>
      <c r="H3" s="121" t="s">
        <v>511</v>
      </c>
      <c r="I3" s="121" t="s">
        <v>507</v>
      </c>
      <c r="J3" s="121" t="s">
        <v>508</v>
      </c>
      <c r="K3" s="121" t="s">
        <v>509</v>
      </c>
      <c r="L3" s="121" t="s">
        <v>510</v>
      </c>
      <c r="M3" s="121" t="s">
        <v>511</v>
      </c>
      <c r="N3" s="121" t="s">
        <v>507</v>
      </c>
      <c r="O3" s="121" t="s">
        <v>508</v>
      </c>
      <c r="P3" s="121" t="s">
        <v>509</v>
      </c>
      <c r="Q3" s="121" t="s">
        <v>510</v>
      </c>
      <c r="R3" s="121" t="s">
        <v>511</v>
      </c>
      <c r="S3" s="121" t="s">
        <v>512</v>
      </c>
      <c r="T3" s="121" t="s">
        <v>513</v>
      </c>
      <c r="U3" s="121" t="s">
        <v>514</v>
      </c>
    </row>
    <row r="4" customFormat="false" ht="15" hidden="false" customHeight="true" outlineLevel="0" collapsed="false">
      <c r="A4" s="63"/>
      <c r="B4" s="64"/>
      <c r="C4" s="68"/>
      <c r="D4" s="68"/>
      <c r="E4" s="187"/>
      <c r="F4" s="68"/>
      <c r="G4" s="69" t="str">
        <f aca="false">IF(OR(C4="",D4="",E4="",F4=""),"",IFERROR(((D4*E4+F4)/C4)^(1/5)-1,"n/a"))</f>
        <v/>
      </c>
      <c r="H4" s="64"/>
      <c r="I4" s="68"/>
      <c r="J4" s="187"/>
      <c r="K4" s="68"/>
      <c r="L4" s="69" t="str">
        <f aca="false">IF(OR(C4="",I4="",J4="",K4=""),"",IFERROR(((I4*J4+K4)/C4)^(1/5)-1,"n/a"))</f>
        <v/>
      </c>
      <c r="M4" s="64"/>
      <c r="N4" s="68"/>
      <c r="O4" s="187"/>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7"/>
      <c r="F5" s="68"/>
      <c r="G5" s="69" t="str">
        <f aca="false">IF(OR(C5="",D5="",E5="",F5=""),"",IFERROR(((D5*E5+F5)/C5)^(1/5)-1,"n/a"))</f>
        <v/>
      </c>
      <c r="H5" s="64"/>
      <c r="I5" s="68"/>
      <c r="J5" s="187"/>
      <c r="K5" s="68"/>
      <c r="L5" s="69" t="str">
        <f aca="false">IF(OR(C5="",I5="",J5="",K5=""),"",IFERROR(((I5*J5+K5)/C5)^(1/5)-1,"n/a"))</f>
        <v/>
      </c>
      <c r="M5" s="64"/>
      <c r="N5" s="68"/>
      <c r="O5" s="187"/>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7"/>
      <c r="F6" s="68"/>
      <c r="G6" s="69" t="str">
        <f aca="false">IF(OR(C6="",D6="",E6="",F6=""),"",IFERROR(((D6*E6+F6)/C6)^(1/5)-1,"n/a"))</f>
        <v/>
      </c>
      <c r="H6" s="64"/>
      <c r="I6" s="68"/>
      <c r="J6" s="187"/>
      <c r="K6" s="68"/>
      <c r="L6" s="69" t="str">
        <f aca="false">IF(OR(C6="",I6="",J6="",K6=""),"",IFERROR(((I6*J6+K6)/C6)^(1/5)-1,"n/a"))</f>
        <v/>
      </c>
      <c r="M6" s="64"/>
      <c r="N6" s="68"/>
      <c r="O6" s="187"/>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7"/>
      <c r="F7" s="68"/>
      <c r="G7" s="69" t="str">
        <f aca="false">IF(OR(C7="",D7="",E7="",F7=""),"",IFERROR(((D7*E7+F7)/C7)^(1/5)-1,"n/a"))</f>
        <v/>
      </c>
      <c r="H7" s="64"/>
      <c r="I7" s="68"/>
      <c r="J7" s="187"/>
      <c r="K7" s="68"/>
      <c r="L7" s="69" t="str">
        <f aca="false">IF(OR(C7="",I7="",J7="",K7=""),"",IFERROR(((I7*J7+K7)/C7)^(1/5)-1,"n/a"))</f>
        <v/>
      </c>
      <c r="M7" s="64"/>
      <c r="N7" s="68"/>
      <c r="O7" s="187"/>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7"/>
      <c r="F8" s="68"/>
      <c r="G8" s="69" t="str">
        <f aca="false">IF(OR(C8="",D8="",E8="",F8=""),"",IFERROR(((D8*E8+F8)/C8)^(1/5)-1,"n/a"))</f>
        <v/>
      </c>
      <c r="H8" s="64"/>
      <c r="I8" s="68"/>
      <c r="J8" s="187"/>
      <c r="K8" s="68"/>
      <c r="L8" s="69" t="str">
        <f aca="false">IF(OR(C8="",I8="",J8="",K8=""),"",IFERROR(((I8*J8+K8)/C8)^(1/5)-1,"n/a"))</f>
        <v/>
      </c>
      <c r="M8" s="64"/>
      <c r="N8" s="68"/>
      <c r="O8" s="187"/>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7"/>
      <c r="F9" s="68"/>
      <c r="G9" s="69" t="str">
        <f aca="false">IF(OR(C9="",D9="",E9="",F9=""),"",IFERROR(((D9*E9+F9)/C9)^(1/5)-1,"n/a"))</f>
        <v/>
      </c>
      <c r="H9" s="64"/>
      <c r="I9" s="68"/>
      <c r="J9" s="187"/>
      <c r="K9" s="68"/>
      <c r="L9" s="69" t="str">
        <f aca="false">IF(OR(C9="",I9="",J9="",K9=""),"",IFERROR(((I9*J9+K9)/C9)^(1/5)-1,"n/a"))</f>
        <v/>
      </c>
      <c r="M9" s="64"/>
      <c r="N9" s="68"/>
      <c r="O9" s="187"/>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7"/>
      <c r="F10" s="68"/>
      <c r="G10" s="69" t="str">
        <f aca="false">IF(OR(C10="",D10="",E10="",F10=""),"",IFERROR(((D10*E10+F10)/C10)^(1/5)-1,"n/a"))</f>
        <v/>
      </c>
      <c r="H10" s="64"/>
      <c r="I10" s="68"/>
      <c r="J10" s="187"/>
      <c r="K10" s="68"/>
      <c r="L10" s="69" t="str">
        <f aca="false">IF(OR(C10="",I10="",J10="",K10=""),"",IFERROR(((I10*J10+K10)/C10)^(1/5)-1,"n/a"))</f>
        <v/>
      </c>
      <c r="M10" s="64"/>
      <c r="N10" s="68"/>
      <c r="O10" s="187"/>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7"/>
      <c r="F11" s="68"/>
      <c r="G11" s="69" t="str">
        <f aca="false">IF(OR(C11="",D11="",E11="",F11=""),"",IFERROR(((D11*E11+F11)/C11)^(1/5)-1,"n/a"))</f>
        <v/>
      </c>
      <c r="H11" s="64"/>
      <c r="I11" s="68"/>
      <c r="J11" s="187"/>
      <c r="K11" s="68"/>
      <c r="L11" s="69" t="str">
        <f aca="false">IF(OR(C11="",I11="",J11="",K11=""),"",IFERROR(((I11*J11+K11)/C11)^(1/5)-1,"n/a"))</f>
        <v/>
      </c>
      <c r="M11" s="64"/>
      <c r="N11" s="68"/>
      <c r="O11" s="187"/>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7"/>
      <c r="F12" s="68"/>
      <c r="G12" s="69" t="str">
        <f aca="false">IF(OR(C12="",D12="",E12="",F12=""),"",IFERROR(((D12*E12+F12)/C12)^(1/5)-1,"n/a"))</f>
        <v/>
      </c>
      <c r="H12" s="64"/>
      <c r="I12" s="68"/>
      <c r="J12" s="187"/>
      <c r="K12" s="68"/>
      <c r="L12" s="69" t="str">
        <f aca="false">IF(OR(C12="",I12="",J12="",K12=""),"",IFERROR(((I12*J12+K12)/C12)^(1/5)-1,"n/a"))</f>
        <v/>
      </c>
      <c r="M12" s="64"/>
      <c r="N12" s="68"/>
      <c r="O12" s="187"/>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7"/>
      <c r="F13" s="68"/>
      <c r="G13" s="69" t="str">
        <f aca="false">IF(OR(C13="",D13="",E13="",F13=""),"",IFERROR(((D13*E13+F13)/C13)^(1/5)-1,"n/a"))</f>
        <v/>
      </c>
      <c r="H13" s="64"/>
      <c r="I13" s="68"/>
      <c r="J13" s="187"/>
      <c r="K13" s="68"/>
      <c r="L13" s="69" t="str">
        <f aca="false">IF(OR(C13="",I13="",J13="",K13=""),"",IFERROR(((I13*J13+K13)/C13)^(1/5)-1,"n/a"))</f>
        <v/>
      </c>
      <c r="M13" s="64"/>
      <c r="N13" s="68"/>
      <c r="O13" s="187"/>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7"/>
      <c r="F14" s="68"/>
      <c r="G14" s="69" t="str">
        <f aca="false">IF(OR(C14="",D14="",E14="",F14=""),"",IFERROR(((D14*E14+F14)/C14)^(1/5)-1,"n/a"))</f>
        <v/>
      </c>
      <c r="H14" s="64"/>
      <c r="I14" s="68"/>
      <c r="J14" s="187"/>
      <c r="K14" s="68"/>
      <c r="L14" s="69" t="str">
        <f aca="false">IF(OR(C14="",I14="",J14="",K14=""),"",IFERROR(((I14*J14+K14)/C14)^(1/5)-1,"n/a"))</f>
        <v/>
      </c>
      <c r="M14" s="64"/>
      <c r="N14" s="68"/>
      <c r="O14" s="187"/>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7"/>
      <c r="F15" s="68"/>
      <c r="G15" s="69" t="str">
        <f aca="false">IF(OR(C15="",D15="",E15="",F15=""),"",IFERROR(((D15*E15+F15)/C15)^(1/5)-1,"n/a"))</f>
        <v/>
      </c>
      <c r="H15" s="64"/>
      <c r="I15" s="68"/>
      <c r="J15" s="187"/>
      <c r="K15" s="68"/>
      <c r="L15" s="69" t="str">
        <f aca="false">IF(OR(C15="",I15="",J15="",K15=""),"",IFERROR(((I15*J15+K15)/C15)^(1/5)-1,"n/a"))</f>
        <v/>
      </c>
      <c r="M15" s="64"/>
      <c r="N15" s="68"/>
      <c r="O15" s="187"/>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7"/>
      <c r="F16" s="68"/>
      <c r="G16" s="69" t="str">
        <f aca="false">IF(OR(C16="",D16="",E16="",F16=""),"",IFERROR(((D16*E16+F16)/C16)^(1/5)-1,"n/a"))</f>
        <v/>
      </c>
      <c r="H16" s="64"/>
      <c r="I16" s="68"/>
      <c r="J16" s="187"/>
      <c r="K16" s="68"/>
      <c r="L16" s="69" t="str">
        <f aca="false">IF(OR(C16="",I16="",J16="",K16=""),"",IFERROR(((I16*J16+K16)/C16)^(1/5)-1,"n/a"))</f>
        <v/>
      </c>
      <c r="M16" s="64"/>
      <c r="N16" s="68"/>
      <c r="O16" s="187"/>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7"/>
      <c r="F17" s="68"/>
      <c r="G17" s="69" t="str">
        <f aca="false">IF(OR(C17="",D17="",E17="",F17=""),"",IFERROR(((D17*E17+F17)/C17)^(1/5)-1,"n/a"))</f>
        <v/>
      </c>
      <c r="H17" s="64"/>
      <c r="I17" s="68"/>
      <c r="J17" s="187"/>
      <c r="K17" s="68"/>
      <c r="L17" s="69" t="str">
        <f aca="false">IF(OR(C17="",I17="",J17="",K17=""),"",IFERROR(((I17*J17+K17)/C17)^(1/5)-1,"n/a"))</f>
        <v/>
      </c>
      <c r="M17" s="64"/>
      <c r="N17" s="68"/>
      <c r="O17" s="187"/>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7"/>
      <c r="F18" s="68"/>
      <c r="G18" s="69" t="str">
        <f aca="false">IF(OR(C18="",D18="",E18="",F18=""),"",IFERROR(((D18*E18+F18)/C18)^(1/5)-1,"n/a"))</f>
        <v/>
      </c>
      <c r="H18" s="64"/>
      <c r="I18" s="68"/>
      <c r="J18" s="187"/>
      <c r="K18" s="68"/>
      <c r="L18" s="69" t="str">
        <f aca="false">IF(OR(C18="",I18="",J18="",K18=""),"",IFERROR(((I18*J18+K18)/C18)^(1/5)-1,"n/a"))</f>
        <v/>
      </c>
      <c r="M18" s="64"/>
      <c r="N18" s="68"/>
      <c r="O18" s="187"/>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7"/>
      <c r="F19" s="68"/>
      <c r="G19" s="69" t="str">
        <f aca="false">IF(OR(C19="",D19="",E19="",F19=""),"",IFERROR(((D19*E19+F19)/C19)^(1/5)-1,"n/a"))</f>
        <v/>
      </c>
      <c r="H19" s="64"/>
      <c r="I19" s="68"/>
      <c r="J19" s="187"/>
      <c r="K19" s="68"/>
      <c r="L19" s="69" t="str">
        <f aca="false">IF(OR(C19="",I19="",J19="",K19=""),"",IFERROR(((I19*J19+K19)/C19)^(1/5)-1,"n/a"))</f>
        <v/>
      </c>
      <c r="M19" s="64"/>
      <c r="N19" s="68"/>
      <c r="O19" s="187"/>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244</v>
      </c>
      <c r="B20" s="71" t="s">
        <v>515</v>
      </c>
      <c r="C20" s="68" t="n">
        <v>967.17</v>
      </c>
      <c r="D20" s="68" t="n">
        <v>23.11</v>
      </c>
      <c r="E20" s="187" t="n">
        <v>61.48</v>
      </c>
      <c r="F20" s="68" t="n">
        <v>32</v>
      </c>
      <c r="G20" s="69" t="n">
        <f aca="false">IF(OR(C20="",D20="",E20="",F20=""),"",IFERROR(((D20*E20+F20)/C20)^(1/5)-1,"n/a"))</f>
        <v>0.0847777537329333</v>
      </c>
      <c r="H20" s="64" t="s">
        <v>516</v>
      </c>
      <c r="I20" s="68" t="n">
        <v>19.14</v>
      </c>
      <c r="J20" s="187" t="n">
        <v>50</v>
      </c>
      <c r="K20" s="68" t="n">
        <v>28</v>
      </c>
      <c r="L20" s="69" t="n">
        <f aca="false">IF(OR(C20="",I20="",J20="",K20=""),"",IFERROR(((I20*J20+K20)/C20)^(1/5)-1,"n/a"))</f>
        <v>0.00366015400817998</v>
      </c>
      <c r="M20" s="64" t="s">
        <v>516</v>
      </c>
      <c r="N20" s="68" t="n">
        <v>26.51</v>
      </c>
      <c r="O20" s="187" t="n">
        <v>61.48</v>
      </c>
      <c r="P20" s="68" t="n">
        <v>35</v>
      </c>
      <c r="Q20" s="69" t="n">
        <f aca="false">IF(OR(C20="",N20="",O20="",P20=""),"",IFERROR(((N20*O20+P20)/C20)^(1/5)-1,"n/a"))</f>
        <v>0.114740206784953</v>
      </c>
      <c r="R20" s="64" t="s">
        <v>517</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7" t="n">
        <v>34.36</v>
      </c>
      <c r="F21" s="68" t="n">
        <v>16</v>
      </c>
      <c r="G21" s="69" t="n">
        <f aca="false">IF(OR(C21="",D21="",E21="",F21=""),"",IFERROR(((D21*E21+F21)/C21)^(1/5)-1,"n/a"))</f>
        <v>0.105673995986338</v>
      </c>
      <c r="H21" s="64" t="s">
        <v>517</v>
      </c>
      <c r="I21" s="68" t="n">
        <v>14.14</v>
      </c>
      <c r="J21" s="187" t="n">
        <v>28</v>
      </c>
      <c r="K21" s="68" t="n">
        <v>14</v>
      </c>
      <c r="L21" s="69" t="n">
        <f aca="false">IF(OR(C21="",I21="",J21="",K21=""),"",IFERROR(((I21*J21+K21)/C21)^(1/5)-1,"n/a"))</f>
        <v>0.0149373117952127</v>
      </c>
      <c r="M21" s="64" t="s">
        <v>516</v>
      </c>
      <c r="N21" s="68" t="n">
        <v>21.33</v>
      </c>
      <c r="O21" s="187" t="n">
        <v>38</v>
      </c>
      <c r="P21" s="68" t="n">
        <v>18</v>
      </c>
      <c r="Q21" s="69" t="n">
        <f aca="false">IF(OR(C21="",N21="",O21="",P21=""),"",IFERROR(((N21*O21+P21)/C21)^(1/5)-1,"n/a"))</f>
        <v>0.168320757920451</v>
      </c>
      <c r="R21" s="64" t="s">
        <v>516</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7"/>
      <c r="F22" s="68"/>
      <c r="G22" s="69" t="str">
        <f aca="false">IF(OR(C22="",D22="",E22="",F22=""),"",IFERROR(((D22*E22+F22)/C22)^(1/5)-1,"n/a"))</f>
        <v/>
      </c>
      <c r="H22" s="64"/>
      <c r="I22" s="68"/>
      <c r="J22" s="187"/>
      <c r="K22" s="68"/>
      <c r="L22" s="69" t="str">
        <f aca="false">IF(OR(C22="",I22="",J22="",K22=""),"",IFERROR(((I22*J22+K22)/C22)^(1/5)-1,"n/a"))</f>
        <v/>
      </c>
      <c r="M22" s="64"/>
      <c r="N22" s="68"/>
      <c r="O22" s="187"/>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7"/>
      <c r="F23" s="68"/>
      <c r="G23" s="69" t="str">
        <f aca="false">IF(OR(C23="",D23="",E23="",F23=""),"",IFERROR(((D23*E23+F23)/C23)^(1/5)-1,"n/a"))</f>
        <v/>
      </c>
      <c r="H23" s="64"/>
      <c r="I23" s="68"/>
      <c r="J23" s="187"/>
      <c r="K23" s="68"/>
      <c r="L23" s="69" t="str">
        <f aca="false">IF(OR(C23="",I23="",J23="",K23=""),"",IFERROR(((I23*J23+K23)/C23)^(1/5)-1,"n/a"))</f>
        <v/>
      </c>
      <c r="M23" s="64"/>
      <c r="N23" s="68"/>
      <c r="O23" s="187"/>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88"/>
      <c r="B24" s="189"/>
      <c r="C24" s="190"/>
      <c r="D24" s="190"/>
      <c r="E24" s="191"/>
      <c r="F24" s="190"/>
      <c r="G24" s="192" t="str">
        <f aca="false">IF(OR(C24="",D24="",E24="",F24=""),"",IFERROR(((D24*E24+F24)/C24)^(1/5)-1,"n/a"))</f>
        <v/>
      </c>
      <c r="H24" s="193"/>
      <c r="I24" s="190"/>
      <c r="J24" s="191"/>
      <c r="K24" s="190"/>
      <c r="L24" s="192" t="str">
        <f aca="false">IF(OR(C24="",I24="",J24="",K24=""),"",IFERROR(((I24*J24+K24)/C24)^(1/5)-1,"n/a"))</f>
        <v/>
      </c>
      <c r="M24" s="193"/>
      <c r="N24" s="190"/>
      <c r="O24" s="191"/>
      <c r="P24" s="190"/>
      <c r="Q24" s="192" t="str">
        <f aca="false">IF(OR(C24="",N24="",O24="",P24=""),"",IFERROR(((N24*O24+P24)/C24)^(1/5)-1,"n/a"))</f>
        <v/>
      </c>
      <c r="R24" s="194"/>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88"/>
      <c r="B25" s="189"/>
      <c r="C25" s="190"/>
      <c r="D25" s="190"/>
      <c r="E25" s="191"/>
      <c r="F25" s="190"/>
      <c r="G25" s="192" t="str">
        <f aca="false">IF(OR(C25="",D25="",E25="",F25=""),"",IFERROR(((D25*E25+F25)/C25)^(1/5)-1,"n/a"))</f>
        <v/>
      </c>
      <c r="H25" s="193"/>
      <c r="I25" s="190"/>
      <c r="J25" s="191"/>
      <c r="K25" s="190"/>
      <c r="L25" s="192" t="str">
        <f aca="false">IF(OR(C25="",I25="",J25="",K25=""),"",IFERROR(((I25*J25+K25)/C25)^(1/5)-1,"n/a"))</f>
        <v/>
      </c>
      <c r="M25" s="193"/>
      <c r="N25" s="190"/>
      <c r="O25" s="191"/>
      <c r="P25" s="190"/>
      <c r="Q25" s="192" t="str">
        <f aca="false">IF(OR(C25="",N25="",O25="",P25=""),"",IFERROR(((N25*O25+P25)/C25)^(1/5)-1,"n/a"))</f>
        <v/>
      </c>
      <c r="R25" s="194"/>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88"/>
      <c r="B26" s="189"/>
      <c r="C26" s="190"/>
      <c r="D26" s="190"/>
      <c r="E26" s="191"/>
      <c r="F26" s="190"/>
      <c r="G26" s="192" t="str">
        <f aca="false">IF(OR(C26="",D26="",E26="",F26=""),"",IFERROR(((D26*E26+F26)/C26)^(1/5)-1,"n/a"))</f>
        <v/>
      </c>
      <c r="H26" s="193"/>
      <c r="I26" s="190"/>
      <c r="J26" s="191"/>
      <c r="K26" s="190"/>
      <c r="L26" s="192" t="str">
        <f aca="false">IF(OR(C26="",I26="",J26="",K26=""),"",IFERROR(((I26*J26+K26)/C26)^(1/5)-1,"n/a"))</f>
        <v/>
      </c>
      <c r="M26" s="193"/>
      <c r="N26" s="190"/>
      <c r="O26" s="191"/>
      <c r="P26" s="190"/>
      <c r="Q26" s="192" t="str">
        <f aca="false">IF(OR(C26="",N26="",O26="",P26=""),"",IFERROR(((N26*O26+P26)/C26)^(1/5)-1,"n/a"))</f>
        <v/>
      </c>
      <c r="R26" s="194"/>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88"/>
      <c r="B27" s="189"/>
      <c r="C27" s="190"/>
      <c r="D27" s="190"/>
      <c r="E27" s="191"/>
      <c r="F27" s="190"/>
      <c r="G27" s="192" t="str">
        <f aca="false">IF(OR(C27="",D27="",E27="",F27=""),"",IFERROR(((D27*E27+F27)/C27)^(1/5)-1,"n/a"))</f>
        <v/>
      </c>
      <c r="H27" s="193"/>
      <c r="I27" s="190"/>
      <c r="J27" s="191"/>
      <c r="K27" s="190"/>
      <c r="L27" s="192" t="str">
        <f aca="false">IF(OR(C27="",I27="",J27="",K27=""),"",IFERROR(((I27*J27+K27)/C27)^(1/5)-1,"n/a"))</f>
        <v/>
      </c>
      <c r="M27" s="193"/>
      <c r="N27" s="190"/>
      <c r="O27" s="191"/>
      <c r="P27" s="190"/>
      <c r="Q27" s="192" t="str">
        <f aca="false">IF(OR(C27="",N27="",O27="",P27=""),"",IFERROR(((N27*O27+P27)/C27)^(1/5)-1,"n/a"))</f>
        <v/>
      </c>
      <c r="R27" s="194"/>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88"/>
      <c r="B28" s="189"/>
      <c r="C28" s="190"/>
      <c r="D28" s="190"/>
      <c r="E28" s="191"/>
      <c r="F28" s="190"/>
      <c r="G28" s="192" t="str">
        <f aca="false">IF(OR(C28="",D28="",E28="",F28=""),"",IFERROR(((D28*E28+F28)/C28)^(1/5)-1,"n/a"))</f>
        <v/>
      </c>
      <c r="H28" s="193"/>
      <c r="I28" s="190"/>
      <c r="J28" s="191"/>
      <c r="K28" s="190"/>
      <c r="L28" s="192" t="str">
        <f aca="false">IF(OR(C28="",I28="",J28="",K28=""),"",IFERROR(((I28*J28+K28)/C28)^(1/5)-1,"n/a"))</f>
        <v/>
      </c>
      <c r="M28" s="193"/>
      <c r="N28" s="190"/>
      <c r="O28" s="191"/>
      <c r="P28" s="190"/>
      <c r="Q28" s="192" t="str">
        <f aca="false">IF(OR(C28="",N28="",O28="",P28=""),"",IFERROR(((N28*O28+P28)/C28)^(1/5)-1,"n/a"))</f>
        <v/>
      </c>
      <c r="R28" s="194"/>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88"/>
      <c r="B29" s="189"/>
      <c r="C29" s="190"/>
      <c r="D29" s="190"/>
      <c r="E29" s="191"/>
      <c r="F29" s="190"/>
      <c r="G29" s="192" t="str">
        <f aca="false">IF(OR(C29="",D29="",E29="",F29=""),"",IFERROR(((D29*E29+F29)/C29)^(1/5)-1,"n/a"))</f>
        <v/>
      </c>
      <c r="H29" s="193"/>
      <c r="I29" s="190"/>
      <c r="J29" s="191"/>
      <c r="K29" s="190"/>
      <c r="L29" s="192" t="str">
        <f aca="false">IF(OR(C29="",I29="",J29="",K29=""),"",IFERROR(((I29*J29+K29)/C29)^(1/5)-1,"n/a"))</f>
        <v/>
      </c>
      <c r="M29" s="193"/>
      <c r="N29" s="190"/>
      <c r="O29" s="191"/>
      <c r="P29" s="190"/>
      <c r="Q29" s="192" t="str">
        <f aca="false">IF(OR(C29="",N29="",O29="",P29=""),"",IFERROR(((N29*O29+P29)/C29)^(1/5)-1,"n/a"))</f>
        <v/>
      </c>
      <c r="R29" s="194"/>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88"/>
      <c r="B30" s="189"/>
      <c r="C30" s="190"/>
      <c r="D30" s="190"/>
      <c r="E30" s="191"/>
      <c r="F30" s="190"/>
      <c r="G30" s="192" t="str">
        <f aca="false">IF(OR(C30="",D30="",E30="",F30=""),"",IFERROR(((D30*E30+F30)/C30)^(1/5)-1,"n/a"))</f>
        <v/>
      </c>
      <c r="H30" s="193"/>
      <c r="I30" s="190"/>
      <c r="J30" s="191"/>
      <c r="K30" s="190"/>
      <c r="L30" s="192" t="str">
        <f aca="false">IF(OR(C30="",I30="",J30="",K30=""),"",IFERROR(((I30*J30+K30)/C30)^(1/5)-1,"n/a"))</f>
        <v/>
      </c>
      <c r="M30" s="193"/>
      <c r="N30" s="190"/>
      <c r="O30" s="191"/>
      <c r="P30" s="190"/>
      <c r="Q30" s="192" t="str">
        <f aca="false">IF(OR(C30="",N30="",O30="",P30=""),"",IFERROR(((N30*O30+P30)/C30)^(1/5)-1,"n/a"))</f>
        <v/>
      </c>
      <c r="R30" s="194"/>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88"/>
      <c r="B31" s="189"/>
      <c r="C31" s="190"/>
      <c r="D31" s="190"/>
      <c r="E31" s="191"/>
      <c r="F31" s="190"/>
      <c r="G31" s="192" t="str">
        <f aca="false">IF(OR(C31="",D31="",E31="",F31=""),"",IFERROR(((D31*E31+F31)/C31)^(1/5)-1,"n/a"))</f>
        <v/>
      </c>
      <c r="H31" s="193"/>
      <c r="I31" s="190"/>
      <c r="J31" s="191"/>
      <c r="K31" s="190"/>
      <c r="L31" s="192" t="str">
        <f aca="false">IF(OR(C31="",I31="",J31="",K31=""),"",IFERROR(((I31*J31+K31)/C31)^(1/5)-1,"n/a"))</f>
        <v/>
      </c>
      <c r="M31" s="193"/>
      <c r="N31" s="190"/>
      <c r="O31" s="191"/>
      <c r="P31" s="190"/>
      <c r="Q31" s="192" t="str">
        <f aca="false">IF(OR(C31="",N31="",O31="",P31=""),"",IFERROR(((N31*O31+P31)/C31)^(1/5)-1,"n/a"))</f>
        <v/>
      </c>
      <c r="R31" s="194"/>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88"/>
      <c r="B32" s="189"/>
      <c r="C32" s="190"/>
      <c r="D32" s="190"/>
      <c r="E32" s="191"/>
      <c r="F32" s="190"/>
      <c r="G32" s="192" t="str">
        <f aca="false">IF(OR(C32="",D32="",E32="",F32=""),"",IFERROR(((D32*E32+F32)/C32)^(1/5)-1,"n/a"))</f>
        <v/>
      </c>
      <c r="H32" s="193"/>
      <c r="I32" s="190"/>
      <c r="J32" s="191"/>
      <c r="K32" s="190"/>
      <c r="L32" s="192" t="str">
        <f aca="false">IF(OR(C32="",I32="",J32="",K32=""),"",IFERROR(((I32*J32+K32)/C32)^(1/5)-1,"n/a"))</f>
        <v/>
      </c>
      <c r="M32" s="193"/>
      <c r="N32" s="190"/>
      <c r="O32" s="191"/>
      <c r="P32" s="190"/>
      <c r="Q32" s="192" t="str">
        <f aca="false">IF(OR(C32="",N32="",O32="",P32=""),"",IFERROR(((N32*O32+P32)/C32)^(1/5)-1,"n/a"))</f>
        <v/>
      </c>
      <c r="R32" s="194"/>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88"/>
      <c r="B33" s="189"/>
      <c r="C33" s="190"/>
      <c r="D33" s="190"/>
      <c r="E33" s="191"/>
      <c r="F33" s="190"/>
      <c r="G33" s="192" t="str">
        <f aca="false">IF(OR(C33="",D33="",E33="",F33=""),"",IFERROR(((D33*E33+F33)/C33)^(1/5)-1,"n/a"))</f>
        <v/>
      </c>
      <c r="H33" s="193"/>
      <c r="I33" s="190"/>
      <c r="J33" s="191"/>
      <c r="K33" s="190"/>
      <c r="L33" s="192" t="str">
        <f aca="false">IF(OR(C33="",I33="",J33="",K33=""),"",IFERROR(((I33*J33+K33)/C33)^(1/5)-1,"n/a"))</f>
        <v/>
      </c>
      <c r="M33" s="193"/>
      <c r="N33" s="190"/>
      <c r="O33" s="191"/>
      <c r="P33" s="190"/>
      <c r="Q33" s="192" t="str">
        <f aca="false">IF(OR(C33="",N33="",O33="",P33=""),"",IFERROR(((N33*O33+P33)/C33)^(1/5)-1,"n/a"))</f>
        <v/>
      </c>
      <c r="R33" s="194"/>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88"/>
      <c r="B34" s="189"/>
      <c r="C34" s="190"/>
      <c r="D34" s="190"/>
      <c r="E34" s="191"/>
      <c r="F34" s="190"/>
      <c r="G34" s="192" t="str">
        <f aca="false">IF(OR(C34="",D34="",E34="",F34=""),"",IFERROR(((D34*E34+F34)/C34)^(1/5)-1,"n/a"))</f>
        <v/>
      </c>
      <c r="H34" s="193"/>
      <c r="I34" s="190"/>
      <c r="J34" s="191"/>
      <c r="K34" s="190"/>
      <c r="L34" s="192" t="str">
        <f aca="false">IF(OR(C34="",I34="",J34="",K34=""),"",IFERROR(((I34*J34+K34)/C34)^(1/5)-1,"n/a"))</f>
        <v/>
      </c>
      <c r="M34" s="193"/>
      <c r="N34" s="190"/>
      <c r="O34" s="191"/>
      <c r="P34" s="190"/>
      <c r="Q34" s="192" t="str">
        <f aca="false">IF(OR(C34="",N34="",O34="",P34=""),"",IFERROR(((N34*O34+P34)/C34)^(1/5)-1,"n/a"))</f>
        <v/>
      </c>
      <c r="R34" s="194"/>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88"/>
      <c r="B35" s="189"/>
      <c r="C35" s="190"/>
      <c r="D35" s="190"/>
      <c r="E35" s="191"/>
      <c r="F35" s="190"/>
      <c r="G35" s="192" t="str">
        <f aca="false">IF(OR(C35="",D35="",E35="",F35=""),"",IFERROR(((D35*E35+F35)/C35)^(1/5)-1,"n/a"))</f>
        <v/>
      </c>
      <c r="H35" s="193"/>
      <c r="I35" s="190"/>
      <c r="J35" s="191"/>
      <c r="K35" s="190"/>
      <c r="L35" s="192" t="str">
        <f aca="false">IF(OR(C35="",I35="",J35="",K35=""),"",IFERROR(((I35*J35+K35)/C35)^(1/5)-1,"n/a"))</f>
        <v/>
      </c>
      <c r="M35" s="193"/>
      <c r="N35" s="190"/>
      <c r="O35" s="191"/>
      <c r="P35" s="190"/>
      <c r="Q35" s="192" t="str">
        <f aca="false">IF(OR(C35="",N35="",O35="",P35=""),"",IFERROR(((N35*O35+P35)/C35)^(1/5)-1,"n/a"))</f>
        <v/>
      </c>
      <c r="R35" s="194"/>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88"/>
      <c r="B36" s="189"/>
      <c r="C36" s="190"/>
      <c r="D36" s="190"/>
      <c r="E36" s="191"/>
      <c r="F36" s="190"/>
      <c r="G36" s="192" t="str">
        <f aca="false">IF(OR(C36="",D36="",E36="",F36=""),"",IFERROR(((D36*E36+F36)/C36)^(1/5)-1,"n/a"))</f>
        <v/>
      </c>
      <c r="H36" s="193"/>
      <c r="I36" s="190"/>
      <c r="J36" s="191"/>
      <c r="K36" s="190"/>
      <c r="L36" s="192" t="str">
        <f aca="false">IF(OR(C36="",I36="",J36="",K36=""),"",IFERROR(((I36*J36+K36)/C36)^(1/5)-1,"n/a"))</f>
        <v/>
      </c>
      <c r="M36" s="193"/>
      <c r="N36" s="190"/>
      <c r="O36" s="191"/>
      <c r="P36" s="190"/>
      <c r="Q36" s="192" t="str">
        <f aca="false">IF(OR(C36="",N36="",O36="",P36=""),"",IFERROR(((N36*O36+P36)/C36)^(1/5)-1,"n/a"))</f>
        <v/>
      </c>
      <c r="R36" s="194"/>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88"/>
      <c r="B37" s="189"/>
      <c r="C37" s="190"/>
      <c r="D37" s="190"/>
      <c r="E37" s="191"/>
      <c r="F37" s="190"/>
      <c r="G37" s="192" t="str">
        <f aca="false">IF(OR(C37="",D37="",E37="",F37=""),"",IFERROR(((D37*E37+F37)/C37)^(1/5)-1,"n/a"))</f>
        <v/>
      </c>
      <c r="H37" s="193"/>
      <c r="I37" s="190"/>
      <c r="J37" s="191"/>
      <c r="K37" s="190"/>
      <c r="L37" s="192" t="str">
        <f aca="false">IF(OR(C37="",I37="",J37="",K37=""),"",IFERROR(((I37*J37+K37)/C37)^(1/5)-1,"n/a"))</f>
        <v/>
      </c>
      <c r="M37" s="193"/>
      <c r="N37" s="190"/>
      <c r="O37" s="191"/>
      <c r="P37" s="190"/>
      <c r="Q37" s="192" t="str">
        <f aca="false">IF(OR(C37="",N37="",O37="",P37=""),"",IFERROR(((N37*O37+P37)/C37)^(1/5)-1,"n/a"))</f>
        <v/>
      </c>
      <c r="R37" s="194"/>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88"/>
      <c r="B38" s="189"/>
      <c r="C38" s="190"/>
      <c r="D38" s="190"/>
      <c r="E38" s="191"/>
      <c r="F38" s="190"/>
      <c r="G38" s="192" t="str">
        <f aca="false">IF(OR(C38="",D38="",E38="",F38=""),"",IFERROR(((D38*E38+F38)/C38)^(1/5)-1,"n/a"))</f>
        <v/>
      </c>
      <c r="H38" s="193"/>
      <c r="I38" s="190"/>
      <c r="J38" s="191"/>
      <c r="K38" s="190"/>
      <c r="L38" s="192" t="str">
        <f aca="false">IF(OR(C38="",I38="",J38="",K38=""),"",IFERROR(((I38*J38+K38)/C38)^(1/5)-1,"n/a"))</f>
        <v/>
      </c>
      <c r="M38" s="193"/>
      <c r="N38" s="190"/>
      <c r="O38" s="191"/>
      <c r="P38" s="190"/>
      <c r="Q38" s="192" t="str">
        <f aca="false">IF(OR(C38="",N38="",O38="",P38=""),"",IFERROR(((N38*O38+P38)/C38)^(1/5)-1,"n/a"))</f>
        <v/>
      </c>
      <c r="R38" s="194"/>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88"/>
      <c r="B39" s="189"/>
      <c r="C39" s="190"/>
      <c r="D39" s="190"/>
      <c r="E39" s="191"/>
      <c r="F39" s="190"/>
      <c r="G39" s="192" t="str">
        <f aca="false">IF(OR(C39="",D39="",E39="",F39=""),"",IFERROR(((D39*E39+F39)/C39)^(1/5)-1,"n/a"))</f>
        <v/>
      </c>
      <c r="H39" s="193"/>
      <c r="I39" s="190"/>
      <c r="J39" s="191"/>
      <c r="K39" s="190"/>
      <c r="L39" s="192" t="str">
        <f aca="false">IF(OR(C39="",I39="",J39="",K39=""),"",IFERROR(((I39*J39+K39)/C39)^(1/5)-1,"n/a"))</f>
        <v/>
      </c>
      <c r="M39" s="193"/>
      <c r="N39" s="190"/>
      <c r="O39" s="191"/>
      <c r="P39" s="190"/>
      <c r="Q39" s="192" t="str">
        <f aca="false">IF(OR(C39="",N39="",O39="",P39=""),"",IFERROR(((N39*O39+P39)/C39)^(1/5)-1,"n/a"))</f>
        <v/>
      </c>
      <c r="R39" s="194"/>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88"/>
      <c r="B40" s="189"/>
      <c r="C40" s="190"/>
      <c r="D40" s="190"/>
      <c r="E40" s="191"/>
      <c r="F40" s="190"/>
      <c r="G40" s="192" t="str">
        <f aca="false">IF(OR(C40="",D40="",E40="",F40=""),"",IFERROR(((D40*E40+F40)/C40)^(1/5)-1,"n/a"))</f>
        <v/>
      </c>
      <c r="H40" s="193"/>
      <c r="I40" s="190"/>
      <c r="J40" s="191"/>
      <c r="K40" s="190"/>
      <c r="L40" s="192" t="str">
        <f aca="false">IF(OR(C40="",I40="",J40="",K40=""),"",IFERROR(((I40*J40+K40)/C40)^(1/5)-1,"n/a"))</f>
        <v/>
      </c>
      <c r="M40" s="193"/>
      <c r="N40" s="190"/>
      <c r="O40" s="191"/>
      <c r="P40" s="190"/>
      <c r="Q40" s="192" t="str">
        <f aca="false">IF(OR(C40="",N40="",O40="",P40=""),"",IFERROR(((N40*O40+P40)/C40)^(1/5)-1,"n/a"))</f>
        <v/>
      </c>
      <c r="R40" s="194"/>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88"/>
      <c r="B41" s="189"/>
      <c r="C41" s="190"/>
      <c r="D41" s="190"/>
      <c r="E41" s="191"/>
      <c r="F41" s="190"/>
      <c r="G41" s="192" t="str">
        <f aca="false">IF(OR(C41="",D41="",E41="",F41=""),"",IFERROR(((D41*E41+F41)/C41)^(1/5)-1,"n/a"))</f>
        <v/>
      </c>
      <c r="H41" s="193"/>
      <c r="I41" s="190"/>
      <c r="J41" s="191"/>
      <c r="K41" s="190"/>
      <c r="L41" s="192" t="str">
        <f aca="false">IF(OR(C41="",I41="",J41="",K41=""),"",IFERROR(((I41*J41+K41)/C41)^(1/5)-1,"n/a"))</f>
        <v/>
      </c>
      <c r="M41" s="193"/>
      <c r="N41" s="190"/>
      <c r="O41" s="191"/>
      <c r="P41" s="190"/>
      <c r="Q41" s="192" t="str">
        <f aca="false">IF(OR(C41="",N41="",O41="",P41=""),"",IFERROR(((N41*O41+P41)/C41)^(1/5)-1,"n/a"))</f>
        <v/>
      </c>
      <c r="R41" s="194"/>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88"/>
      <c r="B42" s="189"/>
      <c r="C42" s="190"/>
      <c r="D42" s="190"/>
      <c r="E42" s="191"/>
      <c r="F42" s="190"/>
      <c r="G42" s="192" t="str">
        <f aca="false">IF(OR(C42="",D42="",E42="",F42=""),"",IFERROR(((D42*E42+F42)/C42)^(1/5)-1,"n/a"))</f>
        <v/>
      </c>
      <c r="H42" s="193"/>
      <c r="I42" s="190"/>
      <c r="J42" s="191"/>
      <c r="K42" s="190"/>
      <c r="L42" s="192" t="str">
        <f aca="false">IF(OR(C42="",I42="",J42="",K42=""),"",IFERROR(((I42*J42+K42)/C42)^(1/5)-1,"n/a"))</f>
        <v/>
      </c>
      <c r="M42" s="193"/>
      <c r="N42" s="190"/>
      <c r="O42" s="191"/>
      <c r="P42" s="190"/>
      <c r="Q42" s="192" t="str">
        <f aca="false">IF(OR(C42="",N42="",O42="",P42=""),"",IFERROR(((N42*O42+P42)/C42)^(1/5)-1,"n/a"))</f>
        <v/>
      </c>
      <c r="R42" s="194"/>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88"/>
      <c r="B43" s="189"/>
      <c r="C43" s="190"/>
      <c r="D43" s="190"/>
      <c r="E43" s="191"/>
      <c r="F43" s="190"/>
      <c r="G43" s="192" t="str">
        <f aca="false">IF(OR(C43="",D43="",E43="",F43=""),"",IFERROR(((D43*E43+F43)/C43)^(1/5)-1,"n/a"))</f>
        <v/>
      </c>
      <c r="H43" s="193"/>
      <c r="I43" s="190"/>
      <c r="J43" s="191"/>
      <c r="K43" s="190"/>
      <c r="L43" s="192" t="str">
        <f aca="false">IF(OR(C43="",I43="",J43="",K43=""),"",IFERROR(((I43*J43+K43)/C43)^(1/5)-1,"n/a"))</f>
        <v/>
      </c>
      <c r="M43" s="193"/>
      <c r="N43" s="190"/>
      <c r="O43" s="191"/>
      <c r="P43" s="190"/>
      <c r="Q43" s="192" t="str">
        <f aca="false">IF(OR(C43="",N43="",O43="",P43=""),"",IFERROR(((N43*O43+P43)/C43)^(1/5)-1,"n/a"))</f>
        <v/>
      </c>
      <c r="R43" s="194"/>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143</v>
      </c>
      <c r="B44" s="71" t="s">
        <v>144</v>
      </c>
      <c r="C44" s="68" t="n">
        <v>314.71</v>
      </c>
      <c r="D44" s="68" t="n">
        <v>14.8</v>
      </c>
      <c r="E44" s="187" t="n">
        <v>36</v>
      </c>
      <c r="F44" s="68" t="n">
        <v>11.91</v>
      </c>
      <c r="G44" s="69" t="n">
        <f aca="false">IF(OR(C44="",D44="",E44="",F44=""),"",IFERROR(((D44*E44+F44)/C44)^(1/5)-1,"n/a"))</f>
        <v>0.115965994501476</v>
      </c>
      <c r="H44" s="64" t="s">
        <v>517</v>
      </c>
      <c r="I44" s="68" t="n">
        <v>10.78</v>
      </c>
      <c r="J44" s="187" t="n">
        <v>29.2</v>
      </c>
      <c r="K44" s="68" t="n">
        <v>9.4</v>
      </c>
      <c r="L44" s="69" t="n">
        <f aca="false">IF(OR(C44="",I44="",J44="",K44=""),"",IFERROR(((I44*J44+K44)/C44)^(1/5)-1,"n/a"))</f>
        <v>0.00594459908059064</v>
      </c>
      <c r="M44" s="64" t="s">
        <v>516</v>
      </c>
      <c r="N44" s="68" t="n">
        <v>17.59</v>
      </c>
      <c r="O44" s="187" t="n">
        <v>40.9</v>
      </c>
      <c r="P44" s="68" t="n">
        <v>13.38</v>
      </c>
      <c r="Q44" s="69" t="n">
        <f aca="false">IF(OR(C44="",N44="",O44="",P44=""),"",IFERROR(((N44*O44+P44)/C44)^(1/5)-1,"n/a"))</f>
        <v>0.184176088573328</v>
      </c>
      <c r="R44" s="64" t="s">
        <v>516</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88"/>
      <c r="B45" s="189"/>
      <c r="C45" s="190"/>
      <c r="D45" s="190"/>
      <c r="E45" s="191"/>
      <c r="F45" s="190"/>
      <c r="G45" s="192" t="str">
        <f aca="false">IF(OR(C45="",D45="",E45="",F45=""),"",IFERROR(((D45*E45+F45)/C45)^(1/5)-1,"n/a"))</f>
        <v/>
      </c>
      <c r="H45" s="193"/>
      <c r="I45" s="190"/>
      <c r="J45" s="191"/>
      <c r="K45" s="190"/>
      <c r="L45" s="192" t="str">
        <f aca="false">IF(OR(C45="",I45="",J45="",K45=""),"",IFERROR(((I45*J45+K45)/C45)^(1/5)-1,"n/a"))</f>
        <v/>
      </c>
      <c r="M45" s="193"/>
      <c r="N45" s="190"/>
      <c r="O45" s="191"/>
      <c r="P45" s="190"/>
      <c r="Q45" s="192" t="str">
        <f aca="false">IF(OR(C45="",N45="",O45="",P45=""),"",IFERROR(((N45*O45+P45)/C45)^(1/5)-1,"n/a"))</f>
        <v/>
      </c>
      <c r="R45" s="194"/>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88"/>
      <c r="B46" s="189"/>
      <c r="C46" s="190"/>
      <c r="D46" s="190"/>
      <c r="E46" s="191"/>
      <c r="F46" s="190"/>
      <c r="G46" s="192" t="str">
        <f aca="false">IF(OR(C46="",D46="",E46="",F46=""),"",IFERROR(((D46*E46+F46)/C46)^(1/5)-1,"n/a"))</f>
        <v/>
      </c>
      <c r="H46" s="193"/>
      <c r="I46" s="190"/>
      <c r="J46" s="191"/>
      <c r="K46" s="190"/>
      <c r="L46" s="192" t="str">
        <f aca="false">IF(OR(C46="",I46="",J46="",K46=""),"",IFERROR(((I46*J46+K46)/C46)^(1/5)-1,"n/a"))</f>
        <v/>
      </c>
      <c r="M46" s="193"/>
      <c r="N46" s="190"/>
      <c r="O46" s="191"/>
      <c r="P46" s="190"/>
      <c r="Q46" s="192" t="str">
        <f aca="false">IF(OR(C46="",N46="",O46="",P46=""),"",IFERROR(((N46*O46+P46)/C46)^(1/5)-1,"n/a"))</f>
        <v/>
      </c>
      <c r="R46" s="194"/>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88"/>
      <c r="B47" s="189"/>
      <c r="C47" s="190"/>
      <c r="D47" s="190"/>
      <c r="E47" s="191"/>
      <c r="F47" s="190"/>
      <c r="G47" s="192" t="str">
        <f aca="false">IF(OR(C47="",D47="",E47="",F47=""),"",IFERROR(((D47*E47+F47)/C47)^(1/5)-1,"n/a"))</f>
        <v/>
      </c>
      <c r="H47" s="193"/>
      <c r="I47" s="190"/>
      <c r="J47" s="191"/>
      <c r="K47" s="190"/>
      <c r="L47" s="192" t="str">
        <f aca="false">IF(OR(C47="",I47="",J47="",K47=""),"",IFERROR(((I47*J47+K47)/C47)^(1/5)-1,"n/a"))</f>
        <v/>
      </c>
      <c r="M47" s="193"/>
      <c r="N47" s="190"/>
      <c r="O47" s="191"/>
      <c r="P47" s="190"/>
      <c r="Q47" s="192" t="str">
        <f aca="false">IF(OR(C47="",N47="",O47="",P47=""),"",IFERROR(((N47*O47+P47)/C47)^(1/5)-1,"n/a"))</f>
        <v/>
      </c>
      <c r="R47" s="194"/>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146</v>
      </c>
      <c r="B48" s="71" t="s">
        <v>147</v>
      </c>
      <c r="C48" s="68" t="n">
        <v>69.795</v>
      </c>
      <c r="D48" s="68" t="n">
        <v>3.71</v>
      </c>
      <c r="E48" s="187" t="n">
        <v>37.8</v>
      </c>
      <c r="F48" s="68" t="n">
        <v>0</v>
      </c>
      <c r="G48" s="69" t="n">
        <f aca="false">IF(OR(C48="",D48="",E48="",F48=""),"",IFERROR(((D48*E48+F48)/C48)^(1/5)-1,"n/a"))</f>
        <v>0.149762869934483</v>
      </c>
      <c r="H48" s="64" t="s">
        <v>517</v>
      </c>
      <c r="I48" s="68" t="n">
        <v>2.65</v>
      </c>
      <c r="J48" s="187" t="n">
        <v>30.6</v>
      </c>
      <c r="K48" s="68" t="n">
        <v>0</v>
      </c>
      <c r="L48" s="69" t="n">
        <f aca="false">IF(OR(C48="",I48="",J48="",K48=""),"",IFERROR(((I48*J48+K48)/C48)^(1/5)-1,"n/a"))</f>
        <v>0.0304539723542474</v>
      </c>
      <c r="M48" s="64" t="s">
        <v>516</v>
      </c>
      <c r="N48" s="68" t="n">
        <v>4.4</v>
      </c>
      <c r="O48" s="187" t="n">
        <v>41.6</v>
      </c>
      <c r="P48" s="68" t="n">
        <v>0</v>
      </c>
      <c r="Q48" s="69" t="n">
        <f aca="false">IF(OR(C48="",N48="",O48="",P48=""),"",IFERROR(((N48*O48+P48)/C48)^(1/5)-1,"n/a"))</f>
        <v>0.21267476175</v>
      </c>
      <c r="R48" s="64" t="s">
        <v>516</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88"/>
      <c r="B49" s="189"/>
      <c r="C49" s="190"/>
      <c r="D49" s="190"/>
      <c r="E49" s="191"/>
      <c r="F49" s="190"/>
      <c r="G49" s="192" t="str">
        <f aca="false">IF(OR(C49="",D49="",E49="",F49=""),"",IFERROR(((D49*E49+F49)/C49)^(1/5)-1,"n/a"))</f>
        <v/>
      </c>
      <c r="H49" s="193"/>
      <c r="I49" s="190"/>
      <c r="J49" s="191"/>
      <c r="K49" s="190"/>
      <c r="L49" s="192" t="str">
        <f aca="false">IF(OR(C49="",I49="",J49="",K49=""),"",IFERROR(((I49*J49+K49)/C49)^(1/5)-1,"n/a"))</f>
        <v/>
      </c>
      <c r="M49" s="193"/>
      <c r="N49" s="190"/>
      <c r="O49" s="191"/>
      <c r="P49" s="190"/>
      <c r="Q49" s="192" t="str">
        <f aca="false">IF(OR(C49="",N49="",O49="",P49=""),"",IFERROR(((N49*O49+P49)/C49)^(1/5)-1,"n/a"))</f>
        <v/>
      </c>
      <c r="R49" s="194"/>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88"/>
      <c r="B50" s="189"/>
      <c r="C50" s="190"/>
      <c r="D50" s="190"/>
      <c r="E50" s="191"/>
      <c r="F50" s="190"/>
      <c r="G50" s="192" t="str">
        <f aca="false">IF(OR(C50="",D50="",E50="",F50=""),"",IFERROR(((D50*E50+F50)/C50)^(1/5)-1,"n/a"))</f>
        <v/>
      </c>
      <c r="H50" s="193"/>
      <c r="I50" s="190"/>
      <c r="J50" s="191"/>
      <c r="K50" s="190"/>
      <c r="L50" s="192" t="str">
        <f aca="false">IF(OR(C50="",I50="",J50="",K50=""),"",IFERROR(((I50*J50+K50)/C50)^(1/5)-1,"n/a"))</f>
        <v/>
      </c>
      <c r="M50" s="193"/>
      <c r="N50" s="190"/>
      <c r="O50" s="191"/>
      <c r="P50" s="190"/>
      <c r="Q50" s="192" t="str">
        <f aca="false">IF(OR(C50="",N50="",O50="",P50=""),"",IFERROR(((N50*O50+P50)/C50)^(1/5)-1,"n/a"))</f>
        <v/>
      </c>
      <c r="R50" s="194"/>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289</v>
      </c>
      <c r="B51" s="71" t="s">
        <v>422</v>
      </c>
      <c r="C51" s="68" t="n">
        <v>50.16</v>
      </c>
      <c r="D51" s="68" t="n">
        <v>3.63</v>
      </c>
      <c r="E51" s="187" t="n">
        <v>16.8</v>
      </c>
      <c r="F51" s="68" t="n">
        <v>6.65</v>
      </c>
      <c r="G51" s="69" t="n">
        <f aca="false">IF(OR(C51="",D51="",E51="",F51=""),"",IFERROR(((D51*E51+F51)/C51)^(1/5)-1,"n/a"))</f>
        <v>0.0616014647295038</v>
      </c>
      <c r="H51" s="64" t="s">
        <v>517</v>
      </c>
      <c r="I51" s="68" t="n">
        <v>1.82</v>
      </c>
      <c r="J51" s="187" t="n">
        <v>13.6</v>
      </c>
      <c r="K51" s="68" t="n">
        <v>5.9</v>
      </c>
      <c r="L51" s="69" t="n">
        <f aca="false">IF(OR(C51="",I51="",J51="",K51=""),"",IFERROR(((I51*J51+K51)/C51)^(1/5)-1,"n/a"))</f>
        <v>-0.0938079291194365</v>
      </c>
      <c r="M51" s="64" t="s">
        <v>516</v>
      </c>
      <c r="N51" s="68" t="n">
        <v>5</v>
      </c>
      <c r="O51" s="187" t="n">
        <v>17.7</v>
      </c>
      <c r="P51" s="68" t="n">
        <v>7.05</v>
      </c>
      <c r="Q51" s="69" t="n">
        <f aca="false">IF(OR(C51="",N51="",O51="",P51=""),"",IFERROR(((N51*O51+P51)/C51)^(1/5)-1,"n/a"))</f>
        <v>0.137560838572792</v>
      </c>
      <c r="R51" s="64" t="s">
        <v>516</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149</v>
      </c>
      <c r="B52" s="71" t="s">
        <v>423</v>
      </c>
      <c r="C52" s="68" t="n">
        <v>285.65</v>
      </c>
      <c r="D52" s="68" t="n">
        <v>12.73</v>
      </c>
      <c r="E52" s="187" t="n">
        <v>40.4</v>
      </c>
      <c r="F52" s="68" t="n">
        <v>0</v>
      </c>
      <c r="G52" s="69" t="n">
        <f aca="false">IF(OR(C52="",D52="",E52="",F52=""),"",IFERROR(((D52*E52+F52)/C52)^(1/5)-1,"n/a"))</f>
        <v>0.124799483040831</v>
      </c>
      <c r="H52" s="64" t="s">
        <v>517</v>
      </c>
      <c r="I52" s="68" t="n">
        <v>9.57</v>
      </c>
      <c r="J52" s="187" t="n">
        <v>32.7</v>
      </c>
      <c r="K52" s="68" t="n">
        <v>0</v>
      </c>
      <c r="L52" s="69" t="n">
        <f aca="false">IF(OR(C52="",I52="",J52="",K52=""),"",IFERROR(((I52*J52+K52)/C52)^(1/5)-1,"n/a"))</f>
        <v>0.018415715437079</v>
      </c>
      <c r="M52" s="64" t="s">
        <v>516</v>
      </c>
      <c r="N52" s="68" t="n">
        <v>15.16</v>
      </c>
      <c r="O52" s="187" t="n">
        <v>44.5</v>
      </c>
      <c r="P52" s="68" t="n">
        <v>0</v>
      </c>
      <c r="Q52" s="69" t="n">
        <f aca="false">IF(OR(C52="",N52="",O52="",P52=""),"",IFERROR(((N52*O52+P52)/C52)^(1/5)-1,"n/a"))</f>
        <v>0.187531112808455</v>
      </c>
      <c r="R52" s="64" t="s">
        <v>516</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5" t="s">
        <v>518</v>
      </c>
      <c r="B1" s="195"/>
      <c r="C1" s="195"/>
      <c r="D1" s="195"/>
      <c r="E1" s="195"/>
      <c r="F1" s="195"/>
      <c r="G1" s="195"/>
      <c r="H1" s="195"/>
      <c r="I1" s="195"/>
      <c r="J1" s="195"/>
      <c r="K1" s="195"/>
      <c r="L1" s="195"/>
      <c r="M1" s="195"/>
      <c r="N1" s="195"/>
      <c r="O1" s="195"/>
      <c r="P1" s="195"/>
      <c r="Q1" s="195"/>
      <c r="R1" s="195"/>
      <c r="S1" s="195"/>
      <c r="T1" s="195"/>
      <c r="U1" s="196"/>
      <c r="V1" s="196"/>
    </row>
    <row r="2" customFormat="false" ht="25.5" hidden="false" customHeight="true" outlineLevel="0" collapsed="false">
      <c r="E2" s="116" t="s">
        <v>519</v>
      </c>
      <c r="F2" s="116"/>
      <c r="G2" s="116"/>
      <c r="H2" s="116"/>
      <c r="I2" s="116"/>
      <c r="J2" s="116"/>
      <c r="K2" s="116"/>
      <c r="L2" s="116"/>
      <c r="M2" s="116"/>
      <c r="N2" s="116"/>
      <c r="O2" s="116"/>
      <c r="P2" s="116"/>
      <c r="Q2" s="116"/>
      <c r="R2" s="116"/>
      <c r="S2" s="116"/>
      <c r="T2" s="197" t="s">
        <v>520</v>
      </c>
      <c r="U2" s="197"/>
      <c r="V2" s="197"/>
      <c r="W2" s="197"/>
      <c r="X2" s="197"/>
      <c r="Y2" s="197"/>
      <c r="Z2" s="197"/>
    </row>
    <row r="3" customFormat="false" ht="54" hidden="false" customHeight="true" outlineLevel="0" collapsed="false">
      <c r="A3" s="118" t="s">
        <v>82</v>
      </c>
      <c r="B3" s="118" t="s">
        <v>296</v>
      </c>
      <c r="C3" s="118" t="s">
        <v>521</v>
      </c>
      <c r="D3" s="118" t="s">
        <v>522</v>
      </c>
      <c r="E3" s="118" t="s">
        <v>523</v>
      </c>
      <c r="F3" s="118" t="s">
        <v>524</v>
      </c>
      <c r="G3" s="118" t="s">
        <v>525</v>
      </c>
      <c r="H3" s="118" t="s">
        <v>526</v>
      </c>
      <c r="I3" s="118" t="s">
        <v>527</v>
      </c>
      <c r="J3" s="118" t="s">
        <v>525</v>
      </c>
      <c r="K3" s="118" t="s">
        <v>528</v>
      </c>
      <c r="L3" s="118" t="s">
        <v>529</v>
      </c>
      <c r="M3" s="118" t="s">
        <v>525</v>
      </c>
      <c r="N3" s="118" t="s">
        <v>530</v>
      </c>
      <c r="O3" s="118" t="s">
        <v>531</v>
      </c>
      <c r="P3" s="118" t="s">
        <v>525</v>
      </c>
      <c r="Q3" s="118" t="s">
        <v>532</v>
      </c>
      <c r="R3" s="118" t="s">
        <v>533</v>
      </c>
      <c r="S3" s="118" t="s">
        <v>525</v>
      </c>
      <c r="T3" s="118" t="s">
        <v>534</v>
      </c>
      <c r="U3" s="118" t="s">
        <v>535</v>
      </c>
      <c r="V3" s="118" t="s">
        <v>536</v>
      </c>
      <c r="W3" s="118" t="s">
        <v>537</v>
      </c>
      <c r="X3" s="118" t="s">
        <v>538</v>
      </c>
      <c r="Y3" s="118" t="s">
        <v>539</v>
      </c>
      <c r="Z3" s="118" t="s">
        <v>540</v>
      </c>
      <c r="AA3" s="118" t="s">
        <v>541</v>
      </c>
      <c r="AB3" s="118" t="s">
        <v>496</v>
      </c>
    </row>
    <row r="4" customFormat="false" ht="15" hidden="false" customHeight="true" outlineLevel="0" collapsed="false">
      <c r="A4" s="198"/>
      <c r="B4" s="128"/>
      <c r="C4" s="199"/>
      <c r="D4" s="199"/>
      <c r="E4" s="128"/>
      <c r="F4" s="128"/>
      <c r="G4" s="200" t="str">
        <f aca="false">IF(OR(E4="",F4=""),"",IF(AND(E4&lt;=2,F4&lt;=2),"TRIGGER","OK"))</f>
        <v/>
      </c>
      <c r="H4" s="128"/>
      <c r="I4" s="128"/>
      <c r="J4" s="200" t="str">
        <f aca="false">IF(OR(H4="",I4=""),"",IF(AND(H4&lt;=2,I4&lt;=2),"TRIGGER","OK"))</f>
        <v/>
      </c>
      <c r="K4" s="128"/>
      <c r="L4" s="128"/>
      <c r="M4" s="200" t="str">
        <f aca="false">IF(OR(K4="",L4=""),"",IF(AND(K4&lt;=2,L4&lt;=2),"TRIGGER","OK"))</f>
        <v/>
      </c>
      <c r="N4" s="128"/>
      <c r="O4" s="128"/>
      <c r="P4" s="200" t="str">
        <f aca="false">IF(OR(N4="",O4=""),"",IF(AND(N4&lt;=2,O4&lt;=2),"TRIGGER","OK"))</f>
        <v/>
      </c>
      <c r="Q4" s="128"/>
      <c r="R4" s="128"/>
      <c r="S4" s="200" t="str">
        <f aca="false">IF(OR(Q4="",R4=""),"",IF(AND(Q4&lt;=2,R4&lt;=2),"TRIGGER","OK"))</f>
        <v/>
      </c>
      <c r="T4" s="201"/>
      <c r="U4" s="201"/>
      <c r="V4" s="199"/>
      <c r="W4" s="199"/>
      <c r="X4" s="128"/>
      <c r="Y4" s="128"/>
      <c r="Z4" s="20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8"/>
      <c r="AB4" s="13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8"/>
      <c r="B5" s="128"/>
      <c r="C5" s="199"/>
      <c r="D5" s="199"/>
      <c r="E5" s="128"/>
      <c r="F5" s="128"/>
      <c r="G5" s="200" t="str">
        <f aca="false">IF(OR(E5="",F5=""),"",IF(AND(E5&lt;=2,F5&lt;=2),"TRIGGER","OK"))</f>
        <v/>
      </c>
      <c r="H5" s="128"/>
      <c r="I5" s="128"/>
      <c r="J5" s="200" t="str">
        <f aca="false">IF(OR(H5="",I5=""),"",IF(AND(H5&lt;=2,I5&lt;=2),"TRIGGER","OK"))</f>
        <v/>
      </c>
      <c r="K5" s="128"/>
      <c r="L5" s="128"/>
      <c r="M5" s="200" t="str">
        <f aca="false">IF(OR(K5="",L5=""),"",IF(AND(K5&lt;=2,L5&lt;=2),"TRIGGER","OK"))</f>
        <v/>
      </c>
      <c r="N5" s="128"/>
      <c r="O5" s="128"/>
      <c r="P5" s="200" t="str">
        <f aca="false">IF(OR(N5="",O5=""),"",IF(AND(N5&lt;=2,O5&lt;=2),"TRIGGER","OK"))</f>
        <v/>
      </c>
      <c r="Q5" s="128"/>
      <c r="R5" s="128"/>
      <c r="S5" s="200" t="str">
        <f aca="false">IF(OR(Q5="",R5=""),"",IF(AND(Q5&lt;=2,R5&lt;=2),"TRIGGER","OK"))</f>
        <v/>
      </c>
      <c r="T5" s="201"/>
      <c r="U5" s="201"/>
      <c r="V5" s="199"/>
      <c r="W5" s="199"/>
      <c r="X5" s="128"/>
      <c r="Y5" s="128"/>
      <c r="Z5" s="20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8"/>
      <c r="AB5" s="13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8"/>
      <c r="B6" s="128"/>
      <c r="C6" s="199"/>
      <c r="D6" s="199"/>
      <c r="E6" s="128"/>
      <c r="F6" s="128"/>
      <c r="G6" s="200" t="str">
        <f aca="false">IF(OR(E6="",F6=""),"",IF(AND(E6&lt;=2,F6&lt;=2),"TRIGGER","OK"))</f>
        <v/>
      </c>
      <c r="H6" s="128"/>
      <c r="I6" s="128"/>
      <c r="J6" s="200" t="str">
        <f aca="false">IF(OR(H6="",I6=""),"",IF(AND(H6&lt;=2,I6&lt;=2),"TRIGGER","OK"))</f>
        <v/>
      </c>
      <c r="K6" s="128"/>
      <c r="L6" s="128"/>
      <c r="M6" s="200" t="str">
        <f aca="false">IF(OR(K6="",L6=""),"",IF(AND(K6&lt;=2,L6&lt;=2),"TRIGGER","OK"))</f>
        <v/>
      </c>
      <c r="N6" s="128"/>
      <c r="O6" s="128"/>
      <c r="P6" s="200" t="str">
        <f aca="false">IF(OR(N6="",O6=""),"",IF(AND(N6&lt;=2,O6&lt;=2),"TRIGGER","OK"))</f>
        <v/>
      </c>
      <c r="Q6" s="128"/>
      <c r="R6" s="128"/>
      <c r="S6" s="200" t="str">
        <f aca="false">IF(OR(Q6="",R6=""),"",IF(AND(Q6&lt;=2,R6&lt;=2),"TRIGGER","OK"))</f>
        <v/>
      </c>
      <c r="T6" s="201"/>
      <c r="U6" s="201"/>
      <c r="V6" s="199"/>
      <c r="W6" s="199"/>
      <c r="X6" s="128"/>
      <c r="Y6" s="128"/>
      <c r="Z6" s="20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8"/>
      <c r="AB6" s="13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8"/>
      <c r="B7" s="128"/>
      <c r="C7" s="199"/>
      <c r="D7" s="199"/>
      <c r="E7" s="128"/>
      <c r="F7" s="128"/>
      <c r="G7" s="200" t="str">
        <f aca="false">IF(OR(E7="",F7=""),"",IF(AND(E7&lt;=2,F7&lt;=2),"TRIGGER","OK"))</f>
        <v/>
      </c>
      <c r="H7" s="128"/>
      <c r="I7" s="128"/>
      <c r="J7" s="200" t="str">
        <f aca="false">IF(OR(H7="",I7=""),"",IF(AND(H7&lt;=2,I7&lt;=2),"TRIGGER","OK"))</f>
        <v/>
      </c>
      <c r="K7" s="128"/>
      <c r="L7" s="128"/>
      <c r="M7" s="200" t="str">
        <f aca="false">IF(OR(K7="",L7=""),"",IF(AND(K7&lt;=2,L7&lt;=2),"TRIGGER","OK"))</f>
        <v/>
      </c>
      <c r="N7" s="128"/>
      <c r="O7" s="128"/>
      <c r="P7" s="200" t="str">
        <f aca="false">IF(OR(N7="",O7=""),"",IF(AND(N7&lt;=2,O7&lt;=2),"TRIGGER","OK"))</f>
        <v/>
      </c>
      <c r="Q7" s="128"/>
      <c r="R7" s="128"/>
      <c r="S7" s="200" t="str">
        <f aca="false">IF(OR(Q7="",R7=""),"",IF(AND(Q7&lt;=2,R7&lt;=2),"TRIGGER","OK"))</f>
        <v/>
      </c>
      <c r="T7" s="201"/>
      <c r="U7" s="201"/>
      <c r="V7" s="199"/>
      <c r="W7" s="199"/>
      <c r="X7" s="128"/>
      <c r="Y7" s="128"/>
      <c r="Z7" s="20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8"/>
      <c r="AB7" s="13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8"/>
      <c r="B8" s="128"/>
      <c r="C8" s="199"/>
      <c r="D8" s="199"/>
      <c r="E8" s="128"/>
      <c r="F8" s="128"/>
      <c r="G8" s="200" t="str">
        <f aca="false">IF(OR(E8="",F8=""),"",IF(AND(E8&lt;=2,F8&lt;=2),"TRIGGER","OK"))</f>
        <v/>
      </c>
      <c r="H8" s="128"/>
      <c r="I8" s="128"/>
      <c r="J8" s="200" t="str">
        <f aca="false">IF(OR(H8="",I8=""),"",IF(AND(H8&lt;=2,I8&lt;=2),"TRIGGER","OK"))</f>
        <v/>
      </c>
      <c r="K8" s="128"/>
      <c r="L8" s="128"/>
      <c r="M8" s="200" t="str">
        <f aca="false">IF(OR(K8="",L8=""),"",IF(AND(K8&lt;=2,L8&lt;=2),"TRIGGER","OK"))</f>
        <v/>
      </c>
      <c r="N8" s="128"/>
      <c r="O8" s="128"/>
      <c r="P8" s="200" t="str">
        <f aca="false">IF(OR(N8="",O8=""),"",IF(AND(N8&lt;=2,O8&lt;=2),"TRIGGER","OK"))</f>
        <v/>
      </c>
      <c r="Q8" s="128"/>
      <c r="R8" s="128"/>
      <c r="S8" s="200" t="str">
        <f aca="false">IF(OR(Q8="",R8=""),"",IF(AND(Q8&lt;=2,R8&lt;=2),"TRIGGER","OK"))</f>
        <v/>
      </c>
      <c r="T8" s="201"/>
      <c r="U8" s="201"/>
      <c r="V8" s="199"/>
      <c r="W8" s="199"/>
      <c r="X8" s="128"/>
      <c r="Y8" s="128"/>
      <c r="Z8" s="20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8"/>
      <c r="AB8" s="13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8"/>
      <c r="B9" s="128"/>
      <c r="C9" s="199"/>
      <c r="D9" s="199"/>
      <c r="E9" s="128"/>
      <c r="F9" s="128"/>
      <c r="G9" s="200" t="str">
        <f aca="false">IF(OR(E9="",F9=""),"",IF(AND(E9&lt;=2,F9&lt;=2),"TRIGGER","OK"))</f>
        <v/>
      </c>
      <c r="H9" s="128"/>
      <c r="I9" s="128"/>
      <c r="J9" s="200" t="str">
        <f aca="false">IF(OR(H9="",I9=""),"",IF(AND(H9&lt;=2,I9&lt;=2),"TRIGGER","OK"))</f>
        <v/>
      </c>
      <c r="K9" s="128"/>
      <c r="L9" s="128"/>
      <c r="M9" s="200" t="str">
        <f aca="false">IF(OR(K9="",L9=""),"",IF(AND(K9&lt;=2,L9&lt;=2),"TRIGGER","OK"))</f>
        <v/>
      </c>
      <c r="N9" s="128"/>
      <c r="O9" s="128"/>
      <c r="P9" s="200" t="str">
        <f aca="false">IF(OR(N9="",O9=""),"",IF(AND(N9&lt;=2,O9&lt;=2),"TRIGGER","OK"))</f>
        <v/>
      </c>
      <c r="Q9" s="128"/>
      <c r="R9" s="128"/>
      <c r="S9" s="200" t="str">
        <f aca="false">IF(OR(Q9="",R9=""),"",IF(AND(Q9&lt;=2,R9&lt;=2),"TRIGGER","OK"))</f>
        <v/>
      </c>
      <c r="T9" s="201"/>
      <c r="U9" s="201"/>
      <c r="V9" s="199"/>
      <c r="W9" s="199"/>
      <c r="X9" s="128"/>
      <c r="Y9" s="128"/>
      <c r="Z9" s="20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8"/>
      <c r="AB9" s="13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8"/>
      <c r="B10" s="128"/>
      <c r="C10" s="199"/>
      <c r="D10" s="199"/>
      <c r="E10" s="128"/>
      <c r="F10" s="128"/>
      <c r="G10" s="200" t="str">
        <f aca="false">IF(OR(E10="",F10=""),"",IF(AND(E10&lt;=2,F10&lt;=2),"TRIGGER","OK"))</f>
        <v/>
      </c>
      <c r="H10" s="128"/>
      <c r="I10" s="128"/>
      <c r="J10" s="200" t="str">
        <f aca="false">IF(OR(H10="",I10=""),"",IF(AND(H10&lt;=2,I10&lt;=2),"TRIGGER","OK"))</f>
        <v/>
      </c>
      <c r="K10" s="128"/>
      <c r="L10" s="128"/>
      <c r="M10" s="200" t="str">
        <f aca="false">IF(OR(K10="",L10=""),"",IF(AND(K10&lt;=2,L10&lt;=2),"TRIGGER","OK"))</f>
        <v/>
      </c>
      <c r="N10" s="128"/>
      <c r="O10" s="128"/>
      <c r="P10" s="200" t="str">
        <f aca="false">IF(OR(N10="",O10=""),"",IF(AND(N10&lt;=2,O10&lt;=2),"TRIGGER","OK"))</f>
        <v/>
      </c>
      <c r="Q10" s="128"/>
      <c r="R10" s="128"/>
      <c r="S10" s="200" t="str">
        <f aca="false">IF(OR(Q10="",R10=""),"",IF(AND(Q10&lt;=2,R10&lt;=2),"TRIGGER","OK"))</f>
        <v/>
      </c>
      <c r="T10" s="201"/>
      <c r="U10" s="201"/>
      <c r="V10" s="199"/>
      <c r="W10" s="199"/>
      <c r="X10" s="128"/>
      <c r="Y10" s="128"/>
      <c r="Z10" s="20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8"/>
      <c r="AB10" s="13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8"/>
      <c r="B11" s="128"/>
      <c r="C11" s="199"/>
      <c r="D11" s="199"/>
      <c r="E11" s="128"/>
      <c r="F11" s="128"/>
      <c r="G11" s="200" t="str">
        <f aca="false">IF(OR(E11="",F11=""),"",IF(AND(E11&lt;=2,F11&lt;=2),"TRIGGER","OK"))</f>
        <v/>
      </c>
      <c r="H11" s="128"/>
      <c r="I11" s="128"/>
      <c r="J11" s="200" t="str">
        <f aca="false">IF(OR(H11="",I11=""),"",IF(AND(H11&lt;=2,I11&lt;=2),"TRIGGER","OK"))</f>
        <v/>
      </c>
      <c r="K11" s="128"/>
      <c r="L11" s="128"/>
      <c r="M11" s="200" t="str">
        <f aca="false">IF(OR(K11="",L11=""),"",IF(AND(K11&lt;=2,L11&lt;=2),"TRIGGER","OK"))</f>
        <v/>
      </c>
      <c r="N11" s="128"/>
      <c r="O11" s="128"/>
      <c r="P11" s="200" t="str">
        <f aca="false">IF(OR(N11="",O11=""),"",IF(AND(N11&lt;=2,O11&lt;=2),"TRIGGER","OK"))</f>
        <v/>
      </c>
      <c r="Q11" s="128"/>
      <c r="R11" s="128"/>
      <c r="S11" s="200" t="str">
        <f aca="false">IF(OR(Q11="",R11=""),"",IF(AND(Q11&lt;=2,R11&lt;=2),"TRIGGER","OK"))</f>
        <v/>
      </c>
      <c r="T11" s="201"/>
      <c r="U11" s="201"/>
      <c r="V11" s="199"/>
      <c r="W11" s="199"/>
      <c r="X11" s="128"/>
      <c r="Y11" s="128"/>
      <c r="Z11" s="20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8"/>
      <c r="AB11" s="13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8"/>
      <c r="B12" s="128"/>
      <c r="C12" s="199"/>
      <c r="D12" s="199"/>
      <c r="E12" s="128"/>
      <c r="F12" s="128"/>
      <c r="G12" s="200" t="str">
        <f aca="false">IF(OR(E12="",F12=""),"",IF(AND(E12&lt;=2,F12&lt;=2),"TRIGGER","OK"))</f>
        <v/>
      </c>
      <c r="H12" s="128"/>
      <c r="I12" s="128"/>
      <c r="J12" s="200" t="str">
        <f aca="false">IF(OR(H12="",I12=""),"",IF(AND(H12&lt;=2,I12&lt;=2),"TRIGGER","OK"))</f>
        <v/>
      </c>
      <c r="K12" s="128"/>
      <c r="L12" s="128"/>
      <c r="M12" s="200" t="str">
        <f aca="false">IF(OR(K12="",L12=""),"",IF(AND(K12&lt;=2,L12&lt;=2),"TRIGGER","OK"))</f>
        <v/>
      </c>
      <c r="N12" s="128"/>
      <c r="O12" s="128"/>
      <c r="P12" s="200" t="str">
        <f aca="false">IF(OR(N12="",O12=""),"",IF(AND(N12&lt;=2,O12&lt;=2),"TRIGGER","OK"))</f>
        <v/>
      </c>
      <c r="Q12" s="128"/>
      <c r="R12" s="128"/>
      <c r="S12" s="200" t="str">
        <f aca="false">IF(OR(Q12="",R12=""),"",IF(AND(Q12&lt;=2,R12&lt;=2),"TRIGGER","OK"))</f>
        <v/>
      </c>
      <c r="T12" s="201"/>
      <c r="U12" s="201"/>
      <c r="V12" s="199"/>
      <c r="W12" s="199"/>
      <c r="X12" s="128"/>
      <c r="Y12" s="128"/>
      <c r="Z12" s="20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8"/>
      <c r="AB12" s="13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8"/>
      <c r="B13" s="128"/>
      <c r="C13" s="199"/>
      <c r="D13" s="199"/>
      <c r="E13" s="128"/>
      <c r="F13" s="128"/>
      <c r="G13" s="200" t="str">
        <f aca="false">IF(OR(E13="",F13=""),"",IF(AND(E13&lt;=2,F13&lt;=2),"TRIGGER","OK"))</f>
        <v/>
      </c>
      <c r="H13" s="128"/>
      <c r="I13" s="128"/>
      <c r="J13" s="200" t="str">
        <f aca="false">IF(OR(H13="",I13=""),"",IF(AND(H13&lt;=2,I13&lt;=2),"TRIGGER","OK"))</f>
        <v/>
      </c>
      <c r="K13" s="128"/>
      <c r="L13" s="128"/>
      <c r="M13" s="200" t="str">
        <f aca="false">IF(OR(K13="",L13=""),"",IF(AND(K13&lt;=2,L13&lt;=2),"TRIGGER","OK"))</f>
        <v/>
      </c>
      <c r="N13" s="128"/>
      <c r="O13" s="128"/>
      <c r="P13" s="200" t="str">
        <f aca="false">IF(OR(N13="",O13=""),"",IF(AND(N13&lt;=2,O13&lt;=2),"TRIGGER","OK"))</f>
        <v/>
      </c>
      <c r="Q13" s="128"/>
      <c r="R13" s="128"/>
      <c r="S13" s="200" t="str">
        <f aca="false">IF(OR(Q13="",R13=""),"",IF(AND(Q13&lt;=2,R13&lt;=2),"TRIGGER","OK"))</f>
        <v/>
      </c>
      <c r="T13" s="201"/>
      <c r="U13" s="201"/>
      <c r="V13" s="199"/>
      <c r="W13" s="199"/>
      <c r="X13" s="128"/>
      <c r="Y13" s="128"/>
      <c r="Z13" s="20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8"/>
      <c r="AB13" s="13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8"/>
      <c r="B14" s="128"/>
      <c r="C14" s="199"/>
      <c r="D14" s="199"/>
      <c r="E14" s="128"/>
      <c r="F14" s="128"/>
      <c r="G14" s="200" t="str">
        <f aca="false">IF(OR(E14="",F14=""),"",IF(AND(E14&lt;=2,F14&lt;=2),"TRIGGER","OK"))</f>
        <v/>
      </c>
      <c r="H14" s="128"/>
      <c r="I14" s="128"/>
      <c r="J14" s="200" t="str">
        <f aca="false">IF(OR(H14="",I14=""),"",IF(AND(H14&lt;=2,I14&lt;=2),"TRIGGER","OK"))</f>
        <v/>
      </c>
      <c r="K14" s="128"/>
      <c r="L14" s="128"/>
      <c r="M14" s="200" t="str">
        <f aca="false">IF(OR(K14="",L14=""),"",IF(AND(K14&lt;=2,L14&lt;=2),"TRIGGER","OK"))</f>
        <v/>
      </c>
      <c r="N14" s="128"/>
      <c r="O14" s="128"/>
      <c r="P14" s="200" t="str">
        <f aca="false">IF(OR(N14="",O14=""),"",IF(AND(N14&lt;=2,O14&lt;=2),"TRIGGER","OK"))</f>
        <v/>
      </c>
      <c r="Q14" s="128"/>
      <c r="R14" s="128"/>
      <c r="S14" s="200" t="str">
        <f aca="false">IF(OR(Q14="",R14=""),"",IF(AND(Q14&lt;=2,R14&lt;=2),"TRIGGER","OK"))</f>
        <v/>
      </c>
      <c r="T14" s="201"/>
      <c r="U14" s="201"/>
      <c r="V14" s="199"/>
      <c r="W14" s="199"/>
      <c r="X14" s="128"/>
      <c r="Y14" s="128"/>
      <c r="Z14" s="20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8"/>
      <c r="AB14" s="13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8"/>
      <c r="B15" s="128"/>
      <c r="C15" s="199"/>
      <c r="D15" s="199"/>
      <c r="E15" s="128"/>
      <c r="F15" s="128"/>
      <c r="G15" s="200" t="str">
        <f aca="false">IF(OR(E15="",F15=""),"",IF(AND(E15&lt;=2,F15&lt;=2),"TRIGGER","OK"))</f>
        <v/>
      </c>
      <c r="H15" s="128"/>
      <c r="I15" s="128"/>
      <c r="J15" s="200" t="str">
        <f aca="false">IF(OR(H15="",I15=""),"",IF(AND(H15&lt;=2,I15&lt;=2),"TRIGGER","OK"))</f>
        <v/>
      </c>
      <c r="K15" s="128"/>
      <c r="L15" s="128"/>
      <c r="M15" s="200" t="str">
        <f aca="false">IF(OR(K15="",L15=""),"",IF(AND(K15&lt;=2,L15&lt;=2),"TRIGGER","OK"))</f>
        <v/>
      </c>
      <c r="N15" s="128"/>
      <c r="O15" s="128"/>
      <c r="P15" s="200" t="str">
        <f aca="false">IF(OR(N15="",O15=""),"",IF(AND(N15&lt;=2,O15&lt;=2),"TRIGGER","OK"))</f>
        <v/>
      </c>
      <c r="Q15" s="128"/>
      <c r="R15" s="128"/>
      <c r="S15" s="200" t="str">
        <f aca="false">IF(OR(Q15="",R15=""),"",IF(AND(Q15&lt;=2,R15&lt;=2),"TRIGGER","OK"))</f>
        <v/>
      </c>
      <c r="T15" s="201"/>
      <c r="U15" s="201"/>
      <c r="V15" s="199"/>
      <c r="W15" s="199"/>
      <c r="X15" s="128"/>
      <c r="Y15" s="128"/>
      <c r="Z15" s="20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8"/>
      <c r="AB15" s="13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8"/>
      <c r="B16" s="128"/>
      <c r="C16" s="199"/>
      <c r="D16" s="199"/>
      <c r="E16" s="128"/>
      <c r="F16" s="128"/>
      <c r="G16" s="200" t="str">
        <f aca="false">IF(OR(E16="",F16=""),"",IF(AND(E16&lt;=2,F16&lt;=2),"TRIGGER","OK"))</f>
        <v/>
      </c>
      <c r="H16" s="128"/>
      <c r="I16" s="128"/>
      <c r="J16" s="200" t="str">
        <f aca="false">IF(OR(H16="",I16=""),"",IF(AND(H16&lt;=2,I16&lt;=2),"TRIGGER","OK"))</f>
        <v/>
      </c>
      <c r="K16" s="128"/>
      <c r="L16" s="128"/>
      <c r="M16" s="200" t="str">
        <f aca="false">IF(OR(K16="",L16=""),"",IF(AND(K16&lt;=2,L16&lt;=2),"TRIGGER","OK"))</f>
        <v/>
      </c>
      <c r="N16" s="128"/>
      <c r="O16" s="128"/>
      <c r="P16" s="200" t="str">
        <f aca="false">IF(OR(N16="",O16=""),"",IF(AND(N16&lt;=2,O16&lt;=2),"TRIGGER","OK"))</f>
        <v/>
      </c>
      <c r="Q16" s="128"/>
      <c r="R16" s="128"/>
      <c r="S16" s="200" t="str">
        <f aca="false">IF(OR(Q16="",R16=""),"",IF(AND(Q16&lt;=2,R16&lt;=2),"TRIGGER","OK"))</f>
        <v/>
      </c>
      <c r="T16" s="201"/>
      <c r="U16" s="201"/>
      <c r="V16" s="199"/>
      <c r="W16" s="199"/>
      <c r="X16" s="128"/>
      <c r="Y16" s="128"/>
      <c r="Z16" s="20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8"/>
      <c r="AB16" s="13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8"/>
      <c r="B17" s="128"/>
      <c r="C17" s="199"/>
      <c r="D17" s="199"/>
      <c r="E17" s="128"/>
      <c r="F17" s="128"/>
      <c r="G17" s="200" t="str">
        <f aca="false">IF(OR(E17="",F17=""),"",IF(AND(E17&lt;=2,F17&lt;=2),"TRIGGER","OK"))</f>
        <v/>
      </c>
      <c r="H17" s="128"/>
      <c r="I17" s="128"/>
      <c r="J17" s="200" t="str">
        <f aca="false">IF(OR(H17="",I17=""),"",IF(AND(H17&lt;=2,I17&lt;=2),"TRIGGER","OK"))</f>
        <v/>
      </c>
      <c r="K17" s="128"/>
      <c r="L17" s="128"/>
      <c r="M17" s="200" t="str">
        <f aca="false">IF(OR(K17="",L17=""),"",IF(AND(K17&lt;=2,L17&lt;=2),"TRIGGER","OK"))</f>
        <v/>
      </c>
      <c r="N17" s="128"/>
      <c r="O17" s="128"/>
      <c r="P17" s="200" t="str">
        <f aca="false">IF(OR(N17="",O17=""),"",IF(AND(N17&lt;=2,O17&lt;=2),"TRIGGER","OK"))</f>
        <v/>
      </c>
      <c r="Q17" s="128"/>
      <c r="R17" s="128"/>
      <c r="S17" s="200" t="str">
        <f aca="false">IF(OR(Q17="",R17=""),"",IF(AND(Q17&lt;=2,R17&lt;=2),"TRIGGER","OK"))</f>
        <v/>
      </c>
      <c r="T17" s="201"/>
      <c r="U17" s="201"/>
      <c r="V17" s="199"/>
      <c r="W17" s="199"/>
      <c r="X17" s="128"/>
      <c r="Y17" s="128"/>
      <c r="Z17" s="20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8"/>
      <c r="AB17" s="13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8"/>
      <c r="B18" s="128"/>
      <c r="C18" s="199"/>
      <c r="D18" s="199"/>
      <c r="E18" s="128"/>
      <c r="F18" s="128"/>
      <c r="G18" s="200" t="str">
        <f aca="false">IF(OR(E18="",F18=""),"",IF(AND(E18&lt;=2,F18&lt;=2),"TRIGGER","OK"))</f>
        <v/>
      </c>
      <c r="H18" s="128"/>
      <c r="I18" s="128"/>
      <c r="J18" s="200" t="str">
        <f aca="false">IF(OR(H18="",I18=""),"",IF(AND(H18&lt;=2,I18&lt;=2),"TRIGGER","OK"))</f>
        <v/>
      </c>
      <c r="K18" s="128"/>
      <c r="L18" s="128"/>
      <c r="M18" s="200" t="str">
        <f aca="false">IF(OR(K18="",L18=""),"",IF(AND(K18&lt;=2,L18&lt;=2),"TRIGGER","OK"))</f>
        <v/>
      </c>
      <c r="N18" s="128"/>
      <c r="O18" s="128"/>
      <c r="P18" s="200" t="str">
        <f aca="false">IF(OR(N18="",O18=""),"",IF(AND(N18&lt;=2,O18&lt;=2),"TRIGGER","OK"))</f>
        <v/>
      </c>
      <c r="Q18" s="128"/>
      <c r="R18" s="128"/>
      <c r="S18" s="200" t="str">
        <f aca="false">IF(OR(Q18="",R18=""),"",IF(AND(Q18&lt;=2,R18&lt;=2),"TRIGGER","OK"))</f>
        <v/>
      </c>
      <c r="T18" s="201"/>
      <c r="U18" s="201"/>
      <c r="V18" s="199"/>
      <c r="W18" s="199"/>
      <c r="X18" s="128"/>
      <c r="Y18" s="128"/>
      <c r="Z18" s="20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8"/>
      <c r="AB18" s="13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8"/>
      <c r="B19" s="128"/>
      <c r="C19" s="199"/>
      <c r="D19" s="199"/>
      <c r="E19" s="128"/>
      <c r="F19" s="128"/>
      <c r="G19" s="200" t="str">
        <f aca="false">IF(OR(E19="",F19=""),"",IF(AND(E19&lt;=2,F19&lt;=2),"TRIGGER","OK"))</f>
        <v/>
      </c>
      <c r="H19" s="128"/>
      <c r="I19" s="128"/>
      <c r="J19" s="200" t="str">
        <f aca="false">IF(OR(H19="",I19=""),"",IF(AND(H19&lt;=2,I19&lt;=2),"TRIGGER","OK"))</f>
        <v/>
      </c>
      <c r="K19" s="128"/>
      <c r="L19" s="128"/>
      <c r="M19" s="200" t="str">
        <f aca="false">IF(OR(K19="",L19=""),"",IF(AND(K19&lt;=2,L19&lt;=2),"TRIGGER","OK"))</f>
        <v/>
      </c>
      <c r="N19" s="128"/>
      <c r="O19" s="128"/>
      <c r="P19" s="200" t="str">
        <f aca="false">IF(OR(N19="",O19=""),"",IF(AND(N19&lt;=2,O19&lt;=2),"TRIGGER","OK"))</f>
        <v/>
      </c>
      <c r="Q19" s="128"/>
      <c r="R19" s="128"/>
      <c r="S19" s="200" t="str">
        <f aca="false">IF(OR(Q19="",R19=""),"",IF(AND(Q19&lt;=2,R19&lt;=2),"TRIGGER","OK"))</f>
        <v/>
      </c>
      <c r="T19" s="201"/>
      <c r="U19" s="201"/>
      <c r="V19" s="199"/>
      <c r="W19" s="199"/>
      <c r="X19" s="128"/>
      <c r="Y19" s="128"/>
      <c r="Z19" s="20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8"/>
      <c r="AB19" s="13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8"/>
      <c r="B20" s="128"/>
      <c r="C20" s="199"/>
      <c r="D20" s="199"/>
      <c r="E20" s="128"/>
      <c r="F20" s="128"/>
      <c r="G20" s="200" t="str">
        <f aca="false">IF(OR(E20="",F20=""),"",IF(AND(E20&lt;=2,F20&lt;=2),"TRIGGER","OK"))</f>
        <v/>
      </c>
      <c r="H20" s="128"/>
      <c r="I20" s="128"/>
      <c r="J20" s="200" t="str">
        <f aca="false">IF(OR(H20="",I20=""),"",IF(AND(H20&lt;=2,I20&lt;=2),"TRIGGER","OK"))</f>
        <v/>
      </c>
      <c r="K20" s="128"/>
      <c r="L20" s="128"/>
      <c r="M20" s="200" t="str">
        <f aca="false">IF(OR(K20="",L20=""),"",IF(AND(K20&lt;=2,L20&lt;=2),"TRIGGER","OK"))</f>
        <v/>
      </c>
      <c r="N20" s="128"/>
      <c r="O20" s="128"/>
      <c r="P20" s="200" t="str">
        <f aca="false">IF(OR(N20="",O20=""),"",IF(AND(N20&lt;=2,O20&lt;=2),"TRIGGER","OK"))</f>
        <v/>
      </c>
      <c r="Q20" s="128"/>
      <c r="R20" s="128"/>
      <c r="S20" s="200" t="str">
        <f aca="false">IF(OR(Q20="",R20=""),"",IF(AND(Q20&lt;=2,R20&lt;=2),"TRIGGER","OK"))</f>
        <v/>
      </c>
      <c r="T20" s="201"/>
      <c r="U20" s="201"/>
      <c r="V20" s="199"/>
      <c r="W20" s="199"/>
      <c r="X20" s="128"/>
      <c r="Y20" s="128"/>
      <c r="Z20" s="20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8"/>
      <c r="AB20" s="13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8"/>
      <c r="B21" s="128"/>
      <c r="C21" s="199"/>
      <c r="D21" s="199"/>
      <c r="E21" s="128"/>
      <c r="F21" s="128"/>
      <c r="G21" s="200" t="str">
        <f aca="false">IF(OR(E21="",F21=""),"",IF(AND(E21&lt;=2,F21&lt;=2),"TRIGGER","OK"))</f>
        <v/>
      </c>
      <c r="H21" s="128"/>
      <c r="I21" s="128"/>
      <c r="J21" s="200" t="str">
        <f aca="false">IF(OR(H21="",I21=""),"",IF(AND(H21&lt;=2,I21&lt;=2),"TRIGGER","OK"))</f>
        <v/>
      </c>
      <c r="K21" s="128"/>
      <c r="L21" s="128"/>
      <c r="M21" s="200" t="str">
        <f aca="false">IF(OR(K21="",L21=""),"",IF(AND(K21&lt;=2,L21&lt;=2),"TRIGGER","OK"))</f>
        <v/>
      </c>
      <c r="N21" s="128"/>
      <c r="O21" s="128"/>
      <c r="P21" s="200" t="str">
        <f aca="false">IF(OR(N21="",O21=""),"",IF(AND(N21&lt;=2,O21&lt;=2),"TRIGGER","OK"))</f>
        <v/>
      </c>
      <c r="Q21" s="128"/>
      <c r="R21" s="128"/>
      <c r="S21" s="200" t="str">
        <f aca="false">IF(OR(Q21="",R21=""),"",IF(AND(Q21&lt;=2,R21&lt;=2),"TRIGGER","OK"))</f>
        <v/>
      </c>
      <c r="T21" s="201"/>
      <c r="U21" s="201"/>
      <c r="V21" s="199"/>
      <c r="W21" s="199"/>
      <c r="X21" s="128"/>
      <c r="Y21" s="128"/>
      <c r="Z21" s="20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8"/>
      <c r="AB21" s="13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8"/>
      <c r="B22" s="128"/>
      <c r="C22" s="199"/>
      <c r="D22" s="199"/>
      <c r="E22" s="128"/>
      <c r="F22" s="128"/>
      <c r="G22" s="200" t="str">
        <f aca="false">IF(OR(E22="",F22=""),"",IF(AND(E22&lt;=2,F22&lt;=2),"TRIGGER","OK"))</f>
        <v/>
      </c>
      <c r="H22" s="128"/>
      <c r="I22" s="128"/>
      <c r="J22" s="200" t="str">
        <f aca="false">IF(OR(H22="",I22=""),"",IF(AND(H22&lt;=2,I22&lt;=2),"TRIGGER","OK"))</f>
        <v/>
      </c>
      <c r="K22" s="128"/>
      <c r="L22" s="128"/>
      <c r="M22" s="200" t="str">
        <f aca="false">IF(OR(K22="",L22=""),"",IF(AND(K22&lt;=2,L22&lt;=2),"TRIGGER","OK"))</f>
        <v/>
      </c>
      <c r="N22" s="128"/>
      <c r="O22" s="128"/>
      <c r="P22" s="200" t="str">
        <f aca="false">IF(OR(N22="",O22=""),"",IF(AND(N22&lt;=2,O22&lt;=2),"TRIGGER","OK"))</f>
        <v/>
      </c>
      <c r="Q22" s="128"/>
      <c r="R22" s="128"/>
      <c r="S22" s="200" t="str">
        <f aca="false">IF(OR(Q22="",R22=""),"",IF(AND(Q22&lt;=2,R22&lt;=2),"TRIGGER","OK"))</f>
        <v/>
      </c>
      <c r="T22" s="201"/>
      <c r="U22" s="201"/>
      <c r="V22" s="199"/>
      <c r="W22" s="199"/>
      <c r="X22" s="128"/>
      <c r="Y22" s="128"/>
      <c r="Z22" s="20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8"/>
      <c r="AB22" s="13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8"/>
      <c r="B23" s="128"/>
      <c r="C23" s="199"/>
      <c r="D23" s="199"/>
      <c r="E23" s="128"/>
      <c r="F23" s="128"/>
      <c r="G23" s="200" t="str">
        <f aca="false">IF(OR(E23="",F23=""),"",IF(AND(E23&lt;=2,F23&lt;=2),"TRIGGER","OK"))</f>
        <v/>
      </c>
      <c r="H23" s="128"/>
      <c r="I23" s="128"/>
      <c r="J23" s="200" t="str">
        <f aca="false">IF(OR(H23="",I23=""),"",IF(AND(H23&lt;=2,I23&lt;=2),"TRIGGER","OK"))</f>
        <v/>
      </c>
      <c r="K23" s="128"/>
      <c r="L23" s="128"/>
      <c r="M23" s="200" t="str">
        <f aca="false">IF(OR(K23="",L23=""),"",IF(AND(K23&lt;=2,L23&lt;=2),"TRIGGER","OK"))</f>
        <v/>
      </c>
      <c r="N23" s="128"/>
      <c r="O23" s="128"/>
      <c r="P23" s="200" t="str">
        <f aca="false">IF(OR(N23="",O23=""),"",IF(AND(N23&lt;=2,O23&lt;=2),"TRIGGER","OK"))</f>
        <v/>
      </c>
      <c r="Q23" s="128"/>
      <c r="R23" s="128"/>
      <c r="S23" s="200" t="str">
        <f aca="false">IF(OR(Q23="",R23=""),"",IF(AND(Q23&lt;=2,R23&lt;=2),"TRIGGER","OK"))</f>
        <v/>
      </c>
      <c r="T23" s="201"/>
      <c r="U23" s="201"/>
      <c r="V23" s="199"/>
      <c r="W23" s="199"/>
      <c r="X23" s="128"/>
      <c r="Y23" s="128"/>
      <c r="Z23" s="20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8"/>
      <c r="AB23" s="13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44"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7.5"/>
    <col collapsed="false" customWidth="true" hidden="false" outlineLevel="0" max="4" min="4" style="1" width="7.83"/>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6.83"/>
    <col collapsed="false" customWidth="true" hidden="false" outlineLevel="0" max="10" min="10" style="1" width="7.5"/>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8"/>
    <col collapsed="false" customWidth="true" hidden="false" outlineLevel="0" max="21" min="21" style="1" width="6.33"/>
    <col collapsed="false" customWidth="true" hidden="false" outlineLevel="0" max="24" min="22" style="1" width="7.33"/>
    <col collapsed="false" customWidth="true" hidden="false" outlineLevel="0" max="25" min="25" style="1" width="9"/>
    <col collapsed="false" customWidth="true" hidden="false" outlineLevel="0" max="27" min="26" style="1" width="11.5"/>
    <col collapsed="false" customWidth="true" hidden="false" outlineLevel="0" max="28" min="28" style="1" width="7"/>
    <col collapsed="false" customWidth="true" hidden="false" outlineLevel="0" max="29" min="29" style="1" width="8.16"/>
  </cols>
  <sheetData>
    <row r="1" customFormat="false" ht="141.75" hidden="false" customHeight="true" outlineLevel="0" collapsed="false">
      <c r="A1" s="202" t="s">
        <v>542</v>
      </c>
      <c r="B1" s="202"/>
      <c r="C1" s="202"/>
      <c r="D1" s="202"/>
      <c r="E1" s="202"/>
      <c r="F1" s="202"/>
      <c r="G1" s="202"/>
      <c r="H1" s="202"/>
      <c r="I1" s="202"/>
      <c r="J1" s="202"/>
      <c r="K1" s="202"/>
      <c r="L1" s="202"/>
      <c r="M1" s="202"/>
      <c r="N1" s="202"/>
      <c r="O1" s="202"/>
      <c r="P1" s="202"/>
      <c r="Q1" s="196"/>
    </row>
    <row r="2" customFormat="false" ht="42.75" hidden="false" customHeight="true" outlineLevel="0" collapsed="false">
      <c r="A2" s="60" t="s">
        <v>82</v>
      </c>
      <c r="B2" s="60" t="s">
        <v>296</v>
      </c>
      <c r="C2" s="60" t="s">
        <v>543</v>
      </c>
      <c r="D2" s="60" t="s">
        <v>544</v>
      </c>
      <c r="E2" s="60" t="s">
        <v>490</v>
      </c>
      <c r="F2" s="60" t="s">
        <v>545</v>
      </c>
      <c r="G2" s="60" t="s">
        <v>546</v>
      </c>
      <c r="H2" s="60" t="s">
        <v>547</v>
      </c>
      <c r="I2" s="60" t="s">
        <v>548</v>
      </c>
      <c r="J2" s="60" t="s">
        <v>549</v>
      </c>
      <c r="K2" s="60" t="s">
        <v>550</v>
      </c>
      <c r="L2" s="60" t="s">
        <v>551</v>
      </c>
      <c r="M2" s="60" t="s">
        <v>552</v>
      </c>
      <c r="N2" s="60" t="s">
        <v>553</v>
      </c>
      <c r="O2" s="60" t="s">
        <v>554</v>
      </c>
      <c r="P2" s="60" t="s">
        <v>555</v>
      </c>
      <c r="Q2" s="60" t="s">
        <v>556</v>
      </c>
      <c r="R2" s="60" t="s">
        <v>557</v>
      </c>
      <c r="S2" s="60" t="s">
        <v>558</v>
      </c>
      <c r="T2" s="60" t="s">
        <v>559</v>
      </c>
      <c r="U2" s="60" t="s">
        <v>560</v>
      </c>
      <c r="V2" s="60" t="s">
        <v>561</v>
      </c>
      <c r="W2" s="60" t="s">
        <v>562</v>
      </c>
      <c r="X2" s="60" t="s">
        <v>563</v>
      </c>
      <c r="Y2" s="60" t="s">
        <v>564</v>
      </c>
      <c r="Z2" s="60" t="s">
        <v>565</v>
      </c>
      <c r="AA2" s="60" t="s">
        <v>566</v>
      </c>
      <c r="AB2" s="60" t="s">
        <v>567</v>
      </c>
      <c r="AC2" s="60" t="s">
        <v>568</v>
      </c>
    </row>
    <row r="3" customFormat="false" ht="15" hidden="false" customHeight="true" outlineLevel="0" collapsed="false">
      <c r="A3" s="203" t="s">
        <v>96</v>
      </c>
      <c r="B3" s="128" t="s">
        <v>97</v>
      </c>
      <c r="C3" s="204" t="n">
        <v>46241</v>
      </c>
      <c r="D3" s="205" t="n">
        <v>266.38</v>
      </c>
      <c r="E3" s="206" t="n">
        <v>85.8</v>
      </c>
      <c r="F3" s="128" t="s">
        <v>349</v>
      </c>
      <c r="G3" s="128" t="s">
        <v>569</v>
      </c>
      <c r="H3" s="205" t="n">
        <v>773.26</v>
      </c>
      <c r="I3" s="128" t="s">
        <v>570</v>
      </c>
      <c r="J3" s="207"/>
      <c r="K3" s="205"/>
      <c r="L3" s="128"/>
      <c r="M3" s="205" t="n">
        <f aca="false">IFERROR(INDEX('Market Data'!$C$3:$C$300,MATCH($A3,'Market Data'!$A$3:$A$300,0)),"")</f>
        <v>242.27</v>
      </c>
      <c r="N3" s="205" t="n">
        <f aca="false">PT_SPY_Now</f>
        <v>778.57</v>
      </c>
      <c r="O3" s="208" t="n">
        <f aca="false">IF(OR(D3="",M3=""),"",M3/D3-1)</f>
        <v>-0.0905097980328853</v>
      </c>
      <c r="P3" s="208" t="n">
        <f aca="false">IF(OR(H3="",N3=""),"",N3/H3-1)</f>
        <v>0.00686703049427107</v>
      </c>
      <c r="Q3" s="208" t="n">
        <f aca="false">IF(OR(O3="",P3=""),"",O3-P3)</f>
        <v>-0.0973768285271563</v>
      </c>
      <c r="R3" s="205" t="s">
        <v>571</v>
      </c>
      <c r="S3" s="205" t="s">
        <v>572</v>
      </c>
      <c r="T3" s="209" t="n">
        <v>20</v>
      </c>
      <c r="U3" s="210" t="n">
        <f aca="false">IF($A3="","",IF(OR($S3="System",$I3="Exited"),$T3,SUMIFS(CurrentPositionsTable[Quantity],CurrentPositionsTable[Ticker],$A3)-SUMIFS($T$3:$T$44,$A$3:$A$44,$A3,$S$3:$S$44,"System",$I$3:$I$44,"Held")))</f>
        <v>20</v>
      </c>
      <c r="V3" s="211" t="n">
        <f aca="false">IF(OR($U3="",$D3=""),"",$U3*$D3)</f>
        <v>5327.6</v>
      </c>
      <c r="W3" s="211" t="n">
        <f aca="false">IF(OR($U3="",$M3=""),"",$U3*$M3)</f>
        <v>4845.4</v>
      </c>
      <c r="X3" s="212" t="n">
        <f aca="false">IF(OR($V3="",$W3=""),"",$W3-$V3)</f>
        <v>-482.2</v>
      </c>
      <c r="Y3" s="205" t="n">
        <f aca="false">$D3</f>
        <v>266.38</v>
      </c>
      <c r="Z3" s="211" t="n">
        <f aca="false">IF(OR($U3="",$Y3=""),"",$U3*$Y3)</f>
        <v>5327.6</v>
      </c>
      <c r="AA3" s="212" t="n">
        <f aca="false">IF(OR($Z3="",$W3=""),"",$W3-$Z3)</f>
        <v>-482.2</v>
      </c>
      <c r="AB3" s="208" t="n">
        <f aca="false">IF(OR($Z3="",$W3=""),"",IF($Z3=0,"",$W3/$Z3-1))</f>
        <v>-0.0905097980328853</v>
      </c>
      <c r="AC3" s="212" t="n">
        <f aca="false">IF(OR($V3="",$P3=""),"",$V3*$P3)</f>
        <v>36.5847916612785</v>
      </c>
    </row>
    <row r="4" customFormat="false" ht="15" hidden="false" customHeight="true" outlineLevel="0" collapsed="false">
      <c r="A4" s="203" t="s">
        <v>174</v>
      </c>
      <c r="B4" s="128" t="s">
        <v>175</v>
      </c>
      <c r="C4" s="204" t="n">
        <v>46241</v>
      </c>
      <c r="D4" s="205" t="n">
        <v>488.77</v>
      </c>
      <c r="E4" s="206" t="n">
        <v>75.6</v>
      </c>
      <c r="F4" s="128" t="s">
        <v>349</v>
      </c>
      <c r="G4" s="128" t="s">
        <v>573</v>
      </c>
      <c r="H4" s="205" t="n">
        <v>773.26</v>
      </c>
      <c r="I4" s="128" t="s">
        <v>570</v>
      </c>
      <c r="J4" s="207"/>
      <c r="K4" s="205"/>
      <c r="L4" s="128"/>
      <c r="M4" s="205" t="n">
        <f aca="false">IFERROR(INDEX('Market Data'!$C$3:$C$300,MATCH($A4,'Market Data'!$A$3:$A$300,0)),"")</f>
        <v>510.08</v>
      </c>
      <c r="N4" s="205" t="n">
        <f aca="false">PT_SPY_Now</f>
        <v>778.57</v>
      </c>
      <c r="O4" s="208" t="n">
        <f aca="false">IF(OR(D4="",M4=""),"",M4/D4-1)</f>
        <v>0.0435992389058248</v>
      </c>
      <c r="P4" s="208" t="n">
        <f aca="false">IF(OR(H4="",N4=""),"",N4/H4-1)</f>
        <v>0.00686703049427107</v>
      </c>
      <c r="Q4" s="208" t="n">
        <f aca="false">IF(OR(O4="",P4=""),"",O4-P4)</f>
        <v>0.0367322084115538</v>
      </c>
      <c r="R4" s="205" t="s">
        <v>571</v>
      </c>
      <c r="S4" s="205" t="s">
        <v>572</v>
      </c>
      <c r="T4" s="209" t="n">
        <v>25</v>
      </c>
      <c r="U4" s="210" t="n">
        <f aca="false">IF($A4="","",IF(OR($S4="System",$I4="Exited"),$T4,SUMIFS(CurrentPositionsTable[Quantity],CurrentPositionsTable[Ticker],$A4)-SUMIFS($T$3:$T$44,$A$3:$A$44,$A4,$S$3:$S$44,"System",$I$3:$I$44,"Held")))</f>
        <v>25</v>
      </c>
      <c r="V4" s="211" t="n">
        <f aca="false">IF(OR($U4="",$D4=""),"",$U4*$D4)</f>
        <v>12219.25</v>
      </c>
      <c r="W4" s="211" t="n">
        <f aca="false">IF(OR($U4="",$M4=""),"",$U4*$M4)</f>
        <v>12752</v>
      </c>
      <c r="X4" s="212" t="n">
        <f aca="false">IF(OR($V4="",$W4=""),"",$W4-$V4)</f>
        <v>532.75</v>
      </c>
      <c r="Y4" s="205" t="n">
        <f aca="false">$D4</f>
        <v>488.77</v>
      </c>
      <c r="Z4" s="211" t="n">
        <f aca="false">IF(OR($U4="",$Y4=""),"",$U4*$Y4)</f>
        <v>12219.25</v>
      </c>
      <c r="AA4" s="212" t="n">
        <f aca="false">IF(OR($Z4="",$W4=""),"",$W4-$Z4)</f>
        <v>532.75</v>
      </c>
      <c r="AB4" s="208" t="n">
        <f aca="false">IF(OR($Z4="",$W4=""),"",IF($Z4=0,"",$W4/$Z4-1))</f>
        <v>0.0435992389058248</v>
      </c>
      <c r="AC4" s="212" t="n">
        <f aca="false">IF(OR($V4="",$P4=""),"",$V4*$P4)</f>
        <v>83.9099623671217</v>
      </c>
    </row>
    <row r="5" customFormat="false" ht="15" hidden="false" customHeight="true" outlineLevel="0" collapsed="false">
      <c r="A5" s="203" t="s">
        <v>177</v>
      </c>
      <c r="B5" s="128" t="s">
        <v>355</v>
      </c>
      <c r="C5" s="204" t="n">
        <v>46241</v>
      </c>
      <c r="D5" s="205" t="n">
        <v>139.92</v>
      </c>
      <c r="E5" s="206" t="n">
        <v>82</v>
      </c>
      <c r="F5" s="128" t="s">
        <v>349</v>
      </c>
      <c r="G5" s="128" t="s">
        <v>569</v>
      </c>
      <c r="H5" s="205" t="n">
        <v>773.26</v>
      </c>
      <c r="I5" s="128" t="s">
        <v>570</v>
      </c>
      <c r="J5" s="207"/>
      <c r="K5" s="205"/>
      <c r="L5" s="128"/>
      <c r="M5" s="205" t="n">
        <f aca="false">IFERROR(INDEX('Market Data'!$C$3:$C$300,MATCH($A5,'Market Data'!$A$3:$A$300,0)),"")</f>
        <v>129.49</v>
      </c>
      <c r="N5" s="205" t="n">
        <f aca="false">PT_SPY_Now</f>
        <v>778.57</v>
      </c>
      <c r="O5" s="208" t="n">
        <f aca="false">IF(OR(D5="",M5=""),"",M5/D5-1)</f>
        <v>-0.0745425957690107</v>
      </c>
      <c r="P5" s="208" t="n">
        <f aca="false">IF(OR(H5="",N5=""),"",N5/H5-1)</f>
        <v>0.00686703049427107</v>
      </c>
      <c r="Q5" s="208" t="n">
        <f aca="false">IF(OR(O5="",P5=""),"",O5-P5)</f>
        <v>-0.0814096262632817</v>
      </c>
      <c r="R5" s="205" t="s">
        <v>571</v>
      </c>
      <c r="S5" s="205" t="s">
        <v>572</v>
      </c>
      <c r="T5" s="209" t="n">
        <v>64</v>
      </c>
      <c r="U5" s="210" t="n">
        <f aca="false">IF($A5="","",IF(OR($S5="System",$I5="Exited"),$T5,SUMIFS(CurrentPositionsTable[Quantity],CurrentPositionsTable[Ticker],$A5)-SUMIFS($T$3:$T$44,$A$3:$A$44,$A5,$S$3:$S$44,"System",$I$3:$I$44,"Held")))</f>
        <v>64</v>
      </c>
      <c r="V5" s="211" t="n">
        <f aca="false">IF(OR($U5="",$D5=""),"",$U5*$D5)</f>
        <v>8954.88</v>
      </c>
      <c r="W5" s="211" t="n">
        <f aca="false">IF(OR($U5="",$M5=""),"",$U5*$M5)</f>
        <v>8287.36</v>
      </c>
      <c r="X5" s="212" t="n">
        <f aca="false">IF(OR($V5="",$W5=""),"",$W5-$V5)</f>
        <v>-667.519999999999</v>
      </c>
      <c r="Y5" s="205" t="n">
        <f aca="false">$D5</f>
        <v>139.92</v>
      </c>
      <c r="Z5" s="211" t="n">
        <f aca="false">IF(OR($U5="",$Y5=""),"",$U5*$Y5)</f>
        <v>8954.88</v>
      </c>
      <c r="AA5" s="212" t="n">
        <f aca="false">IF(OR($Z5="",$W5=""),"",$W5-$Z5)</f>
        <v>-667.519999999999</v>
      </c>
      <c r="AB5" s="208" t="n">
        <f aca="false">IF(OR($Z5="",$W5=""),"",IF($Z5=0,"",$W5/$Z5-1))</f>
        <v>-0.0745425957690107</v>
      </c>
      <c r="AC5" s="212" t="n">
        <f aca="false">IF(OR($V5="",$P5=""),"",$V5*$P5)</f>
        <v>61.4934340325381</v>
      </c>
    </row>
    <row r="6" customFormat="false" ht="15" hidden="false" customHeight="true" outlineLevel="0" collapsed="false">
      <c r="A6" s="203" t="s">
        <v>119</v>
      </c>
      <c r="B6" s="128" t="s">
        <v>120</v>
      </c>
      <c r="C6" s="204" t="n">
        <v>46273</v>
      </c>
      <c r="D6" s="205" t="n">
        <v>368.97</v>
      </c>
      <c r="E6" s="206" t="n">
        <v>86.4</v>
      </c>
      <c r="F6" s="128" t="s">
        <v>349</v>
      </c>
      <c r="G6" s="128" t="s">
        <v>569</v>
      </c>
      <c r="H6" s="205" t="n">
        <v>767.53</v>
      </c>
      <c r="I6" s="128" t="s">
        <v>570</v>
      </c>
      <c r="J6" s="207"/>
      <c r="K6" s="205"/>
      <c r="L6" s="128"/>
      <c r="M6" s="205" t="n">
        <f aca="false">IFERROR(INDEX('Market Data'!$C$3:$C$300,MATCH($A6,'Market Data'!$A$3:$A$300,0)),"")</f>
        <v>385.45</v>
      </c>
      <c r="N6" s="205" t="n">
        <f aca="false">PT_SPY_Now</f>
        <v>778.57</v>
      </c>
      <c r="O6" s="208" t="n">
        <f aca="false">IF(OR(D6="",M6=""),"",M6/D6-1)</f>
        <v>0.0446648779033525</v>
      </c>
      <c r="P6" s="208" t="n">
        <f aca="false">IF(OR(H6="",N6=""),"",N6/H6-1)</f>
        <v>0.0143838025875211</v>
      </c>
      <c r="Q6" s="208" t="n">
        <f aca="false">IF(OR(O6="",P6=""),"",O6-P6)</f>
        <v>0.0302810753158314</v>
      </c>
      <c r="R6" s="205" t="s">
        <v>571</v>
      </c>
      <c r="S6" s="205" t="s">
        <v>572</v>
      </c>
      <c r="T6" s="209" t="n">
        <v>50</v>
      </c>
      <c r="U6" s="210" t="n">
        <f aca="false">IF($A6="","",IF(OR($S6="System",$I6="Exited"),$T6,SUMIFS(CurrentPositionsTable[Quantity],CurrentPositionsTable[Ticker],$A6)-SUMIFS($T$3:$T$44,$A$3:$A$44,$A6,$S$3:$S$44,"System",$I$3:$I$44,"Held")))</f>
        <v>50</v>
      </c>
      <c r="V6" s="211" t="n">
        <f aca="false">IF(OR($U6="",$D6=""),"",$U6*$D6)</f>
        <v>18448.5</v>
      </c>
      <c r="W6" s="211" t="n">
        <f aca="false">IF(OR($U6="",$M6=""),"",$U6*$M6)</f>
        <v>19272.5</v>
      </c>
      <c r="X6" s="212" t="n">
        <f aca="false">IF(OR($V6="",$W6=""),"",$W6-$V6)</f>
        <v>824</v>
      </c>
      <c r="Y6" s="205" t="n">
        <f aca="false">$D6</f>
        <v>368.97</v>
      </c>
      <c r="Z6" s="211" t="n">
        <f aca="false">IF(OR($U6="",$Y6=""),"",$U6*$Y6)</f>
        <v>18448.5</v>
      </c>
      <c r="AA6" s="212" t="n">
        <f aca="false">IF(OR($Z6="",$W6=""),"",$W6-$Z6)</f>
        <v>824</v>
      </c>
      <c r="AB6" s="208" t="n">
        <f aca="false">IF(OR($Z6="",$W6=""),"",IF($Z6=0,"",$W6/$Z6-1))</f>
        <v>0.0446648779033525</v>
      </c>
      <c r="AC6" s="212" t="n">
        <f aca="false">IF(OR($V6="",$P6=""),"",$V6*$P6)</f>
        <v>265.359582035884</v>
      </c>
    </row>
    <row r="7" customFormat="false" ht="15" hidden="false" customHeight="true" outlineLevel="0" collapsed="false">
      <c r="A7" s="203" t="s">
        <v>174</v>
      </c>
      <c r="B7" s="128" t="s">
        <v>574</v>
      </c>
      <c r="C7" s="204" t="n">
        <v>46273</v>
      </c>
      <c r="D7" s="205" t="n">
        <v>527.47</v>
      </c>
      <c r="E7" s="206"/>
      <c r="F7" s="128"/>
      <c r="G7" s="128"/>
      <c r="H7" s="205" t="n">
        <v>767.53</v>
      </c>
      <c r="I7" s="128" t="s">
        <v>570</v>
      </c>
      <c r="J7" s="207"/>
      <c r="K7" s="205"/>
      <c r="L7" s="128"/>
      <c r="M7" s="205" t="n">
        <f aca="false">IFERROR(INDEX('Market Data'!$C$3:$C$300,MATCH($A7,'Market Data'!$A$3:$A$300,0)),"")</f>
        <v>510.08</v>
      </c>
      <c r="N7" s="205" t="n">
        <f aca="false">PT_SPY_Now</f>
        <v>778.57</v>
      </c>
      <c r="O7" s="208" t="n">
        <f aca="false">IF(OR(D7="",M7=""),"",M7/D7-1)</f>
        <v>-0.0329686996416859</v>
      </c>
      <c r="P7" s="208" t="n">
        <f aca="false">IF(OR(H7="",N7=""),"",N7/H7-1)</f>
        <v>0.0143838025875211</v>
      </c>
      <c r="Q7" s="208" t="n">
        <f aca="false">IF(OR(O7="",P7=""),"",O7-P7)</f>
        <v>-0.0473525022292071</v>
      </c>
      <c r="R7" s="205" t="s">
        <v>571</v>
      </c>
      <c r="S7" s="205" t="s">
        <v>572</v>
      </c>
      <c r="T7" s="209" t="n">
        <v>15</v>
      </c>
      <c r="U7" s="210" t="n">
        <f aca="false">IF($A7="","",IF(OR($S7="System",$I7="Exited"),$T7,SUMIFS(CurrentPositionsTable[Quantity],CurrentPositionsTable[Ticker],$A7)-SUMIFS($T$3:$T$44,$A$3:$A$44,$A7,$S$3:$S$44,"System",$I$3:$I$44,"Held")))</f>
        <v>15</v>
      </c>
      <c r="V7" s="211" t="n">
        <f aca="false">IF(OR($U7="",$D7=""),"",$U7*$D7)</f>
        <v>7912.05</v>
      </c>
      <c r="W7" s="211" t="n">
        <f aca="false">IF(OR($U7="",$M7=""),"",$U7*$M7)</f>
        <v>7651.2</v>
      </c>
      <c r="X7" s="212" t="n">
        <f aca="false">IF(OR($V7="",$W7=""),"",$W7-$V7)</f>
        <v>-260.85</v>
      </c>
      <c r="Y7" s="205" t="n">
        <f aca="false">$D7</f>
        <v>527.47</v>
      </c>
      <c r="Z7" s="211" t="n">
        <f aca="false">IF(OR($U7="",$Y7=""),"",$U7*$Y7)</f>
        <v>7912.05</v>
      </c>
      <c r="AA7" s="212" t="n">
        <f aca="false">IF(OR($Z7="",$W7=""),"",$W7-$Z7)</f>
        <v>-260.85</v>
      </c>
      <c r="AB7" s="208" t="n">
        <f aca="false">IF(OR($Z7="",$W7=""),"",IF($Z7=0,"",$W7/$Z7-1))</f>
        <v>-0.0329686996416858</v>
      </c>
      <c r="AC7" s="212" t="n">
        <f aca="false">IF(OR($V7="",$P7=""),"",$V7*$P7)</f>
        <v>113.805365262597</v>
      </c>
    </row>
    <row r="8" customFormat="false" ht="15" hidden="false" customHeight="true" outlineLevel="0" collapsed="false">
      <c r="A8" s="203" t="s">
        <v>143</v>
      </c>
      <c r="B8" s="128" t="s">
        <v>144</v>
      </c>
      <c r="C8" s="204" t="n">
        <v>46295</v>
      </c>
      <c r="D8" s="205" t="n">
        <v>314.71</v>
      </c>
      <c r="E8" s="206" t="n">
        <v>84.2</v>
      </c>
      <c r="F8" s="128" t="s">
        <v>349</v>
      </c>
      <c r="G8" s="128" t="s">
        <v>569</v>
      </c>
      <c r="H8" s="205" t="n">
        <v>766.29</v>
      </c>
      <c r="I8" s="128" t="s">
        <v>570</v>
      </c>
      <c r="J8" s="207"/>
      <c r="K8" s="205"/>
      <c r="L8" s="128"/>
      <c r="M8" s="205" t="n">
        <f aca="false">IFERROR(INDEX('Market Data'!$C$3:$C$300,MATCH($A8,'Market Data'!$A$3:$A$300,0)),"")</f>
        <v>308.2</v>
      </c>
      <c r="N8" s="205" t="n">
        <f aca="false">PT_SPY_Now</f>
        <v>778.57</v>
      </c>
      <c r="O8" s="208" t="n">
        <f aca="false">IF(OR(D8="",M8=""),"",M8/D8-1)</f>
        <v>-0.0206857106542531</v>
      </c>
      <c r="P8" s="208" t="n">
        <f aca="false">IF(OR(H8="",N8=""),"",N8/H8-1)</f>
        <v>0.0160252645865144</v>
      </c>
      <c r="Q8" s="208" t="n">
        <f aca="false">IF(OR(O8="",P8=""),"",O8-P8)</f>
        <v>-0.0367109752407675</v>
      </c>
      <c r="R8" s="205" t="s">
        <v>571</v>
      </c>
      <c r="S8" s="205" t="s">
        <v>572</v>
      </c>
      <c r="T8" s="209" t="n">
        <v>75</v>
      </c>
      <c r="U8" s="210" t="n">
        <f aca="false">IF($A8="","",IF(OR($S8="System",$I8="Exited"),$T8,SUMIFS(CurrentPositionsTable[Quantity],CurrentPositionsTable[Ticker],$A8)-SUMIFS($T$3:$T$44,$A$3:$A$44,$A8,$S$3:$S$44,"System",$I$3:$I$44,"Held")))</f>
        <v>75</v>
      </c>
      <c r="V8" s="211" t="n">
        <f aca="false">IF(OR($U8="",$D8=""),"",$U8*$D8)</f>
        <v>23603.25</v>
      </c>
      <c r="W8" s="211" t="n">
        <f aca="false">IF(OR($U8="",$M8=""),"",$U8*$M8)</f>
        <v>23115</v>
      </c>
      <c r="X8" s="212" t="n">
        <f aca="false">IF(OR($V8="",$W8=""),"",$W8-$V8)</f>
        <v>-488.25</v>
      </c>
      <c r="Y8" s="205" t="n">
        <f aca="false">$D8</f>
        <v>314.71</v>
      </c>
      <c r="Z8" s="211" t="n">
        <f aca="false">IF(OR($U8="",$Y8=""),"",$U8*$Y8)</f>
        <v>23603.25</v>
      </c>
      <c r="AA8" s="212" t="n">
        <f aca="false">IF(OR($Z8="",$W8=""),"",$W8-$Z8)</f>
        <v>-488.25</v>
      </c>
      <c r="AB8" s="208" t="n">
        <f aca="false">IF(OR($Z8="",$W8=""),"",IF($Z8=0,"",$W8/$Z8-1))</f>
        <v>-0.0206857106542532</v>
      </c>
      <c r="AC8" s="212" t="n">
        <f aca="false">IF(OR($V8="",$P8=""),"",$V8*$P8)</f>
        <v>378.248326351647</v>
      </c>
    </row>
    <row r="9" customFormat="false" ht="15" hidden="false" customHeight="true" outlineLevel="0" collapsed="false">
      <c r="A9" s="203" t="s">
        <v>146</v>
      </c>
      <c r="B9" s="128" t="s">
        <v>147</v>
      </c>
      <c r="C9" s="204" t="n">
        <v>46295</v>
      </c>
      <c r="D9" s="205" t="n">
        <v>69.795</v>
      </c>
      <c r="E9" s="206" t="n">
        <v>83.8</v>
      </c>
      <c r="F9" s="128" t="s">
        <v>349</v>
      </c>
      <c r="G9" s="128" t="s">
        <v>569</v>
      </c>
      <c r="H9" s="205" t="n">
        <v>766.29</v>
      </c>
      <c r="I9" s="128" t="s">
        <v>570</v>
      </c>
      <c r="J9" s="207"/>
      <c r="K9" s="205"/>
      <c r="L9" s="128"/>
      <c r="M9" s="205" t="n">
        <f aca="false">IFERROR(INDEX('Market Data'!$C$3:$C$300,MATCH($A9,'Market Data'!$A$3:$A$300,0)),"")</f>
        <v>70.3</v>
      </c>
      <c r="N9" s="205" t="n">
        <f aca="false">PT_SPY_Now</f>
        <v>778.57</v>
      </c>
      <c r="O9" s="208" t="n">
        <f aca="false">IF(OR(D9="",M9=""),"",M9/D9-1)</f>
        <v>0.00723547532058166</v>
      </c>
      <c r="P9" s="208" t="n">
        <f aca="false">IF(OR(H9="",N9=""),"",N9/H9-1)</f>
        <v>0.0160252645865144</v>
      </c>
      <c r="Q9" s="208" t="n">
        <f aca="false">IF(OR(O9="",P9=""),"",O9-P9)</f>
        <v>-0.00878978926593277</v>
      </c>
      <c r="R9" s="205" t="s">
        <v>571</v>
      </c>
      <c r="S9" s="205" t="s">
        <v>572</v>
      </c>
      <c r="T9" s="209" t="n">
        <v>300</v>
      </c>
      <c r="U9" s="210" t="n">
        <f aca="false">IF($A9="","",IF(OR($S9="System",$I9="Exited"),$T9,SUMIFS(CurrentPositionsTable[Quantity],CurrentPositionsTable[Ticker],$A9)-SUMIFS($T$3:$T$44,$A$3:$A$44,$A9,$S$3:$S$44,"System",$I$3:$I$44,"Held")))</f>
        <v>300</v>
      </c>
      <c r="V9" s="211" t="n">
        <f aca="false">IF(OR($U9="",$D9=""),"",$U9*$D9)</f>
        <v>20938.5</v>
      </c>
      <c r="W9" s="211" t="n">
        <f aca="false">IF(OR($U9="",$M9=""),"",$U9*$M9)</f>
        <v>21090</v>
      </c>
      <c r="X9" s="212" t="n">
        <f aca="false">IF(OR($V9="",$W9=""),"",$W9-$V9)</f>
        <v>151.5</v>
      </c>
      <c r="Y9" s="205" t="n">
        <f aca="false">$D9</f>
        <v>69.795</v>
      </c>
      <c r="Z9" s="211" t="n">
        <f aca="false">IF(OR($U9="",$Y9=""),"",$U9*$Y9)</f>
        <v>20938.5</v>
      </c>
      <c r="AA9" s="212" t="n">
        <f aca="false">IF(OR($Z9="",$W9=""),"",$W9-$Z9)</f>
        <v>151.5</v>
      </c>
      <c r="AB9" s="208" t="n">
        <f aca="false">IF(OR($Z9="",$W9=""),"",IF($Z9=0,"",$W9/$Z9-1))</f>
        <v>0.00723547532058166</v>
      </c>
      <c r="AC9" s="212" t="n">
        <f aca="false">IF(OR($V9="",$P9=""),"",$V9*$P9)</f>
        <v>335.545002544732</v>
      </c>
    </row>
    <row r="10" customFormat="false" ht="15" hidden="false" customHeight="true" outlineLevel="0" collapsed="false">
      <c r="A10" s="203" t="s">
        <v>96</v>
      </c>
      <c r="B10" s="128" t="s">
        <v>575</v>
      </c>
      <c r="C10" s="207" t="n">
        <v>46239</v>
      </c>
      <c r="D10" s="205" t="n">
        <v>259.32</v>
      </c>
      <c r="E10" s="206"/>
      <c r="F10" s="128"/>
      <c r="G10" s="128"/>
      <c r="H10" s="205" t="n">
        <f aca="false">PT_SPY_0805</f>
        <v>769.79</v>
      </c>
      <c r="I10" s="128" t="s">
        <v>570</v>
      </c>
      <c r="J10" s="207"/>
      <c r="K10" s="205"/>
      <c r="L10" s="128"/>
      <c r="M10" s="205" t="n">
        <f aca="false">IFERROR(INDEX('Market Data'!$C$3:$C$300,MATCH($A10,'Market Data'!$A$3:$A$300,0)),"")</f>
        <v>242.27</v>
      </c>
      <c r="N10" s="205" t="n">
        <f aca="false">PT_SPY_Now</f>
        <v>778.57</v>
      </c>
      <c r="O10" s="208" t="n">
        <f aca="false">IF(OR(D10="",M10=""),"",M10/D10-1)</f>
        <v>-0.0657488816905752</v>
      </c>
      <c r="P10" s="208" t="n">
        <f aca="false">IF(OR(H10="",N10=""),"",N10/H10-1)</f>
        <v>0.0114057080502477</v>
      </c>
      <c r="Q10" s="208" t="n">
        <f aca="false">IF(OR(O10="",P10=""),"",O10-P10)</f>
        <v>-0.0771545897408229</v>
      </c>
      <c r="R10" s="205" t="s">
        <v>571</v>
      </c>
      <c r="S10" s="205" t="s">
        <v>576</v>
      </c>
      <c r="T10" s="209" t="n">
        <v>45</v>
      </c>
      <c r="U10" s="210" t="n">
        <f aca="false">IF($A10="","",IF(OR($S10="System",$I10="Exited"),$T10,SUMIFS(CurrentPositionsTable[Quantity],CurrentPositionsTable[Ticker],$A10)-SUMIFS($T$3:$T$44,$A$3:$A$44,$A10,$S$3:$S$44,"System",$I$3:$I$44,"Held")))</f>
        <v>45</v>
      </c>
      <c r="V10" s="211" t="n">
        <f aca="false">IF(OR($U10="",$D10=""),"",$U10*$D10)</f>
        <v>11669.4</v>
      </c>
      <c r="W10" s="211" t="n">
        <f aca="false">IF(OR($U10="",$M10=""),"",$U10*$M10)</f>
        <v>10902.15</v>
      </c>
      <c r="X10" s="212" t="n">
        <f aca="false">IF(OR($V10="",$W10=""),"",$W10-$V10)</f>
        <v>-767.25</v>
      </c>
      <c r="Y10" s="205" t="n">
        <v>349.99</v>
      </c>
      <c r="Z10" s="211" t="n">
        <f aca="false">IF(OR($U10="",$Y10=""),"",$U10*$Y10)</f>
        <v>15749.55</v>
      </c>
      <c r="AA10" s="212" t="n">
        <f aca="false">IF(OR($Z10="",$W10=""),"",$W10-$Z10)</f>
        <v>-4847.4</v>
      </c>
      <c r="AB10" s="208" t="n">
        <f aca="false">IF(OR($Z10="",$W10=""),"",IF($Z10=0,"",$W10/$Z10-1))</f>
        <v>-0.307780222292066</v>
      </c>
      <c r="AC10" s="212" t="n">
        <f aca="false">IF(OR($V10="",$P10=""),"",$V10*$P10)</f>
        <v>133.09776952156</v>
      </c>
    </row>
    <row r="11" customFormat="false" ht="15" hidden="false" customHeight="true" outlineLevel="0" collapsed="false">
      <c r="A11" s="203" t="s">
        <v>174</v>
      </c>
      <c r="B11" s="128" t="s">
        <v>577</v>
      </c>
      <c r="C11" s="207" t="n">
        <v>46239</v>
      </c>
      <c r="D11" s="205" t="n">
        <v>484.83</v>
      </c>
      <c r="E11" s="206"/>
      <c r="F11" s="128"/>
      <c r="G11" s="128"/>
      <c r="H11" s="205" t="n">
        <f aca="false">PT_SPY_0805</f>
        <v>769.79</v>
      </c>
      <c r="I11" s="128" t="s">
        <v>570</v>
      </c>
      <c r="J11" s="207"/>
      <c r="K11" s="205"/>
      <c r="L11" s="128"/>
      <c r="M11" s="205" t="n">
        <f aca="false">IFERROR(INDEX('Market Data'!$C$3:$C$300,MATCH($A11,'Market Data'!$A$3:$A$300,0)),"")</f>
        <v>510.08</v>
      </c>
      <c r="N11" s="205" t="n">
        <f aca="false">PT_SPY_Now</f>
        <v>778.57</v>
      </c>
      <c r="O11" s="208" t="n">
        <f aca="false">IF(OR(D11="",M11=""),"",M11/D11-1)</f>
        <v>0.0520801105542148</v>
      </c>
      <c r="P11" s="208" t="n">
        <f aca="false">IF(OR(H11="",N11=""),"",N11/H11-1)</f>
        <v>0.0114057080502477</v>
      </c>
      <c r="Q11" s="208" t="n">
        <f aca="false">IF(OR(O11="",P11=""),"",O11-P11)</f>
        <v>0.0406744025039671</v>
      </c>
      <c r="R11" s="205" t="s">
        <v>571</v>
      </c>
      <c r="S11" s="205" t="s">
        <v>576</v>
      </c>
      <c r="T11" s="209" t="n">
        <v>25</v>
      </c>
      <c r="U11" s="210" t="n">
        <f aca="false">IF($A11="","",IF(OR($S11="System",$I11="Exited"),$T11,SUMIFS(CurrentPositionsTable[Quantity],CurrentPositionsTable[Ticker],$A11)-SUMIFS($T$3:$T$44,$A$3:$A$44,$A11,$S$3:$S$44,"System",$I$3:$I$44,"Held")))</f>
        <v>25</v>
      </c>
      <c r="V11" s="211" t="n">
        <f aca="false">IF(OR($U11="",$D11=""),"",$U11*$D11)</f>
        <v>12120.75</v>
      </c>
      <c r="W11" s="211" t="n">
        <f aca="false">IF(OR($U11="",$M11=""),"",$U11*$M11)</f>
        <v>12752</v>
      </c>
      <c r="X11" s="212" t="n">
        <f aca="false">IF(OR($V11="",$W11=""),"",$W11-$V11)</f>
        <v>631.25</v>
      </c>
      <c r="Y11" s="205" t="n">
        <v>453.36</v>
      </c>
      <c r="Z11" s="211" t="n">
        <f aca="false">IF(OR($U11="",$Y11=""),"",$U11*$Y11)</f>
        <v>11334</v>
      </c>
      <c r="AA11" s="212" t="n">
        <f aca="false">IF(OR($Z11="",$W11=""),"",$W11-$Z11)</f>
        <v>1418</v>
      </c>
      <c r="AB11" s="208" t="n">
        <f aca="false">IF(OR($Z11="",$W11=""),"",IF($Z11=0,"",$W11/$Z11-1))</f>
        <v>0.125110287630139</v>
      </c>
      <c r="AC11" s="212" t="n">
        <f aca="false">IF(OR($V11="",$P11=""),"",$V11*$P11)</f>
        <v>138.245735850039</v>
      </c>
    </row>
    <row r="12" customFormat="false" ht="15" hidden="false" customHeight="true" outlineLevel="0" collapsed="false">
      <c r="A12" s="203" t="s">
        <v>177</v>
      </c>
      <c r="B12" s="128" t="s">
        <v>578</v>
      </c>
      <c r="C12" s="207" t="n">
        <v>46239</v>
      </c>
      <c r="D12" s="205" t="n">
        <v>140.76</v>
      </c>
      <c r="E12" s="206"/>
      <c r="F12" s="128"/>
      <c r="G12" s="128"/>
      <c r="H12" s="205" t="n">
        <f aca="false">PT_SPY_0805</f>
        <v>769.79</v>
      </c>
      <c r="I12" s="128" t="s">
        <v>570</v>
      </c>
      <c r="J12" s="207"/>
      <c r="K12" s="205"/>
      <c r="L12" s="128"/>
      <c r="M12" s="205" t="n">
        <f aca="false">IFERROR(INDEX('Market Data'!$C$3:$C$300,MATCH($A12,'Market Data'!$A$3:$A$300,0)),"")</f>
        <v>129.49</v>
      </c>
      <c r="N12" s="205" t="n">
        <f aca="false">PT_SPY_Now</f>
        <v>778.57</v>
      </c>
      <c r="O12" s="208" t="n">
        <f aca="false">IF(OR(D12="",M12=""),"",M12/D12-1)</f>
        <v>-0.080065359477124</v>
      </c>
      <c r="P12" s="208" t="n">
        <f aca="false">IF(OR(H12="",N12=""),"",N12/H12-1)</f>
        <v>0.0114057080502477</v>
      </c>
      <c r="Q12" s="208" t="n">
        <f aca="false">IF(OR(O12="",P12=""),"",O12-P12)</f>
        <v>-0.0914710675273717</v>
      </c>
      <c r="R12" s="205" t="s">
        <v>571</v>
      </c>
      <c r="S12" s="205" t="s">
        <v>576</v>
      </c>
      <c r="T12" s="209" t="n">
        <v>61.44837</v>
      </c>
      <c r="U12" s="210" t="n">
        <f aca="false">IF($A12="","",IF(OR($S12="System",$I12="Exited"),$T12,SUMIFS(CurrentPositionsTable[Quantity],CurrentPositionsTable[Ticker],$A12)-SUMIFS($T$3:$T$44,$A$3:$A$44,$A12,$S$3:$S$44,"System",$I$3:$I$44,"Held")))</f>
        <v>61.44837</v>
      </c>
      <c r="V12" s="211" t="n">
        <f aca="false">IF(OR($U12="",$D12=""),"",$U12*$D12)</f>
        <v>8649.4725612</v>
      </c>
      <c r="W12" s="211" t="n">
        <f aca="false">IF(OR($U12="",$M12=""),"",$U12*$M12)</f>
        <v>7956.9494313</v>
      </c>
      <c r="X12" s="212" t="n">
        <f aca="false">IF(OR($V12="",$W12=""),"",$W12-$V12)</f>
        <v>-692.523129899998</v>
      </c>
      <c r="Y12" s="205" t="n">
        <v>127.66</v>
      </c>
      <c r="Z12" s="211" t="n">
        <f aca="false">IF(OR($U12="",$Y12=""),"",$U12*$Y12)</f>
        <v>7844.4989142</v>
      </c>
      <c r="AA12" s="212" t="n">
        <f aca="false">IF(OR($Z12="",$W12=""),"",$W12-$Z12)</f>
        <v>112.450517100001</v>
      </c>
      <c r="AB12" s="208" t="n">
        <f aca="false">IF(OR($Z12="",$W12=""),"",IF($Z12=0,"",$W12/$Z12-1))</f>
        <v>0.0143349522168261</v>
      </c>
      <c r="AC12" s="212" t="n">
        <f aca="false">IF(OR($V12="",$P12=""),"",$V12*$P12)</f>
        <v>98.653358821675</v>
      </c>
    </row>
    <row r="13" customFormat="false" ht="15" hidden="false" customHeight="true" outlineLevel="0" collapsed="false">
      <c r="A13" s="203" t="s">
        <v>101</v>
      </c>
      <c r="B13" s="128" t="s">
        <v>102</v>
      </c>
      <c r="C13" s="207" t="n">
        <v>46239</v>
      </c>
      <c r="D13" s="205" t="n">
        <v>197.31</v>
      </c>
      <c r="E13" s="206"/>
      <c r="F13" s="128"/>
      <c r="G13" s="128"/>
      <c r="H13" s="205" t="n">
        <f aca="false">PT_SPY_0805</f>
        <v>769.79</v>
      </c>
      <c r="I13" s="128" t="s">
        <v>570</v>
      </c>
      <c r="J13" s="207"/>
      <c r="K13" s="205"/>
      <c r="L13" s="128"/>
      <c r="M13" s="205" t="n">
        <f aca="false">IFERROR(INDEX('Market Data'!$C$3:$C$300,MATCH($A13,'Market Data'!$A$3:$A$300,0)),"")</f>
        <v>216.74</v>
      </c>
      <c r="N13" s="205" t="n">
        <f aca="false">PT_SPY_Now</f>
        <v>778.57</v>
      </c>
      <c r="O13" s="208" t="n">
        <f aca="false">IF(OR(D13="",M13=""),"",M13/D13-1)</f>
        <v>0.0984744817799403</v>
      </c>
      <c r="P13" s="208" t="n">
        <f aca="false">IF(OR(H13="",N13=""),"",N13/H13-1)</f>
        <v>0.0114057080502477</v>
      </c>
      <c r="Q13" s="208" t="n">
        <f aca="false">IF(OR(O13="",P13=""),"",O13-P13)</f>
        <v>0.0870687737296927</v>
      </c>
      <c r="R13" s="205" t="s">
        <v>571</v>
      </c>
      <c r="S13" s="205" t="s">
        <v>576</v>
      </c>
      <c r="T13" s="209" t="n">
        <v>120</v>
      </c>
      <c r="U13" s="210" t="n">
        <f aca="false">IF($A13="","",IF(OR($S13="System",$I13="Exited"),$T13,SUMIFS(CurrentPositionsTable[Quantity],CurrentPositionsTable[Ticker],$A13)-SUMIFS($T$3:$T$44,$A$3:$A$44,$A13,$S$3:$S$44,"System",$I$3:$I$44,"Held")))</f>
        <v>120</v>
      </c>
      <c r="V13" s="211" t="n">
        <f aca="false">IF(OR($U13="",$D13=""),"",$U13*$D13)</f>
        <v>23677.2</v>
      </c>
      <c r="W13" s="211" t="n">
        <f aca="false">IF(OR($U13="",$M13=""),"",$U13*$M13)</f>
        <v>26008.8</v>
      </c>
      <c r="X13" s="212" t="n">
        <f aca="false">IF(OR($V13="",$W13=""),"",$W13-$V13)</f>
        <v>2331.6</v>
      </c>
      <c r="Y13" s="205" t="n">
        <v>131.03</v>
      </c>
      <c r="Z13" s="211" t="n">
        <f aca="false">IF(OR($U13="",$Y13=""),"",$U13*$Y13)</f>
        <v>15723.6</v>
      </c>
      <c r="AA13" s="212" t="n">
        <f aca="false">IF(OR($Z13="",$W13=""),"",$W13-$Z13)</f>
        <v>10285.2</v>
      </c>
      <c r="AB13" s="208" t="n">
        <f aca="false">IF(OR($Z13="",$W13=""),"",IF($Z13=0,"",$W13/$Z13-1))</f>
        <v>0.6541250095398</v>
      </c>
      <c r="AC13" s="212" t="n">
        <f aca="false">IF(OR($V13="",$P13=""),"",$V13*$P13)</f>
        <v>270.055230647324</v>
      </c>
    </row>
    <row r="14" customFormat="false" ht="15" hidden="false" customHeight="true" outlineLevel="0" collapsed="false">
      <c r="A14" s="203" t="s">
        <v>103</v>
      </c>
      <c r="B14" s="128" t="s">
        <v>104</v>
      </c>
      <c r="C14" s="207" t="n">
        <v>46239</v>
      </c>
      <c r="D14" s="205" t="n">
        <v>1678.22</v>
      </c>
      <c r="E14" s="206"/>
      <c r="F14" s="128"/>
      <c r="G14" s="128"/>
      <c r="H14" s="205" t="n">
        <f aca="false">PT_SPY_0805</f>
        <v>769.79</v>
      </c>
      <c r="I14" s="128" t="s">
        <v>570</v>
      </c>
      <c r="J14" s="207"/>
      <c r="K14" s="205"/>
      <c r="L14" s="128"/>
      <c r="M14" s="205" t="n">
        <f aca="false">IFERROR(INDEX('Market Data'!$C$3:$C$300,MATCH($A14,'Market Data'!$A$3:$A$300,0)),"")</f>
        <v>1780.34</v>
      </c>
      <c r="N14" s="205" t="n">
        <f aca="false">PT_SPY_Now</f>
        <v>778.57</v>
      </c>
      <c r="O14" s="208" t="n">
        <f aca="false">IF(OR(D14="",M14=""),"",M14/D14-1)</f>
        <v>0.0608501865071325</v>
      </c>
      <c r="P14" s="208" t="n">
        <f aca="false">IF(OR(H14="",N14=""),"",N14/H14-1)</f>
        <v>0.0114057080502477</v>
      </c>
      <c r="Q14" s="208" t="n">
        <f aca="false">IF(OR(O14="",P14=""),"",O14-P14)</f>
        <v>0.0494444784568848</v>
      </c>
      <c r="R14" s="205" t="s">
        <v>571</v>
      </c>
      <c r="S14" s="205" t="s">
        <v>576</v>
      </c>
      <c r="T14" s="209" t="n">
        <v>7</v>
      </c>
      <c r="U14" s="210" t="n">
        <f aca="false">IF($A14="","",IF(OR($S14="System",$I14="Exited"),$T14,SUMIFS(CurrentPositionsTable[Quantity],CurrentPositionsTable[Ticker],$A14)-SUMIFS($T$3:$T$44,$A$3:$A$44,$A14,$S$3:$S$44,"System",$I$3:$I$44,"Held")))</f>
        <v>7</v>
      </c>
      <c r="V14" s="211" t="n">
        <f aca="false">IF(OR($U14="",$D14=""),"",$U14*$D14)</f>
        <v>11747.54</v>
      </c>
      <c r="W14" s="211" t="n">
        <f aca="false">IF(OR($U14="",$M14=""),"",$U14*$M14)</f>
        <v>12462.38</v>
      </c>
      <c r="X14" s="212" t="n">
        <f aca="false">IF(OR($V14="",$W14=""),"",$W14-$V14)</f>
        <v>714.839999999998</v>
      </c>
      <c r="Y14" s="205" t="n">
        <v>1069.86</v>
      </c>
      <c r="Z14" s="211" t="n">
        <f aca="false">IF(OR($U14="",$Y14=""),"",$U14*$Y14)</f>
        <v>7489.02</v>
      </c>
      <c r="AA14" s="212" t="n">
        <f aca="false">IF(OR($Z14="",$W14=""),"",$W14-$Z14)</f>
        <v>4973.36</v>
      </c>
      <c r="AB14" s="208" t="n">
        <f aca="false">IF(OR($Z14="",$W14=""),"",IF($Z14=0,"",$W14/$Z14-1))</f>
        <v>0.664086889873441</v>
      </c>
      <c r="AC14" s="212" t="n">
        <f aca="false">IF(OR($V14="",$P14=""),"",$V14*$P14)</f>
        <v>133.989011548606</v>
      </c>
    </row>
    <row r="15" customFormat="false" ht="15" hidden="false" customHeight="true" outlineLevel="0" collapsed="false">
      <c r="A15" s="203" t="s">
        <v>172</v>
      </c>
      <c r="B15" s="128" t="s">
        <v>173</v>
      </c>
      <c r="C15" s="207" t="n">
        <v>46239</v>
      </c>
      <c r="D15" s="205" t="n">
        <v>418.28</v>
      </c>
      <c r="E15" s="206"/>
      <c r="F15" s="128"/>
      <c r="G15" s="128"/>
      <c r="H15" s="205" t="n">
        <f aca="false">PT_SPY_0805</f>
        <v>769.79</v>
      </c>
      <c r="I15" s="128" t="s">
        <v>570</v>
      </c>
      <c r="J15" s="207"/>
      <c r="K15" s="205"/>
      <c r="L15" s="128"/>
      <c r="M15" s="205" t="n">
        <f aca="false">IFERROR(INDEX('Market Data'!$C$3:$C$300,MATCH($A15,'Market Data'!$A$3:$A$300,0)),"")</f>
        <v>361.54</v>
      </c>
      <c r="N15" s="205" t="n">
        <f aca="false">PT_SPY_Now</f>
        <v>778.57</v>
      </c>
      <c r="O15" s="208" t="n">
        <f aca="false">IF(OR(D15="",M15=""),"",M15/D15-1)</f>
        <v>-0.135650760256288</v>
      </c>
      <c r="P15" s="208" t="n">
        <f aca="false">IF(OR(H15="",N15=""),"",N15/H15-1)</f>
        <v>0.0114057080502477</v>
      </c>
      <c r="Q15" s="208" t="n">
        <f aca="false">IF(OR(O15="",P15=""),"",O15-P15)</f>
        <v>-0.147056468306535</v>
      </c>
      <c r="R15" s="205" t="s">
        <v>571</v>
      </c>
      <c r="S15" s="205" t="s">
        <v>576</v>
      </c>
      <c r="T15" s="209" t="n">
        <v>35.07587</v>
      </c>
      <c r="U15" s="210" t="n">
        <f aca="false">IF($A15="","",IF(OR($S15="System",$I15="Exited"),$T15,SUMIFS(CurrentPositionsTable[Quantity],CurrentPositionsTable[Ticker],$A15)-SUMIFS($T$3:$T$44,$A$3:$A$44,$A15,$S$3:$S$44,"System",$I$3:$I$44,"Held")))</f>
        <v>35.07587</v>
      </c>
      <c r="V15" s="211" t="n">
        <f aca="false">IF(OR($U15="",$D15=""),"",$U15*$D15)</f>
        <v>14671.5349036</v>
      </c>
      <c r="W15" s="211" t="n">
        <f aca="false">IF(OR($U15="",$M15=""),"",$U15*$M15)</f>
        <v>12681.3300398</v>
      </c>
      <c r="X15" s="212" t="n">
        <f aca="false">IF(OR($V15="",$W15=""),"",$W15-$V15)</f>
        <v>-1990.2048638</v>
      </c>
      <c r="Y15" s="205" t="n">
        <v>346.1</v>
      </c>
      <c r="Z15" s="211" t="n">
        <f aca="false">IF(OR($U15="",$Y15=""),"",$U15*$Y15)</f>
        <v>12139.758607</v>
      </c>
      <c r="AA15" s="212" t="n">
        <f aca="false">IF(OR($Z15="",$W15=""),"",$W15-$Z15)</f>
        <v>541.5714328</v>
      </c>
      <c r="AB15" s="208" t="n">
        <f aca="false">IF(OR($Z15="",$W15=""),"",IF($Z15=0,"",$W15/$Z15-1))</f>
        <v>0.0446113839930655</v>
      </c>
      <c r="AC15" s="212" t="n">
        <f aca="false">IF(OR($V15="",$P15=""),"",$V15*$P15)</f>
        <v>167.33924375948</v>
      </c>
    </row>
    <row r="16" customFormat="false" ht="15" hidden="false" customHeight="true" outlineLevel="0" collapsed="false">
      <c r="A16" s="203" t="s">
        <v>105</v>
      </c>
      <c r="B16" s="128" t="s">
        <v>106</v>
      </c>
      <c r="C16" s="207" t="n">
        <v>46239</v>
      </c>
      <c r="D16" s="205" t="n">
        <v>209.86</v>
      </c>
      <c r="E16" s="206"/>
      <c r="F16" s="128"/>
      <c r="G16" s="128"/>
      <c r="H16" s="205" t="n">
        <f aca="false">PT_SPY_0805</f>
        <v>769.79</v>
      </c>
      <c r="I16" s="128" t="s">
        <v>570</v>
      </c>
      <c r="J16" s="207"/>
      <c r="K16" s="205"/>
      <c r="L16" s="128"/>
      <c r="M16" s="205" t="n">
        <f aca="false">IFERROR(INDEX('Market Data'!$C$3:$C$300,MATCH($A16,'Market Data'!$A$3:$A$300,0)),"")</f>
        <v>275.04</v>
      </c>
      <c r="N16" s="205" t="n">
        <f aca="false">PT_SPY_Now</f>
        <v>778.57</v>
      </c>
      <c r="O16" s="208" t="n">
        <f aca="false">IF(OR(D16="",M16=""),"",M16/D16-1)</f>
        <v>0.310588011054989</v>
      </c>
      <c r="P16" s="208" t="n">
        <f aca="false">IF(OR(H16="",N16=""),"",N16/H16-1)</f>
        <v>0.0114057080502477</v>
      </c>
      <c r="Q16" s="208" t="n">
        <f aca="false">IF(OR(O16="",P16=""),"",O16-P16)</f>
        <v>0.299182303004741</v>
      </c>
      <c r="R16" s="205" t="s">
        <v>571</v>
      </c>
      <c r="S16" s="205" t="s">
        <v>576</v>
      </c>
      <c r="T16" s="209" t="n">
        <v>85</v>
      </c>
      <c r="U16" s="210" t="n">
        <f aca="false">IF($A16="","",IF(OR($S16="System",$I16="Exited"),$T16,SUMIFS(CurrentPositionsTable[Quantity],CurrentPositionsTable[Ticker],$A16)-SUMIFS($T$3:$T$44,$A$3:$A$44,$A16,$S$3:$S$44,"System",$I$3:$I$44,"Held")))</f>
        <v>85</v>
      </c>
      <c r="V16" s="211" t="n">
        <f aca="false">IF(OR($U16="",$D16=""),"",$U16*$D16)</f>
        <v>17838.1</v>
      </c>
      <c r="W16" s="211" t="n">
        <f aca="false">IF(OR($U16="",$M16=""),"",$U16*$M16)</f>
        <v>23378.4</v>
      </c>
      <c r="X16" s="212" t="n">
        <f aca="false">IF(OR($V16="",$W16=""),"",$W16-$V16)</f>
        <v>5540.3</v>
      </c>
      <c r="Y16" s="205" t="n">
        <v>117.19</v>
      </c>
      <c r="Z16" s="211" t="n">
        <f aca="false">IF(OR($U16="",$Y16=""),"",$U16*$Y16)</f>
        <v>9961.15</v>
      </c>
      <c r="AA16" s="212" t="n">
        <f aca="false">IF(OR($Z16="",$W16=""),"",$W16-$Z16)</f>
        <v>13417.25</v>
      </c>
      <c r="AB16" s="208" t="n">
        <f aca="false">IF(OR($Z16="",$W16=""),"",IF($Z16=0,"",$W16/$Z16-1))</f>
        <v>1.34695793156413</v>
      </c>
      <c r="AC16" s="212" t="n">
        <f aca="false">IF(OR($V16="",$P16=""),"",$V16*$P16)</f>
        <v>203.456160771123</v>
      </c>
    </row>
    <row r="17" customFormat="false" ht="15" hidden="false" customHeight="true" outlineLevel="0" collapsed="false">
      <c r="A17" s="203" t="s">
        <v>107</v>
      </c>
      <c r="B17" s="128" t="s">
        <v>108</v>
      </c>
      <c r="C17" s="207" t="n">
        <v>46239</v>
      </c>
      <c r="D17" s="205" t="n">
        <v>192.8</v>
      </c>
      <c r="E17" s="206"/>
      <c r="F17" s="128"/>
      <c r="G17" s="128"/>
      <c r="H17" s="205" t="n">
        <f aca="false">PT_SPY_0805</f>
        <v>769.79</v>
      </c>
      <c r="I17" s="128" t="s">
        <v>570</v>
      </c>
      <c r="J17" s="207"/>
      <c r="K17" s="205"/>
      <c r="L17" s="128"/>
      <c r="M17" s="205" t="n">
        <f aca="false">IFERROR(INDEX('Market Data'!$C$3:$C$300,MATCH($A17,'Market Data'!$A$3:$A$300,0)),"")</f>
        <v>195.57</v>
      </c>
      <c r="N17" s="205" t="n">
        <f aca="false">PT_SPY_Now</f>
        <v>778.57</v>
      </c>
      <c r="O17" s="208" t="n">
        <f aca="false">IF(OR(D17="",M17=""),"",M17/D17-1)</f>
        <v>0.0143672199170124</v>
      </c>
      <c r="P17" s="208" t="n">
        <f aca="false">IF(OR(H17="",N17=""),"",N17/H17-1)</f>
        <v>0.0114057080502477</v>
      </c>
      <c r="Q17" s="208" t="n">
        <f aca="false">IF(OR(O17="",P17=""),"",O17-P17)</f>
        <v>0.00296151186676474</v>
      </c>
      <c r="R17" s="205" t="s">
        <v>571</v>
      </c>
      <c r="S17" s="205" t="s">
        <v>576</v>
      </c>
      <c r="T17" s="209" t="n">
        <v>100</v>
      </c>
      <c r="U17" s="210" t="n">
        <f aca="false">IF($A17="","",IF(OR($S17="System",$I17="Exited"),$T17,SUMIFS(CurrentPositionsTable[Quantity],CurrentPositionsTable[Ticker],$A17)-SUMIFS($T$3:$T$44,$A$3:$A$44,$A17,$S$3:$S$44,"System",$I$3:$I$44,"Held")))</f>
        <v>100</v>
      </c>
      <c r="V17" s="211" t="n">
        <f aca="false">IF(OR($U17="",$D17=""),"",$U17*$D17)</f>
        <v>19280</v>
      </c>
      <c r="W17" s="211" t="n">
        <f aca="false">IF(OR($U17="",$M17=""),"",$U17*$M17)</f>
        <v>19557</v>
      </c>
      <c r="X17" s="212" t="n">
        <f aca="false">IF(OR($V17="",$W17=""),"",$W17-$V17)</f>
        <v>277</v>
      </c>
      <c r="Y17" s="205" t="n">
        <v>121.508</v>
      </c>
      <c r="Z17" s="211" t="n">
        <f aca="false">IF(OR($U17="",$Y17=""),"",$U17*$Y17)</f>
        <v>12150.8</v>
      </c>
      <c r="AA17" s="212" t="n">
        <f aca="false">IF(OR($Z17="",$W17=""),"",$W17-$Z17)</f>
        <v>7406.2</v>
      </c>
      <c r="AB17" s="208" t="n">
        <f aca="false">IF(OR($Z17="",$W17=""),"",IF($Z17=0,"",$W17/$Z17-1))</f>
        <v>0.609523652763604</v>
      </c>
      <c r="AC17" s="212" t="n">
        <f aca="false">IF(OR($V17="",$P17=""),"",$V17*$P17)</f>
        <v>219.902051208775</v>
      </c>
    </row>
    <row r="18" customFormat="false" ht="15" hidden="false" customHeight="true" outlineLevel="0" collapsed="false">
      <c r="A18" s="203" t="s">
        <v>109</v>
      </c>
      <c r="B18" s="128" t="s">
        <v>110</v>
      </c>
      <c r="C18" s="207" t="n">
        <v>46239</v>
      </c>
      <c r="D18" s="205" t="n">
        <v>893.19</v>
      </c>
      <c r="E18" s="206"/>
      <c r="F18" s="128"/>
      <c r="G18" s="128"/>
      <c r="H18" s="205" t="n">
        <f aca="false">PT_SPY_0805</f>
        <v>769.79</v>
      </c>
      <c r="I18" s="128" t="s">
        <v>570</v>
      </c>
      <c r="J18" s="207"/>
      <c r="K18" s="205"/>
      <c r="L18" s="128"/>
      <c r="M18" s="205" t="n">
        <f aca="false">IFERROR(INDEX('Market Data'!$C$3:$C$300,MATCH($A18,'Market Data'!$A$3:$A$300,0)),"")</f>
        <v>1029</v>
      </c>
      <c r="N18" s="205" t="n">
        <f aca="false">PT_SPY_Now</f>
        <v>778.57</v>
      </c>
      <c r="O18" s="208" t="n">
        <f aca="false">IF(OR(D18="",M18=""),"",M18/D18-1)</f>
        <v>0.152050515567796</v>
      </c>
      <c r="P18" s="208" t="n">
        <f aca="false">IF(OR(H18="",N18=""),"",N18/H18-1)</f>
        <v>0.0114057080502477</v>
      </c>
      <c r="Q18" s="208" t="n">
        <f aca="false">IF(OR(O18="",P18=""),"",O18-P18)</f>
        <v>0.140644807517549</v>
      </c>
      <c r="R18" s="205" t="s">
        <v>571</v>
      </c>
      <c r="S18" s="205" t="s">
        <v>576</v>
      </c>
      <c r="T18" s="209" t="n">
        <v>7</v>
      </c>
      <c r="U18" s="210" t="n">
        <f aca="false">IF($A18="","",IF(OR($S18="System",$I18="Exited"),$T18,SUMIFS(CurrentPositionsTable[Quantity],CurrentPositionsTable[Ticker],$A18)-SUMIFS($T$3:$T$44,$A$3:$A$44,$A18,$S$3:$S$44,"System",$I$3:$I$44,"Held")))</f>
        <v>7</v>
      </c>
      <c r="V18" s="211" t="n">
        <f aca="false">IF(OR($U18="",$D18=""),"",$U18*$D18)</f>
        <v>6252.33</v>
      </c>
      <c r="W18" s="211" t="n">
        <f aca="false">IF(OR($U18="",$M18=""),"",$U18*$M18)</f>
        <v>7203</v>
      </c>
      <c r="X18" s="212" t="n">
        <f aca="false">IF(OR($V18="",$W18=""),"",$W18-$V18)</f>
        <v>950.67</v>
      </c>
      <c r="Y18" s="205" t="n">
        <v>285.41</v>
      </c>
      <c r="Z18" s="211" t="n">
        <f aca="false">IF(OR($U18="",$Y18=""),"",$U18*$Y18)</f>
        <v>1997.87</v>
      </c>
      <c r="AA18" s="212" t="n">
        <f aca="false">IF(OR($Z18="",$W18=""),"",$W18-$Z18)</f>
        <v>5205.13</v>
      </c>
      <c r="AB18" s="208" t="n">
        <f aca="false">IF(OR($Z18="",$W18=""),"",IF($Z18=0,"",$W18/$Z18-1))</f>
        <v>2.60533968676641</v>
      </c>
      <c r="AC18" s="212" t="n">
        <f aca="false">IF(OR($V18="",$P18=""),"",$V18*$P18)</f>
        <v>71.3122506138049</v>
      </c>
    </row>
    <row r="19" customFormat="false" ht="15" hidden="false" customHeight="true" outlineLevel="0" collapsed="false">
      <c r="A19" s="203" t="s">
        <v>111</v>
      </c>
      <c r="B19" s="128" t="s">
        <v>112</v>
      </c>
      <c r="C19" s="207" t="n">
        <v>46239</v>
      </c>
      <c r="D19" s="205" t="n">
        <v>219.22</v>
      </c>
      <c r="E19" s="206"/>
      <c r="F19" s="128"/>
      <c r="G19" s="128"/>
      <c r="H19" s="205" t="n">
        <f aca="false">PT_SPY_0805</f>
        <v>769.79</v>
      </c>
      <c r="I19" s="128" t="s">
        <v>570</v>
      </c>
      <c r="J19" s="207"/>
      <c r="K19" s="205"/>
      <c r="L19" s="128"/>
      <c r="M19" s="205" t="n">
        <f aca="false">IFERROR(INDEX('Market Data'!$C$3:$C$300,MATCH($A19,'Market Data'!$A$3:$A$300,0)),"")</f>
        <v>229.28</v>
      </c>
      <c r="N19" s="205" t="n">
        <f aca="false">PT_SPY_Now</f>
        <v>778.57</v>
      </c>
      <c r="O19" s="208" t="n">
        <f aca="false">IF(OR(D19="",M19=""),"",M19/D19-1)</f>
        <v>0.04588997354256</v>
      </c>
      <c r="P19" s="208" t="n">
        <f aca="false">IF(OR(H19="",N19=""),"",N19/H19-1)</f>
        <v>0.0114057080502477</v>
      </c>
      <c r="Q19" s="208" t="n">
        <f aca="false">IF(OR(O19="",P19=""),"",O19-P19)</f>
        <v>0.0344842654923123</v>
      </c>
      <c r="R19" s="205" t="s">
        <v>571</v>
      </c>
      <c r="S19" s="205" t="s">
        <v>576</v>
      </c>
      <c r="T19" s="209" t="n">
        <v>214.02188</v>
      </c>
      <c r="U19" s="210" t="n">
        <f aca="false">IF($A19="","",IF(OR($S19="System",$I19="Exited"),$T19,SUMIFS(CurrentPositionsTable[Quantity],CurrentPositionsTable[Ticker],$A19)-SUMIFS($T$3:$T$44,$A$3:$A$44,$A19,$S$3:$S$44,"System",$I$3:$I$44,"Held")))</f>
        <v>214.02188</v>
      </c>
      <c r="V19" s="211" t="n">
        <f aca="false">IF(OR($U19="",$D19=""),"",$U19*$D19)</f>
        <v>46917.8765336</v>
      </c>
      <c r="W19" s="211" t="n">
        <f aca="false">IF(OR($U19="",$M19=""),"",$U19*$M19)</f>
        <v>49070.9366464</v>
      </c>
      <c r="X19" s="212" t="n">
        <f aca="false">IF(OR($V19="",$W19=""),"",$W19-$V19)</f>
        <v>2153.06011280001</v>
      </c>
      <c r="Y19" s="205" t="n">
        <v>186.5</v>
      </c>
      <c r="Z19" s="211" t="n">
        <f aca="false">IF(OR($U19="",$Y19=""),"",$U19*$Y19)</f>
        <v>39915.08062</v>
      </c>
      <c r="AA19" s="212" t="n">
        <f aca="false">IF(OR($Z19="",$W19=""),"",$W19-$Z19)</f>
        <v>9155.8560264</v>
      </c>
      <c r="AB19" s="208" t="n">
        <f aca="false">IF(OR($Z19="",$W19=""),"",IF($Z19=0,"",$W19/$Z19-1))</f>
        <v>0.229383378016086</v>
      </c>
      <c r="AC19" s="212" t="n">
        <f aca="false">IF(OR($V19="",$P19=""),"",$V19*$P19)</f>
        <v>535.131602079807</v>
      </c>
    </row>
    <row r="20" customFormat="false" ht="15" hidden="false" customHeight="true" outlineLevel="0" collapsed="false">
      <c r="A20" s="203" t="s">
        <v>113</v>
      </c>
      <c r="B20" s="128" t="s">
        <v>114</v>
      </c>
      <c r="C20" s="207" t="n">
        <v>46239</v>
      </c>
      <c r="D20" s="205" t="n">
        <v>158.43</v>
      </c>
      <c r="E20" s="206"/>
      <c r="F20" s="128"/>
      <c r="G20" s="128"/>
      <c r="H20" s="205" t="n">
        <f aca="false">PT_SPY_0805</f>
        <v>769.79</v>
      </c>
      <c r="I20" s="128" t="s">
        <v>570</v>
      </c>
      <c r="J20" s="207"/>
      <c r="K20" s="205"/>
      <c r="L20" s="128"/>
      <c r="M20" s="205" t="n">
        <f aca="false">IFERROR(INDEX('Market Data'!$C$3:$C$300,MATCH($A20,'Market Data'!$A$3:$A$300,0)),"")</f>
        <v>209.05</v>
      </c>
      <c r="N20" s="205" t="n">
        <f aca="false">PT_SPY_Now</f>
        <v>778.57</v>
      </c>
      <c r="O20" s="208" t="n">
        <f aca="false">IF(OR(D20="",M20=""),"",M20/D20-1)</f>
        <v>0.319510193776431</v>
      </c>
      <c r="P20" s="208" t="n">
        <f aca="false">IF(OR(H20="",N20=""),"",N20/H20-1)</f>
        <v>0.0114057080502477</v>
      </c>
      <c r="Q20" s="208" t="n">
        <f aca="false">IF(OR(O20="",P20=""),"",O20-P20)</f>
        <v>0.308104485726184</v>
      </c>
      <c r="R20" s="205" t="s">
        <v>571</v>
      </c>
      <c r="S20" s="205" t="s">
        <v>576</v>
      </c>
      <c r="T20" s="209" t="n">
        <v>90</v>
      </c>
      <c r="U20" s="210" t="n">
        <f aca="false">IF($A20="","",IF(OR($S20="System",$I20="Exited"),$T20,SUMIFS(CurrentPositionsTable[Quantity],CurrentPositionsTable[Ticker],$A20)-SUMIFS($T$3:$T$44,$A$3:$A$44,$A20,$S$3:$S$44,"System",$I$3:$I$44,"Held")))</f>
        <v>90</v>
      </c>
      <c r="V20" s="211" t="n">
        <f aca="false">IF(OR($U20="",$D20=""),"",$U20*$D20)</f>
        <v>14258.7</v>
      </c>
      <c r="W20" s="211" t="n">
        <f aca="false">IF(OR($U20="",$M20=""),"",$U20*$M20)</f>
        <v>18814.5</v>
      </c>
      <c r="X20" s="212" t="n">
        <f aca="false">IF(OR($V20="",$W20=""),"",$W20-$V20)</f>
        <v>4555.8</v>
      </c>
      <c r="Y20" s="205" t="n">
        <v>177.75</v>
      </c>
      <c r="Z20" s="211" t="n">
        <f aca="false">IF(OR($U20="",$Y20=""),"",$U20*$Y20)</f>
        <v>15997.5</v>
      </c>
      <c r="AA20" s="212" t="n">
        <f aca="false">IF(OR($Z20="",$W20=""),"",$W20-$Z20)</f>
        <v>2817</v>
      </c>
      <c r="AB20" s="208" t="n">
        <f aca="false">IF(OR($Z20="",$W20=""),"",IF($Z20=0,"",$W20/$Z20-1))</f>
        <v>0.176090014064698</v>
      </c>
      <c r="AC20" s="212" t="n">
        <f aca="false">IF(OR($V20="",$P20=""),"",$V20*$P20)</f>
        <v>162.630569376066</v>
      </c>
    </row>
    <row r="21" customFormat="false" ht="15" hidden="false" customHeight="true" outlineLevel="0" collapsed="false">
      <c r="A21" s="203" t="s">
        <v>115</v>
      </c>
      <c r="B21" s="128" t="s">
        <v>116</v>
      </c>
      <c r="C21" s="207" t="n">
        <v>46239</v>
      </c>
      <c r="D21" s="205" t="n">
        <v>414</v>
      </c>
      <c r="E21" s="206"/>
      <c r="F21" s="128"/>
      <c r="G21" s="128"/>
      <c r="H21" s="205" t="n">
        <f aca="false">PT_SPY_0805</f>
        <v>769.79</v>
      </c>
      <c r="I21" s="128" t="s">
        <v>570</v>
      </c>
      <c r="J21" s="207"/>
      <c r="K21" s="205"/>
      <c r="L21" s="128"/>
      <c r="M21" s="205" t="n">
        <f aca="false">IFERROR(INDEX('Market Data'!$C$3:$C$300,MATCH($A21,'Market Data'!$A$3:$A$300,0)),"")</f>
        <v>453.31</v>
      </c>
      <c r="N21" s="205" t="n">
        <f aca="false">PT_SPY_Now</f>
        <v>778.57</v>
      </c>
      <c r="O21" s="208" t="n">
        <f aca="false">IF(OR(D21="",M21=""),"",M21/D21-1)</f>
        <v>0.094951690821256</v>
      </c>
      <c r="P21" s="208" t="n">
        <f aca="false">IF(OR(H21="",N21=""),"",N21/H21-1)</f>
        <v>0.0114057080502477</v>
      </c>
      <c r="Q21" s="208" t="n">
        <f aca="false">IF(OR(O21="",P21=""),"",O21-P21)</f>
        <v>0.0835459827710083</v>
      </c>
      <c r="R21" s="205" t="s">
        <v>571</v>
      </c>
      <c r="S21" s="205" t="s">
        <v>576</v>
      </c>
      <c r="T21" s="209" t="n">
        <v>25</v>
      </c>
      <c r="U21" s="210" t="n">
        <f aca="false">IF($A21="","",IF(OR($S21="System",$I21="Exited"),$T21,SUMIFS(CurrentPositionsTable[Quantity],CurrentPositionsTable[Ticker],$A21)-SUMIFS($T$3:$T$44,$A$3:$A$44,$A21,$S$3:$S$44,"System",$I$3:$I$44,"Held")))</f>
        <v>25</v>
      </c>
      <c r="V21" s="211" t="n">
        <f aca="false">IF(OR($U21="",$D21=""),"",$U21*$D21)</f>
        <v>10350</v>
      </c>
      <c r="W21" s="211" t="n">
        <f aca="false">IF(OR($U21="",$M21=""),"",$U21*$M21)</f>
        <v>11332.75</v>
      </c>
      <c r="X21" s="212" t="n">
        <f aca="false">IF(OR($V21="",$W21=""),"",$W21-$V21)</f>
        <v>982.75</v>
      </c>
      <c r="Y21" s="205" t="n">
        <v>303.89</v>
      </c>
      <c r="Z21" s="211" t="n">
        <f aca="false">IF(OR($U21="",$Y21=""),"",$U21*$Y21)</f>
        <v>7597.25</v>
      </c>
      <c r="AA21" s="212" t="n">
        <f aca="false">IF(OR($Z21="",$W21=""),"",$W21-$Z21)</f>
        <v>3735.5</v>
      </c>
      <c r="AB21" s="208" t="n">
        <f aca="false">IF(OR($Z21="",$W21=""),"",IF($Z21=0,"",$W21/$Z21-1))</f>
        <v>0.491691072427523</v>
      </c>
      <c r="AC21" s="212" t="n">
        <f aca="false">IF(OR($V21="",$P21=""),"",$V21*$P21)</f>
        <v>118.049078320063</v>
      </c>
    </row>
    <row r="22" customFormat="false" ht="15" hidden="false" customHeight="true" outlineLevel="0" collapsed="false">
      <c r="A22" s="203" t="s">
        <v>117</v>
      </c>
      <c r="B22" s="128" t="s">
        <v>118</v>
      </c>
      <c r="C22" s="207" t="n">
        <v>46239</v>
      </c>
      <c r="D22" s="205" t="n">
        <v>277.94</v>
      </c>
      <c r="E22" s="206"/>
      <c r="F22" s="128"/>
      <c r="G22" s="128"/>
      <c r="H22" s="205" t="n">
        <f aca="false">PT_SPY_0805</f>
        <v>769.79</v>
      </c>
      <c r="I22" s="128" t="s">
        <v>570</v>
      </c>
      <c r="J22" s="207"/>
      <c r="K22" s="205"/>
      <c r="L22" s="128"/>
      <c r="M22" s="205" t="n">
        <f aca="false">IFERROR(INDEX('Market Data'!$C$3:$C$300,MATCH($A22,'Market Data'!$A$3:$A$300,0)),"")</f>
        <v>242.78</v>
      </c>
      <c r="N22" s="205" t="n">
        <f aca="false">PT_SPY_Now</f>
        <v>778.57</v>
      </c>
      <c r="O22" s="208" t="n">
        <f aca="false">IF(OR(D22="",M22=""),"",M22/D22-1)</f>
        <v>-0.126502122760308</v>
      </c>
      <c r="P22" s="208" t="n">
        <f aca="false">IF(OR(H22="",N22=""),"",N22/H22-1)</f>
        <v>0.0114057080502477</v>
      </c>
      <c r="Q22" s="208" t="n">
        <f aca="false">IF(OR(O22="",P22=""),"",O22-P22)</f>
        <v>-0.137907830810556</v>
      </c>
      <c r="R22" s="205" t="s">
        <v>571</v>
      </c>
      <c r="S22" s="205" t="s">
        <v>576</v>
      </c>
      <c r="T22" s="209" t="n">
        <v>30</v>
      </c>
      <c r="U22" s="210" t="n">
        <f aca="false">IF($A22="","",IF(OR($S22="System",$I22="Exited"),$T22,SUMIFS(CurrentPositionsTable[Quantity],CurrentPositionsTable[Ticker],$A22)-SUMIFS($T$3:$T$44,$A$3:$A$44,$A22,$S$3:$S$44,"System",$I$3:$I$44,"Held")))</f>
        <v>30</v>
      </c>
      <c r="V22" s="211" t="n">
        <f aca="false">IF(OR($U22="",$D22=""),"",$U22*$D22)</f>
        <v>8338.2</v>
      </c>
      <c r="W22" s="211" t="n">
        <f aca="false">IF(OR($U22="",$M22=""),"",$U22*$M22)</f>
        <v>7283.4</v>
      </c>
      <c r="X22" s="212" t="n">
        <f aca="false">IF(OR($V22="",$W22=""),"",$W22-$V22)</f>
        <v>-1054.8</v>
      </c>
      <c r="Y22" s="205" t="n">
        <v>162.01</v>
      </c>
      <c r="Z22" s="211" t="n">
        <f aca="false">IF(OR($U22="",$Y22=""),"",$U22*$Y22)</f>
        <v>4860.3</v>
      </c>
      <c r="AA22" s="212" t="n">
        <f aca="false">IF(OR($Z22="",$W22=""),"",$W22-$Z22)</f>
        <v>2423.1</v>
      </c>
      <c r="AB22" s="208" t="n">
        <f aca="false">IF(OR($Z22="",$W22=""),"",IF($Z22=0,"",$W22/$Z22-1))</f>
        <v>0.498549472254799</v>
      </c>
      <c r="AC22" s="212" t="n">
        <f aca="false">IF(OR($V22="",$P22=""),"",$V22*$P22)</f>
        <v>95.103074864575</v>
      </c>
    </row>
    <row r="23" customFormat="false" ht="15" hidden="false" customHeight="true" outlineLevel="0" collapsed="false">
      <c r="A23" s="213" t="s">
        <v>163</v>
      </c>
      <c r="B23" s="128" t="s">
        <v>579</v>
      </c>
      <c r="C23" s="207" t="n">
        <v>46239</v>
      </c>
      <c r="D23" s="205" t="n">
        <v>127.24</v>
      </c>
      <c r="E23" s="206"/>
      <c r="F23" s="128"/>
      <c r="G23" s="128"/>
      <c r="H23" s="205" t="n">
        <f aca="false">PT_SPY_0805</f>
        <v>769.79</v>
      </c>
      <c r="I23" s="128" t="s">
        <v>570</v>
      </c>
      <c r="J23" s="207"/>
      <c r="K23" s="205"/>
      <c r="L23" s="128"/>
      <c r="M23" s="205" t="n">
        <f aca="false">IFERROR(INDEX('Market Data'!$C$3:$C$300,MATCH($A23,'Market Data'!$A$3:$A$300,0)),"")</f>
        <v>119.64</v>
      </c>
      <c r="N23" s="205" t="n">
        <f aca="false">PT_SPY_Now</f>
        <v>778.57</v>
      </c>
      <c r="O23" s="208" t="n">
        <f aca="false">IF(OR(D23="",M23=""),"",M23/D23-1)</f>
        <v>-0.0597296447657969</v>
      </c>
      <c r="P23" s="208" t="n">
        <f aca="false">IF(OR(H23="",N23=""),"",N23/H23-1)</f>
        <v>0.0114057080502477</v>
      </c>
      <c r="Q23" s="208" t="n">
        <f aca="false">IF(OR(O23="",P23=""),"",O23-P23)</f>
        <v>-0.0711353528160446</v>
      </c>
      <c r="R23" s="205" t="s">
        <v>580</v>
      </c>
      <c r="S23" s="205" t="s">
        <v>576</v>
      </c>
      <c r="T23" s="209" t="n">
        <v>400.00001</v>
      </c>
      <c r="U23" s="210" t="n">
        <f aca="false">IF($A23="","",IF(OR($S23="System",$I23="Exited"),$T23,SUMIFS(CurrentPositionsTable[Quantity],CurrentPositionsTable[Ticker],$A23)-SUMIFS($T$3:$T$44,$A$3:$A$44,$A23,$S$3:$S$44,"System",$I$3:$I$44,"Held")))</f>
        <v>400.00001</v>
      </c>
      <c r="V23" s="211" t="n">
        <f aca="false">IF(OR($U23="",$D23=""),"",$U23*$D23)</f>
        <v>50896.0012724</v>
      </c>
      <c r="W23" s="211" t="n">
        <f aca="false">IF(OR($U23="",$M23=""),"",$U23*$M23)</f>
        <v>47856.0011964</v>
      </c>
      <c r="X23" s="212" t="n">
        <f aca="false">IF(OR($V23="",$W23=""),"",$W23-$V23)</f>
        <v>-3040.000076</v>
      </c>
      <c r="Y23" s="205" t="n">
        <v>101.98</v>
      </c>
      <c r="Z23" s="211" t="n">
        <f aca="false">IF(OR($U23="",$Y23=""),"",$U23*$Y23)</f>
        <v>40792.0010198</v>
      </c>
      <c r="AA23" s="212" t="n">
        <f aca="false">IF(OR($Z23="",$W23=""),"",$W23-$Z23)</f>
        <v>7064.0001766</v>
      </c>
      <c r="AB23" s="208" t="n">
        <f aca="false">IF(OR($Z23="",$W23=""),"",IF($Z23=0,"",$W23/$Z23-1))</f>
        <v>0.173171210041184</v>
      </c>
      <c r="AC23" s="212" t="n">
        <f aca="false">IF(OR($V23="",$P23=""),"",$V23*$P23)</f>
        <v>580.504931438028</v>
      </c>
    </row>
    <row r="24" customFormat="false" ht="15" hidden="false" customHeight="true" outlineLevel="0" collapsed="false">
      <c r="A24" s="213" t="s">
        <v>128</v>
      </c>
      <c r="B24" s="128" t="s">
        <v>581</v>
      </c>
      <c r="C24" s="207" t="n">
        <v>46239</v>
      </c>
      <c r="D24" s="205" t="n">
        <v>161.67</v>
      </c>
      <c r="E24" s="206"/>
      <c r="F24" s="128"/>
      <c r="G24" s="128"/>
      <c r="H24" s="205" t="n">
        <f aca="false">PT_SPY_0805</f>
        <v>769.79</v>
      </c>
      <c r="I24" s="128" t="s">
        <v>570</v>
      </c>
      <c r="J24" s="207"/>
      <c r="K24" s="205"/>
      <c r="L24" s="128"/>
      <c r="M24" s="205" t="n">
        <f aca="false">IFERROR(INDEX('Market Data'!$C$3:$C$300,MATCH($A24,'Market Data'!$A$3:$A$300,0)),"")</f>
        <v>154.36</v>
      </c>
      <c r="N24" s="205" t="n">
        <f aca="false">PT_SPY_Now</f>
        <v>778.57</v>
      </c>
      <c r="O24" s="208" t="n">
        <f aca="false">IF(OR(D24="",M24=""),"",M24/D24-1)</f>
        <v>-0.0452155625657201</v>
      </c>
      <c r="P24" s="208" t="n">
        <f aca="false">IF(OR(H24="",N24=""),"",N24/H24-1)</f>
        <v>0.0114057080502477</v>
      </c>
      <c r="Q24" s="208" t="n">
        <f aca="false">IF(OR(O24="",P24=""),"",O24-P24)</f>
        <v>-0.0566212706159678</v>
      </c>
      <c r="R24" s="205" t="s">
        <v>580</v>
      </c>
      <c r="S24" s="205" t="s">
        <v>576</v>
      </c>
      <c r="T24" s="209" t="n">
        <v>150</v>
      </c>
      <c r="U24" s="210" t="n">
        <f aca="false">IF($A24="","",IF(OR($S24="System",$I24="Exited"),$T24,SUMIFS(CurrentPositionsTable[Quantity],CurrentPositionsTable[Ticker],$A24)-SUMIFS($T$3:$T$44,$A$3:$A$44,$A24,$S$3:$S$44,"System",$I$3:$I$44,"Held")))</f>
        <v>150</v>
      </c>
      <c r="V24" s="211" t="n">
        <f aca="false">IF(OR($U24="",$D24=""),"",$U24*$D24)</f>
        <v>24250.5</v>
      </c>
      <c r="W24" s="211" t="n">
        <f aca="false">IF(OR($U24="",$M24=""),"",$U24*$M24)</f>
        <v>23154</v>
      </c>
      <c r="X24" s="212" t="n">
        <f aca="false">IF(OR($V24="",$W24=""),"",$W24-$V24)</f>
        <v>-1096.49999999999</v>
      </c>
      <c r="Y24" s="205" t="n">
        <v>141.14</v>
      </c>
      <c r="Z24" s="211" t="n">
        <f aca="false">IF(OR($U24="",$Y24=""),"",$U24*$Y24)</f>
        <v>21171</v>
      </c>
      <c r="AA24" s="212" t="n">
        <f aca="false">IF(OR($Z24="",$W24=""),"",$W24-$Z24)</f>
        <v>1983.00000000001</v>
      </c>
      <c r="AB24" s="208" t="n">
        <f aca="false">IF(OR($Z24="",$W24=""),"",IF($Z24=0,"",$W24/$Z24-1))</f>
        <v>0.0936658636814514</v>
      </c>
      <c r="AC24" s="212" t="n">
        <f aca="false">IF(OR($V24="",$P24=""),"",$V24*$P24)</f>
        <v>276.594123072531</v>
      </c>
    </row>
    <row r="25" customFormat="false" ht="15" hidden="false" customHeight="true" outlineLevel="0" collapsed="false">
      <c r="A25" s="213" t="s">
        <v>169</v>
      </c>
      <c r="B25" s="128" t="s">
        <v>582</v>
      </c>
      <c r="C25" s="207" t="n">
        <v>46239</v>
      </c>
      <c r="D25" s="205" t="n">
        <v>69.61</v>
      </c>
      <c r="E25" s="206"/>
      <c r="F25" s="128"/>
      <c r="G25" s="128"/>
      <c r="H25" s="205" t="n">
        <f aca="false">PT_SPY_0805</f>
        <v>769.79</v>
      </c>
      <c r="I25" s="128" t="s">
        <v>570</v>
      </c>
      <c r="J25" s="207"/>
      <c r="K25" s="205"/>
      <c r="L25" s="128"/>
      <c r="M25" s="205" t="n">
        <f aca="false">IFERROR(INDEX('Market Data'!$C$3:$C$300,MATCH($A25,'Market Data'!$A$3:$A$300,0)),"")</f>
        <v>69.97</v>
      </c>
      <c r="N25" s="205" t="n">
        <f aca="false">PT_SPY_Now</f>
        <v>778.57</v>
      </c>
      <c r="O25" s="208" t="n">
        <f aca="false">IF(OR(D25="",M25=""),"",M25/D25-1)</f>
        <v>0.00517167073696312</v>
      </c>
      <c r="P25" s="208" t="n">
        <f aca="false">IF(OR(H25="",N25=""),"",N25/H25-1)</f>
        <v>0.0114057080502477</v>
      </c>
      <c r="Q25" s="208" t="n">
        <f aca="false">IF(OR(O25="",P25=""),"",O25-P25)</f>
        <v>-0.00623403731328454</v>
      </c>
      <c r="R25" s="205" t="s">
        <v>580</v>
      </c>
      <c r="S25" s="205" t="s">
        <v>576</v>
      </c>
      <c r="T25" s="209" t="n">
        <v>500</v>
      </c>
      <c r="U25" s="210" t="n">
        <f aca="false">IF($A25="","",IF(OR($S25="System",$I25="Exited"),$T25,SUMIFS(CurrentPositionsTable[Quantity],CurrentPositionsTable[Ticker],$A25)-SUMIFS($T$3:$T$44,$A$3:$A$44,$A25,$S$3:$S$44,"System",$I$3:$I$44,"Held")))</f>
        <v>500</v>
      </c>
      <c r="V25" s="211" t="n">
        <f aca="false">IF(OR($U25="",$D25=""),"",$U25*$D25)</f>
        <v>34805</v>
      </c>
      <c r="W25" s="211" t="n">
        <f aca="false">IF(OR($U25="",$M25=""),"",$U25*$M25)</f>
        <v>34985</v>
      </c>
      <c r="X25" s="212" t="n">
        <f aca="false">IF(OR($V25="",$W25=""),"",$W25-$V25)</f>
        <v>180</v>
      </c>
      <c r="Y25" s="205" t="n">
        <v>66.43</v>
      </c>
      <c r="Z25" s="211" t="n">
        <f aca="false">IF(OR($U25="",$Y25=""),"",$U25*$Y25)</f>
        <v>33215</v>
      </c>
      <c r="AA25" s="212" t="n">
        <f aca="false">IF(OR($Z25="",$W25=""),"",$W25-$Z25)</f>
        <v>1770</v>
      </c>
      <c r="AB25" s="208" t="n">
        <f aca="false">IF(OR($Z25="",$W25=""),"",IF($Z25=0,"",$W25/$Z25-1))</f>
        <v>0.0532891765768477</v>
      </c>
      <c r="AC25" s="212" t="n">
        <f aca="false">IF(OR($V25="",$P25=""),"",$V25*$P25)</f>
        <v>396.97566868887</v>
      </c>
    </row>
    <row r="26" customFormat="false" ht="15" hidden="false" customHeight="true" outlineLevel="0" collapsed="false">
      <c r="A26" s="213" t="s">
        <v>195</v>
      </c>
      <c r="B26" s="128" t="s">
        <v>583</v>
      </c>
      <c r="C26" s="207" t="n">
        <v>46239</v>
      </c>
      <c r="D26" s="205" t="n">
        <v>57.51</v>
      </c>
      <c r="E26" s="206"/>
      <c r="F26" s="128"/>
      <c r="G26" s="128"/>
      <c r="H26" s="205" t="n">
        <f aca="false">PT_SPY_0805</f>
        <v>769.79</v>
      </c>
      <c r="I26" s="128" t="s">
        <v>570</v>
      </c>
      <c r="J26" s="207"/>
      <c r="K26" s="205"/>
      <c r="L26" s="128"/>
      <c r="M26" s="205" t="n">
        <f aca="false">IFERROR(INDEX('Market Data'!$C$3:$C$300,MATCH($A26,'Market Data'!$A$3:$A$300,0)),"")</f>
        <v>56.77</v>
      </c>
      <c r="N26" s="205" t="n">
        <f aca="false">PT_SPY_Now</f>
        <v>778.57</v>
      </c>
      <c r="O26" s="208" t="n">
        <f aca="false">IF(OR(D26="",M26=""),"",M26/D26-1)</f>
        <v>-0.0128673274213179</v>
      </c>
      <c r="P26" s="208" t="n">
        <f aca="false">IF(OR(H26="",N26=""),"",N26/H26-1)</f>
        <v>0.0114057080502477</v>
      </c>
      <c r="Q26" s="208" t="n">
        <f aca="false">IF(OR(O26="",P26=""),"",O26-P26)</f>
        <v>-0.0242730354715656</v>
      </c>
      <c r="R26" s="205" t="s">
        <v>580</v>
      </c>
      <c r="S26" s="205" t="s">
        <v>576</v>
      </c>
      <c r="T26" s="209" t="n">
        <v>180</v>
      </c>
      <c r="U26" s="210" t="n">
        <f aca="false">IF($A26="","",IF(OR($S26="System",$I26="Exited"),$T26,SUMIFS(CurrentPositionsTable[Quantity],CurrentPositionsTable[Ticker],$A26)-SUMIFS($T$3:$T$44,$A$3:$A$44,$A26,$S$3:$S$44,"System",$I$3:$I$44,"Held")))</f>
        <v>180</v>
      </c>
      <c r="V26" s="211" t="n">
        <f aca="false">IF(OR($U26="",$D26=""),"",$U26*$D26)</f>
        <v>10351.8</v>
      </c>
      <c r="W26" s="211" t="n">
        <f aca="false">IF(OR($U26="",$M26=""),"",$U26*$M26)</f>
        <v>10218.6</v>
      </c>
      <c r="X26" s="212" t="n">
        <f aca="false">IF(OR($V26="",$W26=""),"",$W26-$V26)</f>
        <v>-133.199999999999</v>
      </c>
      <c r="Y26" s="205" t="n">
        <v>57.24</v>
      </c>
      <c r="Z26" s="211" t="n">
        <f aca="false">IF(OR($U26="",$Y26=""),"",$U26*$Y26)</f>
        <v>10303.2</v>
      </c>
      <c r="AA26" s="212" t="n">
        <f aca="false">IF(OR($Z26="",$W26=""),"",$W26-$Z26)</f>
        <v>-84.6000000000004</v>
      </c>
      <c r="AB26" s="208" t="n">
        <f aca="false">IF(OR($Z26="",$W26=""),"",IF($Z26=0,"",$W26/$Z26-1))</f>
        <v>-0.00821104122990923</v>
      </c>
      <c r="AC26" s="212" t="n">
        <f aca="false">IF(OR($V26="",$P26=""),"",$V26*$P26)</f>
        <v>118.069608594554</v>
      </c>
    </row>
    <row r="27" customFormat="false" ht="15" hidden="false" customHeight="true" outlineLevel="0" collapsed="false">
      <c r="A27" s="213" t="s">
        <v>159</v>
      </c>
      <c r="B27" s="128" t="s">
        <v>584</v>
      </c>
      <c r="C27" s="207" t="n">
        <v>46239</v>
      </c>
      <c r="D27" s="205" t="n">
        <v>59.38</v>
      </c>
      <c r="E27" s="206"/>
      <c r="F27" s="128"/>
      <c r="G27" s="128"/>
      <c r="H27" s="205" t="n">
        <f aca="false">PT_SPY_0805</f>
        <v>769.79</v>
      </c>
      <c r="I27" s="128" t="s">
        <v>570</v>
      </c>
      <c r="J27" s="207"/>
      <c r="K27" s="205"/>
      <c r="L27" s="128"/>
      <c r="M27" s="205" t="n">
        <f aca="false">IFERROR(INDEX('Market Data'!$C$3:$C$300,MATCH($A27,'Market Data'!$A$3:$A$300,0)),"")</f>
        <v>61.09</v>
      </c>
      <c r="N27" s="205" t="n">
        <f aca="false">PT_SPY_Now</f>
        <v>778.57</v>
      </c>
      <c r="O27" s="208" t="n">
        <f aca="false">IF(OR(D27="",M27=""),"",M27/D27-1)</f>
        <v>0.0287975749410576</v>
      </c>
      <c r="P27" s="208" t="n">
        <f aca="false">IF(OR(H27="",N27=""),"",N27/H27-1)</f>
        <v>0.0114057080502477</v>
      </c>
      <c r="Q27" s="208" t="n">
        <f aca="false">IF(OR(O27="",P27=""),"",O27-P27)</f>
        <v>0.01739186689081</v>
      </c>
      <c r="R27" s="205" t="s">
        <v>580</v>
      </c>
      <c r="S27" s="205" t="s">
        <v>576</v>
      </c>
      <c r="T27" s="209" t="n">
        <v>850.35693</v>
      </c>
      <c r="U27" s="210" t="n">
        <f aca="false">IF($A27="","",IF(OR($S27="System",$I27="Exited"),$T27,SUMIFS(CurrentPositionsTable[Quantity],CurrentPositionsTable[Ticker],$A27)-SUMIFS($T$3:$T$44,$A$3:$A$44,$A27,$S$3:$S$44,"System",$I$3:$I$44,"Held")))</f>
        <v>850.35693</v>
      </c>
      <c r="V27" s="211" t="n">
        <f aca="false">IF(OR($U27="",$D27=""),"",$U27*$D27)</f>
        <v>50494.1945034</v>
      </c>
      <c r="W27" s="211" t="n">
        <f aca="false">IF(OR($U27="",$M27=""),"",$U27*$M27)</f>
        <v>51948.3048537</v>
      </c>
      <c r="X27" s="212" t="n">
        <f aca="false">IF(OR($V27="",$W27=""),"",$W27-$V27)</f>
        <v>1454.11035030001</v>
      </c>
      <c r="Y27" s="205" t="n">
        <v>58.12</v>
      </c>
      <c r="Z27" s="211" t="n">
        <f aca="false">IF(OR($U27="",$Y27=""),"",$U27*$Y27)</f>
        <v>49422.7447716</v>
      </c>
      <c r="AA27" s="212" t="n">
        <f aca="false">IF(OR($Z27="",$W27=""),"",$W27-$Z27)</f>
        <v>2525.5600821</v>
      </c>
      <c r="AB27" s="208" t="n">
        <f aca="false">IF(OR($Z27="",$W27=""),"",IF($Z27=0,"",$W27/$Z27-1))</f>
        <v>0.0511011699931179</v>
      </c>
      <c r="AC27" s="212" t="n">
        <f aca="false">IF(OR($V27="",$P27=""),"",$V27*$P27)</f>
        <v>575.9220407382</v>
      </c>
    </row>
    <row r="28" customFormat="false" ht="15" hidden="false" customHeight="true" outlineLevel="0" collapsed="false">
      <c r="A28" s="213" t="s">
        <v>138</v>
      </c>
      <c r="B28" s="128" t="s">
        <v>585</v>
      </c>
      <c r="C28" s="207" t="n">
        <v>46239</v>
      </c>
      <c r="D28" s="205" t="n">
        <v>52.9</v>
      </c>
      <c r="E28" s="206"/>
      <c r="F28" s="128"/>
      <c r="G28" s="128"/>
      <c r="H28" s="205" t="n">
        <f aca="false">PT_SPY_0805</f>
        <v>769.79</v>
      </c>
      <c r="I28" s="128" t="s">
        <v>570</v>
      </c>
      <c r="J28" s="207"/>
      <c r="K28" s="205"/>
      <c r="L28" s="128"/>
      <c r="M28" s="205" t="n">
        <f aca="false">IFERROR(INDEX('Market Data'!$C$3:$C$300,MATCH($A28,'Market Data'!$A$3:$A$300,0)),"")</f>
        <v>52.08</v>
      </c>
      <c r="N28" s="205" t="n">
        <f aca="false">PT_SPY_Now</f>
        <v>778.57</v>
      </c>
      <c r="O28" s="208" t="n">
        <f aca="false">IF(OR(D28="",M28=""),"",M28/D28-1)</f>
        <v>-0.0155009451795841</v>
      </c>
      <c r="P28" s="208" t="n">
        <f aca="false">IF(OR(H28="",N28=""),"",N28/H28-1)</f>
        <v>0.0114057080502477</v>
      </c>
      <c r="Q28" s="208" t="n">
        <f aca="false">IF(OR(O28="",P28=""),"",O28-P28)</f>
        <v>-0.0269066532298318</v>
      </c>
      <c r="R28" s="205" t="s">
        <v>580</v>
      </c>
      <c r="S28" s="205" t="s">
        <v>576</v>
      </c>
      <c r="T28" s="209" t="n">
        <v>1000</v>
      </c>
      <c r="U28" s="210" t="n">
        <f aca="false">IF($A28="","",IF(OR($S28="System",$I28="Exited"),$T28,SUMIFS(CurrentPositionsTable[Quantity],CurrentPositionsTable[Ticker],$A28)-SUMIFS($T$3:$T$44,$A$3:$A$44,$A28,$S$3:$S$44,"System",$I$3:$I$44,"Held")))</f>
        <v>1000</v>
      </c>
      <c r="V28" s="211" t="n">
        <f aca="false">IF(OR($U28="",$D28=""),"",$U28*$D28)</f>
        <v>52900</v>
      </c>
      <c r="W28" s="211" t="n">
        <f aca="false">IF(OR($U28="",$M28=""),"",$U28*$M28)</f>
        <v>52080</v>
      </c>
      <c r="X28" s="212" t="n">
        <f aca="false">IF(OR($V28="",$W28=""),"",$W28-$V28)</f>
        <v>-820</v>
      </c>
      <c r="Y28" s="205" t="n">
        <v>50.11</v>
      </c>
      <c r="Z28" s="211" t="n">
        <f aca="false">IF(OR($U28="",$Y28=""),"",$U28*$Y28)</f>
        <v>50110</v>
      </c>
      <c r="AA28" s="212" t="n">
        <f aca="false">IF(OR($Z28="",$W28=""),"",$W28-$Z28)</f>
        <v>1970</v>
      </c>
      <c r="AB28" s="208" t="n">
        <f aca="false">IF(OR($Z28="",$W28=""),"",IF($Z28=0,"",$W28/$Z28-1))</f>
        <v>0.0393135102773898</v>
      </c>
      <c r="AC28" s="212" t="n">
        <f aca="false">IF(OR($V28="",$P28=""),"",$V28*$P28)</f>
        <v>603.361955858101</v>
      </c>
    </row>
    <row r="29" customFormat="false" ht="15" hidden="false" customHeight="true" outlineLevel="0" collapsed="false">
      <c r="A29" s="213" t="s">
        <v>134</v>
      </c>
      <c r="B29" s="128" t="s">
        <v>586</v>
      </c>
      <c r="C29" s="207" t="n">
        <v>46239</v>
      </c>
      <c r="D29" s="205" t="n">
        <v>33.64</v>
      </c>
      <c r="E29" s="206"/>
      <c r="F29" s="128"/>
      <c r="G29" s="128"/>
      <c r="H29" s="205" t="n">
        <f aca="false">PT_SPY_0805</f>
        <v>769.79</v>
      </c>
      <c r="I29" s="128" t="s">
        <v>570</v>
      </c>
      <c r="J29" s="207"/>
      <c r="K29" s="205"/>
      <c r="L29" s="128"/>
      <c r="M29" s="205" t="n">
        <f aca="false">IFERROR(INDEX('Market Data'!$C$3:$C$300,MATCH($A29,'Market Data'!$A$3:$A$300,0)),"")</f>
        <v>33.04</v>
      </c>
      <c r="N29" s="205" t="n">
        <f aca="false">PT_SPY_Now</f>
        <v>778.57</v>
      </c>
      <c r="O29" s="208" t="n">
        <f aca="false">IF(OR(D29="",M29=""),"",M29/D29-1)</f>
        <v>-0.0178359096313913</v>
      </c>
      <c r="P29" s="208" t="n">
        <f aca="false">IF(OR(H29="",N29=""),"",N29/H29-1)</f>
        <v>0.0114057080502477</v>
      </c>
      <c r="Q29" s="208" t="n">
        <f aca="false">IF(OR(O29="",P29=""),"",O29-P29)</f>
        <v>-0.0292416176816389</v>
      </c>
      <c r="R29" s="205" t="s">
        <v>580</v>
      </c>
      <c r="S29" s="205" t="s">
        <v>576</v>
      </c>
      <c r="T29" s="209" t="n">
        <v>700</v>
      </c>
      <c r="U29" s="210" t="n">
        <f aca="false">IF($A29="","",IF(OR($S29="System",$I29="Exited"),$T29,SUMIFS(CurrentPositionsTable[Quantity],CurrentPositionsTable[Ticker],$A29)-SUMIFS($T$3:$T$44,$A$3:$A$44,$A29,$S$3:$S$44,"System",$I$3:$I$44,"Held")))</f>
        <v>700</v>
      </c>
      <c r="V29" s="211" t="n">
        <f aca="false">IF(OR($U29="",$D29=""),"",$U29*$D29)</f>
        <v>23548</v>
      </c>
      <c r="W29" s="211" t="n">
        <f aca="false">IF(OR($U29="",$M29=""),"",$U29*$M29)</f>
        <v>23128</v>
      </c>
      <c r="X29" s="212" t="n">
        <f aca="false">IF(OR($V29="",$W29=""),"",$W29-$V29)</f>
        <v>-420</v>
      </c>
      <c r="Y29" s="205" t="n">
        <v>27.43</v>
      </c>
      <c r="Z29" s="211" t="n">
        <f aca="false">IF(OR($U29="",$Y29=""),"",$U29*$Y29)</f>
        <v>19201</v>
      </c>
      <c r="AA29" s="212" t="n">
        <f aca="false">IF(OR($Z29="",$W29=""),"",$W29-$Z29)</f>
        <v>3927</v>
      </c>
      <c r="AB29" s="208" t="n">
        <f aca="false">IF(OR($Z29="",$W29=""),"",IF($Z29=0,"",$W29/$Z29-1))</f>
        <v>0.204520597885527</v>
      </c>
      <c r="AC29" s="212" t="n">
        <f aca="false">IF(OR($V29="",$P29=""),"",$V29*$P29)</f>
        <v>268.581613167232</v>
      </c>
    </row>
    <row r="30" customFormat="false" ht="15" hidden="false" customHeight="true" outlineLevel="0" collapsed="false">
      <c r="A30" s="213" t="s">
        <v>140</v>
      </c>
      <c r="B30" s="128" t="s">
        <v>587</v>
      </c>
      <c r="C30" s="207" t="n">
        <v>46239</v>
      </c>
      <c r="D30" s="205" t="n">
        <v>150.27</v>
      </c>
      <c r="E30" s="206"/>
      <c r="F30" s="128"/>
      <c r="G30" s="128"/>
      <c r="H30" s="205" t="n">
        <f aca="false">PT_SPY_0805</f>
        <v>769.79</v>
      </c>
      <c r="I30" s="128" t="s">
        <v>570</v>
      </c>
      <c r="J30" s="207"/>
      <c r="K30" s="205"/>
      <c r="L30" s="128"/>
      <c r="M30" s="205" t="n">
        <f aca="false">IFERROR(INDEX('Market Data'!$C$3:$C$300,MATCH($A30,'Market Data'!$A$3:$A$300,0)),"")</f>
        <v>151.16</v>
      </c>
      <c r="N30" s="205" t="n">
        <f aca="false">PT_SPY_Now</f>
        <v>778.57</v>
      </c>
      <c r="O30" s="208" t="n">
        <f aca="false">IF(OR(D30="",M30=""),"",M30/D30-1)</f>
        <v>0.00592267252279211</v>
      </c>
      <c r="P30" s="208" t="n">
        <f aca="false">IF(OR(H30="",N30=""),"",N30/H30-1)</f>
        <v>0.0114057080502477</v>
      </c>
      <c r="Q30" s="208" t="n">
        <f aca="false">IF(OR(O30="",P30=""),"",O30-P30)</f>
        <v>-0.00548303552745555</v>
      </c>
      <c r="R30" s="205" t="s">
        <v>580</v>
      </c>
      <c r="S30" s="205" t="s">
        <v>576</v>
      </c>
      <c r="T30" s="209" t="n">
        <v>146.93745</v>
      </c>
      <c r="U30" s="210" t="n">
        <f aca="false">IF($A30="","",IF(OR($S30="System",$I30="Exited"),$T30,SUMIFS(CurrentPositionsTable[Quantity],CurrentPositionsTable[Ticker],$A30)-SUMIFS($T$3:$T$44,$A$3:$A$44,$A30,$S$3:$S$44,"System",$I$3:$I$44,"Held")))</f>
        <v>146.93745</v>
      </c>
      <c r="V30" s="211" t="n">
        <f aca="false">IF(OR($U30="",$D30=""),"",$U30*$D30)</f>
        <v>22080.2906115</v>
      </c>
      <c r="W30" s="211" t="n">
        <f aca="false">IF(OR($U30="",$M30=""),"",$U30*$M30)</f>
        <v>22211.064942</v>
      </c>
      <c r="X30" s="212" t="n">
        <f aca="false">IF(OR($V30="",$W30=""),"",$W30-$V30)</f>
        <v>130.774330499997</v>
      </c>
      <c r="Y30" s="205" t="n">
        <v>119.32</v>
      </c>
      <c r="Z30" s="211" t="n">
        <f aca="false">IF(OR($U30="",$Y30=""),"",$U30*$Y30)</f>
        <v>17532.576534</v>
      </c>
      <c r="AA30" s="212" t="n">
        <f aca="false">IF(OR($Z30="",$W30=""),"",$W30-$Z30)</f>
        <v>4678.488408</v>
      </c>
      <c r="AB30" s="208" t="n">
        <f aca="false">IF(OR($Z30="",$W30=""),"",IF($Z30=0,"",$W30/$Z30-1))</f>
        <v>0.266845457593027</v>
      </c>
      <c r="AC30" s="212" t="n">
        <f aca="false">IF(OR($V30="",$P30=""),"",$V30*$P30)</f>
        <v>251.841348379393</v>
      </c>
    </row>
    <row r="31" customFormat="false" ht="15" hidden="false" customHeight="true" outlineLevel="0" collapsed="false">
      <c r="A31" s="213" t="s">
        <v>131</v>
      </c>
      <c r="B31" s="128" t="s">
        <v>588</v>
      </c>
      <c r="C31" s="207" t="n">
        <v>46239</v>
      </c>
      <c r="D31" s="205" t="n">
        <v>50.42</v>
      </c>
      <c r="E31" s="206"/>
      <c r="F31" s="128"/>
      <c r="G31" s="128"/>
      <c r="H31" s="205" t="n">
        <f aca="false">PT_SPY_0805</f>
        <v>769.79</v>
      </c>
      <c r="I31" s="128" t="s">
        <v>570</v>
      </c>
      <c r="J31" s="207"/>
      <c r="K31" s="205"/>
      <c r="L31" s="128"/>
      <c r="M31" s="205" t="n">
        <f aca="false">IFERROR(INDEX('Market Data'!$C$3:$C$300,MATCH($A31,'Market Data'!$A$3:$A$300,0)),"")</f>
        <v>52.84</v>
      </c>
      <c r="N31" s="205" t="n">
        <f aca="false">PT_SPY_Now</f>
        <v>778.57</v>
      </c>
      <c r="O31" s="208" t="n">
        <f aca="false">IF(OR(D31="",M31=""),"",M31/D31-1)</f>
        <v>0.0479968266560888</v>
      </c>
      <c r="P31" s="208" t="n">
        <f aca="false">IF(OR(H31="",N31=""),"",N31/H31-1)</f>
        <v>0.0114057080502477</v>
      </c>
      <c r="Q31" s="208" t="n">
        <f aca="false">IF(OR(O31="",P31=""),"",O31-P31)</f>
        <v>0.0365911186058412</v>
      </c>
      <c r="R31" s="205" t="s">
        <v>580</v>
      </c>
      <c r="S31" s="205" t="s">
        <v>576</v>
      </c>
      <c r="T31" s="209" t="n">
        <v>651.304</v>
      </c>
      <c r="U31" s="210" t="n">
        <f aca="false">IF($A31="","",IF(OR($S31="System",$I31="Exited"),$T31,SUMIFS(CurrentPositionsTable[Quantity],CurrentPositionsTable[Ticker],$A31)-SUMIFS($T$3:$T$44,$A$3:$A$44,$A31,$S$3:$S$44,"System",$I$3:$I$44,"Held")))</f>
        <v>651.304</v>
      </c>
      <c r="V31" s="211" t="n">
        <f aca="false">IF(OR($U31="",$D31=""),"",$U31*$D31)</f>
        <v>32838.74768</v>
      </c>
      <c r="W31" s="211" t="n">
        <f aca="false">IF(OR($U31="",$M31=""),"",$U31*$M31)</f>
        <v>34414.90336</v>
      </c>
      <c r="X31" s="212" t="n">
        <f aca="false">IF(OR($V31="",$W31=""),"",$W31-$V31)</f>
        <v>1576.15568</v>
      </c>
      <c r="Y31" s="205" t="n">
        <v>39.38</v>
      </c>
      <c r="Z31" s="211" t="n">
        <f aca="false">IF(OR($U31="",$Y31=""),"",$U31*$Y31)</f>
        <v>25648.35152</v>
      </c>
      <c r="AA31" s="212" t="n">
        <f aca="false">IF(OR($Z31="",$W31=""),"",$W31-$Z31)</f>
        <v>8766.55184</v>
      </c>
      <c r="AB31" s="208" t="n">
        <f aca="false">IF(OR($Z31="",$W31=""),"",IF($Z31=0,"",$W31/$Z31-1))</f>
        <v>0.341797866937532</v>
      </c>
      <c r="AC31" s="212" t="n">
        <f aca="false">IF(OR($V31="",$P31=""),"",$V31*$P31)</f>
        <v>374.549168773828</v>
      </c>
    </row>
    <row r="32" customFormat="false" ht="15" hidden="false" customHeight="true" outlineLevel="0" collapsed="false">
      <c r="A32" s="213" t="s">
        <v>136</v>
      </c>
      <c r="B32" s="128" t="s">
        <v>589</v>
      </c>
      <c r="C32" s="207" t="n">
        <v>46239</v>
      </c>
      <c r="D32" s="205" t="n">
        <v>165.13</v>
      </c>
      <c r="E32" s="206"/>
      <c r="F32" s="128"/>
      <c r="G32" s="128"/>
      <c r="H32" s="205" t="n">
        <f aca="false">PT_SPY_0805</f>
        <v>769.79</v>
      </c>
      <c r="I32" s="128" t="s">
        <v>570</v>
      </c>
      <c r="J32" s="207"/>
      <c r="K32" s="205"/>
      <c r="L32" s="128"/>
      <c r="M32" s="205" t="n">
        <f aca="false">IFERROR(INDEX('Market Data'!$C$3:$C$300,MATCH($A32,'Market Data'!$A$3:$A$300,0)),"")</f>
        <v>158.75</v>
      </c>
      <c r="N32" s="205" t="n">
        <f aca="false">PT_SPY_Now</f>
        <v>778.57</v>
      </c>
      <c r="O32" s="208" t="n">
        <f aca="false">IF(OR(D32="",M32=""),"",M32/D32-1)</f>
        <v>-0.0386362260037546</v>
      </c>
      <c r="P32" s="208" t="n">
        <f aca="false">IF(OR(H32="",N32=""),"",N32/H32-1)</f>
        <v>0.0114057080502477</v>
      </c>
      <c r="Q32" s="208" t="n">
        <f aca="false">IF(OR(O32="",P32=""),"",O32-P32)</f>
        <v>-0.0500419340540023</v>
      </c>
      <c r="R32" s="205" t="s">
        <v>580</v>
      </c>
      <c r="S32" s="205" t="s">
        <v>576</v>
      </c>
      <c r="T32" s="209" t="n">
        <v>150</v>
      </c>
      <c r="U32" s="210" t="n">
        <f aca="false">IF($A32="","",IF(OR($S32="System",$I32="Exited"),$T32,SUMIFS(CurrentPositionsTable[Quantity],CurrentPositionsTable[Ticker],$A32)-SUMIFS($T$3:$T$44,$A$3:$A$44,$A32,$S$3:$S$44,"System",$I$3:$I$44,"Held")))</f>
        <v>150</v>
      </c>
      <c r="V32" s="211" t="n">
        <f aca="false">IF(OR($U32="",$D32=""),"",$U32*$D32)</f>
        <v>24769.5</v>
      </c>
      <c r="W32" s="211" t="n">
        <f aca="false">IF(OR($U32="",$M32=""),"",$U32*$M32)</f>
        <v>23812.5</v>
      </c>
      <c r="X32" s="212" t="n">
        <f aca="false">IF(OR($V32="",$W32=""),"",$W32-$V32)</f>
        <v>-957</v>
      </c>
      <c r="Y32" s="205" t="n">
        <v>143.52</v>
      </c>
      <c r="Z32" s="211" t="n">
        <f aca="false">IF(OR($U32="",$Y32=""),"",$U32*$Y32)</f>
        <v>21528</v>
      </c>
      <c r="AA32" s="212" t="n">
        <f aca="false">IF(OR($Z32="",$W32=""),"",$W32-$Z32)</f>
        <v>2284.5</v>
      </c>
      <c r="AB32" s="208" t="n">
        <f aca="false">IF(OR($Z32="",$W32=""),"",IF($Z32=0,"",$W32/$Z32-1))</f>
        <v>0.106117614269788</v>
      </c>
      <c r="AC32" s="212" t="n">
        <f aca="false">IF(OR($V32="",$P32=""),"",$V32*$P32)</f>
        <v>282.513685550609</v>
      </c>
    </row>
    <row r="33" customFormat="false" ht="15" hidden="false" customHeight="true" outlineLevel="0" collapsed="false">
      <c r="A33" s="213" t="s">
        <v>122</v>
      </c>
      <c r="B33" s="128" t="s">
        <v>590</v>
      </c>
      <c r="C33" s="207" t="n">
        <v>46239</v>
      </c>
      <c r="D33" s="205" t="n">
        <v>1</v>
      </c>
      <c r="E33" s="206"/>
      <c r="F33" s="128"/>
      <c r="G33" s="128"/>
      <c r="H33" s="205" t="n">
        <f aca="false">PT_SPY_0805</f>
        <v>769.79</v>
      </c>
      <c r="I33" s="128" t="s">
        <v>570</v>
      </c>
      <c r="J33" s="207"/>
      <c r="K33" s="205"/>
      <c r="L33" s="128"/>
      <c r="M33" s="205" t="n">
        <v>1</v>
      </c>
      <c r="N33" s="205" t="n">
        <f aca="false">PT_SPY_Now</f>
        <v>778.57</v>
      </c>
      <c r="O33" s="208" t="n">
        <f aca="false">IF(OR(D33="",M33=""),"",M33/D33-1)</f>
        <v>0</v>
      </c>
      <c r="P33" s="208" t="n">
        <f aca="false">IF(OR(H33="",N33=""),"",N33/H33-1)</f>
        <v>0.0114057080502477</v>
      </c>
      <c r="Q33" s="208" t="n">
        <f aca="false">IF(OR(O33="",P33=""),"",O33-P33)</f>
        <v>-0.0114057080502477</v>
      </c>
      <c r="R33" s="205" t="s">
        <v>124</v>
      </c>
      <c r="S33" s="205" t="s">
        <v>576</v>
      </c>
      <c r="T33" s="209"/>
      <c r="U33" s="210" t="n">
        <f aca="false">IF($A33="","",IF(OR($S33="System",$I33="Exited"),$T33,SUMIFS(CurrentPositionsTable[Quantity],CurrentPositionsTable[Ticker],$A33)-SUMIFS($T$3:$T$44,$A$3:$A$44,$A33,$S$3:$S$44,"System",$I$3:$I$44,"Held")))</f>
        <v>15713.12</v>
      </c>
      <c r="V33" s="211" t="n">
        <f aca="false">IF(OR($U33="",$D33=""),"",$U33*$D33)</f>
        <v>15713.12</v>
      </c>
      <c r="W33" s="211" t="n">
        <f aca="false">IF(OR($U33="",$M33=""),"",$U33*$M33)</f>
        <v>15713.12</v>
      </c>
      <c r="X33" s="212" t="n">
        <f aca="false">IF(OR($V33="",$W33=""),"",$W33-$V33)</f>
        <v>0</v>
      </c>
      <c r="Y33" s="205" t="n">
        <v>1</v>
      </c>
      <c r="Z33" s="211" t="n">
        <f aca="false">IF(OR($U33="",$Y33=""),"",$U33*$Y33)</f>
        <v>15713.12</v>
      </c>
      <c r="AA33" s="212" t="n">
        <f aca="false">IF(OR($Z33="",$W33=""),"",$W33-$Z33)</f>
        <v>0</v>
      </c>
      <c r="AB33" s="208" t="n">
        <f aca="false">IF(OR($Z33="",$W33=""),"",IF($Z33=0,"",$W33/$Z33-1))</f>
        <v>0</v>
      </c>
      <c r="AC33" s="212" t="n">
        <f aca="false">IF(OR($V33="",$P33=""),"",$V33*$P33)</f>
        <v>179.219259278507</v>
      </c>
    </row>
    <row r="34" customFormat="false" ht="15" hidden="false" customHeight="true" outlineLevel="0" collapsed="false">
      <c r="A34" s="203" t="s">
        <v>126</v>
      </c>
      <c r="B34" s="128" t="s">
        <v>591</v>
      </c>
      <c r="C34" s="207" t="n">
        <v>46239</v>
      </c>
      <c r="D34" s="205" t="n">
        <v>1</v>
      </c>
      <c r="E34" s="206"/>
      <c r="F34" s="128"/>
      <c r="G34" s="128"/>
      <c r="H34" s="205" t="n">
        <f aca="false">PT_SPY_0805</f>
        <v>769.79</v>
      </c>
      <c r="I34" s="128" t="s">
        <v>592</v>
      </c>
      <c r="J34" s="207" t="n">
        <v>46296</v>
      </c>
      <c r="K34" s="205" t="n">
        <v>1</v>
      </c>
      <c r="L34" s="128" t="s">
        <v>593</v>
      </c>
      <c r="M34" s="205" t="n">
        <v>1</v>
      </c>
      <c r="N34" s="205" t="n">
        <v>763.99</v>
      </c>
      <c r="O34" s="208" t="n">
        <f aca="false">IF(OR(D34="",M34=""),"",M34/D34-1)</f>
        <v>0</v>
      </c>
      <c r="P34" s="208" t="n">
        <f aca="false">IF(OR(H34="",N34=""),"",N34/H34-1)</f>
        <v>-0.00753452240221353</v>
      </c>
      <c r="Q34" s="208" t="n">
        <f aca="false">IF(OR(O34="",P34=""),"",O34-P34)</f>
        <v>0.00753452240221353</v>
      </c>
      <c r="R34" s="205" t="s">
        <v>124</v>
      </c>
      <c r="S34" s="205" t="s">
        <v>576</v>
      </c>
      <c r="T34" s="209" t="n">
        <v>1174.01</v>
      </c>
      <c r="U34" s="210" t="n">
        <f aca="false">IF($A34="","",IF(OR($S34="System",$I34="Exited"),$T34,SUMIFS(CurrentPositionsTable[Quantity],CurrentPositionsTable[Ticker],$A34)-SUMIFS($T$3:$T$44,$A$3:$A$44,$A34,$S$3:$S$44,"System",$I$3:$I$44,"Held")))</f>
        <v>1174.01</v>
      </c>
      <c r="V34" s="211" t="n">
        <f aca="false">IF(OR($U34="",$D34=""),"",$U34*$D34)</f>
        <v>1174.01</v>
      </c>
      <c r="W34" s="211" t="n">
        <f aca="false">IF(OR($U34="",$M34=""),"",$U34*$M34)</f>
        <v>1174.01</v>
      </c>
      <c r="X34" s="212" t="n">
        <f aca="false">IF(OR($V34="",$W34=""),"",$W34-$V34)</f>
        <v>0</v>
      </c>
      <c r="Y34" s="205" t="n">
        <v>1</v>
      </c>
      <c r="Z34" s="211" t="n">
        <f aca="false">IF(OR($U34="",$Y34=""),"",$U34*$Y34)</f>
        <v>1174.01</v>
      </c>
      <c r="AA34" s="212" t="n">
        <f aca="false">IF(OR($Z34="",$W34=""),"",$W34-$Z34)</f>
        <v>0</v>
      </c>
      <c r="AB34" s="208" t="n">
        <f aca="false">IF(OR($Z34="",$W34=""),"",IF($Z34=0,"",$W34/$Z34-1))</f>
        <v>0</v>
      </c>
      <c r="AC34" s="212" t="n">
        <f aca="false">IF(OR($V34="",$P34=""),"",$V34*$P34)</f>
        <v>-8.8456046454227</v>
      </c>
    </row>
    <row r="35" customFormat="false" ht="15" hidden="false" customHeight="true" outlineLevel="0" collapsed="false">
      <c r="A35" s="213" t="s">
        <v>189</v>
      </c>
      <c r="B35" s="128" t="s">
        <v>594</v>
      </c>
      <c r="C35" s="207" t="n">
        <v>46239</v>
      </c>
      <c r="D35" s="205" t="n">
        <v>1</v>
      </c>
      <c r="E35" s="206"/>
      <c r="F35" s="128"/>
      <c r="G35" s="128"/>
      <c r="H35" s="205" t="n">
        <f aca="false">PT_SPY_0805</f>
        <v>769.79</v>
      </c>
      <c r="I35" s="128" t="s">
        <v>570</v>
      </c>
      <c r="J35" s="207"/>
      <c r="K35" s="205"/>
      <c r="L35" s="128"/>
      <c r="M35" s="205" t="n">
        <v>1</v>
      </c>
      <c r="N35" s="205" t="n">
        <f aca="false">PT_SPY_Now</f>
        <v>778.57</v>
      </c>
      <c r="O35" s="208" t="n">
        <f aca="false">IF(OR(D35="",M35=""),"",M35/D35-1)</f>
        <v>0</v>
      </c>
      <c r="P35" s="208" t="n">
        <f aca="false">IF(OR(H35="",N35=""),"",N35/H35-1)</f>
        <v>0.0114057080502477</v>
      </c>
      <c r="Q35" s="208" t="n">
        <f aca="false">IF(OR(O35="",P35=""),"",O35-P35)</f>
        <v>-0.0114057080502477</v>
      </c>
      <c r="R35" s="205" t="s">
        <v>124</v>
      </c>
      <c r="S35" s="205" t="s">
        <v>576</v>
      </c>
      <c r="T35" s="209"/>
      <c r="U35" s="210" t="n">
        <f aca="false">IF($A35="","",IF(OR($S35="System",$I35="Exited"),$T35,SUMIFS(CurrentPositionsTable[Quantity],CurrentPositionsTable[Ticker],$A35)-SUMIFS($T$3:$T$44,$A$3:$A$44,$A35,$S$3:$S$44,"System",$I$3:$I$44,"Held")))</f>
        <v>427.26</v>
      </c>
      <c r="V35" s="211" t="n">
        <f aca="false">IF(OR($U35="",$D35=""),"",$U35*$D35)</f>
        <v>427.26</v>
      </c>
      <c r="W35" s="211" t="n">
        <f aca="false">IF(OR($U35="",$M35=""),"",$U35*$M35)</f>
        <v>427.26</v>
      </c>
      <c r="X35" s="212" t="n">
        <f aca="false">IF(OR($V35="",$W35=""),"",$W35-$V35)</f>
        <v>0</v>
      </c>
      <c r="Y35" s="205" t="n">
        <v>1</v>
      </c>
      <c r="Z35" s="211" t="n">
        <f aca="false">IF(OR($U35="",$Y35=""),"",$U35*$Y35)</f>
        <v>427.26</v>
      </c>
      <c r="AA35" s="212" t="n">
        <f aca="false">IF(OR($Z35="",$W35=""),"",$W35-$Z35)</f>
        <v>0</v>
      </c>
      <c r="AB35" s="208" t="n">
        <f aca="false">IF(OR($Z35="",$W35=""),"",IF($Z35=0,"",$W35/$Z35-1))</f>
        <v>0</v>
      </c>
      <c r="AC35" s="212" t="n">
        <f aca="false">IF(OR($V35="",$P35=""),"",$V35*$P35)</f>
        <v>4.87320282154881</v>
      </c>
    </row>
    <row r="36" customFormat="false" ht="15" hidden="false" customHeight="true" outlineLevel="0" collapsed="false">
      <c r="A36" s="213" t="s">
        <v>156</v>
      </c>
      <c r="B36" s="128" t="s">
        <v>595</v>
      </c>
      <c r="C36" s="207" t="n">
        <v>46239</v>
      </c>
      <c r="D36" s="205" t="n">
        <v>1</v>
      </c>
      <c r="E36" s="206"/>
      <c r="F36" s="128"/>
      <c r="G36" s="128"/>
      <c r="H36" s="205" t="n">
        <f aca="false">PT_SPY_0805</f>
        <v>769.79</v>
      </c>
      <c r="I36" s="128" t="s">
        <v>570</v>
      </c>
      <c r="J36" s="207"/>
      <c r="K36" s="205"/>
      <c r="L36" s="128"/>
      <c r="M36" s="205" t="n">
        <v>1</v>
      </c>
      <c r="N36" s="205" t="n">
        <f aca="false">PT_SPY_Now</f>
        <v>778.57</v>
      </c>
      <c r="O36" s="208" t="n">
        <f aca="false">IF(OR(D36="",M36=""),"",M36/D36-1)</f>
        <v>0</v>
      </c>
      <c r="P36" s="208" t="n">
        <f aca="false">IF(OR(H36="",N36=""),"",N36/H36-1)</f>
        <v>0.0114057080502477</v>
      </c>
      <c r="Q36" s="208" t="n">
        <f aca="false">IF(OR(O36="",P36=""),"",O36-P36)</f>
        <v>-0.0114057080502477</v>
      </c>
      <c r="R36" s="205" t="s">
        <v>124</v>
      </c>
      <c r="S36" s="205" t="s">
        <v>576</v>
      </c>
      <c r="T36" s="209"/>
      <c r="U36" s="210" t="n">
        <f aca="false">IF($A36="","",IF(OR($S36="System",$I36="Exited"),$T36,SUMIFS(CurrentPositionsTable[Quantity],CurrentPositionsTable[Ticker],$A36)-SUMIFS($T$3:$T$44,$A$3:$A$44,$A36,$S$3:$S$44,"System",$I$3:$I$44,"Held")))</f>
        <v>27966.4</v>
      </c>
      <c r="V36" s="211" t="n">
        <f aca="false">IF(OR($U36="",$D36=""),"",$U36*$D36)</f>
        <v>27966.4</v>
      </c>
      <c r="W36" s="211" t="n">
        <f aca="false">IF(OR($U36="",$M36=""),"",$U36*$M36)</f>
        <v>27966.4</v>
      </c>
      <c r="X36" s="212" t="n">
        <f aca="false">IF(OR($V36="",$W36=""),"",$W36-$V36)</f>
        <v>0</v>
      </c>
      <c r="Y36" s="205" t="n">
        <v>1</v>
      </c>
      <c r="Z36" s="211" t="n">
        <f aca="false">IF(OR($U36="",$Y36=""),"",$U36*$Y36)</f>
        <v>27966.4</v>
      </c>
      <c r="AA36" s="212" t="n">
        <f aca="false">IF(OR($Z36="",$W36=""),"",$W36-$Z36)</f>
        <v>0</v>
      </c>
      <c r="AB36" s="208" t="n">
        <f aca="false">IF(OR($Z36="",$W36=""),"",IF($Z36=0,"",$W36/$Z36-1))</f>
        <v>0</v>
      </c>
      <c r="AC36" s="212" t="n">
        <f aca="false">IF(OR($V36="",$P36=""),"",$V36*$P36)</f>
        <v>318.976593616446</v>
      </c>
    </row>
    <row r="37" customFormat="false" ht="15" hidden="false" customHeight="true" outlineLevel="0" collapsed="false">
      <c r="A37" s="203" t="s">
        <v>166</v>
      </c>
      <c r="B37" s="128" t="s">
        <v>596</v>
      </c>
      <c r="C37" s="207" t="n">
        <v>46239</v>
      </c>
      <c r="D37" s="205" t="n">
        <v>55.61</v>
      </c>
      <c r="E37" s="206"/>
      <c r="F37" s="128"/>
      <c r="G37" s="128"/>
      <c r="H37" s="205" t="n">
        <f aca="false">PT_SPY_0805</f>
        <v>769.79</v>
      </c>
      <c r="I37" s="128" t="s">
        <v>592</v>
      </c>
      <c r="J37" s="207" t="n">
        <v>46241</v>
      </c>
      <c r="K37" s="205" t="n">
        <v>56.1995</v>
      </c>
      <c r="L37" s="128" t="s">
        <v>597</v>
      </c>
      <c r="M37" s="205" t="n">
        <v>56.1995</v>
      </c>
      <c r="N37" s="205" t="n">
        <v>773.26</v>
      </c>
      <c r="O37" s="208" t="n">
        <f aca="false">IF(OR(D37="",M37=""),"",M37/D37-1)</f>
        <v>0.0106006114008272</v>
      </c>
      <c r="P37" s="208" t="n">
        <f aca="false">IF(OR(H37="",N37=""),"",N37/H37-1)</f>
        <v>0.0045077228854622</v>
      </c>
      <c r="Q37" s="208" t="n">
        <f aca="false">IF(OR(O37="",P37=""),"",O37-P37)</f>
        <v>0.00609288851536505</v>
      </c>
      <c r="R37" s="205" t="s">
        <v>580</v>
      </c>
      <c r="S37" s="205" t="s">
        <v>576</v>
      </c>
      <c r="T37" s="209" t="n">
        <v>409.55</v>
      </c>
      <c r="U37" s="210" t="n">
        <f aca="false">IF($A37="","",IF(OR($S37="System",$I37="Exited"),$T37,SUMIFS(CurrentPositionsTable[Quantity],CurrentPositionsTable[Ticker],$A37)-SUMIFS($T$3:$T$44,$A$3:$A$44,$A37,$S$3:$S$44,"System",$I$3:$I$44,"Held")))</f>
        <v>409.55</v>
      </c>
      <c r="V37" s="211" t="n">
        <f aca="false">IF(OR($U37="",$D37=""),"",$U37*$D37)</f>
        <v>22775.0755</v>
      </c>
      <c r="W37" s="211" t="n">
        <f aca="false">IF(OR($U37="",$M37=""),"",$U37*$M37)</f>
        <v>23016.505225</v>
      </c>
      <c r="X37" s="212" t="n">
        <f aca="false">IF(OR($V37="",$W37=""),"",$W37-$V37)</f>
        <v>241.429725000002</v>
      </c>
      <c r="Y37" s="205" t="n">
        <v>44.37</v>
      </c>
      <c r="Z37" s="211" t="n">
        <f aca="false">IF(OR($U37="",$Y37=""),"",$U37*$Y37)</f>
        <v>18171.7335</v>
      </c>
      <c r="AA37" s="212" t="n">
        <f aca="false">IF(OR($Z37="",$W37=""),"",$W37-$Z37)</f>
        <v>4844.771725</v>
      </c>
      <c r="AB37" s="208" t="n">
        <f aca="false">IF(OR($Z37="",$W37=""),"",IF($Z37=0,"",$W37/$Z37-1))</f>
        <v>0.266610322289836</v>
      </c>
      <c r="AC37" s="212" t="n">
        <f aca="false">IF(OR($V37="",$P37=""),"",$V37*$P37)</f>
        <v>102.663729049479</v>
      </c>
    </row>
    <row r="38" customFormat="false" ht="15" hidden="false" customHeight="true" outlineLevel="0" collapsed="false">
      <c r="A38" s="203" t="s">
        <v>192</v>
      </c>
      <c r="B38" s="128" t="s">
        <v>193</v>
      </c>
      <c r="C38" s="207" t="n">
        <v>46239</v>
      </c>
      <c r="D38" s="205" t="n">
        <v>38.19</v>
      </c>
      <c r="E38" s="206"/>
      <c r="F38" s="128"/>
      <c r="G38" s="128"/>
      <c r="H38" s="205" t="n">
        <f aca="false">PT_SPY_0805</f>
        <v>769.79</v>
      </c>
      <c r="I38" s="128" t="s">
        <v>592</v>
      </c>
      <c r="J38" s="207" t="n">
        <v>46241</v>
      </c>
      <c r="K38" s="205" t="n">
        <v>37.6492</v>
      </c>
      <c r="L38" s="128" t="s">
        <v>598</v>
      </c>
      <c r="M38" s="205" t="n">
        <v>37.6492</v>
      </c>
      <c r="N38" s="205" t="n">
        <v>773.26</v>
      </c>
      <c r="O38" s="208" t="n">
        <f aca="false">IF(OR(D38="",M38=""),"",M38/D38-1)</f>
        <v>-0.0141607750720083</v>
      </c>
      <c r="P38" s="208" t="n">
        <f aca="false">IF(OR(H38="",N38=""),"",N38/H38-1)</f>
        <v>0.0045077228854622</v>
      </c>
      <c r="Q38" s="208" t="n">
        <f aca="false">IF(OR(O38="",P38=""),"",O38-P38)</f>
        <v>-0.0186684979574705</v>
      </c>
      <c r="R38" s="205" t="s">
        <v>571</v>
      </c>
      <c r="S38" s="205" t="s">
        <v>576</v>
      </c>
      <c r="T38" s="209" t="n">
        <v>100</v>
      </c>
      <c r="U38" s="210" t="n">
        <f aca="false">IF($A38="","",IF(OR($S38="System",$I38="Exited"),$T38,SUMIFS(CurrentPositionsTable[Quantity],CurrentPositionsTable[Ticker],$A38)-SUMIFS($T$3:$T$44,$A$3:$A$44,$A38,$S$3:$S$44,"System",$I$3:$I$44,"Held")))</f>
        <v>100</v>
      </c>
      <c r="V38" s="211" t="n">
        <f aca="false">IF(OR($U38="",$D38=""),"",$U38*$D38)</f>
        <v>3819</v>
      </c>
      <c r="W38" s="211" t="n">
        <f aca="false">IF(OR($U38="",$M38=""),"",$U38*$M38)</f>
        <v>3764.92</v>
      </c>
      <c r="X38" s="212" t="n">
        <f aca="false">IF(OR($V38="",$W38=""),"",$W38-$V38)</f>
        <v>-54.0799999999999</v>
      </c>
      <c r="Y38" s="205" t="n">
        <v>46.48</v>
      </c>
      <c r="Z38" s="211" t="n">
        <f aca="false">IF(OR($U38="",$Y38=""),"",$U38*$Y38)</f>
        <v>4648</v>
      </c>
      <c r="AA38" s="212" t="n">
        <f aca="false">IF(OR($Z38="",$W38=""),"",$W38-$Z38)</f>
        <v>-883.08</v>
      </c>
      <c r="AB38" s="208" t="n">
        <f aca="false">IF(OR($Z38="",$W38=""),"",IF($Z38=0,"",$W38/$Z38-1))</f>
        <v>-0.189991394148021</v>
      </c>
      <c r="AC38" s="212" t="n">
        <f aca="false">IF(OR($V38="",$P38=""),"",$V38*$P38)</f>
        <v>17.2149936995801</v>
      </c>
    </row>
    <row r="39" customFormat="false" ht="15" hidden="false" customHeight="true" outlineLevel="0" collapsed="false">
      <c r="A39" s="203" t="s">
        <v>180</v>
      </c>
      <c r="B39" s="128" t="s">
        <v>181</v>
      </c>
      <c r="C39" s="207" t="n">
        <v>46239</v>
      </c>
      <c r="D39" s="205" t="n">
        <v>85.12</v>
      </c>
      <c r="E39" s="206"/>
      <c r="F39" s="128"/>
      <c r="G39" s="128"/>
      <c r="H39" s="205" t="n">
        <f aca="false">PT_SPY_0805</f>
        <v>769.79</v>
      </c>
      <c r="I39" s="128" t="s">
        <v>592</v>
      </c>
      <c r="J39" s="207" t="n">
        <v>46241</v>
      </c>
      <c r="K39" s="205" t="n">
        <v>86.1782</v>
      </c>
      <c r="L39" s="128" t="s">
        <v>598</v>
      </c>
      <c r="M39" s="205" t="n">
        <v>86.1782</v>
      </c>
      <c r="N39" s="205" t="n">
        <v>773.26</v>
      </c>
      <c r="O39" s="208" t="n">
        <f aca="false">IF(OR(D39="",M39=""),"",M39/D39-1)</f>
        <v>0.0124318609022556</v>
      </c>
      <c r="P39" s="208" t="n">
        <f aca="false">IF(OR(H39="",N39=""),"",N39/H39-1)</f>
        <v>0.0045077228854622</v>
      </c>
      <c r="Q39" s="208" t="n">
        <f aca="false">IF(OR(O39="",P39=""),"",O39-P39)</f>
        <v>0.00792413801679337</v>
      </c>
      <c r="R39" s="205" t="s">
        <v>571</v>
      </c>
      <c r="S39" s="205" t="s">
        <v>576</v>
      </c>
      <c r="T39" s="209" t="n">
        <v>65</v>
      </c>
      <c r="U39" s="210" t="n">
        <f aca="false">IF($A39="","",IF(OR($S39="System",$I39="Exited"),$T39,SUMIFS(CurrentPositionsTable[Quantity],CurrentPositionsTable[Ticker],$A39)-SUMIFS($T$3:$T$44,$A$3:$A$44,$A39,$S$3:$S$44,"System",$I$3:$I$44,"Held")))</f>
        <v>65</v>
      </c>
      <c r="V39" s="211" t="n">
        <f aca="false">IF(OR($U39="",$D39=""),"",$U39*$D39)</f>
        <v>5532.8</v>
      </c>
      <c r="W39" s="211" t="n">
        <f aca="false">IF(OR($U39="",$M39=""),"",$U39*$M39)</f>
        <v>5601.583</v>
      </c>
      <c r="X39" s="212" t="n">
        <f aca="false">IF(OR($V39="",$W39=""),"",$W39-$V39)</f>
        <v>68.7830000000004</v>
      </c>
      <c r="Y39" s="205" t="n">
        <v>79.67</v>
      </c>
      <c r="Z39" s="211" t="n">
        <f aca="false">IF(OR($U39="",$Y39=""),"",$U39*$Y39)</f>
        <v>5178.55</v>
      </c>
      <c r="AA39" s="212" t="n">
        <f aca="false">IF(OR($Z39="",$W39=""),"",$W39-$Z39)</f>
        <v>423.033</v>
      </c>
      <c r="AB39" s="208" t="n">
        <f aca="false">IF(OR($Z39="",$W39=""),"",IF($Z39=0,"",$W39/$Z39-1))</f>
        <v>0.081689469059872</v>
      </c>
      <c r="AC39" s="212" t="n">
        <f aca="false">IF(OR($V39="",$P39=""),"",$V39*$P39)</f>
        <v>24.9403291806852</v>
      </c>
    </row>
    <row r="40" customFormat="false" ht="15" hidden="false" customHeight="true" outlineLevel="0" collapsed="false">
      <c r="A40" s="203" t="s">
        <v>183</v>
      </c>
      <c r="B40" s="128" t="s">
        <v>184</v>
      </c>
      <c r="C40" s="207" t="n">
        <v>46239</v>
      </c>
      <c r="D40" s="205" t="n">
        <v>321.55</v>
      </c>
      <c r="E40" s="206"/>
      <c r="F40" s="128"/>
      <c r="G40" s="128"/>
      <c r="H40" s="205" t="n">
        <f aca="false">PT_SPY_0805</f>
        <v>769.79</v>
      </c>
      <c r="I40" s="128" t="s">
        <v>592</v>
      </c>
      <c r="J40" s="207" t="n">
        <v>46241</v>
      </c>
      <c r="K40" s="205" t="n">
        <v>318.8833</v>
      </c>
      <c r="L40" s="128" t="s">
        <v>599</v>
      </c>
      <c r="M40" s="205" t="n">
        <v>318.8833</v>
      </c>
      <c r="N40" s="205" t="n">
        <v>773.26</v>
      </c>
      <c r="O40" s="208" t="n">
        <f aca="false">IF(OR(D40="",M40=""),"",M40/D40-1)</f>
        <v>-0.00829326698802668</v>
      </c>
      <c r="P40" s="208" t="n">
        <f aca="false">IF(OR(H40="",N40=""),"",N40/H40-1)</f>
        <v>0.0045077228854622</v>
      </c>
      <c r="Q40" s="208" t="n">
        <f aca="false">IF(OR(O40="",P40=""),"",O40-P40)</f>
        <v>-0.0128009898734889</v>
      </c>
      <c r="R40" s="205" t="s">
        <v>571</v>
      </c>
      <c r="S40" s="205" t="s">
        <v>576</v>
      </c>
      <c r="T40" s="209" t="n">
        <v>15</v>
      </c>
      <c r="U40" s="210" t="n">
        <f aca="false">IF($A40="","",IF(OR($S40="System",$I40="Exited"),$T40,SUMIFS(CurrentPositionsTable[Quantity],CurrentPositionsTable[Ticker],$A40)-SUMIFS($T$3:$T$44,$A$3:$A$44,$A40,$S$3:$S$44,"System",$I$3:$I$44,"Held")))</f>
        <v>15</v>
      </c>
      <c r="V40" s="211" t="n">
        <f aca="false">IF(OR($U40="",$D40=""),"",$U40*$D40)</f>
        <v>4823.25</v>
      </c>
      <c r="W40" s="211" t="n">
        <f aca="false">IF(OR($U40="",$M40=""),"",$U40*$M40)</f>
        <v>4783.2495</v>
      </c>
      <c r="X40" s="212" t="n">
        <f aca="false">IF(OR($V40="",$W40=""),"",$W40-$V40)</f>
        <v>-40.0005000000001</v>
      </c>
      <c r="Y40" s="205" t="n">
        <v>449.72</v>
      </c>
      <c r="Z40" s="211" t="n">
        <f aca="false">IF(OR($U40="",$Y40=""),"",$U40*$Y40)</f>
        <v>6745.8</v>
      </c>
      <c r="AA40" s="212" t="n">
        <f aca="false">IF(OR($Z40="",$W40=""),"",$W40-$Z40)</f>
        <v>-1962.5505</v>
      </c>
      <c r="AB40" s="208" t="n">
        <f aca="false">IF(OR($Z40="",$W40=""),"",IF($Z40=0,"",$W40/$Z40-1))</f>
        <v>-0.290929244863471</v>
      </c>
      <c r="AC40" s="212" t="n">
        <f aca="false">IF(OR($V40="",$P40=""),"",$V40*$P40)</f>
        <v>21.7418744073055</v>
      </c>
    </row>
    <row r="41" customFormat="false" ht="15" hidden="false" customHeight="true" outlineLevel="0" collapsed="false">
      <c r="A41" s="203" t="s">
        <v>186</v>
      </c>
      <c r="B41" s="128" t="s">
        <v>600</v>
      </c>
      <c r="C41" s="207" t="n">
        <v>46239</v>
      </c>
      <c r="D41" s="205" t="n">
        <v>119.72</v>
      </c>
      <c r="E41" s="206"/>
      <c r="F41" s="128"/>
      <c r="G41" s="128"/>
      <c r="H41" s="205" t="n">
        <f aca="false">PT_SPY_0805</f>
        <v>769.79</v>
      </c>
      <c r="I41" s="128" t="s">
        <v>592</v>
      </c>
      <c r="J41" s="207" t="n">
        <v>46241</v>
      </c>
      <c r="K41" s="205" t="n">
        <v>120.7437</v>
      </c>
      <c r="L41" s="128" t="s">
        <v>601</v>
      </c>
      <c r="M41" s="205" t="n">
        <v>120.7437</v>
      </c>
      <c r="N41" s="205" t="n">
        <v>773.26</v>
      </c>
      <c r="O41" s="208" t="n">
        <f aca="false">IF(OR(D41="",M41=""),"",M41/D41-1)</f>
        <v>0.00855078516538588</v>
      </c>
      <c r="P41" s="208" t="n">
        <f aca="false">IF(OR(H41="",N41=""),"",N41/H41-1)</f>
        <v>0.0045077228854622</v>
      </c>
      <c r="Q41" s="208" t="n">
        <f aca="false">IF(OR(O41="",P41=""),"",O41-P41)</f>
        <v>0.00404306227992368</v>
      </c>
      <c r="R41" s="205" t="s">
        <v>580</v>
      </c>
      <c r="S41" s="205" t="s">
        <v>576</v>
      </c>
      <c r="T41" s="209" t="n">
        <v>40.18</v>
      </c>
      <c r="U41" s="210" t="n">
        <f aca="false">IF($A41="","",IF(OR($S41="System",$I41="Exited"),$T41,SUMIFS(CurrentPositionsTable[Quantity],CurrentPositionsTable[Ticker],$A41)-SUMIFS($T$3:$T$44,$A$3:$A$44,$A41,$S$3:$S$44,"System",$I$3:$I$44,"Held")))</f>
        <v>40.18</v>
      </c>
      <c r="V41" s="211" t="n">
        <f aca="false">IF(OR($U41="",$D41=""),"",$U41*$D41)</f>
        <v>4810.3496</v>
      </c>
      <c r="W41" s="211" t="n">
        <f aca="false">IF(OR($U41="",$M41=""),"",$U41*$M41)</f>
        <v>4851.481866</v>
      </c>
      <c r="X41" s="212" t="n">
        <f aca="false">IF(OR($V41="",$W41=""),"",$W41-$V41)</f>
        <v>41.1322660000005</v>
      </c>
      <c r="Y41" s="205" t="n">
        <v>94.2225</v>
      </c>
      <c r="Z41" s="211" t="n">
        <f aca="false">IF(OR($U41="",$Y41=""),"",$U41*$Y41)</f>
        <v>3785.86005</v>
      </c>
      <c r="AA41" s="212" t="n">
        <f aca="false">IF(OR($Z41="",$W41=""),"",$W41-$Z41)</f>
        <v>1065.621816</v>
      </c>
      <c r="AB41" s="208" t="n">
        <f aca="false">IF(OR($Z41="",$W41=""),"",IF($Z41=0,"",$W41/$Z41-1))</f>
        <v>0.281474170182281</v>
      </c>
      <c r="AC41" s="212" t="n">
        <f aca="false">IF(OR($V41="",$P41=""),"",$V41*$P41)</f>
        <v>21.6837229789939</v>
      </c>
    </row>
    <row r="42" customFormat="false" ht="15" hidden="false" customHeight="true" outlineLevel="0" collapsed="false">
      <c r="A42" s="203" t="s">
        <v>140</v>
      </c>
      <c r="B42" s="128" t="s">
        <v>587</v>
      </c>
      <c r="C42" s="207" t="n">
        <v>46239</v>
      </c>
      <c r="D42" s="205" t="n">
        <v>150.27</v>
      </c>
      <c r="E42" s="206"/>
      <c r="F42" s="128"/>
      <c r="G42" s="128"/>
      <c r="H42" s="205" t="n">
        <f aca="false">PT_SPY_0805</f>
        <v>769.79</v>
      </c>
      <c r="I42" s="128" t="s">
        <v>592</v>
      </c>
      <c r="J42" s="207" t="n">
        <v>46301</v>
      </c>
      <c r="K42" s="205" t="n">
        <v>153.54</v>
      </c>
      <c r="L42" s="128" t="s">
        <v>602</v>
      </c>
      <c r="M42" s="205" t="n">
        <v>153.54</v>
      </c>
      <c r="N42" s="205" t="n">
        <v>779.09</v>
      </c>
      <c r="O42" s="208" t="n">
        <f aca="false">IF(OR(D42="",M42=""),"",M42/D42-1)</f>
        <v>0.0217608305050907</v>
      </c>
      <c r="P42" s="208" t="n">
        <f aca="false">IF(OR(H42="",N42=""),"",N42/H42-1)</f>
        <v>0.0120812169552735</v>
      </c>
      <c r="Q42" s="208" t="n">
        <f aca="false">IF(OR(O42="",P42=""),"",O42-P42)</f>
        <v>0.00967961354981717</v>
      </c>
      <c r="R42" s="205" t="s">
        <v>580</v>
      </c>
      <c r="S42" s="205" t="s">
        <v>576</v>
      </c>
      <c r="T42" s="209" t="n">
        <v>30</v>
      </c>
      <c r="U42" s="210" t="n">
        <f aca="false">IF($A42="","",IF(OR($S42="System",$I42="Exited"),$T42,SUMIFS(CurrentPositionsTable[Quantity],CurrentPositionsTable[Ticker],$A42)-SUMIFS($T$3:$T$44,$A$3:$A$44,$A42,$S$3:$S$44,"System",$I$3:$I$44,"Held")))</f>
        <v>30</v>
      </c>
      <c r="V42" s="211" t="n">
        <f aca="false">IF(OR($U42="",$D42=""),"",$U42*$D42)</f>
        <v>4508.1</v>
      </c>
      <c r="W42" s="211" t="n">
        <f aca="false">IF(OR($U42="",$M42=""),"",$U42*$M42)</f>
        <v>4606.2</v>
      </c>
      <c r="X42" s="212" t="n">
        <f aca="false">IF(OR($V42="",$W42=""),"",$W42-$V42)</f>
        <v>98.0999999999995</v>
      </c>
      <c r="Y42" s="205" t="n">
        <v>119.32</v>
      </c>
      <c r="Z42" s="211" t="n">
        <f aca="false">IF(OR($U42="",$Y42=""),"",$U42*$Y42)</f>
        <v>3579.6</v>
      </c>
      <c r="AA42" s="212" t="n">
        <f aca="false">IF(OR($Z42="",$W42=""),"",$W42-$Z42)</f>
        <v>1026.6</v>
      </c>
      <c r="AB42" s="208" t="n">
        <f aca="false">IF(OR($Z42="",$W42=""),"",IF($Z42=0,"",$W42/$Z42-1))</f>
        <v>0.286791820315119</v>
      </c>
      <c r="AC42" s="212" t="n">
        <f aca="false">IF(OR($V42="",$P42=""),"",$V42*$P42)</f>
        <v>54.4633341560686</v>
      </c>
    </row>
    <row r="43" customFormat="false" ht="15" hidden="false" customHeight="true" outlineLevel="0" collapsed="false">
      <c r="A43" s="203" t="s">
        <v>149</v>
      </c>
      <c r="B43" s="128" t="s">
        <v>423</v>
      </c>
      <c r="C43" s="207" t="n">
        <v>46302</v>
      </c>
      <c r="D43" s="205" t="n">
        <v>283.25</v>
      </c>
      <c r="E43" s="206" t="n">
        <v>81.6</v>
      </c>
      <c r="F43" s="128" t="s">
        <v>349</v>
      </c>
      <c r="G43" s="128" t="s">
        <v>569</v>
      </c>
      <c r="H43" s="205" t="n">
        <v>777.22</v>
      </c>
      <c r="I43" s="128" t="s">
        <v>570</v>
      </c>
      <c r="J43" s="207"/>
      <c r="K43" s="205"/>
      <c r="L43" s="128"/>
      <c r="M43" s="205" t="n">
        <f aca="false">IFERROR(INDEX('Market Data'!$C$3:$C$300,MATCH($A43,'Market Data'!$A$3:$A$300,0)),"")</f>
        <v>296.13</v>
      </c>
      <c r="N43" s="205" t="n">
        <f aca="false">PT_SPY_Now</f>
        <v>778.57</v>
      </c>
      <c r="O43" s="208" t="n">
        <f aca="false">IF(OR(D43="",M43=""),"",M43/D43-1)</f>
        <v>0.0454721977052075</v>
      </c>
      <c r="P43" s="208" t="n">
        <f aca="false">IF(OR(H43="",N43=""),"",N43/H43-1)</f>
        <v>0.00173695993412415</v>
      </c>
      <c r="Q43" s="208" t="n">
        <f aca="false">IF(OR(O43="",P43=""),"",O43-P43)</f>
        <v>0.0437352377710833</v>
      </c>
      <c r="R43" s="205" t="s">
        <v>571</v>
      </c>
      <c r="S43" s="205" t="s">
        <v>572</v>
      </c>
      <c r="T43" s="209" t="n">
        <v>100</v>
      </c>
      <c r="U43" s="210" t="n">
        <f aca="false">IF($A43="","",IF(OR($S43="System",$I43="Exited"),$T43,SUMIFS(CurrentPositionsTable[Quantity],CurrentPositionsTable[Ticker],$A43)-SUMIFS($T$3:$T$44,$A$3:$A$44,$A43,$S$3:$S$44,"System",$I$3:$I$44,"Held")))</f>
        <v>100</v>
      </c>
      <c r="V43" s="211" t="n">
        <f aca="false">IF(OR($U43="",$D43=""),"",$U43*$D43)</f>
        <v>28325</v>
      </c>
      <c r="W43" s="211" t="n">
        <f aca="false">IF(OR($U43="",$M43=""),"",$U43*$M43)</f>
        <v>29613</v>
      </c>
      <c r="X43" s="212" t="n">
        <f aca="false">IF(OR($V43="",$W43=""),"",$W43-$V43)</f>
        <v>1288</v>
      </c>
      <c r="Y43" s="205" t="n">
        <f aca="false">$D43</f>
        <v>283.25</v>
      </c>
      <c r="Z43" s="211" t="n">
        <f aca="false">IF(OR($U43="",$Y43=""),"",$U43*$Y43)</f>
        <v>28325</v>
      </c>
      <c r="AA43" s="212" t="n">
        <f aca="false">IF(OR($Z43="",$W43=""),"",$W43-$Z43)</f>
        <v>1288</v>
      </c>
      <c r="AB43" s="208" t="n">
        <f aca="false">IF(OR($Z43="",$W43=""),"",IF($Z43=0,"",$W43/$Z43-1))</f>
        <v>0.0454721977052075</v>
      </c>
      <c r="AC43" s="212" t="n">
        <f aca="false">IF(OR($V43="",$P43=""),"",$V43*$P43)</f>
        <v>49.1993901340665</v>
      </c>
    </row>
    <row r="44" customFormat="false" ht="15" hidden="false" customHeight="true" outlineLevel="0" collapsed="false">
      <c r="A44" s="203"/>
      <c r="B44" s="128"/>
      <c r="C44" s="207"/>
      <c r="D44" s="205"/>
      <c r="E44" s="206"/>
      <c r="F44" s="128"/>
      <c r="G44" s="128"/>
      <c r="H44" s="205"/>
      <c r="I44" s="128"/>
      <c r="J44" s="207"/>
      <c r="K44" s="205"/>
      <c r="L44" s="128"/>
      <c r="M44" s="205"/>
      <c r="N44" s="205"/>
      <c r="O44" s="208" t="str">
        <f aca="false">IF(OR(D44="",M44=""),"",M44/D44-1)</f>
        <v/>
      </c>
      <c r="P44" s="208" t="str">
        <f aca="false">IF(OR(H44="",N44=""),"",N44/H44-1)</f>
        <v/>
      </c>
      <c r="Q44" s="208" t="str">
        <f aca="false">IF(OR(O44="",P44=""),"",O44-P44)</f>
        <v/>
      </c>
      <c r="R44" s="205"/>
      <c r="S44" s="205"/>
      <c r="T44" s="209"/>
      <c r="U44" s="210" t="str">
        <f aca="false">IF($A44="","",IF(OR($S44="System",$I44="Exited"),$T44,SUMIFS(CurrentPositionsTable[Quantity],CurrentPositionsTable[Ticker],$A44)-SUMIFS($T$3:$T$44,$A$3:$A$44,$A44,$S$3:$S$44,"System",$I$3:$I$44,"Held")))</f>
        <v/>
      </c>
      <c r="V44" s="211" t="str">
        <f aca="false">IF(OR($U44="",$D44=""),"",$U44*$D44)</f>
        <v/>
      </c>
      <c r="W44" s="211" t="str">
        <f aca="false">IF(OR($U44="",$M44=""),"",$U44*$M44)</f>
        <v/>
      </c>
      <c r="X44" s="212" t="str">
        <f aca="false">IF(OR($V44="",$W44=""),"",$W44-$V44)</f>
        <v/>
      </c>
      <c r="Y44" s="205"/>
      <c r="Z44" s="211" t="str">
        <f aca="false">IF(OR($U44="",$Y44=""),"",$U44*$Y44)</f>
        <v/>
      </c>
      <c r="AA44" s="212" t="str">
        <f aca="false">IF(OR($Z44="",$W44=""),"",$W44-$Z44)</f>
        <v/>
      </c>
      <c r="AB44" s="208" t="str">
        <f aca="false">IF(OR($Z44="",$W44=""),"",IF($Z44=0,"",$W44/$Z44-1))</f>
        <v/>
      </c>
      <c r="AC44" s="212" t="str">
        <f aca="false">IF(OR($V44="",$P44=""),"",$V44*$P44)</f>
        <v/>
      </c>
    </row>
    <row r="46" customFormat="false" ht="18" hidden="false" customHeight="true" outlineLevel="0" collapsed="false">
      <c r="A46" s="214" t="s">
        <v>603</v>
      </c>
      <c r="B46" s="215"/>
      <c r="C46" s="215"/>
      <c r="D46" s="215" t="s">
        <v>604</v>
      </c>
      <c r="E46" s="215" t="s">
        <v>605</v>
      </c>
      <c r="F46" s="215" t="s">
        <v>606</v>
      </c>
      <c r="G46" s="215" t="s">
        <v>607</v>
      </c>
      <c r="H46" s="215" t="s">
        <v>608</v>
      </c>
      <c r="I46" s="215" t="s">
        <v>609</v>
      </c>
      <c r="J46" s="214" t="s">
        <v>610</v>
      </c>
      <c r="K46" s="215"/>
      <c r="L46" s="215"/>
      <c r="M46" s="215"/>
      <c r="N46" s="215"/>
      <c r="O46" s="215"/>
      <c r="P46" s="215"/>
      <c r="Q46" s="215"/>
      <c r="R46" s="216"/>
      <c r="S46" s="216"/>
      <c r="T46" s="216"/>
      <c r="U46" s="216"/>
      <c r="V46" s="216"/>
      <c r="W46" s="216"/>
      <c r="X46" s="216"/>
      <c r="Y46" s="216"/>
      <c r="Z46" s="216"/>
      <c r="AA46" s="216"/>
      <c r="AB46" s="216"/>
      <c r="AC46" s="216"/>
    </row>
    <row r="47" customFormat="false" ht="15" hidden="false" customHeight="true" outlineLevel="0" collapsed="false">
      <c r="A47" s="217" t="s">
        <v>611</v>
      </c>
      <c r="B47" s="217"/>
      <c r="C47" s="217"/>
      <c r="D47" s="218" t="n">
        <f aca="false">SUMIFS($V$3:$V$44,$R$3:$R$44,"Stock",$I$3:$I$44,"Held")</f>
        <v>331500.1339984</v>
      </c>
      <c r="E47" s="218" t="n">
        <f aca="false">SUMIFS($W$3:$W$44,$R$3:$R$44,"Stock",$I$3:$I$44,"Held")</f>
        <v>346030.0561175</v>
      </c>
      <c r="F47" s="218" t="n">
        <f aca="false">E47-D47</f>
        <v>14529.9221191</v>
      </c>
      <c r="G47" s="219" t="n">
        <f aca="false">IF(D47=0,"",F47/D47)</f>
        <v>0.0438308182378295</v>
      </c>
      <c r="H47" s="219" t="n">
        <f aca="false">IF(D47=0,"",SUMIFS($AC$3:$AC$44,$R$3:$R$44,"Stock",$I$3:$I$44,"Held")/D47)</f>
        <v>0.0110742368260716</v>
      </c>
      <c r="I47" s="219" t="n">
        <f aca="false">IF(OR(G47="",H47=""),"",G47-H47)</f>
        <v>0.0327565814117579</v>
      </c>
      <c r="J47" s="220" t="s">
        <v>612</v>
      </c>
      <c r="K47" s="216"/>
      <c r="L47" s="216"/>
      <c r="M47" s="216"/>
      <c r="N47" s="216"/>
      <c r="O47" s="216"/>
      <c r="P47" s="216"/>
      <c r="Q47" s="216"/>
      <c r="R47" s="216"/>
      <c r="S47" s="216"/>
      <c r="T47" s="216"/>
      <c r="U47" s="216"/>
      <c r="V47" s="216"/>
      <c r="W47" s="216"/>
      <c r="X47" s="216"/>
      <c r="Y47" s="216"/>
      <c r="Z47" s="216"/>
      <c r="AA47" s="216"/>
      <c r="AB47" s="216"/>
      <c r="AC47" s="216"/>
    </row>
    <row r="48" customFormat="false" ht="15" hidden="false" customHeight="true" outlineLevel="0" collapsed="false">
      <c r="A48" s="221" t="s">
        <v>613</v>
      </c>
      <c r="B48" s="221"/>
      <c r="C48" s="221"/>
      <c r="D48" s="222" t="n">
        <f aca="false">SUMIFS($V$3:$V$44,$I$3:$I$44,"Held")</f>
        <v>702540.9480657</v>
      </c>
      <c r="E48" s="222" t="n">
        <f aca="false">SUMIFS($W$3:$W$44,$I$3:$I$44,"Held")</f>
        <v>713945.2104696</v>
      </c>
      <c r="F48" s="222" t="n">
        <f aca="false">E48-D48</f>
        <v>11404.2624039</v>
      </c>
      <c r="G48" s="223" t="n">
        <f aca="false">IF(D48=0,"",F48/D48)</f>
        <v>0.0162328792866797</v>
      </c>
      <c r="H48" s="223" t="n">
        <f aca="false">IF(D48=0,"",SUMIFS($AC$3:$AC$44,$I$3:$I$44,"Held")/D48)</f>
        <v>0.011249300433676</v>
      </c>
      <c r="I48" s="223" t="n">
        <f aca="false">IF(OR(G48="",H48=""),"",G48-H48)</f>
        <v>0.00498357885300375</v>
      </c>
      <c r="J48" s="220" t="s">
        <v>614</v>
      </c>
      <c r="K48" s="216"/>
      <c r="L48" s="216"/>
      <c r="M48" s="216"/>
      <c r="N48" s="216"/>
      <c r="O48" s="216"/>
      <c r="P48" s="216"/>
      <c r="Q48" s="216"/>
      <c r="R48" s="216"/>
      <c r="S48" s="216"/>
      <c r="T48" s="216"/>
      <c r="U48" s="216"/>
      <c r="V48" s="216"/>
      <c r="W48" s="216"/>
      <c r="X48" s="216"/>
      <c r="Y48" s="216"/>
      <c r="Z48" s="216"/>
      <c r="AA48" s="216"/>
      <c r="AB48" s="216"/>
      <c r="AC48" s="216"/>
    </row>
    <row r="49" customFormat="false" ht="15" hidden="false" customHeight="true" outlineLevel="0" collapsed="false">
      <c r="A49" s="217" t="s">
        <v>615</v>
      </c>
      <c r="B49" s="217"/>
      <c r="C49" s="217"/>
      <c r="D49" s="218" t="n">
        <f aca="false">SUMIFS($Z$3:$Z$44,$R$3:$R$44,"Stock")</f>
        <v>305061.7581412</v>
      </c>
      <c r="E49" s="218" t="n">
        <f aca="false">SUMIFS($W$3:$W$44,$R$3:$R$44,"Stock")</f>
        <v>360179.8086175</v>
      </c>
      <c r="F49" s="218" t="n">
        <f aca="false">E49-D49</f>
        <v>55118.0504763</v>
      </c>
      <c r="G49" s="219" t="n">
        <f aca="false">IF(D49=0,"",F49/D49)</f>
        <v>0.180678334813727</v>
      </c>
      <c r="H49" s="219" t="n">
        <f aca="false">PT_SPY_Now/PT_SPY_1231-1</f>
        <v>0.141732167996246</v>
      </c>
      <c r="I49" s="219" t="n">
        <f aca="false">IF(OR(G49="",H49=""),"",G49-H49)</f>
        <v>0.0389461668174812</v>
      </c>
      <c r="J49" s="220" t="s">
        <v>616</v>
      </c>
      <c r="K49" s="216"/>
      <c r="L49" s="216"/>
      <c r="M49" s="216"/>
      <c r="N49" s="216"/>
      <c r="O49" s="216"/>
      <c r="P49" s="216"/>
      <c r="Q49" s="216"/>
      <c r="R49" s="216"/>
      <c r="S49" s="216"/>
      <c r="T49" s="216"/>
      <c r="U49" s="216"/>
      <c r="V49" s="216"/>
      <c r="W49" s="216"/>
      <c r="X49" s="216"/>
      <c r="Y49" s="216"/>
      <c r="Z49" s="216"/>
      <c r="AA49" s="216"/>
      <c r="AB49" s="216"/>
      <c r="AC49" s="216"/>
    </row>
    <row r="50" customFormat="false" ht="15" hidden="false" customHeight="true" outlineLevel="0" collapsed="false">
      <c r="A50" s="221" t="s">
        <v>617</v>
      </c>
      <c r="B50" s="221"/>
      <c r="C50" s="221"/>
      <c r="D50" s="222" t="n">
        <f aca="false">SUM($Z$3:$Z$44)</f>
        <v>664803.6155366</v>
      </c>
      <c r="E50" s="222" t="n">
        <f aca="false">SUM($W$3:$W$44)</f>
        <v>761743.1600606</v>
      </c>
      <c r="F50" s="222" t="n">
        <f aca="false">E50-D50</f>
        <v>96939.544524</v>
      </c>
      <c r="G50" s="223" t="n">
        <f aca="false">IF(D50=0,"",F50/D50)</f>
        <v>0.145816813053513</v>
      </c>
      <c r="H50" s="223" t="n">
        <f aca="false">PT_SPY_Now/PT_SPY_1231-1</f>
        <v>0.141732167996246</v>
      </c>
      <c r="I50" s="223" t="n">
        <f aca="false">IF(OR(G50="",H50=""),"",G50-H50)</f>
        <v>0.00408464505726713</v>
      </c>
      <c r="J50" s="220" t="s">
        <v>618</v>
      </c>
      <c r="K50" s="216"/>
      <c r="L50" s="216"/>
      <c r="M50" s="216"/>
      <c r="N50" s="216"/>
      <c r="O50" s="216"/>
      <c r="P50" s="216"/>
      <c r="Q50" s="216"/>
      <c r="R50" s="216"/>
      <c r="S50" s="216"/>
      <c r="T50" s="216"/>
      <c r="U50" s="216"/>
      <c r="V50" s="216"/>
      <c r="W50" s="216"/>
      <c r="X50" s="216"/>
      <c r="Y50" s="216"/>
      <c r="Z50" s="216"/>
      <c r="AA50" s="216"/>
      <c r="AB50" s="216"/>
      <c r="AC50" s="216"/>
    </row>
    <row r="51" customFormat="false" ht="15" hidden="false" customHeight="true" outlineLevel="0" collapsed="false">
      <c r="A51" s="217" t="s">
        <v>619</v>
      </c>
      <c r="B51" s="217"/>
      <c r="C51" s="217"/>
      <c r="D51" s="218" t="n">
        <f aca="false">SUMIFS($V$3:$V$44,$R$3:$R$44,"Stock")</f>
        <v>345675.1839984</v>
      </c>
      <c r="E51" s="218" t="n">
        <f aca="false">SUMIFS($W$3:$W$44,$R$3:$R$44,"Stock")</f>
        <v>360179.8086175</v>
      </c>
      <c r="F51" s="218" t="n">
        <f aca="false">E51-D51</f>
        <v>14504.6246191</v>
      </c>
      <c r="G51" s="219" t="n">
        <f aca="false">IF(D51=0,"",F51/D51)</f>
        <v>0.0419602716380333</v>
      </c>
      <c r="H51" s="219" t="n">
        <f aca="false">PT_SPY_Now/PT_SPY_0805-1</f>
        <v>0.0114057080502477</v>
      </c>
      <c r="I51" s="219" t="n">
        <f aca="false">IF(OR(G51="",H51=""),"",G51-H51)</f>
        <v>0.0305545635877857</v>
      </c>
      <c r="J51" s="220" t="s">
        <v>620</v>
      </c>
      <c r="K51" s="216"/>
      <c r="L51" s="216"/>
      <c r="M51" s="216"/>
      <c r="N51" s="216"/>
      <c r="O51" s="216"/>
      <c r="P51" s="216"/>
      <c r="Q51" s="216"/>
      <c r="R51" s="216"/>
      <c r="S51" s="216"/>
      <c r="T51" s="216"/>
      <c r="U51" s="216"/>
      <c r="V51" s="216"/>
      <c r="W51" s="216"/>
      <c r="X51" s="216"/>
      <c r="Y51" s="216"/>
      <c r="Z51" s="216"/>
      <c r="AA51" s="216"/>
      <c r="AB51" s="216"/>
      <c r="AC51" s="216"/>
    </row>
    <row r="52" customFormat="false" ht="15" hidden="false" customHeight="true" outlineLevel="0" collapsed="false">
      <c r="A52" s="221" t="s">
        <v>621</v>
      </c>
      <c r="B52" s="221"/>
      <c r="C52" s="221"/>
      <c r="D52" s="222" t="n">
        <f aca="false">SUM($V$3:$V$44)</f>
        <v>749983.5331657</v>
      </c>
      <c r="E52" s="222" t="n">
        <f aca="false">SUM($W$3:$W$44)</f>
        <v>761743.1600606</v>
      </c>
      <c r="F52" s="222" t="n">
        <f aca="false">E52-D52</f>
        <v>11759.6268949</v>
      </c>
      <c r="G52" s="223" t="n">
        <f aca="false">IF(D52=0,"",F52/D52)</f>
        <v>0.0156798467897852</v>
      </c>
      <c r="H52" s="223" t="n">
        <f aca="false">PT_SPY_Now/PT_SPY_0805-1</f>
        <v>0.0114057080502477</v>
      </c>
      <c r="I52" s="223" t="n">
        <f aca="false">IF(OR(G52="",H52=""),"",G52-H52)</f>
        <v>0.00427413873953758</v>
      </c>
      <c r="J52" s="220" t="s">
        <v>622</v>
      </c>
      <c r="K52" s="216"/>
      <c r="L52" s="216"/>
      <c r="M52" s="216"/>
      <c r="N52" s="216"/>
      <c r="O52" s="216"/>
      <c r="P52" s="216"/>
      <c r="Q52" s="216"/>
      <c r="R52" s="216"/>
      <c r="S52" s="216"/>
      <c r="T52" s="216"/>
      <c r="U52" s="216"/>
      <c r="V52" s="216"/>
      <c r="W52" s="216"/>
      <c r="X52" s="216"/>
      <c r="Y52" s="216"/>
      <c r="Z52" s="216"/>
      <c r="AA52" s="216"/>
      <c r="AB52" s="216"/>
      <c r="AC52" s="216"/>
    </row>
    <row r="53" customFormat="false" ht="15" hidden="false" customHeight="true" outlineLevel="0" collapsed="false">
      <c r="A53" s="221" t="s">
        <v>623</v>
      </c>
      <c r="B53" s="221"/>
      <c r="C53" s="221"/>
      <c r="D53" s="222"/>
      <c r="E53" s="222"/>
      <c r="F53" s="222" t="n">
        <f aca="false">IF((PT_AsOf-PT_Inception)/365&gt;0,F52/((PT_AsOf-PT_Inception)/365),"")</f>
        <v>66034.8279482846</v>
      </c>
      <c r="G53" s="223" t="n">
        <f aca="false">IF((PT_AsOf-PT_Inception)/365&gt;0,G52/((PT_AsOf-PT_Inception)/365),"")</f>
        <v>0.0880483704349479</v>
      </c>
      <c r="H53" s="223" t="n">
        <f aca="false">IF((PT_AsOf-PT_Inception)/365&gt;0,H52/((PT_AsOf-PT_Inception)/365),"")</f>
        <v>0.0640474375129291</v>
      </c>
      <c r="I53" s="223" t="n">
        <f aca="false">IF(OR(G53="",H53=""),"",G53-H53)</f>
        <v>0.0240009329220187</v>
      </c>
      <c r="J53" s="220" t="s">
        <v>624</v>
      </c>
      <c r="K53" s="216"/>
      <c r="L53" s="216"/>
      <c r="M53" s="216"/>
      <c r="N53" s="216"/>
      <c r="O53" s="216"/>
      <c r="P53" s="216"/>
      <c r="Q53" s="216"/>
      <c r="R53" s="216"/>
      <c r="S53" s="216"/>
      <c r="T53" s="216"/>
      <c r="U53" s="216"/>
      <c r="V53" s="216"/>
      <c r="W53" s="216"/>
      <c r="X53" s="216"/>
      <c r="Y53" s="216"/>
      <c r="Z53" s="216"/>
      <c r="AA53" s="216"/>
      <c r="AB53" s="216"/>
      <c r="AC53" s="216"/>
    </row>
    <row r="54" customFormat="false" ht="15" hidden="false" customHeight="true" outlineLevel="0" collapsed="false">
      <c r="A54" s="216"/>
      <c r="B54" s="216"/>
      <c r="C54" s="216"/>
      <c r="D54" s="216"/>
      <c r="E54" s="216"/>
      <c r="F54" s="216"/>
      <c r="G54" s="216"/>
      <c r="H54" s="216"/>
      <c r="I54" s="216"/>
      <c r="J54" s="216"/>
      <c r="K54" s="216"/>
      <c r="L54" s="216"/>
      <c r="M54" s="216"/>
      <c r="N54" s="216"/>
      <c r="O54" s="216"/>
      <c r="P54" s="216"/>
      <c r="Q54" s="216"/>
      <c r="R54" s="216"/>
      <c r="S54" s="216"/>
      <c r="T54" s="216"/>
      <c r="U54" s="216"/>
      <c r="V54" s="216"/>
      <c r="W54" s="216"/>
      <c r="X54" s="216"/>
      <c r="Y54" s="216"/>
      <c r="Z54" s="216"/>
      <c r="AA54" s="216"/>
      <c r="AB54" s="216"/>
      <c r="AC54" s="216"/>
    </row>
    <row r="55" customFormat="false" ht="18" hidden="false" customHeight="true" outlineLevel="0" collapsed="false">
      <c r="A55" s="214" t="s">
        <v>625</v>
      </c>
      <c r="B55" s="215"/>
      <c r="C55" s="215"/>
      <c r="D55" s="215" t="s">
        <v>604</v>
      </c>
      <c r="E55" s="215" t="s">
        <v>605</v>
      </c>
      <c r="F55" s="215" t="s">
        <v>606</v>
      </c>
      <c r="G55" s="215" t="s">
        <v>607</v>
      </c>
      <c r="H55" s="215" t="s">
        <v>608</v>
      </c>
      <c r="I55" s="215" t="s">
        <v>609</v>
      </c>
      <c r="J55" s="214" t="s">
        <v>610</v>
      </c>
      <c r="K55" s="215"/>
      <c r="L55" s="215"/>
      <c r="M55" s="215"/>
      <c r="N55" s="215"/>
      <c r="O55" s="215"/>
      <c r="P55" s="215"/>
      <c r="Q55" s="215"/>
      <c r="R55" s="216"/>
      <c r="S55" s="216"/>
      <c r="T55" s="216"/>
      <c r="U55" s="216"/>
      <c r="V55" s="216"/>
      <c r="W55" s="216"/>
      <c r="X55" s="216"/>
      <c r="Y55" s="216"/>
      <c r="Z55" s="216"/>
      <c r="AA55" s="216"/>
      <c r="AB55" s="216"/>
      <c r="AC55" s="216"/>
    </row>
    <row r="56" customFormat="false" ht="15" hidden="false" customHeight="true" outlineLevel="0" collapsed="false">
      <c r="A56" s="217" t="s">
        <v>626</v>
      </c>
      <c r="B56" s="217"/>
      <c r="C56" s="217"/>
      <c r="D56" s="218" t="n">
        <f aca="false">SUMIFS($V$3:$V$44,$S$3:$S$44,"System")</f>
        <v>125729.03</v>
      </c>
      <c r="E56" s="218" t="n">
        <f aca="false">SUMIFS($W$3:$W$44,$S$3:$S$44,"System")</f>
        <v>126626.46</v>
      </c>
      <c r="F56" s="218" t="n">
        <f aca="false">E56-D56</f>
        <v>897.430000000008</v>
      </c>
      <c r="G56" s="219" t="n">
        <f aca="false">IF(D56=0,"",F56/D56)</f>
        <v>0.00713781057564834</v>
      </c>
      <c r="H56" s="219" t="n">
        <f aca="false">IF(D56=0,"",SUMIFS($AC$3:$AC$44,$S$3:$S$44,"System")/D56)</f>
        <v>0.0105317431812674</v>
      </c>
      <c r="I56" s="219" t="n">
        <f aca="false">IF(OR(G56="",H56=""),"",G56-H56)</f>
        <v>-0.00339393260561906</v>
      </c>
      <c r="J56" s="220" t="s">
        <v>627</v>
      </c>
      <c r="K56" s="216"/>
      <c r="L56" s="216"/>
      <c r="M56" s="216"/>
      <c r="N56" s="216"/>
      <c r="O56" s="216"/>
      <c r="P56" s="216"/>
      <c r="Q56" s="216"/>
      <c r="R56" s="216"/>
      <c r="S56" s="216"/>
      <c r="T56" s="216"/>
      <c r="U56" s="216"/>
      <c r="V56" s="216"/>
      <c r="W56" s="216"/>
      <c r="X56" s="216"/>
      <c r="Y56" s="216"/>
      <c r="Z56" s="216"/>
      <c r="AA56" s="216"/>
      <c r="AB56" s="216"/>
      <c r="AC56" s="216"/>
    </row>
    <row r="57" customFormat="false" ht="15" hidden="false" customHeight="true" outlineLevel="0" collapsed="false">
      <c r="A57" s="217" t="s">
        <v>628</v>
      </c>
      <c r="B57" s="217"/>
      <c r="C57" s="217"/>
      <c r="D57" s="218" t="n">
        <f aca="false">SUMIFS($V$3:$V$44,$S$3:$S$44,"Baseline",$R$3:$R$44,"Stock")</f>
        <v>219946.1539984</v>
      </c>
      <c r="E57" s="218" t="n">
        <f aca="false">SUMIFS($W$3:$W$44,$S$3:$S$44,"Baseline",$R$3:$R$44,"Stock")</f>
        <v>233553.3486175</v>
      </c>
      <c r="F57" s="218" t="n">
        <f aca="false">E57-D57</f>
        <v>13607.1946191</v>
      </c>
      <c r="G57" s="219" t="n">
        <f aca="false">IF(D57=0,"",F57/D57)</f>
        <v>0.0618660266239482</v>
      </c>
      <c r="H57" s="219" t="n">
        <f aca="false">IF(D57=0,"",SUMIFS($AC$3:$AC$44,$S$3:$S$44,"Baseline",$R$3:$R$44,"Stock")/D57)</f>
        <v>0.0109611479484565</v>
      </c>
      <c r="I57" s="219" t="n">
        <f aca="false">IF(OR(G57="",H57=""),"",G57-H57)</f>
        <v>0.0509048786754916</v>
      </c>
      <c r="J57" s="220" t="s">
        <v>629</v>
      </c>
      <c r="K57" s="216"/>
      <c r="L57" s="216"/>
      <c r="M57" s="216"/>
      <c r="N57" s="216"/>
      <c r="O57" s="216"/>
      <c r="P57" s="216"/>
      <c r="Q57" s="216"/>
      <c r="R57" s="216"/>
      <c r="S57" s="216"/>
      <c r="T57" s="216"/>
      <c r="U57" s="216"/>
      <c r="V57" s="216"/>
      <c r="W57" s="216"/>
      <c r="X57" s="216"/>
      <c r="Y57" s="216"/>
      <c r="Z57" s="216"/>
      <c r="AA57" s="216"/>
      <c r="AB57" s="216"/>
      <c r="AC57" s="216"/>
    </row>
    <row r="58" customFormat="false" ht="15" hidden="false" customHeight="true" outlineLevel="0" collapsed="false">
      <c r="A58" s="217" t="s">
        <v>630</v>
      </c>
      <c r="B58" s="217"/>
      <c r="C58" s="217"/>
      <c r="D58" s="218" t="n">
        <f aca="false">SUMIFS($V$3:$V$44,$S$3:$S$44,"Baseline",$R$3:$R$44,"ETF")</f>
        <v>359027.5591673</v>
      </c>
      <c r="E58" s="218" t="n">
        <f aca="false">SUMIFS($W$3:$W$44,$S$3:$S$44,"Baseline",$R$3:$R$44,"ETF")</f>
        <v>356282.5614431</v>
      </c>
      <c r="F58" s="218" t="n">
        <f aca="false">E58-D58</f>
        <v>-2744.99772419996</v>
      </c>
      <c r="G58" s="219" t="n">
        <f aca="false">IF(D58=0,"",F58/D58)</f>
        <v>-0.00764564628566812</v>
      </c>
      <c r="H58" s="219" t="n">
        <f aca="false">IF(D58=0,"",SUMIFS($AC$3:$AC$44,$S$3:$S$44,"Baseline",$R$3:$R$44,"ETF")/D58)</f>
        <v>0.0108841921202627</v>
      </c>
      <c r="I58" s="219" t="n">
        <f aca="false">IF(OR(G58="",H58=""),"",G58-H58)</f>
        <v>-0.0185298384059308</v>
      </c>
      <c r="J58" s="220" t="s">
        <v>631</v>
      </c>
      <c r="K58" s="216"/>
      <c r="L58" s="216"/>
      <c r="M58" s="216"/>
      <c r="N58" s="216"/>
      <c r="O58" s="216"/>
      <c r="P58" s="216"/>
      <c r="Q58" s="216"/>
      <c r="R58" s="216"/>
      <c r="S58" s="216"/>
      <c r="T58" s="216"/>
      <c r="U58" s="216"/>
      <c r="V58" s="216"/>
      <c r="W58" s="216"/>
      <c r="X58" s="216"/>
      <c r="Y58" s="216"/>
      <c r="Z58" s="216"/>
      <c r="AA58" s="216"/>
      <c r="AB58" s="216"/>
      <c r="AC58" s="216"/>
    </row>
    <row r="59" customFormat="false" ht="15" hidden="false" customHeight="true" outlineLevel="0" collapsed="false">
      <c r="A59" s="217" t="s">
        <v>632</v>
      </c>
      <c r="B59" s="217"/>
      <c r="C59" s="217"/>
      <c r="D59" s="218" t="n">
        <f aca="false">SUMIFS($V$3:$V$44,$S$3:$S$44,"Baseline",$R$3:$R$44,"Cash")</f>
        <v>45280.79</v>
      </c>
      <c r="E59" s="218" t="n">
        <f aca="false">SUMIFS($W$3:$W$44,$S$3:$S$44,"Baseline",$R$3:$R$44,"Cash")</f>
        <v>45280.79</v>
      </c>
      <c r="F59" s="218" t="n">
        <f aca="false">E59-D59</f>
        <v>0</v>
      </c>
      <c r="G59" s="219" t="n">
        <f aca="false">IF(D59=0,"",F59/D59)</f>
        <v>0</v>
      </c>
      <c r="H59" s="219" t="n">
        <f aca="false">IF(D59=0,"",SUMIFS($AC$3:$AC$44,$S$3:$S$44,"Baseline",$R$3:$R$44,"Cash")/D59)</f>
        <v>0.0109146384387525</v>
      </c>
      <c r="I59" s="219" t="n">
        <f aca="false">IF(OR(G59="",H59=""),"",G59-H59)</f>
        <v>-0.0109146384387525</v>
      </c>
      <c r="J59" s="220" t="s">
        <v>633</v>
      </c>
      <c r="K59" s="216"/>
      <c r="L59" s="216"/>
      <c r="M59" s="216"/>
      <c r="N59" s="216"/>
      <c r="O59" s="216"/>
      <c r="P59" s="216"/>
      <c r="Q59" s="216"/>
      <c r="R59" s="216"/>
      <c r="S59" s="216"/>
      <c r="T59" s="216"/>
      <c r="U59" s="216"/>
      <c r="V59" s="216"/>
      <c r="W59" s="216"/>
      <c r="X59" s="216"/>
      <c r="Y59" s="216"/>
      <c r="Z59" s="216"/>
      <c r="AA59" s="216"/>
      <c r="AB59" s="216"/>
      <c r="AC59" s="216"/>
    </row>
    <row r="60" customFormat="false" ht="15" hidden="false" customHeight="true" outlineLevel="0" collapsed="false">
      <c r="A60" s="221" t="s">
        <v>634</v>
      </c>
      <c r="B60" s="221"/>
      <c r="C60" s="221"/>
      <c r="D60" s="222" t="n">
        <f aca="false">D56+D57+D58+D59</f>
        <v>749983.5331657</v>
      </c>
      <c r="E60" s="222" t="n">
        <f aca="false">E56+E57+E58+E59</f>
        <v>761743.1600606</v>
      </c>
      <c r="F60" s="222" t="n">
        <f aca="false">E60-D60</f>
        <v>11759.6268949001</v>
      </c>
      <c r="G60" s="223" t="n">
        <f aca="false">IF(D60=0,"",F60/D60)</f>
        <v>0.0156798467897854</v>
      </c>
      <c r="H60" s="223" t="n">
        <f aca="false">IF(D60=0,"",(SUMIFS($AC$3:$AC$44,$S$3:$S$44,"System")+SUMIFS($AC$3:$AC$44,$S$3:$S$44,"Baseline",$R$3:$R$44,"Stock")+SUMIFS($AC$3:$AC$44,$S$3:$S$44,"Baseline",$R$3:$R$44,"ETF")+SUMIFS($AC$3:$AC$44,$S$3:$S$44,"Baseline",$R$3:$R$44,"Cash"))/D60)</f>
        <v>0.0108495136369608</v>
      </c>
      <c r="I60" s="223" t="n">
        <f aca="false">IF(OR(G60="",H60=""),"",G60-H60)</f>
        <v>0.0048303331528246</v>
      </c>
      <c r="J60" s="220"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16"/>
      <c r="L60" s="216"/>
      <c r="M60" s="216"/>
      <c r="N60" s="216"/>
      <c r="O60" s="216"/>
      <c r="P60" s="216"/>
      <c r="Q60" s="216"/>
      <c r="R60" s="216"/>
      <c r="S60" s="216"/>
      <c r="T60" s="216"/>
      <c r="U60" s="216"/>
      <c r="V60" s="216"/>
      <c r="W60" s="216"/>
      <c r="X60" s="216"/>
      <c r="Y60" s="216"/>
      <c r="Z60" s="216"/>
      <c r="AA60" s="216"/>
      <c r="AB60" s="216"/>
      <c r="AC60" s="216"/>
    </row>
    <row r="61" customFormat="false" ht="15" hidden="false" customHeight="true" outlineLevel="0" collapsed="false">
      <c r="A61" s="216"/>
      <c r="B61" s="216"/>
      <c r="C61" s="216"/>
      <c r="D61" s="216"/>
      <c r="E61" s="216"/>
      <c r="F61" s="216"/>
      <c r="G61" s="216"/>
      <c r="H61" s="216"/>
      <c r="I61" s="216"/>
      <c r="J61" s="216"/>
      <c r="K61" s="216"/>
      <c r="L61" s="216"/>
      <c r="M61" s="216"/>
      <c r="N61" s="216"/>
      <c r="O61" s="216"/>
      <c r="P61" s="216"/>
      <c r="Q61" s="216"/>
      <c r="R61" s="216"/>
      <c r="S61" s="216"/>
      <c r="T61" s="216"/>
      <c r="U61" s="216"/>
      <c r="V61" s="216"/>
      <c r="W61" s="216"/>
      <c r="X61" s="216"/>
      <c r="Y61" s="216"/>
      <c r="Z61" s="216"/>
      <c r="AA61" s="216"/>
      <c r="AB61" s="216"/>
      <c r="AC61" s="216"/>
    </row>
    <row r="62" customFormat="false" ht="18" hidden="false" customHeight="true" outlineLevel="0" collapsed="false">
      <c r="A62" s="214" t="s">
        <v>635</v>
      </c>
      <c r="B62" s="214"/>
      <c r="C62" s="214"/>
      <c r="D62" s="214"/>
      <c r="E62" s="214"/>
      <c r="F62" s="214"/>
      <c r="G62" s="214"/>
      <c r="H62" s="214"/>
      <c r="I62" s="214"/>
      <c r="J62" s="214"/>
      <c r="K62" s="214"/>
      <c r="L62" s="214"/>
      <c r="M62" s="214"/>
      <c r="N62" s="214"/>
      <c r="O62" s="214"/>
      <c r="P62" s="214"/>
      <c r="Q62" s="214"/>
      <c r="R62" s="216"/>
      <c r="S62" s="216"/>
      <c r="T62" s="216"/>
      <c r="U62" s="216"/>
      <c r="V62" s="216"/>
      <c r="W62" s="216"/>
      <c r="X62" s="216"/>
      <c r="Y62" s="216"/>
      <c r="Z62" s="216"/>
      <c r="AA62" s="216"/>
      <c r="AB62" s="216"/>
      <c r="AC62" s="216"/>
    </row>
    <row r="63" customFormat="false" ht="15" hidden="false" customHeight="true" outlineLevel="0" collapsed="false">
      <c r="A63" s="224" t="s">
        <v>636</v>
      </c>
      <c r="B63" s="224"/>
      <c r="C63" s="224"/>
      <c r="D63" s="225" t="n">
        <v>46304</v>
      </c>
      <c r="E63" s="220" t="s">
        <v>637</v>
      </c>
      <c r="F63" s="216"/>
      <c r="G63" s="216"/>
      <c r="H63" s="216"/>
      <c r="I63" s="216"/>
      <c r="J63" s="216"/>
      <c r="K63" s="216"/>
      <c r="L63" s="216"/>
      <c r="M63" s="216"/>
      <c r="N63" s="216"/>
      <c r="O63" s="216"/>
      <c r="P63" s="216"/>
      <c r="Q63" s="216"/>
      <c r="R63" s="216"/>
      <c r="S63" s="216"/>
      <c r="T63" s="216"/>
      <c r="U63" s="216"/>
      <c r="V63" s="216"/>
      <c r="W63" s="216"/>
      <c r="X63" s="216"/>
      <c r="Y63" s="216"/>
      <c r="Z63" s="216"/>
      <c r="AA63" s="216"/>
      <c r="AB63" s="216"/>
      <c r="AC63" s="216"/>
    </row>
    <row r="64" customFormat="false" ht="15" hidden="false" customHeight="true" outlineLevel="0" collapsed="false">
      <c r="A64" s="224" t="s">
        <v>638</v>
      </c>
      <c r="B64" s="224"/>
      <c r="C64" s="224"/>
      <c r="D64" s="226" t="n">
        <v>778.57</v>
      </c>
      <c r="E64" s="220" t="s">
        <v>639</v>
      </c>
      <c r="F64" s="216"/>
      <c r="G64" s="216"/>
      <c r="H64" s="216"/>
      <c r="I64" s="216"/>
      <c r="J64" s="216"/>
      <c r="K64" s="216"/>
      <c r="L64" s="216"/>
      <c r="M64" s="216"/>
      <c r="N64" s="216"/>
      <c r="O64" s="216"/>
      <c r="P64" s="216"/>
      <c r="Q64" s="216"/>
      <c r="R64" s="216"/>
      <c r="S64" s="216"/>
      <c r="T64" s="216"/>
      <c r="U64" s="216"/>
      <c r="V64" s="216"/>
      <c r="W64" s="216"/>
      <c r="X64" s="216"/>
      <c r="Y64" s="216"/>
      <c r="Z64" s="216"/>
      <c r="AA64" s="216"/>
      <c r="AB64" s="216"/>
      <c r="AC64" s="216"/>
    </row>
    <row r="65" customFormat="false" ht="15" hidden="false" customHeight="true" outlineLevel="0" collapsed="false">
      <c r="A65" s="224" t="s">
        <v>640</v>
      </c>
      <c r="B65" s="224"/>
      <c r="C65" s="224"/>
      <c r="D65" s="226" t="n">
        <v>769.79</v>
      </c>
      <c r="E65" s="220" t="s">
        <v>641</v>
      </c>
      <c r="F65" s="216"/>
      <c r="G65" s="216"/>
      <c r="H65" s="216"/>
      <c r="I65" s="216"/>
      <c r="J65" s="216"/>
      <c r="K65" s="216"/>
      <c r="L65" s="216"/>
      <c r="M65" s="216"/>
      <c r="N65" s="216"/>
      <c r="O65" s="216"/>
      <c r="P65" s="216"/>
      <c r="Q65" s="216"/>
      <c r="R65" s="216"/>
      <c r="S65" s="216"/>
      <c r="T65" s="216"/>
      <c r="U65" s="216"/>
      <c r="V65" s="216"/>
      <c r="W65" s="216"/>
      <c r="X65" s="216"/>
      <c r="Y65" s="216"/>
      <c r="Z65" s="216"/>
      <c r="AA65" s="216"/>
      <c r="AB65" s="216"/>
      <c r="AC65" s="216"/>
    </row>
    <row r="66" customFormat="false" ht="15" hidden="false" customHeight="true" outlineLevel="0" collapsed="false">
      <c r="A66" s="224" t="s">
        <v>642</v>
      </c>
      <c r="B66" s="224"/>
      <c r="C66" s="224"/>
      <c r="D66" s="226" t="n">
        <v>681.92</v>
      </c>
      <c r="E66" s="220" t="s">
        <v>643</v>
      </c>
      <c r="F66" s="216"/>
      <c r="G66" s="216"/>
      <c r="H66" s="216"/>
      <c r="I66" s="216"/>
      <c r="J66" s="216"/>
      <c r="K66" s="216"/>
      <c r="L66" s="216"/>
      <c r="M66" s="216"/>
      <c r="N66" s="216"/>
      <c r="O66" s="216"/>
      <c r="P66" s="216"/>
      <c r="Q66" s="216"/>
      <c r="R66" s="216"/>
      <c r="S66" s="216"/>
      <c r="T66" s="216"/>
      <c r="U66" s="216"/>
      <c r="V66" s="216"/>
      <c r="W66" s="216"/>
      <c r="X66" s="216"/>
      <c r="Y66" s="216"/>
      <c r="Z66" s="216"/>
      <c r="AA66" s="216"/>
      <c r="AB66" s="216"/>
      <c r="AC66" s="216"/>
    </row>
    <row r="67" customFormat="false" ht="15" hidden="false" customHeight="true" outlineLevel="0" collapsed="false">
      <c r="A67" s="224" t="s">
        <v>644</v>
      </c>
      <c r="B67" s="224"/>
      <c r="C67" s="224"/>
      <c r="D67" s="225" t="n">
        <v>46239</v>
      </c>
      <c r="E67" s="220" t="s">
        <v>645</v>
      </c>
      <c r="F67" s="216"/>
      <c r="G67" s="216"/>
      <c r="H67" s="216"/>
      <c r="I67" s="216"/>
      <c r="J67" s="216"/>
      <c r="K67" s="216"/>
      <c r="L67" s="216"/>
      <c r="M67" s="216"/>
      <c r="N67" s="216"/>
      <c r="O67" s="216"/>
      <c r="P67" s="216"/>
      <c r="Q67" s="216"/>
      <c r="R67" s="216"/>
      <c r="S67" s="216"/>
      <c r="T67" s="216"/>
      <c r="U67" s="216"/>
      <c r="V67" s="216"/>
      <c r="W67" s="216"/>
      <c r="X67" s="216"/>
      <c r="Y67" s="216"/>
      <c r="Z67" s="216"/>
      <c r="AA67" s="216"/>
      <c r="AB67" s="216"/>
      <c r="AC67" s="216"/>
    </row>
    <row r="68" customFormat="false" ht="15" hidden="false" customHeight="true" outlineLevel="0" collapsed="false">
      <c r="A68" s="216"/>
      <c r="B68" s="216"/>
      <c r="C68" s="216"/>
      <c r="D68" s="216"/>
      <c r="E68" s="216"/>
      <c r="F68" s="216"/>
      <c r="G68" s="216"/>
      <c r="H68" s="216"/>
      <c r="I68" s="216"/>
      <c r="J68" s="216"/>
      <c r="K68" s="216"/>
      <c r="L68" s="216"/>
      <c r="M68" s="216"/>
      <c r="N68" s="216"/>
      <c r="O68" s="216"/>
      <c r="P68" s="216"/>
      <c r="Q68" s="216"/>
      <c r="R68" s="216"/>
      <c r="S68" s="216"/>
      <c r="T68" s="216"/>
      <c r="U68" s="216"/>
      <c r="V68" s="216"/>
      <c r="W68" s="216"/>
      <c r="X68" s="216"/>
      <c r="Y68" s="216"/>
      <c r="Z68" s="216"/>
      <c r="AA68" s="216"/>
      <c r="AB68" s="216"/>
      <c r="AC68" s="216"/>
    </row>
    <row r="69" customFormat="false" ht="72" hidden="false" customHeight="true" outlineLevel="0" collapsed="false">
      <c r="A69" s="227" t="s">
        <v>646</v>
      </c>
      <c r="B69" s="227"/>
      <c r="C69" s="227"/>
      <c r="D69" s="227"/>
      <c r="E69" s="227"/>
      <c r="F69" s="227"/>
      <c r="G69" s="227"/>
      <c r="H69" s="227"/>
      <c r="I69" s="227"/>
      <c r="J69" s="227"/>
      <c r="K69" s="227"/>
      <c r="L69" s="227"/>
      <c r="M69" s="227"/>
      <c r="N69" s="227"/>
      <c r="O69" s="227"/>
      <c r="P69" s="227"/>
      <c r="Q69" s="227"/>
      <c r="R69" s="216"/>
      <c r="S69" s="216"/>
      <c r="T69" s="216"/>
      <c r="U69" s="216"/>
      <c r="V69" s="216"/>
      <c r="W69" s="216"/>
      <c r="X69" s="216"/>
      <c r="Y69" s="216"/>
      <c r="Z69" s="216"/>
      <c r="AA69" s="216"/>
      <c r="AB69" s="216"/>
      <c r="AC69" s="216"/>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8">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8">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8">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8">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8">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8">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8">
      <formula>0</formula>
    </cfRule>
  </conditionalFormatting>
  <conditionalFormatting sqref="F47:I53">
    <cfRule type="cellIs" priority="16" operator="greaterThan" aboveAverage="0" equalAverage="0" bottom="0" percent="0" rank="0" text="" dxfId="21">
      <formula>0</formula>
    </cfRule>
    <cfRule type="cellIs" priority="17" operator="lessThan" aboveAverage="0" equalAverage="0" bottom="0" percent="0" rank="0" text="" dxfId="28">
      <formula>0</formula>
    </cfRule>
  </conditionalFormatting>
  <conditionalFormatting sqref="F56:I60">
    <cfRule type="cellIs" priority="18" operator="greaterThan" aboveAverage="0" equalAverage="0" bottom="0" percent="0" rank="0" text="" dxfId="21">
      <formula>0</formula>
    </cfRule>
    <cfRule type="cellIs" priority="19" operator="lessThan" aboveAverage="0" equalAverage="0" bottom="0" percent="0" rank="0" text="" dxfId="28">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8" width="8.83"/>
    <col collapsed="false" customWidth="true" hidden="false" outlineLevel="0" max="2" min="2" style="228" width="15.33"/>
    <col collapsed="false" customWidth="true" hidden="false" outlineLevel="0" max="3" min="3" style="1" width="98.5"/>
  </cols>
  <sheetData>
    <row r="1" customFormat="false" ht="27.75" hidden="false" customHeight="true" outlineLevel="0" collapsed="false">
      <c r="A1" s="229" t="s">
        <v>647</v>
      </c>
      <c r="B1" s="229"/>
      <c r="C1" s="229"/>
    </row>
    <row r="2" customFormat="false" ht="18" hidden="false" customHeight="true" outlineLevel="0" collapsed="false">
      <c r="A2" s="151" t="s">
        <v>476</v>
      </c>
      <c r="B2" s="151" t="s">
        <v>82</v>
      </c>
      <c r="C2" s="151" t="s">
        <v>219</v>
      </c>
    </row>
    <row r="3" customFormat="false" ht="27.75" hidden="false" customHeight="true" outlineLevel="0" collapsed="false">
      <c r="A3" s="230" t="n">
        <v>46241</v>
      </c>
      <c r="B3" s="231" t="s">
        <v>180</v>
      </c>
      <c r="C3" s="232" t="s">
        <v>648</v>
      </c>
    </row>
    <row r="4" customFormat="false" ht="27.75" hidden="false" customHeight="true" outlineLevel="0" collapsed="false">
      <c r="A4" s="230" t="n">
        <v>46241</v>
      </c>
      <c r="B4" s="231" t="s">
        <v>183</v>
      </c>
      <c r="C4" s="232" t="s">
        <v>649</v>
      </c>
    </row>
    <row r="5" customFormat="false" ht="15" hidden="false" customHeight="true" outlineLevel="0" collapsed="false">
      <c r="A5" s="230" t="n">
        <v>46241</v>
      </c>
      <c r="B5" s="231" t="s">
        <v>192</v>
      </c>
      <c r="C5" s="232" t="s">
        <v>650</v>
      </c>
    </row>
    <row r="6" customFormat="false" ht="40.5" hidden="false" customHeight="true" outlineLevel="0" collapsed="false">
      <c r="A6" s="230" t="n">
        <v>46241</v>
      </c>
      <c r="B6" s="231" t="s">
        <v>174</v>
      </c>
      <c r="C6" s="232" t="s">
        <v>651</v>
      </c>
    </row>
    <row r="7" customFormat="false" ht="27.75" hidden="false" customHeight="true" outlineLevel="0" collapsed="false">
      <c r="A7" s="230" t="n">
        <v>46241</v>
      </c>
      <c r="B7" s="231" t="s">
        <v>652</v>
      </c>
      <c r="C7" s="232" t="s">
        <v>653</v>
      </c>
    </row>
    <row r="8" customFormat="false" ht="27.75" hidden="false" customHeight="true" outlineLevel="0" collapsed="false">
      <c r="A8" s="230" t="n">
        <v>46241</v>
      </c>
      <c r="B8" s="231" t="s">
        <v>652</v>
      </c>
      <c r="C8" s="232" t="s">
        <v>654</v>
      </c>
    </row>
    <row r="9" customFormat="false" ht="27.75" hidden="false" customHeight="true" outlineLevel="0" collapsed="false">
      <c r="A9" s="230" t="n">
        <v>46241</v>
      </c>
      <c r="B9" s="231" t="s">
        <v>655</v>
      </c>
      <c r="C9" s="232" t="s">
        <v>656</v>
      </c>
    </row>
    <row r="10" customFormat="false" ht="27.75" hidden="false" customHeight="true" outlineLevel="0" collapsed="false">
      <c r="A10" s="230" t="n">
        <v>46241</v>
      </c>
      <c r="B10" s="231" t="s">
        <v>657</v>
      </c>
      <c r="C10" s="232" t="s">
        <v>658</v>
      </c>
    </row>
    <row r="11" customFormat="false" ht="27.75" hidden="false" customHeight="true" outlineLevel="0" collapsed="false">
      <c r="A11" s="230" t="n">
        <v>46241</v>
      </c>
      <c r="B11" s="231" t="s">
        <v>131</v>
      </c>
      <c r="C11" s="232" t="s">
        <v>659</v>
      </c>
    </row>
    <row r="12" customFormat="false" ht="78.75" hidden="false" customHeight="true" outlineLevel="0" collapsed="false">
      <c r="A12" s="230" t="n">
        <v>46273</v>
      </c>
      <c r="B12" s="231" t="s">
        <v>660</v>
      </c>
      <c r="C12" s="232" t="s">
        <v>661</v>
      </c>
    </row>
    <row r="13" customFormat="false" ht="53.25" hidden="false" customHeight="true" outlineLevel="0" collapsed="false">
      <c r="A13" s="230" t="n">
        <v>46295</v>
      </c>
      <c r="B13" s="231" t="s">
        <v>662</v>
      </c>
      <c r="C13" s="232" t="s">
        <v>663</v>
      </c>
    </row>
    <row r="14" customFormat="false" ht="66" hidden="false" customHeight="true" outlineLevel="0" collapsed="false">
      <c r="A14" s="230" t="n">
        <v>46302</v>
      </c>
      <c r="B14" s="231" t="s">
        <v>664</v>
      </c>
      <c r="C14" s="232" t="s">
        <v>665</v>
      </c>
    </row>
    <row r="15" customFormat="false" ht="91.5" hidden="false" customHeight="true" outlineLevel="0" collapsed="false">
      <c r="A15" s="230" t="n">
        <v>46320</v>
      </c>
      <c r="B15" s="231" t="s">
        <v>666</v>
      </c>
      <c r="C15" s="232" t="s">
        <v>667</v>
      </c>
    </row>
    <row r="16" customFormat="false" ht="53.25" hidden="false" customHeight="true" outlineLevel="0" collapsed="false">
      <c r="A16" s="230" t="n">
        <v>46335</v>
      </c>
      <c r="B16" s="231" t="s">
        <v>668</v>
      </c>
      <c r="C16" s="232" t="s">
        <v>669</v>
      </c>
    </row>
    <row r="17" customFormat="false" ht="27.75" hidden="false" customHeight="true" outlineLevel="0" collapsed="false">
      <c r="A17" s="230" t="n">
        <v>46387</v>
      </c>
      <c r="B17" s="231" t="s">
        <v>670</v>
      </c>
      <c r="C17" s="232" t="s">
        <v>671</v>
      </c>
    </row>
    <row r="18" customFormat="false" ht="66" hidden="false" customHeight="true" outlineLevel="0" collapsed="false">
      <c r="A18" s="230" t="n">
        <v>46412</v>
      </c>
      <c r="B18" s="231" t="s">
        <v>672</v>
      </c>
      <c r="C18" s="232" t="s">
        <v>673</v>
      </c>
    </row>
    <row r="19" customFormat="false" ht="91.5" hidden="false" customHeight="true" outlineLevel="0" collapsed="false">
      <c r="A19" s="230" t="n">
        <v>46252</v>
      </c>
      <c r="B19" s="231" t="s">
        <v>674</v>
      </c>
      <c r="C19" s="232" t="s">
        <v>675</v>
      </c>
    </row>
    <row r="20" customFormat="false" ht="66" hidden="false" customHeight="true" outlineLevel="0" collapsed="false">
      <c r="A20" s="230" t="n">
        <v>46258</v>
      </c>
      <c r="B20" s="231" t="s">
        <v>676</v>
      </c>
      <c r="C20" s="232" t="s">
        <v>677</v>
      </c>
    </row>
    <row r="21" customFormat="false" ht="104.25" hidden="false" customHeight="true" outlineLevel="0" collapsed="false">
      <c r="A21" s="230" t="n">
        <v>46260</v>
      </c>
      <c r="B21" s="231" t="s">
        <v>678</v>
      </c>
      <c r="C21" s="232" t="s">
        <v>679</v>
      </c>
    </row>
    <row r="22" customFormat="false" ht="155.25" hidden="false" customHeight="true" outlineLevel="0" collapsed="false">
      <c r="A22" s="230" t="n">
        <v>46272</v>
      </c>
      <c r="B22" s="231" t="s">
        <v>680</v>
      </c>
      <c r="C22" s="232" t="s">
        <v>681</v>
      </c>
    </row>
    <row r="23" customFormat="false" ht="53.25" hidden="false" customHeight="true" outlineLevel="0" collapsed="false">
      <c r="A23" s="230" t="n">
        <v>46302</v>
      </c>
      <c r="B23" s="231" t="s">
        <v>682</v>
      </c>
      <c r="C23" s="232" t="s">
        <v>683</v>
      </c>
    </row>
    <row r="24" customFormat="false" ht="53.25" hidden="false" customHeight="true" outlineLevel="0" collapsed="false">
      <c r="A24" s="230" t="n">
        <v>46310</v>
      </c>
      <c r="B24" s="231" t="s">
        <v>684</v>
      </c>
      <c r="C24" s="232" t="s">
        <v>683</v>
      </c>
    </row>
    <row r="25" customFormat="false" ht="53.25" hidden="false" customHeight="true" outlineLevel="0" collapsed="false">
      <c r="A25" s="230" t="n">
        <v>46335</v>
      </c>
      <c r="B25" s="231" t="s">
        <v>685</v>
      </c>
      <c r="C25" s="232" t="s">
        <v>683</v>
      </c>
    </row>
    <row r="26" customFormat="false" ht="53.25" hidden="false" customHeight="true" outlineLevel="0" collapsed="false">
      <c r="A26" s="230" t="n">
        <v>46342</v>
      </c>
      <c r="B26" s="231" t="s">
        <v>686</v>
      </c>
      <c r="C26" s="232" t="s">
        <v>683</v>
      </c>
    </row>
    <row r="27" customFormat="false" ht="53.25" hidden="false" customHeight="true" outlineLevel="0" collapsed="false">
      <c r="A27" s="230" t="n">
        <v>46363</v>
      </c>
      <c r="B27" s="231" t="s">
        <v>687</v>
      </c>
      <c r="C27" s="232" t="s">
        <v>683</v>
      </c>
    </row>
    <row r="28" customFormat="false" ht="53.25" hidden="false" customHeight="true" outlineLevel="0" collapsed="false">
      <c r="A28" s="230" t="n">
        <v>46371</v>
      </c>
      <c r="B28" s="231" t="s">
        <v>688</v>
      </c>
      <c r="C28" s="232" t="s">
        <v>683</v>
      </c>
    </row>
    <row r="29" customFormat="false" ht="53.25" hidden="false" customHeight="true" outlineLevel="0" collapsed="false">
      <c r="A29" s="230" t="n">
        <v>46394</v>
      </c>
      <c r="B29" s="231" t="s">
        <v>689</v>
      </c>
      <c r="C29" s="232" t="s">
        <v>683</v>
      </c>
    </row>
    <row r="30" customFormat="false" ht="53.25" hidden="false" customHeight="true" outlineLevel="0" collapsed="false">
      <c r="A30" s="230" t="n">
        <v>46402</v>
      </c>
      <c r="B30" s="231" t="s">
        <v>690</v>
      </c>
      <c r="C30" s="232" t="s">
        <v>683</v>
      </c>
    </row>
    <row r="31" customFormat="false" ht="53.25" hidden="false" customHeight="true" outlineLevel="0" collapsed="false">
      <c r="A31" s="230" t="n">
        <v>46426</v>
      </c>
      <c r="B31" s="231" t="s">
        <v>691</v>
      </c>
      <c r="C31" s="232" t="s">
        <v>683</v>
      </c>
    </row>
    <row r="32" customFormat="false" ht="53.25" hidden="false" customHeight="true" outlineLevel="0" collapsed="false">
      <c r="A32" s="230" t="n">
        <v>46434</v>
      </c>
      <c r="B32" s="231" t="s">
        <v>692</v>
      </c>
      <c r="C32" s="232" t="s">
        <v>683</v>
      </c>
    </row>
    <row r="33" customFormat="false" ht="53.25" hidden="false" customHeight="true" outlineLevel="0" collapsed="false">
      <c r="A33" s="230" t="n">
        <v>46454</v>
      </c>
      <c r="B33" s="231" t="s">
        <v>693</v>
      </c>
      <c r="C33" s="232" t="s">
        <v>683</v>
      </c>
    </row>
    <row r="34" customFormat="false" ht="53.25" hidden="false" customHeight="true" outlineLevel="0" collapsed="false">
      <c r="A34" s="230" t="n">
        <v>46461</v>
      </c>
      <c r="B34" s="231" t="s">
        <v>694</v>
      </c>
      <c r="C34" s="232" t="s">
        <v>695</v>
      </c>
    </row>
    <row r="35" customFormat="false" ht="117" hidden="false" customHeight="true" outlineLevel="0" collapsed="false">
      <c r="A35" s="230" t="n">
        <v>46273</v>
      </c>
      <c r="B35" s="231" t="s">
        <v>696</v>
      </c>
      <c r="C35" s="232" t="s">
        <v>697</v>
      </c>
    </row>
    <row r="36" customFormat="false" ht="155.25" hidden="false" customHeight="true" outlineLevel="0" collapsed="false">
      <c r="A36" s="230" t="n">
        <v>46276</v>
      </c>
      <c r="B36" s="231" t="s">
        <v>698</v>
      </c>
      <c r="C36" s="232" t="s">
        <v>699</v>
      </c>
    </row>
    <row r="37" customFormat="false" ht="91.5" hidden="false" customHeight="true" outlineLevel="0" collapsed="false">
      <c r="A37" s="230" t="n">
        <v>46276</v>
      </c>
      <c r="B37" s="231" t="s">
        <v>700</v>
      </c>
      <c r="C37" s="232" t="s">
        <v>701</v>
      </c>
    </row>
    <row r="38" customFormat="false" ht="78.75" hidden="false" customHeight="true" outlineLevel="0" collapsed="false">
      <c r="A38" s="230" t="n">
        <v>46276</v>
      </c>
      <c r="B38" s="231" t="s">
        <v>702</v>
      </c>
      <c r="C38" s="232" t="s">
        <v>703</v>
      </c>
    </row>
    <row r="39" customFormat="false" ht="168" hidden="false" customHeight="true" outlineLevel="0" collapsed="false">
      <c r="A39" s="230" t="n">
        <v>46276</v>
      </c>
      <c r="B39" s="231" t="s">
        <v>704</v>
      </c>
      <c r="C39" s="232" t="s">
        <v>705</v>
      </c>
    </row>
    <row r="40" customFormat="false" ht="129.75" hidden="false" customHeight="true" outlineLevel="0" collapsed="false">
      <c r="A40" s="230" t="n">
        <v>46276</v>
      </c>
      <c r="B40" s="231" t="s">
        <v>704</v>
      </c>
      <c r="C40" s="232" t="s">
        <v>706</v>
      </c>
    </row>
    <row r="41" customFormat="false" ht="129.75" hidden="false" customHeight="true" outlineLevel="0" collapsed="false">
      <c r="A41" s="230" t="n">
        <v>46276</v>
      </c>
      <c r="B41" s="231" t="s">
        <v>174</v>
      </c>
      <c r="C41" s="232" t="s">
        <v>707</v>
      </c>
    </row>
    <row r="42" customFormat="false" ht="155.25" hidden="false" customHeight="true" outlineLevel="0" collapsed="false">
      <c r="A42" s="230" t="n">
        <v>46276</v>
      </c>
      <c r="B42" s="231" t="s">
        <v>704</v>
      </c>
      <c r="C42" s="232" t="s">
        <v>708</v>
      </c>
    </row>
    <row r="43" customFormat="false" ht="168" hidden="false" customHeight="true" outlineLevel="0" collapsed="false">
      <c r="A43" s="230" t="n">
        <v>46276</v>
      </c>
      <c r="B43" s="231" t="s">
        <v>709</v>
      </c>
      <c r="C43" s="232" t="s">
        <v>710</v>
      </c>
    </row>
    <row r="44" customFormat="false" ht="155.25" hidden="false" customHeight="true" outlineLevel="0" collapsed="false">
      <c r="A44" s="230" t="n">
        <v>46276</v>
      </c>
      <c r="B44" s="231" t="s">
        <v>711</v>
      </c>
      <c r="C44" s="232" t="s">
        <v>712</v>
      </c>
    </row>
    <row r="45" customFormat="false" ht="27.75" hidden="false" customHeight="true" outlineLevel="0" collapsed="false">
      <c r="A45" s="230" t="n">
        <v>46295</v>
      </c>
      <c r="B45" s="231" t="s">
        <v>713</v>
      </c>
      <c r="C45" s="232" t="s">
        <v>714</v>
      </c>
    </row>
    <row r="46" customFormat="false" ht="40.5" hidden="false" customHeight="true" outlineLevel="0" collapsed="false">
      <c r="A46" s="230" t="n">
        <v>46302</v>
      </c>
      <c r="B46" s="231" t="s">
        <v>715</v>
      </c>
      <c r="C46" s="232" t="s">
        <v>716</v>
      </c>
    </row>
    <row r="47" customFormat="false" ht="15" hidden="false" customHeight="true" outlineLevel="0" collapsed="false">
      <c r="A47" s="230" t="n">
        <v>46317</v>
      </c>
      <c r="B47" s="231" t="s">
        <v>717</v>
      </c>
      <c r="C47" s="232" t="s">
        <v>718</v>
      </c>
    </row>
    <row r="48" customFormat="false" ht="27.75" hidden="false" customHeight="true" outlineLevel="0" collapsed="false">
      <c r="A48" s="230" t="n">
        <v>46335</v>
      </c>
      <c r="B48" s="231" t="s">
        <v>719</v>
      </c>
      <c r="C48" s="232" t="s">
        <v>720</v>
      </c>
    </row>
    <row r="49" customFormat="false" ht="27.75" hidden="false" customHeight="true" outlineLevel="0" collapsed="false">
      <c r="A49" s="230" t="n">
        <v>46349</v>
      </c>
      <c r="B49" s="231" t="s">
        <v>721</v>
      </c>
      <c r="C49" s="232" t="s">
        <v>722</v>
      </c>
    </row>
    <row r="50" customFormat="false" ht="15" hidden="false" customHeight="true" outlineLevel="0" collapsed="false">
      <c r="A50" s="230" t="n">
        <v>46363</v>
      </c>
      <c r="B50" s="231" t="s">
        <v>723</v>
      </c>
      <c r="C50" s="232" t="s">
        <v>718</v>
      </c>
    </row>
    <row r="51" customFormat="false" ht="15" hidden="false" customHeight="true" outlineLevel="0" collapsed="false">
      <c r="A51" s="230" t="n">
        <v>46378</v>
      </c>
      <c r="B51" s="231" t="s">
        <v>724</v>
      </c>
      <c r="C51" s="232" t="s">
        <v>718</v>
      </c>
    </row>
    <row r="52" customFormat="false" ht="27.75" hidden="false" customHeight="true" outlineLevel="0" collapsed="false">
      <c r="A52" s="230" t="n">
        <v>46394</v>
      </c>
      <c r="B52" s="231" t="s">
        <v>725</v>
      </c>
      <c r="C52" s="232" t="s">
        <v>726</v>
      </c>
    </row>
    <row r="53" customFormat="false" ht="295.5" hidden="false" customHeight="true" outlineLevel="0" collapsed="false">
      <c r="A53" s="230" t="n">
        <v>46276</v>
      </c>
      <c r="B53" s="231" t="s">
        <v>727</v>
      </c>
      <c r="C53" s="232" t="s">
        <v>728</v>
      </c>
    </row>
    <row r="54" customFormat="false" ht="359.25" hidden="false" customHeight="true" outlineLevel="0" collapsed="false">
      <c r="A54" s="230" t="n">
        <v>46278</v>
      </c>
      <c r="B54" s="231" t="s">
        <v>729</v>
      </c>
      <c r="C54" s="232" t="s">
        <v>730</v>
      </c>
    </row>
    <row r="55" customFormat="false" ht="270" hidden="false" customHeight="true" outlineLevel="0" collapsed="false">
      <c r="A55" s="230" t="n">
        <v>46278</v>
      </c>
      <c r="B55" s="231" t="s">
        <v>731</v>
      </c>
      <c r="C55" s="232" t="s">
        <v>732</v>
      </c>
    </row>
    <row r="56" customFormat="false" ht="409.5" hidden="false" customHeight="true" outlineLevel="0" collapsed="false">
      <c r="A56" s="230" t="n">
        <v>46278</v>
      </c>
      <c r="B56" s="231" t="s">
        <v>733</v>
      </c>
      <c r="C56" s="232" t="s">
        <v>734</v>
      </c>
    </row>
    <row r="57" customFormat="false" ht="193.5" hidden="false" customHeight="true" outlineLevel="0" collapsed="false">
      <c r="A57" s="230" t="n">
        <v>46278</v>
      </c>
      <c r="B57" s="231" t="s">
        <v>735</v>
      </c>
      <c r="C57" s="232" t="s">
        <v>736</v>
      </c>
    </row>
    <row r="58" customFormat="false" ht="384.75" hidden="false" customHeight="true" outlineLevel="0" collapsed="false">
      <c r="A58" s="230" t="n">
        <v>46278</v>
      </c>
      <c r="B58" s="231" t="s">
        <v>737</v>
      </c>
      <c r="C58" s="232" t="s">
        <v>738</v>
      </c>
    </row>
    <row r="59" customFormat="false" ht="409.5" hidden="false" customHeight="true" outlineLevel="0" collapsed="false">
      <c r="A59" s="230" t="n">
        <v>46278</v>
      </c>
      <c r="B59" s="231" t="s">
        <v>739</v>
      </c>
      <c r="C59" s="232" t="s">
        <v>740</v>
      </c>
    </row>
    <row r="60" customFormat="false" ht="397.5" hidden="false" customHeight="true" outlineLevel="0" collapsed="false">
      <c r="A60" s="230" t="n">
        <v>46278</v>
      </c>
      <c r="B60" s="231" t="s">
        <v>741</v>
      </c>
      <c r="C60" s="232" t="s">
        <v>742</v>
      </c>
    </row>
    <row r="61" customFormat="false" ht="409.5" hidden="false" customHeight="true" outlineLevel="0" collapsed="false">
      <c r="A61" s="230" t="n">
        <v>46278</v>
      </c>
      <c r="B61" s="231" t="s">
        <v>743</v>
      </c>
      <c r="C61" s="232" t="s">
        <v>744</v>
      </c>
    </row>
    <row r="62" customFormat="false" ht="409.5" hidden="false" customHeight="true" outlineLevel="0" collapsed="false">
      <c r="A62" s="230" t="n">
        <v>46294</v>
      </c>
      <c r="B62" s="231" t="s">
        <v>745</v>
      </c>
      <c r="C62" s="232" t="s">
        <v>746</v>
      </c>
    </row>
    <row r="63" customFormat="false" ht="129.75" hidden="false" customHeight="true" outlineLevel="0" collapsed="false">
      <c r="A63" s="230" t="n">
        <v>46294</v>
      </c>
      <c r="B63" s="231" t="s">
        <v>747</v>
      </c>
      <c r="C63" s="232" t="s">
        <v>748</v>
      </c>
    </row>
    <row r="64" customFormat="false" ht="155.25" hidden="false" customHeight="true" outlineLevel="0" collapsed="false">
      <c r="A64" s="230" t="n">
        <v>46295</v>
      </c>
      <c r="B64" s="231" t="s">
        <v>713</v>
      </c>
      <c r="C64" s="232" t="s">
        <v>749</v>
      </c>
    </row>
    <row r="65" customFormat="false" ht="104.25" hidden="false" customHeight="true" outlineLevel="0" collapsed="false">
      <c r="A65" s="230" t="n">
        <v>46295</v>
      </c>
      <c r="B65" s="231" t="s">
        <v>750</v>
      </c>
      <c r="C65" s="232" t="s">
        <v>751</v>
      </c>
    </row>
    <row r="66" customFormat="false" ht="282.75" hidden="false" customHeight="true" outlineLevel="0" collapsed="false">
      <c r="A66" s="230" t="n">
        <v>46295</v>
      </c>
      <c r="B66" s="231" t="s">
        <v>96</v>
      </c>
      <c r="C66" s="232" t="s">
        <v>752</v>
      </c>
    </row>
    <row r="67" customFormat="false" ht="155.25" hidden="false" customHeight="true" outlineLevel="0" collapsed="false">
      <c r="A67" s="230" t="n">
        <v>46295</v>
      </c>
      <c r="B67" s="231"/>
      <c r="C67" s="232" t="s">
        <v>753</v>
      </c>
    </row>
    <row r="68" customFormat="false" ht="155.25" hidden="false" customHeight="true" outlineLevel="0" collapsed="false">
      <c r="A68" s="230" t="n">
        <v>46295</v>
      </c>
      <c r="B68" s="231"/>
      <c r="C68" s="232" t="s">
        <v>754</v>
      </c>
    </row>
    <row r="69" customFormat="false" ht="219" hidden="false" customHeight="true" outlineLevel="0" collapsed="false">
      <c r="A69" s="230" t="n">
        <v>46295</v>
      </c>
      <c r="B69" s="231" t="s">
        <v>755</v>
      </c>
      <c r="C69" s="232" t="s">
        <v>756</v>
      </c>
    </row>
    <row r="70" customFormat="false" ht="206.25" hidden="false" customHeight="true" outlineLevel="0" collapsed="false">
      <c r="A70" s="230" t="n">
        <v>46295</v>
      </c>
      <c r="B70" s="231" t="s">
        <v>757</v>
      </c>
      <c r="C70" s="232" t="s">
        <v>758</v>
      </c>
    </row>
    <row r="71" customFormat="false" ht="409.5" hidden="false" customHeight="true" outlineLevel="0" collapsed="false">
      <c r="A71" s="230" t="n">
        <v>46296</v>
      </c>
      <c r="B71" s="231" t="s">
        <v>146</v>
      </c>
      <c r="C71" s="232" t="s">
        <v>759</v>
      </c>
    </row>
    <row r="72" customFormat="false" ht="295.5" hidden="false" customHeight="true" outlineLevel="0" collapsed="false">
      <c r="A72" s="230" t="n">
        <v>46296</v>
      </c>
      <c r="B72" s="231"/>
      <c r="C72" s="232" t="s">
        <v>760</v>
      </c>
    </row>
    <row r="73" customFormat="false" ht="282.75" hidden="false" customHeight="true" outlineLevel="0" collapsed="false">
      <c r="A73" s="230" t="n">
        <v>46296</v>
      </c>
      <c r="B73" s="231" t="s">
        <v>761</v>
      </c>
      <c r="C73" s="232" t="s">
        <v>762</v>
      </c>
    </row>
    <row r="74" customFormat="false" ht="142.5" hidden="false" customHeight="true" outlineLevel="0" collapsed="false">
      <c r="A74" s="230" t="n">
        <v>46296</v>
      </c>
      <c r="B74" s="231" t="s">
        <v>763</v>
      </c>
      <c r="C74" s="232" t="s">
        <v>764</v>
      </c>
    </row>
    <row r="75" customFormat="false" ht="117" hidden="false" customHeight="true" outlineLevel="0" collapsed="false">
      <c r="A75" s="230" t="n">
        <v>46297</v>
      </c>
      <c r="B75" s="231" t="s">
        <v>765</v>
      </c>
      <c r="C75" s="232" t="s">
        <v>766</v>
      </c>
    </row>
    <row r="76" customFormat="false" ht="53.25" hidden="false" customHeight="true" outlineLevel="0" collapsed="false">
      <c r="A76" s="230" t="n">
        <v>46297</v>
      </c>
      <c r="B76" s="231" t="s">
        <v>146</v>
      </c>
      <c r="C76" s="232" t="s">
        <v>767</v>
      </c>
    </row>
    <row r="77" customFormat="false" ht="155.25" hidden="false" customHeight="true" outlineLevel="0" collapsed="false">
      <c r="A77" s="230" t="n">
        <v>46297</v>
      </c>
      <c r="B77" s="231" t="s">
        <v>768</v>
      </c>
      <c r="C77" s="232" t="s">
        <v>769</v>
      </c>
    </row>
    <row r="78" customFormat="false" ht="295.5" hidden="false" customHeight="true" outlineLevel="0" collapsed="false">
      <c r="A78" s="230" t="n">
        <v>46297</v>
      </c>
      <c r="B78" s="231" t="s">
        <v>770</v>
      </c>
      <c r="C78" s="232" t="s">
        <v>771</v>
      </c>
    </row>
    <row r="79" customFormat="false" ht="282.75" hidden="false" customHeight="true" outlineLevel="0" collapsed="false">
      <c r="A79" s="230" t="n">
        <v>46297</v>
      </c>
      <c r="B79" s="231" t="s">
        <v>772</v>
      </c>
      <c r="C79" s="232" t="s">
        <v>773</v>
      </c>
    </row>
    <row r="80" customFormat="false" ht="257.25" hidden="false" customHeight="true" outlineLevel="0" collapsed="false">
      <c r="A80" s="230" t="n">
        <v>46297</v>
      </c>
      <c r="B80" s="231" t="s">
        <v>149</v>
      </c>
      <c r="C80" s="232" t="s">
        <v>774</v>
      </c>
    </row>
    <row r="81" customFormat="false" ht="282.75" hidden="false" customHeight="true" outlineLevel="0" collapsed="false">
      <c r="A81" s="230" t="n">
        <v>46299</v>
      </c>
      <c r="B81" s="231" t="s">
        <v>775</v>
      </c>
      <c r="C81" s="232" t="s">
        <v>776</v>
      </c>
    </row>
    <row r="82" customFormat="false" ht="321" hidden="false" customHeight="true" outlineLevel="0" collapsed="false">
      <c r="A82" s="230" t="n">
        <v>46299</v>
      </c>
      <c r="B82" s="231" t="s">
        <v>777</v>
      </c>
      <c r="C82" s="232" t="s">
        <v>778</v>
      </c>
    </row>
    <row r="83" customFormat="false" ht="129.75" hidden="false" customHeight="true" outlineLevel="0" collapsed="false">
      <c r="A83" s="230" t="n">
        <v>46299</v>
      </c>
      <c r="B83" s="231" t="s">
        <v>777</v>
      </c>
      <c r="C83" s="232" t="s">
        <v>779</v>
      </c>
    </row>
    <row r="84" customFormat="false" ht="346.5" hidden="false" customHeight="true" outlineLevel="0" collapsed="false">
      <c r="A84" s="230" t="n">
        <v>46299</v>
      </c>
      <c r="B84" s="231" t="s">
        <v>780</v>
      </c>
      <c r="C84" s="232" t="s">
        <v>781</v>
      </c>
    </row>
    <row r="85" customFormat="false" ht="168" hidden="false" customHeight="true" outlineLevel="0" collapsed="false">
      <c r="A85" s="230" t="n">
        <v>46299</v>
      </c>
      <c r="B85" s="231" t="s">
        <v>782</v>
      </c>
      <c r="C85" s="232" t="s">
        <v>783</v>
      </c>
    </row>
    <row r="86" customFormat="false" ht="257.25" hidden="false" customHeight="true" outlineLevel="0" collapsed="false">
      <c r="A86" s="230" t="n">
        <v>46299</v>
      </c>
      <c r="B86" s="231" t="s">
        <v>784</v>
      </c>
      <c r="C86" s="232" t="s">
        <v>785</v>
      </c>
    </row>
    <row r="87" customFormat="false" ht="155.25" hidden="false" customHeight="true" outlineLevel="0" collapsed="false">
      <c r="A87" s="230" t="n">
        <v>46299</v>
      </c>
      <c r="B87" s="231" t="s">
        <v>786</v>
      </c>
      <c r="C87" s="232" t="s">
        <v>787</v>
      </c>
    </row>
    <row r="88" customFormat="false" ht="206.25" hidden="false" customHeight="true" outlineLevel="0" collapsed="false">
      <c r="A88" s="230" t="n">
        <v>46299</v>
      </c>
      <c r="B88" s="231" t="s">
        <v>788</v>
      </c>
      <c r="C88" s="232" t="s">
        <v>789</v>
      </c>
    </row>
    <row r="89" customFormat="false" ht="270" hidden="false" customHeight="true" outlineLevel="0" collapsed="false">
      <c r="A89" s="230" t="n">
        <v>46299</v>
      </c>
      <c r="B89" s="231" t="s">
        <v>790</v>
      </c>
      <c r="C89" s="232" t="s">
        <v>791</v>
      </c>
    </row>
    <row r="90" customFormat="false" ht="219" hidden="false" customHeight="true" outlineLevel="0" collapsed="false">
      <c r="A90" s="230" t="n">
        <v>46300</v>
      </c>
      <c r="B90" s="231" t="s">
        <v>792</v>
      </c>
      <c r="C90" s="232" t="s">
        <v>793</v>
      </c>
    </row>
    <row r="91" customFormat="false" ht="244.5" hidden="false" customHeight="true" outlineLevel="0" collapsed="false">
      <c r="A91" s="230" t="n">
        <v>46300</v>
      </c>
      <c r="B91" s="231" t="s">
        <v>794</v>
      </c>
      <c r="C91" s="232" t="s">
        <v>795</v>
      </c>
    </row>
    <row r="92" customFormat="false" ht="308.25" hidden="false" customHeight="true" outlineLevel="0" collapsed="false">
      <c r="A92" s="230" t="n">
        <v>46300</v>
      </c>
      <c r="B92" s="231" t="s">
        <v>796</v>
      </c>
      <c r="C92" s="232" t="s">
        <v>797</v>
      </c>
    </row>
    <row r="93" customFormat="false" ht="244.5" hidden="false" customHeight="true" outlineLevel="0" collapsed="false">
      <c r="A93" s="230" t="n">
        <v>46300</v>
      </c>
      <c r="B93" s="231" t="s">
        <v>798</v>
      </c>
      <c r="C93" s="232" t="s">
        <v>799</v>
      </c>
    </row>
    <row r="94" customFormat="false" ht="270" hidden="false" customHeight="true" outlineLevel="0" collapsed="false">
      <c r="A94" s="230" t="n">
        <v>46300</v>
      </c>
      <c r="B94" s="231" t="s">
        <v>800</v>
      </c>
      <c r="C94" s="232" t="s">
        <v>801</v>
      </c>
    </row>
    <row r="95" customFormat="false" ht="359.25" hidden="false" customHeight="true" outlineLevel="0" collapsed="false">
      <c r="A95" s="230" t="n">
        <v>46300</v>
      </c>
      <c r="B95" s="231" t="s">
        <v>802</v>
      </c>
      <c r="C95" s="232" t="s">
        <v>803</v>
      </c>
    </row>
    <row r="96" customFormat="false" ht="384.75" hidden="false" customHeight="true" outlineLevel="0" collapsed="false">
      <c r="A96" s="230" t="n">
        <v>46300</v>
      </c>
      <c r="B96" s="231" t="s">
        <v>804</v>
      </c>
      <c r="C96" s="232" t="s">
        <v>805</v>
      </c>
    </row>
    <row r="97" customFormat="false" ht="142.5" hidden="false" customHeight="true" outlineLevel="0" collapsed="false">
      <c r="A97" s="230" t="n">
        <v>46300</v>
      </c>
      <c r="B97" s="231" t="s">
        <v>806</v>
      </c>
      <c r="C97" s="232" t="s">
        <v>807</v>
      </c>
    </row>
    <row r="98" customFormat="false" ht="308.25" hidden="false" customHeight="true" outlineLevel="0" collapsed="false">
      <c r="A98" s="230" t="n">
        <v>46300</v>
      </c>
      <c r="B98" s="231" t="s">
        <v>808</v>
      </c>
      <c r="C98" s="232" t="s">
        <v>809</v>
      </c>
    </row>
    <row r="99" customFormat="false" ht="384.75" hidden="false" customHeight="true" outlineLevel="0" collapsed="false">
      <c r="A99" s="230" t="n">
        <v>46300</v>
      </c>
      <c r="B99" s="231" t="s">
        <v>810</v>
      </c>
      <c r="C99" s="232" t="s">
        <v>811</v>
      </c>
    </row>
    <row r="100" customFormat="false" ht="333.75" hidden="false" customHeight="true" outlineLevel="0" collapsed="false">
      <c r="A100" s="230" t="n">
        <v>46301</v>
      </c>
      <c r="B100" s="231" t="s">
        <v>812</v>
      </c>
      <c r="C100" s="232" t="s">
        <v>813</v>
      </c>
    </row>
    <row r="101" customFormat="false" ht="282.75" hidden="false" customHeight="true" outlineLevel="0" collapsed="false">
      <c r="A101" s="230" t="n">
        <v>46301</v>
      </c>
      <c r="B101" s="231" t="s">
        <v>814</v>
      </c>
      <c r="C101" s="232" t="s">
        <v>815</v>
      </c>
    </row>
    <row r="102" customFormat="false" ht="295.5" hidden="false" customHeight="true" outlineLevel="0" collapsed="false">
      <c r="A102" s="230" t="n">
        <v>46301</v>
      </c>
      <c r="B102" s="231" t="s">
        <v>816</v>
      </c>
      <c r="C102" s="232" t="s">
        <v>817</v>
      </c>
    </row>
    <row r="103" customFormat="false" ht="104.25" hidden="false" customHeight="true" outlineLevel="0" collapsed="false">
      <c r="A103" s="230" t="n">
        <v>46301</v>
      </c>
      <c r="B103" s="231" t="s">
        <v>818</v>
      </c>
      <c r="C103" s="232" t="s">
        <v>819</v>
      </c>
    </row>
    <row r="104" customFormat="false" ht="257.25" hidden="false" customHeight="true" outlineLevel="0" collapsed="false">
      <c r="A104" s="230" t="n">
        <v>46302</v>
      </c>
      <c r="B104" s="231" t="s">
        <v>820</v>
      </c>
      <c r="C104" s="232" t="s">
        <v>821</v>
      </c>
    </row>
    <row r="105" customFormat="false" ht="155.25" hidden="false" customHeight="true" outlineLevel="0" collapsed="false">
      <c r="A105" s="230" t="n">
        <v>46302</v>
      </c>
      <c r="B105" s="231" t="s">
        <v>822</v>
      </c>
      <c r="C105" s="232" t="s">
        <v>823</v>
      </c>
    </row>
    <row r="106" customFormat="false" ht="206.25" hidden="false" customHeight="true" outlineLevel="0" collapsed="false">
      <c r="A106" s="230" t="n">
        <v>46302</v>
      </c>
      <c r="B106" s="231" t="s">
        <v>824</v>
      </c>
      <c r="C106" s="232" t="s">
        <v>825</v>
      </c>
    </row>
    <row r="107" customFormat="false" ht="282.75" hidden="false" customHeight="true" outlineLevel="0" collapsed="false">
      <c r="A107" s="230" t="n">
        <v>46302</v>
      </c>
      <c r="B107" s="231" t="s">
        <v>826</v>
      </c>
      <c r="C107" s="232" t="s">
        <v>827</v>
      </c>
    </row>
    <row r="108" customFormat="false" ht="308.25" hidden="false" customHeight="true" outlineLevel="0" collapsed="false">
      <c r="A108" s="230" t="n">
        <v>46302</v>
      </c>
      <c r="B108" s="231" t="s">
        <v>828</v>
      </c>
      <c r="C108" s="232" t="s">
        <v>829</v>
      </c>
    </row>
    <row r="109" customFormat="false" ht="206.25" hidden="false" customHeight="true" outlineLevel="0" collapsed="false">
      <c r="A109" s="230" t="n">
        <v>46303</v>
      </c>
      <c r="B109" s="231" t="s">
        <v>830</v>
      </c>
      <c r="C109" s="232" t="s">
        <v>831</v>
      </c>
    </row>
    <row r="110" customFormat="false" ht="244.5" hidden="false" customHeight="true" outlineLevel="0" collapsed="false">
      <c r="A110" s="230" t="n">
        <v>46303</v>
      </c>
      <c r="B110" s="231" t="s">
        <v>832</v>
      </c>
      <c r="C110" s="232" t="s">
        <v>833</v>
      </c>
    </row>
    <row r="111" customFormat="false" ht="142.5" hidden="false" customHeight="true" outlineLevel="0" collapsed="false">
      <c r="A111" s="230" t="n">
        <v>46303</v>
      </c>
      <c r="B111" s="231" t="s">
        <v>834</v>
      </c>
      <c r="C111" s="232" t="s">
        <v>835</v>
      </c>
    </row>
    <row r="112" customFormat="false" ht="206.25" hidden="false" customHeight="true" outlineLevel="0" collapsed="false">
      <c r="A112" s="230" t="n">
        <v>46303</v>
      </c>
      <c r="B112" s="231" t="s">
        <v>836</v>
      </c>
      <c r="C112" s="232" t="s">
        <v>837</v>
      </c>
    </row>
    <row r="113" customFormat="false" ht="206.25" hidden="false" customHeight="true" outlineLevel="0" collapsed="false">
      <c r="A113" s="230" t="n">
        <v>46303</v>
      </c>
      <c r="B113" s="231" t="s">
        <v>838</v>
      </c>
      <c r="C113" s="232" t="s">
        <v>839</v>
      </c>
    </row>
    <row r="114" customFormat="false" ht="295.5" hidden="false" customHeight="true" outlineLevel="0" collapsed="false">
      <c r="A114" s="230" t="n">
        <v>46303</v>
      </c>
      <c r="B114" s="231" t="s">
        <v>840</v>
      </c>
      <c r="C114" s="232" t="s">
        <v>841</v>
      </c>
    </row>
    <row r="115" customFormat="false" ht="168" hidden="false" customHeight="true" outlineLevel="0" collapsed="false">
      <c r="A115" s="230" t="n">
        <v>46303</v>
      </c>
      <c r="B115" s="231" t="s">
        <v>842</v>
      </c>
      <c r="C115" s="232" t="s">
        <v>843</v>
      </c>
    </row>
    <row r="116" customFormat="false" ht="295.5" hidden="false" customHeight="true" outlineLevel="0" collapsed="false">
      <c r="A116" s="230" t="n">
        <v>46303</v>
      </c>
      <c r="B116" s="231" t="s">
        <v>844</v>
      </c>
      <c r="C116" s="232" t="s">
        <v>845</v>
      </c>
    </row>
    <row r="117" customFormat="false" ht="231.75" hidden="false" customHeight="true" outlineLevel="0" collapsed="false">
      <c r="A117" s="230" t="n">
        <v>46303</v>
      </c>
      <c r="B117" s="231" t="s">
        <v>846</v>
      </c>
      <c r="C117" s="232" t="s">
        <v>847</v>
      </c>
    </row>
    <row r="118" customFormat="false" ht="206.25" hidden="false" customHeight="true" outlineLevel="0" collapsed="false">
      <c r="A118" s="230" t="n">
        <v>46303</v>
      </c>
      <c r="B118" s="231" t="s">
        <v>848</v>
      </c>
      <c r="C118" s="232" t="s">
        <v>849</v>
      </c>
    </row>
    <row r="119" customFormat="false" ht="308.25" hidden="false" customHeight="true" outlineLevel="0" collapsed="false">
      <c r="A119" s="230" t="n">
        <v>46303</v>
      </c>
      <c r="B119" s="231" t="s">
        <v>850</v>
      </c>
      <c r="C119" s="232" t="s">
        <v>851</v>
      </c>
    </row>
    <row r="120" customFormat="false" ht="155.25" hidden="false" customHeight="true" outlineLevel="0" collapsed="false">
      <c r="A120" s="230" t="n">
        <v>46303</v>
      </c>
      <c r="B120" s="231" t="s">
        <v>852</v>
      </c>
      <c r="C120" s="232" t="s">
        <v>853</v>
      </c>
    </row>
    <row r="121" customFormat="false" ht="206.25" hidden="false" customHeight="true" outlineLevel="0" collapsed="false">
      <c r="A121" s="230" t="n">
        <v>46303</v>
      </c>
      <c r="B121" s="231" t="s">
        <v>854</v>
      </c>
      <c r="C121" s="232" t="s">
        <v>855</v>
      </c>
    </row>
    <row r="122" customFormat="false" ht="219" hidden="false" customHeight="true" outlineLevel="0" collapsed="false">
      <c r="A122" s="230" t="n">
        <v>46303</v>
      </c>
      <c r="B122" s="231" t="s">
        <v>856</v>
      </c>
      <c r="C122" s="232" t="s">
        <v>857</v>
      </c>
    </row>
    <row r="123" customFormat="false" ht="219" hidden="false" customHeight="true" outlineLevel="0" collapsed="false">
      <c r="A123" s="230" t="n">
        <v>46303</v>
      </c>
      <c r="B123" s="231" t="s">
        <v>858</v>
      </c>
      <c r="C123" s="232" t="s">
        <v>859</v>
      </c>
    </row>
    <row r="124" customFormat="false" ht="231.75" hidden="false" customHeight="true" outlineLevel="0" collapsed="false">
      <c r="A124" s="230" t="n">
        <v>46303</v>
      </c>
      <c r="B124" s="231" t="s">
        <v>860</v>
      </c>
      <c r="C124" s="232" t="s">
        <v>861</v>
      </c>
    </row>
    <row r="125" customFormat="false" ht="129.75" hidden="false" customHeight="true" outlineLevel="0" collapsed="false">
      <c r="A125" s="230" t="n">
        <v>46303</v>
      </c>
      <c r="B125" s="231" t="s">
        <v>862</v>
      </c>
      <c r="C125" s="232" t="s">
        <v>863</v>
      </c>
    </row>
    <row r="126" customFormat="false" ht="270" hidden="false" customHeight="true" outlineLevel="0" collapsed="false">
      <c r="A126" s="230" t="n">
        <v>46303</v>
      </c>
      <c r="B126" s="231" t="s">
        <v>864</v>
      </c>
      <c r="C126" s="232" t="s">
        <v>865</v>
      </c>
    </row>
    <row r="127" customFormat="false" ht="409.5" hidden="false" customHeight="true" outlineLevel="0" collapsed="false">
      <c r="A127" s="230" t="n">
        <v>46304</v>
      </c>
      <c r="B127" s="231" t="s">
        <v>866</v>
      </c>
      <c r="C127" s="232" t="s">
        <v>867</v>
      </c>
    </row>
    <row r="128" customFormat="false" ht="397.5" hidden="false" customHeight="true" outlineLevel="0" collapsed="false">
      <c r="A128" s="230" t="n">
        <v>46305</v>
      </c>
      <c r="B128" s="231" t="s">
        <v>868</v>
      </c>
      <c r="C128" s="232" t="s">
        <v>869</v>
      </c>
    </row>
    <row r="129" customFormat="false" ht="270" hidden="false" customHeight="true" outlineLevel="0" collapsed="false">
      <c r="A129" s="230" t="n">
        <v>46305</v>
      </c>
      <c r="B129" s="231" t="s">
        <v>870</v>
      </c>
      <c r="C129" s="232" t="s">
        <v>871</v>
      </c>
    </row>
    <row r="130" customFormat="false" ht="409.5" hidden="false" customHeight="true" outlineLevel="0" collapsed="false">
      <c r="A130" s="230" t="n">
        <v>46305</v>
      </c>
      <c r="B130" s="231" t="s">
        <v>872</v>
      </c>
      <c r="C130" s="232" t="s">
        <v>873</v>
      </c>
    </row>
    <row r="131" customFormat="false" ht="308.25" hidden="false" customHeight="true" outlineLevel="0" collapsed="false">
      <c r="A131" s="230" t="n">
        <v>46305</v>
      </c>
      <c r="B131" s="231" t="s">
        <v>874</v>
      </c>
      <c r="C131" s="232" t="s">
        <v>875</v>
      </c>
    </row>
    <row r="132" customFormat="false" ht="372" hidden="false" customHeight="true" outlineLevel="0" collapsed="false">
      <c r="A132" s="230" t="n">
        <v>46305</v>
      </c>
      <c r="B132" s="231" t="s">
        <v>876</v>
      </c>
      <c r="C132" s="232" t="s">
        <v>877</v>
      </c>
    </row>
    <row r="133" customFormat="false" ht="397.5" hidden="false" customHeight="true" outlineLevel="0" collapsed="false">
      <c r="A133" s="230" t="n">
        <v>46305</v>
      </c>
      <c r="B133" s="231" t="s">
        <v>878</v>
      </c>
      <c r="C133" s="232" t="s">
        <v>879</v>
      </c>
    </row>
    <row r="134" customFormat="false" ht="14.25" hidden="false" customHeight="true" outlineLevel="0" collapsed="false">
      <c r="A134" s="230"/>
      <c r="B134" s="231"/>
      <c r="C134" s="232"/>
    </row>
    <row r="135" customFormat="false" ht="14.25" hidden="false" customHeight="true" outlineLevel="0" collapsed="false">
      <c r="A135" s="230"/>
      <c r="B135" s="231"/>
      <c r="C135" s="232"/>
    </row>
    <row r="136" customFormat="false" ht="14.25" hidden="false" customHeight="true" outlineLevel="0" collapsed="false">
      <c r="A136" s="230"/>
      <c r="B136" s="231"/>
      <c r="C136" s="232"/>
    </row>
    <row r="137" customFormat="false" ht="14.25" hidden="false" customHeight="true" outlineLevel="0" collapsed="false">
      <c r="A137" s="230"/>
      <c r="B137" s="231"/>
      <c r="C137" s="232"/>
    </row>
    <row r="138" customFormat="false" ht="14.25" hidden="false" customHeight="true" outlineLevel="0" collapsed="false">
      <c r="A138" s="230"/>
      <c r="B138" s="231"/>
      <c r="C138" s="232"/>
    </row>
    <row r="139" customFormat="false" ht="14.25" hidden="false" customHeight="true" outlineLevel="0" collapsed="false">
      <c r="A139" s="230"/>
      <c r="B139" s="231"/>
      <c r="C139" s="232"/>
    </row>
    <row r="140" customFormat="false" ht="14.25" hidden="false" customHeight="true" outlineLevel="0" collapsed="false">
      <c r="A140" s="230"/>
      <c r="B140" s="231"/>
      <c r="C140" s="232"/>
    </row>
    <row r="141" customFormat="false" ht="14.25" hidden="false" customHeight="true" outlineLevel="0" collapsed="false">
      <c r="A141" s="230"/>
      <c r="B141" s="231"/>
      <c r="C141" s="232"/>
    </row>
    <row r="142" customFormat="false" ht="14.25" hidden="false" customHeight="true" outlineLevel="0" collapsed="false">
      <c r="A142" s="230"/>
      <c r="B142" s="231"/>
      <c r="C142" s="232"/>
    </row>
    <row r="143" customFormat="false" ht="14.25" hidden="false" customHeight="true" outlineLevel="0" collapsed="false">
      <c r="A143" s="230"/>
      <c r="B143" s="231"/>
      <c r="C143" s="232"/>
    </row>
    <row r="144" customFormat="false" ht="14.25" hidden="false" customHeight="true" outlineLevel="0" collapsed="false">
      <c r="A144" s="230"/>
      <c r="B144" s="231"/>
      <c r="C144" s="232"/>
    </row>
    <row r="145" customFormat="false" ht="14.25" hidden="false" customHeight="true" outlineLevel="0" collapsed="false">
      <c r="A145" s="230"/>
      <c r="B145" s="231"/>
      <c r="C145" s="232"/>
    </row>
    <row r="146" customFormat="false" ht="14.25" hidden="false" customHeight="true" outlineLevel="0" collapsed="false">
      <c r="A146" s="230"/>
      <c r="B146" s="231"/>
      <c r="C146" s="232"/>
    </row>
    <row r="147" customFormat="false" ht="14.25" hidden="false" customHeight="true" outlineLevel="0" collapsed="false">
      <c r="A147" s="230"/>
      <c r="B147" s="231"/>
      <c r="C147" s="232"/>
    </row>
    <row r="148" customFormat="false" ht="14.25" hidden="false" customHeight="true" outlineLevel="0" collapsed="false">
      <c r="A148" s="230"/>
      <c r="B148" s="231"/>
      <c r="C148" s="232"/>
    </row>
    <row r="149" customFormat="false" ht="14.25" hidden="false" customHeight="true" outlineLevel="0" collapsed="false">
      <c r="A149" s="230"/>
      <c r="B149" s="231"/>
      <c r="C149" s="232"/>
    </row>
    <row r="150" customFormat="false" ht="14.25" hidden="false" customHeight="true" outlineLevel="0" collapsed="false">
      <c r="A150" s="230"/>
      <c r="B150" s="231"/>
      <c r="C150" s="232"/>
    </row>
    <row r="151" customFormat="false" ht="14.25" hidden="false" customHeight="true" outlineLevel="0" collapsed="false">
      <c r="A151" s="230"/>
      <c r="B151" s="231"/>
      <c r="C151" s="232"/>
    </row>
    <row r="152" customFormat="false" ht="14.25" hidden="false" customHeight="true" outlineLevel="0" collapsed="false">
      <c r="A152" s="230"/>
      <c r="B152" s="231"/>
      <c r="C152" s="232"/>
    </row>
    <row r="153" customFormat="false" ht="14.25" hidden="false" customHeight="true" outlineLevel="0" collapsed="false">
      <c r="A153" s="230"/>
      <c r="B153" s="231"/>
      <c r="C153" s="232"/>
    </row>
    <row r="154" customFormat="false" ht="14.25" hidden="false" customHeight="true" outlineLevel="0" collapsed="false">
      <c r="A154" s="230"/>
      <c r="B154" s="231"/>
      <c r="C154" s="232"/>
    </row>
    <row r="155" customFormat="false" ht="14.25" hidden="false" customHeight="true" outlineLevel="0" collapsed="false">
      <c r="A155" s="230"/>
      <c r="B155" s="231"/>
      <c r="C155" s="232"/>
    </row>
    <row r="156" customFormat="false" ht="14.25" hidden="false" customHeight="true" outlineLevel="0" collapsed="false">
      <c r="A156" s="230"/>
      <c r="B156" s="231"/>
      <c r="C156" s="232"/>
    </row>
    <row r="157" customFormat="false" ht="14.25" hidden="false" customHeight="true" outlineLevel="0" collapsed="false">
      <c r="A157" s="230"/>
      <c r="B157" s="231"/>
      <c r="C157" s="232"/>
    </row>
    <row r="158" customFormat="false" ht="14.25" hidden="false" customHeight="true" outlineLevel="0" collapsed="false">
      <c r="A158" s="230"/>
      <c r="B158" s="231"/>
      <c r="C158" s="232"/>
    </row>
    <row r="159" customFormat="false" ht="14.25" hidden="false" customHeight="true" outlineLevel="0" collapsed="false">
      <c r="A159" s="230"/>
      <c r="B159" s="231"/>
      <c r="C159" s="232"/>
    </row>
    <row r="160" customFormat="false" ht="14.25" hidden="false" customHeight="true" outlineLevel="0" collapsed="false">
      <c r="A160" s="230"/>
      <c r="B160" s="231"/>
      <c r="C160" s="232"/>
    </row>
    <row r="161" customFormat="false" ht="14.25" hidden="false" customHeight="true" outlineLevel="0" collapsed="false">
      <c r="A161" s="230"/>
      <c r="B161" s="231"/>
      <c r="C161" s="232"/>
    </row>
    <row r="162" customFormat="false" ht="14.25" hidden="false" customHeight="true" outlineLevel="0" collapsed="false">
      <c r="A162" s="230"/>
      <c r="B162" s="231"/>
      <c r="C162" s="232"/>
    </row>
    <row r="163" customFormat="false" ht="14.25" hidden="false" customHeight="true" outlineLevel="0" collapsed="false">
      <c r="A163" s="230"/>
      <c r="B163" s="231"/>
      <c r="C163" s="232"/>
    </row>
    <row r="164" customFormat="false" ht="14.25" hidden="false" customHeight="true" outlineLevel="0" collapsed="false">
      <c r="A164" s="230"/>
      <c r="B164" s="231"/>
      <c r="C164" s="232"/>
    </row>
    <row r="165" customFormat="false" ht="14.25" hidden="false" customHeight="true" outlineLevel="0" collapsed="false">
      <c r="A165" s="230"/>
      <c r="B165" s="231"/>
      <c r="C165" s="232"/>
    </row>
    <row r="166" customFormat="false" ht="14.25" hidden="false" customHeight="true" outlineLevel="0" collapsed="false">
      <c r="A166" s="230"/>
      <c r="B166" s="231"/>
      <c r="C166" s="232"/>
    </row>
    <row r="167" customFormat="false" ht="14.25" hidden="false" customHeight="true" outlineLevel="0" collapsed="false">
      <c r="A167" s="230"/>
      <c r="B167" s="231"/>
      <c r="C167" s="232"/>
    </row>
    <row r="168" customFormat="false" ht="14.25" hidden="false" customHeight="true" outlineLevel="0" collapsed="false">
      <c r="A168" s="230"/>
      <c r="B168" s="231"/>
      <c r="C168" s="232"/>
    </row>
    <row r="169" customFormat="false" ht="14.25" hidden="false" customHeight="true" outlineLevel="0" collapsed="false">
      <c r="A169" s="230"/>
      <c r="B169" s="231"/>
      <c r="C169" s="232"/>
    </row>
    <row r="170" customFormat="false" ht="14.25" hidden="false" customHeight="true" outlineLevel="0" collapsed="false">
      <c r="A170" s="230"/>
      <c r="B170" s="231"/>
      <c r="C170" s="232"/>
    </row>
    <row r="171" customFormat="false" ht="14.25" hidden="false" customHeight="true" outlineLevel="0" collapsed="false">
      <c r="A171" s="230"/>
      <c r="B171" s="231"/>
      <c r="C171" s="232"/>
    </row>
    <row r="172" customFormat="false" ht="14.25" hidden="false" customHeight="true" outlineLevel="0" collapsed="false">
      <c r="A172" s="230"/>
      <c r="B172" s="231"/>
      <c r="C172" s="232"/>
    </row>
    <row r="173" customFormat="false" ht="14.25" hidden="false" customHeight="true" outlineLevel="0" collapsed="false">
      <c r="A173" s="230"/>
      <c r="B173" s="231"/>
      <c r="C173" s="232"/>
    </row>
    <row r="174" customFormat="false" ht="14.25" hidden="false" customHeight="true" outlineLevel="0" collapsed="false">
      <c r="A174" s="230"/>
      <c r="B174" s="231"/>
      <c r="C174" s="232"/>
    </row>
    <row r="175" customFormat="false" ht="14.25" hidden="false" customHeight="true" outlineLevel="0" collapsed="false">
      <c r="A175" s="230"/>
      <c r="B175" s="231"/>
      <c r="C175" s="232"/>
    </row>
    <row r="176" customFormat="false" ht="14.25" hidden="false" customHeight="true" outlineLevel="0" collapsed="false">
      <c r="A176" s="230"/>
      <c r="B176" s="231"/>
      <c r="C176" s="232"/>
    </row>
    <row r="177" customFormat="false" ht="14.25" hidden="false" customHeight="true" outlineLevel="0" collapsed="false">
      <c r="A177" s="230"/>
      <c r="B177" s="231"/>
      <c r="C177" s="232"/>
    </row>
    <row r="178" customFormat="false" ht="14.25" hidden="false" customHeight="true" outlineLevel="0" collapsed="false">
      <c r="A178" s="230"/>
      <c r="B178" s="231"/>
      <c r="C178" s="232"/>
    </row>
    <row r="179" customFormat="false" ht="14.25" hidden="false" customHeight="true" outlineLevel="0" collapsed="false">
      <c r="A179" s="230"/>
      <c r="B179" s="231"/>
      <c r="C179" s="232"/>
    </row>
    <row r="180" customFormat="false" ht="14.25" hidden="false" customHeight="true" outlineLevel="0" collapsed="false">
      <c r="A180" s="230"/>
      <c r="B180" s="231"/>
      <c r="C180" s="232"/>
    </row>
    <row r="181" customFormat="false" ht="14.25" hidden="false" customHeight="true" outlineLevel="0" collapsed="false">
      <c r="A181" s="230"/>
      <c r="B181" s="231"/>
      <c r="C181" s="232"/>
    </row>
    <row r="182" customFormat="false" ht="14.25" hidden="false" customHeight="true" outlineLevel="0" collapsed="false">
      <c r="A182" s="230"/>
      <c r="B182" s="231"/>
      <c r="C182" s="232"/>
    </row>
    <row r="183" customFormat="false" ht="14.25" hidden="false" customHeight="true" outlineLevel="0" collapsed="false">
      <c r="A183" s="230"/>
      <c r="B183" s="231"/>
      <c r="C183" s="232"/>
    </row>
    <row r="184" customFormat="false" ht="14.25" hidden="false" customHeight="true" outlineLevel="0" collapsed="false">
      <c r="A184" s="230"/>
      <c r="B184" s="231"/>
      <c r="C184" s="232"/>
    </row>
    <row r="185" customFormat="false" ht="14.25" hidden="false" customHeight="true" outlineLevel="0" collapsed="false">
      <c r="A185" s="230"/>
      <c r="B185" s="231"/>
      <c r="C185" s="232"/>
    </row>
    <row r="186" customFormat="false" ht="14.25" hidden="false" customHeight="true" outlineLevel="0" collapsed="false">
      <c r="A186" s="230"/>
      <c r="B186" s="231"/>
      <c r="C186" s="232"/>
    </row>
    <row r="187" customFormat="false" ht="14.25" hidden="false" customHeight="true" outlineLevel="0" collapsed="false">
      <c r="A187" s="230"/>
      <c r="B187" s="231"/>
      <c r="C187" s="232"/>
    </row>
    <row r="188" customFormat="false" ht="14.25" hidden="false" customHeight="true" outlineLevel="0" collapsed="false">
      <c r="A188" s="230"/>
      <c r="B188" s="231"/>
      <c r="C188" s="232"/>
    </row>
    <row r="189" customFormat="false" ht="14.25" hidden="false" customHeight="true" outlineLevel="0" collapsed="false">
      <c r="A189" s="230"/>
      <c r="B189" s="231"/>
      <c r="C189" s="232"/>
    </row>
    <row r="190" customFormat="false" ht="14.25" hidden="false" customHeight="true" outlineLevel="0" collapsed="false">
      <c r="A190" s="230"/>
      <c r="B190" s="231"/>
      <c r="C190" s="232"/>
    </row>
    <row r="191" customFormat="false" ht="14.25" hidden="false" customHeight="true" outlineLevel="0" collapsed="false">
      <c r="A191" s="230"/>
      <c r="B191" s="231"/>
      <c r="C191" s="232"/>
    </row>
    <row r="192" customFormat="false" ht="14.25" hidden="false" customHeight="true" outlineLevel="0" collapsed="false">
      <c r="A192" s="230"/>
      <c r="B192" s="231"/>
      <c r="C192" s="232"/>
    </row>
    <row r="193" customFormat="false" ht="14.25" hidden="false" customHeight="true" outlineLevel="0" collapsed="false">
      <c r="A193" s="230"/>
      <c r="B193" s="231"/>
      <c r="C193" s="232"/>
    </row>
    <row r="194" customFormat="false" ht="14.25" hidden="false" customHeight="true" outlineLevel="0" collapsed="false">
      <c r="A194" s="230"/>
      <c r="B194" s="231"/>
      <c r="C194" s="232"/>
    </row>
    <row r="195" customFormat="false" ht="14.25" hidden="false" customHeight="true" outlineLevel="0" collapsed="false">
      <c r="A195" s="230"/>
      <c r="B195" s="231"/>
      <c r="C195" s="232"/>
    </row>
    <row r="196" customFormat="false" ht="14.25" hidden="false" customHeight="true" outlineLevel="0" collapsed="false">
      <c r="A196" s="230"/>
      <c r="B196" s="231"/>
      <c r="C196" s="232"/>
    </row>
    <row r="197" customFormat="false" ht="14.25" hidden="false" customHeight="true" outlineLevel="0" collapsed="false">
      <c r="A197" s="230"/>
      <c r="B197" s="231"/>
      <c r="C197" s="232"/>
    </row>
    <row r="198" customFormat="false" ht="14.25" hidden="false" customHeight="true" outlineLevel="0" collapsed="false">
      <c r="A198" s="230"/>
      <c r="B198" s="231"/>
      <c r="C198" s="232"/>
    </row>
    <row r="199" customFormat="false" ht="14.25" hidden="false" customHeight="true" outlineLevel="0" collapsed="false">
      <c r="A199" s="230"/>
      <c r="B199" s="231"/>
      <c r="C199" s="232"/>
    </row>
    <row r="200" customFormat="false" ht="14.25" hidden="false" customHeight="true" outlineLevel="0" collapsed="false">
      <c r="A200" s="230"/>
      <c r="B200" s="231"/>
      <c r="C200" s="232"/>
    </row>
    <row r="201" customFormat="false" ht="14.25" hidden="false" customHeight="true" outlineLevel="0" collapsed="false">
      <c r="A201" s="230"/>
      <c r="B201" s="231"/>
      <c r="C201" s="232"/>
    </row>
    <row r="202" customFormat="false" ht="14.25" hidden="false" customHeight="true" outlineLevel="0" collapsed="false">
      <c r="A202" s="230"/>
      <c r="B202" s="231"/>
      <c r="C202" s="232"/>
    </row>
    <row r="203" customFormat="false" ht="14.25" hidden="false" customHeight="true" outlineLevel="0" collapsed="false">
      <c r="A203" s="230"/>
      <c r="B203" s="231"/>
      <c r="C203" s="232"/>
    </row>
    <row r="204" customFormat="false" ht="14.25" hidden="false" customHeight="true" outlineLevel="0" collapsed="false">
      <c r="A204" s="230"/>
      <c r="B204" s="231"/>
      <c r="C204" s="232"/>
    </row>
    <row r="205" customFormat="false" ht="14.25" hidden="false" customHeight="true" outlineLevel="0" collapsed="false">
      <c r="A205" s="230"/>
      <c r="B205" s="231"/>
      <c r="C205" s="232"/>
    </row>
    <row r="206" customFormat="false" ht="14.25" hidden="false" customHeight="true" outlineLevel="0" collapsed="false">
      <c r="A206" s="230"/>
      <c r="B206" s="231"/>
      <c r="C206" s="232"/>
    </row>
    <row r="207" customFormat="false" ht="14.25" hidden="false" customHeight="true" outlineLevel="0" collapsed="false">
      <c r="A207" s="230"/>
      <c r="B207" s="231"/>
      <c r="C207" s="232"/>
    </row>
    <row r="208" customFormat="false" ht="14.25" hidden="false" customHeight="true" outlineLevel="0" collapsed="false">
      <c r="A208" s="230"/>
      <c r="B208" s="231"/>
      <c r="C208" s="232"/>
    </row>
    <row r="209" customFormat="false" ht="14.25" hidden="false" customHeight="true" outlineLevel="0" collapsed="false">
      <c r="A209" s="230"/>
      <c r="B209" s="231"/>
      <c r="C209" s="232"/>
    </row>
    <row r="210" customFormat="false" ht="14.25" hidden="false" customHeight="true" outlineLevel="0" collapsed="false">
      <c r="A210" s="230"/>
      <c r="B210" s="231"/>
      <c r="C210" s="232"/>
    </row>
    <row r="211" customFormat="false" ht="14.25" hidden="false" customHeight="true" outlineLevel="0" collapsed="false">
      <c r="A211" s="230"/>
      <c r="B211" s="231"/>
      <c r="C211" s="232"/>
    </row>
    <row r="212" customFormat="false" ht="14.25" hidden="false" customHeight="true" outlineLevel="0" collapsed="false">
      <c r="A212" s="230"/>
      <c r="B212" s="231"/>
      <c r="C212" s="232"/>
    </row>
    <row r="213" customFormat="false" ht="14.25" hidden="false" customHeight="true" outlineLevel="0" collapsed="false">
      <c r="A213" s="230"/>
      <c r="B213" s="231"/>
      <c r="C213" s="232"/>
    </row>
    <row r="214" customFormat="false" ht="14.25" hidden="false" customHeight="true" outlineLevel="0" collapsed="false">
      <c r="A214" s="230"/>
      <c r="B214" s="231"/>
      <c r="C214" s="232"/>
    </row>
    <row r="215" customFormat="false" ht="14.25" hidden="false" customHeight="true" outlineLevel="0" collapsed="false">
      <c r="A215" s="230"/>
      <c r="B215" s="231"/>
      <c r="C215" s="232"/>
    </row>
    <row r="216" customFormat="false" ht="14.25" hidden="false" customHeight="true" outlineLevel="0" collapsed="false">
      <c r="A216" s="230"/>
      <c r="B216" s="231"/>
      <c r="C216" s="232"/>
    </row>
    <row r="217" customFormat="false" ht="14.25" hidden="false" customHeight="true" outlineLevel="0" collapsed="false">
      <c r="A217" s="230"/>
      <c r="B217" s="231"/>
      <c r="C217" s="232"/>
    </row>
    <row r="218" customFormat="false" ht="14.25" hidden="false" customHeight="true" outlineLevel="0" collapsed="false">
      <c r="A218" s="230"/>
      <c r="B218" s="231"/>
      <c r="C218" s="232"/>
    </row>
    <row r="219" customFormat="false" ht="14.25" hidden="false" customHeight="true" outlineLevel="0" collapsed="false">
      <c r="A219" s="230"/>
      <c r="B219" s="231"/>
      <c r="C219" s="232"/>
    </row>
    <row r="220" customFormat="false" ht="14.25" hidden="false" customHeight="true" outlineLevel="0" collapsed="false">
      <c r="A220" s="230"/>
      <c r="B220" s="231"/>
      <c r="C220" s="232"/>
    </row>
    <row r="221" customFormat="false" ht="14.25" hidden="false" customHeight="true" outlineLevel="0" collapsed="false">
      <c r="A221" s="230"/>
      <c r="B221" s="231"/>
      <c r="C221" s="232"/>
    </row>
    <row r="222" customFormat="false" ht="14.25" hidden="false" customHeight="true" outlineLevel="0" collapsed="false">
      <c r="A222" s="230"/>
      <c r="B222" s="231"/>
      <c r="C222" s="232"/>
    </row>
    <row r="223" customFormat="false" ht="14.25" hidden="false" customHeight="true" outlineLevel="0" collapsed="false">
      <c r="A223" s="230"/>
      <c r="B223" s="231"/>
      <c r="C223" s="232"/>
    </row>
    <row r="224" customFormat="false" ht="14.25" hidden="false" customHeight="true" outlineLevel="0" collapsed="false">
      <c r="A224" s="230"/>
      <c r="B224" s="231"/>
      <c r="C224" s="232"/>
    </row>
    <row r="225" customFormat="false" ht="14.25" hidden="false" customHeight="true" outlineLevel="0" collapsed="false">
      <c r="A225" s="230"/>
      <c r="B225" s="231"/>
      <c r="C225" s="232"/>
    </row>
    <row r="226" customFormat="false" ht="14.25" hidden="false" customHeight="true" outlineLevel="0" collapsed="false">
      <c r="A226" s="230"/>
      <c r="B226" s="231"/>
      <c r="C226" s="232"/>
    </row>
    <row r="227" customFormat="false" ht="14.25" hidden="false" customHeight="true" outlineLevel="0" collapsed="false">
      <c r="A227" s="230"/>
      <c r="B227" s="231"/>
      <c r="C227" s="232"/>
    </row>
    <row r="228" customFormat="false" ht="14.25" hidden="false" customHeight="true" outlineLevel="0" collapsed="false">
      <c r="A228" s="230"/>
      <c r="B228" s="231"/>
      <c r="C228" s="232"/>
    </row>
    <row r="229" customFormat="false" ht="14.25" hidden="false" customHeight="true" outlineLevel="0" collapsed="false">
      <c r="A229" s="230"/>
      <c r="B229" s="231"/>
      <c r="C229" s="232"/>
    </row>
    <row r="230" customFormat="false" ht="14.25" hidden="false" customHeight="true" outlineLevel="0" collapsed="false">
      <c r="A230" s="230"/>
      <c r="B230" s="231"/>
      <c r="C230" s="232"/>
    </row>
    <row r="231" customFormat="false" ht="14.25" hidden="false" customHeight="true" outlineLevel="0" collapsed="false">
      <c r="A231" s="230"/>
      <c r="B231" s="231"/>
      <c r="C231" s="232"/>
    </row>
    <row r="232" customFormat="false" ht="14.25" hidden="false" customHeight="true" outlineLevel="0" collapsed="false">
      <c r="A232" s="230"/>
      <c r="B232" s="231"/>
      <c r="C232" s="232"/>
    </row>
    <row r="233" customFormat="false" ht="14.25" hidden="false" customHeight="true" outlineLevel="0" collapsed="false">
      <c r="A233" s="230"/>
      <c r="B233" s="231"/>
      <c r="C233" s="232"/>
    </row>
    <row r="234" customFormat="false" ht="14.25" hidden="false" customHeight="true" outlineLevel="0" collapsed="false">
      <c r="A234" s="230"/>
      <c r="B234" s="231"/>
      <c r="C234" s="232"/>
    </row>
    <row r="235" customFormat="false" ht="14.25" hidden="false" customHeight="true" outlineLevel="0" collapsed="false">
      <c r="A235" s="230"/>
      <c r="B235" s="231"/>
      <c r="C235" s="232"/>
    </row>
    <row r="236" customFormat="false" ht="14.25" hidden="false" customHeight="true" outlineLevel="0" collapsed="false">
      <c r="A236" s="230"/>
      <c r="B236" s="231"/>
      <c r="C236" s="232"/>
    </row>
    <row r="237" customFormat="false" ht="14.25" hidden="false" customHeight="true" outlineLevel="0" collapsed="false">
      <c r="A237" s="230"/>
      <c r="B237" s="231"/>
      <c r="C237" s="232"/>
    </row>
    <row r="238" customFormat="false" ht="14.25" hidden="false" customHeight="true" outlineLevel="0" collapsed="false">
      <c r="A238" s="230"/>
      <c r="B238" s="231"/>
      <c r="C238" s="232"/>
    </row>
    <row r="239" customFormat="false" ht="14.25" hidden="false" customHeight="true" outlineLevel="0" collapsed="false">
      <c r="A239" s="230"/>
      <c r="B239" s="231"/>
      <c r="C239" s="232"/>
    </row>
    <row r="240" customFormat="false" ht="14.25" hidden="false" customHeight="true" outlineLevel="0" collapsed="false">
      <c r="A240" s="230"/>
      <c r="B240" s="231"/>
      <c r="C240" s="232"/>
    </row>
    <row r="241" customFormat="false" ht="14.25" hidden="false" customHeight="true" outlineLevel="0" collapsed="false">
      <c r="A241" s="230"/>
      <c r="B241" s="231"/>
      <c r="C241" s="232"/>
    </row>
    <row r="242" customFormat="false" ht="14.25" hidden="false" customHeight="true" outlineLevel="0" collapsed="false">
      <c r="A242" s="230"/>
      <c r="B242" s="231"/>
      <c r="C242" s="232"/>
    </row>
    <row r="243" customFormat="false" ht="14.25" hidden="false" customHeight="true" outlineLevel="0" collapsed="false">
      <c r="A243" s="230"/>
      <c r="B243" s="231"/>
      <c r="C243" s="232"/>
    </row>
    <row r="244" customFormat="false" ht="14.25" hidden="false" customHeight="true" outlineLevel="0" collapsed="false">
      <c r="A244" s="230"/>
      <c r="B244" s="231"/>
      <c r="C244" s="232"/>
    </row>
    <row r="245" customFormat="false" ht="14.25" hidden="false" customHeight="true" outlineLevel="0" collapsed="false">
      <c r="A245" s="230"/>
      <c r="B245" s="231"/>
      <c r="C245" s="232"/>
    </row>
    <row r="246" customFormat="false" ht="14.25" hidden="false" customHeight="true" outlineLevel="0" collapsed="false">
      <c r="A246" s="230"/>
      <c r="B246" s="231"/>
      <c r="C246" s="232"/>
    </row>
    <row r="247" customFormat="false" ht="14.25" hidden="false" customHeight="true" outlineLevel="0" collapsed="false">
      <c r="A247" s="230"/>
      <c r="B247" s="231"/>
      <c r="C247" s="232"/>
    </row>
    <row r="248" customFormat="false" ht="14.25" hidden="false" customHeight="true" outlineLevel="0" collapsed="false">
      <c r="A248" s="230"/>
      <c r="B248" s="231"/>
      <c r="C248" s="232"/>
    </row>
    <row r="249" customFormat="false" ht="14.25" hidden="false" customHeight="true" outlineLevel="0" collapsed="false">
      <c r="A249" s="230"/>
      <c r="B249" s="231"/>
      <c r="C249" s="232"/>
    </row>
    <row r="250" customFormat="false" ht="14.25" hidden="false" customHeight="true" outlineLevel="0" collapsed="false">
      <c r="A250" s="230"/>
      <c r="B250" s="231"/>
      <c r="C250" s="232"/>
    </row>
    <row r="251" customFormat="false" ht="14.25" hidden="false" customHeight="true" outlineLevel="0" collapsed="false">
      <c r="A251" s="230"/>
      <c r="B251" s="231"/>
      <c r="C251" s="232"/>
    </row>
    <row r="252" customFormat="false" ht="14.25" hidden="false" customHeight="true" outlineLevel="0" collapsed="false">
      <c r="A252" s="230"/>
      <c r="B252" s="231"/>
      <c r="C252" s="232"/>
    </row>
    <row r="253" customFormat="false" ht="14.25" hidden="false" customHeight="true" outlineLevel="0" collapsed="false">
      <c r="A253" s="230"/>
      <c r="B253" s="231"/>
      <c r="C253" s="232"/>
    </row>
    <row r="254" customFormat="false" ht="14.25" hidden="false" customHeight="true" outlineLevel="0" collapsed="false">
      <c r="A254" s="230"/>
      <c r="B254" s="231"/>
      <c r="C254" s="232"/>
    </row>
    <row r="255" customFormat="false" ht="14.25" hidden="false" customHeight="true" outlineLevel="0" collapsed="false">
      <c r="A255" s="230"/>
      <c r="B255" s="231"/>
      <c r="C255" s="232"/>
    </row>
    <row r="256" customFormat="false" ht="14.25" hidden="false" customHeight="true" outlineLevel="0" collapsed="false">
      <c r="A256" s="230"/>
      <c r="B256" s="231"/>
      <c r="C256" s="232"/>
    </row>
    <row r="257" customFormat="false" ht="14.25" hidden="false" customHeight="true" outlineLevel="0" collapsed="false">
      <c r="A257" s="230"/>
      <c r="B257" s="231"/>
      <c r="C257" s="232"/>
    </row>
    <row r="258" customFormat="false" ht="14.25" hidden="false" customHeight="true" outlineLevel="0" collapsed="false">
      <c r="A258" s="230"/>
      <c r="B258" s="231"/>
      <c r="C258" s="232"/>
    </row>
    <row r="259" customFormat="false" ht="14.25" hidden="false" customHeight="true" outlineLevel="0" collapsed="false">
      <c r="A259" s="230"/>
      <c r="B259" s="231"/>
      <c r="C259" s="232"/>
    </row>
    <row r="260" customFormat="false" ht="14.25" hidden="false" customHeight="true" outlineLevel="0" collapsed="false">
      <c r="A260" s="230"/>
      <c r="B260" s="231"/>
      <c r="C260" s="232"/>
    </row>
    <row r="261" customFormat="false" ht="14.25" hidden="false" customHeight="true" outlineLevel="0" collapsed="false">
      <c r="A261" s="230"/>
      <c r="B261" s="231"/>
      <c r="C261" s="232"/>
    </row>
    <row r="262" customFormat="false" ht="14.25" hidden="false" customHeight="true" outlineLevel="0" collapsed="false">
      <c r="A262" s="230"/>
      <c r="B262" s="231"/>
      <c r="C262" s="232"/>
    </row>
    <row r="263" customFormat="false" ht="14.25" hidden="false" customHeight="true" outlineLevel="0" collapsed="false">
      <c r="A263" s="230"/>
      <c r="B263" s="231"/>
      <c r="C263" s="232"/>
    </row>
    <row r="264" customFormat="false" ht="14.25" hidden="false" customHeight="true" outlineLevel="0" collapsed="false">
      <c r="A264" s="230"/>
      <c r="B264" s="231"/>
      <c r="C264" s="232"/>
    </row>
    <row r="265" customFormat="false" ht="14.25" hidden="false" customHeight="true" outlineLevel="0" collapsed="false">
      <c r="A265" s="230"/>
      <c r="B265" s="231"/>
      <c r="C265" s="232"/>
    </row>
    <row r="266" customFormat="false" ht="14.25" hidden="false" customHeight="true" outlineLevel="0" collapsed="false">
      <c r="A266" s="230"/>
      <c r="B266" s="231"/>
      <c r="C266" s="232"/>
    </row>
    <row r="267" customFormat="false" ht="14.25" hidden="false" customHeight="true" outlineLevel="0" collapsed="false">
      <c r="A267" s="230"/>
      <c r="B267" s="231"/>
      <c r="C267" s="232"/>
    </row>
    <row r="268" customFormat="false" ht="14.25" hidden="false" customHeight="true" outlineLevel="0" collapsed="false">
      <c r="A268" s="230"/>
      <c r="B268" s="231"/>
      <c r="C268" s="232"/>
    </row>
    <row r="269" customFormat="false" ht="14.25" hidden="false" customHeight="true" outlineLevel="0" collapsed="false">
      <c r="A269" s="230"/>
      <c r="B269" s="231"/>
      <c r="C269" s="232"/>
    </row>
    <row r="270" customFormat="false" ht="14.25" hidden="false" customHeight="true" outlineLevel="0" collapsed="false">
      <c r="A270" s="230"/>
      <c r="B270" s="231"/>
      <c r="C270" s="232"/>
    </row>
    <row r="271" customFormat="false" ht="14.25" hidden="false" customHeight="true" outlineLevel="0" collapsed="false">
      <c r="A271" s="230"/>
      <c r="B271" s="231"/>
      <c r="C271" s="232"/>
    </row>
    <row r="272" customFormat="false" ht="14.25" hidden="false" customHeight="true" outlineLevel="0" collapsed="false">
      <c r="A272" s="230"/>
      <c r="B272" s="231"/>
      <c r="C272" s="232"/>
    </row>
    <row r="273" customFormat="false" ht="14.25" hidden="false" customHeight="true" outlineLevel="0" collapsed="false">
      <c r="A273" s="230"/>
      <c r="B273" s="231"/>
      <c r="C273" s="232"/>
    </row>
    <row r="274" customFormat="false" ht="14.25" hidden="false" customHeight="true" outlineLevel="0" collapsed="false">
      <c r="A274" s="230"/>
      <c r="B274" s="231"/>
      <c r="C274" s="232"/>
    </row>
    <row r="275" customFormat="false" ht="14.25" hidden="false" customHeight="true" outlineLevel="0" collapsed="false">
      <c r="A275" s="230"/>
      <c r="B275" s="231"/>
      <c r="C275" s="232"/>
    </row>
    <row r="276" customFormat="false" ht="14.25" hidden="false" customHeight="true" outlineLevel="0" collapsed="false">
      <c r="A276" s="230"/>
      <c r="B276" s="231"/>
      <c r="C276" s="232"/>
    </row>
    <row r="277" customFormat="false" ht="14.25" hidden="false" customHeight="true" outlineLevel="0" collapsed="false">
      <c r="A277" s="230"/>
      <c r="B277" s="231"/>
      <c r="C277" s="232"/>
    </row>
    <row r="278" customFormat="false" ht="14.25" hidden="false" customHeight="true" outlineLevel="0" collapsed="false">
      <c r="A278" s="230"/>
      <c r="B278" s="231"/>
      <c r="C278" s="232"/>
    </row>
    <row r="279" customFormat="false" ht="14.25" hidden="false" customHeight="true" outlineLevel="0" collapsed="false">
      <c r="A279" s="230"/>
      <c r="B279" s="231"/>
      <c r="C279" s="232"/>
    </row>
    <row r="280" customFormat="false" ht="14.25" hidden="false" customHeight="true" outlineLevel="0" collapsed="false">
      <c r="A280" s="230"/>
      <c r="B280" s="231"/>
      <c r="C280" s="232"/>
    </row>
    <row r="281" customFormat="false" ht="14.25" hidden="false" customHeight="true" outlineLevel="0" collapsed="false">
      <c r="A281" s="230"/>
      <c r="B281" s="231"/>
      <c r="C281" s="232"/>
    </row>
    <row r="282" customFormat="false" ht="14.25" hidden="false" customHeight="true" outlineLevel="0" collapsed="false">
      <c r="A282" s="230"/>
      <c r="B282" s="231"/>
      <c r="C282" s="232"/>
    </row>
    <row r="283" customFormat="false" ht="14.25" hidden="false" customHeight="true" outlineLevel="0" collapsed="false">
      <c r="A283" s="230"/>
      <c r="B283" s="231"/>
      <c r="C283" s="232"/>
    </row>
    <row r="284" customFormat="false" ht="14.25" hidden="false" customHeight="true" outlineLevel="0" collapsed="false">
      <c r="A284" s="230"/>
      <c r="B284" s="231"/>
      <c r="C284" s="232"/>
    </row>
    <row r="285" customFormat="false" ht="14.25" hidden="false" customHeight="true" outlineLevel="0" collapsed="false">
      <c r="A285" s="230"/>
      <c r="B285" s="231"/>
      <c r="C285" s="232"/>
    </row>
    <row r="286" customFormat="false" ht="14.25" hidden="false" customHeight="true" outlineLevel="0" collapsed="false">
      <c r="A286" s="230"/>
      <c r="B286" s="231"/>
      <c r="C286" s="232"/>
    </row>
    <row r="287" customFormat="false" ht="14.25" hidden="false" customHeight="true" outlineLevel="0" collapsed="false">
      <c r="A287" s="230"/>
      <c r="B287" s="231"/>
      <c r="C287" s="232"/>
    </row>
    <row r="288" customFormat="false" ht="14.25" hidden="false" customHeight="true" outlineLevel="0" collapsed="false">
      <c r="A288" s="230"/>
      <c r="B288" s="231"/>
      <c r="C288" s="232"/>
    </row>
    <row r="289" customFormat="false" ht="14.25" hidden="false" customHeight="true" outlineLevel="0" collapsed="false">
      <c r="A289" s="230"/>
      <c r="B289" s="231"/>
      <c r="C289" s="232"/>
    </row>
    <row r="290" customFormat="false" ht="14.25" hidden="false" customHeight="true" outlineLevel="0" collapsed="false">
      <c r="A290" s="230"/>
      <c r="B290" s="231"/>
      <c r="C290" s="232"/>
    </row>
    <row r="291" customFormat="false" ht="14.25" hidden="false" customHeight="true" outlineLevel="0" collapsed="false">
      <c r="A291" s="230"/>
      <c r="B291" s="231"/>
      <c r="C291" s="232"/>
    </row>
    <row r="292" customFormat="false" ht="14.25" hidden="false" customHeight="true" outlineLevel="0" collapsed="false">
      <c r="A292" s="230"/>
      <c r="B292" s="231"/>
      <c r="C292" s="232"/>
    </row>
    <row r="293" customFormat="false" ht="14.25" hidden="false" customHeight="true" outlineLevel="0" collapsed="false">
      <c r="A293" s="230"/>
      <c r="B293" s="231"/>
      <c r="C293" s="232"/>
    </row>
    <row r="294" customFormat="false" ht="14.25" hidden="false" customHeight="true" outlineLevel="0" collapsed="false">
      <c r="A294" s="230"/>
      <c r="B294" s="231"/>
      <c r="C294" s="232"/>
    </row>
    <row r="295" customFormat="false" ht="14.25" hidden="false" customHeight="true" outlineLevel="0" collapsed="false">
      <c r="A295" s="230"/>
      <c r="B295" s="231"/>
      <c r="C295" s="232"/>
    </row>
    <row r="296" customFormat="false" ht="14.25" hidden="false" customHeight="true" outlineLevel="0" collapsed="false">
      <c r="A296" s="230"/>
      <c r="B296" s="231"/>
      <c r="C296" s="232"/>
    </row>
    <row r="297" customFormat="false" ht="14.25" hidden="false" customHeight="true" outlineLevel="0" collapsed="false">
      <c r="A297" s="230"/>
      <c r="B297" s="231"/>
      <c r="C297" s="232"/>
    </row>
    <row r="298" customFormat="false" ht="14.25" hidden="false" customHeight="true" outlineLevel="0" collapsed="false">
      <c r="A298" s="230"/>
      <c r="B298" s="231"/>
      <c r="C298" s="232"/>
    </row>
    <row r="299" customFormat="false" ht="14.25" hidden="false" customHeight="true" outlineLevel="0" collapsed="false">
      <c r="A299" s="230"/>
      <c r="B299" s="231"/>
      <c r="C299" s="232"/>
    </row>
    <row r="300" customFormat="false" ht="14.25" hidden="false" customHeight="true" outlineLevel="0" collapsed="false">
      <c r="A300" s="230"/>
      <c r="B300" s="231"/>
      <c r="C300" s="232"/>
    </row>
    <row r="301" customFormat="false" ht="14.25" hidden="false" customHeight="true" outlineLevel="0" collapsed="false">
      <c r="A301" s="230"/>
      <c r="B301" s="231"/>
      <c r="C301" s="232"/>
    </row>
    <row r="302" customFormat="false" ht="14.25" hidden="false" customHeight="true" outlineLevel="0" collapsed="false">
      <c r="A302" s="230"/>
      <c r="B302" s="231"/>
      <c r="C302" s="23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1"/>
  <sheetViews>
    <sheetView showFormulas="false" showGridLines="false" showRowColHeaders="true" showZeros="true" rightToLeft="false" tabSelected="false" showOutlineSymbols="true" defaultGridColor="true" view="normal" topLeftCell="A105"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33" t="s">
        <v>880</v>
      </c>
      <c r="B1" s="233"/>
      <c r="C1" s="233"/>
      <c r="D1" s="233"/>
      <c r="E1" s="233"/>
      <c r="F1" s="233"/>
    </row>
    <row r="2" customFormat="false" ht="15" hidden="false" customHeight="true" outlineLevel="0" collapsed="false">
      <c r="A2" s="158" t="s">
        <v>881</v>
      </c>
      <c r="C2" s="234" t="n">
        <f aca="false">COUNTIF(F5:F500,"OVERDUE")</f>
        <v>0</v>
      </c>
    </row>
    <row r="4" customFormat="false" ht="27.75" hidden="false" customHeight="true" outlineLevel="0" collapsed="false">
      <c r="A4" s="160" t="s">
        <v>882</v>
      </c>
      <c r="B4" s="160" t="s">
        <v>883</v>
      </c>
      <c r="C4" s="160" t="s">
        <v>884</v>
      </c>
      <c r="D4" s="160" t="s">
        <v>885</v>
      </c>
      <c r="E4" s="160" t="s">
        <v>886</v>
      </c>
      <c r="F4" s="160" t="s">
        <v>480</v>
      </c>
    </row>
    <row r="5" customFormat="false" ht="15" hidden="false" customHeight="true" outlineLevel="0" collapsed="false">
      <c r="A5" s="164" t="s">
        <v>662</v>
      </c>
      <c r="B5" s="235" t="s">
        <v>887</v>
      </c>
      <c r="C5" s="164" t="s">
        <v>222</v>
      </c>
      <c r="D5" s="236" t="n">
        <v>46299</v>
      </c>
      <c r="E5" s="237" t="n">
        <f aca="false">IFERROR(INDEX(Journal!$A:$A,MATCH($A5,Journal!$B:$B,0)),"")</f>
        <v>46295</v>
      </c>
      <c r="F5" s="164" t="str">
        <f aca="true">IF(C5="Y","Done",IF(AND(E5&lt;&gt;"",TODAY()&gt;E5),"OVERDUE","Pending"))</f>
        <v>Done</v>
      </c>
    </row>
    <row r="6" customFormat="false" ht="15" hidden="false" customHeight="true" outlineLevel="0" collapsed="false">
      <c r="A6" s="164" t="s">
        <v>662</v>
      </c>
      <c r="B6" s="235" t="s">
        <v>888</v>
      </c>
      <c r="C6" s="164" t="s">
        <v>222</v>
      </c>
      <c r="D6" s="236" t="n">
        <v>46305</v>
      </c>
      <c r="E6" s="237" t="n">
        <f aca="false">IFERROR(INDEX(Journal!$A:$A,MATCH($A6,Journal!$B:$B,0)),"")</f>
        <v>46295</v>
      </c>
      <c r="F6" s="164" t="str">
        <f aca="true">IF(C6="Y","Done",IF(AND(E6&lt;&gt;"",TODAY()&gt;E6),"OVERDUE","Pending"))</f>
        <v>Done</v>
      </c>
    </row>
    <row r="7" customFormat="false" ht="15" hidden="false" customHeight="true" outlineLevel="0" collapsed="false">
      <c r="A7" s="164" t="s">
        <v>662</v>
      </c>
      <c r="B7" s="235" t="s">
        <v>889</v>
      </c>
      <c r="C7" s="164" t="s">
        <v>222</v>
      </c>
      <c r="D7" s="236" t="n">
        <v>46305</v>
      </c>
      <c r="E7" s="237" t="n">
        <f aca="false">IFERROR(INDEX(Journal!$A:$A,MATCH($A7,Journal!$B:$B,0)),"")</f>
        <v>46295</v>
      </c>
      <c r="F7" s="164" t="str">
        <f aca="true">IF(C7="Y","Done",IF(AND(E7&lt;&gt;"",TODAY()&gt;E7),"OVERDUE","Pending"))</f>
        <v>Done</v>
      </c>
    </row>
    <row r="8" customFormat="false" ht="42" hidden="false" customHeight="true" outlineLevel="0" collapsed="false">
      <c r="A8" s="164" t="s">
        <v>662</v>
      </c>
      <c r="B8" s="235" t="s">
        <v>890</v>
      </c>
      <c r="C8" s="164" t="s">
        <v>222</v>
      </c>
      <c r="D8" s="236" t="n">
        <v>46305</v>
      </c>
      <c r="E8" s="237" t="n">
        <f aca="false">IFERROR(INDEX(Journal!$A:$A,MATCH($A8,Journal!$B:$B,0)),"")</f>
        <v>46295</v>
      </c>
      <c r="F8" s="164" t="str">
        <f aca="true">IF(C8="Y","Done",IF(AND(E8&lt;&gt;"",TODAY()&gt;E8),"OVERDUE","Pending"))</f>
        <v>Done</v>
      </c>
    </row>
    <row r="9" customFormat="false" ht="55.5" hidden="false" customHeight="true" outlineLevel="0" collapsed="false">
      <c r="A9" s="164" t="s">
        <v>662</v>
      </c>
      <c r="B9" s="235" t="s">
        <v>891</v>
      </c>
      <c r="C9" s="164" t="s">
        <v>222</v>
      </c>
      <c r="D9" s="236" t="n">
        <v>46305</v>
      </c>
      <c r="E9" s="237" t="n">
        <f aca="false">IFERROR(INDEX(Journal!$A:$A,MATCH($A9,Journal!$B:$B,0)),"")</f>
        <v>46295</v>
      </c>
      <c r="F9" s="164" t="str">
        <f aca="true">IF(C9="Y","Done",IF(AND(E9&lt;&gt;"",TODAY()&gt;E9),"OVERDUE","Pending"))</f>
        <v>Done</v>
      </c>
    </row>
    <row r="10" customFormat="false" ht="15" hidden="false" customHeight="true" outlineLevel="0" collapsed="false">
      <c r="A10" s="164" t="s">
        <v>662</v>
      </c>
      <c r="B10" s="235" t="s">
        <v>892</v>
      </c>
      <c r="C10" s="164" t="s">
        <v>222</v>
      </c>
      <c r="D10" s="236" t="n">
        <v>46305</v>
      </c>
      <c r="E10" s="237" t="n">
        <f aca="false">IFERROR(INDEX(Journal!$A:$A,MATCH($A10,Journal!$B:$B,0)),"")</f>
        <v>46295</v>
      </c>
      <c r="F10" s="164" t="str">
        <f aca="true">IF(C10="Y","Done",IF(AND(E10&lt;&gt;"",TODAY()&gt;E10),"OVERDUE","Pending"))</f>
        <v>Done</v>
      </c>
      <c r="G10" s="1" t="s">
        <v>893</v>
      </c>
    </row>
    <row r="11" customFormat="false" ht="15" hidden="false" customHeight="true" outlineLevel="0" collapsed="false">
      <c r="A11" s="164" t="s">
        <v>662</v>
      </c>
      <c r="B11" s="235" t="s">
        <v>894</v>
      </c>
      <c r="C11" s="164" t="s">
        <v>222</v>
      </c>
      <c r="D11" s="236" t="n">
        <v>46305</v>
      </c>
      <c r="E11" s="237" t="n">
        <f aca="false">IFERROR(INDEX(Journal!$A:$A,MATCH($A11,Journal!$B:$B,0)),"")</f>
        <v>46295</v>
      </c>
      <c r="F11" s="164" t="str">
        <f aca="true">IF(C11="Y","Done",IF(AND(E11&lt;&gt;"",TODAY()&gt;E11),"OVERDUE","Pending"))</f>
        <v>Done</v>
      </c>
    </row>
    <row r="12" customFormat="false" ht="15" hidden="false" customHeight="true" outlineLevel="0" collapsed="false">
      <c r="A12" s="164" t="s">
        <v>662</v>
      </c>
      <c r="B12" s="235" t="s">
        <v>895</v>
      </c>
      <c r="C12" s="164" t="s">
        <v>222</v>
      </c>
      <c r="D12" s="236" t="n">
        <v>46305</v>
      </c>
      <c r="E12" s="237" t="n">
        <f aca="false">IFERROR(INDEX(Journal!$A:$A,MATCH($A12,Journal!$B:$B,0)),"")</f>
        <v>46295</v>
      </c>
      <c r="F12" s="164" t="str">
        <f aca="true">IF(C12="Y","Done",IF(AND(E12&lt;&gt;"",TODAY()&gt;E12),"OVERDUE","Pending"))</f>
        <v>Done</v>
      </c>
    </row>
    <row r="13" customFormat="false" ht="27.75" hidden="false" customHeight="true" outlineLevel="0" collapsed="false">
      <c r="A13" s="164" t="s">
        <v>666</v>
      </c>
      <c r="B13" s="235" t="s">
        <v>896</v>
      </c>
      <c r="C13" s="164"/>
      <c r="D13" s="164"/>
      <c r="E13" s="237" t="n">
        <f aca="false">IFERROR(INDEX(Journal!$A:$A,MATCH($A13,Journal!$B:$B,0)),"")</f>
        <v>46320</v>
      </c>
      <c r="F13" s="164" t="str">
        <f aca="true">IF(C13="Y","Done",IF(AND(E13&lt;&gt;"",TODAY()&gt;E13),"OVERDUE","Pending"))</f>
        <v>Pending</v>
      </c>
    </row>
    <row r="14" customFormat="false" ht="15" hidden="false" customHeight="true" outlineLevel="0" collapsed="false">
      <c r="A14" s="164" t="s">
        <v>666</v>
      </c>
      <c r="B14" s="235" t="s">
        <v>897</v>
      </c>
      <c r="C14" s="164"/>
      <c r="D14" s="164"/>
      <c r="E14" s="237" t="n">
        <f aca="false">IFERROR(INDEX(Journal!$A:$A,MATCH($A14,Journal!$B:$B,0)),"")</f>
        <v>46320</v>
      </c>
      <c r="F14" s="164" t="str">
        <f aca="true">IF(C14="Y","Done",IF(AND(E14&lt;&gt;"",TODAY()&gt;E14),"OVERDUE","Pending"))</f>
        <v>Pending</v>
      </c>
    </row>
    <row r="15" customFormat="false" ht="23.25" hidden="false" customHeight="true" outlineLevel="0" collapsed="false">
      <c r="A15" s="164" t="s">
        <v>666</v>
      </c>
      <c r="B15" s="235" t="s">
        <v>898</v>
      </c>
      <c r="C15" s="164"/>
      <c r="D15" s="164"/>
      <c r="E15" s="237" t="n">
        <f aca="false">IFERROR(INDEX(Journal!$A:$A,MATCH($A15,Journal!$B:$B,0)),"")</f>
        <v>46320</v>
      </c>
      <c r="F15" s="164" t="str">
        <f aca="true">IF(C15="Y","Done",IF(AND(E15&lt;&gt;"",TODAY()&gt;E15),"OVERDUE","Pending"))</f>
        <v>Pending</v>
      </c>
    </row>
    <row r="16" customFormat="false" ht="42" hidden="false" customHeight="true" outlineLevel="0" collapsed="false">
      <c r="A16" s="164" t="s">
        <v>666</v>
      </c>
      <c r="B16" s="235" t="s">
        <v>899</v>
      </c>
      <c r="C16" s="164"/>
      <c r="D16" s="164"/>
      <c r="E16" s="237" t="n">
        <f aca="false">IFERROR(INDEX(Journal!$A:$A,MATCH($A16,Journal!$B:$B,0)),"")</f>
        <v>46320</v>
      </c>
      <c r="F16" s="164" t="str">
        <f aca="true">IF(C16="Y","Done",IF(AND(E16&lt;&gt;"",TODAY()&gt;E16),"OVERDUE","Pending"))</f>
        <v>Pending</v>
      </c>
    </row>
    <row r="17" customFormat="false" ht="55.5" hidden="false" customHeight="true" outlineLevel="0" collapsed="false">
      <c r="A17" s="164" t="s">
        <v>666</v>
      </c>
      <c r="B17" s="235" t="s">
        <v>900</v>
      </c>
      <c r="C17" s="164"/>
      <c r="D17" s="164"/>
      <c r="E17" s="237" t="n">
        <f aca="false">IFERROR(INDEX(Journal!$A:$A,MATCH($A17,Journal!$B:$B,0)),"")</f>
        <v>46320</v>
      </c>
      <c r="F17" s="164" t="str">
        <f aca="true">IF(C17="Y","Done",IF(AND(E17&lt;&gt;"",TODAY()&gt;E17),"OVERDUE","Pending"))</f>
        <v>Pending</v>
      </c>
    </row>
    <row r="18" customFormat="false" ht="15" hidden="false" customHeight="true" outlineLevel="0" collapsed="false">
      <c r="A18" s="164" t="s">
        <v>666</v>
      </c>
      <c r="B18" s="235" t="s">
        <v>892</v>
      </c>
      <c r="C18" s="164"/>
      <c r="D18" s="164"/>
      <c r="E18" s="237" t="n">
        <f aca="false">IFERROR(INDEX(Journal!$A:$A,MATCH($A18,Journal!$B:$B,0)),"")</f>
        <v>46320</v>
      </c>
      <c r="F18" s="164" t="str">
        <f aca="true">IF(C18="Y","Done",IF(AND(E18&lt;&gt;"",TODAY()&gt;E18),"OVERDUE","Pending"))</f>
        <v>Pending</v>
      </c>
    </row>
    <row r="19" customFormat="false" ht="15" hidden="false" customHeight="true" outlineLevel="0" collapsed="false">
      <c r="A19" s="164" t="s">
        <v>666</v>
      </c>
      <c r="B19" s="235" t="s">
        <v>894</v>
      </c>
      <c r="C19" s="164"/>
      <c r="D19" s="164"/>
      <c r="E19" s="237" t="n">
        <f aca="false">IFERROR(INDEX(Journal!$A:$A,MATCH($A19,Journal!$B:$B,0)),"")</f>
        <v>46320</v>
      </c>
      <c r="F19" s="164" t="str">
        <f aca="true">IF(C19="Y","Done",IF(AND(E19&lt;&gt;"",TODAY()&gt;E19),"OVERDUE","Pending"))</f>
        <v>Pending</v>
      </c>
    </row>
    <row r="20" customFormat="false" ht="15" hidden="false" customHeight="true" outlineLevel="0" collapsed="false">
      <c r="A20" s="164" t="s">
        <v>666</v>
      </c>
      <c r="B20" s="235" t="s">
        <v>895</v>
      </c>
      <c r="C20" s="164"/>
      <c r="D20" s="164"/>
      <c r="E20" s="237" t="n">
        <f aca="false">IFERROR(INDEX(Journal!$A:$A,MATCH($A20,Journal!$B:$B,0)),"")</f>
        <v>46320</v>
      </c>
      <c r="F20" s="164" t="str">
        <f aca="true">IF(C20="Y","Done",IF(AND(E20&lt;&gt;"",TODAY()&gt;E20),"OVERDUE","Pending"))</f>
        <v>Pending</v>
      </c>
    </row>
    <row r="21" customFormat="false" ht="15" hidden="false" customHeight="true" outlineLevel="0" collapsed="false">
      <c r="A21" s="164" t="s">
        <v>670</v>
      </c>
      <c r="B21" s="235" t="s">
        <v>887</v>
      </c>
      <c r="C21" s="164"/>
      <c r="D21" s="164"/>
      <c r="E21" s="237" t="n">
        <f aca="false">IFERROR(INDEX(Journal!$A:$A,MATCH($A21,Journal!$B:$B,0)),"")</f>
        <v>46387</v>
      </c>
      <c r="F21" s="164" t="str">
        <f aca="true">IF(C21="Y","Done",IF(AND(E21&lt;&gt;"",TODAY()&gt;E21),"OVERDUE","Pending"))</f>
        <v>Pending</v>
      </c>
    </row>
    <row r="22" customFormat="false" ht="15" hidden="false" customHeight="true" outlineLevel="0" collapsed="false">
      <c r="A22" s="164" t="s">
        <v>670</v>
      </c>
      <c r="B22" s="235" t="s">
        <v>888</v>
      </c>
      <c r="C22" s="164"/>
      <c r="D22" s="164"/>
      <c r="E22" s="237" t="n">
        <f aca="false">IFERROR(INDEX(Journal!$A:$A,MATCH($A22,Journal!$B:$B,0)),"")</f>
        <v>46387</v>
      </c>
      <c r="F22" s="164" t="str">
        <f aca="true">IF(C22="Y","Done",IF(AND(E22&lt;&gt;"",TODAY()&gt;E22),"OVERDUE","Pending"))</f>
        <v>Pending</v>
      </c>
    </row>
    <row r="23" customFormat="false" ht="15" hidden="false" customHeight="true" outlineLevel="0" collapsed="false">
      <c r="A23" s="164" t="s">
        <v>670</v>
      </c>
      <c r="B23" s="235" t="s">
        <v>889</v>
      </c>
      <c r="C23" s="164"/>
      <c r="D23" s="164"/>
      <c r="E23" s="237" t="n">
        <f aca="false">IFERROR(INDEX(Journal!$A:$A,MATCH($A23,Journal!$B:$B,0)),"")</f>
        <v>46387</v>
      </c>
      <c r="F23" s="164" t="str">
        <f aca="true">IF(C23="Y","Done",IF(AND(E23&lt;&gt;"",TODAY()&gt;E23),"OVERDUE","Pending"))</f>
        <v>Pending</v>
      </c>
    </row>
    <row r="24" customFormat="false" ht="42" hidden="false" customHeight="true" outlineLevel="0" collapsed="false">
      <c r="A24" s="164" t="s">
        <v>670</v>
      </c>
      <c r="B24" s="235" t="s">
        <v>899</v>
      </c>
      <c r="C24" s="164"/>
      <c r="D24" s="164"/>
      <c r="E24" s="237" t="n">
        <f aca="false">IFERROR(INDEX(Journal!$A:$A,MATCH($A24,Journal!$B:$B,0)),"")</f>
        <v>46387</v>
      </c>
      <c r="F24" s="164" t="str">
        <f aca="true">IF(C24="Y","Done",IF(AND(E24&lt;&gt;"",TODAY()&gt;E24),"OVERDUE","Pending"))</f>
        <v>Pending</v>
      </c>
    </row>
    <row r="25" customFormat="false" ht="55.5" hidden="false" customHeight="true" outlineLevel="0" collapsed="false">
      <c r="A25" s="164" t="s">
        <v>670</v>
      </c>
      <c r="B25" s="235" t="s">
        <v>891</v>
      </c>
      <c r="C25" s="164"/>
      <c r="D25" s="164"/>
      <c r="E25" s="237" t="n">
        <f aca="false">IFERROR(INDEX(Journal!$A:$A,MATCH($A25,Journal!$B:$B,0)),"")</f>
        <v>46387</v>
      </c>
      <c r="F25" s="164" t="str">
        <f aca="true">IF(C25="Y","Done",IF(AND(E25&lt;&gt;"",TODAY()&gt;E25),"OVERDUE","Pending"))</f>
        <v>Pending</v>
      </c>
    </row>
    <row r="26" customFormat="false" ht="15" hidden="false" customHeight="true" outlineLevel="0" collapsed="false">
      <c r="A26" s="164" t="s">
        <v>670</v>
      </c>
      <c r="B26" s="235" t="s">
        <v>892</v>
      </c>
      <c r="C26" s="164"/>
      <c r="D26" s="164"/>
      <c r="E26" s="237" t="n">
        <f aca="false">IFERROR(INDEX(Journal!$A:$A,MATCH($A26,Journal!$B:$B,0)),"")</f>
        <v>46387</v>
      </c>
      <c r="F26" s="164" t="str">
        <f aca="true">IF(C26="Y","Done",IF(AND(E26&lt;&gt;"",TODAY()&gt;E26),"OVERDUE","Pending"))</f>
        <v>Pending</v>
      </c>
    </row>
    <row r="27" customFormat="false" ht="15" hidden="false" customHeight="true" outlineLevel="0" collapsed="false">
      <c r="A27" s="164" t="s">
        <v>670</v>
      </c>
      <c r="B27" s="235" t="s">
        <v>894</v>
      </c>
      <c r="C27" s="164"/>
      <c r="D27" s="164"/>
      <c r="E27" s="237" t="n">
        <f aca="false">IFERROR(INDEX(Journal!$A:$A,MATCH($A27,Journal!$B:$B,0)),"")</f>
        <v>46387</v>
      </c>
      <c r="F27" s="164" t="str">
        <f aca="true">IF(C27="Y","Done",IF(AND(E27&lt;&gt;"",TODAY()&gt;E27),"OVERDUE","Pending"))</f>
        <v>Pending</v>
      </c>
    </row>
    <row r="28" customFormat="false" ht="15" hidden="false" customHeight="true" outlineLevel="0" collapsed="false">
      <c r="A28" s="164" t="s">
        <v>670</v>
      </c>
      <c r="B28" s="235" t="s">
        <v>895</v>
      </c>
      <c r="C28" s="164"/>
      <c r="D28" s="164"/>
      <c r="E28" s="237" t="n">
        <f aca="false">IFERROR(INDEX(Journal!$A:$A,MATCH($A28,Journal!$B:$B,0)),"")</f>
        <v>46387</v>
      </c>
      <c r="F28" s="164" t="str">
        <f aca="true">IF(C28="Y","Done",IF(AND(E28&lt;&gt;"",TODAY()&gt;E28),"OVERDUE","Pending"))</f>
        <v>Pending</v>
      </c>
    </row>
    <row r="29" customFormat="false" ht="15" hidden="false" customHeight="true" outlineLevel="0" collapsed="false">
      <c r="A29" s="164" t="s">
        <v>672</v>
      </c>
      <c r="B29" s="235" t="s">
        <v>901</v>
      </c>
      <c r="C29" s="164"/>
      <c r="D29" s="164"/>
      <c r="E29" s="237" t="n">
        <f aca="false">IFERROR(INDEX(Journal!$A:$A,MATCH($A29,Journal!$B:$B,0)),"")</f>
        <v>46412</v>
      </c>
      <c r="F29" s="164" t="str">
        <f aca="true">IF(C29="Y","Done",IF(AND(E29&lt;&gt;"",TODAY()&gt;E29),"OVERDUE","Pending"))</f>
        <v>Pending</v>
      </c>
    </row>
    <row r="30" customFormat="false" ht="27.75" hidden="false" customHeight="true" outlineLevel="0" collapsed="false">
      <c r="A30" s="164" t="s">
        <v>672</v>
      </c>
      <c r="B30" s="235" t="s">
        <v>902</v>
      </c>
      <c r="C30" s="164"/>
      <c r="D30" s="164"/>
      <c r="E30" s="237" t="n">
        <f aca="false">IFERROR(INDEX(Journal!$A:$A,MATCH($A30,Journal!$B:$B,0)),"")</f>
        <v>46412</v>
      </c>
      <c r="F30" s="164" t="str">
        <f aca="true">IF(C30="Y","Done",IF(AND(E30&lt;&gt;"",TODAY()&gt;E30),"OVERDUE","Pending"))</f>
        <v>Pending</v>
      </c>
    </row>
    <row r="31" customFormat="false" ht="42" hidden="false" customHeight="true" outlineLevel="0" collapsed="false">
      <c r="A31" s="164" t="s">
        <v>672</v>
      </c>
      <c r="B31" s="235" t="s">
        <v>899</v>
      </c>
      <c r="C31" s="164"/>
      <c r="D31" s="164"/>
      <c r="E31" s="237" t="n">
        <f aca="false">IFERROR(INDEX(Journal!$A:$A,MATCH($A31,Journal!$B:$B,0)),"")</f>
        <v>46412</v>
      </c>
      <c r="F31" s="164" t="str">
        <f aca="true">IF(C31="Y","Done",IF(AND(E31&lt;&gt;"",TODAY()&gt;E31),"OVERDUE","Pending"))</f>
        <v>Pending</v>
      </c>
    </row>
    <row r="32" customFormat="false" ht="55.5" hidden="false" customHeight="true" outlineLevel="0" collapsed="false">
      <c r="A32" s="164" t="s">
        <v>672</v>
      </c>
      <c r="B32" s="235" t="s">
        <v>900</v>
      </c>
      <c r="C32" s="164"/>
      <c r="D32" s="236"/>
      <c r="E32" s="237" t="n">
        <f aca="false">IFERROR(INDEX(Journal!$A:$A,MATCH($A32,Journal!$B:$B,0)),"")</f>
        <v>46412</v>
      </c>
      <c r="F32" s="164" t="str">
        <f aca="true">IF(C32="Y","Done",IF(AND(E32&lt;&gt;"",TODAY()&gt;E32),"OVERDUE","Pending"))</f>
        <v>Pending</v>
      </c>
    </row>
    <row r="33" customFormat="false" ht="15" hidden="false" customHeight="true" outlineLevel="0" collapsed="false">
      <c r="A33" s="164" t="s">
        <v>672</v>
      </c>
      <c r="B33" s="235" t="s">
        <v>892</v>
      </c>
      <c r="C33" s="164"/>
      <c r="D33" s="236"/>
      <c r="E33" s="237" t="n">
        <f aca="false">IFERROR(INDEX(Journal!$A:$A,MATCH($A33,Journal!$B:$B,0)),"")</f>
        <v>46412</v>
      </c>
      <c r="F33" s="164" t="str">
        <f aca="true">IF(C33="Y","Done",IF(AND(E33&lt;&gt;"",TODAY()&gt;E33),"OVERDUE","Pending"))</f>
        <v>Pending</v>
      </c>
    </row>
    <row r="34" customFormat="false" ht="15" hidden="false" customHeight="true" outlineLevel="0" collapsed="false">
      <c r="A34" s="164" t="s">
        <v>672</v>
      </c>
      <c r="B34" s="235" t="s">
        <v>894</v>
      </c>
      <c r="C34" s="164"/>
      <c r="D34" s="236"/>
      <c r="E34" s="237" t="n">
        <f aca="false">IFERROR(INDEX(Journal!$A:$A,MATCH($A34,Journal!$B:$B,0)),"")</f>
        <v>46412</v>
      </c>
      <c r="F34" s="164" t="str">
        <f aca="true">IF(C34="Y","Done",IF(AND(E34&lt;&gt;"",TODAY()&gt;E34),"OVERDUE","Pending"))</f>
        <v>Pending</v>
      </c>
    </row>
    <row r="35" customFormat="false" ht="15" hidden="false" customHeight="true" outlineLevel="0" collapsed="false">
      <c r="A35" s="164" t="s">
        <v>672</v>
      </c>
      <c r="B35" s="235" t="s">
        <v>895</v>
      </c>
      <c r="C35" s="164"/>
      <c r="D35" s="236"/>
      <c r="E35" s="237" t="n">
        <f aca="false">IFERROR(INDEX(Journal!$A:$A,MATCH($A35,Journal!$B:$B,0)),"")</f>
        <v>46412</v>
      </c>
      <c r="F35" s="164" t="str">
        <f aca="true">IF(C35="Y","Done",IF(AND(E35&lt;&gt;"",TODAY()&gt;E35),"OVERDUE","Pending"))</f>
        <v>Pending</v>
      </c>
    </row>
    <row r="36" customFormat="false" ht="15" hidden="false" customHeight="true" outlineLevel="0" collapsed="false">
      <c r="A36" s="164" t="s">
        <v>713</v>
      </c>
      <c r="B36" s="235" t="s">
        <v>903</v>
      </c>
      <c r="C36" s="164" t="s">
        <v>222</v>
      </c>
      <c r="D36" s="236" t="n">
        <v>46295</v>
      </c>
      <c r="E36" s="237" t="n">
        <f aca="false">IFERROR(INDEX(Journal!$A:$A,MATCH($A36,Journal!$B:$B,0)),"")</f>
        <v>46295</v>
      </c>
      <c r="F36" s="164" t="str">
        <f aca="true">IF(C36="Y","Done",IF(AND(E36&lt;&gt;"",TODAY()&gt;E36),"OVERDUE","Pending"))</f>
        <v>Done</v>
      </c>
    </row>
    <row r="37" customFormat="false" ht="15" hidden="false" customHeight="true" outlineLevel="0" collapsed="false">
      <c r="A37" s="164" t="s">
        <v>713</v>
      </c>
      <c r="B37" s="235" t="s">
        <v>904</v>
      </c>
      <c r="C37" s="164" t="s">
        <v>222</v>
      </c>
      <c r="D37" s="236" t="n">
        <v>46295</v>
      </c>
      <c r="E37" s="237" t="n">
        <f aca="false">IFERROR(INDEX(Journal!$A:$A,MATCH($A37,Journal!$B:$B,0)),"")</f>
        <v>46295</v>
      </c>
      <c r="F37" s="164" t="str">
        <f aca="true">IF(C37="Y","Done",IF(AND(E37&lt;&gt;"",TODAY()&gt;E37),"OVERDUE","Pending"))</f>
        <v>Done</v>
      </c>
    </row>
    <row r="38" customFormat="false" ht="45.75" hidden="false" customHeight="true" outlineLevel="0" collapsed="false">
      <c r="A38" s="164" t="s">
        <v>713</v>
      </c>
      <c r="B38" s="235" t="s">
        <v>905</v>
      </c>
      <c r="C38" s="164" t="s">
        <v>222</v>
      </c>
      <c r="D38" s="236" t="n">
        <v>46295</v>
      </c>
      <c r="E38" s="237" t="n">
        <f aca="false">IFERROR(INDEX(Journal!$A:$A,MATCH($A38,Journal!$B:$B,0)),"")</f>
        <v>46295</v>
      </c>
      <c r="F38" s="164" t="str">
        <f aca="true">IF(C38="Y","Done",IF(AND(E38&lt;&gt;"",TODAY()&gt;E38),"OVERDUE","Pending"))</f>
        <v>Done</v>
      </c>
    </row>
    <row r="39" customFormat="false" ht="15" hidden="false" customHeight="true" outlineLevel="0" collapsed="false">
      <c r="A39" s="164" t="s">
        <v>713</v>
      </c>
      <c r="B39" s="235" t="s">
        <v>906</v>
      </c>
      <c r="C39" s="164" t="s">
        <v>222</v>
      </c>
      <c r="D39" s="236" t="n">
        <v>46295</v>
      </c>
      <c r="E39" s="237" t="n">
        <f aca="false">IFERROR(INDEX(Journal!$A:$A,MATCH($A39,Journal!$B:$B,0)),"")</f>
        <v>46295</v>
      </c>
      <c r="F39" s="164" t="str">
        <f aca="true">IF(C39="Y","Done",IF(AND(E39&lt;&gt;"",TODAY()&gt;E39),"OVERDUE","Pending"))</f>
        <v>Done</v>
      </c>
    </row>
    <row r="40" customFormat="false" ht="42" hidden="false" customHeight="true" outlineLevel="0" collapsed="false">
      <c r="A40" s="164" t="s">
        <v>713</v>
      </c>
      <c r="B40" s="235" t="s">
        <v>907</v>
      </c>
      <c r="C40" s="164" t="s">
        <v>222</v>
      </c>
      <c r="D40" s="236" t="n">
        <v>46295</v>
      </c>
      <c r="E40" s="237" t="n">
        <f aca="false">IFERROR(INDEX(Journal!$A:$A,MATCH($A40,Journal!$B:$B,0)),"")</f>
        <v>46295</v>
      </c>
      <c r="F40" s="164" t="str">
        <f aca="true">IF(C40="Y","Done",IF(AND(E40&lt;&gt;"",TODAY()&gt;E40),"OVERDUE","Pending"))</f>
        <v>Done</v>
      </c>
    </row>
    <row r="41" customFormat="false" ht="15" hidden="false" customHeight="true" outlineLevel="0" collapsed="false">
      <c r="A41" s="164" t="s">
        <v>713</v>
      </c>
      <c r="B41" s="235" t="s">
        <v>908</v>
      </c>
      <c r="C41" s="164" t="s">
        <v>222</v>
      </c>
      <c r="D41" s="236" t="n">
        <v>46295</v>
      </c>
      <c r="E41" s="237" t="n">
        <f aca="false">IFERROR(INDEX(Journal!$A:$A,MATCH($A41,Journal!$B:$B,0)),"")</f>
        <v>46295</v>
      </c>
      <c r="F41" s="164" t="str">
        <f aca="true">IF(C41="Y","Done",IF(AND(E41&lt;&gt;"",TODAY()&gt;E41),"OVERDUE","Pending"))</f>
        <v>Done</v>
      </c>
    </row>
    <row r="42" customFormat="false" ht="15" hidden="false" customHeight="true" outlineLevel="0" collapsed="false">
      <c r="A42" s="164" t="s">
        <v>713</v>
      </c>
      <c r="B42" s="235" t="s">
        <v>892</v>
      </c>
      <c r="C42" s="164" t="s">
        <v>222</v>
      </c>
      <c r="D42" s="236" t="n">
        <v>46295</v>
      </c>
      <c r="E42" s="237" t="n">
        <f aca="false">IFERROR(INDEX(Journal!$A:$A,MATCH($A42,Journal!$B:$B,0)),"")</f>
        <v>46295</v>
      </c>
      <c r="F42" s="164" t="str">
        <f aca="true">IF(C42="Y","Done",IF(AND(E42&lt;&gt;"",TODAY()&gt;E42),"OVERDUE","Pending"))</f>
        <v>Done</v>
      </c>
    </row>
    <row r="43" customFormat="false" ht="15" hidden="false" customHeight="true" outlineLevel="0" collapsed="false">
      <c r="A43" s="164" t="s">
        <v>713</v>
      </c>
      <c r="B43" s="235" t="s">
        <v>894</v>
      </c>
      <c r="C43" s="164" t="s">
        <v>222</v>
      </c>
      <c r="D43" s="236" t="n">
        <v>46295</v>
      </c>
      <c r="E43" s="237" t="n">
        <f aca="false">IFERROR(INDEX(Journal!$A:$A,MATCH($A43,Journal!$B:$B,0)),"")</f>
        <v>46295</v>
      </c>
      <c r="F43" s="164" t="str">
        <f aca="true">IF(C43="Y","Done",IF(AND(E43&lt;&gt;"",TODAY()&gt;E43),"OVERDUE","Pending"))</f>
        <v>Done</v>
      </c>
    </row>
    <row r="44" customFormat="false" ht="15" hidden="false" customHeight="true" outlineLevel="0" collapsed="false">
      <c r="A44" s="164" t="s">
        <v>713</v>
      </c>
      <c r="B44" s="235" t="s">
        <v>895</v>
      </c>
      <c r="C44" s="164" t="s">
        <v>222</v>
      </c>
      <c r="D44" s="236" t="n">
        <v>46295</v>
      </c>
      <c r="E44" s="237" t="n">
        <f aca="false">IFERROR(INDEX(Journal!$A:$A,MATCH($A44,Journal!$B:$B,0)),"")</f>
        <v>46295</v>
      </c>
      <c r="F44" s="164" t="str">
        <f aca="true">IF(C44="Y","Done",IF(AND(E44&lt;&gt;"",TODAY()&gt;E44),"OVERDUE","Pending"))</f>
        <v>Done</v>
      </c>
    </row>
    <row r="45" customFormat="false" ht="15" hidden="false" customHeight="true" outlineLevel="0" collapsed="false">
      <c r="A45" s="164" t="s">
        <v>715</v>
      </c>
      <c r="B45" s="235" t="s">
        <v>903</v>
      </c>
      <c r="C45" s="164" t="s">
        <v>222</v>
      </c>
      <c r="D45" s="236" t="n">
        <v>46302</v>
      </c>
      <c r="E45" s="237" t="n">
        <f aca="false">IFERROR(INDEX(Journal!$A:$A,MATCH($A45,Journal!$B:$B,0)),"")</f>
        <v>46302</v>
      </c>
      <c r="F45" s="164" t="str">
        <f aca="true">IF(C45="Y","Done",IF(AND(E45&lt;&gt;"",TODAY()&gt;E45),"OVERDUE","Pending"))</f>
        <v>Done</v>
      </c>
    </row>
    <row r="46" customFormat="false" ht="15" hidden="false" customHeight="true" outlineLevel="0" collapsed="false">
      <c r="A46" s="164" t="s">
        <v>715</v>
      </c>
      <c r="B46" s="235" t="s">
        <v>904</v>
      </c>
      <c r="C46" s="164" t="s">
        <v>222</v>
      </c>
      <c r="D46" s="236" t="n">
        <v>46302</v>
      </c>
      <c r="E46" s="237" t="n">
        <f aca="false">IFERROR(INDEX(Journal!$A:$A,MATCH($A46,Journal!$B:$B,0)),"")</f>
        <v>46302</v>
      </c>
      <c r="F46" s="164" t="str">
        <f aca="true">IF(C46="Y","Done",IF(AND(E46&lt;&gt;"",TODAY()&gt;E46),"OVERDUE","Pending"))</f>
        <v>Done</v>
      </c>
    </row>
    <row r="47" customFormat="false" ht="45.75" hidden="false" customHeight="true" outlineLevel="0" collapsed="false">
      <c r="A47" s="164" t="s">
        <v>715</v>
      </c>
      <c r="B47" s="235" t="s">
        <v>905</v>
      </c>
      <c r="C47" s="164" t="s">
        <v>222</v>
      </c>
      <c r="D47" s="236" t="n">
        <v>46302</v>
      </c>
      <c r="E47" s="237" t="n">
        <f aca="false">IFERROR(INDEX(Journal!$A:$A,MATCH($A47,Journal!$B:$B,0)),"")</f>
        <v>46302</v>
      </c>
      <c r="F47" s="164" t="str">
        <f aca="true">IF(C47="Y","Done",IF(AND(E47&lt;&gt;"",TODAY()&gt;E47),"OVERDUE","Pending"))</f>
        <v>Done</v>
      </c>
    </row>
    <row r="48" customFormat="false" ht="15" hidden="false" customHeight="true" outlineLevel="0" collapsed="false">
      <c r="A48" s="164" t="s">
        <v>715</v>
      </c>
      <c r="B48" s="235" t="s">
        <v>906</v>
      </c>
      <c r="C48" s="164" t="s">
        <v>222</v>
      </c>
      <c r="D48" s="236" t="n">
        <v>46302</v>
      </c>
      <c r="E48" s="237" t="n">
        <f aca="false">IFERROR(INDEX(Journal!$A:$A,MATCH($A48,Journal!$B:$B,0)),"")</f>
        <v>46302</v>
      </c>
      <c r="F48" s="164" t="str">
        <f aca="true">IF(C48="Y","Done",IF(AND(E48&lt;&gt;"",TODAY()&gt;E48),"OVERDUE","Pending"))</f>
        <v>Done</v>
      </c>
    </row>
    <row r="49" customFormat="false" ht="42" hidden="false" customHeight="true" outlineLevel="0" collapsed="false">
      <c r="A49" s="164" t="s">
        <v>715</v>
      </c>
      <c r="B49" s="235" t="s">
        <v>907</v>
      </c>
      <c r="C49" s="164" t="s">
        <v>222</v>
      </c>
      <c r="D49" s="236" t="n">
        <v>46302</v>
      </c>
      <c r="E49" s="237" t="n">
        <f aca="false">IFERROR(INDEX(Journal!$A:$A,MATCH($A49,Journal!$B:$B,0)),"")</f>
        <v>46302</v>
      </c>
      <c r="F49" s="164" t="str">
        <f aca="true">IF(C49="Y","Done",IF(AND(E49&lt;&gt;"",TODAY()&gt;E49),"OVERDUE","Pending"))</f>
        <v>Done</v>
      </c>
    </row>
    <row r="50" customFormat="false" ht="42" hidden="false" customHeight="true" outlineLevel="0" collapsed="false">
      <c r="A50" s="164" t="s">
        <v>715</v>
      </c>
      <c r="B50" s="235" t="s">
        <v>909</v>
      </c>
      <c r="C50" s="164" t="s">
        <v>222</v>
      </c>
      <c r="D50" s="236" t="n">
        <v>46302</v>
      </c>
      <c r="E50" s="237" t="n">
        <f aca="false">IFERROR(INDEX(Journal!$A:$A,MATCH($A50,Journal!$B:$B,0)),"")</f>
        <v>46302</v>
      </c>
      <c r="F50" s="164" t="str">
        <f aca="true">IF(C50="Y","Done",IF(AND(E50&lt;&gt;"",TODAY()&gt;E50),"OVERDUE","Pending"))</f>
        <v>Done</v>
      </c>
    </row>
    <row r="51" customFormat="false" ht="42" hidden="false" customHeight="true" outlineLevel="0" collapsed="false">
      <c r="A51" s="164" t="s">
        <v>715</v>
      </c>
      <c r="B51" s="235" t="s">
        <v>910</v>
      </c>
      <c r="C51" s="164" t="s">
        <v>222</v>
      </c>
      <c r="D51" s="236" t="n">
        <v>46302</v>
      </c>
      <c r="E51" s="237" t="n">
        <f aca="false">IFERROR(INDEX(Journal!$A:$A,MATCH($A51,Journal!$B:$B,0)),"")</f>
        <v>46302</v>
      </c>
      <c r="F51" s="164" t="str">
        <f aca="true">IF(C51="Y","Done",IF(AND(E51&lt;&gt;"",TODAY()&gt;E51),"OVERDUE","Pending"))</f>
        <v>Done</v>
      </c>
    </row>
    <row r="52" customFormat="false" ht="15" hidden="false" customHeight="true" outlineLevel="0" collapsed="false">
      <c r="A52" s="164" t="s">
        <v>715</v>
      </c>
      <c r="B52" s="235" t="s">
        <v>908</v>
      </c>
      <c r="C52" s="164" t="s">
        <v>222</v>
      </c>
      <c r="D52" s="236" t="n">
        <v>46302</v>
      </c>
      <c r="E52" s="237" t="n">
        <f aca="false">IFERROR(INDEX(Journal!$A:$A,MATCH($A52,Journal!$B:$B,0)),"")</f>
        <v>46302</v>
      </c>
      <c r="F52" s="164" t="str">
        <f aca="true">IF(C52="Y","Done",IF(AND(E52&lt;&gt;"",TODAY()&gt;E52),"OVERDUE","Pending"))</f>
        <v>Done</v>
      </c>
    </row>
    <row r="53" customFormat="false" ht="15" hidden="false" customHeight="true" outlineLevel="0" collapsed="false">
      <c r="A53" s="164" t="s">
        <v>715</v>
      </c>
      <c r="B53" s="235" t="s">
        <v>892</v>
      </c>
      <c r="C53" s="164" t="s">
        <v>222</v>
      </c>
      <c r="D53" s="236" t="n">
        <v>46302</v>
      </c>
      <c r="E53" s="237" t="n">
        <f aca="false">IFERROR(INDEX(Journal!$A:$A,MATCH($A53,Journal!$B:$B,0)),"")</f>
        <v>46302</v>
      </c>
      <c r="F53" s="164" t="str">
        <f aca="true">IF(C53="Y","Done",IF(AND(E53&lt;&gt;"",TODAY()&gt;E53),"OVERDUE","Pending"))</f>
        <v>Done</v>
      </c>
    </row>
    <row r="54" customFormat="false" ht="15" hidden="false" customHeight="true" outlineLevel="0" collapsed="false">
      <c r="A54" s="164" t="s">
        <v>715</v>
      </c>
      <c r="B54" s="235" t="s">
        <v>894</v>
      </c>
      <c r="C54" s="164" t="s">
        <v>222</v>
      </c>
      <c r="D54" s="236" t="n">
        <v>46302</v>
      </c>
      <c r="E54" s="237" t="n">
        <f aca="false">IFERROR(INDEX(Journal!$A:$A,MATCH($A54,Journal!$B:$B,0)),"")</f>
        <v>46302</v>
      </c>
      <c r="F54" s="164" t="str">
        <f aca="true">IF(C54="Y","Done",IF(AND(E54&lt;&gt;"",TODAY()&gt;E54),"OVERDUE","Pending"))</f>
        <v>Done</v>
      </c>
    </row>
    <row r="55" customFormat="false" ht="15" hidden="false" customHeight="true" outlineLevel="0" collapsed="false">
      <c r="A55" s="164" t="s">
        <v>715</v>
      </c>
      <c r="B55" s="235" t="s">
        <v>895</v>
      </c>
      <c r="C55" s="164" t="s">
        <v>222</v>
      </c>
      <c r="D55" s="236" t="n">
        <v>46302</v>
      </c>
      <c r="E55" s="237" t="n">
        <f aca="false">IFERROR(INDEX(Journal!$A:$A,MATCH($A55,Journal!$B:$B,0)),"")</f>
        <v>46302</v>
      </c>
      <c r="F55" s="164" t="str">
        <f aca="true">IF(C55="Y","Done",IF(AND(E55&lt;&gt;"",TODAY()&gt;E55),"OVERDUE","Pending"))</f>
        <v>Done</v>
      </c>
    </row>
    <row r="56" customFormat="false" ht="15" hidden="false" customHeight="true" outlineLevel="0" collapsed="false">
      <c r="A56" s="164" t="s">
        <v>717</v>
      </c>
      <c r="B56" s="235" t="s">
        <v>903</v>
      </c>
      <c r="C56" s="164"/>
      <c r="D56" s="164"/>
      <c r="E56" s="237" t="n">
        <f aca="false">IFERROR(INDEX(Journal!$A:$A,MATCH($A56,Journal!$B:$B,0)),"")</f>
        <v>46317</v>
      </c>
      <c r="F56" s="164" t="str">
        <f aca="true">IF(C56="Y","Done",IF(AND(E56&lt;&gt;"",TODAY()&gt;E56),"OVERDUE","Pending"))</f>
        <v>Pending</v>
      </c>
    </row>
    <row r="57" customFormat="false" ht="15" hidden="false" customHeight="true" outlineLevel="0" collapsed="false">
      <c r="A57" s="164" t="s">
        <v>717</v>
      </c>
      <c r="B57" s="235" t="s">
        <v>904</v>
      </c>
      <c r="C57" s="164"/>
      <c r="D57" s="164"/>
      <c r="E57" s="237" t="n">
        <f aca="false">IFERROR(INDEX(Journal!$A:$A,MATCH($A57,Journal!$B:$B,0)),"")</f>
        <v>46317</v>
      </c>
      <c r="F57" s="164" t="str">
        <f aca="true">IF(C57="Y","Done",IF(AND(E57&lt;&gt;"",TODAY()&gt;E57),"OVERDUE","Pending"))</f>
        <v>Pending</v>
      </c>
    </row>
    <row r="58" customFormat="false" ht="45.75" hidden="false" customHeight="true" outlineLevel="0" collapsed="false">
      <c r="A58" s="164" t="s">
        <v>717</v>
      </c>
      <c r="B58" s="235" t="s">
        <v>905</v>
      </c>
      <c r="C58" s="164"/>
      <c r="D58" s="164"/>
      <c r="E58" s="237" t="n">
        <f aca="false">IFERROR(INDEX(Journal!$A:$A,MATCH($A58,Journal!$B:$B,0)),"")</f>
        <v>46317</v>
      </c>
      <c r="F58" s="164" t="str">
        <f aca="true">IF(C58="Y","Done",IF(AND(E58&lt;&gt;"",TODAY()&gt;E58),"OVERDUE","Pending"))</f>
        <v>Pending</v>
      </c>
    </row>
    <row r="59" customFormat="false" ht="15" hidden="false" customHeight="true" outlineLevel="0" collapsed="false">
      <c r="A59" s="164" t="s">
        <v>717</v>
      </c>
      <c r="B59" s="235" t="s">
        <v>906</v>
      </c>
      <c r="C59" s="164"/>
      <c r="D59" s="164"/>
      <c r="E59" s="237" t="n">
        <f aca="false">IFERROR(INDEX(Journal!$A:$A,MATCH($A59,Journal!$B:$B,0)),"")</f>
        <v>46317</v>
      </c>
      <c r="F59" s="164" t="str">
        <f aca="true">IF(C59="Y","Done",IF(AND(E59&lt;&gt;"",TODAY()&gt;E59),"OVERDUE","Pending"))</f>
        <v>Pending</v>
      </c>
    </row>
    <row r="60" customFormat="false" ht="42" hidden="false" customHeight="true" outlineLevel="0" collapsed="false">
      <c r="A60" s="164" t="s">
        <v>717</v>
      </c>
      <c r="B60" s="235" t="s">
        <v>907</v>
      </c>
      <c r="C60" s="164"/>
      <c r="D60" s="164"/>
      <c r="E60" s="237" t="n">
        <f aca="false">IFERROR(INDEX(Journal!$A:$A,MATCH($A60,Journal!$B:$B,0)),"")</f>
        <v>46317</v>
      </c>
      <c r="F60" s="164" t="str">
        <f aca="true">IF(C60="Y","Done",IF(AND(E60&lt;&gt;"",TODAY()&gt;E60),"OVERDUE","Pending"))</f>
        <v>Pending</v>
      </c>
    </row>
    <row r="61" customFormat="false" ht="42" hidden="false" customHeight="true" outlineLevel="0" collapsed="false">
      <c r="A61" s="164" t="s">
        <v>717</v>
      </c>
      <c r="B61" s="235" t="s">
        <v>911</v>
      </c>
      <c r="C61" s="164"/>
      <c r="D61" s="164"/>
      <c r="E61" s="237" t="n">
        <f aca="false">IFERROR(INDEX(Journal!$A:$A,MATCH($A61,Journal!$B:$B,0)),"")</f>
        <v>46317</v>
      </c>
      <c r="F61" s="164" t="str">
        <f aca="true">IF(C61="Y","Done",IF(AND(E61&lt;&gt;"",TODAY()&gt;E61),"OVERDUE","Pending"))</f>
        <v>Pending</v>
      </c>
    </row>
    <row r="62" customFormat="false" ht="42" hidden="false" customHeight="true" outlineLevel="0" collapsed="false">
      <c r="A62" s="164" t="s">
        <v>717</v>
      </c>
      <c r="B62" s="235" t="s">
        <v>910</v>
      </c>
      <c r="C62" s="164"/>
      <c r="D62" s="164"/>
      <c r="E62" s="237" t="n">
        <f aca="false">IFERROR(INDEX(Journal!$A:$A,MATCH($A62,Journal!$B:$B,0)),"")</f>
        <v>46317</v>
      </c>
      <c r="F62" s="164" t="str">
        <f aca="true">IF(C62="Y","Done",IF(AND(E62&lt;&gt;"",TODAY()&gt;E62),"OVERDUE","Pending"))</f>
        <v>Pending</v>
      </c>
    </row>
    <row r="63" customFormat="false" ht="15" hidden="false" customHeight="true" outlineLevel="0" collapsed="false">
      <c r="A63" s="164" t="s">
        <v>717</v>
      </c>
      <c r="B63" s="235" t="s">
        <v>908</v>
      </c>
      <c r="C63" s="164"/>
      <c r="D63" s="164"/>
      <c r="E63" s="237" t="n">
        <f aca="false">IFERROR(INDEX(Journal!$A:$A,MATCH($A63,Journal!$B:$B,0)),"")</f>
        <v>46317</v>
      </c>
      <c r="F63" s="164" t="str">
        <f aca="true">IF(C63="Y","Done",IF(AND(E63&lt;&gt;"",TODAY()&gt;E63),"OVERDUE","Pending"))</f>
        <v>Pending</v>
      </c>
    </row>
    <row r="64" customFormat="false" ht="15" hidden="false" customHeight="true" outlineLevel="0" collapsed="false">
      <c r="A64" s="164" t="s">
        <v>717</v>
      </c>
      <c r="B64" s="235" t="s">
        <v>892</v>
      </c>
      <c r="C64" s="164"/>
      <c r="D64" s="164"/>
      <c r="E64" s="237" t="n">
        <f aca="false">IFERROR(INDEX(Journal!$A:$A,MATCH($A64,Journal!$B:$B,0)),"")</f>
        <v>46317</v>
      </c>
      <c r="F64" s="164" t="str">
        <f aca="true">IF(C64="Y","Done",IF(AND(E64&lt;&gt;"",TODAY()&gt;E64),"OVERDUE","Pending"))</f>
        <v>Pending</v>
      </c>
    </row>
    <row r="65" customFormat="false" ht="15" hidden="false" customHeight="true" outlineLevel="0" collapsed="false">
      <c r="A65" s="164" t="s">
        <v>717</v>
      </c>
      <c r="B65" s="235" t="s">
        <v>894</v>
      </c>
      <c r="C65" s="164"/>
      <c r="D65" s="164"/>
      <c r="E65" s="237" t="n">
        <f aca="false">IFERROR(INDEX(Journal!$A:$A,MATCH($A65,Journal!$B:$B,0)),"")</f>
        <v>46317</v>
      </c>
      <c r="F65" s="164" t="str">
        <f aca="true">IF(C65="Y","Done",IF(AND(E65&lt;&gt;"",TODAY()&gt;E65),"OVERDUE","Pending"))</f>
        <v>Pending</v>
      </c>
    </row>
    <row r="66" customFormat="false" ht="15" hidden="false" customHeight="true" outlineLevel="0" collapsed="false">
      <c r="A66" s="164" t="s">
        <v>717</v>
      </c>
      <c r="B66" s="235" t="s">
        <v>895</v>
      </c>
      <c r="C66" s="164"/>
      <c r="D66" s="164"/>
      <c r="E66" s="237" t="n">
        <f aca="false">IFERROR(INDEX(Journal!$A:$A,MATCH($A66,Journal!$B:$B,0)),"")</f>
        <v>46317</v>
      </c>
      <c r="F66" s="164" t="str">
        <f aca="true">IF(C66="Y","Done",IF(AND(E66&lt;&gt;"",TODAY()&gt;E66),"OVERDUE","Pending"))</f>
        <v>Pending</v>
      </c>
    </row>
    <row r="67" customFormat="false" ht="15" hidden="false" customHeight="true" outlineLevel="0" collapsed="false">
      <c r="A67" s="164" t="s">
        <v>719</v>
      </c>
      <c r="B67" s="235" t="s">
        <v>903</v>
      </c>
      <c r="C67" s="164"/>
      <c r="D67" s="164"/>
      <c r="E67" s="237" t="n">
        <f aca="false">IFERROR(INDEX(Journal!$A:$A,MATCH($A67,Journal!$B:$B,0)),"")</f>
        <v>46335</v>
      </c>
      <c r="F67" s="164" t="str">
        <f aca="true">IF(C67="Y","Done",IF(AND(E67&lt;&gt;"",TODAY()&gt;E67),"OVERDUE","Pending"))</f>
        <v>Pending</v>
      </c>
    </row>
    <row r="68" customFormat="false" ht="15" hidden="false" customHeight="true" outlineLevel="0" collapsed="false">
      <c r="A68" s="164" t="s">
        <v>719</v>
      </c>
      <c r="B68" s="235" t="s">
        <v>904</v>
      </c>
      <c r="C68" s="164"/>
      <c r="D68" s="164"/>
      <c r="E68" s="237" t="n">
        <f aca="false">IFERROR(INDEX(Journal!$A:$A,MATCH($A68,Journal!$B:$B,0)),"")</f>
        <v>46335</v>
      </c>
      <c r="F68" s="164" t="str">
        <f aca="true">IF(C68="Y","Done",IF(AND(E68&lt;&gt;"",TODAY()&gt;E68),"OVERDUE","Pending"))</f>
        <v>Pending</v>
      </c>
    </row>
    <row r="69" customFormat="false" ht="45.75" hidden="false" customHeight="true" outlineLevel="0" collapsed="false">
      <c r="A69" s="164" t="s">
        <v>719</v>
      </c>
      <c r="B69" s="235" t="s">
        <v>905</v>
      </c>
      <c r="C69" s="164"/>
      <c r="D69" s="164"/>
      <c r="E69" s="237" t="n">
        <f aca="false">IFERROR(INDEX(Journal!$A:$A,MATCH($A69,Journal!$B:$B,0)),"")</f>
        <v>46335</v>
      </c>
      <c r="F69" s="164" t="str">
        <f aca="true">IF(C69="Y","Done",IF(AND(E69&lt;&gt;"",TODAY()&gt;E69),"OVERDUE","Pending"))</f>
        <v>Pending</v>
      </c>
    </row>
    <row r="70" customFormat="false" ht="15" hidden="false" customHeight="true" outlineLevel="0" collapsed="false">
      <c r="A70" s="164" t="s">
        <v>719</v>
      </c>
      <c r="B70" s="235" t="s">
        <v>906</v>
      </c>
      <c r="C70" s="164"/>
      <c r="D70" s="164"/>
      <c r="E70" s="237" t="n">
        <f aca="false">IFERROR(INDEX(Journal!$A:$A,MATCH($A70,Journal!$B:$B,0)),"")</f>
        <v>46335</v>
      </c>
      <c r="F70" s="164" t="str">
        <f aca="true">IF(C70="Y","Done",IF(AND(E70&lt;&gt;"",TODAY()&gt;E70),"OVERDUE","Pending"))</f>
        <v>Pending</v>
      </c>
    </row>
    <row r="71" customFormat="false" ht="42" hidden="false" customHeight="true" outlineLevel="0" collapsed="false">
      <c r="A71" s="164" t="s">
        <v>719</v>
      </c>
      <c r="B71" s="235" t="s">
        <v>907</v>
      </c>
      <c r="C71" s="164"/>
      <c r="D71" s="164"/>
      <c r="E71" s="237" t="n">
        <f aca="false">IFERROR(INDEX(Journal!$A:$A,MATCH($A71,Journal!$B:$B,0)),"")</f>
        <v>46335</v>
      </c>
      <c r="F71" s="164" t="str">
        <f aca="true">IF(C71="Y","Done",IF(AND(E71&lt;&gt;"",TODAY()&gt;E71),"OVERDUE","Pending"))</f>
        <v>Pending</v>
      </c>
    </row>
    <row r="72" customFormat="false" ht="42" hidden="false" customHeight="true" outlineLevel="0" collapsed="false">
      <c r="A72" s="164" t="s">
        <v>719</v>
      </c>
      <c r="B72" s="235" t="s">
        <v>911</v>
      </c>
      <c r="C72" s="164"/>
      <c r="D72" s="164"/>
      <c r="E72" s="237" t="n">
        <f aca="false">IFERROR(INDEX(Journal!$A:$A,MATCH($A72,Journal!$B:$B,0)),"")</f>
        <v>46335</v>
      </c>
      <c r="F72" s="164" t="str">
        <f aca="true">IF(C72="Y","Done",IF(AND(E72&lt;&gt;"",TODAY()&gt;E72),"OVERDUE","Pending"))</f>
        <v>Pending</v>
      </c>
    </row>
    <row r="73" customFormat="false" ht="42" hidden="false" customHeight="true" outlineLevel="0" collapsed="false">
      <c r="A73" s="164" t="s">
        <v>719</v>
      </c>
      <c r="B73" s="235" t="s">
        <v>910</v>
      </c>
      <c r="C73" s="164"/>
      <c r="D73" s="164"/>
      <c r="E73" s="237" t="n">
        <f aca="false">IFERROR(INDEX(Journal!$A:$A,MATCH($A73,Journal!$B:$B,0)),"")</f>
        <v>46335</v>
      </c>
      <c r="F73" s="164" t="str">
        <f aca="true">IF(C73="Y","Done",IF(AND(E73&lt;&gt;"",TODAY()&gt;E73),"OVERDUE","Pending"))</f>
        <v>Pending</v>
      </c>
    </row>
    <row r="74" customFormat="false" ht="15" hidden="false" customHeight="true" outlineLevel="0" collapsed="false">
      <c r="A74" s="164" t="s">
        <v>719</v>
      </c>
      <c r="B74" s="235" t="s">
        <v>908</v>
      </c>
      <c r="C74" s="164"/>
      <c r="D74" s="164"/>
      <c r="E74" s="237" t="n">
        <f aca="false">IFERROR(INDEX(Journal!$A:$A,MATCH($A74,Journal!$B:$B,0)),"")</f>
        <v>46335</v>
      </c>
      <c r="F74" s="164" t="str">
        <f aca="true">IF(C74="Y","Done",IF(AND(E74&lt;&gt;"",TODAY()&gt;E74),"OVERDUE","Pending"))</f>
        <v>Pending</v>
      </c>
    </row>
    <row r="75" customFormat="false" ht="15" hidden="false" customHeight="true" outlineLevel="0" collapsed="false">
      <c r="A75" s="164" t="s">
        <v>719</v>
      </c>
      <c r="B75" s="235" t="s">
        <v>892</v>
      </c>
      <c r="C75" s="164"/>
      <c r="D75" s="164"/>
      <c r="E75" s="237" t="n">
        <f aca="false">IFERROR(INDEX(Journal!$A:$A,MATCH($A75,Journal!$B:$B,0)),"")</f>
        <v>46335</v>
      </c>
      <c r="F75" s="164" t="str">
        <f aca="true">IF(C75="Y","Done",IF(AND(E75&lt;&gt;"",TODAY()&gt;E75),"OVERDUE","Pending"))</f>
        <v>Pending</v>
      </c>
    </row>
    <row r="76" customFormat="false" ht="15" hidden="false" customHeight="true" outlineLevel="0" collapsed="false">
      <c r="A76" s="164" t="s">
        <v>719</v>
      </c>
      <c r="B76" s="235" t="s">
        <v>894</v>
      </c>
      <c r="C76" s="164"/>
      <c r="D76" s="164"/>
      <c r="E76" s="237" t="n">
        <f aca="false">IFERROR(INDEX(Journal!$A:$A,MATCH($A76,Journal!$B:$B,0)),"")</f>
        <v>46335</v>
      </c>
      <c r="F76" s="164" t="str">
        <f aca="true">IF(C76="Y","Done",IF(AND(E76&lt;&gt;"",TODAY()&gt;E76),"OVERDUE","Pending"))</f>
        <v>Pending</v>
      </c>
    </row>
    <row r="77" customFormat="false" ht="15" hidden="false" customHeight="true" outlineLevel="0" collapsed="false">
      <c r="A77" s="164" t="s">
        <v>719</v>
      </c>
      <c r="B77" s="235" t="s">
        <v>895</v>
      </c>
      <c r="C77" s="164"/>
      <c r="D77" s="164"/>
      <c r="E77" s="237" t="n">
        <f aca="false">IFERROR(INDEX(Journal!$A:$A,MATCH($A77,Journal!$B:$B,0)),"")</f>
        <v>46335</v>
      </c>
      <c r="F77" s="164" t="str">
        <f aca="true">IF(C77="Y","Done",IF(AND(E77&lt;&gt;"",TODAY()&gt;E77),"OVERDUE","Pending"))</f>
        <v>Pending</v>
      </c>
    </row>
    <row r="78" customFormat="false" ht="15" hidden="false" customHeight="true" outlineLevel="0" collapsed="false">
      <c r="A78" s="164" t="s">
        <v>721</v>
      </c>
      <c r="B78" s="235" t="s">
        <v>903</v>
      </c>
      <c r="C78" s="164"/>
      <c r="D78" s="164"/>
      <c r="E78" s="237" t="n">
        <f aca="false">IFERROR(INDEX(Journal!$A:$A,MATCH($A78,Journal!$B:$B,0)),"")</f>
        <v>46349</v>
      </c>
      <c r="F78" s="164" t="str">
        <f aca="true">IF(C78="Y","Done",IF(AND(E78&lt;&gt;"",TODAY()&gt;E78),"OVERDUE","Pending"))</f>
        <v>Pending</v>
      </c>
    </row>
    <row r="79" customFormat="false" ht="15" hidden="false" customHeight="true" outlineLevel="0" collapsed="false">
      <c r="A79" s="164" t="s">
        <v>721</v>
      </c>
      <c r="B79" s="235" t="s">
        <v>904</v>
      </c>
      <c r="C79" s="164"/>
      <c r="D79" s="164"/>
      <c r="E79" s="237" t="n">
        <f aca="false">IFERROR(INDEX(Journal!$A:$A,MATCH($A79,Journal!$B:$B,0)),"")</f>
        <v>46349</v>
      </c>
      <c r="F79" s="164" t="str">
        <f aca="true">IF(C79="Y","Done",IF(AND(E79&lt;&gt;"",TODAY()&gt;E79),"OVERDUE","Pending"))</f>
        <v>Pending</v>
      </c>
    </row>
    <row r="80" customFormat="false" ht="45.75" hidden="false" customHeight="true" outlineLevel="0" collapsed="false">
      <c r="A80" s="164" t="s">
        <v>721</v>
      </c>
      <c r="B80" s="235" t="s">
        <v>905</v>
      </c>
      <c r="C80" s="164"/>
      <c r="D80" s="164"/>
      <c r="E80" s="237" t="n">
        <f aca="false">IFERROR(INDEX(Journal!$A:$A,MATCH($A80,Journal!$B:$B,0)),"")</f>
        <v>46349</v>
      </c>
      <c r="F80" s="164" t="str">
        <f aca="true">IF(C80="Y","Done",IF(AND(E80&lt;&gt;"",TODAY()&gt;E80),"OVERDUE","Pending"))</f>
        <v>Pending</v>
      </c>
    </row>
    <row r="81" customFormat="false" ht="15" hidden="false" customHeight="true" outlineLevel="0" collapsed="false">
      <c r="A81" s="164" t="s">
        <v>721</v>
      </c>
      <c r="B81" s="235" t="s">
        <v>906</v>
      </c>
      <c r="C81" s="164"/>
      <c r="D81" s="164"/>
      <c r="E81" s="237" t="n">
        <f aca="false">IFERROR(INDEX(Journal!$A:$A,MATCH($A81,Journal!$B:$B,0)),"")</f>
        <v>46349</v>
      </c>
      <c r="F81" s="164" t="str">
        <f aca="true">IF(C81="Y","Done",IF(AND(E81&lt;&gt;"",TODAY()&gt;E81),"OVERDUE","Pending"))</f>
        <v>Pending</v>
      </c>
    </row>
    <row r="82" customFormat="false" ht="42" hidden="false" customHeight="true" outlineLevel="0" collapsed="false">
      <c r="A82" s="164" t="s">
        <v>721</v>
      </c>
      <c r="B82" s="235" t="s">
        <v>907</v>
      </c>
      <c r="C82" s="164"/>
      <c r="D82" s="164"/>
      <c r="E82" s="237" t="n">
        <f aca="false">IFERROR(INDEX(Journal!$A:$A,MATCH($A82,Journal!$B:$B,0)),"")</f>
        <v>46349</v>
      </c>
      <c r="F82" s="164" t="str">
        <f aca="true">IF(C82="Y","Done",IF(AND(E82&lt;&gt;"",TODAY()&gt;E82),"OVERDUE","Pending"))</f>
        <v>Pending</v>
      </c>
    </row>
    <row r="83" customFormat="false" ht="42" hidden="false" customHeight="true" outlineLevel="0" collapsed="false">
      <c r="A83" s="164" t="s">
        <v>721</v>
      </c>
      <c r="B83" s="235" t="s">
        <v>911</v>
      </c>
      <c r="C83" s="164"/>
      <c r="D83" s="164"/>
      <c r="E83" s="237" t="n">
        <f aca="false">IFERROR(INDEX(Journal!$A:$A,MATCH($A83,Journal!$B:$B,0)),"")</f>
        <v>46349</v>
      </c>
      <c r="F83" s="164" t="str">
        <f aca="true">IF(C83="Y","Done",IF(AND(E83&lt;&gt;"",TODAY()&gt;E83),"OVERDUE","Pending"))</f>
        <v>Pending</v>
      </c>
    </row>
    <row r="84" customFormat="false" ht="42" hidden="false" customHeight="true" outlineLevel="0" collapsed="false">
      <c r="A84" s="164" t="s">
        <v>721</v>
      </c>
      <c r="B84" s="235" t="s">
        <v>910</v>
      </c>
      <c r="C84" s="164"/>
      <c r="D84" s="164"/>
      <c r="E84" s="237" t="n">
        <f aca="false">IFERROR(INDEX(Journal!$A:$A,MATCH($A84,Journal!$B:$B,0)),"")</f>
        <v>46349</v>
      </c>
      <c r="F84" s="164" t="str">
        <f aca="true">IF(C84="Y","Done",IF(AND(E84&lt;&gt;"",TODAY()&gt;E84),"OVERDUE","Pending"))</f>
        <v>Pending</v>
      </c>
    </row>
    <row r="85" customFormat="false" ht="15" hidden="false" customHeight="true" outlineLevel="0" collapsed="false">
      <c r="A85" s="164" t="s">
        <v>721</v>
      </c>
      <c r="B85" s="235" t="s">
        <v>908</v>
      </c>
      <c r="C85" s="164"/>
      <c r="D85" s="164"/>
      <c r="E85" s="237" t="n">
        <f aca="false">IFERROR(INDEX(Journal!$A:$A,MATCH($A85,Journal!$B:$B,0)),"")</f>
        <v>46349</v>
      </c>
      <c r="F85" s="164" t="str">
        <f aca="true">IF(C85="Y","Done",IF(AND(E85&lt;&gt;"",TODAY()&gt;E85),"OVERDUE","Pending"))</f>
        <v>Pending</v>
      </c>
    </row>
    <row r="86" customFormat="false" ht="15" hidden="false" customHeight="true" outlineLevel="0" collapsed="false">
      <c r="A86" s="164" t="s">
        <v>721</v>
      </c>
      <c r="B86" s="235" t="s">
        <v>892</v>
      </c>
      <c r="C86" s="164"/>
      <c r="D86" s="164"/>
      <c r="E86" s="237" t="n">
        <f aca="false">IFERROR(INDEX(Journal!$A:$A,MATCH($A86,Journal!$B:$B,0)),"")</f>
        <v>46349</v>
      </c>
      <c r="F86" s="164" t="str">
        <f aca="true">IF(C86="Y","Done",IF(AND(E86&lt;&gt;"",TODAY()&gt;E86),"OVERDUE","Pending"))</f>
        <v>Pending</v>
      </c>
    </row>
    <row r="87" customFormat="false" ht="15" hidden="false" customHeight="true" outlineLevel="0" collapsed="false">
      <c r="A87" s="164" t="s">
        <v>721</v>
      </c>
      <c r="B87" s="235" t="s">
        <v>894</v>
      </c>
      <c r="C87" s="164"/>
      <c r="D87" s="164"/>
      <c r="E87" s="237" t="n">
        <f aca="false">IFERROR(INDEX(Journal!$A:$A,MATCH($A87,Journal!$B:$B,0)),"")</f>
        <v>46349</v>
      </c>
      <c r="F87" s="164" t="str">
        <f aca="true">IF(C87="Y","Done",IF(AND(E87&lt;&gt;"",TODAY()&gt;E87),"OVERDUE","Pending"))</f>
        <v>Pending</v>
      </c>
    </row>
    <row r="88" customFormat="false" ht="15" hidden="false" customHeight="true" outlineLevel="0" collapsed="false">
      <c r="A88" s="164" t="s">
        <v>721</v>
      </c>
      <c r="B88" s="235" t="s">
        <v>895</v>
      </c>
      <c r="C88" s="164"/>
      <c r="D88" s="164"/>
      <c r="E88" s="237" t="n">
        <f aca="false">IFERROR(INDEX(Journal!$A:$A,MATCH($A88,Journal!$B:$B,0)),"")</f>
        <v>46349</v>
      </c>
      <c r="F88" s="164" t="str">
        <f aca="true">IF(C88="Y","Done",IF(AND(E88&lt;&gt;"",TODAY()&gt;E88),"OVERDUE","Pending"))</f>
        <v>Pending</v>
      </c>
    </row>
    <row r="89" customFormat="false" ht="15" hidden="false" customHeight="true" outlineLevel="0" collapsed="false">
      <c r="A89" s="164" t="s">
        <v>723</v>
      </c>
      <c r="B89" s="235" t="s">
        <v>903</v>
      </c>
      <c r="C89" s="164"/>
      <c r="D89" s="164"/>
      <c r="E89" s="237" t="n">
        <f aca="false">IFERROR(INDEX(Journal!$A:$A,MATCH($A89,Journal!$B:$B,0)),"")</f>
        <v>46363</v>
      </c>
      <c r="F89" s="164" t="str">
        <f aca="true">IF(C89="Y","Done",IF(AND(E89&lt;&gt;"",TODAY()&gt;E89),"OVERDUE","Pending"))</f>
        <v>Pending</v>
      </c>
    </row>
    <row r="90" customFormat="false" ht="15" hidden="false" customHeight="true" outlineLevel="0" collapsed="false">
      <c r="A90" s="164" t="s">
        <v>723</v>
      </c>
      <c r="B90" s="235" t="s">
        <v>904</v>
      </c>
      <c r="C90" s="164"/>
      <c r="D90" s="164"/>
      <c r="E90" s="237" t="n">
        <f aca="false">IFERROR(INDEX(Journal!$A:$A,MATCH($A90,Journal!$B:$B,0)),"")</f>
        <v>46363</v>
      </c>
      <c r="F90" s="164" t="str">
        <f aca="true">IF(C90="Y","Done",IF(AND(E90&lt;&gt;"",TODAY()&gt;E90),"OVERDUE","Pending"))</f>
        <v>Pending</v>
      </c>
    </row>
    <row r="91" customFormat="false" ht="45.75" hidden="false" customHeight="true" outlineLevel="0" collapsed="false">
      <c r="A91" s="164" t="s">
        <v>723</v>
      </c>
      <c r="B91" s="235" t="s">
        <v>905</v>
      </c>
      <c r="C91" s="164"/>
      <c r="D91" s="164"/>
      <c r="E91" s="237" t="n">
        <f aca="false">IFERROR(INDEX(Journal!$A:$A,MATCH($A91,Journal!$B:$B,0)),"")</f>
        <v>46363</v>
      </c>
      <c r="F91" s="164" t="str">
        <f aca="true">IF(C91="Y","Done",IF(AND(E91&lt;&gt;"",TODAY()&gt;E91),"OVERDUE","Pending"))</f>
        <v>Pending</v>
      </c>
    </row>
    <row r="92" customFormat="false" ht="15" hidden="false" customHeight="true" outlineLevel="0" collapsed="false">
      <c r="A92" s="164" t="s">
        <v>723</v>
      </c>
      <c r="B92" s="235" t="s">
        <v>906</v>
      </c>
      <c r="C92" s="164"/>
      <c r="D92" s="164"/>
      <c r="E92" s="237" t="n">
        <f aca="false">IFERROR(INDEX(Journal!$A:$A,MATCH($A92,Journal!$B:$B,0)),"")</f>
        <v>46363</v>
      </c>
      <c r="F92" s="164" t="str">
        <f aca="true">IF(C92="Y","Done",IF(AND(E92&lt;&gt;"",TODAY()&gt;E92),"OVERDUE","Pending"))</f>
        <v>Pending</v>
      </c>
    </row>
    <row r="93" customFormat="false" ht="42" hidden="false" customHeight="true" outlineLevel="0" collapsed="false">
      <c r="A93" s="164" t="s">
        <v>723</v>
      </c>
      <c r="B93" s="235" t="s">
        <v>907</v>
      </c>
      <c r="C93" s="164"/>
      <c r="D93" s="164"/>
      <c r="E93" s="237" t="n">
        <f aca="false">IFERROR(INDEX(Journal!$A:$A,MATCH($A93,Journal!$B:$B,0)),"")</f>
        <v>46363</v>
      </c>
      <c r="F93" s="164" t="str">
        <f aca="true">IF(C93="Y","Done",IF(AND(E93&lt;&gt;"",TODAY()&gt;E93),"OVERDUE","Pending"))</f>
        <v>Pending</v>
      </c>
    </row>
    <row r="94" customFormat="false" ht="42" hidden="false" customHeight="true" outlineLevel="0" collapsed="false">
      <c r="A94" s="164" t="s">
        <v>723</v>
      </c>
      <c r="B94" s="235" t="s">
        <v>911</v>
      </c>
      <c r="C94" s="164"/>
      <c r="D94" s="164"/>
      <c r="E94" s="237" t="n">
        <f aca="false">IFERROR(INDEX(Journal!$A:$A,MATCH($A94,Journal!$B:$B,0)),"")</f>
        <v>46363</v>
      </c>
      <c r="F94" s="164" t="str">
        <f aca="true">IF(C94="Y","Done",IF(AND(E94&lt;&gt;"",TODAY()&gt;E94),"OVERDUE","Pending"))</f>
        <v>Pending</v>
      </c>
    </row>
    <row r="95" customFormat="false" ht="42" hidden="false" customHeight="true" outlineLevel="0" collapsed="false">
      <c r="A95" s="164" t="s">
        <v>723</v>
      </c>
      <c r="B95" s="235" t="s">
        <v>910</v>
      </c>
      <c r="C95" s="164"/>
      <c r="D95" s="164"/>
      <c r="E95" s="237" t="n">
        <f aca="false">IFERROR(INDEX(Journal!$A:$A,MATCH($A95,Journal!$B:$B,0)),"")</f>
        <v>46363</v>
      </c>
      <c r="F95" s="164" t="str">
        <f aca="true">IF(C95="Y","Done",IF(AND(E95&lt;&gt;"",TODAY()&gt;E95),"OVERDUE","Pending"))</f>
        <v>Pending</v>
      </c>
    </row>
    <row r="96" customFormat="false" ht="15" hidden="false" customHeight="true" outlineLevel="0" collapsed="false">
      <c r="A96" s="164" t="s">
        <v>723</v>
      </c>
      <c r="B96" s="235" t="s">
        <v>908</v>
      </c>
      <c r="C96" s="164"/>
      <c r="D96" s="164"/>
      <c r="E96" s="237" t="n">
        <f aca="false">IFERROR(INDEX(Journal!$A:$A,MATCH($A96,Journal!$B:$B,0)),"")</f>
        <v>46363</v>
      </c>
      <c r="F96" s="164" t="str">
        <f aca="true">IF(C96="Y","Done",IF(AND(E96&lt;&gt;"",TODAY()&gt;E96),"OVERDUE","Pending"))</f>
        <v>Pending</v>
      </c>
    </row>
    <row r="97" customFormat="false" ht="15" hidden="false" customHeight="true" outlineLevel="0" collapsed="false">
      <c r="A97" s="164" t="s">
        <v>723</v>
      </c>
      <c r="B97" s="235" t="s">
        <v>892</v>
      </c>
      <c r="C97" s="164"/>
      <c r="D97" s="164"/>
      <c r="E97" s="237" t="n">
        <f aca="false">IFERROR(INDEX(Journal!$A:$A,MATCH($A97,Journal!$B:$B,0)),"")</f>
        <v>46363</v>
      </c>
      <c r="F97" s="164" t="str">
        <f aca="true">IF(C97="Y","Done",IF(AND(E97&lt;&gt;"",TODAY()&gt;E97),"OVERDUE","Pending"))</f>
        <v>Pending</v>
      </c>
    </row>
    <row r="98" customFormat="false" ht="15" hidden="false" customHeight="true" outlineLevel="0" collapsed="false">
      <c r="A98" s="164" t="s">
        <v>723</v>
      </c>
      <c r="B98" s="235" t="s">
        <v>894</v>
      </c>
      <c r="C98" s="164"/>
      <c r="D98" s="164"/>
      <c r="E98" s="237" t="n">
        <f aca="false">IFERROR(INDEX(Journal!$A:$A,MATCH($A98,Journal!$B:$B,0)),"")</f>
        <v>46363</v>
      </c>
      <c r="F98" s="164" t="str">
        <f aca="true">IF(C98="Y","Done",IF(AND(E98&lt;&gt;"",TODAY()&gt;E98),"OVERDUE","Pending"))</f>
        <v>Pending</v>
      </c>
    </row>
    <row r="99" customFormat="false" ht="15" hidden="false" customHeight="true" outlineLevel="0" collapsed="false">
      <c r="A99" s="164" t="s">
        <v>723</v>
      </c>
      <c r="B99" s="235" t="s">
        <v>895</v>
      </c>
      <c r="C99" s="164"/>
      <c r="D99" s="164"/>
      <c r="E99" s="237" t="n">
        <f aca="false">IFERROR(INDEX(Journal!$A:$A,MATCH($A99,Journal!$B:$B,0)),"")</f>
        <v>46363</v>
      </c>
      <c r="F99" s="164" t="str">
        <f aca="true">IF(C99="Y","Done",IF(AND(E99&lt;&gt;"",TODAY()&gt;E99),"OVERDUE","Pending"))</f>
        <v>Pending</v>
      </c>
    </row>
    <row r="100" customFormat="false" ht="15" hidden="false" customHeight="true" outlineLevel="0" collapsed="false">
      <c r="A100" s="164" t="s">
        <v>724</v>
      </c>
      <c r="B100" s="235" t="s">
        <v>903</v>
      </c>
      <c r="C100" s="164"/>
      <c r="D100" s="164"/>
      <c r="E100" s="237" t="n">
        <f aca="false">IFERROR(INDEX(Journal!$A:$A,MATCH($A100,Journal!$B:$B,0)),"")</f>
        <v>46378</v>
      </c>
      <c r="F100" s="164" t="str">
        <f aca="true">IF(C100="Y","Done",IF(AND(E100&lt;&gt;"",TODAY()&gt;E100),"OVERDUE","Pending"))</f>
        <v>Pending</v>
      </c>
    </row>
    <row r="101" customFormat="false" ht="15" hidden="false" customHeight="true" outlineLevel="0" collapsed="false">
      <c r="A101" s="164" t="s">
        <v>724</v>
      </c>
      <c r="B101" s="235" t="s">
        <v>904</v>
      </c>
      <c r="C101" s="164"/>
      <c r="D101" s="164"/>
      <c r="E101" s="237" t="n">
        <f aca="false">IFERROR(INDEX(Journal!$A:$A,MATCH($A101,Journal!$B:$B,0)),"")</f>
        <v>46378</v>
      </c>
      <c r="F101" s="164" t="str">
        <f aca="true">IF(C101="Y","Done",IF(AND(E101&lt;&gt;"",TODAY()&gt;E101),"OVERDUE","Pending"))</f>
        <v>Pending</v>
      </c>
    </row>
    <row r="102" customFormat="false" ht="45.75" hidden="false" customHeight="true" outlineLevel="0" collapsed="false">
      <c r="A102" s="164" t="s">
        <v>724</v>
      </c>
      <c r="B102" s="235" t="s">
        <v>905</v>
      </c>
      <c r="C102" s="164"/>
      <c r="D102" s="164"/>
      <c r="E102" s="237" t="n">
        <f aca="false">IFERROR(INDEX(Journal!$A:$A,MATCH($A102,Journal!$B:$B,0)),"")</f>
        <v>46378</v>
      </c>
      <c r="F102" s="164" t="str">
        <f aca="true">IF(C102="Y","Done",IF(AND(E102&lt;&gt;"",TODAY()&gt;E102),"OVERDUE","Pending"))</f>
        <v>Pending</v>
      </c>
    </row>
    <row r="103" customFormat="false" ht="15" hidden="false" customHeight="true" outlineLevel="0" collapsed="false">
      <c r="A103" s="164" t="s">
        <v>724</v>
      </c>
      <c r="B103" s="235" t="s">
        <v>906</v>
      </c>
      <c r="C103" s="164"/>
      <c r="D103" s="164"/>
      <c r="E103" s="237" t="n">
        <f aca="false">IFERROR(INDEX(Journal!$A:$A,MATCH($A103,Journal!$B:$B,0)),"")</f>
        <v>46378</v>
      </c>
      <c r="F103" s="164" t="str">
        <f aca="true">IF(C103="Y","Done",IF(AND(E103&lt;&gt;"",TODAY()&gt;E103),"OVERDUE","Pending"))</f>
        <v>Pending</v>
      </c>
    </row>
    <row r="104" customFormat="false" ht="42" hidden="false" customHeight="true" outlineLevel="0" collapsed="false">
      <c r="A104" s="164" t="s">
        <v>724</v>
      </c>
      <c r="B104" s="235" t="s">
        <v>907</v>
      </c>
      <c r="C104" s="164"/>
      <c r="D104" s="164"/>
      <c r="E104" s="237" t="n">
        <f aca="false">IFERROR(INDEX(Journal!$A:$A,MATCH($A104,Journal!$B:$B,0)),"")</f>
        <v>46378</v>
      </c>
      <c r="F104" s="164" t="str">
        <f aca="true">IF(C104="Y","Done",IF(AND(E104&lt;&gt;"",TODAY()&gt;E104),"OVERDUE","Pending"))</f>
        <v>Pending</v>
      </c>
    </row>
    <row r="105" customFormat="false" ht="42" hidden="false" customHeight="true" outlineLevel="0" collapsed="false">
      <c r="A105" s="164" t="s">
        <v>724</v>
      </c>
      <c r="B105" s="235" t="s">
        <v>911</v>
      </c>
      <c r="C105" s="164"/>
      <c r="D105" s="164"/>
      <c r="E105" s="237" t="n">
        <f aca="false">IFERROR(INDEX(Journal!$A:$A,MATCH($A105,Journal!$B:$B,0)),"")</f>
        <v>46378</v>
      </c>
      <c r="F105" s="164" t="str">
        <f aca="true">IF(C105="Y","Done",IF(AND(E105&lt;&gt;"",TODAY()&gt;E105),"OVERDUE","Pending"))</f>
        <v>Pending</v>
      </c>
    </row>
    <row r="106" customFormat="false" ht="42" hidden="false" customHeight="true" outlineLevel="0" collapsed="false">
      <c r="A106" s="164" t="s">
        <v>724</v>
      </c>
      <c r="B106" s="235" t="s">
        <v>910</v>
      </c>
      <c r="C106" s="164"/>
      <c r="D106" s="164"/>
      <c r="E106" s="237" t="n">
        <f aca="false">IFERROR(INDEX(Journal!$A:$A,MATCH($A106,Journal!$B:$B,0)),"")</f>
        <v>46378</v>
      </c>
      <c r="F106" s="164" t="str">
        <f aca="true">IF(C106="Y","Done",IF(AND(E106&lt;&gt;"",TODAY()&gt;E106),"OVERDUE","Pending"))</f>
        <v>Pending</v>
      </c>
    </row>
    <row r="107" customFormat="false" ht="15" hidden="false" customHeight="true" outlineLevel="0" collapsed="false">
      <c r="A107" s="164" t="s">
        <v>724</v>
      </c>
      <c r="B107" s="235" t="s">
        <v>908</v>
      </c>
      <c r="C107" s="164"/>
      <c r="D107" s="164"/>
      <c r="E107" s="237" t="n">
        <f aca="false">IFERROR(INDEX(Journal!$A:$A,MATCH($A107,Journal!$B:$B,0)),"")</f>
        <v>46378</v>
      </c>
      <c r="F107" s="164" t="str">
        <f aca="true">IF(C107="Y","Done",IF(AND(E107&lt;&gt;"",TODAY()&gt;E107),"OVERDUE","Pending"))</f>
        <v>Pending</v>
      </c>
    </row>
    <row r="108" customFormat="false" ht="15" hidden="false" customHeight="true" outlineLevel="0" collapsed="false">
      <c r="A108" s="164" t="s">
        <v>724</v>
      </c>
      <c r="B108" s="235" t="s">
        <v>892</v>
      </c>
      <c r="C108" s="164"/>
      <c r="D108" s="164"/>
      <c r="E108" s="237" t="n">
        <f aca="false">IFERROR(INDEX(Journal!$A:$A,MATCH($A108,Journal!$B:$B,0)),"")</f>
        <v>46378</v>
      </c>
      <c r="F108" s="164" t="str">
        <f aca="true">IF(C108="Y","Done",IF(AND(E108&lt;&gt;"",TODAY()&gt;E108),"OVERDUE","Pending"))</f>
        <v>Pending</v>
      </c>
    </row>
    <row r="109" customFormat="false" ht="15" hidden="false" customHeight="true" outlineLevel="0" collapsed="false">
      <c r="A109" s="164" t="s">
        <v>724</v>
      </c>
      <c r="B109" s="235" t="s">
        <v>894</v>
      </c>
      <c r="C109" s="164"/>
      <c r="D109" s="164"/>
      <c r="E109" s="237" t="n">
        <f aca="false">IFERROR(INDEX(Journal!$A:$A,MATCH($A109,Journal!$B:$B,0)),"")</f>
        <v>46378</v>
      </c>
      <c r="F109" s="164" t="str">
        <f aca="true">IF(C109="Y","Done",IF(AND(E109&lt;&gt;"",TODAY()&gt;E109),"OVERDUE","Pending"))</f>
        <v>Pending</v>
      </c>
    </row>
    <row r="110" customFormat="false" ht="15" hidden="false" customHeight="true" outlineLevel="0" collapsed="false">
      <c r="A110" s="164" t="s">
        <v>724</v>
      </c>
      <c r="B110" s="235" t="s">
        <v>895</v>
      </c>
      <c r="C110" s="164"/>
      <c r="D110" s="164"/>
      <c r="E110" s="237" t="n">
        <f aca="false">IFERROR(INDEX(Journal!$A:$A,MATCH($A110,Journal!$B:$B,0)),"")</f>
        <v>46378</v>
      </c>
      <c r="F110" s="164" t="str">
        <f aca="true">IF(C110="Y","Done",IF(AND(E110&lt;&gt;"",TODAY()&gt;E110),"OVERDUE","Pending"))</f>
        <v>Pending</v>
      </c>
    </row>
    <row r="111" customFormat="false" ht="15" hidden="false" customHeight="true" outlineLevel="0" collapsed="false">
      <c r="A111" s="164" t="s">
        <v>725</v>
      </c>
      <c r="B111" s="235" t="s">
        <v>903</v>
      </c>
      <c r="C111" s="164"/>
      <c r="D111" s="164"/>
      <c r="E111" s="237" t="n">
        <f aca="false">IFERROR(INDEX(Journal!$A:$A,MATCH($A111,Journal!$B:$B,0)),"")</f>
        <v>46394</v>
      </c>
      <c r="F111" s="164" t="str">
        <f aca="true">IF(C111="Y","Done",IF(AND(E111&lt;&gt;"",TODAY()&gt;E111),"OVERDUE","Pending"))</f>
        <v>Pending</v>
      </c>
    </row>
    <row r="112" customFormat="false" ht="15" hidden="false" customHeight="true" outlineLevel="0" collapsed="false">
      <c r="A112" s="164" t="s">
        <v>725</v>
      </c>
      <c r="B112" s="235" t="s">
        <v>904</v>
      </c>
      <c r="C112" s="164"/>
      <c r="D112" s="164"/>
      <c r="E112" s="237" t="n">
        <f aca="false">IFERROR(INDEX(Journal!$A:$A,MATCH($A112,Journal!$B:$B,0)),"")</f>
        <v>46394</v>
      </c>
      <c r="F112" s="164" t="str">
        <f aca="true">IF(C112="Y","Done",IF(AND(E112&lt;&gt;"",TODAY()&gt;E112),"OVERDUE","Pending"))</f>
        <v>Pending</v>
      </c>
    </row>
    <row r="113" customFormat="false" ht="45.75" hidden="false" customHeight="true" outlineLevel="0" collapsed="false">
      <c r="A113" s="164" t="s">
        <v>725</v>
      </c>
      <c r="B113" s="235" t="s">
        <v>905</v>
      </c>
      <c r="C113" s="164"/>
      <c r="D113" s="164"/>
      <c r="E113" s="237" t="n">
        <f aca="false">IFERROR(INDEX(Journal!$A:$A,MATCH($A113,Journal!$B:$B,0)),"")</f>
        <v>46394</v>
      </c>
      <c r="F113" s="164" t="str">
        <f aca="true">IF(C113="Y","Done",IF(AND(E113&lt;&gt;"",TODAY()&gt;E113),"OVERDUE","Pending"))</f>
        <v>Pending</v>
      </c>
    </row>
    <row r="114" customFormat="false" ht="15" hidden="false" customHeight="true" outlineLevel="0" collapsed="false">
      <c r="A114" s="164" t="s">
        <v>725</v>
      </c>
      <c r="B114" s="235" t="s">
        <v>906</v>
      </c>
      <c r="C114" s="164"/>
      <c r="D114" s="164"/>
      <c r="E114" s="237" t="n">
        <f aca="false">IFERROR(INDEX(Journal!$A:$A,MATCH($A114,Journal!$B:$B,0)),"")</f>
        <v>46394</v>
      </c>
      <c r="F114" s="164" t="str">
        <f aca="true">IF(C114="Y","Done",IF(AND(E114&lt;&gt;"",TODAY()&gt;E114),"OVERDUE","Pending"))</f>
        <v>Pending</v>
      </c>
    </row>
    <row r="115" customFormat="false" ht="42" hidden="false" customHeight="true" outlineLevel="0" collapsed="false">
      <c r="A115" s="164" t="s">
        <v>725</v>
      </c>
      <c r="B115" s="235" t="s">
        <v>907</v>
      </c>
      <c r="C115" s="164"/>
      <c r="D115" s="164"/>
      <c r="E115" s="237" t="n">
        <f aca="false">IFERROR(INDEX(Journal!$A:$A,MATCH($A115,Journal!$B:$B,0)),"")</f>
        <v>46394</v>
      </c>
      <c r="F115" s="164" t="str">
        <f aca="true">IF(C115="Y","Done",IF(AND(E115&lt;&gt;"",TODAY()&gt;E115),"OVERDUE","Pending"))</f>
        <v>Pending</v>
      </c>
    </row>
    <row r="116" customFormat="false" ht="42" hidden="false" customHeight="true" outlineLevel="0" collapsed="false">
      <c r="A116" s="164" t="s">
        <v>725</v>
      </c>
      <c r="B116" s="235" t="s">
        <v>911</v>
      </c>
      <c r="C116" s="164"/>
      <c r="D116" s="164"/>
      <c r="E116" s="237" t="n">
        <f aca="false">IFERROR(INDEX(Journal!$A:$A,MATCH($A116,Journal!$B:$B,0)),"")</f>
        <v>46394</v>
      </c>
      <c r="F116" s="164" t="str">
        <f aca="true">IF(C116="Y","Done",IF(AND(E116&lt;&gt;"",TODAY()&gt;E116),"OVERDUE","Pending"))</f>
        <v>Pending</v>
      </c>
    </row>
    <row r="117" customFormat="false" ht="42" hidden="false" customHeight="true" outlineLevel="0" collapsed="false">
      <c r="A117" s="164" t="s">
        <v>725</v>
      </c>
      <c r="B117" s="235" t="s">
        <v>910</v>
      </c>
      <c r="C117" s="164"/>
      <c r="D117" s="164"/>
      <c r="E117" s="237" t="n">
        <f aca="false">IFERROR(INDEX(Journal!$A:$A,MATCH($A117,Journal!$B:$B,0)),"")</f>
        <v>46394</v>
      </c>
      <c r="F117" s="164" t="str">
        <f aca="true">IF(C117="Y","Done",IF(AND(E117&lt;&gt;"",TODAY()&gt;E117),"OVERDUE","Pending"))</f>
        <v>Pending</v>
      </c>
    </row>
    <row r="118" customFormat="false" ht="15" hidden="false" customHeight="true" outlineLevel="0" collapsed="false">
      <c r="A118" s="164" t="s">
        <v>725</v>
      </c>
      <c r="B118" s="235" t="s">
        <v>908</v>
      </c>
      <c r="C118" s="164"/>
      <c r="D118" s="164"/>
      <c r="E118" s="237" t="n">
        <f aca="false">IFERROR(INDEX(Journal!$A:$A,MATCH($A118,Journal!$B:$B,0)),"")</f>
        <v>46394</v>
      </c>
      <c r="F118" s="164" t="str">
        <f aca="true">IF(C118="Y","Done",IF(AND(E118&lt;&gt;"",TODAY()&gt;E118),"OVERDUE","Pending"))</f>
        <v>Pending</v>
      </c>
    </row>
    <row r="119" customFormat="false" ht="15" hidden="false" customHeight="true" outlineLevel="0" collapsed="false">
      <c r="A119" s="164" t="s">
        <v>725</v>
      </c>
      <c r="B119" s="235" t="s">
        <v>892</v>
      </c>
      <c r="C119" s="164"/>
      <c r="D119" s="164"/>
      <c r="E119" s="237" t="n">
        <f aca="false">IFERROR(INDEX(Journal!$A:$A,MATCH($A119,Journal!$B:$B,0)),"")</f>
        <v>46394</v>
      </c>
      <c r="F119" s="164" t="str">
        <f aca="true">IF(C119="Y","Done",IF(AND(E119&lt;&gt;"",TODAY()&gt;E119),"OVERDUE","Pending"))</f>
        <v>Pending</v>
      </c>
    </row>
    <row r="120" customFormat="false" ht="15" hidden="false" customHeight="true" outlineLevel="0" collapsed="false">
      <c r="A120" s="164" t="s">
        <v>725</v>
      </c>
      <c r="B120" s="235" t="s">
        <v>894</v>
      </c>
      <c r="C120" s="164"/>
      <c r="D120" s="164"/>
      <c r="E120" s="237" t="n">
        <f aca="false">IFERROR(INDEX(Journal!$A:$A,MATCH($A120,Journal!$B:$B,0)),"")</f>
        <v>46394</v>
      </c>
      <c r="F120" s="164" t="str">
        <f aca="true">IF(C120="Y","Done",IF(AND(E120&lt;&gt;"",TODAY()&gt;E120),"OVERDUE","Pending"))</f>
        <v>Pending</v>
      </c>
    </row>
    <row r="121" customFormat="false" ht="15" hidden="false" customHeight="true" outlineLevel="0" collapsed="false">
      <c r="A121" s="164" t="s">
        <v>725</v>
      </c>
      <c r="B121" s="235" t="s">
        <v>895</v>
      </c>
      <c r="C121" s="164"/>
      <c r="D121" s="164"/>
      <c r="E121" s="237" t="n">
        <f aca="false">IFERROR(INDEX(Journal!$A:$A,MATCH($A121,Journal!$B:$B,0)),"")</f>
        <v>46394</v>
      </c>
      <c r="F121" s="164" t="str">
        <f aca="true">IF(C121="Y","Done",IF(AND(E121&lt;&gt;"",TODAY()&gt;E121),"OVERDUE","Pending"))</f>
        <v>Pending</v>
      </c>
    </row>
  </sheetData>
  <mergeCells count="1">
    <mergeCell ref="A1:F1"/>
  </mergeCells>
  <conditionalFormatting sqref="F5:F121">
    <cfRule type="cellIs" priority="2" operator="equal" aboveAverage="0" equalAverage="0" bottom="0" percent="0" rank="0" text="" dxfId="28">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8">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48" activePane="bottomRight" state="frozen"/>
      <selection pane="topLeft" activeCell="A1" activeCellId="0" sqref="A1"/>
      <selection pane="topRight" activeCell="B1" activeCellId="0" sqref="B1"/>
      <selection pane="bottomLeft" activeCell="A48" activeCellId="0" sqref="A48"/>
      <selection pane="bottomRight" activeCell="F41" activeCellId="0" sqref="F41"/>
    </sheetView>
  </sheetViews>
  <sheetFormatPr defaultColWidth="8.66796875" defaultRowHeight="13.5" customHeight="false" zeroHeight="false" outlineLevelRow="0" outlineLevelCol="0"/>
  <cols>
    <col collapsed="false" customWidth="true" hidden="false" outlineLevel="0" max="1" min="1" style="238"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8" width="16.83"/>
    <col collapsed="false" customWidth="true" hidden="false" outlineLevel="0" max="6" min="6" style="239" width="75.83"/>
    <col collapsed="false" customWidth="false" hidden="false" outlineLevel="0" max="16384" min="7" style="24" width="8.67"/>
  </cols>
  <sheetData>
    <row r="1" customFormat="false" ht="23.25" hidden="false" customHeight="true" outlineLevel="0" collapsed="false">
      <c r="A1" s="240" t="s">
        <v>912</v>
      </c>
      <c r="B1" s="240"/>
      <c r="C1" s="240"/>
      <c r="D1" s="240"/>
      <c r="E1" s="240"/>
      <c r="F1" s="240"/>
    </row>
    <row r="2" customFormat="false" ht="13.5" hidden="false" customHeight="true" outlineLevel="0" collapsed="false">
      <c r="A2" s="241" t="s">
        <v>913</v>
      </c>
      <c r="B2" s="242"/>
      <c r="C2" s="243" t="n">
        <f aca="false">SUMPRODUCT(($A$5:$A$200&lt;&gt;"")*($C$5:$C$200&lt;&gt;"Y"))</f>
        <v>35</v>
      </c>
      <c r="D2" s="242"/>
      <c r="F2" s="244"/>
    </row>
    <row r="3" customFormat="false" ht="13.5" hidden="false" customHeight="true" outlineLevel="0" collapsed="false">
      <c r="A3" s="242"/>
      <c r="B3" s="242"/>
      <c r="C3" s="242"/>
      <c r="D3" s="242"/>
      <c r="F3" s="244"/>
    </row>
    <row r="4" customFormat="false" ht="33.75" hidden="false" customHeight="true" outlineLevel="0" collapsed="false">
      <c r="A4" s="160" t="s">
        <v>914</v>
      </c>
      <c r="B4" s="160" t="s">
        <v>915</v>
      </c>
      <c r="C4" s="160" t="s">
        <v>884</v>
      </c>
      <c r="D4" s="160" t="s">
        <v>916</v>
      </c>
      <c r="E4" s="160" t="s">
        <v>917</v>
      </c>
      <c r="F4" s="160" t="s">
        <v>219</v>
      </c>
    </row>
    <row r="5" customFormat="false" ht="27.75" hidden="false" customHeight="true" outlineLevel="0" collapsed="false">
      <c r="A5" s="245" t="n">
        <v>1</v>
      </c>
      <c r="B5" s="246" t="s">
        <v>918</v>
      </c>
      <c r="C5" s="245" t="s">
        <v>222</v>
      </c>
      <c r="D5" s="247" t="n">
        <v>46276</v>
      </c>
      <c r="E5" s="247" t="n">
        <v>46276</v>
      </c>
      <c r="F5" s="246" t="s">
        <v>919</v>
      </c>
    </row>
    <row r="6" customFormat="false" ht="27.75" hidden="false" customHeight="true" outlineLevel="0" collapsed="false">
      <c r="A6" s="245" t="n">
        <v>2</v>
      </c>
      <c r="B6" s="246" t="s">
        <v>920</v>
      </c>
      <c r="C6" s="245" t="s">
        <v>222</v>
      </c>
      <c r="D6" s="247" t="n">
        <v>46276</v>
      </c>
      <c r="E6" s="247" t="n">
        <v>46276</v>
      </c>
      <c r="F6" s="246" t="s">
        <v>921</v>
      </c>
    </row>
    <row r="7" customFormat="false" ht="27.75" hidden="false" customHeight="true" outlineLevel="0" collapsed="false">
      <c r="A7" s="245" t="n">
        <v>3</v>
      </c>
      <c r="B7" s="246" t="s">
        <v>922</v>
      </c>
      <c r="C7" s="245" t="s">
        <v>222</v>
      </c>
      <c r="D7" s="247" t="n">
        <v>46260</v>
      </c>
      <c r="E7" s="247" t="n">
        <v>46278</v>
      </c>
      <c r="F7" s="246" t="s">
        <v>923</v>
      </c>
    </row>
    <row r="8" customFormat="false" ht="27.75" hidden="false" customHeight="true" outlineLevel="0" collapsed="false">
      <c r="A8" s="245" t="n">
        <v>4</v>
      </c>
      <c r="B8" s="246" t="s">
        <v>924</v>
      </c>
      <c r="C8" s="245"/>
      <c r="D8" s="247" t="n">
        <v>46273</v>
      </c>
      <c r="E8" s="247"/>
      <c r="F8" s="246"/>
    </row>
    <row r="9" customFormat="false" ht="27.75" hidden="false" customHeight="true" outlineLevel="0" collapsed="false">
      <c r="A9" s="245" t="n">
        <v>5</v>
      </c>
      <c r="B9" s="246" t="s">
        <v>925</v>
      </c>
      <c r="C9" s="245"/>
      <c r="D9" s="247" t="n">
        <v>46273</v>
      </c>
      <c r="E9" s="247"/>
      <c r="F9" s="246"/>
    </row>
    <row r="10" customFormat="false" ht="27.75" hidden="false" customHeight="true" outlineLevel="0" collapsed="false">
      <c r="A10" s="245" t="n">
        <v>6</v>
      </c>
      <c r="B10" s="246" t="s">
        <v>926</v>
      </c>
      <c r="C10" s="245"/>
      <c r="D10" s="247" t="n">
        <v>46273</v>
      </c>
      <c r="E10" s="247"/>
      <c r="F10" s="246"/>
    </row>
    <row r="11" customFormat="false" ht="282.75" hidden="false" customHeight="true" outlineLevel="0" collapsed="false">
      <c r="A11" s="245" t="n">
        <v>7</v>
      </c>
      <c r="B11" s="246" t="s">
        <v>927</v>
      </c>
      <c r="C11" s="245"/>
      <c r="D11" s="247" t="n">
        <v>46258</v>
      </c>
      <c r="E11" s="247"/>
      <c r="F11" s="246" t="s">
        <v>928</v>
      </c>
    </row>
    <row r="12" customFormat="false" ht="27.75" hidden="false" customHeight="true" outlineLevel="0" collapsed="false">
      <c r="A12" s="245" t="n">
        <v>8</v>
      </c>
      <c r="B12" s="246" t="s">
        <v>929</v>
      </c>
      <c r="C12" s="245"/>
      <c r="D12" s="247" t="n">
        <v>46252</v>
      </c>
      <c r="E12" s="247"/>
      <c r="F12" s="246"/>
    </row>
    <row r="13" customFormat="false" ht="42" hidden="false" customHeight="true" outlineLevel="0" collapsed="false">
      <c r="A13" s="245" t="n">
        <v>9</v>
      </c>
      <c r="B13" s="246" t="s">
        <v>930</v>
      </c>
      <c r="C13" s="245"/>
      <c r="D13" s="247" t="n">
        <v>46276</v>
      </c>
      <c r="E13" s="247"/>
      <c r="F13" s="246" t="s">
        <v>931</v>
      </c>
    </row>
    <row r="14" customFormat="false" ht="27.75" hidden="false" customHeight="true" outlineLevel="0" collapsed="false">
      <c r="A14" s="245" t="n">
        <v>10</v>
      </c>
      <c r="B14" s="246" t="s">
        <v>932</v>
      </c>
      <c r="C14" s="245"/>
      <c r="D14" s="247" t="n">
        <v>46260</v>
      </c>
      <c r="E14" s="247"/>
      <c r="F14" s="246"/>
    </row>
    <row r="15" customFormat="false" ht="70.5" hidden="false" customHeight="true" outlineLevel="0" collapsed="false">
      <c r="A15" s="245" t="n">
        <v>11</v>
      </c>
      <c r="B15" s="246" t="s">
        <v>933</v>
      </c>
      <c r="C15" s="245" t="s">
        <v>222</v>
      </c>
      <c r="D15" s="247" t="n">
        <v>46276</v>
      </c>
      <c r="E15" s="248" t="n">
        <v>46278</v>
      </c>
      <c r="F15" s="246" t="s">
        <v>934</v>
      </c>
    </row>
    <row r="16" customFormat="false" ht="45" hidden="false" customHeight="true" outlineLevel="0" collapsed="false">
      <c r="A16" s="245" t="n">
        <v>12</v>
      </c>
      <c r="B16" s="246" t="s">
        <v>935</v>
      </c>
      <c r="C16" s="249" t="s">
        <v>222</v>
      </c>
      <c r="D16" s="250" t="n">
        <v>46278</v>
      </c>
      <c r="E16" s="251" t="n">
        <v>46278</v>
      </c>
      <c r="F16" s="252" t="s">
        <v>936</v>
      </c>
    </row>
    <row r="17" customFormat="false" ht="55.5" hidden="false" customHeight="true" outlineLevel="0" collapsed="false">
      <c r="A17" s="245" t="n">
        <v>13</v>
      </c>
      <c r="B17" s="246" t="s">
        <v>937</v>
      </c>
      <c r="C17" s="249"/>
      <c r="D17" s="250" t="n">
        <v>46294</v>
      </c>
      <c r="E17" s="253"/>
      <c r="F17" s="252"/>
    </row>
    <row r="18" customFormat="false" ht="165" hidden="false" customHeight="true" outlineLevel="0" collapsed="false">
      <c r="A18" s="245" t="n">
        <v>14</v>
      </c>
      <c r="B18" s="246" t="s">
        <v>938</v>
      </c>
      <c r="C18" s="249"/>
      <c r="D18" s="250" t="n">
        <v>46295</v>
      </c>
      <c r="E18" s="253"/>
      <c r="F18" s="252" t="s">
        <v>939</v>
      </c>
    </row>
    <row r="19" customFormat="false" ht="42" hidden="false" customHeight="true" outlineLevel="0" collapsed="false">
      <c r="A19" s="245" t="n">
        <v>15</v>
      </c>
      <c r="B19" s="246" t="s">
        <v>940</v>
      </c>
      <c r="C19" s="249"/>
      <c r="D19" s="250" t="n">
        <v>46295</v>
      </c>
      <c r="E19" s="253"/>
      <c r="F19" s="252" t="s">
        <v>941</v>
      </c>
    </row>
    <row r="20" customFormat="false" ht="27.75" hidden="false" customHeight="true" outlineLevel="0" collapsed="false">
      <c r="A20" s="245" t="n">
        <v>16</v>
      </c>
      <c r="B20" s="246" t="s">
        <v>942</v>
      </c>
      <c r="C20" s="249"/>
      <c r="D20" s="250" t="n">
        <v>46295</v>
      </c>
      <c r="E20" s="253"/>
      <c r="F20" s="252" t="s">
        <v>943</v>
      </c>
    </row>
    <row r="21" customFormat="false" ht="55.5" hidden="false" customHeight="true" outlineLevel="0" collapsed="false">
      <c r="A21" s="245" t="n">
        <v>17</v>
      </c>
      <c r="B21" s="246" t="s">
        <v>944</v>
      </c>
      <c r="C21" s="249"/>
      <c r="D21" s="250" t="n">
        <v>46296</v>
      </c>
      <c r="E21" s="253"/>
      <c r="F21" s="252" t="s">
        <v>945</v>
      </c>
    </row>
    <row r="22" customFormat="false" ht="69.75" hidden="false" customHeight="true" outlineLevel="0" collapsed="false">
      <c r="A22" s="245" t="n">
        <v>18</v>
      </c>
      <c r="B22" s="246" t="s">
        <v>946</v>
      </c>
      <c r="C22" s="249"/>
      <c r="D22" s="250" t="n">
        <v>46296</v>
      </c>
      <c r="E22" s="253"/>
      <c r="F22" s="252" t="s">
        <v>947</v>
      </c>
    </row>
    <row r="23" customFormat="false" ht="130.5" hidden="false" customHeight="true" outlineLevel="0" collapsed="false">
      <c r="A23" s="245" t="n">
        <v>19</v>
      </c>
      <c r="B23" s="246" t="s">
        <v>948</v>
      </c>
      <c r="C23" s="249"/>
      <c r="D23" s="250" t="n">
        <v>46297</v>
      </c>
      <c r="E23" s="253"/>
      <c r="F23" s="252" t="s">
        <v>949</v>
      </c>
    </row>
    <row r="24" customFormat="false" ht="325.5" hidden="false" customHeight="true" outlineLevel="0" collapsed="false">
      <c r="A24" s="245" t="n">
        <v>20</v>
      </c>
      <c r="B24" s="246" t="s">
        <v>950</v>
      </c>
      <c r="C24" s="249"/>
      <c r="D24" s="250" t="n">
        <v>46297</v>
      </c>
      <c r="E24" s="253"/>
      <c r="F24" s="252" t="s">
        <v>951</v>
      </c>
    </row>
    <row r="25" customFormat="false" ht="60" hidden="false" customHeight="true" outlineLevel="0" collapsed="false">
      <c r="A25" s="245" t="n">
        <v>21</v>
      </c>
      <c r="B25" s="246" t="s">
        <v>952</v>
      </c>
      <c r="C25" s="249"/>
      <c r="D25" s="250" t="n">
        <v>46297</v>
      </c>
      <c r="E25" s="253"/>
      <c r="F25" s="252" t="s">
        <v>953</v>
      </c>
    </row>
    <row r="26" customFormat="false" ht="55.5" hidden="false" customHeight="true" outlineLevel="0" collapsed="false">
      <c r="A26" s="245" t="n">
        <v>22</v>
      </c>
      <c r="B26" s="246" t="s">
        <v>954</v>
      </c>
      <c r="C26" s="249"/>
      <c r="D26" s="250" t="n">
        <v>46297</v>
      </c>
      <c r="E26" s="253"/>
      <c r="F26" s="252" t="s">
        <v>955</v>
      </c>
    </row>
    <row r="27" customFormat="false" ht="42" hidden="false" customHeight="true" outlineLevel="0" collapsed="false">
      <c r="A27" s="245" t="n">
        <v>23</v>
      </c>
      <c r="B27" s="246" t="s">
        <v>956</v>
      </c>
      <c r="C27" s="249"/>
      <c r="D27" s="250" t="n">
        <v>46297</v>
      </c>
      <c r="E27" s="253"/>
      <c r="F27" s="252" t="s">
        <v>957</v>
      </c>
    </row>
    <row r="28" customFormat="false" ht="124.5" hidden="false" customHeight="true" outlineLevel="0" collapsed="false">
      <c r="A28" s="245" t="n">
        <v>24</v>
      </c>
      <c r="B28" s="246" t="s">
        <v>958</v>
      </c>
      <c r="C28" s="249" t="s">
        <v>222</v>
      </c>
      <c r="D28" s="250" t="n">
        <v>46297</v>
      </c>
      <c r="E28" s="251" t="n">
        <v>46301</v>
      </c>
      <c r="F28" s="252" t="s">
        <v>959</v>
      </c>
    </row>
    <row r="29" customFormat="false" ht="55.5" hidden="false" customHeight="true" outlineLevel="0" collapsed="false">
      <c r="A29" s="245" t="n">
        <v>25</v>
      </c>
      <c r="B29" s="246" t="s">
        <v>960</v>
      </c>
      <c r="C29" s="249"/>
      <c r="D29" s="250" t="n">
        <v>46299</v>
      </c>
      <c r="E29" s="253"/>
      <c r="F29" s="252" t="s">
        <v>961</v>
      </c>
    </row>
    <row r="30" customFormat="false" ht="30" hidden="false" customHeight="true" outlineLevel="0" collapsed="false">
      <c r="A30" s="245" t="n">
        <v>26</v>
      </c>
      <c r="B30" s="246" t="s">
        <v>962</v>
      </c>
      <c r="C30" s="249"/>
      <c r="D30" s="250" t="n">
        <v>46299</v>
      </c>
      <c r="E30" s="253"/>
      <c r="F30" s="252" t="s">
        <v>963</v>
      </c>
    </row>
    <row r="31" customFormat="false" ht="42" hidden="false" customHeight="true" outlineLevel="0" collapsed="false">
      <c r="A31" s="245" t="n">
        <v>27</v>
      </c>
      <c r="B31" s="246" t="s">
        <v>964</v>
      </c>
      <c r="C31" s="249"/>
      <c r="D31" s="250" t="n">
        <v>46299</v>
      </c>
      <c r="E31" s="253"/>
      <c r="F31" s="252" t="s">
        <v>965</v>
      </c>
    </row>
    <row r="32" customFormat="false" ht="69.75" hidden="false" customHeight="true" outlineLevel="0" collapsed="false">
      <c r="A32" s="245" t="n">
        <v>28</v>
      </c>
      <c r="B32" s="246" t="s">
        <v>966</v>
      </c>
      <c r="C32" s="249" t="s">
        <v>222</v>
      </c>
      <c r="D32" s="250" t="n">
        <v>46299</v>
      </c>
      <c r="E32" s="247" t="n">
        <v>46299</v>
      </c>
      <c r="F32" s="252" t="s">
        <v>967</v>
      </c>
    </row>
    <row r="33" customFormat="false" ht="181.5" hidden="false" customHeight="true" outlineLevel="0" collapsed="false">
      <c r="A33" s="245" t="n">
        <v>29</v>
      </c>
      <c r="B33" s="246" t="s">
        <v>968</v>
      </c>
      <c r="C33" s="249" t="s">
        <v>222</v>
      </c>
      <c r="D33" s="250" t="n">
        <v>46299</v>
      </c>
      <c r="E33" s="247" t="n">
        <v>46299</v>
      </c>
      <c r="F33" s="252" t="s">
        <v>969</v>
      </c>
    </row>
    <row r="34" customFormat="false" ht="75" hidden="false" customHeight="true" outlineLevel="0" collapsed="false">
      <c r="A34" s="245" t="n">
        <v>30</v>
      </c>
      <c r="B34" s="246" t="s">
        <v>970</v>
      </c>
      <c r="C34" s="249"/>
      <c r="D34" s="250" t="n">
        <v>46299</v>
      </c>
      <c r="E34" s="247"/>
      <c r="F34" s="252" t="s">
        <v>971</v>
      </c>
    </row>
    <row r="35" customFormat="false" ht="210" hidden="false" customHeight="true" outlineLevel="0" collapsed="false">
      <c r="A35" s="245" t="n">
        <v>31</v>
      </c>
      <c r="B35" s="246" t="s">
        <v>972</v>
      </c>
      <c r="C35" s="249" t="s">
        <v>222</v>
      </c>
      <c r="D35" s="250" t="n">
        <v>46300</v>
      </c>
      <c r="E35" s="247" t="n">
        <v>46300</v>
      </c>
      <c r="F35" s="252" t="s">
        <v>973</v>
      </c>
    </row>
    <row r="36" customFormat="false" ht="94.5" hidden="false" customHeight="true" outlineLevel="0" collapsed="false">
      <c r="A36" s="245" t="n">
        <v>32</v>
      </c>
      <c r="B36" s="246" t="s">
        <v>974</v>
      </c>
      <c r="C36" s="249"/>
      <c r="D36" s="250" t="n">
        <v>46300</v>
      </c>
      <c r="E36" s="247"/>
      <c r="F36" s="252" t="s">
        <v>975</v>
      </c>
    </row>
    <row r="37" customFormat="false" ht="120" hidden="false" customHeight="true" outlineLevel="0" collapsed="false">
      <c r="A37" s="245" t="n">
        <v>33</v>
      </c>
      <c r="B37" s="246" t="s">
        <v>976</v>
      </c>
      <c r="C37" s="249"/>
      <c r="D37" s="250" t="n">
        <v>46301</v>
      </c>
      <c r="E37" s="247"/>
      <c r="F37" s="252" t="s">
        <v>977</v>
      </c>
    </row>
    <row r="38" customFormat="false" ht="97.5" hidden="false" customHeight="true" outlineLevel="0" collapsed="false">
      <c r="A38" s="245" t="n">
        <v>34</v>
      </c>
      <c r="B38" s="246" t="s">
        <v>978</v>
      </c>
      <c r="C38" s="249"/>
      <c r="D38" s="250" t="n">
        <v>46301</v>
      </c>
      <c r="E38" s="247"/>
      <c r="F38" s="252" t="s">
        <v>979</v>
      </c>
    </row>
    <row r="39" customFormat="false" ht="84" hidden="false" customHeight="true" outlineLevel="0" collapsed="false">
      <c r="A39" s="245" t="n">
        <v>35</v>
      </c>
      <c r="B39" s="246" t="s">
        <v>980</v>
      </c>
      <c r="C39" s="249"/>
      <c r="D39" s="250" t="n">
        <v>46301</v>
      </c>
      <c r="E39" s="247"/>
      <c r="F39" s="252" t="s">
        <v>981</v>
      </c>
    </row>
    <row r="40" customFormat="false" ht="156" hidden="false" customHeight="true" outlineLevel="0" collapsed="false">
      <c r="A40" s="245" t="n">
        <v>36</v>
      </c>
      <c r="B40" s="246" t="s">
        <v>982</v>
      </c>
      <c r="C40" s="249"/>
      <c r="D40" s="250" t="n">
        <v>46302</v>
      </c>
      <c r="E40" s="247"/>
      <c r="F40" s="252" t="s">
        <v>983</v>
      </c>
    </row>
    <row r="41" customFormat="false" ht="408" hidden="false" customHeight="true" outlineLevel="0" collapsed="false">
      <c r="A41" s="245" t="n">
        <v>37</v>
      </c>
      <c r="B41" s="246" t="s">
        <v>984</v>
      </c>
      <c r="C41" s="249"/>
      <c r="D41" s="250" t="n">
        <v>46302</v>
      </c>
      <c r="E41" s="247"/>
      <c r="F41" s="252" t="s">
        <v>985</v>
      </c>
    </row>
    <row r="42" customFormat="false" ht="57" hidden="false" customHeight="true" outlineLevel="0" collapsed="false">
      <c r="A42" s="245" t="n">
        <v>38</v>
      </c>
      <c r="B42" s="246" t="s">
        <v>986</v>
      </c>
      <c r="C42" s="249"/>
      <c r="D42" s="250" t="n">
        <v>46302</v>
      </c>
      <c r="E42" s="247"/>
      <c r="F42" s="252" t="s">
        <v>987</v>
      </c>
    </row>
    <row r="43" customFormat="false" ht="124.5" hidden="false" customHeight="true" outlineLevel="0" collapsed="false">
      <c r="A43" s="245" t="n">
        <v>39</v>
      </c>
      <c r="B43" s="246" t="s">
        <v>988</v>
      </c>
      <c r="C43" s="249" t="s">
        <v>222</v>
      </c>
      <c r="D43" s="250" t="n">
        <v>46302</v>
      </c>
      <c r="E43" s="247" t="n">
        <v>46303</v>
      </c>
      <c r="F43" s="252" t="s">
        <v>989</v>
      </c>
    </row>
    <row r="44" customFormat="false" ht="211.5" hidden="false" customHeight="true" outlineLevel="0" collapsed="false">
      <c r="A44" s="245" t="n">
        <v>40</v>
      </c>
      <c r="B44" s="246" t="s">
        <v>990</v>
      </c>
      <c r="C44" s="249" t="s">
        <v>222</v>
      </c>
      <c r="D44" s="250" t="n">
        <v>46302</v>
      </c>
      <c r="E44" s="247" t="n">
        <v>46303</v>
      </c>
      <c r="F44" s="252" t="s">
        <v>991</v>
      </c>
    </row>
    <row r="45" customFormat="false" ht="210" hidden="false" customHeight="true" outlineLevel="0" collapsed="false">
      <c r="A45" s="245" t="n">
        <v>41</v>
      </c>
      <c r="B45" s="246" t="s">
        <v>992</v>
      </c>
      <c r="C45" s="249" t="s">
        <v>222</v>
      </c>
      <c r="D45" s="250" t="n">
        <v>46303</v>
      </c>
      <c r="E45" s="247" t="n">
        <v>46303</v>
      </c>
      <c r="F45" s="252" t="s">
        <v>993</v>
      </c>
    </row>
    <row r="46" customFormat="false" ht="178.5" hidden="false" customHeight="true" outlineLevel="0" collapsed="false">
      <c r="A46" s="245" t="n">
        <v>42</v>
      </c>
      <c r="B46" s="246" t="s">
        <v>994</v>
      </c>
      <c r="C46" s="249"/>
      <c r="D46" s="250" t="n">
        <v>46303</v>
      </c>
      <c r="E46" s="247"/>
      <c r="F46" s="252" t="s">
        <v>995</v>
      </c>
    </row>
    <row r="47" customFormat="false" ht="333.75" hidden="false" customHeight="true" outlineLevel="0" collapsed="false">
      <c r="A47" s="245" t="n">
        <v>43</v>
      </c>
      <c r="B47" s="246" t="s">
        <v>996</v>
      </c>
      <c r="C47" s="249"/>
      <c r="D47" s="250" t="n">
        <v>46303</v>
      </c>
      <c r="E47" s="247"/>
      <c r="F47" s="252" t="s">
        <v>997</v>
      </c>
    </row>
    <row r="48" customFormat="false" ht="136.5" hidden="false" customHeight="true" outlineLevel="0" collapsed="false">
      <c r="A48" s="245" t="n">
        <v>44</v>
      </c>
      <c r="B48" s="246" t="s">
        <v>998</v>
      </c>
      <c r="C48" s="249"/>
      <c r="D48" s="250" t="n">
        <v>46303</v>
      </c>
      <c r="E48" s="247"/>
      <c r="F48" s="252" t="s">
        <v>999</v>
      </c>
    </row>
    <row r="49" customFormat="false" ht="201.75" hidden="false" customHeight="true" outlineLevel="0" collapsed="false">
      <c r="A49" s="245" t="n">
        <v>45</v>
      </c>
      <c r="B49" s="246" t="s">
        <v>1000</v>
      </c>
      <c r="C49" s="249" t="s">
        <v>222</v>
      </c>
      <c r="D49" s="250" t="n">
        <v>46303</v>
      </c>
      <c r="E49" s="247" t="n">
        <v>46303</v>
      </c>
      <c r="F49" s="252" t="s">
        <v>1001</v>
      </c>
    </row>
    <row r="50" customFormat="false" ht="70.5" hidden="false" customHeight="true" outlineLevel="0" collapsed="false">
      <c r="A50" s="245" t="n">
        <v>46</v>
      </c>
      <c r="B50" s="246" t="s">
        <v>1002</v>
      </c>
      <c r="C50" s="249"/>
      <c r="D50" s="250" t="n">
        <v>46305</v>
      </c>
      <c r="E50" s="247"/>
      <c r="F50" s="252" t="s">
        <v>1003</v>
      </c>
    </row>
    <row r="51" customFormat="false" ht="165" hidden="false" customHeight="true" outlineLevel="0" collapsed="false">
      <c r="A51" s="245" t="n">
        <v>47</v>
      </c>
      <c r="B51" s="246" t="s">
        <v>1004</v>
      </c>
      <c r="C51" s="249"/>
      <c r="D51" s="250" t="n">
        <v>46305</v>
      </c>
      <c r="E51" s="247"/>
      <c r="F51" s="252" t="s">
        <v>1005</v>
      </c>
    </row>
    <row r="52" customFormat="false" ht="70.5" hidden="false" customHeight="true" outlineLevel="0" collapsed="false">
      <c r="A52" s="245" t="n">
        <v>48</v>
      </c>
      <c r="B52" s="246" t="s">
        <v>1006</v>
      </c>
      <c r="C52" s="249"/>
      <c r="D52" s="250" t="n">
        <v>46305</v>
      </c>
      <c r="E52" s="247"/>
      <c r="F52" s="252" t="s">
        <v>1007</v>
      </c>
    </row>
    <row r="53" customFormat="false" ht="13.5" hidden="false" customHeight="true" outlineLevel="0" collapsed="false">
      <c r="A53" s="253"/>
      <c r="B53" s="249"/>
      <c r="C53" s="249"/>
      <c r="D53" s="249"/>
      <c r="E53" s="253"/>
      <c r="F53" s="252"/>
    </row>
    <row r="54" customFormat="false" ht="13.5" hidden="false" customHeight="true" outlineLevel="0" collapsed="false">
      <c r="A54" s="253"/>
      <c r="B54" s="249"/>
      <c r="C54" s="249"/>
      <c r="D54" s="249"/>
      <c r="E54" s="253"/>
      <c r="F54" s="252"/>
    </row>
    <row r="55" customFormat="false" ht="13.5" hidden="false" customHeight="true" outlineLevel="0" collapsed="false">
      <c r="A55" s="253"/>
      <c r="B55" s="249"/>
      <c r="C55" s="249"/>
      <c r="D55" s="249"/>
      <c r="E55" s="253"/>
      <c r="F55" s="252"/>
    </row>
    <row r="56" customFormat="false" ht="13.5" hidden="false" customHeight="true" outlineLevel="0" collapsed="false">
      <c r="A56" s="253"/>
      <c r="B56" s="249"/>
      <c r="C56" s="249"/>
      <c r="D56" s="249"/>
      <c r="E56" s="253"/>
      <c r="F56" s="252"/>
    </row>
    <row r="57" customFormat="false" ht="13.5" hidden="false" customHeight="true" outlineLevel="0" collapsed="false">
      <c r="A57" s="253"/>
      <c r="B57" s="249"/>
      <c r="C57" s="249"/>
      <c r="D57" s="249"/>
      <c r="E57" s="253"/>
      <c r="F57" s="252"/>
    </row>
    <row r="58" customFormat="false" ht="13.5" hidden="false" customHeight="true" outlineLevel="0" collapsed="false">
      <c r="A58" s="253"/>
      <c r="B58" s="249"/>
      <c r="C58" s="249"/>
      <c r="D58" s="249"/>
      <c r="E58" s="253"/>
      <c r="F58" s="252"/>
    </row>
    <row r="59" customFormat="false" ht="13.5" hidden="false" customHeight="true" outlineLevel="0" collapsed="false">
      <c r="A59" s="253"/>
      <c r="B59" s="249"/>
      <c r="C59" s="249"/>
      <c r="D59" s="249"/>
      <c r="E59" s="253"/>
      <c r="F59" s="252"/>
    </row>
    <row r="60" customFormat="false" ht="13.5" hidden="false" customHeight="true" outlineLevel="0" collapsed="false">
      <c r="A60" s="253"/>
      <c r="B60" s="249"/>
      <c r="C60" s="249"/>
      <c r="D60" s="249"/>
      <c r="E60" s="253"/>
      <c r="F60" s="252"/>
    </row>
    <row r="61" customFormat="false" ht="13.5" hidden="false" customHeight="true" outlineLevel="0" collapsed="false">
      <c r="A61" s="253"/>
      <c r="B61" s="249"/>
      <c r="C61" s="249"/>
      <c r="D61" s="249"/>
      <c r="E61" s="253"/>
      <c r="F61" s="252"/>
    </row>
    <row r="62" customFormat="false" ht="13.5" hidden="false" customHeight="true" outlineLevel="0" collapsed="false">
      <c r="A62" s="253"/>
      <c r="B62" s="249"/>
      <c r="C62" s="249"/>
      <c r="D62" s="249"/>
      <c r="E62" s="253"/>
      <c r="F62" s="252"/>
    </row>
    <row r="63" customFormat="false" ht="13.5" hidden="false" customHeight="true" outlineLevel="0" collapsed="false">
      <c r="A63" s="253"/>
      <c r="B63" s="249"/>
      <c r="C63" s="249"/>
      <c r="D63" s="249"/>
      <c r="E63" s="253"/>
      <c r="F63" s="252"/>
    </row>
    <row r="64" customFormat="false" ht="13.5" hidden="false" customHeight="true" outlineLevel="0" collapsed="false">
      <c r="A64" s="253"/>
      <c r="B64" s="249"/>
      <c r="C64" s="249"/>
      <c r="D64" s="249"/>
      <c r="E64" s="253"/>
      <c r="F64" s="252"/>
    </row>
    <row r="65" customFormat="false" ht="13.5" hidden="false" customHeight="true" outlineLevel="0" collapsed="false">
      <c r="A65" s="253"/>
      <c r="B65" s="249"/>
      <c r="C65" s="249"/>
      <c r="D65" s="249"/>
      <c r="E65" s="253"/>
      <c r="F65" s="252"/>
    </row>
    <row r="66" customFormat="false" ht="13.5" hidden="false" customHeight="true" outlineLevel="0" collapsed="false">
      <c r="A66" s="253"/>
      <c r="B66" s="249"/>
      <c r="C66" s="249"/>
      <c r="D66" s="249"/>
      <c r="E66" s="253"/>
      <c r="F66" s="252"/>
    </row>
    <row r="67" customFormat="false" ht="13.5" hidden="false" customHeight="true" outlineLevel="0" collapsed="false">
      <c r="A67" s="253"/>
      <c r="B67" s="249"/>
      <c r="C67" s="249"/>
      <c r="D67" s="249"/>
      <c r="E67" s="253"/>
      <c r="F67" s="252"/>
    </row>
    <row r="68" customFormat="false" ht="13.5" hidden="false" customHeight="true" outlineLevel="0" collapsed="false">
      <c r="A68" s="253"/>
      <c r="B68" s="249"/>
      <c r="C68" s="249"/>
      <c r="D68" s="249"/>
      <c r="E68" s="253"/>
      <c r="F68" s="252"/>
    </row>
    <row r="69" customFormat="false" ht="13.5" hidden="false" customHeight="true" outlineLevel="0" collapsed="false">
      <c r="A69" s="253"/>
      <c r="B69" s="249"/>
      <c r="C69" s="249"/>
      <c r="D69" s="249"/>
      <c r="E69" s="253"/>
      <c r="F69" s="252"/>
    </row>
    <row r="70" customFormat="false" ht="13.5" hidden="false" customHeight="true" outlineLevel="0" collapsed="false">
      <c r="A70" s="253"/>
      <c r="B70" s="249"/>
      <c r="C70" s="249"/>
      <c r="D70" s="249"/>
      <c r="E70" s="253"/>
      <c r="F70" s="252"/>
    </row>
    <row r="71" customFormat="false" ht="13.5" hidden="false" customHeight="true" outlineLevel="0" collapsed="false">
      <c r="A71" s="253"/>
      <c r="B71" s="249"/>
      <c r="C71" s="249"/>
      <c r="D71" s="249"/>
      <c r="E71" s="253"/>
      <c r="F71" s="252"/>
    </row>
    <row r="72" customFormat="false" ht="13.5" hidden="false" customHeight="true" outlineLevel="0" collapsed="false">
      <c r="A72" s="253"/>
      <c r="B72" s="249"/>
      <c r="C72" s="249"/>
      <c r="D72" s="249"/>
      <c r="E72" s="253"/>
      <c r="F72" s="252"/>
    </row>
    <row r="73" customFormat="false" ht="13.5" hidden="false" customHeight="true" outlineLevel="0" collapsed="false">
      <c r="A73" s="253"/>
      <c r="B73" s="249"/>
      <c r="C73" s="249"/>
      <c r="D73" s="249"/>
      <c r="E73" s="253"/>
      <c r="F73" s="252"/>
    </row>
    <row r="74" customFormat="false" ht="13.5" hidden="false" customHeight="true" outlineLevel="0" collapsed="false">
      <c r="A74" s="253"/>
      <c r="B74" s="249"/>
      <c r="C74" s="249"/>
      <c r="D74" s="249"/>
      <c r="E74" s="253"/>
      <c r="F74" s="252"/>
    </row>
    <row r="75" customFormat="false" ht="13.5" hidden="false" customHeight="true" outlineLevel="0" collapsed="false">
      <c r="A75" s="253"/>
      <c r="B75" s="249"/>
      <c r="C75" s="249"/>
      <c r="D75" s="249"/>
      <c r="E75" s="253"/>
      <c r="F75" s="252"/>
    </row>
    <row r="76" customFormat="false" ht="13.5" hidden="false" customHeight="true" outlineLevel="0" collapsed="false">
      <c r="A76" s="253"/>
      <c r="B76" s="249"/>
      <c r="C76" s="249"/>
      <c r="D76" s="249"/>
      <c r="E76" s="253"/>
      <c r="F76" s="252"/>
    </row>
    <row r="77" customFormat="false" ht="13.5" hidden="false" customHeight="true" outlineLevel="0" collapsed="false">
      <c r="A77" s="253"/>
      <c r="B77" s="249"/>
      <c r="C77" s="249"/>
      <c r="D77" s="249"/>
      <c r="E77" s="253"/>
      <c r="F77" s="252"/>
    </row>
    <row r="78" customFormat="false" ht="13.5" hidden="false" customHeight="true" outlineLevel="0" collapsed="false">
      <c r="A78" s="253"/>
      <c r="B78" s="249"/>
      <c r="C78" s="249"/>
      <c r="D78" s="249"/>
      <c r="E78" s="253"/>
      <c r="F78" s="252"/>
    </row>
    <row r="79" customFormat="false" ht="13.5" hidden="false" customHeight="true" outlineLevel="0" collapsed="false">
      <c r="A79" s="253"/>
      <c r="B79" s="249"/>
      <c r="C79" s="249"/>
      <c r="D79" s="249"/>
      <c r="E79" s="253"/>
      <c r="F79" s="252"/>
    </row>
    <row r="80" customFormat="false" ht="13.5" hidden="false" customHeight="true" outlineLevel="0" collapsed="false">
      <c r="A80" s="253"/>
      <c r="B80" s="249"/>
      <c r="C80" s="249"/>
      <c r="D80" s="249"/>
      <c r="E80" s="253"/>
      <c r="F80" s="252"/>
    </row>
    <row r="81" customFormat="false" ht="13.5" hidden="false" customHeight="true" outlineLevel="0" collapsed="false">
      <c r="A81" s="253"/>
      <c r="B81" s="249"/>
      <c r="C81" s="249"/>
      <c r="D81" s="249"/>
      <c r="E81" s="253"/>
      <c r="F81" s="252"/>
    </row>
    <row r="82" customFormat="false" ht="13.5" hidden="false" customHeight="true" outlineLevel="0" collapsed="false">
      <c r="A82" s="253"/>
      <c r="B82" s="249"/>
      <c r="C82" s="249"/>
      <c r="D82" s="249"/>
      <c r="E82" s="253"/>
      <c r="F82" s="252"/>
    </row>
    <row r="83" customFormat="false" ht="13.5" hidden="false" customHeight="true" outlineLevel="0" collapsed="false">
      <c r="A83" s="253"/>
      <c r="B83" s="249"/>
      <c r="C83" s="249"/>
      <c r="D83" s="249"/>
      <c r="E83" s="253"/>
      <c r="F83" s="252"/>
    </row>
    <row r="84" customFormat="false" ht="13.5" hidden="false" customHeight="true" outlineLevel="0" collapsed="false">
      <c r="A84" s="253"/>
      <c r="B84" s="249"/>
      <c r="C84" s="249"/>
      <c r="D84" s="249"/>
      <c r="E84" s="253"/>
      <c r="F84" s="252"/>
    </row>
    <row r="85" customFormat="false" ht="13.5" hidden="false" customHeight="true" outlineLevel="0" collapsed="false">
      <c r="A85" s="253"/>
      <c r="B85" s="249"/>
      <c r="C85" s="249"/>
      <c r="D85" s="249"/>
      <c r="E85" s="253"/>
      <c r="F85" s="252"/>
    </row>
    <row r="86" customFormat="false" ht="13.5" hidden="false" customHeight="true" outlineLevel="0" collapsed="false">
      <c r="A86" s="253"/>
      <c r="B86" s="249"/>
      <c r="C86" s="249"/>
      <c r="D86" s="249"/>
      <c r="E86" s="253"/>
      <c r="F86" s="252"/>
    </row>
    <row r="87" customFormat="false" ht="13.5" hidden="false" customHeight="true" outlineLevel="0" collapsed="false">
      <c r="A87" s="253"/>
      <c r="B87" s="249"/>
      <c r="C87" s="249"/>
      <c r="D87" s="249"/>
      <c r="E87" s="253"/>
      <c r="F87" s="252"/>
    </row>
    <row r="88" customFormat="false" ht="13.5" hidden="false" customHeight="true" outlineLevel="0" collapsed="false">
      <c r="A88" s="253"/>
      <c r="B88" s="249"/>
      <c r="C88" s="249"/>
      <c r="D88" s="249"/>
      <c r="E88" s="253"/>
      <c r="F88" s="252"/>
    </row>
    <row r="89" customFormat="false" ht="13.5" hidden="false" customHeight="true" outlineLevel="0" collapsed="false">
      <c r="A89" s="253"/>
      <c r="B89" s="249"/>
      <c r="C89" s="249"/>
      <c r="D89" s="249"/>
      <c r="E89" s="253"/>
      <c r="F89" s="252"/>
    </row>
    <row r="90" customFormat="false" ht="13.5" hidden="false" customHeight="true" outlineLevel="0" collapsed="false">
      <c r="A90" s="253"/>
      <c r="B90" s="249"/>
      <c r="C90" s="249"/>
      <c r="D90" s="249"/>
      <c r="E90" s="253"/>
      <c r="F90" s="252"/>
    </row>
    <row r="91" customFormat="false" ht="13.5" hidden="false" customHeight="true" outlineLevel="0" collapsed="false">
      <c r="A91" s="253"/>
      <c r="B91" s="249"/>
      <c r="C91" s="249"/>
      <c r="D91" s="249"/>
      <c r="E91" s="253"/>
      <c r="F91" s="252"/>
    </row>
    <row r="92" customFormat="false" ht="13.5" hidden="false" customHeight="true" outlineLevel="0" collapsed="false">
      <c r="A92" s="253"/>
      <c r="B92" s="249"/>
      <c r="C92" s="249"/>
      <c r="D92" s="249"/>
      <c r="E92" s="253"/>
      <c r="F92" s="252"/>
    </row>
    <row r="93" customFormat="false" ht="13.5" hidden="false" customHeight="true" outlineLevel="0" collapsed="false">
      <c r="A93" s="253"/>
      <c r="B93" s="249"/>
      <c r="C93" s="249"/>
      <c r="D93" s="249"/>
      <c r="E93" s="253"/>
      <c r="F93" s="252"/>
    </row>
    <row r="94" customFormat="false" ht="13.5" hidden="false" customHeight="true" outlineLevel="0" collapsed="false">
      <c r="A94" s="253"/>
      <c r="B94" s="249"/>
      <c r="C94" s="249"/>
      <c r="D94" s="249"/>
      <c r="E94" s="253"/>
      <c r="F94" s="252"/>
    </row>
    <row r="95" customFormat="false" ht="13.5" hidden="false" customHeight="true" outlineLevel="0" collapsed="false">
      <c r="A95" s="253"/>
      <c r="B95" s="249"/>
      <c r="C95" s="249"/>
      <c r="D95" s="249"/>
      <c r="E95" s="253"/>
      <c r="F95" s="252"/>
    </row>
    <row r="96" customFormat="false" ht="13.5" hidden="false" customHeight="true" outlineLevel="0" collapsed="false">
      <c r="A96" s="253"/>
      <c r="B96" s="249"/>
      <c r="C96" s="249"/>
      <c r="D96" s="249"/>
      <c r="E96" s="253"/>
      <c r="F96" s="252"/>
    </row>
    <row r="97" customFormat="false" ht="13.5" hidden="false" customHeight="true" outlineLevel="0" collapsed="false">
      <c r="A97" s="253"/>
      <c r="B97" s="249"/>
      <c r="C97" s="249"/>
      <c r="D97" s="249"/>
      <c r="E97" s="253"/>
      <c r="F97" s="252"/>
    </row>
    <row r="98" customFormat="false" ht="13.5" hidden="false" customHeight="true" outlineLevel="0" collapsed="false">
      <c r="A98" s="253"/>
      <c r="B98" s="249"/>
      <c r="C98" s="249"/>
      <c r="D98" s="249"/>
      <c r="E98" s="253"/>
      <c r="F98" s="252"/>
    </row>
    <row r="99" customFormat="false" ht="13.5" hidden="false" customHeight="true" outlineLevel="0" collapsed="false">
      <c r="A99" s="253"/>
      <c r="B99" s="249"/>
      <c r="C99" s="249"/>
      <c r="D99" s="249"/>
      <c r="E99" s="253"/>
      <c r="F99" s="252"/>
    </row>
    <row r="100" customFormat="false" ht="13.5" hidden="false" customHeight="true" outlineLevel="0" collapsed="false">
      <c r="A100" s="253"/>
      <c r="B100" s="249"/>
      <c r="C100" s="249"/>
      <c r="D100" s="249"/>
      <c r="E100" s="253"/>
      <c r="F100" s="252"/>
    </row>
    <row r="101" customFormat="false" ht="13.5" hidden="false" customHeight="true" outlineLevel="0" collapsed="false">
      <c r="A101" s="253"/>
      <c r="B101" s="249"/>
      <c r="C101" s="249"/>
      <c r="D101" s="249"/>
      <c r="E101" s="253"/>
      <c r="F101" s="252"/>
    </row>
    <row r="102" customFormat="false" ht="13.5" hidden="false" customHeight="true" outlineLevel="0" collapsed="false">
      <c r="A102" s="253"/>
      <c r="B102" s="249"/>
      <c r="C102" s="249"/>
      <c r="D102" s="249"/>
      <c r="E102" s="253"/>
      <c r="F102" s="252"/>
    </row>
    <row r="103" customFormat="false" ht="13.5" hidden="false" customHeight="true" outlineLevel="0" collapsed="false">
      <c r="A103" s="253"/>
      <c r="B103" s="249"/>
      <c r="C103" s="249"/>
      <c r="D103" s="249"/>
      <c r="E103" s="253"/>
      <c r="F103" s="252"/>
    </row>
    <row r="104" customFormat="false" ht="13.5" hidden="false" customHeight="true" outlineLevel="0" collapsed="false">
      <c r="A104" s="253"/>
      <c r="B104" s="249"/>
      <c r="C104" s="249"/>
      <c r="D104" s="249"/>
      <c r="E104" s="253"/>
      <c r="F104" s="252"/>
    </row>
    <row r="105" customFormat="false" ht="13.5" hidden="false" customHeight="true" outlineLevel="0" collapsed="false">
      <c r="A105" s="253"/>
      <c r="B105" s="249"/>
      <c r="C105" s="249"/>
      <c r="D105" s="249"/>
      <c r="E105" s="253"/>
      <c r="F105" s="252"/>
    </row>
    <row r="106" customFormat="false" ht="13.5" hidden="false" customHeight="true" outlineLevel="0" collapsed="false">
      <c r="A106" s="253"/>
      <c r="B106" s="249"/>
      <c r="C106" s="249"/>
      <c r="D106" s="249"/>
      <c r="E106" s="253"/>
      <c r="F106" s="252"/>
    </row>
    <row r="107" customFormat="false" ht="13.5" hidden="false" customHeight="true" outlineLevel="0" collapsed="false">
      <c r="A107" s="253"/>
      <c r="B107" s="249"/>
      <c r="C107" s="249"/>
      <c r="D107" s="249"/>
      <c r="E107" s="253"/>
      <c r="F107" s="252"/>
    </row>
    <row r="108" customFormat="false" ht="13.5" hidden="false" customHeight="true" outlineLevel="0" collapsed="false">
      <c r="A108" s="253"/>
      <c r="B108" s="249"/>
      <c r="C108" s="249"/>
      <c r="D108" s="249"/>
      <c r="E108" s="253"/>
      <c r="F108" s="252"/>
    </row>
    <row r="109" customFormat="false" ht="13.5" hidden="false" customHeight="true" outlineLevel="0" collapsed="false">
      <c r="A109" s="253"/>
      <c r="B109" s="249"/>
      <c r="C109" s="249"/>
      <c r="D109" s="249"/>
      <c r="E109" s="253"/>
      <c r="F109" s="252"/>
    </row>
    <row r="110" customFormat="false" ht="13.5" hidden="false" customHeight="true" outlineLevel="0" collapsed="false">
      <c r="A110" s="253"/>
      <c r="B110" s="249"/>
      <c r="C110" s="249"/>
      <c r="D110" s="249"/>
      <c r="E110" s="253"/>
      <c r="F110" s="252"/>
    </row>
    <row r="111" customFormat="false" ht="13.5" hidden="false" customHeight="true" outlineLevel="0" collapsed="false">
      <c r="A111" s="253"/>
      <c r="B111" s="249"/>
      <c r="C111" s="249"/>
      <c r="D111" s="249"/>
      <c r="E111" s="253"/>
      <c r="F111" s="252"/>
    </row>
    <row r="112" customFormat="false" ht="13.5" hidden="false" customHeight="true" outlineLevel="0" collapsed="false">
      <c r="A112" s="253"/>
      <c r="B112" s="249"/>
      <c r="C112" s="249"/>
      <c r="D112" s="249"/>
      <c r="E112" s="253"/>
      <c r="F112" s="252"/>
    </row>
    <row r="113" customFormat="false" ht="13.5" hidden="false" customHeight="true" outlineLevel="0" collapsed="false">
      <c r="A113" s="253"/>
      <c r="B113" s="249"/>
      <c r="C113" s="249"/>
      <c r="D113" s="249"/>
      <c r="E113" s="253"/>
      <c r="F113" s="252"/>
    </row>
    <row r="114" customFormat="false" ht="13.5" hidden="false" customHeight="true" outlineLevel="0" collapsed="false">
      <c r="A114" s="253"/>
      <c r="B114" s="249"/>
      <c r="C114" s="249"/>
      <c r="D114" s="249"/>
      <c r="E114" s="253"/>
      <c r="F114" s="252"/>
    </row>
    <row r="115" customFormat="false" ht="13.5" hidden="false" customHeight="true" outlineLevel="0" collapsed="false">
      <c r="A115" s="253"/>
      <c r="B115" s="249"/>
      <c r="C115" s="249"/>
      <c r="D115" s="249"/>
      <c r="E115" s="253"/>
      <c r="F115" s="252"/>
    </row>
    <row r="116" customFormat="false" ht="13.5" hidden="false" customHeight="true" outlineLevel="0" collapsed="false">
      <c r="A116" s="253"/>
      <c r="B116" s="249"/>
      <c r="C116" s="249"/>
      <c r="D116" s="249"/>
      <c r="E116" s="253"/>
      <c r="F116" s="252"/>
    </row>
    <row r="117" customFormat="false" ht="13.5" hidden="false" customHeight="true" outlineLevel="0" collapsed="false">
      <c r="A117" s="253"/>
      <c r="B117" s="249"/>
      <c r="C117" s="249"/>
      <c r="D117" s="249"/>
      <c r="E117" s="253"/>
      <c r="F117" s="252"/>
    </row>
    <row r="118" customFormat="false" ht="13.5" hidden="false" customHeight="true" outlineLevel="0" collapsed="false">
      <c r="A118" s="253"/>
      <c r="B118" s="249"/>
      <c r="C118" s="249"/>
      <c r="D118" s="249"/>
      <c r="E118" s="253"/>
      <c r="F118" s="252"/>
    </row>
    <row r="119" customFormat="false" ht="13.5" hidden="false" customHeight="true" outlineLevel="0" collapsed="false">
      <c r="A119" s="253"/>
      <c r="B119" s="249"/>
      <c r="C119" s="249"/>
      <c r="D119" s="249"/>
      <c r="E119" s="253"/>
      <c r="F119" s="252"/>
    </row>
    <row r="120" customFormat="false" ht="13.5" hidden="false" customHeight="true" outlineLevel="0" collapsed="false">
      <c r="A120" s="253"/>
      <c r="B120" s="249"/>
      <c r="C120" s="249"/>
      <c r="D120" s="249"/>
      <c r="E120" s="253"/>
      <c r="F120" s="252"/>
    </row>
    <row r="121" customFormat="false" ht="13.5" hidden="false" customHeight="true" outlineLevel="0" collapsed="false">
      <c r="A121" s="253"/>
      <c r="B121" s="249"/>
      <c r="C121" s="249"/>
      <c r="D121" s="249"/>
      <c r="E121" s="253"/>
      <c r="F121" s="252"/>
    </row>
    <row r="122" customFormat="false" ht="13.5" hidden="false" customHeight="true" outlineLevel="0" collapsed="false">
      <c r="A122" s="253"/>
      <c r="B122" s="249"/>
      <c r="C122" s="249"/>
      <c r="D122" s="249"/>
      <c r="E122" s="253"/>
      <c r="F122" s="252"/>
    </row>
    <row r="123" customFormat="false" ht="13.5" hidden="false" customHeight="true" outlineLevel="0" collapsed="false">
      <c r="A123" s="253"/>
      <c r="B123" s="249"/>
      <c r="C123" s="249"/>
      <c r="D123" s="249"/>
      <c r="E123" s="253"/>
      <c r="F123" s="252"/>
    </row>
    <row r="124" customFormat="false" ht="13.5" hidden="false" customHeight="true" outlineLevel="0" collapsed="false">
      <c r="A124" s="253"/>
      <c r="B124" s="249"/>
      <c r="C124" s="249"/>
      <c r="D124" s="249"/>
      <c r="E124" s="253"/>
      <c r="F124" s="252"/>
    </row>
    <row r="125" customFormat="false" ht="13.5" hidden="false" customHeight="true" outlineLevel="0" collapsed="false">
      <c r="A125" s="253"/>
      <c r="B125" s="249"/>
      <c r="C125" s="249"/>
      <c r="D125" s="249"/>
      <c r="E125" s="253"/>
      <c r="F125" s="252"/>
    </row>
    <row r="126" customFormat="false" ht="13.5" hidden="false" customHeight="true" outlineLevel="0" collapsed="false">
      <c r="A126" s="253"/>
      <c r="B126" s="249"/>
      <c r="C126" s="249"/>
      <c r="D126" s="249"/>
      <c r="E126" s="253"/>
      <c r="F126" s="252"/>
    </row>
    <row r="127" customFormat="false" ht="13.5" hidden="false" customHeight="true" outlineLevel="0" collapsed="false">
      <c r="A127" s="253"/>
      <c r="B127" s="249"/>
      <c r="C127" s="249"/>
      <c r="D127" s="249"/>
      <c r="E127" s="253"/>
      <c r="F127" s="252"/>
    </row>
    <row r="128" customFormat="false" ht="13.5" hidden="false" customHeight="true" outlineLevel="0" collapsed="false">
      <c r="A128" s="253"/>
      <c r="B128" s="249"/>
      <c r="C128" s="249"/>
      <c r="D128" s="249"/>
      <c r="E128" s="253"/>
      <c r="F128" s="252"/>
    </row>
    <row r="129" customFormat="false" ht="13.5" hidden="false" customHeight="true" outlineLevel="0" collapsed="false">
      <c r="A129" s="253"/>
      <c r="B129" s="249"/>
      <c r="C129" s="249"/>
      <c r="D129" s="249"/>
      <c r="E129" s="253"/>
      <c r="F129" s="252"/>
    </row>
    <row r="130" customFormat="false" ht="13.5" hidden="false" customHeight="true" outlineLevel="0" collapsed="false">
      <c r="A130" s="253"/>
      <c r="B130" s="249"/>
      <c r="C130" s="249"/>
      <c r="D130" s="249"/>
      <c r="E130" s="253"/>
      <c r="F130" s="252"/>
    </row>
    <row r="131" customFormat="false" ht="13.5" hidden="false" customHeight="true" outlineLevel="0" collapsed="false">
      <c r="A131" s="253"/>
      <c r="B131" s="249"/>
      <c r="C131" s="249"/>
      <c r="D131" s="249"/>
      <c r="E131" s="253"/>
      <c r="F131" s="252"/>
    </row>
    <row r="132" customFormat="false" ht="13.5" hidden="false" customHeight="true" outlineLevel="0" collapsed="false">
      <c r="A132" s="253"/>
      <c r="B132" s="249"/>
      <c r="C132" s="249"/>
      <c r="D132" s="249"/>
      <c r="E132" s="253"/>
      <c r="F132" s="252"/>
    </row>
    <row r="133" customFormat="false" ht="13.5" hidden="false" customHeight="true" outlineLevel="0" collapsed="false">
      <c r="A133" s="253"/>
      <c r="B133" s="249"/>
      <c r="C133" s="249"/>
      <c r="D133" s="249"/>
      <c r="E133" s="253"/>
      <c r="F133" s="252"/>
    </row>
    <row r="134" customFormat="false" ht="13.5" hidden="false" customHeight="true" outlineLevel="0" collapsed="false">
      <c r="A134" s="253"/>
      <c r="B134" s="249"/>
      <c r="C134" s="249"/>
      <c r="D134" s="249"/>
      <c r="E134" s="253"/>
      <c r="F134" s="252"/>
    </row>
    <row r="135" customFormat="false" ht="13.5" hidden="false" customHeight="true" outlineLevel="0" collapsed="false">
      <c r="A135" s="253"/>
      <c r="B135" s="249"/>
      <c r="C135" s="249"/>
      <c r="D135" s="249"/>
      <c r="E135" s="253"/>
      <c r="F135" s="252"/>
    </row>
    <row r="136" customFormat="false" ht="13.5" hidden="false" customHeight="true" outlineLevel="0" collapsed="false">
      <c r="A136" s="253"/>
      <c r="B136" s="249"/>
      <c r="C136" s="249"/>
      <c r="D136" s="249"/>
      <c r="E136" s="253"/>
      <c r="F136" s="252"/>
    </row>
    <row r="137" customFormat="false" ht="13.5" hidden="false" customHeight="true" outlineLevel="0" collapsed="false">
      <c r="A137" s="253"/>
      <c r="B137" s="249"/>
      <c r="C137" s="249"/>
      <c r="D137" s="249"/>
      <c r="E137" s="253"/>
      <c r="F137" s="252"/>
    </row>
    <row r="138" customFormat="false" ht="13.5" hidden="false" customHeight="true" outlineLevel="0" collapsed="false">
      <c r="A138" s="253"/>
      <c r="B138" s="249"/>
      <c r="C138" s="249"/>
      <c r="D138" s="249"/>
      <c r="E138" s="253"/>
      <c r="F138" s="252"/>
    </row>
    <row r="139" customFormat="false" ht="13.5" hidden="false" customHeight="true" outlineLevel="0" collapsed="false">
      <c r="A139" s="253"/>
      <c r="B139" s="249"/>
      <c r="C139" s="249"/>
      <c r="D139" s="249"/>
      <c r="E139" s="253"/>
      <c r="F139" s="252"/>
    </row>
    <row r="140" customFormat="false" ht="13.5" hidden="false" customHeight="true" outlineLevel="0" collapsed="false">
      <c r="A140" s="253"/>
      <c r="B140" s="249"/>
      <c r="C140" s="249"/>
      <c r="D140" s="249"/>
      <c r="E140" s="253"/>
      <c r="F140" s="252"/>
    </row>
    <row r="141" customFormat="false" ht="13.5" hidden="false" customHeight="true" outlineLevel="0" collapsed="false">
      <c r="A141" s="253"/>
      <c r="B141" s="249"/>
      <c r="C141" s="249"/>
      <c r="D141" s="249"/>
      <c r="E141" s="253"/>
      <c r="F141" s="252"/>
    </row>
    <row r="142" customFormat="false" ht="13.5" hidden="false" customHeight="true" outlineLevel="0" collapsed="false">
      <c r="A142" s="253"/>
      <c r="B142" s="249"/>
      <c r="C142" s="249"/>
      <c r="D142" s="249"/>
      <c r="E142" s="253"/>
      <c r="F142" s="252"/>
    </row>
    <row r="143" customFormat="false" ht="13.5" hidden="false" customHeight="true" outlineLevel="0" collapsed="false">
      <c r="A143" s="253"/>
      <c r="B143" s="249"/>
      <c r="C143" s="249"/>
      <c r="D143" s="249"/>
      <c r="E143" s="253"/>
      <c r="F143" s="252"/>
    </row>
    <row r="144" customFormat="false" ht="13.5" hidden="false" customHeight="true" outlineLevel="0" collapsed="false">
      <c r="A144" s="253"/>
      <c r="B144" s="249"/>
      <c r="C144" s="249"/>
      <c r="D144" s="249"/>
      <c r="E144" s="253"/>
      <c r="F144" s="252"/>
    </row>
    <row r="145" customFormat="false" ht="13.5" hidden="false" customHeight="true" outlineLevel="0" collapsed="false">
      <c r="A145" s="253"/>
      <c r="B145" s="249"/>
      <c r="C145" s="249"/>
      <c r="D145" s="249"/>
      <c r="E145" s="253"/>
      <c r="F145" s="252"/>
    </row>
    <row r="146" customFormat="false" ht="13.5" hidden="false" customHeight="true" outlineLevel="0" collapsed="false">
      <c r="A146" s="253"/>
      <c r="B146" s="249"/>
      <c r="C146" s="249"/>
      <c r="D146" s="249"/>
      <c r="E146" s="253"/>
      <c r="F146" s="252"/>
    </row>
    <row r="147" customFormat="false" ht="13.5" hidden="false" customHeight="true" outlineLevel="0" collapsed="false">
      <c r="A147" s="253"/>
      <c r="B147" s="249"/>
      <c r="C147" s="249"/>
      <c r="D147" s="249"/>
      <c r="E147" s="253"/>
      <c r="F147" s="252"/>
    </row>
    <row r="148" customFormat="false" ht="13.5" hidden="false" customHeight="true" outlineLevel="0" collapsed="false">
      <c r="A148" s="253"/>
      <c r="B148" s="249"/>
      <c r="C148" s="249"/>
      <c r="D148" s="249"/>
      <c r="E148" s="253"/>
      <c r="F148" s="252"/>
    </row>
    <row r="149" customFormat="false" ht="13.5" hidden="false" customHeight="true" outlineLevel="0" collapsed="false">
      <c r="A149" s="253"/>
      <c r="B149" s="249"/>
      <c r="C149" s="249"/>
      <c r="D149" s="249"/>
      <c r="E149" s="253"/>
      <c r="F149" s="252"/>
    </row>
    <row r="150" customFormat="false" ht="13.5" hidden="false" customHeight="true" outlineLevel="0" collapsed="false">
      <c r="A150" s="253"/>
      <c r="B150" s="249"/>
      <c r="C150" s="249"/>
      <c r="D150" s="249"/>
      <c r="E150" s="253"/>
      <c r="F150" s="252"/>
    </row>
    <row r="151" customFormat="false" ht="13.5" hidden="false" customHeight="true" outlineLevel="0" collapsed="false">
      <c r="A151" s="253"/>
      <c r="B151" s="249"/>
      <c r="C151" s="249"/>
      <c r="D151" s="249"/>
      <c r="E151" s="253"/>
      <c r="F151" s="252"/>
    </row>
    <row r="152" customFormat="false" ht="13.5" hidden="false" customHeight="true" outlineLevel="0" collapsed="false">
      <c r="A152" s="253"/>
      <c r="B152" s="249"/>
      <c r="C152" s="249"/>
      <c r="D152" s="249"/>
      <c r="E152" s="253"/>
      <c r="F152" s="252"/>
    </row>
    <row r="153" customFormat="false" ht="13.5" hidden="false" customHeight="true" outlineLevel="0" collapsed="false">
      <c r="A153" s="253"/>
      <c r="B153" s="249"/>
      <c r="C153" s="249"/>
      <c r="D153" s="249"/>
      <c r="E153" s="253"/>
      <c r="F153" s="252"/>
    </row>
    <row r="154" customFormat="false" ht="13.5" hidden="false" customHeight="true" outlineLevel="0" collapsed="false">
      <c r="A154" s="253"/>
      <c r="B154" s="249"/>
      <c r="C154" s="249"/>
      <c r="D154" s="249"/>
      <c r="E154" s="253"/>
      <c r="F154" s="252"/>
    </row>
    <row r="155" customFormat="false" ht="13.5" hidden="false" customHeight="true" outlineLevel="0" collapsed="false">
      <c r="A155" s="253"/>
      <c r="B155" s="249"/>
      <c r="C155" s="249"/>
      <c r="D155" s="249"/>
      <c r="E155" s="253"/>
      <c r="F155" s="252"/>
    </row>
    <row r="156" customFormat="false" ht="13.5" hidden="false" customHeight="true" outlineLevel="0" collapsed="false">
      <c r="A156" s="253"/>
      <c r="B156" s="249"/>
      <c r="C156" s="249"/>
      <c r="D156" s="249"/>
      <c r="E156" s="253"/>
      <c r="F156" s="252"/>
    </row>
    <row r="157" customFormat="false" ht="13.5" hidden="false" customHeight="true" outlineLevel="0" collapsed="false">
      <c r="A157" s="253"/>
      <c r="B157" s="249"/>
      <c r="C157" s="249"/>
      <c r="D157" s="249"/>
      <c r="E157" s="253"/>
      <c r="F157" s="252"/>
    </row>
    <row r="158" customFormat="false" ht="13.5" hidden="false" customHeight="true" outlineLevel="0" collapsed="false">
      <c r="A158" s="253"/>
      <c r="B158" s="249"/>
      <c r="C158" s="249"/>
      <c r="D158" s="249"/>
      <c r="E158" s="253"/>
      <c r="F158" s="252"/>
    </row>
    <row r="159" customFormat="false" ht="13.5" hidden="false" customHeight="true" outlineLevel="0" collapsed="false">
      <c r="A159" s="253"/>
      <c r="B159" s="249"/>
      <c r="C159" s="249"/>
      <c r="D159" s="249"/>
      <c r="E159" s="253"/>
      <c r="F159" s="252"/>
    </row>
    <row r="160" customFormat="false" ht="13.5" hidden="false" customHeight="true" outlineLevel="0" collapsed="false">
      <c r="A160" s="253"/>
      <c r="B160" s="249"/>
      <c r="C160" s="249"/>
      <c r="D160" s="249"/>
      <c r="E160" s="253"/>
      <c r="F160" s="252"/>
    </row>
    <row r="161" customFormat="false" ht="13.5" hidden="false" customHeight="true" outlineLevel="0" collapsed="false">
      <c r="A161" s="253"/>
      <c r="B161" s="249"/>
      <c r="C161" s="249"/>
      <c r="D161" s="249"/>
      <c r="E161" s="253"/>
      <c r="F161" s="252"/>
    </row>
    <row r="162" customFormat="false" ht="13.5" hidden="false" customHeight="true" outlineLevel="0" collapsed="false">
      <c r="A162" s="253"/>
      <c r="B162" s="249"/>
      <c r="C162" s="249"/>
      <c r="D162" s="249"/>
      <c r="E162" s="253"/>
      <c r="F162" s="252"/>
    </row>
    <row r="163" customFormat="false" ht="13.5" hidden="false" customHeight="true" outlineLevel="0" collapsed="false">
      <c r="A163" s="253"/>
      <c r="B163" s="249"/>
      <c r="C163" s="249"/>
      <c r="D163" s="249"/>
      <c r="E163" s="253"/>
      <c r="F163" s="252"/>
    </row>
    <row r="164" customFormat="false" ht="13.5" hidden="false" customHeight="true" outlineLevel="0" collapsed="false">
      <c r="A164" s="253"/>
      <c r="B164" s="249"/>
      <c r="C164" s="249"/>
      <c r="D164" s="249"/>
      <c r="E164" s="253"/>
      <c r="F164" s="252"/>
    </row>
    <row r="165" customFormat="false" ht="13.5" hidden="false" customHeight="true" outlineLevel="0" collapsed="false">
      <c r="A165" s="253"/>
      <c r="B165" s="249"/>
      <c r="C165" s="249"/>
      <c r="D165" s="249"/>
      <c r="E165" s="253"/>
      <c r="F165" s="252"/>
    </row>
    <row r="166" customFormat="false" ht="13.5" hidden="false" customHeight="true" outlineLevel="0" collapsed="false">
      <c r="A166" s="253"/>
      <c r="B166" s="249"/>
      <c r="C166" s="249"/>
      <c r="D166" s="249"/>
      <c r="E166" s="253"/>
      <c r="F166" s="252"/>
    </row>
    <row r="167" customFormat="false" ht="13.5" hidden="false" customHeight="true" outlineLevel="0" collapsed="false">
      <c r="A167" s="253"/>
      <c r="B167" s="249"/>
      <c r="C167" s="249"/>
      <c r="D167" s="249"/>
      <c r="E167" s="253"/>
      <c r="F167" s="252"/>
    </row>
    <row r="168" customFormat="false" ht="13.5" hidden="false" customHeight="true" outlineLevel="0" collapsed="false">
      <c r="A168" s="253"/>
      <c r="B168" s="249"/>
      <c r="C168" s="249"/>
      <c r="D168" s="249"/>
      <c r="E168" s="253"/>
      <c r="F168" s="252"/>
    </row>
    <row r="169" customFormat="false" ht="13.5" hidden="false" customHeight="true" outlineLevel="0" collapsed="false">
      <c r="A169" s="253"/>
      <c r="B169" s="249"/>
      <c r="C169" s="249"/>
      <c r="D169" s="249"/>
      <c r="E169" s="253"/>
      <c r="F169" s="252"/>
    </row>
    <row r="170" customFormat="false" ht="13.5" hidden="false" customHeight="true" outlineLevel="0" collapsed="false">
      <c r="A170" s="253"/>
      <c r="B170" s="249"/>
      <c r="C170" s="249"/>
      <c r="D170" s="249"/>
      <c r="E170" s="253"/>
      <c r="F170" s="252"/>
    </row>
    <row r="171" customFormat="false" ht="13.5" hidden="false" customHeight="true" outlineLevel="0" collapsed="false">
      <c r="A171" s="253"/>
      <c r="B171" s="249"/>
      <c r="C171" s="249"/>
      <c r="D171" s="249"/>
      <c r="E171" s="253"/>
      <c r="F171" s="252"/>
    </row>
    <row r="172" customFormat="false" ht="13.5" hidden="false" customHeight="true" outlineLevel="0" collapsed="false">
      <c r="A172" s="253"/>
      <c r="B172" s="249"/>
      <c r="C172" s="249"/>
      <c r="D172" s="249"/>
      <c r="E172" s="253"/>
      <c r="F172" s="252"/>
    </row>
    <row r="173" customFormat="false" ht="13.5" hidden="false" customHeight="true" outlineLevel="0" collapsed="false">
      <c r="A173" s="253"/>
      <c r="B173" s="249"/>
      <c r="C173" s="249"/>
      <c r="D173" s="249"/>
      <c r="E173" s="253"/>
      <c r="F173" s="252"/>
    </row>
    <row r="174" customFormat="false" ht="13.5" hidden="false" customHeight="true" outlineLevel="0" collapsed="false">
      <c r="A174" s="253"/>
      <c r="B174" s="249"/>
      <c r="C174" s="249"/>
      <c r="D174" s="249"/>
      <c r="E174" s="253"/>
      <c r="F174" s="252"/>
    </row>
    <row r="175" customFormat="false" ht="13.5" hidden="false" customHeight="true" outlineLevel="0" collapsed="false">
      <c r="A175" s="253"/>
      <c r="B175" s="249"/>
      <c r="C175" s="249"/>
      <c r="D175" s="249"/>
      <c r="E175" s="253"/>
      <c r="F175" s="252"/>
    </row>
    <row r="176" customFormat="false" ht="13.5" hidden="false" customHeight="true" outlineLevel="0" collapsed="false">
      <c r="A176" s="253"/>
      <c r="B176" s="249"/>
      <c r="C176" s="249"/>
      <c r="D176" s="249"/>
      <c r="E176" s="253"/>
      <c r="F176" s="252"/>
    </row>
    <row r="177" customFormat="false" ht="13.5" hidden="false" customHeight="true" outlineLevel="0" collapsed="false">
      <c r="A177" s="253"/>
      <c r="B177" s="249"/>
      <c r="C177" s="249"/>
      <c r="D177" s="249"/>
      <c r="E177" s="253"/>
      <c r="F177" s="252"/>
    </row>
    <row r="178" customFormat="false" ht="13.5" hidden="false" customHeight="true" outlineLevel="0" collapsed="false">
      <c r="A178" s="253"/>
      <c r="B178" s="249"/>
      <c r="C178" s="249"/>
      <c r="D178" s="249"/>
      <c r="E178" s="253"/>
      <c r="F178" s="252"/>
    </row>
    <row r="179" customFormat="false" ht="13.5" hidden="false" customHeight="true" outlineLevel="0" collapsed="false">
      <c r="A179" s="253"/>
      <c r="B179" s="249"/>
      <c r="C179" s="249"/>
      <c r="D179" s="249"/>
      <c r="E179" s="253"/>
      <c r="F179" s="252"/>
    </row>
    <row r="180" customFormat="false" ht="13.5" hidden="false" customHeight="true" outlineLevel="0" collapsed="false">
      <c r="A180" s="253"/>
      <c r="B180" s="249"/>
      <c r="C180" s="249"/>
      <c r="D180" s="249"/>
      <c r="E180" s="253"/>
      <c r="F180" s="252"/>
    </row>
    <row r="181" customFormat="false" ht="13.5" hidden="false" customHeight="true" outlineLevel="0" collapsed="false">
      <c r="A181" s="253"/>
      <c r="B181" s="249"/>
      <c r="C181" s="249"/>
      <c r="D181" s="249"/>
      <c r="E181" s="253"/>
      <c r="F181" s="252"/>
    </row>
    <row r="182" customFormat="false" ht="13.5" hidden="false" customHeight="true" outlineLevel="0" collapsed="false">
      <c r="A182" s="253"/>
      <c r="B182" s="249"/>
      <c r="C182" s="249"/>
      <c r="D182" s="249"/>
      <c r="E182" s="253"/>
      <c r="F182" s="252"/>
    </row>
    <row r="183" customFormat="false" ht="13.5" hidden="false" customHeight="true" outlineLevel="0" collapsed="false">
      <c r="A183" s="253"/>
      <c r="B183" s="249"/>
      <c r="C183" s="249"/>
      <c r="D183" s="249"/>
      <c r="E183" s="253"/>
      <c r="F183" s="252"/>
    </row>
    <row r="184" customFormat="false" ht="13.5" hidden="false" customHeight="true" outlineLevel="0" collapsed="false">
      <c r="A184" s="253"/>
      <c r="B184" s="249"/>
      <c r="C184" s="249"/>
      <c r="D184" s="249"/>
      <c r="E184" s="253"/>
      <c r="F184" s="252"/>
    </row>
    <row r="185" customFormat="false" ht="13.5" hidden="false" customHeight="true" outlineLevel="0" collapsed="false">
      <c r="A185" s="253"/>
      <c r="B185" s="249"/>
      <c r="C185" s="249"/>
      <c r="D185" s="249"/>
      <c r="E185" s="253"/>
      <c r="F185" s="252"/>
    </row>
    <row r="186" customFormat="false" ht="13.5" hidden="false" customHeight="true" outlineLevel="0" collapsed="false">
      <c r="A186" s="253"/>
      <c r="B186" s="249"/>
      <c r="C186" s="249"/>
      <c r="D186" s="249"/>
      <c r="E186" s="253"/>
      <c r="F186" s="252"/>
    </row>
    <row r="187" customFormat="false" ht="13.5" hidden="false" customHeight="true" outlineLevel="0" collapsed="false">
      <c r="A187" s="253"/>
      <c r="B187" s="249"/>
      <c r="C187" s="249"/>
      <c r="D187" s="249"/>
      <c r="E187" s="253"/>
      <c r="F187" s="252"/>
    </row>
    <row r="188" customFormat="false" ht="13.5" hidden="false" customHeight="true" outlineLevel="0" collapsed="false">
      <c r="A188" s="253"/>
      <c r="B188" s="249"/>
      <c r="C188" s="249"/>
      <c r="D188" s="249"/>
      <c r="E188" s="253"/>
      <c r="F188" s="252"/>
    </row>
    <row r="189" customFormat="false" ht="13.5" hidden="false" customHeight="true" outlineLevel="0" collapsed="false">
      <c r="A189" s="253"/>
      <c r="B189" s="249"/>
      <c r="C189" s="249"/>
      <c r="D189" s="249"/>
      <c r="E189" s="253"/>
      <c r="F189" s="252"/>
    </row>
    <row r="190" customFormat="false" ht="13.5" hidden="false" customHeight="true" outlineLevel="0" collapsed="false">
      <c r="A190" s="253"/>
      <c r="B190" s="249"/>
      <c r="C190" s="249"/>
      <c r="D190" s="249"/>
      <c r="E190" s="253"/>
      <c r="F190" s="252"/>
    </row>
    <row r="191" customFormat="false" ht="13.5" hidden="false" customHeight="true" outlineLevel="0" collapsed="false">
      <c r="A191" s="253"/>
      <c r="B191" s="249"/>
      <c r="C191" s="249"/>
      <c r="D191" s="249"/>
      <c r="E191" s="253"/>
      <c r="F191" s="252"/>
    </row>
    <row r="192" customFormat="false" ht="13.5" hidden="false" customHeight="true" outlineLevel="0" collapsed="false">
      <c r="A192" s="253"/>
      <c r="B192" s="249"/>
      <c r="C192" s="249"/>
      <c r="D192" s="249"/>
      <c r="E192" s="253"/>
      <c r="F192" s="252"/>
    </row>
    <row r="193" customFormat="false" ht="13.5" hidden="false" customHeight="true" outlineLevel="0" collapsed="false">
      <c r="A193" s="253"/>
      <c r="B193" s="249"/>
      <c r="C193" s="249"/>
      <c r="D193" s="249"/>
      <c r="E193" s="253"/>
      <c r="F193" s="252"/>
    </row>
    <row r="194" customFormat="false" ht="13.5" hidden="false" customHeight="true" outlineLevel="0" collapsed="false">
      <c r="A194" s="253"/>
      <c r="B194" s="249"/>
      <c r="C194" s="249"/>
      <c r="D194" s="249"/>
      <c r="E194" s="253"/>
      <c r="F194" s="252"/>
    </row>
    <row r="195" customFormat="false" ht="13.5" hidden="false" customHeight="true" outlineLevel="0" collapsed="false">
      <c r="A195" s="253"/>
      <c r="B195" s="249"/>
      <c r="C195" s="249"/>
      <c r="D195" s="249"/>
      <c r="E195" s="253"/>
      <c r="F195" s="252"/>
    </row>
    <row r="196" customFormat="false" ht="13.5" hidden="false" customHeight="true" outlineLevel="0" collapsed="false">
      <c r="A196" s="253"/>
      <c r="B196" s="249"/>
      <c r="C196" s="249"/>
      <c r="D196" s="249"/>
      <c r="E196" s="253"/>
      <c r="F196" s="252"/>
    </row>
    <row r="197" customFormat="false" ht="13.5" hidden="false" customHeight="true" outlineLevel="0" collapsed="false">
      <c r="A197" s="253"/>
      <c r="B197" s="249"/>
      <c r="C197" s="249"/>
      <c r="D197" s="249"/>
      <c r="E197" s="253"/>
      <c r="F197" s="252"/>
    </row>
    <row r="198" customFormat="false" ht="13.5" hidden="false" customHeight="true" outlineLevel="0" collapsed="false">
      <c r="A198" s="253"/>
      <c r="B198" s="249"/>
      <c r="C198" s="249"/>
      <c r="D198" s="249"/>
      <c r="E198" s="253"/>
      <c r="F198" s="252"/>
    </row>
    <row r="199" customFormat="false" ht="13.5" hidden="false" customHeight="true" outlineLevel="0" collapsed="false">
      <c r="A199" s="253"/>
      <c r="B199" s="249"/>
      <c r="C199" s="249"/>
      <c r="D199" s="249"/>
      <c r="E199" s="253"/>
      <c r="F199" s="252"/>
    </row>
    <row r="200" customFormat="false" ht="13.5" hidden="false" customHeight="true" outlineLevel="0" collapsed="false">
      <c r="A200" s="253"/>
      <c r="B200" s="249"/>
      <c r="C200" s="249"/>
      <c r="D200" s="249"/>
      <c r="E200" s="253"/>
      <c r="F200" s="252"/>
    </row>
    <row r="201" customFormat="false" ht="13.5" hidden="false" customHeight="true" outlineLevel="0" collapsed="false">
      <c r="A201" s="253"/>
      <c r="B201" s="249"/>
      <c r="C201" s="249"/>
      <c r="D201" s="249"/>
      <c r="E201" s="253"/>
      <c r="F201" s="252"/>
    </row>
    <row r="202" customFormat="false" ht="13.5" hidden="false" customHeight="true" outlineLevel="0" collapsed="false">
      <c r="A202" s="253"/>
      <c r="B202" s="249"/>
      <c r="C202" s="249"/>
      <c r="D202" s="249"/>
      <c r="E202" s="253"/>
      <c r="F202" s="252"/>
    </row>
    <row r="203" customFormat="false" ht="13.5" hidden="false" customHeight="true" outlineLevel="0" collapsed="false">
      <c r="A203" s="253"/>
      <c r="B203" s="249"/>
      <c r="C203" s="249"/>
      <c r="D203" s="249"/>
      <c r="E203" s="253"/>
      <c r="F203" s="252"/>
    </row>
    <row r="204" customFormat="false" ht="13.5" hidden="false" customHeight="true" outlineLevel="0" collapsed="false">
      <c r="A204" s="253"/>
      <c r="B204" s="249"/>
      <c r="C204" s="249"/>
      <c r="D204" s="249"/>
      <c r="E204" s="253"/>
      <c r="F204" s="252"/>
    </row>
    <row r="205" customFormat="false" ht="13.5" hidden="false" customHeight="true" outlineLevel="0" collapsed="false">
      <c r="A205" s="253"/>
      <c r="B205" s="249"/>
      <c r="C205" s="249"/>
      <c r="D205" s="249"/>
      <c r="E205" s="253"/>
      <c r="F205" s="252"/>
    </row>
    <row r="206" customFormat="false" ht="13.5" hidden="false" customHeight="true" outlineLevel="0" collapsed="false">
      <c r="A206" s="253"/>
      <c r="B206" s="249"/>
      <c r="C206" s="249"/>
      <c r="D206" s="249"/>
      <c r="E206" s="253"/>
      <c r="F206" s="252"/>
    </row>
    <row r="207" customFormat="false" ht="13.5" hidden="false" customHeight="true" outlineLevel="0" collapsed="false">
      <c r="A207" s="253"/>
      <c r="B207" s="249"/>
      <c r="C207" s="249"/>
      <c r="D207" s="249"/>
      <c r="E207" s="253"/>
      <c r="F207" s="252"/>
    </row>
    <row r="208" customFormat="false" ht="13.5" hidden="false" customHeight="true" outlineLevel="0" collapsed="false">
      <c r="A208" s="253"/>
      <c r="B208" s="249"/>
      <c r="C208" s="249"/>
      <c r="D208" s="249"/>
      <c r="E208" s="253"/>
      <c r="F208" s="252"/>
    </row>
    <row r="209" customFormat="false" ht="13.5" hidden="false" customHeight="true" outlineLevel="0" collapsed="false">
      <c r="A209" s="253"/>
      <c r="B209" s="249"/>
      <c r="C209" s="249"/>
      <c r="D209" s="249"/>
      <c r="E209" s="253"/>
      <c r="F209" s="252"/>
    </row>
    <row r="210" customFormat="false" ht="13.5" hidden="false" customHeight="true" outlineLevel="0" collapsed="false">
      <c r="A210" s="253"/>
      <c r="B210" s="249"/>
      <c r="C210" s="249"/>
      <c r="D210" s="249"/>
      <c r="E210" s="253"/>
      <c r="F210" s="252"/>
    </row>
    <row r="211" customFormat="false" ht="13.5" hidden="false" customHeight="true" outlineLevel="0" collapsed="false">
      <c r="A211" s="253"/>
      <c r="B211" s="249"/>
      <c r="C211" s="249"/>
      <c r="D211" s="249"/>
      <c r="E211" s="253"/>
      <c r="F211" s="252"/>
    </row>
    <row r="212" customFormat="false" ht="13.5" hidden="false" customHeight="true" outlineLevel="0" collapsed="false">
      <c r="A212" s="253"/>
      <c r="B212" s="249"/>
      <c r="C212" s="249"/>
      <c r="D212" s="249"/>
      <c r="E212" s="253"/>
      <c r="F212" s="252"/>
    </row>
    <row r="213" customFormat="false" ht="13.5" hidden="false" customHeight="true" outlineLevel="0" collapsed="false">
      <c r="A213" s="253"/>
      <c r="B213" s="249"/>
      <c r="C213" s="249"/>
      <c r="D213" s="249"/>
      <c r="E213" s="253"/>
      <c r="F213" s="252"/>
    </row>
    <row r="214" customFormat="false" ht="13.5" hidden="false" customHeight="true" outlineLevel="0" collapsed="false">
      <c r="A214" s="253"/>
      <c r="B214" s="249"/>
      <c r="C214" s="249"/>
      <c r="D214" s="249"/>
      <c r="E214" s="253"/>
      <c r="F214" s="252"/>
    </row>
    <row r="215" customFormat="false" ht="13.5" hidden="false" customHeight="true" outlineLevel="0" collapsed="false">
      <c r="A215" s="253"/>
      <c r="B215" s="249"/>
      <c r="C215" s="249"/>
      <c r="D215" s="249"/>
      <c r="E215" s="253"/>
      <c r="F215" s="252"/>
    </row>
    <row r="216" customFormat="false" ht="13.5" hidden="false" customHeight="true" outlineLevel="0" collapsed="false">
      <c r="A216" s="253"/>
      <c r="B216" s="249"/>
      <c r="C216" s="249"/>
      <c r="D216" s="249"/>
      <c r="E216" s="253"/>
      <c r="F216" s="252"/>
    </row>
    <row r="217" customFormat="false" ht="13.5" hidden="false" customHeight="true" outlineLevel="0" collapsed="false">
      <c r="A217" s="253"/>
      <c r="B217" s="249"/>
      <c r="C217" s="249"/>
      <c r="D217" s="249"/>
      <c r="E217" s="253"/>
      <c r="F217" s="252"/>
    </row>
    <row r="218" customFormat="false" ht="13.5" hidden="false" customHeight="true" outlineLevel="0" collapsed="false">
      <c r="A218" s="253"/>
      <c r="B218" s="249"/>
      <c r="C218" s="249"/>
      <c r="D218" s="249"/>
      <c r="E218" s="253"/>
      <c r="F218" s="252"/>
    </row>
    <row r="219" customFormat="false" ht="13.5" hidden="false" customHeight="true" outlineLevel="0" collapsed="false">
      <c r="A219" s="253"/>
      <c r="B219" s="249"/>
      <c r="C219" s="249"/>
      <c r="D219" s="249"/>
      <c r="E219" s="253"/>
      <c r="F219" s="252"/>
    </row>
    <row r="220" customFormat="false" ht="13.5" hidden="false" customHeight="true" outlineLevel="0" collapsed="false">
      <c r="A220" s="253"/>
      <c r="B220" s="249"/>
      <c r="C220" s="249"/>
      <c r="D220" s="249"/>
      <c r="E220" s="253"/>
      <c r="F220" s="252"/>
    </row>
    <row r="221" customFormat="false" ht="13.5" hidden="false" customHeight="true" outlineLevel="0" collapsed="false">
      <c r="A221" s="253"/>
      <c r="B221" s="249"/>
      <c r="C221" s="249"/>
      <c r="D221" s="249"/>
      <c r="E221" s="253"/>
      <c r="F221" s="252"/>
    </row>
    <row r="222" customFormat="false" ht="13.5" hidden="false" customHeight="true" outlineLevel="0" collapsed="false">
      <c r="A222" s="253"/>
      <c r="B222" s="249"/>
      <c r="C222" s="249"/>
      <c r="D222" s="249"/>
      <c r="E222" s="253"/>
      <c r="F222" s="252"/>
    </row>
    <row r="223" customFormat="false" ht="13.5" hidden="false" customHeight="true" outlineLevel="0" collapsed="false">
      <c r="A223" s="253"/>
      <c r="B223" s="249"/>
      <c r="C223" s="249"/>
      <c r="D223" s="249"/>
      <c r="E223" s="253"/>
      <c r="F223" s="252"/>
    </row>
    <row r="224" customFormat="false" ht="13.5" hidden="false" customHeight="true" outlineLevel="0" collapsed="false">
      <c r="A224" s="253"/>
      <c r="B224" s="249"/>
      <c r="C224" s="249"/>
      <c r="D224" s="249"/>
      <c r="E224" s="253"/>
      <c r="F224" s="252"/>
    </row>
    <row r="225" customFormat="false" ht="13.5" hidden="false" customHeight="true" outlineLevel="0" collapsed="false">
      <c r="A225" s="253"/>
      <c r="B225" s="249"/>
      <c r="C225" s="249"/>
      <c r="D225" s="249"/>
      <c r="E225" s="253"/>
      <c r="F225" s="252"/>
    </row>
    <row r="226" customFormat="false" ht="13.5" hidden="false" customHeight="true" outlineLevel="0" collapsed="false">
      <c r="A226" s="253"/>
      <c r="B226" s="249"/>
      <c r="C226" s="249"/>
      <c r="D226" s="249"/>
      <c r="E226" s="253"/>
      <c r="F226" s="252"/>
    </row>
    <row r="227" customFormat="false" ht="13.5" hidden="false" customHeight="true" outlineLevel="0" collapsed="false">
      <c r="A227" s="253"/>
      <c r="B227" s="249"/>
      <c r="C227" s="249"/>
      <c r="D227" s="249"/>
      <c r="E227" s="253"/>
      <c r="F227" s="252"/>
    </row>
    <row r="228" customFormat="false" ht="13.5" hidden="false" customHeight="true" outlineLevel="0" collapsed="false">
      <c r="A228" s="253"/>
      <c r="B228" s="249"/>
      <c r="C228" s="249"/>
      <c r="D228" s="249"/>
      <c r="E228" s="253"/>
      <c r="F228" s="252"/>
    </row>
    <row r="229" customFormat="false" ht="13.5" hidden="false" customHeight="true" outlineLevel="0" collapsed="false">
      <c r="A229" s="253"/>
      <c r="B229" s="249"/>
      <c r="C229" s="249"/>
      <c r="D229" s="249"/>
      <c r="E229" s="253"/>
      <c r="F229" s="252"/>
    </row>
    <row r="230" customFormat="false" ht="13.5" hidden="false" customHeight="true" outlineLevel="0" collapsed="false">
      <c r="A230" s="253"/>
      <c r="B230" s="249"/>
      <c r="C230" s="249"/>
      <c r="D230" s="249"/>
      <c r="E230" s="253"/>
      <c r="F230" s="252"/>
    </row>
    <row r="231" customFormat="false" ht="13.5" hidden="false" customHeight="true" outlineLevel="0" collapsed="false">
      <c r="A231" s="253"/>
      <c r="B231" s="249"/>
      <c r="C231" s="249"/>
      <c r="D231" s="249"/>
      <c r="E231" s="253"/>
      <c r="F231" s="252"/>
    </row>
    <row r="232" customFormat="false" ht="13.5" hidden="false" customHeight="true" outlineLevel="0" collapsed="false">
      <c r="A232" s="253"/>
      <c r="B232" s="249"/>
      <c r="C232" s="249"/>
      <c r="D232" s="249"/>
      <c r="E232" s="253"/>
      <c r="F232" s="252"/>
    </row>
    <row r="233" customFormat="false" ht="13.5" hidden="false" customHeight="true" outlineLevel="0" collapsed="false">
      <c r="A233" s="253"/>
      <c r="B233" s="249"/>
      <c r="C233" s="249"/>
      <c r="D233" s="249"/>
      <c r="E233" s="253"/>
      <c r="F233" s="252"/>
    </row>
    <row r="234" customFormat="false" ht="13.5" hidden="false" customHeight="true" outlineLevel="0" collapsed="false">
      <c r="A234" s="253"/>
      <c r="B234" s="249"/>
      <c r="C234" s="249"/>
      <c r="D234" s="249"/>
      <c r="E234" s="253"/>
      <c r="F234" s="252"/>
    </row>
    <row r="235" customFormat="false" ht="13.5" hidden="false" customHeight="true" outlineLevel="0" collapsed="false">
      <c r="A235" s="253"/>
      <c r="B235" s="249"/>
      <c r="C235" s="249"/>
      <c r="D235" s="249"/>
      <c r="E235" s="253"/>
      <c r="F235" s="252"/>
    </row>
    <row r="236" customFormat="false" ht="13.5" hidden="false" customHeight="true" outlineLevel="0" collapsed="false">
      <c r="A236" s="253"/>
      <c r="B236" s="249"/>
      <c r="C236" s="249"/>
      <c r="D236" s="249"/>
      <c r="E236" s="253"/>
      <c r="F236" s="252"/>
    </row>
    <row r="237" customFormat="false" ht="13.5" hidden="false" customHeight="true" outlineLevel="0" collapsed="false">
      <c r="A237" s="253"/>
      <c r="B237" s="249"/>
      <c r="C237" s="249"/>
      <c r="D237" s="249"/>
      <c r="E237" s="253"/>
      <c r="F237" s="252"/>
    </row>
    <row r="238" customFormat="false" ht="13.5" hidden="false" customHeight="true" outlineLevel="0" collapsed="false">
      <c r="A238" s="253"/>
      <c r="B238" s="249"/>
      <c r="C238" s="249"/>
      <c r="D238" s="249"/>
      <c r="E238" s="253"/>
      <c r="F238" s="252"/>
    </row>
    <row r="239" customFormat="false" ht="13.5" hidden="false" customHeight="true" outlineLevel="0" collapsed="false">
      <c r="A239" s="253"/>
      <c r="B239" s="249"/>
      <c r="C239" s="249"/>
      <c r="D239" s="249"/>
      <c r="E239" s="253"/>
      <c r="F239" s="252"/>
    </row>
    <row r="240" customFormat="false" ht="13.5" hidden="false" customHeight="true" outlineLevel="0" collapsed="false">
      <c r="A240" s="253"/>
      <c r="B240" s="249"/>
      <c r="C240" s="249"/>
      <c r="D240" s="249"/>
      <c r="E240" s="253"/>
      <c r="F240" s="252"/>
    </row>
    <row r="241" customFormat="false" ht="13.5" hidden="false" customHeight="true" outlineLevel="0" collapsed="false">
      <c r="A241" s="253"/>
      <c r="B241" s="249"/>
      <c r="C241" s="249"/>
      <c r="D241" s="249"/>
      <c r="E241" s="253"/>
      <c r="F241" s="252"/>
    </row>
    <row r="242" customFormat="false" ht="13.5" hidden="false" customHeight="true" outlineLevel="0" collapsed="false">
      <c r="A242" s="253"/>
      <c r="B242" s="249"/>
      <c r="C242" s="249"/>
      <c r="D242" s="249"/>
      <c r="E242" s="253"/>
      <c r="F242" s="252"/>
    </row>
    <row r="243" customFormat="false" ht="13.5" hidden="false" customHeight="true" outlineLevel="0" collapsed="false">
      <c r="A243" s="253"/>
      <c r="B243" s="249"/>
      <c r="C243" s="249"/>
      <c r="D243" s="249"/>
      <c r="E243" s="253"/>
      <c r="F243" s="252"/>
    </row>
    <row r="244" customFormat="false" ht="13.5" hidden="false" customHeight="true" outlineLevel="0" collapsed="false">
      <c r="A244" s="253"/>
      <c r="B244" s="249"/>
      <c r="C244" s="249"/>
      <c r="D244" s="249"/>
      <c r="E244" s="253"/>
      <c r="F244" s="252"/>
    </row>
    <row r="245" customFormat="false" ht="13.5" hidden="false" customHeight="true" outlineLevel="0" collapsed="false">
      <c r="A245" s="253"/>
      <c r="B245" s="249"/>
      <c r="C245" s="249"/>
      <c r="D245" s="249"/>
      <c r="E245" s="253"/>
      <c r="F245" s="252"/>
    </row>
    <row r="246" customFormat="false" ht="13.5" hidden="false" customHeight="true" outlineLevel="0" collapsed="false">
      <c r="A246" s="253"/>
      <c r="B246" s="249"/>
      <c r="C246" s="249"/>
      <c r="D246" s="249"/>
      <c r="E246" s="253"/>
      <c r="F246" s="252"/>
    </row>
    <row r="247" customFormat="false" ht="13.5" hidden="false" customHeight="true" outlineLevel="0" collapsed="false">
      <c r="A247" s="253"/>
      <c r="B247" s="249"/>
      <c r="C247" s="249"/>
      <c r="D247" s="249"/>
      <c r="E247" s="253"/>
      <c r="F247" s="252"/>
    </row>
    <row r="248" customFormat="false" ht="13.5" hidden="false" customHeight="true" outlineLevel="0" collapsed="false">
      <c r="A248" s="253"/>
      <c r="B248" s="249"/>
      <c r="C248" s="249"/>
      <c r="D248" s="249"/>
      <c r="E248" s="253"/>
      <c r="F248" s="252"/>
    </row>
    <row r="249" customFormat="false" ht="13.5" hidden="false" customHeight="true" outlineLevel="0" collapsed="false">
      <c r="A249" s="253"/>
      <c r="B249" s="249"/>
      <c r="C249" s="249"/>
      <c r="D249" s="249"/>
      <c r="E249" s="253"/>
      <c r="F249" s="252"/>
    </row>
    <row r="250" customFormat="false" ht="13.5" hidden="false" customHeight="true" outlineLevel="0" collapsed="false">
      <c r="A250" s="253"/>
      <c r="B250" s="249"/>
      <c r="C250" s="249"/>
      <c r="D250" s="249"/>
      <c r="E250" s="253"/>
      <c r="F250" s="252"/>
    </row>
    <row r="251" customFormat="false" ht="13.5" hidden="false" customHeight="true" outlineLevel="0" collapsed="false">
      <c r="A251" s="253"/>
      <c r="B251" s="249"/>
      <c r="C251" s="249"/>
      <c r="D251" s="249"/>
      <c r="E251" s="253"/>
      <c r="F251" s="252"/>
    </row>
    <row r="252" customFormat="false" ht="13.5" hidden="false" customHeight="true" outlineLevel="0" collapsed="false">
      <c r="A252" s="253"/>
      <c r="B252" s="249"/>
      <c r="C252" s="249"/>
      <c r="D252" s="249"/>
      <c r="E252" s="253"/>
      <c r="F252" s="252"/>
    </row>
    <row r="253" customFormat="false" ht="13.5" hidden="false" customHeight="true" outlineLevel="0" collapsed="false">
      <c r="A253" s="253"/>
      <c r="B253" s="249"/>
      <c r="C253" s="249"/>
      <c r="D253" s="249"/>
      <c r="E253" s="253"/>
      <c r="F253" s="252"/>
    </row>
    <row r="254" customFormat="false" ht="13.5" hidden="false" customHeight="true" outlineLevel="0" collapsed="false">
      <c r="A254" s="253"/>
      <c r="B254" s="249"/>
      <c r="C254" s="249"/>
      <c r="D254" s="249"/>
      <c r="E254" s="253"/>
      <c r="F254" s="252"/>
    </row>
    <row r="255" customFormat="false" ht="13.5" hidden="false" customHeight="true" outlineLevel="0" collapsed="false">
      <c r="A255" s="253"/>
      <c r="B255" s="249"/>
      <c r="C255" s="249"/>
      <c r="D255" s="249"/>
      <c r="E255" s="253"/>
      <c r="F255" s="252"/>
    </row>
    <row r="256" customFormat="false" ht="13.5" hidden="false" customHeight="true" outlineLevel="0" collapsed="false">
      <c r="A256" s="253"/>
      <c r="B256" s="249"/>
      <c r="C256" s="249"/>
      <c r="D256" s="249"/>
      <c r="E256" s="253"/>
      <c r="F256" s="252"/>
    </row>
    <row r="257" customFormat="false" ht="13.5" hidden="false" customHeight="true" outlineLevel="0" collapsed="false">
      <c r="A257" s="253"/>
      <c r="B257" s="249"/>
      <c r="C257" s="249"/>
      <c r="D257" s="249"/>
      <c r="E257" s="253"/>
      <c r="F257" s="252"/>
    </row>
    <row r="258" customFormat="false" ht="13.5" hidden="false" customHeight="true" outlineLevel="0" collapsed="false">
      <c r="A258" s="253"/>
      <c r="B258" s="249"/>
      <c r="C258" s="249"/>
      <c r="D258" s="249"/>
      <c r="E258" s="253"/>
      <c r="F258" s="252"/>
    </row>
    <row r="259" customFormat="false" ht="13.5" hidden="false" customHeight="true" outlineLevel="0" collapsed="false">
      <c r="A259" s="253"/>
      <c r="B259" s="249"/>
      <c r="C259" s="249"/>
      <c r="D259" s="249"/>
      <c r="E259" s="253"/>
      <c r="F259" s="252"/>
    </row>
    <row r="260" customFormat="false" ht="13.5" hidden="false" customHeight="true" outlineLevel="0" collapsed="false">
      <c r="A260" s="253"/>
      <c r="B260" s="249"/>
      <c r="C260" s="249"/>
      <c r="D260" s="249"/>
      <c r="E260" s="253"/>
      <c r="F260" s="252"/>
    </row>
    <row r="261" customFormat="false" ht="13.5" hidden="false" customHeight="true" outlineLevel="0" collapsed="false">
      <c r="A261" s="253"/>
      <c r="B261" s="249"/>
      <c r="C261" s="249"/>
      <c r="D261" s="249"/>
      <c r="E261" s="253"/>
      <c r="F261" s="252"/>
    </row>
    <row r="262" customFormat="false" ht="13.5" hidden="false" customHeight="true" outlineLevel="0" collapsed="false">
      <c r="A262" s="253"/>
      <c r="B262" s="249"/>
      <c r="C262" s="249"/>
      <c r="D262" s="249"/>
      <c r="E262" s="253"/>
      <c r="F262" s="252"/>
    </row>
    <row r="263" customFormat="false" ht="13.5" hidden="false" customHeight="true" outlineLevel="0" collapsed="false">
      <c r="A263" s="253"/>
      <c r="B263" s="249"/>
      <c r="C263" s="249"/>
      <c r="D263" s="249"/>
      <c r="E263" s="253"/>
      <c r="F263" s="252"/>
    </row>
    <row r="264" customFormat="false" ht="13.5" hidden="false" customHeight="true" outlineLevel="0" collapsed="false">
      <c r="A264" s="253"/>
      <c r="B264" s="249"/>
      <c r="C264" s="249"/>
      <c r="D264" s="249"/>
      <c r="E264" s="253"/>
      <c r="F264" s="252"/>
    </row>
    <row r="265" customFormat="false" ht="13.5" hidden="false" customHeight="true" outlineLevel="0" collapsed="false">
      <c r="A265" s="253"/>
      <c r="B265" s="249"/>
      <c r="C265" s="249"/>
      <c r="D265" s="249"/>
      <c r="E265" s="253"/>
      <c r="F265" s="252"/>
    </row>
    <row r="266" customFormat="false" ht="13.5" hidden="false" customHeight="true" outlineLevel="0" collapsed="false">
      <c r="A266" s="253"/>
      <c r="B266" s="249"/>
      <c r="C266" s="249"/>
      <c r="D266" s="249"/>
      <c r="E266" s="253"/>
      <c r="F266" s="252"/>
    </row>
    <row r="267" customFormat="false" ht="13.5" hidden="false" customHeight="true" outlineLevel="0" collapsed="false">
      <c r="A267" s="253"/>
      <c r="B267" s="249"/>
      <c r="C267" s="249"/>
      <c r="D267" s="249"/>
      <c r="E267" s="253"/>
      <c r="F267" s="252"/>
    </row>
    <row r="268" customFormat="false" ht="13.5" hidden="false" customHeight="true" outlineLevel="0" collapsed="false">
      <c r="A268" s="253"/>
      <c r="B268" s="249"/>
      <c r="C268" s="249"/>
      <c r="D268" s="249"/>
      <c r="E268" s="253"/>
      <c r="F268" s="252"/>
    </row>
    <row r="269" customFormat="false" ht="13.5" hidden="false" customHeight="true" outlineLevel="0" collapsed="false">
      <c r="A269" s="253"/>
      <c r="B269" s="249"/>
      <c r="C269" s="249"/>
      <c r="D269" s="249"/>
      <c r="E269" s="253"/>
      <c r="F269" s="252"/>
    </row>
    <row r="270" customFormat="false" ht="13.5" hidden="false" customHeight="true" outlineLevel="0" collapsed="false">
      <c r="A270" s="253"/>
      <c r="B270" s="249"/>
      <c r="C270" s="249"/>
      <c r="D270" s="249"/>
      <c r="E270" s="253"/>
      <c r="F270" s="252"/>
    </row>
    <row r="271" customFormat="false" ht="13.5" hidden="false" customHeight="true" outlineLevel="0" collapsed="false">
      <c r="A271" s="253"/>
      <c r="B271" s="249"/>
      <c r="C271" s="249"/>
      <c r="D271" s="249"/>
      <c r="E271" s="253"/>
      <c r="F271" s="252"/>
    </row>
    <row r="272" customFormat="false" ht="13.5" hidden="false" customHeight="true" outlineLevel="0" collapsed="false">
      <c r="A272" s="253"/>
      <c r="B272" s="249"/>
      <c r="C272" s="249"/>
      <c r="D272" s="249"/>
      <c r="E272" s="253"/>
      <c r="F272" s="252"/>
    </row>
    <row r="273" customFormat="false" ht="13.5" hidden="false" customHeight="true" outlineLevel="0" collapsed="false">
      <c r="A273" s="253"/>
      <c r="B273" s="249"/>
      <c r="C273" s="249"/>
      <c r="D273" s="249"/>
      <c r="E273" s="253"/>
      <c r="F273" s="252"/>
    </row>
    <row r="274" customFormat="false" ht="13.5" hidden="false" customHeight="true" outlineLevel="0" collapsed="false">
      <c r="A274" s="253"/>
      <c r="B274" s="249"/>
      <c r="C274" s="249"/>
      <c r="D274" s="249"/>
      <c r="E274" s="253"/>
      <c r="F274" s="252"/>
    </row>
    <row r="275" customFormat="false" ht="13.5" hidden="false" customHeight="true" outlineLevel="0" collapsed="false">
      <c r="A275" s="253"/>
      <c r="B275" s="249"/>
      <c r="C275" s="249"/>
      <c r="D275" s="249"/>
      <c r="E275" s="253"/>
      <c r="F275" s="252"/>
    </row>
    <row r="276" customFormat="false" ht="13.5" hidden="false" customHeight="true" outlineLevel="0" collapsed="false">
      <c r="A276" s="253"/>
      <c r="B276" s="249"/>
      <c r="C276" s="249"/>
      <c r="D276" s="249"/>
      <c r="E276" s="253"/>
      <c r="F276" s="252"/>
    </row>
    <row r="277" customFormat="false" ht="13.5" hidden="false" customHeight="true" outlineLevel="0" collapsed="false">
      <c r="A277" s="253"/>
      <c r="B277" s="249"/>
      <c r="C277" s="249"/>
      <c r="D277" s="249"/>
      <c r="E277" s="253"/>
      <c r="F277" s="252"/>
    </row>
    <row r="278" customFormat="false" ht="13.5" hidden="false" customHeight="true" outlineLevel="0" collapsed="false">
      <c r="A278" s="253"/>
      <c r="B278" s="249"/>
      <c r="C278" s="249"/>
      <c r="D278" s="249"/>
      <c r="E278" s="253"/>
      <c r="F278" s="252"/>
    </row>
    <row r="279" customFormat="false" ht="13.5" hidden="false" customHeight="true" outlineLevel="0" collapsed="false">
      <c r="A279" s="253"/>
      <c r="B279" s="249"/>
      <c r="C279" s="249"/>
      <c r="D279" s="249"/>
      <c r="E279" s="253"/>
      <c r="F279" s="252"/>
    </row>
    <row r="280" customFormat="false" ht="13.5" hidden="false" customHeight="true" outlineLevel="0" collapsed="false">
      <c r="A280" s="253"/>
      <c r="B280" s="249"/>
      <c r="C280" s="249"/>
      <c r="D280" s="249"/>
      <c r="E280" s="253"/>
      <c r="F280" s="252"/>
    </row>
    <row r="281" customFormat="false" ht="13.5" hidden="false" customHeight="true" outlineLevel="0" collapsed="false">
      <c r="A281" s="253"/>
      <c r="B281" s="249"/>
      <c r="C281" s="249"/>
      <c r="D281" s="249"/>
      <c r="E281" s="253"/>
      <c r="F281" s="252"/>
    </row>
    <row r="282" customFormat="false" ht="13.5" hidden="false" customHeight="true" outlineLevel="0" collapsed="false">
      <c r="A282" s="253"/>
      <c r="B282" s="249"/>
      <c r="C282" s="249"/>
      <c r="D282" s="249"/>
      <c r="E282" s="253"/>
      <c r="F282" s="252"/>
    </row>
    <row r="283" customFormat="false" ht="13.5" hidden="false" customHeight="true" outlineLevel="0" collapsed="false">
      <c r="A283" s="253"/>
      <c r="B283" s="249"/>
      <c r="C283" s="249"/>
      <c r="D283" s="249"/>
      <c r="E283" s="253"/>
      <c r="F283" s="252"/>
    </row>
    <row r="284" customFormat="false" ht="13.5" hidden="false" customHeight="true" outlineLevel="0" collapsed="false">
      <c r="A284" s="253"/>
      <c r="B284" s="249"/>
      <c r="C284" s="249"/>
      <c r="D284" s="249"/>
      <c r="E284" s="253"/>
      <c r="F284" s="252"/>
    </row>
    <row r="285" customFormat="false" ht="13.5" hidden="false" customHeight="true" outlineLevel="0" collapsed="false">
      <c r="A285" s="253"/>
      <c r="B285" s="249"/>
      <c r="C285" s="249"/>
      <c r="D285" s="249"/>
      <c r="E285" s="253"/>
      <c r="F285" s="252"/>
    </row>
    <row r="286" customFormat="false" ht="13.5" hidden="false" customHeight="true" outlineLevel="0" collapsed="false">
      <c r="A286" s="253"/>
      <c r="B286" s="249"/>
      <c r="C286" s="249"/>
      <c r="D286" s="249"/>
      <c r="E286" s="253"/>
      <c r="F286" s="252"/>
    </row>
    <row r="287" customFormat="false" ht="13.5" hidden="false" customHeight="true" outlineLevel="0" collapsed="false">
      <c r="A287" s="253"/>
      <c r="B287" s="249"/>
      <c r="C287" s="249"/>
      <c r="D287" s="249"/>
      <c r="E287" s="253"/>
      <c r="F287" s="252"/>
    </row>
    <row r="288" customFormat="false" ht="13.5" hidden="false" customHeight="true" outlineLevel="0" collapsed="false">
      <c r="A288" s="253"/>
      <c r="B288" s="249"/>
      <c r="C288" s="249"/>
      <c r="D288" s="249"/>
      <c r="E288" s="253"/>
      <c r="F288" s="252"/>
    </row>
    <row r="289" customFormat="false" ht="13.5" hidden="false" customHeight="true" outlineLevel="0" collapsed="false">
      <c r="A289" s="253"/>
      <c r="B289" s="249"/>
      <c r="C289" s="249"/>
      <c r="D289" s="249"/>
      <c r="E289" s="253"/>
      <c r="F289" s="252"/>
    </row>
    <row r="290" customFormat="false" ht="13.5" hidden="false" customHeight="true" outlineLevel="0" collapsed="false">
      <c r="A290" s="253"/>
      <c r="B290" s="249"/>
      <c r="C290" s="249"/>
      <c r="D290" s="249"/>
      <c r="E290" s="253"/>
      <c r="F290" s="252"/>
    </row>
    <row r="291" customFormat="false" ht="13.5" hidden="false" customHeight="true" outlineLevel="0" collapsed="false">
      <c r="A291" s="253"/>
      <c r="B291" s="249"/>
      <c r="C291" s="249"/>
      <c r="D291" s="249"/>
      <c r="E291" s="253"/>
      <c r="F291" s="252"/>
    </row>
    <row r="292" customFormat="false" ht="13.5" hidden="false" customHeight="true" outlineLevel="0" collapsed="false">
      <c r="A292" s="253"/>
      <c r="B292" s="249"/>
      <c r="C292" s="249"/>
      <c r="D292" s="249"/>
      <c r="E292" s="253"/>
      <c r="F292" s="252"/>
    </row>
    <row r="293" customFormat="false" ht="13.5" hidden="false" customHeight="true" outlineLevel="0" collapsed="false">
      <c r="A293" s="253"/>
      <c r="B293" s="249"/>
      <c r="C293" s="249"/>
      <c r="D293" s="249"/>
      <c r="E293" s="253"/>
      <c r="F293" s="252"/>
    </row>
    <row r="294" customFormat="false" ht="13.5" hidden="false" customHeight="true" outlineLevel="0" collapsed="false">
      <c r="A294" s="253"/>
      <c r="B294" s="249"/>
      <c r="C294" s="249"/>
      <c r="D294" s="249"/>
      <c r="E294" s="253"/>
      <c r="F294" s="252"/>
    </row>
    <row r="295" customFormat="false" ht="13.5" hidden="false" customHeight="true" outlineLevel="0" collapsed="false">
      <c r="A295" s="253"/>
      <c r="B295" s="249"/>
      <c r="C295" s="249"/>
      <c r="D295" s="249"/>
      <c r="E295" s="253"/>
      <c r="F295" s="252"/>
    </row>
    <row r="296" customFormat="false" ht="13.5" hidden="false" customHeight="true" outlineLevel="0" collapsed="false">
      <c r="A296" s="253"/>
      <c r="B296" s="249"/>
      <c r="C296" s="249"/>
      <c r="D296" s="249"/>
      <c r="E296" s="253"/>
      <c r="F296" s="252"/>
    </row>
    <row r="297" customFormat="false" ht="13.5" hidden="false" customHeight="true" outlineLevel="0" collapsed="false">
      <c r="A297" s="253"/>
      <c r="B297" s="249"/>
      <c r="C297" s="249"/>
      <c r="D297" s="249"/>
      <c r="E297" s="253"/>
      <c r="F297" s="252"/>
    </row>
    <row r="298" customFormat="false" ht="13.5" hidden="false" customHeight="true" outlineLevel="0" collapsed="false">
      <c r="A298" s="253"/>
      <c r="B298" s="249"/>
      <c r="C298" s="249"/>
      <c r="D298" s="249"/>
      <c r="E298" s="253"/>
      <c r="F298" s="252"/>
    </row>
    <row r="299" customFormat="false" ht="13.5" hidden="false" customHeight="true" outlineLevel="0" collapsed="false">
      <c r="A299" s="253"/>
      <c r="B299" s="249"/>
      <c r="C299" s="249"/>
      <c r="D299" s="249"/>
      <c r="E299" s="253"/>
      <c r="F299" s="252"/>
    </row>
    <row r="300" customFormat="false" ht="13.5" hidden="false" customHeight="true" outlineLevel="0" collapsed="false">
      <c r="A300" s="253"/>
      <c r="B300" s="249"/>
      <c r="C300" s="249"/>
      <c r="D300" s="249"/>
      <c r="E300" s="253"/>
      <c r="F300" s="252"/>
    </row>
    <row r="301" customFormat="false" ht="13.5" hidden="false" customHeight="true" outlineLevel="0" collapsed="false">
      <c r="A301" s="253"/>
      <c r="B301" s="249"/>
      <c r="C301" s="249"/>
      <c r="D301" s="249"/>
      <c r="E301" s="253"/>
      <c r="F301" s="252"/>
    </row>
    <row r="302" customFormat="false" ht="13.5" hidden="false" customHeight="true" outlineLevel="0" collapsed="false">
      <c r="A302" s="253"/>
      <c r="B302" s="249"/>
      <c r="C302" s="249"/>
      <c r="D302" s="249"/>
      <c r="E302" s="253"/>
      <c r="F302" s="252"/>
    </row>
    <row r="303" customFormat="false" ht="13.5" hidden="false" customHeight="true" outlineLevel="0" collapsed="false">
      <c r="A303" s="253"/>
      <c r="B303" s="249"/>
      <c r="C303" s="249"/>
      <c r="D303" s="249"/>
      <c r="E303" s="253"/>
      <c r="F303" s="252"/>
    </row>
    <row r="304" customFormat="false" ht="13.5" hidden="false" customHeight="true" outlineLevel="0" collapsed="false">
      <c r="A304" s="253"/>
      <c r="B304" s="249"/>
      <c r="C304" s="249"/>
      <c r="D304" s="249"/>
      <c r="E304" s="253"/>
      <c r="F304" s="252"/>
    </row>
    <row r="305" customFormat="false" ht="13.5" hidden="false" customHeight="true" outlineLevel="0" collapsed="false">
      <c r="A305" s="253"/>
      <c r="B305" s="249"/>
      <c r="C305" s="249"/>
      <c r="D305" s="249"/>
      <c r="E305" s="253"/>
      <c r="F305" s="252"/>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54" t="s">
        <v>1008</v>
      </c>
      <c r="B1" s="254"/>
      <c r="C1" s="254"/>
      <c r="D1" s="254"/>
      <c r="E1" s="254"/>
      <c r="F1" s="254"/>
    </row>
    <row r="2" customFormat="false" ht="15" hidden="false" customHeight="true" outlineLevel="0" collapsed="false">
      <c r="A2" s="255" t="s">
        <v>1009</v>
      </c>
      <c r="B2" s="255"/>
      <c r="C2" s="255"/>
      <c r="D2" s="255"/>
      <c r="E2" s="255"/>
      <c r="F2" s="255"/>
    </row>
    <row r="4" customFormat="false" ht="15" hidden="false" customHeight="true" outlineLevel="0" collapsed="false">
      <c r="A4" s="256" t="s">
        <v>1010</v>
      </c>
      <c r="B4" s="256"/>
      <c r="C4" s="256"/>
      <c r="D4" s="256"/>
      <c r="E4" s="256"/>
      <c r="F4" s="256"/>
    </row>
    <row r="5" customFormat="false" ht="15" hidden="false" customHeight="true" outlineLevel="0" collapsed="false">
      <c r="A5" s="257" t="s">
        <v>1011</v>
      </c>
      <c r="B5" s="257" t="s">
        <v>1012</v>
      </c>
      <c r="C5" s="257" t="s">
        <v>1013</v>
      </c>
      <c r="D5" s="257" t="s">
        <v>1014</v>
      </c>
    </row>
    <row r="6" customFormat="false" ht="15" hidden="false" customHeight="true" outlineLevel="0" collapsed="false">
      <c r="A6" s="258" t="s">
        <v>1015</v>
      </c>
      <c r="B6" s="258" t="s">
        <v>1016</v>
      </c>
      <c r="C6" s="258" t="s">
        <v>1016</v>
      </c>
      <c r="D6" s="259" t="s">
        <v>1017</v>
      </c>
      <c r="E6" s="259"/>
      <c r="F6" s="259"/>
    </row>
    <row r="8" customFormat="false" ht="15" hidden="false" customHeight="true" outlineLevel="0" collapsed="false">
      <c r="A8" s="256" t="s">
        <v>1018</v>
      </c>
      <c r="B8" s="256"/>
      <c r="C8" s="256"/>
      <c r="D8" s="256"/>
      <c r="E8" s="256"/>
      <c r="F8" s="256"/>
    </row>
    <row r="9" customFormat="false" ht="15" hidden="false" customHeight="true" outlineLevel="0" collapsed="false">
      <c r="A9" s="257" t="s">
        <v>1011</v>
      </c>
      <c r="B9" s="257" t="s">
        <v>1012</v>
      </c>
      <c r="C9" s="257" t="s">
        <v>1013</v>
      </c>
      <c r="D9" s="257" t="s">
        <v>1014</v>
      </c>
    </row>
    <row r="10" customFormat="false" ht="15" hidden="false" customHeight="true" outlineLevel="0" collapsed="false">
      <c r="A10" s="258" t="s">
        <v>1019</v>
      </c>
      <c r="B10" s="258" t="s">
        <v>1016</v>
      </c>
      <c r="C10" s="258" t="s">
        <v>1020</v>
      </c>
      <c r="D10" s="259" t="s">
        <v>1021</v>
      </c>
      <c r="E10" s="259"/>
      <c r="F10" s="259"/>
    </row>
    <row r="12" customFormat="false" ht="15" hidden="false" customHeight="true" outlineLevel="0" collapsed="false">
      <c r="A12" s="256" t="s">
        <v>1022</v>
      </c>
      <c r="B12" s="256"/>
      <c r="C12" s="256"/>
      <c r="D12" s="256"/>
      <c r="E12" s="256"/>
      <c r="F12" s="256"/>
    </row>
    <row r="13" customFormat="false" ht="15" hidden="false" customHeight="true" outlineLevel="0" collapsed="false">
      <c r="A13" s="257" t="s">
        <v>1011</v>
      </c>
      <c r="B13" s="257" t="s">
        <v>1012</v>
      </c>
      <c r="C13" s="257" t="s">
        <v>1013</v>
      </c>
      <c r="D13" s="257" t="s">
        <v>1014</v>
      </c>
    </row>
    <row r="14" customFormat="false" ht="84" hidden="false" customHeight="true" outlineLevel="0" collapsed="false">
      <c r="A14" s="258" t="s">
        <v>1023</v>
      </c>
      <c r="B14" s="258" t="s">
        <v>1024</v>
      </c>
      <c r="C14" s="258" t="s">
        <v>1025</v>
      </c>
      <c r="D14" s="259" t="s">
        <v>1026</v>
      </c>
      <c r="E14" s="259"/>
      <c r="F14" s="259"/>
    </row>
    <row r="16" customFormat="false" ht="15" hidden="false" customHeight="true" outlineLevel="0" collapsed="false">
      <c r="A16" s="256" t="s">
        <v>1027</v>
      </c>
      <c r="B16" s="256"/>
      <c r="C16" s="256"/>
      <c r="D16" s="256"/>
      <c r="E16" s="256"/>
      <c r="F16" s="256"/>
    </row>
    <row r="17" customFormat="false" ht="15" hidden="false" customHeight="true" outlineLevel="0" collapsed="false">
      <c r="A17" s="257" t="s">
        <v>1011</v>
      </c>
      <c r="B17" s="257" t="s">
        <v>1012</v>
      </c>
      <c r="C17" s="257" t="s">
        <v>1013</v>
      </c>
      <c r="D17" s="257" t="s">
        <v>1014</v>
      </c>
    </row>
    <row r="18" customFormat="false" ht="79.5" hidden="false" customHeight="true" outlineLevel="0" collapsed="false">
      <c r="A18" s="258" t="s">
        <v>1023</v>
      </c>
      <c r="B18" s="258" t="s">
        <v>1028</v>
      </c>
      <c r="C18" s="258" t="s">
        <v>1029</v>
      </c>
      <c r="D18" s="259" t="s">
        <v>1030</v>
      </c>
      <c r="E18" s="259"/>
      <c r="F18" s="259"/>
    </row>
    <row r="20" customFormat="false" ht="15" hidden="false" customHeight="true" outlineLevel="0" collapsed="false">
      <c r="A20" s="256" t="s">
        <v>1031</v>
      </c>
      <c r="B20" s="256"/>
      <c r="C20" s="256"/>
      <c r="D20" s="256"/>
      <c r="E20" s="256"/>
      <c r="F20" s="256"/>
    </row>
    <row r="21" customFormat="false" ht="15" hidden="false" customHeight="true" outlineLevel="0" collapsed="false">
      <c r="A21" s="257" t="s">
        <v>1011</v>
      </c>
      <c r="B21" s="257" t="s">
        <v>1012</v>
      </c>
      <c r="C21" s="257" t="s">
        <v>1013</v>
      </c>
      <c r="D21" s="257" t="s">
        <v>1014</v>
      </c>
    </row>
    <row r="22" customFormat="false" ht="96" hidden="false" customHeight="true" outlineLevel="0" collapsed="false">
      <c r="A22" s="258" t="s">
        <v>1032</v>
      </c>
      <c r="B22" s="258" t="s">
        <v>1016</v>
      </c>
      <c r="C22" s="258" t="s">
        <v>1033</v>
      </c>
      <c r="D22" s="259" t="s">
        <v>1034</v>
      </c>
      <c r="E22" s="259"/>
      <c r="F22" s="259"/>
    </row>
    <row r="24" customFormat="false" ht="15" hidden="false" customHeight="true" outlineLevel="0" collapsed="false">
      <c r="A24" s="256" t="s">
        <v>1035</v>
      </c>
      <c r="B24" s="256"/>
      <c r="C24" s="256"/>
      <c r="D24" s="256"/>
      <c r="E24" s="256"/>
      <c r="F24" s="256"/>
    </row>
    <row r="25" customFormat="false" ht="15" hidden="false" customHeight="true" outlineLevel="0" collapsed="false">
      <c r="A25" s="257" t="s">
        <v>1011</v>
      </c>
      <c r="B25" s="257" t="s">
        <v>1012</v>
      </c>
      <c r="C25" s="257" t="s">
        <v>1013</v>
      </c>
      <c r="D25" s="257" t="s">
        <v>1014</v>
      </c>
    </row>
    <row r="26" customFormat="false" ht="45.75" hidden="false" customHeight="true" outlineLevel="0" collapsed="false">
      <c r="A26" s="258" t="s">
        <v>1023</v>
      </c>
      <c r="B26" s="258" t="s">
        <v>1036</v>
      </c>
      <c r="C26" s="258" t="s">
        <v>1037</v>
      </c>
      <c r="D26" s="259" t="s">
        <v>1038</v>
      </c>
      <c r="E26" s="259"/>
      <c r="F26" s="259"/>
    </row>
    <row r="28" customFormat="false" ht="15" hidden="false" customHeight="true" outlineLevel="0" collapsed="false">
      <c r="A28" s="256" t="s">
        <v>1039</v>
      </c>
      <c r="B28" s="256"/>
      <c r="C28" s="256"/>
      <c r="D28" s="256"/>
      <c r="E28" s="256"/>
      <c r="F28" s="256"/>
    </row>
    <row r="29" customFormat="false" ht="15" hidden="false" customHeight="true" outlineLevel="0" collapsed="false">
      <c r="A29" s="257" t="s">
        <v>1011</v>
      </c>
      <c r="B29" s="257" t="s">
        <v>1012</v>
      </c>
      <c r="C29" s="257" t="s">
        <v>1013</v>
      </c>
      <c r="D29" s="257" t="s">
        <v>1014</v>
      </c>
    </row>
    <row r="30" customFormat="false" ht="24" hidden="false" customHeight="true" outlineLevel="0" collapsed="false">
      <c r="A30" s="258" t="s">
        <v>1040</v>
      </c>
      <c r="B30" s="258" t="s">
        <v>1041</v>
      </c>
      <c r="C30" s="258" t="s">
        <v>1042</v>
      </c>
      <c r="D30" s="259" t="s">
        <v>1043</v>
      </c>
      <c r="E30" s="259"/>
      <c r="F30" s="259"/>
    </row>
    <row r="32" customFormat="false" ht="15" hidden="false" customHeight="true" outlineLevel="0" collapsed="false">
      <c r="A32" s="256" t="s">
        <v>1044</v>
      </c>
      <c r="B32" s="256"/>
      <c r="C32" s="256"/>
      <c r="D32" s="256"/>
      <c r="E32" s="256"/>
      <c r="F32" s="256"/>
    </row>
    <row r="33" customFormat="false" ht="15" hidden="false" customHeight="true" outlineLevel="0" collapsed="false">
      <c r="A33" s="257" t="s">
        <v>1011</v>
      </c>
      <c r="B33" s="257" t="s">
        <v>1012</v>
      </c>
      <c r="C33" s="257" t="s">
        <v>1013</v>
      </c>
      <c r="D33" s="257" t="s">
        <v>1014</v>
      </c>
    </row>
    <row r="34" customFormat="false" ht="99.75" hidden="false" customHeight="true" outlineLevel="0" collapsed="false">
      <c r="A34" s="258" t="s">
        <v>1023</v>
      </c>
      <c r="B34" s="258" t="s">
        <v>1045</v>
      </c>
      <c r="C34" s="258" t="s">
        <v>1046</v>
      </c>
      <c r="D34" s="259" t="s">
        <v>1047</v>
      </c>
      <c r="E34" s="259"/>
      <c r="F34" s="259"/>
    </row>
    <row r="36" customFormat="false" ht="15" hidden="false" customHeight="true" outlineLevel="0" collapsed="false">
      <c r="A36" s="256" t="s">
        <v>1048</v>
      </c>
      <c r="B36" s="256"/>
      <c r="C36" s="256"/>
      <c r="D36" s="256"/>
      <c r="E36" s="256"/>
      <c r="F36" s="256"/>
    </row>
    <row r="37" customFormat="false" ht="15" hidden="false" customHeight="true" outlineLevel="0" collapsed="false">
      <c r="A37" s="257" t="s">
        <v>1011</v>
      </c>
      <c r="B37" s="257" t="s">
        <v>1012</v>
      </c>
      <c r="C37" s="257" t="s">
        <v>1013</v>
      </c>
      <c r="D37" s="257" t="s">
        <v>1014</v>
      </c>
    </row>
    <row r="38" customFormat="false" ht="36" hidden="false" customHeight="true" outlineLevel="0" collapsed="false">
      <c r="A38" s="258" t="s">
        <v>1032</v>
      </c>
      <c r="B38" s="258" t="s">
        <v>1016</v>
      </c>
      <c r="C38" s="258" t="s">
        <v>1049</v>
      </c>
      <c r="D38" s="259" t="s">
        <v>1050</v>
      </c>
      <c r="E38" s="259"/>
      <c r="F38" s="259"/>
    </row>
    <row r="40" customFormat="false" ht="15" hidden="false" customHeight="true" outlineLevel="0" collapsed="false">
      <c r="A40" s="256" t="s">
        <v>1051</v>
      </c>
      <c r="B40" s="256"/>
      <c r="C40" s="256"/>
      <c r="D40" s="256"/>
      <c r="E40" s="256"/>
      <c r="F40" s="256"/>
    </row>
    <row r="41" customFormat="false" ht="15" hidden="false" customHeight="true" outlineLevel="0" collapsed="false">
      <c r="A41" s="257" t="s">
        <v>1011</v>
      </c>
      <c r="B41" s="257" t="s">
        <v>1012</v>
      </c>
      <c r="C41" s="257" t="s">
        <v>1013</v>
      </c>
      <c r="D41" s="257" t="s">
        <v>1014</v>
      </c>
    </row>
    <row r="42" customFormat="false" ht="180" hidden="false" customHeight="true" outlineLevel="0" collapsed="false">
      <c r="A42" s="258" t="s">
        <v>1052</v>
      </c>
      <c r="B42" s="258" t="s">
        <v>1016</v>
      </c>
      <c r="C42" s="258" t="s">
        <v>1053</v>
      </c>
      <c r="D42" s="259" t="s">
        <v>1054</v>
      </c>
      <c r="E42" s="259"/>
      <c r="F42" s="259"/>
    </row>
    <row r="44" customFormat="false" ht="15" hidden="false" customHeight="true" outlineLevel="0" collapsed="false">
      <c r="A44" s="256" t="s">
        <v>1055</v>
      </c>
      <c r="B44" s="256"/>
      <c r="C44" s="256"/>
      <c r="D44" s="256"/>
      <c r="E44" s="256"/>
      <c r="F44" s="256"/>
    </row>
    <row r="45" customFormat="false" ht="15" hidden="false" customHeight="true" outlineLevel="0" collapsed="false">
      <c r="A45" s="257" t="s">
        <v>1011</v>
      </c>
      <c r="B45" s="257" t="s">
        <v>1012</v>
      </c>
      <c r="C45" s="257" t="s">
        <v>1013</v>
      </c>
      <c r="D45" s="257" t="s">
        <v>1014</v>
      </c>
    </row>
    <row r="46" customFormat="false" ht="90.75" hidden="false" customHeight="true" outlineLevel="0" collapsed="false">
      <c r="A46" s="258" t="s">
        <v>1056</v>
      </c>
      <c r="B46" s="258" t="s">
        <v>1016</v>
      </c>
      <c r="C46" s="258" t="s">
        <v>1057</v>
      </c>
      <c r="D46" s="259" t="s">
        <v>1058</v>
      </c>
      <c r="E46" s="259"/>
      <c r="F46" s="259"/>
    </row>
    <row r="48" customFormat="false" ht="15" hidden="false" customHeight="true" outlineLevel="0" collapsed="false">
      <c r="A48" s="256" t="s">
        <v>1059</v>
      </c>
      <c r="B48" s="256"/>
      <c r="C48" s="256"/>
      <c r="D48" s="256"/>
      <c r="E48" s="256"/>
      <c r="F48" s="256"/>
    </row>
    <row r="49" customFormat="false" ht="15" hidden="false" customHeight="true" outlineLevel="0" collapsed="false">
      <c r="A49" s="257" t="s">
        <v>1011</v>
      </c>
      <c r="B49" s="257" t="s">
        <v>1012</v>
      </c>
      <c r="C49" s="257" t="s">
        <v>1013</v>
      </c>
      <c r="D49" s="257" t="s">
        <v>1014</v>
      </c>
    </row>
    <row r="50" customFormat="false" ht="27.75" hidden="false" customHeight="true" outlineLevel="0" collapsed="false">
      <c r="A50" s="258" t="s">
        <v>1023</v>
      </c>
      <c r="B50" s="258" t="s">
        <v>1060</v>
      </c>
      <c r="C50" s="258" t="s">
        <v>1061</v>
      </c>
      <c r="D50" s="259" t="s">
        <v>1062</v>
      </c>
      <c r="E50" s="259"/>
      <c r="F50" s="259"/>
    </row>
    <row r="52" customFormat="false" ht="15" hidden="false" customHeight="true" outlineLevel="0" collapsed="false">
      <c r="A52" s="256" t="s">
        <v>1063</v>
      </c>
      <c r="B52" s="256"/>
      <c r="C52" s="256"/>
      <c r="D52" s="256"/>
      <c r="E52" s="256"/>
      <c r="F52" s="256"/>
    </row>
    <row r="53" customFormat="false" ht="15" hidden="false" customHeight="true" outlineLevel="0" collapsed="false">
      <c r="A53" s="257" t="s">
        <v>1011</v>
      </c>
      <c r="B53" s="257" t="s">
        <v>1012</v>
      </c>
      <c r="C53" s="257" t="s">
        <v>1013</v>
      </c>
      <c r="D53" s="257" t="s">
        <v>1014</v>
      </c>
    </row>
    <row r="54" customFormat="false" ht="27.75" hidden="false" customHeight="true" outlineLevel="0" collapsed="false">
      <c r="A54" s="258" t="s">
        <v>1023</v>
      </c>
      <c r="B54" s="258" t="s">
        <v>1064</v>
      </c>
      <c r="C54" s="258" t="s">
        <v>1065</v>
      </c>
      <c r="D54" s="259" t="s">
        <v>1066</v>
      </c>
      <c r="E54" s="259"/>
      <c r="F54" s="259"/>
    </row>
    <row r="56" customFormat="false" ht="15" hidden="false" customHeight="true" outlineLevel="0" collapsed="false">
      <c r="A56" s="256" t="s">
        <v>1067</v>
      </c>
      <c r="B56" s="256"/>
      <c r="C56" s="256"/>
      <c r="D56" s="256"/>
      <c r="E56" s="256"/>
      <c r="F56" s="256"/>
    </row>
    <row r="57" customFormat="false" ht="15" hidden="false" customHeight="true" outlineLevel="0" collapsed="false">
      <c r="A57" s="257" t="s">
        <v>1011</v>
      </c>
      <c r="B57" s="257" t="s">
        <v>1012</v>
      </c>
      <c r="C57" s="257" t="s">
        <v>1013</v>
      </c>
      <c r="D57" s="257" t="s">
        <v>1014</v>
      </c>
    </row>
    <row r="58" customFormat="false" ht="60" hidden="false" customHeight="true" outlineLevel="0" collapsed="false">
      <c r="A58" s="258" t="s">
        <v>1040</v>
      </c>
      <c r="B58" s="258" t="s">
        <v>1068</v>
      </c>
      <c r="C58" s="258" t="s">
        <v>1069</v>
      </c>
      <c r="D58" s="259" t="s">
        <v>1070</v>
      </c>
      <c r="E58" s="259"/>
      <c r="F58" s="259"/>
    </row>
    <row r="60" customFormat="false" ht="15" hidden="false" customHeight="true" outlineLevel="0" collapsed="false">
      <c r="A60" s="256" t="s">
        <v>1071</v>
      </c>
      <c r="B60" s="256"/>
      <c r="C60" s="256"/>
      <c r="D60" s="256"/>
      <c r="E60" s="256"/>
      <c r="F60" s="256"/>
    </row>
    <row r="61" customFormat="false" ht="15" hidden="false" customHeight="true" outlineLevel="0" collapsed="false">
      <c r="A61" s="257" t="s">
        <v>1011</v>
      </c>
      <c r="B61" s="257" t="s">
        <v>1012</v>
      </c>
      <c r="C61" s="257" t="s">
        <v>1013</v>
      </c>
      <c r="D61" s="257" t="s">
        <v>1014</v>
      </c>
    </row>
    <row r="62" customFormat="false" ht="96" hidden="false" customHeight="true" outlineLevel="0" collapsed="false">
      <c r="A62" s="258" t="s">
        <v>1040</v>
      </c>
      <c r="B62" s="258" t="s">
        <v>1072</v>
      </c>
      <c r="C62" s="258" t="s">
        <v>1073</v>
      </c>
      <c r="D62" s="259" t="s">
        <v>1074</v>
      </c>
      <c r="E62" s="259"/>
      <c r="F62" s="259"/>
    </row>
    <row r="64" customFormat="false" ht="15" hidden="false" customHeight="true" outlineLevel="0" collapsed="false">
      <c r="A64" s="256" t="s">
        <v>1075</v>
      </c>
      <c r="B64" s="256"/>
      <c r="C64" s="256"/>
      <c r="D64" s="256"/>
      <c r="E64" s="256"/>
      <c r="F64" s="256"/>
    </row>
    <row r="65" customFormat="false" ht="15" hidden="false" customHeight="true" outlineLevel="0" collapsed="false">
      <c r="A65" s="257" t="s">
        <v>1011</v>
      </c>
      <c r="B65" s="257" t="s">
        <v>1012</v>
      </c>
      <c r="C65" s="257" t="s">
        <v>1013</v>
      </c>
      <c r="D65" s="257" t="s">
        <v>1014</v>
      </c>
    </row>
    <row r="66" customFormat="false" ht="177" hidden="false" customHeight="true" outlineLevel="0" collapsed="false">
      <c r="A66" s="258" t="s">
        <v>1023</v>
      </c>
      <c r="B66" s="258" t="s">
        <v>1076</v>
      </c>
      <c r="C66" s="258" t="s">
        <v>1077</v>
      </c>
      <c r="D66" s="259" t="s">
        <v>1078</v>
      </c>
      <c r="E66" s="259"/>
      <c r="F66" s="259"/>
    </row>
    <row r="68" customFormat="false" ht="15" hidden="false" customHeight="true" outlineLevel="0" collapsed="false">
      <c r="A68" s="256" t="s">
        <v>1079</v>
      </c>
      <c r="B68" s="256"/>
      <c r="C68" s="256"/>
      <c r="D68" s="256"/>
      <c r="E68" s="256"/>
      <c r="F68" s="256"/>
    </row>
    <row r="69" customFormat="false" ht="15" hidden="false" customHeight="true" outlineLevel="0" collapsed="false">
      <c r="A69" s="257" t="s">
        <v>1011</v>
      </c>
      <c r="B69" s="257" t="s">
        <v>1012</v>
      </c>
      <c r="C69" s="257" t="s">
        <v>1013</v>
      </c>
      <c r="D69" s="257" t="s">
        <v>1014</v>
      </c>
    </row>
    <row r="70" customFormat="false" ht="15" hidden="false" customHeight="true" outlineLevel="0" collapsed="false">
      <c r="A70" s="258" t="s">
        <v>1023</v>
      </c>
      <c r="B70" s="258" t="s">
        <v>1080</v>
      </c>
      <c r="C70" s="258" t="s">
        <v>1081</v>
      </c>
      <c r="D70" s="259" t="s">
        <v>1082</v>
      </c>
      <c r="E70" s="259"/>
      <c r="F70" s="259"/>
    </row>
    <row r="72" customFormat="false" ht="15" hidden="false" customHeight="true" outlineLevel="0" collapsed="false">
      <c r="A72" s="256" t="s">
        <v>1083</v>
      </c>
      <c r="B72" s="256"/>
      <c r="C72" s="256"/>
      <c r="D72" s="256"/>
      <c r="E72" s="256"/>
      <c r="F72" s="256"/>
    </row>
    <row r="73" customFormat="false" ht="15" hidden="false" customHeight="true" outlineLevel="0" collapsed="false">
      <c r="A73" s="257" t="s">
        <v>1011</v>
      </c>
      <c r="B73" s="257" t="s">
        <v>1012</v>
      </c>
      <c r="C73" s="257" t="s">
        <v>1013</v>
      </c>
      <c r="D73" s="257" t="s">
        <v>1014</v>
      </c>
    </row>
    <row r="74" customFormat="false" ht="60" hidden="false" customHeight="true" outlineLevel="0" collapsed="false">
      <c r="A74" s="258" t="s">
        <v>1023</v>
      </c>
      <c r="B74" s="258" t="s">
        <v>1084</v>
      </c>
      <c r="C74" s="258" t="s">
        <v>1085</v>
      </c>
      <c r="D74" s="259" t="s">
        <v>1086</v>
      </c>
      <c r="E74" s="259"/>
      <c r="F74" s="259"/>
    </row>
    <row r="76" customFormat="false" ht="15" hidden="false" customHeight="true" outlineLevel="0" collapsed="false">
      <c r="A76" s="256" t="s">
        <v>1087</v>
      </c>
      <c r="B76" s="256"/>
      <c r="C76" s="256"/>
      <c r="D76" s="256"/>
      <c r="E76" s="256"/>
      <c r="F76" s="256"/>
    </row>
    <row r="77" customFormat="false" ht="15" hidden="false" customHeight="true" outlineLevel="0" collapsed="false">
      <c r="A77" s="257" t="s">
        <v>1011</v>
      </c>
      <c r="B77" s="257" t="s">
        <v>1012</v>
      </c>
      <c r="C77" s="257" t="s">
        <v>1013</v>
      </c>
      <c r="D77" s="257" t="s">
        <v>1014</v>
      </c>
    </row>
    <row r="78" customFormat="false" ht="24" hidden="false" customHeight="true" outlineLevel="0" collapsed="false">
      <c r="A78" s="258" t="s">
        <v>1023</v>
      </c>
      <c r="B78" s="258" t="s">
        <v>1088</v>
      </c>
      <c r="C78" s="258" t="s">
        <v>1089</v>
      </c>
      <c r="D78" s="259" t="s">
        <v>1090</v>
      </c>
      <c r="E78" s="259"/>
      <c r="F78" s="259"/>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2026-10-10T12:29:14Z</dcterms:modified>
  <cp:revision>389</cp:revision>
  <dc:subject/>
  <dc:title/>
</cp:coreProperties>
</file>

<file path=docProps/custom.xml><?xml version="1.0" encoding="utf-8"?>
<Properties xmlns="http://schemas.openxmlformats.org/officeDocument/2006/custom-properties" xmlns:vt="http://schemas.openxmlformats.org/officeDocument/2006/docPropsVTypes"/>
</file>