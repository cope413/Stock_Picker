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<sst xmlns="http://schemas.openxmlformats.org/spreadsheetml/2006/main" count="2586" uniqueCount="1039">
  <si>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</si>
  <si>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</si>
  <si>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</si>
  <si>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</si>
  <si>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</si>
  <si>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</si>
  <si>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</si>
  <si>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</si>
  <si>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</si>
  <si>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</si>
  <si>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</si>
  <si>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</si>
  <si>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</si>
  <si>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</si>
  <si>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</si>
  <si>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</si>
  <si>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</si>
  <si>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</si>
  <si>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</si>
  <si>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</si>
  <si>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</si>
  <si>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</si>
  <si>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</si>
  <si>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</si>
  <si>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</si>
  <si>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</si>
  <si>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</si>
  <si>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</si>
  <si>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</si>
  <si>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</si>
  <si>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</si>
  <si>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</si>
  <si>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</si>
  <si>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</si>
  <si>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</si>
  <si>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</si>
  <si>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</si>
  <si>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</si>
  <si>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</si>
  <si>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</si>
  <si>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</si>
  <si>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</si>
  <si>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</si>
  <si>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</si>
  <si>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</si>
  <si>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</si>
  <si>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</si>
  <si>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</si>
  <si>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</si>
  <si>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</si>
  <si>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</si>
  <si>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</si>
  <si>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</si>
  <si>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</si>
  <si>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</si>
  <si>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</si>
  <si>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</si>
  <si>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</si>
  <si>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</si>
  <si>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</si>
  <si>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</si>
  <si>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</si>
  <si>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</si>
  <si>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</si>
  <si>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</si>
  <si>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</si>
  <si>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</si>
  <si>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</si>
  <si>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</si>
  <si>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</si>
  <si>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</si>
  <si>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</si>
  <si>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</si>
  <si>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</si>
  <si>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</si>
  <si>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</si>
  <si>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</si>
  <si>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</si>
  <si>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</si>
  <si>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</si>
  <si>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</si>
  <si>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</si>
  <si>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</si>
  <si>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</si>
  <si>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</si>
  <si>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</si>
  <si>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</si>
  <si>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</si>
  <si>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</si>
  <si>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</si>
  <si>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</si>
  <si>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</si>
  <si>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</si>
  <si>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</si>
  <si>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</si>
  <si>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</si>
  <si>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</si>
  <si>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</si>
  <si>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</si>
  <si>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</si>
  <si>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</si>
  <si>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</si>
  <si>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</si>
  <si>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</si>
  <si>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</si>
  <si>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</si>
  <si>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</si>
  <si>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</si>
  <si>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</si>
  <si>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</si>
  <si>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</si>
  <si>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</si>
  <si>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</si>
  <si>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</si>
  <si>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</si>
  <si>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</si>
  <si>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</si>
  <si>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</si>
  <si>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</si>
  <si>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</si>
  <si>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</si>
  <si>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</si>
  <si>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</si>
  <si>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</si>
  <si>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</si>
  <si>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</si>
  <si>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</si>
  <si>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</si>
  <si>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</si>
  <si>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</si>
  <si>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</si>
  <si>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</si>
  <si>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</si>
  <si>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</si>
  <si>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</si>
  <si>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</si>
  <si>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</si>
  <si>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</si>
  <si>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</si>
  <si>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</si>
  <si>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</si>
  <si>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</si>
  <si>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</si>
  <si>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</si>
  <si>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</si>
  <si>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</si>
  <si>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</si>
  <si>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</si>
  <si>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</si>
  <si>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</si>
  <si>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</si>
  <si>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</si>
  <si>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</si>
  <si>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</si>
  <si>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</si>
  <si>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</si>
  <si>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</si>
  <si>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</si>
  <si>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</si>
  <si>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</si>
  <si>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</si>
  <si>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</si>
  <si>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</si>
  <si>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</si>
  <si>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</si>
  <si>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</si>
  <si>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</si>
  <si>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</si>
  <si>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</si>
  <si>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</si>
  <si>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</si>
  <si>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</si>
  <si>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</si>
  <si>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</si>
  <si>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</si>
  <si>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</si>
  <si>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</si>
  <si>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</si>
  <si>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</si>
  <si>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</si>
  <si>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</si>
  <si>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</si>
  <si>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</si>
  <si>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</si>
  <si>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</si>
  <si>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</si>
  <si>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</si>
  <si>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</si>
  <si>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</si>
  <si>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</si>
  <si>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</si>
  <si>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</si>
  <si>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</si>
  <si>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</si>
  <si>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</si>
  <si>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</si>
  <si>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</si>
  <si>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</si>
  <si>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</si>
  <si>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</si>
  <si>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</si>
  <si>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</si>
  <si>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</si>
  <si>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</si>
  <si>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</si>
  <si>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</si>
  <si>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</si>
  <si>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</si>
  <si>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</si>
  <si>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</si>
  <si>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</si>
  <si>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</si>
  <si>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</si>
  <si>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</si>
  <si>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</si>
  <si>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</si>
  <si>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</si>
  <si>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</si>
  <si>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</si>
  <si>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</si>
  <si>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</si>
  <si>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</si>
  <si>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</si>
  <si>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</si>
  <si>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</si>
  <si>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</si>
  <si>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</si>
  <si>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</si>
  <si>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</si>
  <si>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</si>
  <si>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</si>
  <si>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</si>
  <si>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</si>
  <si>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</si>
  <si>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</si>
  <si>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</si>
  <si>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</si>
  <si>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</si>
  <si>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</si>
  <si>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</si>
  <si>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</si>
  <si>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</si>
  <si>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</si>
  <si>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</si>
  <si>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</si>
  <si>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</si>
  <si>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</si>
  <si>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</si>
  <si>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</si>
  <si>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</si>
  <si>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</si>
  <si>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</si>
  <si>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</si>
  <si>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</si>
  <si>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</si>
  <si>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</si>
  <si>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</si>
  <si>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</si>
  <si>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</si>
  <si>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</si>
  <si>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</si>
  <si>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</si>
  <si>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</si>
  <si>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</si>
  <si>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</si>
  <si>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</si>
  <si>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</si>
  <si>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</si>
  <si>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</si>
  <si>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</si>
  <si>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</si>
  <si>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</si>
  <si>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</si>
  <si>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</si>
  <si>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</si>
  <si>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</si>
  <si>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</si>
  <si>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</si>
  <si>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</si>
  <si>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</si>
  <si>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</si>
  <si>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</si>
  <si>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</si>
  <si>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</si>
  <si>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</si>
  <si>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</si>
  <si>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</si>
  <si>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</si>
  <si>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</si>
  <si>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</si>
  <si>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</si>
  <si>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</si>
  <si>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</si>
  <si>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</si>
  <si>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</si>
  <si>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</si>
  <si>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</si>
  <si>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</si>
  <si>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</si>
  <si>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</si>
  <si>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</si>
  <si>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</si>
  <si>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</si>
  <si>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</si>
  <si>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</si>
  <si>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</si>
  <si>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</si>
  <si>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</si>
  <si>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</si>
  <si>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</si>
  <si>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</si>
  <si>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</si>
  <si>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</si>
  <si>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</si>
  <si>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</si>
  <si>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</si>
  <si>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</si>
  <si>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</si>
  <si>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</si>
  <si>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</si>
  <si>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</si>
  <si>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</si>
  <si>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</si>
  <si>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</si>
  <si>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</si>
  <si>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</si>
  <si>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</si>
  <si>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</si>
  <si>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</si>
  <si>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</si>
  <si>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</si>
  <si>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</si>
  <si>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</si>
  <si>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</si>
  <si>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</si>
  <si>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</si>
  <si>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</si>
  <si>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</si>
  <si>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</si>
  <si>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</si>
  <si>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</si>
  <si>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</si>
  <si>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</si>
  <si>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</si>
  <si>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</si>
  <si>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</si>
  <si>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</si>
  <si>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</si>
  <si>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</si>
  <si>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</si>
  <si>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</si>
  <si>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</si>
  <si>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</si>
  <si>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</si>
  <si>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</si>
  <si>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</si>
  <si>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</si>
  <si>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</si>
  <si>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</si>
  <si>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</si>
  <si>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</si>
  <si>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</si>
  <si>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</si>
  <si>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</si>
  <si>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</si>
  <si>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</si>
  <si>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</si>
  <si>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</si>
  <si>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</si>
  <si>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</si>
  <si>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</si>
  <si>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</si>
  <si>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</si>
  <si>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</si>
  <si>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</si>
  <si>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</si>
  <si>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</si>
  <si>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</si>
  <si>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</si>
  <si>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</si>
  <si>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</si>
  <si>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</si>
  <si>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</si>
  <si>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</si>
  <si>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</si>
  <si>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</si>
  <si>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</si>
  <si>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</si>
  <si>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</si>
  <si>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</si>
  <si>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</si>
  <si>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</si>
  <si>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</si>
  <si>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</si>
  <si>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</si>
  <si>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</si>
  <si>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</si>
  <si>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</si>
  <si>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</si>
  <si>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</si>
  <si>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</si>
  <si>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</si>
  <si>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</si>
  <si>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</si>
  <si>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</si>
  <si>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</si>
  <si>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</si>
  <si>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</si>
  <si>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</si>
  <si>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</si>
  <si>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</si>
  <si>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</si>
  <si>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</si>
  <si>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</si>
  <si>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</si>
  <si>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</si>
  <si>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</si>
  <si>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</si>
  <si>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</si>
  <si>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</si>
  <si>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</si>
  <si>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</si>
  <si>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</si>
  <si>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</si>
  <si>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</si>
  <si>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</si>
  <si>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</si>
  <si>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</si>
  <si>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</si>
  <si>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</si>
  <si>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</si>
  <si>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</si>
  <si>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</si>
  <si>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</si>
  <si>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</si>
  <si>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</si>
  <si>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</si>
  <si>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</si>
  <si>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</si>
  <si>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</si>
  <si>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</si>
  <si>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</si>
  <si>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</si>
  <si>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</si>
  <si>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</si>
  <si>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</si>
  <si>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</si>
  <si>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</si>
  <si>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</si>
  <si>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</si>
  <si>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</si>
  <si>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</si>
  <si>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</si>
  <si>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</si>
  <si>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</si>
  <si>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</si>
  <si>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</si>
  <si>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</si>
  <si>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</si>
  <si>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</si>
  <si>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</si>
  <si>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</si>
  <si>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</si>
  <si>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</si>
  <si>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</si>
  <si>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</si>
  <si>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</si>
  <si>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</si>
  <si>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</si>
  <si>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</si>
  <si>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</si>
  <si>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</si>
  <si>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</si>
  <si>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</si>
  <si>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</si>
  <si>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</si>
  <si>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</si>
  <si>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</si>
  <si>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</si>
  <si>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</si>
  <si>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</si>
  <si>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</si>
  <si>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</si>
  <si>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</si>
  <si>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</si>
  <si>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</si>
  <si>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</si>
  <si>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</si>
  <si>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</si>
  <si>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</si>
  <si>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</si>
  <si>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</si>
  <si>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</si>
  <si>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</si>
  <si>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</si>
  <si>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</si>
  <si>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</si>
  <si>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</si>
  <si>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</si>
  <si>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</si>
  <si>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</si>
  <si>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</si>
  <si>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</si>
  <si>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</si>
  <si>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</si>
  <si>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</si>
  <si>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</si>
  <si>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</si>
  <si>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</si>
  <si>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</si>
  <si>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</si>
  <si>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</si>
  <si>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</si>
  <si>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</si>
  <si>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</si>
  <si>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</si>
  <si>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</si>
  <si>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</si>
  <si>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</si>
  <si>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</si>
  <si>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</si>
  <si>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</si>
  <si>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</si>
  <si>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</si>
  <si>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</si>
  <si>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</si>
  <si>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</si>
  <si>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</si>
  <si>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</si>
  <si>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</si>
  <si>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</si>
  <si>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</si>
  <si>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</si>
  <si>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</si>
  <si>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</si>
  <si>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</si>
  <si>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</si>
  <si>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</si>
  <si>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</si>
  <si>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</si>
  <si>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</si>
  <si>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</si>
  <si>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</si>
  <si>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</si>
  <si>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</si>
  <si>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</si>
  <si>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</si>
  <si>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</si>
  <si>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</si>
  <si>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</si>
  <si>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</si>
  <si>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</si>
  <si>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</si>
  <si>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</si>
  <si>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</si>
  <si>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</si>
  <si>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</si>
  <si>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</si>
  <si>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</si>
  <si>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</si>
  <si>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</si>
  <si>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</si>
  <si>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</si>
  <si>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</si>
  <si>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</si>
  <si>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</si>
  <si>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</si>
  <si>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</si>
  <si>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</si>
  <si>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</si>
  <si>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</si>
  <si>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</si>
  <si>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</si>
  <si>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</si>
  <si>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</si>
  <si>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</si>
  <si>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</si>
  <si>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</si>
  <si>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</si>
  <si>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</si>
  <si>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</si>
  <si>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</si>
  <si>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</si>
  <si>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</si>
  <si>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</si>
  <si>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</si>
  <si>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</si>
  <si>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</si>
  <si>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</si>
  <si>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</si>
  <si>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</si>
  <si>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</si>
  <si>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</si>
  <si>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</si>
  <si>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</si>
  <si>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</si>
  <si>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</si>
  <si>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</si>
  <si>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</si>
  <si>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</si>
  <si>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</si>
  <si>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</si>
  <si>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</si>
  <si>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</si>
  <si>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</si>
  <si>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</si>
  <si>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</si>
  <si>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</si>
  <si>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</si>
  <si>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</si>
  <si>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</si>
  <si>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</si>
  <si>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</si>
  <si>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</si>
  <si>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</si>
  <si>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</si>
  <si>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</si>
  <si>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</si>
  <si>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</si>
  <si>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</si>
  <si>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</si>
  <si>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</si>
  <si>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</si>
  <si>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</si>
  <si>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</si>
  <si>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</si>
  <si>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</si>
  <si>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</si>
  <si>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</si>
  <si>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</si>
  <si>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</si>
  <si>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</si>
  <si>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</si>
  <si>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</si>
  <si>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</si>
  <si>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</si>
  <si>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</si>
  <si>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</si>
  <si>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</si>
  <si>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</si>
  <si>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</si>
  <si>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</si>
  <si>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</si>
  <si>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</si>
  <si>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</si>
  <si>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</si>
  <si>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</si>
  <si>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</si>
  <si>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</si>
  <si>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</si>
  <si>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</si>
  <si>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</si>
  <si>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</si>
  <si>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</si>
  <si>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</si>
  <si>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</si>
  <si>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</si>
  <si>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</si>
  <si>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</si>
  <si>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</si>
  <si>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</si>
  <si>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</si>
  <si>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</si>
  <si>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</si>
  <si>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</si>
  <si>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</si>
  <si>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</si>
  <si>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</si>
  <si>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</si>
  <si>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</si>
  <si>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</si>
  <si>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</si>
  <si>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</si>
  <si>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</si>
  <si>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</si>
  <si>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</si>
  <si>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</si>
  <si>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</si>
  <si>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</si>
  <si>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</si>
  <si>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</si>
  <si>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</si>
  <si>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</si>
  <si>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</si>
  <si>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</si>
  <si>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</si>
  <si>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</si>
  <si>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</si>
  <si>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</si>
  <si>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</si>
  <si>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</si>
  <si>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</si>
  <si>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</si>
  <si>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</si>
  <si>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</si>
  <si>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</si>
  <si>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</si>
  <si>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</si>
  <si>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</si>
  <si>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</si>
  <si>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</si>
  <si>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</si>
  <si>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</si>
  <si>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</si>
  <si>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</si>
  <si>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</si>
  <si>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</si>
  <si>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</si>
  <si>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</si>
  <si>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</si>
  <si>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</si>
  <si>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</si>
  <si>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</si>
  <si>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</si>
  <si>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</si>
  <si>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</si>
  <si>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</si>
  <si>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</si>
  <si>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</si>
  <si>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</si>
  <si>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</si>
  <si>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</si>
  <si>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</si>
  <si>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</si>
  <si>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</si>
  <si>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</si>
  <si>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</si>
  <si>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</si>
  <si>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</si>
  <si>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</si>
  <si>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</si>
  <si>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</si>
  <si>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</si>
  <si>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</si>
  <si>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</si>
  <si>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</si>
  <si>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</si>
  <si>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</si>
  <si>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</si>
  <si>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</si>
  <si>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</si>
  <si>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</si>
  <si>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</si>
  <si>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</si>
  <si>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</si>
  <si>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</si>
  <si>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</si>
  <si>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</si>
  <si>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</si>
  <si>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</si>
  <si>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</si>
  <si>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</si>
  <si>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</si>
  <si>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</si>
  <si>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</si>
  <si>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</si>
  <si>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</si>
  <si>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</si>
  <si>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</si>
  <si>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</si>
  <si>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</si>
  <si>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</si>
  <si>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</si>
  <si>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</si>
  <si>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</si>
  <si>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</si>
  <si>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</si>
  <si>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</si>
  <si>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</si>
  <si>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</si>
  <si>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</si>
  <si>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</si>
  <si>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</si>
  <si>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</si>
  <si>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</si>
  <si>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</si>
  <si>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</si>
  <si>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</si>
  <si>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</si>
  <si>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</si>
  <si>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</si>
  <si>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</si>
  <si>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</si>
  <si>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</si>
  <si>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</si>
  <si>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</si>
  <si>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</si>
  <si>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</si>
  <si>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</si>
  <si>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</si>
  <si>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</si>
  <si>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</si>
  <si>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</si>
  <si>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</si>
  <si>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</si>
  <si>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</si>
  <si>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</si>
  <si>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</si>
  <si>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</si>
  <si>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</si>
  <si>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</si>
  <si>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</si>
  <si>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</si>
  <si>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</si>
  <si>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</si>
  <si>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</si>
  <si>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</si>
  <si>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</si>
  <si>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</si>
  <si>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</si>
  <si>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</si>
  <si>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</si>
  <si>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</si>
  <si>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</si>
  <si>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</si>
  <si>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</si>
  <si>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</si>
  <si>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</si>
  <si>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</si>
  <si>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</si>
  <si>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</si>
  <si>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</si>
  <si>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</si>
  <si>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</si>
  <si>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</si>
  <si>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</si>
  <si>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</si>
  <si>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</si>
  <si>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</si>
  <si>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</si>
  <si>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</si>
  <si>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</si>
  <si>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</si>
  <si>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</si>
  <si>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</si>
  <si>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</si>
  <si>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</si>
  <si>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</si>
  <si>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</si>
  <si>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</si>
  <si>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</si>
  <si>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</si>
  <si>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</si>
  <si>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</si>
  <si>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</si>
  <si>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</si>
  <si>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</si>
  <si>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</si>
  <si>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</si>
  <si>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</si>
  <si>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</si>
  <si>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</si>
  <si>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</si>
  <si>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</si>
  <si>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</si>
  <si>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</si>
  <si>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</si>
  <si>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</si>
  <si>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</si>
  <si>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</si>
  <si>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</si>
  <si>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</si>
  <si>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</si>
  <si>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</si>
  <si>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</si>
  <si>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</si>
  <si>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</si>
  <si>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</si>
  <si>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</si>
  <si>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</si>
  <si>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</si>
  <si>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</si>
  <si>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</si>
  <si>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</si>
  <si>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</si>
  <si>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</si>
  <si>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</si>
  <si>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</si>
  <si>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</si>
  <si>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</si>
  <si>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</si>
  <si>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</si>
  <si>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</si>
  <si>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</si>
  <si>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</si>
  <si>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</si>
  <si>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</si>
  <si>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</si>
  <si>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</si>
  <si>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</si>
  <si>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</si>
  <si>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</si>
  <si>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</si>
  <si>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</si>
  <si>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</si>
  <si>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</si>
  <si>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</si>
  <si>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</si>
  <si>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</si>
  <si>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</si>
  <si>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</si>
  <si>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</si>
  <si>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</si>
  <si>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</si>
  <si>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</si>
  <si>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</si>
  <si>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</si>
  <si>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</si>
  <si>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</si>
  <si>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</si>
  <si>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</si>
  <si>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</si>
  <si>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</si>
  <si>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</si>
  <si>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</si>
  <si>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</si>
  <si>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</si>
  <si>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</si>
  <si>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</si>
  <si>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</si>
  <si>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</si>
  <si>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</si>
  <si>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</si>
  <si>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</si>
  <si>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</si>
  <si>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</si>
  <si>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</si>
  <si>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</si>
  <si>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</si>
  <si>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</si>
  <si>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</si>
  <si>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</si>
  <si>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</si>
  <si>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</si>
  <si>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</si>
  <si>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</si>
  <si>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</si>
  <si>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</si>
  <si>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</si>
  <si>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</si>
  <si>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</si>
  <si>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</si>
  <si>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</si>
  <si>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</si>
  <si>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</si>
  <si>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</si>
  <si>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</si>
  <si>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</si>
  <si>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</si>
  <si>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</si>
  <si>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</si>
  <si>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</si>
  <si>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</si>
  <si>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</si>
  <si>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</si>
  <si>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</si>
  <si>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</si>
  <si>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</si>
  <si>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</si>
  <si>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</si>
  <si>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</si>
  <si>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</si>
  <si>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</si>
  <si>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</si>
  <si>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</si>
  <si>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</si>
  <si>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</si>
  <si>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</si>
  <si>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</si>
  <si>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</si>
  <si>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</si>
  <si>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</si>
  <si>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</si>
  <si>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</si>
  <si>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</si>
  <si>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</si>
  <si>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</si>
  <si>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</si>
  <si>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</si>
  <si>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</si>
  <si>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</si>
  <si>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</si>
  <si>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</si>
  <si>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</si>
  <si>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</si>
  <si>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</si>
  <si>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</si>
  <si>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</si>
  <si>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</si>
  <si>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</si>
  <si>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</si>
  <si>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</si>
  <si>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</si>
  <si>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</si>
  <si>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</si>
  <si>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</si>
  <si>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</si>
  <si>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</si>
  <si>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</si>
  <si>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</si>
  <si>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</si>
  <si>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</si>
  <si>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</si>
  <si>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</si>
  <si>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</si>
  <si>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</si>
  <si>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</si>
  <si>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</si>
  <si>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</si>
  <si>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</si>
  <si>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</si>
  <si>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</si>
  <si>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</si>
  <si>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</si>
  <si>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</si>
  <si>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</si>
  <si>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</si>
  <si>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</si>
  <si>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</si>
  <si>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</si>
  <si>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</si>
  <si>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</si>
  <si>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</si>
  <si>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</si>
  <si>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</si>
  <si>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</si>
  <si>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</si>
  <si>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</si>
  <si>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</si>
  <si>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</si>
  <si>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</si>
  <si>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</si>
  <si>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</si>
  <si>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</si>
  <si>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</si>
  <si>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</si>
  <si>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</si>
  <si>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A4:F48 as of 2026-10-08 (44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</si>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</sst>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73" fontId="46"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6" fontId="50"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44282780"/>
        <c:axId val="3351441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94112019"/>
        <c:axId val="22727991"/>
      </c:lineChart>
      <c:dateAx>
        <c:axId val="442827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14417"/>
        <c:auto val="1"/>
        <c:lblOffset val="100"/>
        <c:baseTimeUnit val="days"/>
      </c:dateAx>
      <c:valAx>
        <c:axId val="335144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82780"/>
        <c:crosses val="autoZero"/>
        <c:crossBetween val="between"/>
      </c:valAx>
      <c:dateAx>
        <c:axId val="941120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27991"/>
        <c:auto val="1"/>
        <c:lblOffset val="100"/>
        <c:baseTimeUnit val="days"/>
      </c:dateAx>
      <c:valAx>
        <c:axId val="227279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120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66549227"/>
        <c:axId val="80430702"/>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93003199"/>
        <c:axId val="98209969"/>
      </c:lineChart>
      <c:dateAx>
        <c:axId val="665492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30702"/>
        <c:auto val="1"/>
        <c:lblOffset val="100"/>
        <c:baseTimeUnit val="days"/>
      </c:dateAx>
      <c:valAx>
        <c:axId val="804307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49227"/>
        <c:crosses val="autoZero"/>
        <c:crossBetween val="between"/>
      </c:valAx>
      <c:dateAx>
        <c:axId val="930031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09969"/>
        <c:auto val="1"/>
        <c:lblOffset val="100"/>
        <c:baseTimeUnit val="days"/>
      </c:dateAx>
      <c:valAx>
        <c:axId val="982099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031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16821215"/>
        <c:axId val="2369340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48344740"/>
        <c:axId val="71393401"/>
      </c:lineChart>
      <c:dateAx>
        <c:axId val="168212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693403"/>
        <c:auto val="1"/>
        <c:lblOffset val="100"/>
        <c:baseTimeUnit val="days"/>
      </c:dateAx>
      <c:valAx>
        <c:axId val="236934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821215"/>
        <c:crosses val="autoZero"/>
        <c:crossBetween val="between"/>
      </c:valAx>
      <c:dateAx>
        <c:axId val="483447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93401"/>
        <c:auto val="1"/>
        <c:lblOffset val="100"/>
        <c:baseTimeUnit val="days"/>
      </c:dateAx>
      <c:valAx>
        <c:axId val="713934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3447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50131481"/>
        <c:axId val="54140818"/>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51420253"/>
        <c:axId val="48912861"/>
      </c:lineChart>
      <c:dateAx>
        <c:axId val="501314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140818"/>
        <c:auto val="1"/>
        <c:lblOffset val="100"/>
        <c:baseTimeUnit val="days"/>
      </c:dateAx>
      <c:valAx>
        <c:axId val="541408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31481"/>
        <c:crosses val="autoZero"/>
        <c:crossBetween val="between"/>
      </c:valAx>
      <c:dateAx>
        <c:axId val="514202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12861"/>
        <c:auto val="1"/>
        <c:lblOffset val="100"/>
        <c:baseTimeUnit val="days"/>
      </c:dateAx>
      <c:valAx>
        <c:axId val="489128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202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18811562"/>
        <c:axId val="2893502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53959841"/>
        <c:axId val="28972926"/>
      </c:lineChart>
      <c:dateAx>
        <c:axId val="188115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35024"/>
        <c:auto val="1"/>
        <c:lblOffset val="100"/>
        <c:baseTimeUnit val="days"/>
      </c:dateAx>
      <c:valAx>
        <c:axId val="289350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811562"/>
        <c:crosses val="autoZero"/>
        <c:crossBetween val="between"/>
      </c:valAx>
      <c:dateAx>
        <c:axId val="539598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72926"/>
        <c:auto val="1"/>
        <c:lblOffset val="100"/>
        <c:baseTimeUnit val="days"/>
      </c:dateAx>
      <c:valAx>
        <c:axId val="289729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598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80460641"/>
        <c:axId val="8525093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68445169"/>
        <c:axId val="76045265"/>
      </c:lineChart>
      <c:dateAx>
        <c:axId val="804606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50937"/>
        <c:auto val="1"/>
        <c:lblOffset val="100"/>
        <c:baseTimeUnit val="days"/>
      </c:dateAx>
      <c:valAx>
        <c:axId val="852509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60641"/>
        <c:crosses val="autoZero"/>
        <c:crossBetween val="between"/>
      </c:valAx>
      <c:dateAx>
        <c:axId val="684451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045265"/>
        <c:auto val="1"/>
        <c:lblOffset val="100"/>
        <c:baseTimeUnit val="days"/>
      </c:dateAx>
      <c:valAx>
        <c:axId val="760452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451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511142"/>
        <c:axId val="8879182"/>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81785001"/>
        <c:axId val="17530172"/>
      </c:lineChart>
      <c:dateAx>
        <c:axId val="5111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9182"/>
        <c:auto val="1"/>
        <c:lblOffset val="100"/>
        <c:baseTimeUnit val="days"/>
      </c:dateAx>
      <c:valAx>
        <c:axId val="88791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1142"/>
        <c:crosses val="autoZero"/>
        <c:crossBetween val="between"/>
      </c:valAx>
      <c:dateAx>
        <c:axId val="817850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530172"/>
        <c:auto val="1"/>
        <c:lblOffset val="100"/>
        <c:baseTimeUnit val="days"/>
      </c:dateAx>
      <c:valAx>
        <c:axId val="175301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7850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5705336"/>
        <c:axId val="4968107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44512104"/>
        <c:axId val="40405460"/>
      </c:lineChart>
      <c:dateAx>
        <c:axId val="57053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681073"/>
        <c:auto val="1"/>
        <c:lblOffset val="100"/>
        <c:baseTimeUnit val="days"/>
      </c:dateAx>
      <c:valAx>
        <c:axId val="496810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5336"/>
        <c:crosses val="autoZero"/>
        <c:crossBetween val="between"/>
      </c:valAx>
      <c:dateAx>
        <c:axId val="445121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05460"/>
        <c:auto val="1"/>
        <c:lblOffset val="100"/>
        <c:baseTimeUnit val="days"/>
      </c:dateAx>
      <c:valAx>
        <c:axId val="404054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5121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18107471"/>
        <c:axId val="33687058"/>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37305912"/>
        <c:axId val="67633359"/>
      </c:lineChart>
      <c:dateAx>
        <c:axId val="181074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87058"/>
        <c:auto val="1"/>
        <c:lblOffset val="100"/>
        <c:baseTimeUnit val="days"/>
      </c:dateAx>
      <c:valAx>
        <c:axId val="336870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07471"/>
        <c:crosses val="autoZero"/>
        <c:crossBetween val="between"/>
      </c:valAx>
      <c:dateAx>
        <c:axId val="373059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33359"/>
        <c:auto val="1"/>
        <c:lblOffset val="100"/>
        <c:baseTimeUnit val="days"/>
      </c:dateAx>
      <c:valAx>
        <c:axId val="676333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059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59138363"/>
        <c:axId val="6311606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90342563"/>
        <c:axId val="68974820"/>
      </c:lineChart>
      <c:dateAx>
        <c:axId val="591383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16068"/>
        <c:auto val="1"/>
        <c:lblOffset val="100"/>
        <c:baseTimeUnit val="days"/>
      </c:dateAx>
      <c:valAx>
        <c:axId val="631160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138363"/>
        <c:crosses val="autoZero"/>
        <c:crossBetween val="between"/>
      </c:valAx>
      <c:dateAx>
        <c:axId val="903425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74820"/>
        <c:auto val="1"/>
        <c:lblOffset val="100"/>
        <c:baseTimeUnit val="days"/>
      </c:dateAx>
      <c:valAx>
        <c:axId val="689748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425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63422235"/>
        <c:axId val="9686689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77232363"/>
        <c:axId val="73732139"/>
      </c:lineChart>
      <c:dateAx>
        <c:axId val="634222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66891"/>
        <c:auto val="1"/>
        <c:lblOffset val="100"/>
        <c:baseTimeUnit val="days"/>
      </c:dateAx>
      <c:valAx>
        <c:axId val="96866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422235"/>
        <c:crosses val="autoZero"/>
        <c:crossBetween val="between"/>
      </c:valAx>
      <c:dateAx>
        <c:axId val="772323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732139"/>
        <c:auto val="1"/>
        <c:lblOffset val="100"/>
        <c:baseTimeUnit val="days"/>
      </c:dateAx>
      <c:valAx>
        <c:axId val="737321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2323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53528294"/>
        <c:axId val="3288661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53916360"/>
        <c:axId val="47873954"/>
      </c:lineChart>
      <c:dateAx>
        <c:axId val="535282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86614"/>
        <c:auto val="1"/>
        <c:lblOffset val="100"/>
        <c:baseTimeUnit val="days"/>
      </c:dateAx>
      <c:valAx>
        <c:axId val="328866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28294"/>
        <c:crosses val="autoZero"/>
        <c:crossBetween val="between"/>
      </c:valAx>
      <c:dateAx>
        <c:axId val="539163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73954"/>
        <c:auto val="1"/>
        <c:lblOffset val="100"/>
        <c:baseTimeUnit val="days"/>
      </c:dateAx>
      <c:valAx>
        <c:axId val="478739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163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70347577"/>
        <c:axId val="6102533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84188944"/>
        <c:axId val="80258895"/>
      </c:lineChart>
      <c:dateAx>
        <c:axId val="703475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025337"/>
        <c:auto val="1"/>
        <c:lblOffset val="100"/>
        <c:baseTimeUnit val="days"/>
      </c:dateAx>
      <c:valAx>
        <c:axId val="610253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47577"/>
        <c:crosses val="autoZero"/>
        <c:crossBetween val="between"/>
      </c:valAx>
      <c:dateAx>
        <c:axId val="841889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58895"/>
        <c:auto val="1"/>
        <c:lblOffset val="100"/>
        <c:baseTimeUnit val="days"/>
      </c:dateAx>
      <c:valAx>
        <c:axId val="802588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1889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91474089"/>
        <c:axId val="3852806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50643656"/>
        <c:axId val="13328"/>
      </c:lineChart>
      <c:dateAx>
        <c:axId val="914740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28066"/>
        <c:auto val="1"/>
        <c:lblOffset val="100"/>
        <c:baseTimeUnit val="days"/>
      </c:dateAx>
      <c:valAx>
        <c:axId val="385280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74089"/>
        <c:crosses val="autoZero"/>
        <c:crossBetween val="between"/>
      </c:valAx>
      <c:dateAx>
        <c:axId val="506436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28"/>
        <c:auto val="1"/>
        <c:lblOffset val="100"/>
        <c:baseTimeUnit val="days"/>
      </c:dateAx>
      <c:valAx>
        <c:axId val="133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6436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14487202"/>
        <c:axId val="6734201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88835874"/>
        <c:axId val="99907236"/>
      </c:lineChart>
      <c:dateAx>
        <c:axId val="144872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42010"/>
        <c:auto val="1"/>
        <c:lblOffset val="100"/>
        <c:baseTimeUnit val="days"/>
      </c:dateAx>
      <c:valAx>
        <c:axId val="673420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487202"/>
        <c:crosses val="autoZero"/>
        <c:crossBetween val="between"/>
      </c:valAx>
      <c:dateAx>
        <c:axId val="888358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07236"/>
        <c:auto val="1"/>
        <c:lblOffset val="100"/>
        <c:baseTimeUnit val="days"/>
      </c:dateAx>
      <c:valAx>
        <c:axId val="999072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8358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51496035"/>
        <c:axId val="5408874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5700132"/>
        <c:axId val="75661846"/>
      </c:lineChart>
      <c:dateAx>
        <c:axId val="514960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088747"/>
        <c:auto val="1"/>
        <c:lblOffset val="100"/>
        <c:baseTimeUnit val="days"/>
      </c:dateAx>
      <c:valAx>
        <c:axId val="540887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96035"/>
        <c:crosses val="autoZero"/>
        <c:crossBetween val="between"/>
      </c:valAx>
      <c:dateAx>
        <c:axId val="57001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61846"/>
        <c:auto val="1"/>
        <c:lblOffset val="100"/>
        <c:baseTimeUnit val="days"/>
      </c:dateAx>
      <c:valAx>
        <c:axId val="756618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01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15309736"/>
        <c:axId val="1535809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50191212"/>
        <c:axId val="9293213"/>
      </c:lineChart>
      <c:dateAx>
        <c:axId val="153097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358097"/>
        <c:auto val="1"/>
        <c:lblOffset val="100"/>
        <c:baseTimeUnit val="days"/>
      </c:dateAx>
      <c:valAx>
        <c:axId val="153580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309736"/>
        <c:crosses val="autoZero"/>
        <c:crossBetween val="between"/>
      </c:valAx>
      <c:dateAx>
        <c:axId val="501912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93213"/>
        <c:auto val="1"/>
        <c:lblOffset val="100"/>
        <c:baseTimeUnit val="days"/>
      </c:dateAx>
      <c:valAx>
        <c:axId val="92932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912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10924379"/>
        <c:axId val="4173164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3520642"/>
        <c:axId val="7771315"/>
      </c:lineChart>
      <c:dateAx>
        <c:axId val="109243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31648"/>
        <c:auto val="1"/>
        <c:lblOffset val="100"/>
        <c:baseTimeUnit val="days"/>
      </c:dateAx>
      <c:valAx>
        <c:axId val="417316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24379"/>
        <c:crosses val="autoZero"/>
        <c:crossBetween val="between"/>
      </c:valAx>
      <c:dateAx>
        <c:axId val="35206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1315"/>
        <c:auto val="1"/>
        <c:lblOffset val="100"/>
        <c:baseTimeUnit val="days"/>
      </c:dateAx>
      <c:valAx>
        <c:axId val="77713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06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52640303"/>
        <c:axId val="8645474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83271217"/>
        <c:axId val="77458626"/>
      </c:lineChart>
      <c:dateAx>
        <c:axId val="526403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454742"/>
        <c:auto val="1"/>
        <c:lblOffset val="100"/>
        <c:baseTimeUnit val="days"/>
      </c:dateAx>
      <c:valAx>
        <c:axId val="864547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40303"/>
        <c:crosses val="autoZero"/>
        <c:crossBetween val="between"/>
      </c:valAx>
      <c:dateAx>
        <c:axId val="832712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58626"/>
        <c:auto val="1"/>
        <c:lblOffset val="100"/>
        <c:baseTimeUnit val="days"/>
      </c:dateAx>
      <c:valAx>
        <c:axId val="774586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712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297720</xdr:colOff>
      <xdr:row>174</xdr:row>
      <xdr:rowOff>120600</xdr:rowOff>
    </xdr:to>
    <xdr:graphicFrame>
      <xdr:nvGraphicFramePr>
        <xdr:cNvPr id="1" name="Chart 1"/>
        <xdr:cNvGraphicFramePr/>
      </xdr:nvGraphicFramePr>
      <xdr:xfrm>
        <a:off x="0" y="31204080"/>
        <a:ext cx="2656080" cy="2215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319320</xdr:colOff>
      <xdr:row>174</xdr:row>
      <xdr:rowOff>120600</xdr:rowOff>
    </xdr:to>
    <xdr:graphicFrame>
      <xdr:nvGraphicFramePr>
        <xdr:cNvPr id="2" name="Chart 2"/>
        <xdr:cNvGraphicFramePr/>
      </xdr:nvGraphicFramePr>
      <xdr:xfrm>
        <a:off x="3554640" y="31204080"/>
        <a:ext cx="2313360" cy="221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85320</xdr:colOff>
      <xdr:row>174</xdr:row>
      <xdr:rowOff>120600</xdr:rowOff>
    </xdr:to>
    <xdr:graphicFrame>
      <xdr:nvGraphicFramePr>
        <xdr:cNvPr id="3" name="Chart 3"/>
        <xdr:cNvGraphicFramePr/>
      </xdr:nvGraphicFramePr>
      <xdr:xfrm>
        <a:off x="6744960" y="31204080"/>
        <a:ext cx="2372760" cy="2215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337680</xdr:colOff>
      <xdr:row>174</xdr:row>
      <xdr:rowOff>120600</xdr:rowOff>
    </xdr:to>
    <xdr:graphicFrame>
      <xdr:nvGraphicFramePr>
        <xdr:cNvPr id="4" name="Chart 4"/>
        <xdr:cNvGraphicFramePr/>
      </xdr:nvGraphicFramePr>
      <xdr:xfrm>
        <a:off x="10464840" y="31204080"/>
        <a:ext cx="4635360" cy="2215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297720</xdr:colOff>
      <xdr:row>190</xdr:row>
      <xdr:rowOff>120600</xdr:rowOff>
    </xdr:to>
    <xdr:graphicFrame>
      <xdr:nvGraphicFramePr>
        <xdr:cNvPr id="5" name="Chart 5"/>
        <xdr:cNvGraphicFramePr/>
      </xdr:nvGraphicFramePr>
      <xdr:xfrm>
        <a:off x="0" y="34251840"/>
        <a:ext cx="2656080" cy="2216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319320</xdr:colOff>
      <xdr:row>190</xdr:row>
      <xdr:rowOff>120600</xdr:rowOff>
    </xdr:to>
    <xdr:graphicFrame>
      <xdr:nvGraphicFramePr>
        <xdr:cNvPr id="6" name="Chart 6"/>
        <xdr:cNvGraphicFramePr/>
      </xdr:nvGraphicFramePr>
      <xdr:xfrm>
        <a:off x="3554640" y="34251840"/>
        <a:ext cx="2313360" cy="22161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85320</xdr:colOff>
      <xdr:row>190</xdr:row>
      <xdr:rowOff>120600</xdr:rowOff>
    </xdr:to>
    <xdr:graphicFrame>
      <xdr:nvGraphicFramePr>
        <xdr:cNvPr id="7" name="Chart 7"/>
        <xdr:cNvGraphicFramePr/>
      </xdr:nvGraphicFramePr>
      <xdr:xfrm>
        <a:off x="6744960" y="34251840"/>
        <a:ext cx="2372760" cy="22161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337680</xdr:colOff>
      <xdr:row>190</xdr:row>
      <xdr:rowOff>120600</xdr:rowOff>
    </xdr:to>
    <xdr:graphicFrame>
      <xdr:nvGraphicFramePr>
        <xdr:cNvPr id="8" name="Chart 8"/>
        <xdr:cNvGraphicFramePr/>
      </xdr:nvGraphicFramePr>
      <xdr:xfrm>
        <a:off x="10464840" y="34251840"/>
        <a:ext cx="4635360" cy="22161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297720</xdr:colOff>
      <xdr:row>206</xdr:row>
      <xdr:rowOff>119880</xdr:rowOff>
    </xdr:to>
    <xdr:graphicFrame>
      <xdr:nvGraphicFramePr>
        <xdr:cNvPr id="9" name="Chart 9"/>
        <xdr:cNvGraphicFramePr/>
      </xdr:nvGraphicFramePr>
      <xdr:xfrm>
        <a:off x="0" y="37299960"/>
        <a:ext cx="2656080" cy="2215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319320</xdr:colOff>
      <xdr:row>206</xdr:row>
      <xdr:rowOff>119880</xdr:rowOff>
    </xdr:to>
    <xdr:graphicFrame>
      <xdr:nvGraphicFramePr>
        <xdr:cNvPr id="10" name="Chart 10"/>
        <xdr:cNvGraphicFramePr/>
      </xdr:nvGraphicFramePr>
      <xdr:xfrm>
        <a:off x="3554640" y="37299960"/>
        <a:ext cx="2313360" cy="2215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85320</xdr:colOff>
      <xdr:row>206</xdr:row>
      <xdr:rowOff>119880</xdr:rowOff>
    </xdr:to>
    <xdr:graphicFrame>
      <xdr:nvGraphicFramePr>
        <xdr:cNvPr id="11" name="Chart 11"/>
        <xdr:cNvGraphicFramePr/>
      </xdr:nvGraphicFramePr>
      <xdr:xfrm>
        <a:off x="6744960" y="37299960"/>
        <a:ext cx="2372760" cy="2215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337680</xdr:colOff>
      <xdr:row>206</xdr:row>
      <xdr:rowOff>119880</xdr:rowOff>
    </xdr:to>
    <xdr:graphicFrame>
      <xdr:nvGraphicFramePr>
        <xdr:cNvPr id="12" name="Chart 12"/>
        <xdr:cNvGraphicFramePr/>
      </xdr:nvGraphicFramePr>
      <xdr:xfrm>
        <a:off x="10464840" y="37299960"/>
        <a:ext cx="4635360" cy="2215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297720</xdr:colOff>
      <xdr:row>222</xdr:row>
      <xdr:rowOff>120600</xdr:rowOff>
    </xdr:to>
    <xdr:graphicFrame>
      <xdr:nvGraphicFramePr>
        <xdr:cNvPr id="13" name="Chart 13"/>
        <xdr:cNvGraphicFramePr/>
      </xdr:nvGraphicFramePr>
      <xdr:xfrm>
        <a:off x="0" y="40348080"/>
        <a:ext cx="2656080" cy="22158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319320</xdr:colOff>
      <xdr:row>222</xdr:row>
      <xdr:rowOff>120600</xdr:rowOff>
    </xdr:to>
    <xdr:graphicFrame>
      <xdr:nvGraphicFramePr>
        <xdr:cNvPr id="14" name="Chart 14"/>
        <xdr:cNvGraphicFramePr/>
      </xdr:nvGraphicFramePr>
      <xdr:xfrm>
        <a:off x="3554640" y="40348080"/>
        <a:ext cx="2313360" cy="22158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85320</xdr:colOff>
      <xdr:row>222</xdr:row>
      <xdr:rowOff>120600</xdr:rowOff>
    </xdr:to>
    <xdr:graphicFrame>
      <xdr:nvGraphicFramePr>
        <xdr:cNvPr id="15" name="Chart 15"/>
        <xdr:cNvGraphicFramePr/>
      </xdr:nvGraphicFramePr>
      <xdr:xfrm>
        <a:off x="6744960" y="40348080"/>
        <a:ext cx="2372760" cy="22158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337680</xdr:colOff>
      <xdr:row>222</xdr:row>
      <xdr:rowOff>120600</xdr:rowOff>
    </xdr:to>
    <xdr:graphicFrame>
      <xdr:nvGraphicFramePr>
        <xdr:cNvPr id="16" name="Chart 16"/>
        <xdr:cNvGraphicFramePr/>
      </xdr:nvGraphicFramePr>
      <xdr:xfrm>
        <a:off x="10464840" y="40348080"/>
        <a:ext cx="4635360" cy="22158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297720</xdr:colOff>
      <xdr:row>238</xdr:row>
      <xdr:rowOff>120600</xdr:rowOff>
    </xdr:to>
    <xdr:graphicFrame>
      <xdr:nvGraphicFramePr>
        <xdr:cNvPr id="17" name="Chart 17"/>
        <xdr:cNvGraphicFramePr/>
      </xdr:nvGraphicFramePr>
      <xdr:xfrm>
        <a:off x="0" y="43395840"/>
        <a:ext cx="2656080" cy="22161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319320</xdr:colOff>
      <xdr:row>238</xdr:row>
      <xdr:rowOff>120600</xdr:rowOff>
    </xdr:to>
    <xdr:graphicFrame>
      <xdr:nvGraphicFramePr>
        <xdr:cNvPr id="18" name="Chart 18"/>
        <xdr:cNvGraphicFramePr/>
      </xdr:nvGraphicFramePr>
      <xdr:xfrm>
        <a:off x="3554640" y="43395840"/>
        <a:ext cx="2313360" cy="22161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353160</xdr:colOff>
      <xdr:row>252</xdr:row>
      <xdr:rowOff>120600</xdr:rowOff>
    </xdr:to>
    <xdr:graphicFrame>
      <xdr:nvGraphicFramePr>
        <xdr:cNvPr id="19" name="Chart 19"/>
        <xdr:cNvGraphicFramePr/>
      </xdr:nvGraphicFramePr>
      <xdr:xfrm>
        <a:off x="0" y="46063080"/>
        <a:ext cx="2312640" cy="22158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8"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8</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25</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25</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25</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25</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25</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25</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25</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25</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25</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3</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8</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3</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57</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57</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58</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58</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58</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58</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58</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58</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45</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58</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58</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27</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56</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57</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25</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57</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58</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58</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58</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58</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25</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57</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58</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63</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58</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56</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58</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63</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63</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25</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57</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58</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27</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25</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25</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6</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tru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tru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tru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tru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tru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tru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tru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tru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tru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3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5" t="str">
        <f aca="false">IF(OR(AQ28="",AR28=""),"",IF(AQ28&lt;AR28,"Decreased",IF(AQ28&gt;AR28,"Increased","Flat")))</f>
        <v/>
      </c>
    </row>
    <row r="29" customFormat="false" ht="15" hidden="true" customHeight="true" outlineLevel="1" collapsed="false">
      <c r="A29" s="63" t="s">
        <v>246</v>
      </c>
      <c r="B29" s="123" t="s">
        <v>391</v>
      </c>
      <c r="C29" s="13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5" t="str">
        <f aca="false">IF(OR(AQ29="",AR29=""),"",IF(AQ29&lt;AR29,"Decreased",IF(AQ29&gt;AR29,"Increased","Flat")))</f>
        <v/>
      </c>
    </row>
    <row r="30" customFormat="false" ht="15" hidden="true" customHeight="true" outlineLevel="1" collapsed="false">
      <c r="A30" s="63" t="s">
        <v>250</v>
      </c>
      <c r="B30" s="123" t="s">
        <v>393</v>
      </c>
      <c r="C30" s="13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5" t="str">
        <f aca="false">IF(OR(AQ30="",AR30=""),"",IF(AQ30&lt;AR30,"Decreased",IF(AQ30&gt;AR30,"Increased","Flat")))</f>
        <v/>
      </c>
    </row>
    <row r="31" customFormat="false" ht="15" hidden="true" customHeight="true" outlineLevel="1" collapsed="false">
      <c r="A31" s="63" t="s">
        <v>259</v>
      </c>
      <c r="B31" s="123" t="s">
        <v>395</v>
      </c>
      <c r="C31" s="13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5" t="str">
        <f aca="false">IF(OR(AQ31="",AR31=""),"",IF(AQ31&lt;AR31,"Decreased",IF(AQ31&gt;AR31,"Increased","Flat")))</f>
        <v/>
      </c>
    </row>
    <row r="32" customFormat="false" ht="15" hidden="false" customHeight="true" outlineLevel="0" collapsed="false">
      <c r="A32" s="63" t="s">
        <v>273</v>
      </c>
      <c r="B32" s="123" t="s">
        <v>397</v>
      </c>
      <c r="C32" s="13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5" t="str">
        <f aca="false">IF(OR(AQ32="",AR32=""),"",IF(AQ32&lt;AR32,"Decreased",IF(AQ32&gt;AR32,"Increased","Flat")))</f>
        <v/>
      </c>
    </row>
    <row r="33" customFormat="false" ht="15" hidden="false" customHeight="true" outlineLevel="0" collapsed="false">
      <c r="A33" s="63" t="s">
        <v>242</v>
      </c>
      <c r="B33" s="123" t="s">
        <v>398</v>
      </c>
      <c r="C33" s="13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5" t="str">
        <f aca="false">IF(OR(AQ33="",AR33=""),"",IF(AQ33&lt;AR33,"Decreased",IF(AQ33&gt;AR33,"Increased","Flat")))</f>
        <v/>
      </c>
    </row>
    <row r="34" customFormat="false" ht="15" hidden="false" customHeight="true" outlineLevel="0" collapsed="false">
      <c r="A34" s="63" t="s">
        <v>249</v>
      </c>
      <c r="B34" s="123" t="s">
        <v>400</v>
      </c>
      <c r="C34" s="13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5" t="str">
        <f aca="false">IF(OR(AQ34="",AR34=""),"",IF(AQ34&lt;AR34,"Decreased",IF(AQ34&gt;AR34,"Increased","Flat")))</f>
        <v/>
      </c>
    </row>
    <row r="35" customFormat="false" ht="15" hidden="true" customHeight="true" outlineLevel="1" collapsed="false">
      <c r="A35" s="63" t="s">
        <v>277</v>
      </c>
      <c r="B35" s="123" t="s">
        <v>401</v>
      </c>
      <c r="C35" s="13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5" t="str">
        <f aca="false">IF(OR(AQ35="",AR35=""),"",IF(AQ35&lt;AR35,"Decreased",IF(AQ35&gt;AR35,"Increased","Flat")))</f>
        <v/>
      </c>
    </row>
    <row r="36" customFormat="false" ht="15" hidden="false" customHeight="true" outlineLevel="0" collapsed="false">
      <c r="A36" s="63" t="s">
        <v>283</v>
      </c>
      <c r="B36" s="123" t="s">
        <v>402</v>
      </c>
      <c r="C36" s="13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5" t="str">
        <f aca="false">IF(OR(AQ36="",AR36=""),"",IF(AQ36&lt;AR36,"Decreased",IF(AQ36&gt;AR36,"Increased","Flat")))</f>
        <v/>
      </c>
    </row>
    <row r="37" customFormat="false" ht="15" hidden="true" customHeight="true" outlineLevel="1" collapsed="false">
      <c r="A37" s="63" t="s">
        <v>266</v>
      </c>
      <c r="B37" s="123" t="s">
        <v>403</v>
      </c>
      <c r="C37" s="13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5" t="str">
        <f aca="false">IF(OR(AQ37="",AR37=""),"",IF(AQ37&lt;AR37,"Decreased",IF(AQ37&gt;AR37,"Increased","Flat")))</f>
        <v/>
      </c>
    </row>
    <row r="38" customFormat="false" ht="15" hidden="true" customHeight="true" outlineLevel="1" collapsed="false">
      <c r="A38" s="63" t="s">
        <v>281</v>
      </c>
      <c r="B38" s="123" t="s">
        <v>404</v>
      </c>
      <c r="C38" s="13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5" t="str">
        <f aca="false">IF(OR(AQ38="",AR38=""),"",IF(AQ38&lt;AR38,"Decreased",IF(AQ38&gt;AR38,"Increased","Flat")))</f>
        <v/>
      </c>
    </row>
    <row r="39" customFormat="false" ht="15" hidden="true" customHeight="true" outlineLevel="1" collapsed="false">
      <c r="A39" s="63" t="s">
        <v>258</v>
      </c>
      <c r="B39" s="123" t="s">
        <v>406</v>
      </c>
      <c r="C39" s="13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5" t="str">
        <f aca="false">IF(OR(AQ39="",AR39=""),"",IF(AQ39&lt;AR39,"Decreased",IF(AQ39&gt;AR39,"Increased","Flat")))</f>
        <v/>
      </c>
    </row>
    <row r="40" customFormat="false" ht="15" hidden="true" customHeight="true" outlineLevel="1" collapsed="false">
      <c r="A40" s="63" t="s">
        <v>236</v>
      </c>
      <c r="B40" s="123" t="s">
        <v>407</v>
      </c>
      <c r="C40" s="13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5" t="str">
        <f aca="false">IF(OR(AQ40="",AR40=""),"",IF(AQ40&lt;AR40,"Decreased",IF(AQ40&gt;AR40,"Increased","Flat")))</f>
        <v/>
      </c>
    </row>
    <row r="41" customFormat="false" ht="15" hidden="true" customHeight="true" outlineLevel="1" collapsed="false">
      <c r="A41" s="63" t="s">
        <v>238</v>
      </c>
      <c r="B41" s="123" t="s">
        <v>409</v>
      </c>
      <c r="C41" s="13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5" t="str">
        <f aca="false">IF(OR(AQ41="",AR41=""),"",IF(AQ41&lt;AR41,"Decreased",IF(AQ41&gt;AR41,"Increased","Flat")))</f>
        <v/>
      </c>
    </row>
    <row r="42" customFormat="false" ht="15" hidden="false" customHeight="true" outlineLevel="0" collapsed="false">
      <c r="A42" s="63" t="s">
        <v>256</v>
      </c>
      <c r="B42" s="123" t="s">
        <v>411</v>
      </c>
      <c r="C42" s="13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5" t="str">
        <f aca="false">IF(OR(AQ42="",AR42=""),"",IF(AQ42&lt;AR42,"Decreased",IF(AQ42&gt;AR42,"Increased","Flat")))</f>
        <v/>
      </c>
    </row>
    <row r="43" customFormat="false" ht="15" hidden="false" customHeight="true" outlineLevel="0" collapsed="false">
      <c r="A43" s="63" t="s">
        <v>143</v>
      </c>
      <c r="B43" s="123" t="s">
        <v>144</v>
      </c>
      <c r="C43" s="13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5" t="str">
        <f aca="false">IF(OR(AQ43="",AR43=""),"",IF(AQ43&lt;AR43,"Decreased",IF(AQ43&gt;AR43,"Increased","Flat")))</f>
        <v/>
      </c>
    </row>
    <row r="44" customFormat="false" ht="15" hidden="false" customHeight="true" outlineLevel="0" collapsed="false">
      <c r="A44" s="63" t="s">
        <v>275</v>
      </c>
      <c r="B44" s="123" t="s">
        <v>413</v>
      </c>
      <c r="C44" s="13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5" t="str">
        <f aca="false">IF(OR(AQ44="",AR44=""),"",IF(AQ44&lt;AR44,"Decreased",IF(AQ44&gt;AR44,"Increased","Flat")))</f>
        <v/>
      </c>
    </row>
    <row r="45" customFormat="false" ht="15" hidden="false" customHeight="true" outlineLevel="0" collapsed="false">
      <c r="A45" s="63" t="s">
        <v>254</v>
      </c>
      <c r="B45" s="123" t="s">
        <v>415</v>
      </c>
      <c r="C45" s="13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5" t="str">
        <f aca="false">IF(OR(AQ45="",AR45=""),"",IF(AQ45&lt;AR45,"Decreased",IF(AQ45&gt;AR45,"Increased","Flat")))</f>
        <v/>
      </c>
    </row>
    <row r="46" customFormat="false" ht="15" hidden="true" customHeight="true" outlineLevel="1" collapsed="false">
      <c r="A46" s="63" t="s">
        <v>247</v>
      </c>
      <c r="B46" s="123" t="s">
        <v>416</v>
      </c>
      <c r="C46" s="13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5" t="str">
        <f aca="false">IF(OR(AQ46="",AR46=""),"",IF(AQ46&lt;AR46,"Decreased",IF(AQ46&gt;AR46,"Increased","Flat")))</f>
        <v/>
      </c>
    </row>
    <row r="47" customFormat="false" ht="15" hidden="false" customHeight="true" outlineLevel="0" collapsed="false">
      <c r="A47" s="63" t="s">
        <v>146</v>
      </c>
      <c r="B47" s="123" t="s">
        <v>147</v>
      </c>
      <c r="C47" s="13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5"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5" t="str">
        <f aca="false">IF(OR(AQ48="",AR48=""),"",IF(AQ48&lt;AR48,"Decreased",IF(AQ48&gt;AR48,"Increased","Flat")))</f>
        <v/>
      </c>
    </row>
    <row r="49" customFormat="false" ht="15" hidden="false" customHeight="true" outlineLevel="0" collapsed="false">
      <c r="A49" s="63" t="s">
        <v>287</v>
      </c>
      <c r="B49" s="123" t="s">
        <v>420</v>
      </c>
      <c r="C49" s="13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5" t="str">
        <f aca="false">IF(OR(AQ49="",AR49=""),"",IF(AQ49&lt;AR49,"Decreased",IF(AQ49&gt;AR49,"Increased","Flat")))</f>
        <v/>
      </c>
    </row>
    <row r="50" customFormat="false" ht="15" hidden="false" customHeight="true" outlineLevel="0" collapsed="false">
      <c r="A50" s="63" t="s">
        <v>289</v>
      </c>
      <c r="B50" s="123" t="s">
        <v>422</v>
      </c>
      <c r="C50" s="13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5" t="str">
        <f aca="false">IF(OR(AQ50="",AR50=""),"",IF(AQ50&lt;AR50,"Decreased",IF(AQ50&gt;AR50,"Increased","Flat")))</f>
        <v/>
      </c>
    </row>
    <row r="51" customFormat="false" ht="15" hidden="false" customHeight="true" outlineLevel="0" collapsed="false">
      <c r="A51" s="63" t="s">
        <v>149</v>
      </c>
      <c r="B51" s="123" t="s">
        <v>423</v>
      </c>
      <c r="C51" s="13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5" t="str">
        <f aca="false">IF(OR(AQ51="",AR51=""),"",IF(AQ51&lt;AR51,"Decreased",IF(AQ51&gt;AR51,"Increased","Flat")))</f>
        <v/>
      </c>
    </row>
    <row r="52" customFormat="false" ht="15" hidden="false" customHeight="true" outlineLevel="0" collapsed="false">
      <c r="A52" s="63"/>
      <c r="B52" s="123"/>
      <c r="C52" s="125"/>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5" t="str">
        <f aca="false">IF(OR(AQ52="",AR52=""),"",IF(AQ52&lt;AR52,"Decreased",IF(AQ52&gt;AR52,"Increased","Flat")))</f>
        <v/>
      </c>
    </row>
    <row r="53" customFormat="false" ht="15" hidden="false" customHeight="true" outlineLevel="0" collapsed="false">
      <c r="A53" s="63"/>
      <c r="B53" s="123"/>
      <c r="C53" s="125"/>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5" t="str">
        <f aca="false">IF(OR(AQ53="",AR53=""),"",IF(AQ53&lt;AR53,"Decreased",IF(AQ53&gt;AR53,"Increased","Flat")))</f>
        <v/>
      </c>
    </row>
    <row r="54" customFormat="false" ht="15" hidden="false" customHeight="true" outlineLevel="0" collapsed="false">
      <c r="A54" s="63"/>
      <c r="B54" s="123"/>
      <c r="C54" s="125"/>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5" t="str">
        <f aca="false">IF(OR(AQ54="",AR54=""),"",IF(AQ54&lt;AR54,"Decreased",IF(AQ54&gt;AR54,"Increased","Flat")))</f>
        <v/>
      </c>
    </row>
    <row r="55" customFormat="false" ht="15" hidden="false" customHeight="true" outlineLevel="0" collapsed="false">
      <c r="A55" s="63"/>
      <c r="B55" s="123"/>
      <c r="C55" s="125"/>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5" t="str">
        <f aca="false">IF(OR(AQ55="",AR55=""),"",IF(AQ55&lt;AR55,"Decreased",IF(AQ55&gt;AR55,"Increased","Flat")))</f>
        <v/>
      </c>
    </row>
    <row r="56" customFormat="false" ht="15" hidden="false" customHeight="true" outlineLevel="0" collapsed="false">
      <c r="A56" s="63"/>
      <c r="B56" s="123"/>
      <c r="C56" s="125"/>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5" t="str">
        <f aca="false">IF(OR(AQ56="",AR56=""),"",IF(AQ56&lt;AR56,"Decreased",IF(AQ56&gt;AR56,"Increased","Flat")))</f>
        <v/>
      </c>
    </row>
    <row r="57" customFormat="false" ht="15" hidden="false" customHeight="true" outlineLevel="0" collapsed="false">
      <c r="A57" s="63"/>
      <c r="B57" s="123"/>
      <c r="C57" s="125"/>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5" t="str">
        <f aca="false">IF(OR(AQ57="",AR57=""),"",IF(AQ57&lt;AR57,"Decreased",IF(AQ57&gt;AR57,"Increased","Flat")))</f>
        <v/>
      </c>
    </row>
    <row r="58" customFormat="false" ht="15" hidden="false" customHeight="true" outlineLevel="0" collapsed="false">
      <c r="A58" s="63"/>
      <c r="B58" s="123"/>
      <c r="C58" s="125"/>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5" t="str">
        <f aca="false">IF(OR(AQ58="",AR58=""),"",IF(AQ58&lt;AR58,"Decreased",IF(AQ58&gt;AR58,"Increased","Flat")))</f>
        <v/>
      </c>
    </row>
    <row r="59" customFormat="false" ht="15" hidden="false" customHeight="true" outlineLevel="0" collapsed="false">
      <c r="A59" s="63"/>
      <c r="B59" s="123"/>
      <c r="C59" s="125"/>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5" t="str">
        <f aca="false">IF(OR(AQ59="",AR59=""),"",IF(AQ59&lt;AR59,"Decreased",IF(AQ59&gt;AR59,"Increased","Flat")))</f>
        <v/>
      </c>
    </row>
    <row r="60" customFormat="false" ht="15" hidden="false" customHeight="true" outlineLevel="0" collapsed="false">
      <c r="A60" s="63"/>
      <c r="B60" s="123"/>
      <c r="C60" s="125"/>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5" t="str">
        <f aca="false">IF(OR(AQ60="",AR60=""),"",IF(AQ60&lt;AR60,"Decreased",IF(AQ60&gt;AR60,"Increased","Flat")))</f>
        <v/>
      </c>
    </row>
    <row r="61" customFormat="false" ht="13.5" hidden="false" customHeight="true" outlineLevel="0" collapsed="false">
      <c r="AM61" s="136"/>
    </row>
    <row r="62" customFormat="false" ht="15.75" hidden="false" customHeight="true" outlineLevel="0" collapsed="false">
      <c r="A62" s="137" t="n">
        <f aca="false">SUBTOTAL(103,A3:A60)</f>
        <v>30</v>
      </c>
      <c r="B62" s="112" t="s">
        <v>306</v>
      </c>
    </row>
    <row r="63" customFormat="false" ht="13.5" hidden="false" customHeight="true" outlineLevel="0" collapsed="false">
      <c r="C63" s="138"/>
    </row>
    <row r="64" customFormat="false" ht="13.5" hidden="false" customHeight="true" outlineLevel="0" collapsed="false">
      <c r="C64" s="138"/>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9" t="s">
        <v>425</v>
      </c>
      <c r="B1" s="139"/>
      <c r="C1" s="140"/>
      <c r="D1" s="140"/>
      <c r="E1" s="140"/>
      <c r="F1" s="140"/>
      <c r="G1" s="140"/>
      <c r="H1" s="139"/>
      <c r="I1" s="140"/>
      <c r="J1" s="140"/>
      <c r="K1" s="140"/>
      <c r="L1" s="140"/>
      <c r="M1" s="140"/>
      <c r="N1" s="140"/>
      <c r="O1" s="140"/>
      <c r="P1" s="140"/>
      <c r="Q1" s="139"/>
      <c r="R1" s="139"/>
      <c r="S1" s="139"/>
    </row>
    <row r="2" customFormat="false" ht="68.25" hidden="false" customHeight="true" outlineLevel="0" collapsed="false">
      <c r="A2" s="141" t="s">
        <v>82</v>
      </c>
      <c r="B2" s="141" t="s">
        <v>296</v>
      </c>
      <c r="C2" s="141" t="s">
        <v>426</v>
      </c>
      <c r="D2" s="141" t="s">
        <v>427</v>
      </c>
      <c r="E2" s="141" t="s">
        <v>428</v>
      </c>
      <c r="F2" s="141" t="s">
        <v>429</v>
      </c>
      <c r="G2" s="141" t="s">
        <v>430</v>
      </c>
      <c r="H2" s="141" t="s">
        <v>431</v>
      </c>
      <c r="I2" s="141" t="s">
        <v>432</v>
      </c>
      <c r="J2" s="141" t="s">
        <v>433</v>
      </c>
      <c r="K2" s="141" t="s">
        <v>434</v>
      </c>
      <c r="L2" s="141" t="s">
        <v>435</v>
      </c>
      <c r="M2" s="141" t="s">
        <v>436</v>
      </c>
      <c r="N2" s="141" t="s">
        <v>437</v>
      </c>
      <c r="O2" s="141" t="s">
        <v>438</v>
      </c>
      <c r="P2" s="141" t="s">
        <v>439</v>
      </c>
      <c r="Q2" s="141" t="s">
        <v>440</v>
      </c>
      <c r="R2" s="141" t="s">
        <v>441</v>
      </c>
      <c r="S2" s="141" t="s">
        <v>442</v>
      </c>
    </row>
    <row r="3" customFormat="false" ht="15" hidden="false" customHeight="true" outlineLevel="0" collapsed="false">
      <c r="A3" s="142" t="str">
        <f aca="false">IF(Scoring!A3="","",Scoring!A3)</f>
        <v>MU</v>
      </c>
      <c r="B3" s="143" t="str">
        <f aca="false">IF(Scoring!B3="","",Scoring!B3)</f>
        <v>Micron Technology</v>
      </c>
      <c r="C3" s="142" t="str">
        <f aca="false">IF(Scoring!AG3="","",IF(OR(Scoring!AG3="STRONG BUY",Scoring!AG3="BUY"),"PASS","FAIL"))</f>
        <v>PASS</v>
      </c>
      <c r="D3" s="142" t="str">
        <f aca="false">IF(Scoring!AH3="","",IF(Scoring!AH3="OK","PASS","FAIL"))</f>
        <v>PASS</v>
      </c>
      <c r="E3" s="142" t="str">
        <f aca="false">IF(Scoring!AI3="","",IF(Scoring!AI3="OK","PASS","FAIL — mandatory review required"))</f>
        <v>PASS</v>
      </c>
      <c r="F3" s="142"/>
      <c r="G3" s="142"/>
      <c r="H3" s="143" t="str">
        <f aca="false">IF(OR(F3="",G3=""),"",IF(AND(F3="Y",G3="Y"),"Standard initial size","50% of normal initial size + 90-day technical review"))</f>
        <v/>
      </c>
      <c r="I3" s="142"/>
      <c r="J3" s="142"/>
      <c r="K3" s="144" t="str">
        <f aca="false">IF(I3="","",IF(I3="N","PASS",IF(J3="Y","PASS — risk documented in thesis","FAIL — undocumented binary risk")))</f>
        <v/>
      </c>
      <c r="L3" s="142" t="str">
        <f aca="false">IF('Implied-Return Calculator'!S4="","",'Implied-Return Calculator'!S4)</f>
        <v/>
      </c>
      <c r="M3" s="142" t="str">
        <f aca="false">IF('Implied-Return Calculator'!T4="","",'Implied-Return Calculator'!T4)</f>
        <v/>
      </c>
      <c r="N3" s="142" t="str">
        <f aca="false">IF('Implied-Return Calculator'!U4="","",'Implied-Return Calculator'!U4)</f>
        <v/>
      </c>
      <c r="O3" s="142"/>
      <c r="P3" s="142"/>
      <c r="Q3" s="144" t="str">
        <f aca="false">IF(OR(O3="",P3=""),"",IF(O3&lt;=50,"PASS — within ceiling",IF(AND(P3&gt;0.3,M3="PASS"),"PASS — growth+bear case exception met","FAIL — exceeds 50x, exception not met")))</f>
        <v/>
      </c>
      <c r="R3" s="143" t="str">
        <f aca="false">IF(OR(C3="",D3="",E3="",K3="",L3="",M3="",N3="",Q3=""),"",IF(AND(C3="PASS",D3="PASS",LEFT(E3,4)="PASS",LEFT(K3,4)="PASS",L3="PASS",M3="PASS",N3="OK",LEFT(Q3,4)="PASS"),"YES","NO — see failing rule(s)"))</f>
        <v/>
      </c>
      <c r="S3" s="143" t="str">
        <f aca="false">IF(R3="","",IF(R3="YES","Initiate: "&amp;H3,"DO NOT ENTER — resolve failing Entry Rule(s) above first"))</f>
        <v/>
      </c>
    </row>
    <row r="4" customFormat="false" ht="15" hidden="false" customHeight="true" outlineLevel="0" collapsed="false">
      <c r="A4" s="142" t="str">
        <f aca="false">IF(Scoring!A4="","",Scoring!A4)</f>
        <v>AVGO</v>
      </c>
      <c r="B4" s="143" t="str">
        <f aca="false">IF(Scoring!B4="","",Scoring!B4)</f>
        <v>Broadcom Inc.</v>
      </c>
      <c r="C4" s="142" t="str">
        <f aca="false">IF(Scoring!AG4="","",IF(OR(Scoring!AG4="STRONG BUY",Scoring!AG4="BUY"),"PASS","FAIL"))</f>
        <v>PASS</v>
      </c>
      <c r="D4" s="142" t="str">
        <f aca="false">IF(Scoring!AH4="","",IF(Scoring!AH4="OK","PASS","FAIL"))</f>
        <v>PASS</v>
      </c>
      <c r="E4" s="142" t="str">
        <f aca="false">IF(Scoring!AI4="","",IF(Scoring!AI4="OK","PASS","FAIL — mandatory review required"))</f>
        <v>PASS</v>
      </c>
      <c r="F4" s="142"/>
      <c r="G4" s="142"/>
      <c r="H4" s="143" t="str">
        <f aca="false">IF(OR(F4="",G4=""),"",IF(AND(F4="Y",G4="Y"),"Standard initial size","50% of normal initial size + 90-day technical review"))</f>
        <v/>
      </c>
      <c r="I4" s="142"/>
      <c r="J4" s="142"/>
      <c r="K4" s="144" t="str">
        <f aca="false">IF(I4="","",IF(I4="N","PASS",IF(J4="Y","PASS — risk documented in thesis","FAIL — undocumented binary risk")))</f>
        <v/>
      </c>
      <c r="L4" s="142" t="str">
        <f aca="false">IF('Implied-Return Calculator'!S5="","",'Implied-Return Calculator'!S5)</f>
        <v/>
      </c>
      <c r="M4" s="142" t="str">
        <f aca="false">IF('Implied-Return Calculator'!T5="","",'Implied-Return Calculator'!T5)</f>
        <v/>
      </c>
      <c r="N4" s="142" t="str">
        <f aca="false">IF('Implied-Return Calculator'!U5="","",'Implied-Return Calculator'!U5)</f>
        <v/>
      </c>
      <c r="O4" s="142"/>
      <c r="P4" s="142"/>
      <c r="Q4" s="144" t="str">
        <f aca="false">IF(OR(O4="",P4=""),"",IF(O4&lt;=50,"PASS — within ceiling",IF(AND(P4&gt;0.3,M4="PASS"),"PASS — growth+bear case exception met","FAIL — exceeds 50x, exception not met")))</f>
        <v/>
      </c>
      <c r="R4" s="143" t="str">
        <f aca="false">IF(OR(C4="",D4="",E4="",K4="",L4="",M4="",N4="",Q4=""),"",IF(AND(C4="PASS",D4="PASS",LEFT(E4,4)="PASS",LEFT(K4,4)="PASS",L4="PASS",M4="PASS",N4="OK",LEFT(Q4,4)="PASS"),"YES","NO — see failing rule(s)"))</f>
        <v/>
      </c>
      <c r="S4" s="143" t="str">
        <f aca="false">IF(R4="","",IF(R4="YES","Initiate: "&amp;H4,"DO NOT ENTER — resolve failing Entry Rule(s) above first"))</f>
        <v/>
      </c>
    </row>
    <row r="5" customFormat="false" ht="15" hidden="false" customHeight="true" outlineLevel="0" collapsed="false">
      <c r="A5" s="142" t="str">
        <f aca="false">IF(Scoring!A5="","",Scoring!A5)</f>
        <v>PLTR</v>
      </c>
      <c r="B5" s="143" t="str">
        <f aca="false">IF(Scoring!B5="","",Scoring!B5)</f>
        <v>Palantir Technologies</v>
      </c>
      <c r="C5" s="142" t="str">
        <f aca="false">IF(Scoring!AG5="","",IF(OR(Scoring!AG5="STRONG BUY",Scoring!AG5="BUY"),"PASS","FAIL"))</f>
        <v>PASS</v>
      </c>
      <c r="D5" s="142" t="str">
        <f aca="false">IF(Scoring!AH5="","",IF(Scoring!AH5="OK","PASS","FAIL"))</f>
        <v>PASS</v>
      </c>
      <c r="E5" s="142" t="str">
        <f aca="false">IF(Scoring!AI5="","",IF(Scoring!AI5="OK","PASS","FAIL — mandatory review required"))</f>
        <v>PASS</v>
      </c>
      <c r="F5" s="142"/>
      <c r="G5" s="142"/>
      <c r="H5" s="143" t="str">
        <f aca="false">IF(OR(F5="",G5=""),"",IF(AND(F5="Y",G5="Y"),"Standard initial size","50% of normal initial size + 90-day technical review"))</f>
        <v/>
      </c>
      <c r="I5" s="142"/>
      <c r="J5" s="142"/>
      <c r="K5" s="144" t="str">
        <f aca="false">IF(I5="","",IF(I5="N","PASS",IF(J5="Y","PASS — risk documented in thesis","FAIL — undocumented binary risk")))</f>
        <v/>
      </c>
      <c r="L5" s="142" t="str">
        <f aca="false">IF('Implied-Return Calculator'!S6="","",'Implied-Return Calculator'!S6)</f>
        <v/>
      </c>
      <c r="M5" s="142" t="str">
        <f aca="false">IF('Implied-Return Calculator'!T6="","",'Implied-Return Calculator'!T6)</f>
        <v/>
      </c>
      <c r="N5" s="142" t="str">
        <f aca="false">IF('Implied-Return Calculator'!U6="","",'Implied-Return Calculator'!U6)</f>
        <v/>
      </c>
      <c r="O5" s="142"/>
      <c r="P5" s="142"/>
      <c r="Q5" s="144" t="str">
        <f aca="false">IF(OR(O5="",P5=""),"",IF(O5&lt;=50,"PASS — within ceiling",IF(AND(P5&gt;0.3,M5="PASS"),"PASS — growth+bear case exception met","FAIL — exceeds 50x, exception not met")))</f>
        <v/>
      </c>
      <c r="R5" s="143" t="str">
        <f aca="false">IF(OR(C5="",D5="",E5="",K5="",L5="",M5="",N5="",Q5=""),"",IF(AND(C5="PASS",D5="PASS",LEFT(E5,4)="PASS",LEFT(K5,4)="PASS",L5="PASS",M5="PASS",N5="OK",LEFT(Q5,4)="PASS"),"YES","NO — see failing rule(s)"))</f>
        <v/>
      </c>
      <c r="S5" s="143" t="str">
        <f aca="false">IF(R5="","",IF(R5="YES","Initiate: "&amp;H5,"DO NOT ENTER — resolve failing Entry Rule(s) above first"))</f>
        <v/>
      </c>
    </row>
    <row r="6" customFormat="false" ht="15" hidden="false" customHeight="true" outlineLevel="0" collapsed="false">
      <c r="A6" s="142" t="str">
        <f aca="false">IF(Scoring!A6="","",Scoring!A6)</f>
        <v>NVDA</v>
      </c>
      <c r="B6" s="143" t="str">
        <f aca="false">IF(Scoring!B6="","",Scoring!B6)</f>
        <v>NVIDIA Corporation</v>
      </c>
      <c r="C6" s="142" t="str">
        <f aca="false">IF(Scoring!AG6="","",IF(OR(Scoring!AG6="STRONG BUY",Scoring!AG6="BUY"),"PASS","FAIL"))</f>
        <v>PASS</v>
      </c>
      <c r="D6" s="142" t="str">
        <f aca="false">IF(Scoring!AH6="","",IF(Scoring!AH6="OK","PASS","FAIL"))</f>
        <v>PASS</v>
      </c>
      <c r="E6" s="142" t="str">
        <f aca="false">IF(Scoring!AI6="","",IF(Scoring!AI6="OK","PASS","FAIL — mandatory review required"))</f>
        <v>PASS</v>
      </c>
      <c r="F6" s="142"/>
      <c r="G6" s="142"/>
      <c r="H6" s="143" t="str">
        <f aca="false">IF(OR(F6="",G6=""),"",IF(AND(F6="Y",G6="Y"),"Standard initial size","50% of normal initial size + 90-day technical review"))</f>
        <v/>
      </c>
      <c r="I6" s="142"/>
      <c r="J6" s="142"/>
      <c r="K6" s="144" t="str">
        <f aca="false">IF(I6="","",IF(I6="N","PASS",IF(J6="Y","PASS — risk documented in thesis","FAIL — undocumented binary risk")))</f>
        <v/>
      </c>
      <c r="L6" s="142" t="str">
        <f aca="false">IF('Implied-Return Calculator'!S7="","",'Implied-Return Calculator'!S7)</f>
        <v/>
      </c>
      <c r="M6" s="142" t="str">
        <f aca="false">IF('Implied-Return Calculator'!T7="","",'Implied-Return Calculator'!T7)</f>
        <v/>
      </c>
      <c r="N6" s="142" t="str">
        <f aca="false">IF('Implied-Return Calculator'!U7="","",'Implied-Return Calculator'!U7)</f>
        <v/>
      </c>
      <c r="O6" s="142"/>
      <c r="P6" s="142"/>
      <c r="Q6" s="144" t="str">
        <f aca="false">IF(OR(O6="",P6=""),"",IF(O6&lt;=50,"PASS — within ceiling",IF(AND(P6&gt;0.3,M6="PASS"),"PASS — growth+bear case exception met","FAIL — exceeds 50x, exception not met")))</f>
        <v/>
      </c>
      <c r="R6" s="143" t="str">
        <f aca="false">IF(OR(C6="",D6="",E6="",K6="",L6="",M6="",N6="",Q6=""),"",IF(AND(C6="PASS",D6="PASS",LEFT(E6,4)="PASS",LEFT(K6,4)="PASS",L6="PASS",M6="PASS",N6="OK",LEFT(Q6,4)="PASS"),"YES","NO — see failing rule(s)"))</f>
        <v/>
      </c>
      <c r="S6" s="143" t="str">
        <f aca="false">IF(R6="","",IF(R6="YES","Initiate: "&amp;H6,"DO NOT ENTER — resolve failing Entry Rule(s) above first"))</f>
        <v/>
      </c>
    </row>
    <row r="7" customFormat="false" ht="15" hidden="false" customHeight="true" outlineLevel="0" collapsed="false">
      <c r="A7" s="142" t="str">
        <f aca="false">IF(Scoring!A7="","",Scoring!A7)</f>
        <v>VRTX</v>
      </c>
      <c r="B7" s="143" t="str">
        <f aca="false">IF(Scoring!B7="","",Scoring!B7)</f>
        <v>Vertex Pharmaceuticals</v>
      </c>
      <c r="C7" s="142" t="str">
        <f aca="false">IF(Scoring!AG7="","",IF(OR(Scoring!AG7="STRONG BUY",Scoring!AG7="BUY"),"PASS","FAIL"))</f>
        <v>PASS</v>
      </c>
      <c r="D7" s="142" t="str">
        <f aca="false">IF(Scoring!AH7="","",IF(Scoring!AH7="OK","PASS","FAIL"))</f>
        <v>PASS</v>
      </c>
      <c r="E7" s="142" t="str">
        <f aca="false">IF(Scoring!AI7="","",IF(Scoring!AI7="OK","PASS","FAIL — mandatory review required"))</f>
        <v>PASS</v>
      </c>
      <c r="F7" s="142"/>
      <c r="G7" s="142"/>
      <c r="H7" s="143" t="str">
        <f aca="false">IF(OR(F7="",G7=""),"",IF(AND(F7="Y",G7="Y"),"Standard initial size","50% of normal initial size + 90-day technical review"))</f>
        <v/>
      </c>
      <c r="I7" s="142"/>
      <c r="J7" s="142"/>
      <c r="K7" s="144" t="str">
        <f aca="false">IF(I7="","",IF(I7="N","PASS",IF(J7="Y","PASS — risk documented in thesis","FAIL — undocumented binary risk")))</f>
        <v/>
      </c>
      <c r="L7" s="142" t="str">
        <f aca="false">IF('Implied-Return Calculator'!S8="","",'Implied-Return Calculator'!S8)</f>
        <v/>
      </c>
      <c r="M7" s="142" t="str">
        <f aca="false">IF('Implied-Return Calculator'!T8="","",'Implied-Return Calculator'!T8)</f>
        <v/>
      </c>
      <c r="N7" s="142" t="str">
        <f aca="false">IF('Implied-Return Calculator'!U8="","",'Implied-Return Calculator'!U8)</f>
        <v/>
      </c>
      <c r="O7" s="142"/>
      <c r="P7" s="142"/>
      <c r="Q7" s="144" t="str">
        <f aca="false">IF(OR(O7="",P7=""),"",IF(O7&lt;=50,"PASS — within ceiling",IF(AND(P7&gt;0.3,M7="PASS"),"PASS — growth+bear case exception met","FAIL — exceeds 50x, exception not met")))</f>
        <v/>
      </c>
      <c r="R7" s="143" t="str">
        <f aca="false">IF(OR(C7="",D7="",E7="",K7="",L7="",M7="",N7="",Q7=""),"",IF(AND(C7="PASS",D7="PASS",LEFT(E7,4)="PASS",LEFT(K7,4)="PASS",L7="PASS",M7="PASS",N7="OK",LEFT(Q7,4)="PASS"),"YES","NO — see failing rule(s)"))</f>
        <v/>
      </c>
      <c r="S7" s="143" t="str">
        <f aca="false">IF(R7="","",IF(R7="YES","Initiate: "&amp;H7,"DO NOT ENTER — resolve failing Entry Rule(s) above first"))</f>
        <v/>
      </c>
    </row>
    <row r="8" customFormat="false" ht="15" hidden="false" customHeight="true" outlineLevel="0" collapsed="false">
      <c r="A8" s="142" t="str">
        <f aca="false">IF(Scoring!A8="","",Scoring!A8)</f>
        <v>PLD</v>
      </c>
      <c r="B8" s="143" t="str">
        <f aca="false">IF(Scoring!B8="","",Scoring!B8)</f>
        <v>Prologis Inc. (REIT-adapted)</v>
      </c>
      <c r="C8" s="142" t="str">
        <f aca="false">IF(Scoring!AG8="","",IF(OR(Scoring!AG8="STRONG BUY",Scoring!AG8="BUY"),"PASS","FAIL"))</f>
        <v>PASS</v>
      </c>
      <c r="D8" s="142" t="str">
        <f aca="false">IF(Scoring!AH8="","",IF(Scoring!AH8="OK","PASS","FAIL"))</f>
        <v>PASS</v>
      </c>
      <c r="E8" s="142" t="str">
        <f aca="false">IF(Scoring!AI8="","",IF(Scoring!AI8="OK","PASS","FAIL — mandatory review required"))</f>
        <v>PASS</v>
      </c>
      <c r="F8" s="142"/>
      <c r="G8" s="142"/>
      <c r="H8" s="143" t="str">
        <f aca="false">IF(OR(F8="",G8=""),"",IF(AND(F8="Y",G8="Y"),"Standard initial size","50% of normal initial size + 90-day technical review"))</f>
        <v/>
      </c>
      <c r="I8" s="142"/>
      <c r="J8" s="142"/>
      <c r="K8" s="144" t="str">
        <f aca="false">IF(I8="","",IF(I8="N","PASS",IF(J8="Y","PASS — risk documented in thesis","FAIL — undocumented binary risk")))</f>
        <v/>
      </c>
      <c r="L8" s="142" t="str">
        <f aca="false">IF('Implied-Return Calculator'!S9="","",'Implied-Return Calculator'!S9)</f>
        <v/>
      </c>
      <c r="M8" s="142" t="str">
        <f aca="false">IF('Implied-Return Calculator'!T9="","",'Implied-Return Calculator'!T9)</f>
        <v/>
      </c>
      <c r="N8" s="142" t="str">
        <f aca="false">IF('Implied-Return Calculator'!U9="","",'Implied-Return Calculator'!U9)</f>
        <v/>
      </c>
      <c r="O8" s="142"/>
      <c r="P8" s="142"/>
      <c r="Q8" s="144" t="str">
        <f aca="false">IF(OR(O8="",P8=""),"",IF(O8&lt;=50,"PASS — within ceiling",IF(AND(P8&gt;0.3,M8="PASS"),"PASS — growth+bear case exception met","FAIL — exceeds 50x, exception not met")))</f>
        <v/>
      </c>
      <c r="R8" s="143" t="str">
        <f aca="false">IF(OR(C8="",D8="",E8="",K8="",L8="",M8="",N8="",Q8=""),"",IF(AND(C8="PASS",D8="PASS",LEFT(E8,4)="PASS",LEFT(K8,4)="PASS",L8="PASS",M8="PASS",N8="OK",LEFT(Q8,4)="PASS"),"YES","NO — see failing rule(s)"))</f>
        <v/>
      </c>
      <c r="S8" s="143" t="str">
        <f aca="false">IF(R8="","",IF(R8="YES","Initiate: "&amp;H8,"DO NOT ENTER — resolve failing Entry Rule(s) above first"))</f>
        <v/>
      </c>
    </row>
    <row r="9" customFormat="false" ht="15" hidden="false" customHeight="true" outlineLevel="0" collapsed="false">
      <c r="A9" s="142" t="str">
        <f aca="false">IF(Scoring!A9="","",Scoring!A9)</f>
        <v>SFM</v>
      </c>
      <c r="B9" s="143" t="str">
        <f aca="false">IF(Scoring!B9="","",Scoring!B9)</f>
        <v>Sprouts Farmers Market</v>
      </c>
      <c r="C9" s="142" t="str">
        <f aca="false">IF(Scoring!AG9="","",IF(OR(Scoring!AG9="STRONG BUY",Scoring!AG9="BUY"),"PASS","FAIL"))</f>
        <v/>
      </c>
      <c r="D9" s="142" t="str">
        <f aca="false">IF(Scoring!AH9="","",IF(Scoring!AH9="OK","PASS","FAIL"))</f>
        <v>FAIL</v>
      </c>
      <c r="E9" s="142" t="str">
        <f aca="false">IF(Scoring!AI9="","",IF(Scoring!AI9="OK","PASS","FAIL — mandatory review required"))</f>
        <v>FAIL — mandatory review required</v>
      </c>
      <c r="F9" s="142"/>
      <c r="G9" s="142"/>
      <c r="H9" s="143" t="str">
        <f aca="false">IF(OR(F9="",G9=""),"",IF(AND(F9="Y",G9="Y"),"Standard initial size","50% of normal initial size + 90-day technical review"))</f>
        <v/>
      </c>
      <c r="I9" s="142"/>
      <c r="J9" s="142"/>
      <c r="K9" s="144" t="str">
        <f aca="false">IF(I9="","",IF(I9="N","PASS",IF(J9="Y","PASS — risk documented in thesis","FAIL — undocumented binary risk")))</f>
        <v/>
      </c>
      <c r="L9" s="142" t="str">
        <f aca="false">IF('Implied-Return Calculator'!S10="","",'Implied-Return Calculator'!S10)</f>
        <v/>
      </c>
      <c r="M9" s="142" t="str">
        <f aca="false">IF('Implied-Return Calculator'!T10="","",'Implied-Return Calculator'!T10)</f>
        <v/>
      </c>
      <c r="N9" s="142" t="str">
        <f aca="false">IF('Implied-Return Calculator'!U10="","",'Implied-Return Calculator'!U10)</f>
        <v/>
      </c>
      <c r="O9" s="142"/>
      <c r="P9" s="142"/>
      <c r="Q9" s="144" t="str">
        <f aca="false">IF(OR(O9="",P9=""),"",IF(O9&lt;=50,"PASS — within ceiling",IF(AND(P9&gt;0.3,M9="PASS"),"PASS — growth+bear case exception met","FAIL — exceeds 50x, exception not met")))</f>
        <v/>
      </c>
      <c r="R9" s="143" t="str">
        <f aca="false">IF(OR(C9="",D9="",E9="",K9="",L9="",M9="",N9="",Q9=""),"",IF(AND(C9="PASS",D9="PASS",LEFT(E9,4)="PASS",LEFT(K9,4)="PASS",L9="PASS",M9="PASS",N9="OK",LEFT(Q9,4)="PASS"),"YES","NO — see failing rule(s)"))</f>
        <v/>
      </c>
      <c r="S9" s="143" t="str">
        <f aca="false">IF(R9="","",IF(R9="YES","Initiate: "&amp;H9,"DO NOT ENTER — resolve failing Entry Rule(s) above first"))</f>
        <v/>
      </c>
    </row>
    <row r="10" customFormat="false" ht="15" hidden="false" customHeight="true" outlineLevel="0" collapsed="false">
      <c r="A10" s="142" t="str">
        <f aca="false">IF(Scoring!A10="","",Scoring!A10)</f>
        <v>ONON</v>
      </c>
      <c r="B10" s="143" t="str">
        <f aca="false">IF(Scoring!B10="","",Scoring!B10)</f>
        <v>On Holding AG</v>
      </c>
      <c r="C10" s="142" t="str">
        <f aca="false">IF(Scoring!AG10="","",IF(OR(Scoring!AG10="STRONG BUY",Scoring!AG10="BUY"),"PASS","FAIL"))</f>
        <v/>
      </c>
      <c r="D10" s="142" t="str">
        <f aca="false">IF(Scoring!AH10="","",IF(Scoring!AH10="OK","PASS","FAIL"))</f>
        <v>FAIL</v>
      </c>
      <c r="E10" s="142" t="str">
        <f aca="false">IF(Scoring!AI10="","",IF(Scoring!AI10="OK","PASS","FAIL — mandatory review required"))</f>
        <v>PASS</v>
      </c>
      <c r="F10" s="142"/>
      <c r="G10" s="142"/>
      <c r="H10" s="143" t="str">
        <f aca="false">IF(OR(F10="",G10=""),"",IF(AND(F10="Y",G10="Y"),"Standard initial size","50% of normal initial size + 90-day technical review"))</f>
        <v/>
      </c>
      <c r="I10" s="142"/>
      <c r="J10" s="142"/>
      <c r="K10" s="144" t="str">
        <f aca="false">IF(I10="","",IF(I10="N","PASS",IF(J10="Y","PASS — risk documented in thesis","FAIL — undocumented binary risk")))</f>
        <v/>
      </c>
      <c r="L10" s="142" t="str">
        <f aca="false">IF('Implied-Return Calculator'!S11="","",'Implied-Return Calculator'!S11)</f>
        <v/>
      </c>
      <c r="M10" s="142" t="str">
        <f aca="false">IF('Implied-Return Calculator'!T11="","",'Implied-Return Calculator'!T11)</f>
        <v/>
      </c>
      <c r="N10" s="142" t="str">
        <f aca="false">IF('Implied-Return Calculator'!U11="","",'Implied-Return Calculator'!U11)</f>
        <v/>
      </c>
      <c r="O10" s="142"/>
      <c r="P10" s="142"/>
      <c r="Q10" s="144" t="str">
        <f aca="false">IF(OR(O10="",P10=""),"",IF(O10&lt;=50,"PASS — within ceiling",IF(AND(P10&gt;0.3,M10="PASS"),"PASS — growth+bear case exception met","FAIL — exceeds 50x, exception not met")))</f>
        <v/>
      </c>
      <c r="R10" s="143" t="str">
        <f aca="false">IF(OR(C10="",D10="",E10="",K10="",L10="",M10="",N10="",Q10=""),"",IF(AND(C10="PASS",D10="PASS",LEFT(E10,4)="PASS",LEFT(K10,4)="PASS",L10="PASS",M10="PASS",N10="OK",LEFT(Q10,4)="PASS"),"YES","NO — see failing rule(s)"))</f>
        <v/>
      </c>
      <c r="S10" s="143" t="str">
        <f aca="false">IF(R10="","",IF(R10="YES","Initiate: "&amp;H10,"DO NOT ENTER — resolve failing Entry Rule(s) above first"))</f>
        <v/>
      </c>
    </row>
    <row r="11" customFormat="false" ht="15" hidden="false" customHeight="true" outlineLevel="0" collapsed="false">
      <c r="A11" s="142" t="str">
        <f aca="false">IF(Scoring!A11="","",Scoring!A11)</f>
        <v>TSLA</v>
      </c>
      <c r="B11" s="143" t="str">
        <f aca="false">IF(Scoring!B11="","",Scoring!B11)</f>
        <v>Tesla Inc.</v>
      </c>
      <c r="C11" s="142" t="str">
        <f aca="false">IF(Scoring!AG11="","",IF(OR(Scoring!AG11="STRONG BUY",Scoring!AG11="BUY"),"PASS","FAIL"))</f>
        <v/>
      </c>
      <c r="D11" s="142" t="str">
        <f aca="false">IF(Scoring!AH11="","",IF(Scoring!AH11="OK","PASS","FAIL"))</f>
        <v>FAIL</v>
      </c>
      <c r="E11" s="142" t="str">
        <f aca="false">IF(Scoring!AI11="","",IF(Scoring!AI11="OK","PASS","FAIL — mandatory review required"))</f>
        <v>FAIL — mandatory review required</v>
      </c>
      <c r="F11" s="142"/>
      <c r="G11" s="142"/>
      <c r="H11" s="143" t="str">
        <f aca="false">IF(OR(F11="",G11=""),"",IF(AND(F11="Y",G11="Y"),"Standard initial size","50% of normal initial size + 90-day technical review"))</f>
        <v/>
      </c>
      <c r="I11" s="142"/>
      <c r="J11" s="142"/>
      <c r="K11" s="144" t="str">
        <f aca="false">IF(I11="","",IF(I11="N","PASS",IF(J11="Y","PASS — risk documented in thesis","FAIL — undocumented binary risk")))</f>
        <v/>
      </c>
      <c r="L11" s="142" t="str">
        <f aca="false">IF('Implied-Return Calculator'!S12="","",'Implied-Return Calculator'!S12)</f>
        <v/>
      </c>
      <c r="M11" s="142" t="str">
        <f aca="false">IF('Implied-Return Calculator'!T12="","",'Implied-Return Calculator'!T12)</f>
        <v/>
      </c>
      <c r="N11" s="142" t="str">
        <f aca="false">IF('Implied-Return Calculator'!U12="","",'Implied-Return Calculator'!U12)</f>
        <v/>
      </c>
      <c r="O11" s="142"/>
      <c r="P11" s="142"/>
      <c r="Q11" s="144" t="str">
        <f aca="false">IF(OR(O11="",P11=""),"",IF(O11&lt;=50,"PASS — within ceiling",IF(AND(P11&gt;0.3,M11="PASS"),"PASS — growth+bear case exception met","FAIL — exceeds 50x, exception not met")))</f>
        <v/>
      </c>
      <c r="R11" s="143" t="str">
        <f aca="false">IF(OR(C11="",D11="",E11="",K11="",L11="",M11="",N11="",Q11=""),"",IF(AND(C11="PASS",D11="PASS",LEFT(E11,4)="PASS",LEFT(K11,4)="PASS",L11="PASS",M11="PASS",N11="OK",LEFT(Q11,4)="PASS"),"YES","NO — see failing rule(s)"))</f>
        <v/>
      </c>
      <c r="S11" s="143" t="str">
        <f aca="false">IF(R11="","",IF(R11="YES","Initiate: "&amp;H11,"DO NOT ENTER — resolve failing Entry Rule(s) above first"))</f>
        <v/>
      </c>
    </row>
    <row r="12" customFormat="false" ht="15" hidden="false" customHeight="true" outlineLevel="0" collapsed="false">
      <c r="A12" s="142" t="str">
        <f aca="false">IF(Scoring!A12="","",Scoring!A12)</f>
        <v>ADBE</v>
      </c>
      <c r="B12" s="143" t="str">
        <f aca="false">IF(Scoring!B12="","",Scoring!B12)</f>
        <v>Adobe Inc.</v>
      </c>
      <c r="C12" s="142" t="str">
        <f aca="false">IF(Scoring!AG12="","",IF(OR(Scoring!AG12="STRONG BUY",Scoring!AG12="BUY"),"PASS","FAIL"))</f>
        <v>PASS</v>
      </c>
      <c r="D12" s="142" t="str">
        <f aca="false">IF(Scoring!AH12="","",IF(Scoring!AH12="OK","PASS","FAIL"))</f>
        <v>PASS</v>
      </c>
      <c r="E12" s="142" t="str">
        <f aca="false">IF(Scoring!AI12="","",IF(Scoring!AI12="OK","PASS","FAIL — mandatory review required"))</f>
        <v>PASS</v>
      </c>
      <c r="F12" s="142"/>
      <c r="G12" s="142"/>
      <c r="H12" s="143" t="str">
        <f aca="false">IF(OR(F12="",G12=""),"",IF(AND(F12="Y",G12="Y"),"Standard initial size","50% of normal initial size + 90-day technical review"))</f>
        <v/>
      </c>
      <c r="I12" s="142"/>
      <c r="J12" s="142"/>
      <c r="K12" s="144" t="str">
        <f aca="false">IF(I12="","",IF(I12="N","PASS",IF(J12="Y","PASS — risk documented in thesis","FAIL — undocumented binary risk")))</f>
        <v/>
      </c>
      <c r="L12" s="142" t="str">
        <f aca="false">IF('Implied-Return Calculator'!S13="","",'Implied-Return Calculator'!S13)</f>
        <v/>
      </c>
      <c r="M12" s="142" t="str">
        <f aca="false">IF('Implied-Return Calculator'!T13="","",'Implied-Return Calculator'!T13)</f>
        <v/>
      </c>
      <c r="N12" s="142" t="str">
        <f aca="false">IF('Implied-Return Calculator'!U13="","",'Implied-Return Calculator'!U13)</f>
        <v/>
      </c>
      <c r="O12" s="142"/>
      <c r="P12" s="142"/>
      <c r="Q12" s="144" t="str">
        <f aca="false">IF(OR(O12="",P12=""),"",IF(O12&lt;=50,"PASS — within ceiling",IF(AND(P12&gt;0.3,M12="PASS"),"PASS — growth+bear case exception met","FAIL — exceeds 50x, exception not met")))</f>
        <v/>
      </c>
      <c r="R12" s="143" t="str">
        <f aca="false">IF(OR(C12="",D12="",E12="",K12="",L12="",M12="",N12="",Q12=""),"",IF(AND(C12="PASS",D12="PASS",LEFT(E12,4)="PASS",LEFT(K12,4)="PASS",L12="PASS",M12="PASS",N12="OK",LEFT(Q12,4)="PASS"),"YES","NO — see failing rule(s)"))</f>
        <v/>
      </c>
      <c r="S12" s="143" t="str">
        <f aca="false">IF(R12="","",IF(R12="YES","Initiate: "&amp;H12,"DO NOT ENTER — resolve failing Entry Rule(s) above first"))</f>
        <v/>
      </c>
    </row>
    <row r="13" customFormat="false" ht="15" hidden="false" customHeight="true" outlineLevel="0" collapsed="false">
      <c r="A13" s="142" t="str">
        <f aca="false">IF(Scoring!A13="","",Scoring!A13)</f>
        <v>ANET</v>
      </c>
      <c r="B13" s="143" t="str">
        <f aca="false">IF(Scoring!B13="","",Scoring!B13)</f>
        <v>Arista Networks</v>
      </c>
      <c r="C13" s="142" t="str">
        <f aca="false">IF(Scoring!AG13="","",IF(OR(Scoring!AG13="STRONG BUY",Scoring!AG13="BUY"),"PASS","FAIL"))</f>
        <v>PASS</v>
      </c>
      <c r="D13" s="142" t="str">
        <f aca="false">IF(Scoring!AH13="","",IF(Scoring!AH13="OK","PASS","FAIL"))</f>
        <v>PASS</v>
      </c>
      <c r="E13" s="142" t="str">
        <f aca="false">IF(Scoring!AI13="","",IF(Scoring!AI13="OK","PASS","FAIL — mandatory review required"))</f>
        <v>PASS</v>
      </c>
      <c r="F13" s="142"/>
      <c r="G13" s="142"/>
      <c r="H13" s="143" t="str">
        <f aca="false">IF(OR(F13="",G13=""),"",IF(AND(F13="Y",G13="Y"),"Standard initial size","50% of normal initial size + 90-day technical review"))</f>
        <v/>
      </c>
      <c r="I13" s="142"/>
      <c r="J13" s="142"/>
      <c r="K13" s="144" t="str">
        <f aca="false">IF(I13="","",IF(I13="N","PASS",IF(J13="Y","PASS — risk documented in thesis","FAIL — undocumented binary risk")))</f>
        <v/>
      </c>
      <c r="L13" s="142" t="str">
        <f aca="false">IF('Implied-Return Calculator'!S14="","",'Implied-Return Calculator'!S14)</f>
        <v/>
      </c>
      <c r="M13" s="142" t="str">
        <f aca="false">IF('Implied-Return Calculator'!T14="","",'Implied-Return Calculator'!T14)</f>
        <v/>
      </c>
      <c r="N13" s="142" t="str">
        <f aca="false">IF('Implied-Return Calculator'!U14="","",'Implied-Return Calculator'!U14)</f>
        <v/>
      </c>
      <c r="O13" s="142"/>
      <c r="P13" s="142"/>
      <c r="Q13" s="144" t="str">
        <f aca="false">IF(OR(O13="",P13=""),"",IF(O13&lt;=50,"PASS — within ceiling",IF(AND(P13&gt;0.3,M13="PASS"),"PASS — growth+bear case exception met","FAIL — exceeds 50x, exception not met")))</f>
        <v/>
      </c>
      <c r="R13" s="143" t="str">
        <f aca="false">IF(OR(C13="",D13="",E13="",K13="",L13="",M13="",N13="",Q13=""),"",IF(AND(C13="PASS",D13="PASS",LEFT(E13,4)="PASS",LEFT(K13,4)="PASS",L13="PASS",M13="PASS",N13="OK",LEFT(Q13,4)="PASS"),"YES","NO — see failing rule(s)"))</f>
        <v/>
      </c>
      <c r="S13" s="143" t="str">
        <f aca="false">IF(R13="","",IF(R13="YES","Initiate: "&amp;H13,"DO NOT ENTER — resolve failing Entry Rule(s) above first"))</f>
        <v/>
      </c>
    </row>
    <row r="14" customFormat="false" ht="15" hidden="false" customHeight="true" outlineLevel="0" collapsed="false">
      <c r="A14" s="142" t="str">
        <f aca="false">IF(Scoring!A14="","",Scoring!A14)</f>
        <v>ASML</v>
      </c>
      <c r="B14" s="143" t="str">
        <f aca="false">IF(Scoring!B14="","",Scoring!B14)</f>
        <v>ASML Holding</v>
      </c>
      <c r="C14" s="142" t="str">
        <f aca="false">IF(Scoring!AG14="","",IF(OR(Scoring!AG14="STRONG BUY",Scoring!AG14="BUY"),"PASS","FAIL"))</f>
        <v>PASS</v>
      </c>
      <c r="D14" s="142" t="str">
        <f aca="false">IF(Scoring!AH14="","",IF(Scoring!AH14="OK","PASS","FAIL"))</f>
        <v>PASS</v>
      </c>
      <c r="E14" s="142" t="str">
        <f aca="false">IF(Scoring!AI14="","",IF(Scoring!AI14="OK","PASS","FAIL — mandatory review required"))</f>
        <v>PASS</v>
      </c>
      <c r="F14" s="142"/>
      <c r="G14" s="142"/>
      <c r="H14" s="143" t="str">
        <f aca="false">IF(OR(F14="",G14=""),"",IF(AND(F14="Y",G14="Y"),"Standard initial size","50% of normal initial size + 90-day technical review"))</f>
        <v/>
      </c>
      <c r="I14" s="142"/>
      <c r="J14" s="142"/>
      <c r="K14" s="144" t="str">
        <f aca="false">IF(I14="","",IF(I14="N","PASS",IF(J14="Y","PASS — risk documented in thesis","FAIL — undocumented binary risk")))</f>
        <v/>
      </c>
      <c r="L14" s="142" t="str">
        <f aca="false">IF('Implied-Return Calculator'!S15="","",'Implied-Return Calculator'!S15)</f>
        <v/>
      </c>
      <c r="M14" s="142" t="str">
        <f aca="false">IF('Implied-Return Calculator'!T15="","",'Implied-Return Calculator'!T15)</f>
        <v/>
      </c>
      <c r="N14" s="142" t="str">
        <f aca="false">IF('Implied-Return Calculator'!U15="","",'Implied-Return Calculator'!U15)</f>
        <v/>
      </c>
      <c r="O14" s="142"/>
      <c r="P14" s="142"/>
      <c r="Q14" s="144" t="str">
        <f aca="false">IF(OR(O14="",P14=""),"",IF(O14&lt;=50,"PASS — within ceiling",IF(AND(P14&gt;0.3,M14="PASS"),"PASS — growth+bear case exception met","FAIL — exceeds 50x, exception not met")))</f>
        <v/>
      </c>
      <c r="R14" s="143" t="str">
        <f aca="false">IF(OR(C14="",D14="",E14="",K14="",L14="",M14="",N14="",Q14=""),"",IF(AND(C14="PASS",D14="PASS",LEFT(E14,4)="PASS",LEFT(K14,4)="PASS",L14="PASS",M14="PASS",N14="OK",LEFT(Q14,4)="PASS"),"YES","NO — see failing rule(s)"))</f>
        <v/>
      </c>
      <c r="S14" s="143" t="str">
        <f aca="false">IF(R14="","",IF(R14="YES","Initiate: "&amp;H14,"DO NOT ENTER — resolve failing Entry Rule(s) above first"))</f>
        <v/>
      </c>
    </row>
    <row r="15" customFormat="false" ht="15" hidden="false" customHeight="true" outlineLevel="0" collapsed="false">
      <c r="A15" s="142" t="str">
        <f aca="false">IF(Scoring!A15="","",Scoring!A15)</f>
        <v>CRWD</v>
      </c>
      <c r="B15" s="143" t="str">
        <f aca="false">IF(Scoring!B15="","",Scoring!B15)</f>
        <v>CrowdStrike Holdings</v>
      </c>
      <c r="C15" s="142" t="str">
        <f aca="false">IF(Scoring!AG15="","",IF(OR(Scoring!AG15="STRONG BUY",Scoring!AG15="BUY"),"PASS","FAIL"))</f>
        <v>FAIL</v>
      </c>
      <c r="D15" s="142" t="str">
        <f aca="false">IF(Scoring!AH15="","",IF(Scoring!AH15="OK","PASS","FAIL"))</f>
        <v>PASS</v>
      </c>
      <c r="E15" s="142" t="str">
        <f aca="false">IF(Scoring!AI15="","",IF(Scoring!AI15="OK","PASS","FAIL — mandatory review required"))</f>
        <v>PASS</v>
      </c>
      <c r="F15" s="142"/>
      <c r="G15" s="142"/>
      <c r="H15" s="143" t="str">
        <f aca="false">IF(OR(F15="",G15=""),"",IF(AND(F15="Y",G15="Y"),"Standard initial size","50% of normal initial size + 90-day technical review"))</f>
        <v/>
      </c>
      <c r="I15" s="142"/>
      <c r="J15" s="142"/>
      <c r="K15" s="144" t="str">
        <f aca="false">IF(I15="","",IF(I15="N","PASS",IF(J15="Y","PASS — risk documented in thesis","FAIL — undocumented binary risk")))</f>
        <v/>
      </c>
      <c r="L15" s="142" t="str">
        <f aca="false">IF('Implied-Return Calculator'!S16="","",'Implied-Return Calculator'!S16)</f>
        <v/>
      </c>
      <c r="M15" s="142" t="str">
        <f aca="false">IF('Implied-Return Calculator'!T16="","",'Implied-Return Calculator'!T16)</f>
        <v/>
      </c>
      <c r="N15" s="142" t="str">
        <f aca="false">IF('Implied-Return Calculator'!U16="","",'Implied-Return Calculator'!U16)</f>
        <v/>
      </c>
      <c r="O15" s="142"/>
      <c r="P15" s="142"/>
      <c r="Q15" s="144" t="str">
        <f aca="false">IF(OR(O15="",P15=""),"",IF(O15&lt;=50,"PASS — within ceiling",IF(AND(P15&gt;0.3,M15="PASS"),"PASS — growth+bear case exception met","FAIL — exceeds 50x, exception not met")))</f>
        <v/>
      </c>
      <c r="R15" s="143" t="str">
        <f aca="false">IF(OR(C15="",D15="",E15="",K15="",L15="",M15="",N15="",Q15=""),"",IF(AND(C15="PASS",D15="PASS",LEFT(E15,4)="PASS",LEFT(K15,4)="PASS",L15="PASS",M15="PASS",N15="OK",LEFT(Q15,4)="PASS"),"YES","NO — see failing rule(s)"))</f>
        <v/>
      </c>
      <c r="S15" s="143" t="str">
        <f aca="false">IF(R15="","",IF(R15="YES","Initiate: "&amp;H15,"DO NOT ENTER — resolve failing Entry Rule(s) above first"))</f>
        <v/>
      </c>
    </row>
    <row r="16" customFormat="false" ht="15" hidden="false" customHeight="true" outlineLevel="0" collapsed="false">
      <c r="A16" s="142" t="str">
        <f aca="false">IF(Scoring!A16="","",Scoring!A16)</f>
        <v>KLAC</v>
      </c>
      <c r="B16" s="143" t="str">
        <f aca="false">IF(Scoring!B16="","",Scoring!B16)</f>
        <v>KLA Corporation</v>
      </c>
      <c r="C16" s="142" t="str">
        <f aca="false">IF(Scoring!AG16="","",IF(OR(Scoring!AG16="STRONG BUY",Scoring!AG16="BUY"),"PASS","FAIL"))</f>
        <v>PASS</v>
      </c>
      <c r="D16" s="142" t="str">
        <f aca="false">IF(Scoring!AH16="","",IF(Scoring!AH16="OK","PASS","FAIL"))</f>
        <v>PASS</v>
      </c>
      <c r="E16" s="142" t="str">
        <f aca="false">IF(Scoring!AI16="","",IF(Scoring!AI16="OK","PASS","FAIL — mandatory review required"))</f>
        <v>PASS</v>
      </c>
      <c r="F16" s="142"/>
      <c r="G16" s="142"/>
      <c r="H16" s="143" t="str">
        <f aca="false">IF(OR(F16="",G16=""),"",IF(AND(F16="Y",G16="Y"),"Standard initial size","50% of normal initial size + 90-day technical review"))</f>
        <v/>
      </c>
      <c r="I16" s="142"/>
      <c r="J16" s="142"/>
      <c r="K16" s="144" t="str">
        <f aca="false">IF(I16="","",IF(I16="N","PASS",IF(J16="Y","PASS — risk documented in thesis","FAIL — undocumented binary risk")))</f>
        <v/>
      </c>
      <c r="L16" s="142" t="str">
        <f aca="false">IF('Implied-Return Calculator'!S17="","",'Implied-Return Calculator'!S17)</f>
        <v/>
      </c>
      <c r="M16" s="142" t="str">
        <f aca="false">IF('Implied-Return Calculator'!T17="","",'Implied-Return Calculator'!T17)</f>
        <v/>
      </c>
      <c r="N16" s="142" t="str">
        <f aca="false">IF('Implied-Return Calculator'!U17="","",'Implied-Return Calculator'!U17)</f>
        <v/>
      </c>
      <c r="O16" s="142"/>
      <c r="P16" s="142"/>
      <c r="Q16" s="144" t="str">
        <f aca="false">IF(OR(O16="",P16=""),"",IF(O16&lt;=50,"PASS — within ceiling",IF(AND(P16&gt;0.3,M16="PASS"),"PASS — growth+bear case exception met","FAIL — exceeds 50x, exception not met")))</f>
        <v/>
      </c>
      <c r="R16" s="143" t="str">
        <f aca="false">IF(OR(C16="",D16="",E16="",K16="",L16="",M16="",N16="",Q16=""),"",IF(AND(C16="PASS",D16="PASS",LEFT(E16,4)="PASS",LEFT(K16,4)="PASS",L16="PASS",M16="PASS",N16="OK",LEFT(Q16,4)="PASS"),"YES","NO — see failing rule(s)"))</f>
        <v/>
      </c>
      <c r="S16" s="143" t="str">
        <f aca="false">IF(R16="","",IF(R16="YES","Initiate: "&amp;H16,"DO NOT ENTER — resolve failing Entry Rule(s) above first"))</f>
        <v/>
      </c>
    </row>
    <row r="17" customFormat="false" ht="15" hidden="false" customHeight="true" outlineLevel="0" collapsed="false">
      <c r="A17" s="142" t="str">
        <f aca="false">IF(Scoring!A17="","",Scoring!A17)</f>
        <v>TSM</v>
      </c>
      <c r="B17" s="143" t="str">
        <f aca="false">IF(Scoring!B17="","",Scoring!B17)</f>
        <v>Taiwan Semiconductor Mfg.</v>
      </c>
      <c r="C17" s="142" t="str">
        <f aca="false">IF(Scoring!AG17="","",IF(OR(Scoring!AG17="STRONG BUY",Scoring!AG17="BUY"),"PASS","FAIL"))</f>
        <v>PASS</v>
      </c>
      <c r="D17" s="142" t="str">
        <f aca="false">IF(Scoring!AH17="","",IF(Scoring!AH17="OK","PASS","FAIL"))</f>
        <v>PASS</v>
      </c>
      <c r="E17" s="142" t="str">
        <f aca="false">IF(Scoring!AI17="","",IF(Scoring!AI17="OK","PASS","FAIL — mandatory review required"))</f>
        <v>PASS</v>
      </c>
      <c r="F17" s="142"/>
      <c r="G17" s="142"/>
      <c r="H17" s="143" t="str">
        <f aca="false">IF(OR(F17="",G17=""),"",IF(AND(F17="Y",G17="Y"),"Standard initial size","50% of normal initial size + 90-day technical review"))</f>
        <v/>
      </c>
      <c r="I17" s="142"/>
      <c r="J17" s="142"/>
      <c r="K17" s="144" t="str">
        <f aca="false">IF(I17="","",IF(I17="N","PASS",IF(J17="Y","PASS — risk documented in thesis","FAIL — undocumented binary risk")))</f>
        <v/>
      </c>
      <c r="L17" s="142" t="str">
        <f aca="false">IF('Implied-Return Calculator'!S18="","",'Implied-Return Calculator'!S18)</f>
        <v/>
      </c>
      <c r="M17" s="142" t="str">
        <f aca="false">IF('Implied-Return Calculator'!T18="","",'Implied-Return Calculator'!T18)</f>
        <v/>
      </c>
      <c r="N17" s="142" t="str">
        <f aca="false">IF('Implied-Return Calculator'!U18="","",'Implied-Return Calculator'!U18)</f>
        <v/>
      </c>
      <c r="O17" s="142"/>
      <c r="P17" s="142"/>
      <c r="Q17" s="144" t="str">
        <f aca="false">IF(OR(O17="",P17=""),"",IF(O17&lt;=50,"PASS — within ceiling",IF(AND(P17&gt;0.3,M17="PASS"),"PASS — growth+bear case exception met","FAIL — exceeds 50x, exception not met")))</f>
        <v/>
      </c>
      <c r="R17" s="143" t="str">
        <f aca="false">IF(OR(C17="",D17="",E17="",K17="",L17="",M17="",N17="",Q17=""),"",IF(AND(C17="PASS",D17="PASS",LEFT(E17,4)="PASS",LEFT(K17,4)="PASS",L17="PASS",M17="PASS",N17="OK",LEFT(Q17,4)="PASS"),"YES","NO — see failing rule(s)"))</f>
        <v/>
      </c>
      <c r="S17" s="143" t="str">
        <f aca="false">IF(R17="","",IF(R17="YES","Initiate: "&amp;H17,"DO NOT ENTER — resolve failing Entry Rule(s) above first"))</f>
        <v/>
      </c>
    </row>
    <row r="18" customFormat="false" ht="15" hidden="false" customHeight="true" outlineLevel="0" collapsed="false">
      <c r="A18" s="142" t="str">
        <f aca="false">IF(Scoring!A18="","",Scoring!A18)</f>
        <v>VRT</v>
      </c>
      <c r="B18" s="143" t="str">
        <f aca="false">IF(Scoring!B18="","",Scoring!B18)</f>
        <v>Vertiv Holdings</v>
      </c>
      <c r="C18" s="142" t="str">
        <f aca="false">IF(Scoring!AG18="","",IF(OR(Scoring!AG18="STRONG BUY",Scoring!AG18="BUY"),"PASS","FAIL"))</f>
        <v>PASS</v>
      </c>
      <c r="D18" s="142" t="str">
        <f aca="false">IF(Scoring!AH18="","",IF(Scoring!AH18="OK","PASS","FAIL"))</f>
        <v>PASS</v>
      </c>
      <c r="E18" s="142" t="str">
        <f aca="false">IF(Scoring!AI18="","",IF(Scoring!AI18="OK","PASS","FAIL — mandatory review required"))</f>
        <v>PASS</v>
      </c>
      <c r="F18" s="142"/>
      <c r="G18" s="142"/>
      <c r="H18" s="143" t="str">
        <f aca="false">IF(OR(F18="",G18=""),"",IF(AND(F18="Y",G18="Y"),"Standard initial size","50% of normal initial size + 90-day technical review"))</f>
        <v/>
      </c>
      <c r="I18" s="142"/>
      <c r="J18" s="142"/>
      <c r="K18" s="144" t="str">
        <f aca="false">IF(I18="","",IF(I18="N","PASS",IF(J18="Y","PASS — risk documented in thesis","FAIL — undocumented binary risk")))</f>
        <v/>
      </c>
      <c r="L18" s="142" t="str">
        <f aca="false">IF('Implied-Return Calculator'!S19="","",'Implied-Return Calculator'!S19)</f>
        <v/>
      </c>
      <c r="M18" s="142" t="str">
        <f aca="false">IF('Implied-Return Calculator'!T19="","",'Implied-Return Calculator'!T19)</f>
        <v/>
      </c>
      <c r="N18" s="142" t="str">
        <f aca="false">IF('Implied-Return Calculator'!U19="","",'Implied-Return Calculator'!U19)</f>
        <v/>
      </c>
      <c r="O18" s="142"/>
      <c r="P18" s="142"/>
      <c r="Q18" s="144" t="str">
        <f aca="false">IF(OR(O18="",P18=""),"",IF(O18&lt;=50,"PASS — within ceiling",IF(AND(P18&gt;0.3,M18="PASS"),"PASS — growth+bear case exception met","FAIL — exceeds 50x, exception not met")))</f>
        <v/>
      </c>
      <c r="R18" s="143" t="str">
        <f aca="false">IF(OR(C18="",D18="",E18="",K18="",L18="",M18="",N18="",Q18=""),"",IF(AND(C18="PASS",D18="PASS",LEFT(E18,4)="PASS",LEFT(K18,4)="PASS",L18="PASS",M18="PASS",N18="OK",LEFT(Q18,4)="PASS"),"YES","NO — see failing rule(s)"))</f>
        <v/>
      </c>
      <c r="S18" s="143" t="str">
        <f aca="false">IF(R18="","",IF(R18="YES","Initiate: "&amp;H18,"DO NOT ENTER — resolve failing Entry Rule(s) above first"))</f>
        <v/>
      </c>
    </row>
    <row r="19" customFormat="false" ht="15" hidden="false" customHeight="true" outlineLevel="0" collapsed="false">
      <c r="A19" s="142" t="str">
        <f aca="false">IF(Scoring!A19="","",Scoring!A19)</f>
        <v>COST</v>
      </c>
      <c r="B19" s="143" t="str">
        <f aca="false">IF(Scoring!B19="","",Scoring!B19)</f>
        <v>Costco Wholesale Corp.</v>
      </c>
      <c r="C19" s="142" t="str">
        <f aca="false">IF(Scoring!AG19="","",IF(OR(Scoring!AG19="STRONG BUY",Scoring!AG19="BUY"),"PASS","FAIL"))</f>
        <v>PASS</v>
      </c>
      <c r="D19" s="142" t="str">
        <f aca="false">IF(Scoring!AH19="","",IF(Scoring!AH19="OK","PASS","FAIL"))</f>
        <v>PASS</v>
      </c>
      <c r="E19" s="142" t="str">
        <f aca="false">IF(Scoring!AI19="","",IF(Scoring!AI19="OK","PASS","FAIL — mandatory review required"))</f>
        <v>PASS</v>
      </c>
      <c r="F19" s="142" t="s">
        <v>222</v>
      </c>
      <c r="G19" s="142" t="s">
        <v>222</v>
      </c>
      <c r="H19" s="143" t="str">
        <f aca="false">IF(OR(F19="",G19=""),"",IF(AND(F19="Y",G19="Y"),"Standard initial size","50% of normal initial size + 90-day technical review"))</f>
        <v>Standard initial size</v>
      </c>
      <c r="I19" s="142" t="s">
        <v>224</v>
      </c>
      <c r="J19" s="142"/>
      <c r="K19" s="144" t="str">
        <f aca="false">IF(I19="","",IF(I19="N","PASS",IF(J19="Y","PASS — risk documented in thesis","FAIL — undocumented binary risk")))</f>
        <v>PASS</v>
      </c>
      <c r="L19" s="142" t="str">
        <f aca="false">IF('Implied-Return Calculator'!S20="","",'Implied-Return Calculator'!S20)</f>
        <v>FAIL</v>
      </c>
      <c r="M19" s="142" t="str">
        <f aca="false">IF('Implied-Return Calculator'!T20="","",'Implied-Return Calculator'!T20)</f>
        <v>PASS</v>
      </c>
      <c r="N19" s="142" t="str">
        <f aca="false">IF('Implied-Return Calculator'!U20="","",'Implied-Return Calculator'!U20)</f>
        <v>OK</v>
      </c>
      <c r="O19" s="142" t="n">
        <v>61.48</v>
      </c>
      <c r="P19" s="142" t="n">
        <v>0.07</v>
      </c>
      <c r="Q19" s="144" t="str">
        <f aca="false">IF(OR(O19="",P19=""),"",IF(O19&lt;=50,"PASS — within ceiling",IF(AND(P19&gt;0.3,M19="PASS"),"PASS — growth+bear case exception met","FAIL — exceeds 50x, exception not met")))</f>
        <v>FAIL — exceeds 50x, exception not met</v>
      </c>
      <c r="R19" s="143" t="str">
        <f aca="false">IF(OR(C19="",D19="",E19="",K19="",L19="",M19="",N19="",Q19=""),"",IF(AND(C19="PASS",D19="PASS",LEFT(E19,4)="PASS",LEFT(K19,4)="PASS",L19="PASS",M19="PASS",N19="OK",LEFT(Q19,4)="PASS"),"YES","NO — see failing rule(s)"))</f>
        <v>NO — see failing rule(s)</v>
      </c>
      <c r="S19" s="143" t="str">
        <f aca="false">IF(R19="","",IF(R19="YES","Initiate: "&amp;H19,"DO NOT ENTER — resolve failing Entry Rule(s) above first"))</f>
        <v>DO NOT ENTER — resolve failing Entry Rule(s) above first</v>
      </c>
    </row>
    <row r="20" customFormat="false" ht="15" hidden="false" customHeight="true" outlineLevel="0" collapsed="false">
      <c r="A20" s="142" t="str">
        <f aca="false">IF(Scoring!A20="","",Scoring!A20)</f>
        <v>V</v>
      </c>
      <c r="B20" s="143" t="str">
        <f aca="false">IF(Scoring!B20="","",Scoring!B20)</f>
        <v>Visa Inc.</v>
      </c>
      <c r="C20" s="142" t="str">
        <f aca="false">IF(Scoring!AG20="","",IF(OR(Scoring!AG20="STRONG BUY",Scoring!AG20="BUY"),"PASS","FAIL"))</f>
        <v>PASS</v>
      </c>
      <c r="D20" s="142" t="str">
        <f aca="false">IF(Scoring!AH20="","",IF(Scoring!AH20="OK","PASS","FAIL"))</f>
        <v>PASS</v>
      </c>
      <c r="E20" s="142" t="str">
        <f aca="false">IF(Scoring!AI20="","",IF(Scoring!AI20="OK","PASS","FAIL — mandatory review required"))</f>
        <v>PASS</v>
      </c>
      <c r="F20" s="142" t="s">
        <v>222</v>
      </c>
      <c r="G20" s="142" t="s">
        <v>222</v>
      </c>
      <c r="H20" s="143" t="str">
        <f aca="false">IF(OR(F20="",G20=""),"",IF(AND(F20="Y",G20="Y"),"Standard initial size","50% of normal initial size + 90-day technical review"))</f>
        <v>Standard initial size</v>
      </c>
      <c r="I20" s="142" t="s">
        <v>222</v>
      </c>
      <c r="J20" s="142" t="s">
        <v>222</v>
      </c>
      <c r="K20" s="144" t="str">
        <f aca="false">IF(I20="","",IF(I20="N","PASS",IF(J20="Y","PASS — risk documented in thesis","FAIL — undocumented binary risk")))</f>
        <v>PASS — risk documented in thesis</v>
      </c>
      <c r="L20" s="142" t="str">
        <f aca="false">IF('Implied-Return Calculator'!S21="","",'Implied-Return Calculator'!S21)</f>
        <v>PASS</v>
      </c>
      <c r="M20" s="142" t="str">
        <f aca="false">IF('Implied-Return Calculator'!T21="","",'Implied-Return Calculator'!T21)</f>
        <v>PASS</v>
      </c>
      <c r="N20" s="142" t="str">
        <f aca="false">IF('Implied-Return Calculator'!U21="","",'Implied-Return Calculator'!U21)</f>
        <v>OK</v>
      </c>
      <c r="O20" s="142" t="n">
        <v>34.36</v>
      </c>
      <c r="P20" s="142" t="n">
        <v>0.11</v>
      </c>
      <c r="Q20" s="144" t="str">
        <f aca="false">IF(OR(O20="",P20=""),"",IF(O20&lt;=50,"PASS — within ceiling",IF(AND(P20&gt;0.3,M20="PASS"),"PASS — growth+bear case exception met","FAIL — exceeds 50x, exception not met")))</f>
        <v>PASS — within ceiling</v>
      </c>
      <c r="R20" s="143" t="str">
        <f aca="false">IF(OR(C20="",D20="",E20="",K20="",L20="",M20="",N20="",Q20=""),"",IF(AND(C20="PASS",D20="PASS",LEFT(E20,4)="PASS",LEFT(K20,4)="PASS",L20="PASS",M20="PASS",N20="OK",LEFT(Q20,4)="PASS"),"YES","NO — see failing rule(s)"))</f>
        <v>YES</v>
      </c>
      <c r="S20" s="143" t="str">
        <f aca="false">IF(R20="","",IF(R20="YES","Initiate: "&amp;H20,"DO NOT ENTER — resolve failing Entry Rule(s) above first"))</f>
        <v>Initiate: Standard initial size</v>
      </c>
    </row>
    <row r="21" customFormat="false" ht="15" hidden="false" customHeight="true" outlineLevel="0" collapsed="false">
      <c r="A21" s="142" t="str">
        <f aca="false">IF(Scoring!A21="","",Scoring!A21)</f>
        <v>NEE</v>
      </c>
      <c r="B21" s="143" t="str">
        <f aca="false">IF(Scoring!B21="","",Scoring!B21)</f>
        <v>NextEra Energy Inc.</v>
      </c>
      <c r="C21" s="142" t="str">
        <f aca="false">IF(Scoring!AG21="","",IF(OR(Scoring!AG21="STRONG BUY",Scoring!AG21="BUY"),"PASS","FAIL"))</f>
        <v/>
      </c>
      <c r="D21" s="142" t="str">
        <f aca="false">IF(Scoring!AH21="","",IF(Scoring!AH21="OK","PASS","FAIL"))</f>
        <v>FAIL</v>
      </c>
      <c r="E21" s="142" t="str">
        <f aca="false">IF(Scoring!AI21="","",IF(Scoring!AI21="OK","PASS","FAIL — mandatory review required"))</f>
        <v>FAIL — mandatory review required</v>
      </c>
      <c r="F21" s="142"/>
      <c r="G21" s="142"/>
      <c r="H21" s="143" t="str">
        <f aca="false">IF(OR(F21="",G21=""),"",IF(AND(F21="Y",G21="Y"),"Standard initial size","50% of normal initial size + 90-day technical review"))</f>
        <v/>
      </c>
      <c r="I21" s="142"/>
      <c r="J21" s="142"/>
      <c r="K21" s="144" t="str">
        <f aca="false">IF(I21="","",IF(I21="N","PASS",IF(J21="Y","PASS — risk documented in thesis","FAIL — undocumented binary risk")))</f>
        <v/>
      </c>
      <c r="L21" s="142" t="str">
        <f aca="false">IF('Implied-Return Calculator'!S22="","",'Implied-Return Calculator'!S22)</f>
        <v/>
      </c>
      <c r="M21" s="142" t="str">
        <f aca="false">IF('Implied-Return Calculator'!T22="","",'Implied-Return Calculator'!T22)</f>
        <v/>
      </c>
      <c r="N21" s="142" t="str">
        <f aca="false">IF('Implied-Return Calculator'!U22="","",'Implied-Return Calculator'!U22)</f>
        <v/>
      </c>
      <c r="O21" s="142"/>
      <c r="P21" s="142"/>
      <c r="Q21" s="144" t="str">
        <f aca="false">IF(OR(O21="",P21=""),"",IF(O21&lt;=50,"PASS — within ceiling",IF(AND(P21&gt;0.3,M21="PASS"),"PASS — growth+bear case exception met","FAIL — exceeds 50x, exception not met")))</f>
        <v/>
      </c>
      <c r="R21" s="143" t="str">
        <f aca="false">IF(OR(C21="",D21="",E21="",K21="",L21="",M21="",N21="",Q21=""),"",IF(AND(C21="PASS",D21="PASS",LEFT(E21,4)="PASS",LEFT(K21,4)="PASS",L21="PASS",M21="PASS",N21="OK",LEFT(Q21,4)="PASS"),"YES","NO — see failing rule(s)"))</f>
        <v/>
      </c>
      <c r="S21" s="143" t="str">
        <f aca="false">IF(R21="","",IF(R21="YES","Initiate: "&amp;H21,"DO NOT ENTER — resolve failing Entry Rule(s) above first"))</f>
        <v/>
      </c>
    </row>
    <row r="22" customFormat="false" ht="15" hidden="false" customHeight="true" outlineLevel="0" collapsed="false">
      <c r="A22" s="142" t="str">
        <f aca="false">IF(Scoring!A22="","",Scoring!A22)</f>
        <v>CRK</v>
      </c>
      <c r="B22" s="143" t="str">
        <f aca="false">IF(Scoring!B22="","",Scoring!B22)</f>
        <v>Comstock Resources Inc.</v>
      </c>
      <c r="C22" s="142" t="str">
        <f aca="false">IF(Scoring!AG22="","",IF(OR(Scoring!AG22="STRONG BUY",Scoring!AG22="BUY"),"PASS","FAIL"))</f>
        <v/>
      </c>
      <c r="D22" s="142" t="str">
        <f aca="false">IF(Scoring!AH22="","",IF(Scoring!AH22="OK","PASS","FAIL"))</f>
        <v>FAIL</v>
      </c>
      <c r="E22" s="142" t="str">
        <f aca="false">IF(Scoring!AI22="","",IF(Scoring!AI22="OK","PASS","FAIL — mandatory review required"))</f>
        <v>FAIL — mandatory review required</v>
      </c>
      <c r="F22" s="142"/>
      <c r="G22" s="142"/>
      <c r="H22" s="143" t="str">
        <f aca="false">IF(OR(F22="",G22=""),"",IF(AND(F22="Y",G22="Y"),"Standard initial size","50% of normal initial size + 90-day technical review"))</f>
        <v/>
      </c>
      <c r="I22" s="142"/>
      <c r="J22" s="142"/>
      <c r="K22" s="144" t="str">
        <f aca="false">IF(I22="","",IF(I22="N","PASS",IF(J22="Y","PASS — risk documented in thesis","FAIL — undocumented binary risk")))</f>
        <v/>
      </c>
      <c r="L22" s="142" t="str">
        <f aca="false">IF('Implied-Return Calculator'!S23="","",'Implied-Return Calculator'!S23)</f>
        <v/>
      </c>
      <c r="M22" s="142" t="str">
        <f aca="false">IF('Implied-Return Calculator'!T23="","",'Implied-Return Calculator'!T23)</f>
        <v/>
      </c>
      <c r="N22" s="142" t="str">
        <f aca="false">IF('Implied-Return Calculator'!U23="","",'Implied-Return Calculator'!U23)</f>
        <v/>
      </c>
      <c r="O22" s="142"/>
      <c r="P22" s="142"/>
      <c r="Q22" s="144" t="str">
        <f aca="false">IF(OR(O22="",P22=""),"",IF(O22&lt;=50,"PASS — within ceiling",IF(AND(P22&gt;0.3,M22="PASS"),"PASS — growth+bear case exception met","FAIL — exceeds 50x, exception not met")))</f>
        <v/>
      </c>
      <c r="R22" s="143" t="str">
        <f aca="false">IF(OR(C22="",D22="",E22="",K22="",L22="",M22="",N22="",Q22=""),"",IF(AND(C22="PASS",D22="PASS",LEFT(E22,4)="PASS",LEFT(K22,4)="PASS",L22="PASS",M22="PASS",N22="OK",LEFT(Q22,4)="PASS"),"YES","NO — see failing rule(s)"))</f>
        <v/>
      </c>
      <c r="S22" s="143" t="str">
        <f aca="false">IF(R22="","",IF(R22="YES","Initiate: "&amp;H22,"DO NOT ENTER — resolve failing Entry Rule(s) above first"))</f>
        <v/>
      </c>
    </row>
    <row r="23" customFormat="false" ht="15" hidden="false" customHeight="true" outlineLevel="0" collapsed="false">
      <c r="A23" s="142" t="str">
        <f aca="false">IF(Scoring!A23="","",Scoring!A23)</f>
        <v>ET</v>
      </c>
      <c r="B23" s="143" t="str">
        <f aca="false">IF(Scoring!B23="","",Scoring!B23)</f>
        <v>Energy Transfer LP</v>
      </c>
      <c r="C23" s="142" t="str">
        <f aca="false">IF(Scoring!AG23="","",IF(OR(Scoring!AG23="STRONG BUY",Scoring!AG23="BUY"),"PASS","FAIL"))</f>
        <v/>
      </c>
      <c r="D23" s="142" t="str">
        <f aca="false">IF(Scoring!AH23="","",IF(Scoring!AH23="OK","PASS","FAIL"))</f>
        <v>PASS</v>
      </c>
      <c r="E23" s="142" t="str">
        <f aca="false">IF(Scoring!AI23="","",IF(Scoring!AI23="OK","PASS","FAIL — mandatory review required"))</f>
        <v>FAIL — mandatory review required</v>
      </c>
      <c r="F23" s="142"/>
      <c r="G23" s="142"/>
      <c r="H23" s="143" t="str">
        <f aca="false">IF(OR(F23="",G23=""),"",IF(AND(F23="Y",G23="Y"),"Standard initial size","50% of normal initial size + 90-day technical review"))</f>
        <v/>
      </c>
      <c r="I23" s="142"/>
      <c r="J23" s="142"/>
      <c r="K23" s="144" t="str">
        <f aca="false">IF(I23="","",IF(I23="N","PASS",IF(J23="Y","PASS — risk documented in thesis","FAIL — undocumented binary risk")))</f>
        <v/>
      </c>
      <c r="L23" s="142" t="str">
        <f aca="false">IF('Implied-Return Calculator'!S24="","",'Implied-Return Calculator'!S24)</f>
        <v/>
      </c>
      <c r="M23" s="142" t="str">
        <f aca="false">IF('Implied-Return Calculator'!T24="","",'Implied-Return Calculator'!T24)</f>
        <v/>
      </c>
      <c r="N23" s="142" t="str">
        <f aca="false">IF('Implied-Return Calculator'!U24="","",'Implied-Return Calculator'!U24)</f>
        <v/>
      </c>
      <c r="O23" s="142"/>
      <c r="P23" s="142"/>
      <c r="Q23" s="144" t="str">
        <f aca="false">IF(OR(O23="",P23=""),"",IF(O23&lt;=50,"PASS — within ceiling",IF(AND(P23&gt;0.3,M23="PASS"),"PASS — growth+bear case exception met","FAIL — exceeds 50x, exception not met")))</f>
        <v/>
      </c>
      <c r="R23" s="143" t="str">
        <f aca="false">IF(OR(C23="",D23="",E23="",K23="",L23="",M23="",N23="",Q23=""),"",IF(AND(C23="PASS",D23="PASS",LEFT(E23,4)="PASS",LEFT(K23,4)="PASS",L23="PASS",M23="PASS",N23="OK",LEFT(Q23,4)="PASS"),"YES","NO — see failing rule(s)"))</f>
        <v/>
      </c>
      <c r="S23" s="143" t="str">
        <f aca="false">IF(R23="","",IF(R23="YES","Initiate: "&amp;H23,"DO NOT ENTER — resolve failing Entry Rule(s) above first"))</f>
        <v/>
      </c>
    </row>
    <row r="24" customFormat="false" ht="15" hidden="false" customHeight="true" outlineLevel="0" collapsed="false">
      <c r="A24" s="142" t="str">
        <f aca="false">IF(Scoring!A24="","",Scoring!A24)</f>
        <v>LBRT</v>
      </c>
      <c r="B24" s="143" t="str">
        <f aca="false">IF(Scoring!B24="","",Scoring!B24)</f>
        <v>Liberty Energy Inc.</v>
      </c>
      <c r="C24" s="142" t="str">
        <f aca="false">IF(Scoring!AG24="","",IF(OR(Scoring!AG24="STRONG BUY",Scoring!AG24="BUY"),"PASS","FAIL"))</f>
        <v/>
      </c>
      <c r="D24" s="142" t="str">
        <f aca="false">IF(Scoring!AH24="","",IF(Scoring!AH24="OK","PASS","FAIL"))</f>
        <v>FAIL</v>
      </c>
      <c r="E24" s="142" t="str">
        <f aca="false">IF(Scoring!AI24="","",IF(Scoring!AI24="OK","PASS","FAIL — mandatory review required"))</f>
        <v>FAIL — mandatory review required</v>
      </c>
      <c r="F24" s="142"/>
      <c r="G24" s="142"/>
      <c r="H24" s="143" t="str">
        <f aca="false">IF(OR(F24="",G24=""),"",IF(AND(F24="Y",G24="Y"),"Standard initial size","50% of normal initial size + 90-day technical review"))</f>
        <v/>
      </c>
      <c r="I24" s="142"/>
      <c r="J24" s="142"/>
      <c r="K24" s="144" t="str">
        <f aca="false">IF(I24="","",IF(I24="N","PASS",IF(J24="Y","PASS — risk documented in thesis","FAIL — undocumented binary risk")))</f>
        <v/>
      </c>
      <c r="L24" s="142" t="str">
        <f aca="false">IF('Implied-Return Calculator'!S25="","",'Implied-Return Calculator'!S25)</f>
        <v/>
      </c>
      <c r="M24" s="142" t="str">
        <f aca="false">IF('Implied-Return Calculator'!T25="","",'Implied-Return Calculator'!T25)</f>
        <v/>
      </c>
      <c r="N24" s="142" t="str">
        <f aca="false">IF('Implied-Return Calculator'!U25="","",'Implied-Return Calculator'!U25)</f>
        <v/>
      </c>
      <c r="O24" s="142"/>
      <c r="P24" s="142"/>
      <c r="Q24" s="144" t="str">
        <f aca="false">IF(OR(O24="",P24=""),"",IF(O24&lt;=50,"PASS — within ceiling",IF(AND(P24&gt;0.3,M24="PASS"),"PASS — growth+bear case exception met","FAIL — exceeds 50x, exception not met")))</f>
        <v/>
      </c>
      <c r="R24" s="143" t="str">
        <f aca="false">IF(OR(C24="",D24="",E24="",K24="",L24="",M24="",N24="",Q24=""),"",IF(AND(C24="PASS",D24="PASS",LEFT(E24,4)="PASS",LEFT(K24,4)="PASS",L24="PASS",M24="PASS",N24="OK",LEFT(Q24,4)="PASS"),"YES","NO — see failing rule(s)"))</f>
        <v/>
      </c>
      <c r="S24" s="143" t="str">
        <f aca="false">IF(R24="","",IF(R24="YES","Initiate: "&amp;H24,"DO NOT ENTER — resolve failing Entry Rule(s) above first"))</f>
        <v/>
      </c>
    </row>
    <row r="25" customFormat="false" ht="15" hidden="false" customHeight="true" outlineLevel="0" collapsed="false">
      <c r="A25" s="142" t="str">
        <f aca="false">IF(Scoring!A25="","",Scoring!A25)</f>
        <v>NOV</v>
      </c>
      <c r="B25" s="143" t="str">
        <f aca="false">IF(Scoring!B25="","",Scoring!B25)</f>
        <v>NOV Inc.</v>
      </c>
      <c r="C25" s="142" t="str">
        <f aca="false">IF(Scoring!AG25="","",IF(OR(Scoring!AG25="STRONG BUY",Scoring!AG25="BUY"),"PASS","FAIL"))</f>
        <v/>
      </c>
      <c r="D25" s="142" t="str">
        <f aca="false">IF(Scoring!AH25="","",IF(Scoring!AH25="OK","PASS","FAIL"))</f>
        <v>FAIL</v>
      </c>
      <c r="E25" s="142" t="str">
        <f aca="false">IF(Scoring!AI25="","",IF(Scoring!AI25="OK","PASS","FAIL — mandatory review required"))</f>
        <v>PASS</v>
      </c>
      <c r="F25" s="142"/>
      <c r="G25" s="142"/>
      <c r="H25" s="143" t="str">
        <f aca="false">IF(OR(F25="",G25=""),"",IF(AND(F25="Y",G25="Y"),"Standard initial size","50% of normal initial size + 90-day technical review"))</f>
        <v/>
      </c>
      <c r="I25" s="142"/>
      <c r="J25" s="142"/>
      <c r="K25" s="144" t="str">
        <f aca="false">IF(I25="","",IF(I25="N","PASS",IF(J25="Y","PASS — risk documented in thesis","FAIL — undocumented binary risk")))</f>
        <v/>
      </c>
      <c r="L25" s="142" t="str">
        <f aca="false">IF('Implied-Return Calculator'!S26="","",'Implied-Return Calculator'!S26)</f>
        <v/>
      </c>
      <c r="M25" s="142" t="str">
        <f aca="false">IF('Implied-Return Calculator'!T26="","",'Implied-Return Calculator'!T26)</f>
        <v/>
      </c>
      <c r="N25" s="142" t="str">
        <f aca="false">IF('Implied-Return Calculator'!U26="","",'Implied-Return Calculator'!U26)</f>
        <v/>
      </c>
      <c r="O25" s="142"/>
      <c r="P25" s="142"/>
      <c r="Q25" s="144" t="str">
        <f aca="false">IF(OR(O25="",P25=""),"",IF(O25&lt;=50,"PASS — within ceiling",IF(AND(P25&gt;0.3,M25="PASS"),"PASS — growth+bear case exception met","FAIL — exceeds 50x, exception not met")))</f>
        <v/>
      </c>
      <c r="R25" s="143" t="str">
        <f aca="false">IF(OR(C25="",D25="",E25="",K25="",L25="",M25="",N25="",Q25=""),"",IF(AND(C25="PASS",D25="PASS",LEFT(E25,4)="PASS",LEFT(K25,4)="PASS",L25="PASS",M25="PASS",N25="OK",LEFT(Q25,4)="PASS"),"YES","NO — see failing rule(s)"))</f>
        <v/>
      </c>
      <c r="S25" s="143" t="str">
        <f aca="false">IF(R25="","",IF(R25="YES","Initiate: "&amp;H25,"DO NOT ENTER — resolve failing Entry Rule(s) above first"))</f>
        <v/>
      </c>
    </row>
    <row r="26" customFormat="false" ht="15" hidden="false" customHeight="true" outlineLevel="0" collapsed="false">
      <c r="A26" s="142" t="str">
        <f aca="false">IF(Scoring!A26="","",Scoring!A26)</f>
        <v>CE</v>
      </c>
      <c r="B26" s="143" t="str">
        <f aca="false">IF(Scoring!B26="","",Scoring!B26)</f>
        <v>Celanese Corp.</v>
      </c>
      <c r="C26" s="142" t="str">
        <f aca="false">IF(Scoring!AG26="","",IF(OR(Scoring!AG26="STRONG BUY",Scoring!AG26="BUY"),"PASS","FAIL"))</f>
        <v/>
      </c>
      <c r="D26" s="142" t="str">
        <f aca="false">IF(Scoring!AH26="","",IF(Scoring!AH26="OK","PASS","FAIL"))</f>
        <v>FAIL</v>
      </c>
      <c r="E26" s="142" t="str">
        <f aca="false">IF(Scoring!AI26="","",IF(Scoring!AI26="OK","PASS","FAIL — mandatory review required"))</f>
        <v>FAIL — mandatory review required</v>
      </c>
      <c r="F26" s="142"/>
      <c r="G26" s="142"/>
      <c r="H26" s="143" t="str">
        <f aca="false">IF(OR(F26="",G26=""),"",IF(AND(F26="Y",G26="Y"),"Standard initial size","50% of normal initial size + 90-day technical review"))</f>
        <v/>
      </c>
      <c r="I26" s="142"/>
      <c r="J26" s="142"/>
      <c r="K26" s="144" t="str">
        <f aca="false">IF(I26="","",IF(I26="N","PASS",IF(J26="Y","PASS — risk documented in thesis","FAIL — undocumented binary risk")))</f>
        <v/>
      </c>
      <c r="L26" s="142" t="str">
        <f aca="false">IF('Implied-Return Calculator'!S27="","",'Implied-Return Calculator'!S27)</f>
        <v/>
      </c>
      <c r="M26" s="142" t="str">
        <f aca="false">IF('Implied-Return Calculator'!T27="","",'Implied-Return Calculator'!T27)</f>
        <v/>
      </c>
      <c r="N26" s="142" t="str">
        <f aca="false">IF('Implied-Return Calculator'!U27="","",'Implied-Return Calculator'!U27)</f>
        <v/>
      </c>
      <c r="O26" s="142"/>
      <c r="P26" s="142"/>
      <c r="Q26" s="144" t="str">
        <f aca="false">IF(OR(O26="",P26=""),"",IF(O26&lt;=50,"PASS — within ceiling",IF(AND(P26&gt;0.3,M26="PASS"),"PASS — growth+bear case exception met","FAIL — exceeds 50x, exception not met")))</f>
        <v/>
      </c>
      <c r="R26" s="143" t="str">
        <f aca="false">IF(OR(C26="",D26="",E26="",K26="",L26="",M26="",N26="",Q26=""),"",IF(AND(C26="PASS",D26="PASS",LEFT(E26,4)="PASS",LEFT(K26,4)="PASS",L26="PASS",M26="PASS",N26="OK",LEFT(Q26,4)="PASS"),"YES","NO — see failing rule(s)"))</f>
        <v/>
      </c>
      <c r="S26" s="143" t="str">
        <f aca="false">IF(R26="","",IF(R26="YES","Initiate: "&amp;H26,"DO NOT ENTER — resolve failing Entry Rule(s) above first"))</f>
        <v/>
      </c>
    </row>
    <row r="27" customFormat="false" ht="15" hidden="false" customHeight="true" outlineLevel="0" collapsed="false">
      <c r="A27" s="142" t="str">
        <f aca="false">IF(Scoring!A27="","",Scoring!A27)</f>
        <v>CLF</v>
      </c>
      <c r="B27" s="143" t="str">
        <f aca="false">IF(Scoring!B27="","",Scoring!B27)</f>
        <v>Cleveland-Cliffs Inc.</v>
      </c>
      <c r="C27" s="142" t="str">
        <f aca="false">IF(Scoring!AG27="","",IF(OR(Scoring!AG27="STRONG BUY",Scoring!AG27="BUY"),"PASS","FAIL"))</f>
        <v/>
      </c>
      <c r="D27" s="142" t="str">
        <f aca="false">IF(Scoring!AH27="","",IF(Scoring!AH27="OK","PASS","FAIL"))</f>
        <v>FAIL</v>
      </c>
      <c r="E27" s="142" t="str">
        <f aca="false">IF(Scoring!AI27="","",IF(Scoring!AI27="OK","PASS","FAIL — mandatory review required"))</f>
        <v>FAIL — mandatory review required</v>
      </c>
      <c r="F27" s="142"/>
      <c r="G27" s="142"/>
      <c r="H27" s="143" t="str">
        <f aca="false">IF(OR(F27="",G27=""),"",IF(AND(F27="Y",G27="Y"),"Standard initial size","50% of normal initial size + 90-day technical review"))</f>
        <v/>
      </c>
      <c r="I27" s="142"/>
      <c r="J27" s="142"/>
      <c r="K27" s="144" t="str">
        <f aca="false">IF(I27="","",IF(I27="N","PASS",IF(J27="Y","PASS — risk documented in thesis","FAIL — undocumented binary risk")))</f>
        <v/>
      </c>
      <c r="L27" s="142" t="str">
        <f aca="false">IF('Implied-Return Calculator'!S28="","",'Implied-Return Calculator'!S28)</f>
        <v/>
      </c>
      <c r="M27" s="142" t="str">
        <f aca="false">IF('Implied-Return Calculator'!T28="","",'Implied-Return Calculator'!T28)</f>
        <v/>
      </c>
      <c r="N27" s="142" t="str">
        <f aca="false">IF('Implied-Return Calculator'!U28="","",'Implied-Return Calculator'!U28)</f>
        <v/>
      </c>
      <c r="O27" s="142"/>
      <c r="P27" s="142"/>
      <c r="Q27" s="144" t="str">
        <f aca="false">IF(OR(O27="",P27=""),"",IF(O27&lt;=50,"PASS — within ceiling",IF(AND(P27&gt;0.3,M27="PASS"),"PASS — growth+bear case exception met","FAIL — exceeds 50x, exception not met")))</f>
        <v/>
      </c>
      <c r="R27" s="143" t="str">
        <f aca="false">IF(OR(C27="",D27="",E27="",K27="",L27="",M27="",N27="",Q27=""),"",IF(AND(C27="PASS",D27="PASS",LEFT(E27,4)="PASS",LEFT(K27,4)="PASS",L27="PASS",M27="PASS",N27="OK",LEFT(Q27,4)="PASS"),"YES","NO — see failing rule(s)"))</f>
        <v/>
      </c>
      <c r="S27" s="143" t="str">
        <f aca="false">IF(R27="","",IF(R27="YES","Initiate: "&amp;H27,"DO NOT ENTER — resolve failing Entry Rule(s) above first"))</f>
        <v/>
      </c>
    </row>
    <row r="28" customFormat="false" ht="15" hidden="false" customHeight="true" outlineLevel="0" collapsed="false">
      <c r="A28" s="142" t="str">
        <f aca="false">IF(Scoring!A28="","",Scoring!A28)</f>
        <v>LIN</v>
      </c>
      <c r="B28" s="143" t="str">
        <f aca="false">IF(Scoring!B28="","",Scoring!B28)</f>
        <v>Linde plc</v>
      </c>
      <c r="C28" s="142" t="str">
        <f aca="false">IF(Scoring!AG28="","",IF(OR(Scoring!AG28="STRONG BUY",Scoring!AG28="BUY"),"PASS","FAIL"))</f>
        <v/>
      </c>
      <c r="D28" s="142" t="str">
        <f aca="false">IF(Scoring!AH28="","",IF(Scoring!AH28="OK","PASS","FAIL"))</f>
        <v>PASS</v>
      </c>
      <c r="E28" s="142" t="str">
        <f aca="false">IF(Scoring!AI28="","",IF(Scoring!AI28="OK","PASS","FAIL — mandatory review required"))</f>
        <v>PASS</v>
      </c>
      <c r="F28" s="142"/>
      <c r="G28" s="142"/>
      <c r="H28" s="143" t="str">
        <f aca="false">IF(OR(F28="",G28=""),"",IF(AND(F28="Y",G28="Y"),"Standard initial size","50% of normal initial size + 90-day technical review"))</f>
        <v/>
      </c>
      <c r="I28" s="142"/>
      <c r="J28" s="142"/>
      <c r="K28" s="144" t="str">
        <f aca="false">IF(I28="","",IF(I28="N","PASS",IF(J28="Y","PASS — risk documented in thesis","FAIL — undocumented binary risk")))</f>
        <v/>
      </c>
      <c r="L28" s="142" t="str">
        <f aca="false">IF('Implied-Return Calculator'!S29="","",'Implied-Return Calculator'!S29)</f>
        <v/>
      </c>
      <c r="M28" s="142" t="str">
        <f aca="false">IF('Implied-Return Calculator'!T29="","",'Implied-Return Calculator'!T29)</f>
        <v/>
      </c>
      <c r="N28" s="142" t="str">
        <f aca="false">IF('Implied-Return Calculator'!U29="","",'Implied-Return Calculator'!U29)</f>
        <v/>
      </c>
      <c r="O28" s="142"/>
      <c r="P28" s="142"/>
      <c r="Q28" s="144" t="str">
        <f aca="false">IF(OR(O28="",P28=""),"",IF(O28&lt;=50,"PASS — within ceiling",IF(AND(P28&gt;0.3,M28="PASS"),"PASS — growth+bear case exception met","FAIL — exceeds 50x, exception not met")))</f>
        <v/>
      </c>
      <c r="R28" s="143" t="str">
        <f aca="false">IF(OR(C28="",D28="",E28="",K28="",L28="",M28="",N28="",Q28=""),"",IF(AND(C28="PASS",D28="PASS",LEFT(E28,4)="PASS",LEFT(K28,4)="PASS",L28="PASS",M28="PASS",N28="OK",LEFT(Q28,4)="PASS"),"YES","NO — see failing rule(s)"))</f>
        <v/>
      </c>
      <c r="S28" s="143" t="str">
        <f aca="false">IF(R28="","",IF(R28="YES","Initiate: "&amp;H28,"DO NOT ENTER — resolve failing Entry Rule(s) above first"))</f>
        <v/>
      </c>
    </row>
    <row r="29" customFormat="false" ht="15" hidden="false" customHeight="true" outlineLevel="0" collapsed="false">
      <c r="A29" s="142" t="str">
        <f aca="false">IF(Scoring!A29="","",Scoring!A29)</f>
        <v>DEO</v>
      </c>
      <c r="B29" s="143" t="str">
        <f aca="false">IF(Scoring!B29="","",Scoring!B29)</f>
        <v>Diageo plc</v>
      </c>
      <c r="C29" s="142" t="str">
        <f aca="false">IF(Scoring!AG29="","",IF(OR(Scoring!AG29="STRONG BUY",Scoring!AG29="BUY"),"PASS","FAIL"))</f>
        <v/>
      </c>
      <c r="D29" s="142" t="str">
        <f aca="false">IF(Scoring!AH29="","",IF(Scoring!AH29="OK","PASS","FAIL"))</f>
        <v>FAIL</v>
      </c>
      <c r="E29" s="142" t="str">
        <f aca="false">IF(Scoring!AI29="","",IF(Scoring!AI29="OK","PASS","FAIL — mandatory review required"))</f>
        <v>PASS</v>
      </c>
      <c r="F29" s="142"/>
      <c r="G29" s="142"/>
      <c r="H29" s="143" t="str">
        <f aca="false">IF(OR(F29="",G29=""),"",IF(AND(F29="Y",G29="Y"),"Standard initial size","50% of normal initial size + 90-day technical review"))</f>
        <v/>
      </c>
      <c r="I29" s="142"/>
      <c r="J29" s="142"/>
      <c r="K29" s="144" t="str">
        <f aca="false">IF(I29="","",IF(I29="N","PASS",IF(J29="Y","PASS — risk documented in thesis","FAIL — undocumented binary risk")))</f>
        <v/>
      </c>
      <c r="L29" s="142" t="str">
        <f aca="false">IF('Implied-Return Calculator'!S30="","",'Implied-Return Calculator'!S30)</f>
        <v/>
      </c>
      <c r="M29" s="142" t="str">
        <f aca="false">IF('Implied-Return Calculator'!T30="","",'Implied-Return Calculator'!T30)</f>
        <v/>
      </c>
      <c r="N29" s="142" t="str">
        <f aca="false">IF('Implied-Return Calculator'!U30="","",'Implied-Return Calculator'!U30)</f>
        <v/>
      </c>
      <c r="O29" s="142"/>
      <c r="P29" s="142"/>
      <c r="Q29" s="144" t="str">
        <f aca="false">IF(OR(O29="",P29=""),"",IF(O29&lt;=50,"PASS — within ceiling",IF(AND(P29&gt;0.3,M29="PASS"),"PASS — growth+bear case exception met","FAIL — exceeds 50x, exception not met")))</f>
        <v/>
      </c>
      <c r="R29" s="143" t="str">
        <f aca="false">IF(OR(C29="",D29="",E29="",K29="",L29="",M29="",N29="",Q29=""),"",IF(AND(C29="PASS",D29="PASS",LEFT(E29,4)="PASS",LEFT(K29,4)="PASS",L29="PASS",M29="PASS",N29="OK",LEFT(Q29,4)="PASS"),"YES","NO — see failing rule(s)"))</f>
        <v/>
      </c>
      <c r="S29" s="143" t="str">
        <f aca="false">IF(R29="","",IF(R29="YES","Initiate: "&amp;H29,"DO NOT ENTER — resolve failing Entry Rule(s) above first"))</f>
        <v/>
      </c>
    </row>
    <row r="30" customFormat="false" ht="15" hidden="false" customHeight="true" outlineLevel="0" collapsed="false">
      <c r="A30" s="142" t="str">
        <f aca="false">IF(Scoring!A30="","",Scoring!A30)</f>
        <v>EL</v>
      </c>
      <c r="B30" s="143" t="str">
        <f aca="false">IF(Scoring!B30="","",Scoring!B30)</f>
        <v>Estee Lauder Companies</v>
      </c>
      <c r="C30" s="142" t="str">
        <f aca="false">IF(Scoring!AG30="","",IF(OR(Scoring!AG30="STRONG BUY",Scoring!AG30="BUY"),"PASS","FAIL"))</f>
        <v/>
      </c>
      <c r="D30" s="142" t="str">
        <f aca="false">IF(Scoring!AH30="","",IF(Scoring!AH30="OK","PASS","FAIL"))</f>
        <v>FAIL</v>
      </c>
      <c r="E30" s="142" t="str">
        <f aca="false">IF(Scoring!AI30="","",IF(Scoring!AI30="OK","PASS","FAIL — mandatory review required"))</f>
        <v>FAIL — mandatory review required</v>
      </c>
      <c r="F30" s="142"/>
      <c r="G30" s="142"/>
      <c r="H30" s="143" t="str">
        <f aca="false">IF(OR(F30="",G30=""),"",IF(AND(F30="Y",G30="Y"),"Standard initial size","50% of normal initial size + 90-day technical review"))</f>
        <v/>
      </c>
      <c r="I30" s="142"/>
      <c r="J30" s="142"/>
      <c r="K30" s="144" t="str">
        <f aca="false">IF(I30="","",IF(I30="N","PASS",IF(J30="Y","PASS — risk documented in thesis","FAIL — undocumented binary risk")))</f>
        <v/>
      </c>
      <c r="L30" s="142" t="str">
        <f aca="false">IF('Implied-Return Calculator'!S31="","",'Implied-Return Calculator'!S31)</f>
        <v/>
      </c>
      <c r="M30" s="142" t="str">
        <f aca="false">IF('Implied-Return Calculator'!T31="","",'Implied-Return Calculator'!T31)</f>
        <v/>
      </c>
      <c r="N30" s="142" t="str">
        <f aca="false">IF('Implied-Return Calculator'!U31="","",'Implied-Return Calculator'!U31)</f>
        <v/>
      </c>
      <c r="O30" s="142"/>
      <c r="P30" s="142"/>
      <c r="Q30" s="144" t="str">
        <f aca="false">IF(OR(O30="",P30=""),"",IF(O30&lt;=50,"PASS — within ceiling",IF(AND(P30&gt;0.3,M30="PASS"),"PASS — growth+bear case exception met","FAIL — exceeds 50x, exception not met")))</f>
        <v/>
      </c>
      <c r="R30" s="143" t="str">
        <f aca="false">IF(OR(C30="",D30="",E30="",K30="",L30="",M30="",N30="",Q30=""),"",IF(AND(C30="PASS",D30="PASS",LEFT(E30,4)="PASS",LEFT(K30,4)="PASS",L30="PASS",M30="PASS",N30="OK",LEFT(Q30,4)="PASS"),"YES","NO — see failing rule(s)"))</f>
        <v/>
      </c>
      <c r="S30" s="143" t="str">
        <f aca="false">IF(R30="","",IF(R30="YES","Initiate: "&amp;H30,"DO NOT ENTER — resolve failing Entry Rule(s) above first"))</f>
        <v/>
      </c>
    </row>
    <row r="31" customFormat="false" ht="15" hidden="false" customHeight="true" outlineLevel="0" collapsed="false">
      <c r="A31" s="142" t="str">
        <f aca="false">IF(Scoring!A31="","",Scoring!A31)</f>
        <v>HRL</v>
      </c>
      <c r="B31" s="143" t="str">
        <f aca="false">IF(Scoring!B31="","",Scoring!B31)</f>
        <v>Hormel Foods Corp.</v>
      </c>
      <c r="C31" s="142" t="str">
        <f aca="false">IF(Scoring!AG31="","",IF(OR(Scoring!AG31="STRONG BUY",Scoring!AG31="BUY"),"PASS","FAIL"))</f>
        <v/>
      </c>
      <c r="D31" s="142" t="str">
        <f aca="false">IF(Scoring!AH31="","",IF(Scoring!AH31="OK","PASS","FAIL"))</f>
        <v>FAIL</v>
      </c>
      <c r="E31" s="142" t="str">
        <f aca="false">IF(Scoring!AI31="","",IF(Scoring!AI31="OK","PASS","FAIL — mandatory review required"))</f>
        <v>FAIL — mandatory review required</v>
      </c>
      <c r="F31" s="142"/>
      <c r="G31" s="142"/>
      <c r="H31" s="143" t="str">
        <f aca="false">IF(OR(F31="",G31=""),"",IF(AND(F31="Y",G31="Y"),"Standard initial size","50% of normal initial size + 90-day technical review"))</f>
        <v/>
      </c>
      <c r="I31" s="142"/>
      <c r="J31" s="142"/>
      <c r="K31" s="144" t="str">
        <f aca="false">IF(I31="","",IF(I31="N","PASS",IF(J31="Y","PASS — risk documented in thesis","FAIL — undocumented binary risk")))</f>
        <v/>
      </c>
      <c r="L31" s="142" t="str">
        <f aca="false">IF('Implied-Return Calculator'!S32="","",'Implied-Return Calculator'!S32)</f>
        <v/>
      </c>
      <c r="M31" s="142" t="str">
        <f aca="false">IF('Implied-Return Calculator'!T32="","",'Implied-Return Calculator'!T32)</f>
        <v/>
      </c>
      <c r="N31" s="142" t="str">
        <f aca="false">IF('Implied-Return Calculator'!U32="","",'Implied-Return Calculator'!U32)</f>
        <v/>
      </c>
      <c r="O31" s="142"/>
      <c r="P31" s="142"/>
      <c r="Q31" s="144" t="str">
        <f aca="false">IF(OR(O31="",P31=""),"",IF(O31&lt;=50,"PASS — within ceiling",IF(AND(P31&gt;0.3,M31="PASS"),"PASS — growth+bear case exception met","FAIL — exceeds 50x, exception not met")))</f>
        <v/>
      </c>
      <c r="R31" s="143" t="str">
        <f aca="false">IF(OR(C31="",D31="",E31="",K31="",L31="",M31="",N31="",Q31=""),"",IF(AND(C31="PASS",D31="PASS",LEFT(E31,4)="PASS",LEFT(K31,4)="PASS",L31="PASS",M31="PASS",N31="OK",LEFT(Q31,4)="PASS"),"YES","NO — see failing rule(s)"))</f>
        <v/>
      </c>
      <c r="S31" s="143" t="str">
        <f aca="false">IF(R31="","",IF(R31="YES","Initiate: "&amp;H31,"DO NOT ENTER — resolve failing Entry Rule(s) above first"))</f>
        <v/>
      </c>
    </row>
    <row r="32" customFormat="false" ht="15" hidden="false" customHeight="true" outlineLevel="0" collapsed="false">
      <c r="A32" s="142" t="str">
        <f aca="false">IF(Scoring!A32="","",Scoring!A32)</f>
        <v>PG</v>
      </c>
      <c r="B32" s="143" t="str">
        <f aca="false">IF(Scoring!B32="","",Scoring!B32)</f>
        <v>Procter &amp; Gamble Co.</v>
      </c>
      <c r="C32" s="142" t="str">
        <f aca="false">IF(Scoring!AG32="","",IF(OR(Scoring!AG32="STRONG BUY",Scoring!AG32="BUY"),"PASS","FAIL"))</f>
        <v/>
      </c>
      <c r="D32" s="142" t="str">
        <f aca="false">IF(Scoring!AH32="","",IF(Scoring!AH32="OK","PASS","FAIL"))</f>
        <v>PASS</v>
      </c>
      <c r="E32" s="142" t="str">
        <f aca="false">IF(Scoring!AI32="","",IF(Scoring!AI32="OK","PASS","FAIL — mandatory review required"))</f>
        <v>PASS</v>
      </c>
      <c r="F32" s="142"/>
      <c r="G32" s="142"/>
      <c r="H32" s="143" t="str">
        <f aca="false">IF(OR(F32="",G32=""),"",IF(AND(F32="Y",G32="Y"),"Standard initial size","50% of normal initial size + 90-day technical review"))</f>
        <v/>
      </c>
      <c r="I32" s="142"/>
      <c r="J32" s="142"/>
      <c r="K32" s="144" t="str">
        <f aca="false">IF(I32="","",IF(I32="N","PASS",IF(J32="Y","PASS — risk documented in thesis","FAIL — undocumented binary risk")))</f>
        <v/>
      </c>
      <c r="L32" s="142" t="str">
        <f aca="false">IF('Implied-Return Calculator'!S33="","",'Implied-Return Calculator'!S33)</f>
        <v/>
      </c>
      <c r="M32" s="142" t="str">
        <f aca="false">IF('Implied-Return Calculator'!T33="","",'Implied-Return Calculator'!T33)</f>
        <v/>
      </c>
      <c r="N32" s="142" t="str">
        <f aca="false">IF('Implied-Return Calculator'!U33="","",'Implied-Return Calculator'!U33)</f>
        <v/>
      </c>
      <c r="O32" s="142"/>
      <c r="P32" s="142"/>
      <c r="Q32" s="144" t="str">
        <f aca="false">IF(OR(O32="",P32=""),"",IF(O32&lt;=50,"PASS — within ceiling",IF(AND(P32&gt;0.3,M32="PASS"),"PASS — growth+bear case exception met","FAIL — exceeds 50x, exception not met")))</f>
        <v/>
      </c>
      <c r="R32" s="143" t="str">
        <f aca="false">IF(OR(C32="",D32="",E32="",K32="",L32="",M32="",N32="",Q32=""),"",IF(AND(C32="PASS",D32="PASS",LEFT(E32,4)="PASS",LEFT(K32,4)="PASS",L32="PASS",M32="PASS",N32="OK",LEFT(Q32,4)="PASS"),"YES","NO — see failing rule(s)"))</f>
        <v/>
      </c>
      <c r="S32" s="143" t="str">
        <f aca="false">IF(R32="","",IF(R32="YES","Initiate: "&amp;H32,"DO NOT ENTER — resolve failing Entry Rule(s) above first"))</f>
        <v/>
      </c>
    </row>
    <row r="33" customFormat="false" ht="15" hidden="false" customHeight="true" outlineLevel="0" collapsed="false">
      <c r="A33" s="142" t="str">
        <f aca="false">IF(Scoring!A33="","",Scoring!A33)</f>
        <v>CMG</v>
      </c>
      <c r="B33" s="143" t="str">
        <f aca="false">IF(Scoring!B33="","",Scoring!B33)</f>
        <v>Chipotle Mexican Grill</v>
      </c>
      <c r="C33" s="142" t="str">
        <f aca="false">IF(Scoring!AG33="","",IF(OR(Scoring!AG33="STRONG BUY",Scoring!AG33="BUY"),"PASS","FAIL"))</f>
        <v/>
      </c>
      <c r="D33" s="142" t="str">
        <f aca="false">IF(Scoring!AH33="","",IF(Scoring!AH33="OK","PASS","FAIL"))</f>
        <v>PASS</v>
      </c>
      <c r="E33" s="142" t="str">
        <f aca="false">IF(Scoring!AI33="","",IF(Scoring!AI33="OK","PASS","FAIL — mandatory review required"))</f>
        <v>PASS</v>
      </c>
      <c r="F33" s="142"/>
      <c r="G33" s="142"/>
      <c r="H33" s="143" t="str">
        <f aca="false">IF(OR(F33="",G33=""),"",IF(AND(F33="Y",G33="Y"),"Standard initial size","50% of normal initial size + 90-day technical review"))</f>
        <v/>
      </c>
      <c r="I33" s="142"/>
      <c r="J33" s="142"/>
      <c r="K33" s="144" t="str">
        <f aca="false">IF(I33="","",IF(I33="N","PASS",IF(J33="Y","PASS — risk documented in thesis","FAIL — undocumented binary risk")))</f>
        <v/>
      </c>
      <c r="L33" s="142" t="str">
        <f aca="false">IF('Implied-Return Calculator'!S34="","",'Implied-Return Calculator'!S34)</f>
        <v/>
      </c>
      <c r="M33" s="142" t="str">
        <f aca="false">IF('Implied-Return Calculator'!T34="","",'Implied-Return Calculator'!T34)</f>
        <v/>
      </c>
      <c r="N33" s="142" t="str">
        <f aca="false">IF('Implied-Return Calculator'!U34="","",'Implied-Return Calculator'!U34)</f>
        <v/>
      </c>
      <c r="O33" s="142"/>
      <c r="P33" s="142"/>
      <c r="Q33" s="144" t="str">
        <f aca="false">IF(OR(O33="",P33=""),"",IF(O33&lt;=50,"PASS — within ceiling",IF(AND(P33&gt;0.3,M33="PASS"),"PASS — growth+bear case exception met","FAIL — exceeds 50x, exception not met")))</f>
        <v/>
      </c>
      <c r="R33" s="143" t="str">
        <f aca="false">IF(OR(C33="",D33="",E33="",K33="",L33="",M33="",N33="",Q33=""),"",IF(AND(C33="PASS",D33="PASS",LEFT(E33,4)="PASS",LEFT(K33,4)="PASS",L33="PASS",M33="PASS",N33="OK",LEFT(Q33,4)="PASS"),"YES","NO — see failing rule(s)"))</f>
        <v/>
      </c>
      <c r="S33" s="143" t="str">
        <f aca="false">IF(R33="","",IF(R33="YES","Initiate: "&amp;H33,"DO NOT ENTER — resolve failing Entry Rule(s) above first"))</f>
        <v/>
      </c>
    </row>
    <row r="34" customFormat="false" ht="15" hidden="false" customHeight="true" outlineLevel="0" collapsed="false">
      <c r="A34" s="142" t="str">
        <f aca="false">IF(Scoring!A34="","",Scoring!A34)</f>
        <v>DPZ</v>
      </c>
      <c r="B34" s="143" t="str">
        <f aca="false">IF(Scoring!B34="","",Scoring!B34)</f>
        <v>Domino's Pizza Inc.</v>
      </c>
      <c r="C34" s="142" t="str">
        <f aca="false">IF(Scoring!AG34="","",IF(OR(Scoring!AG34="STRONG BUY",Scoring!AG34="BUY"),"PASS","FAIL"))</f>
        <v/>
      </c>
      <c r="D34" s="142" t="str">
        <f aca="false">IF(Scoring!AH34="","",IF(Scoring!AH34="OK","PASS","FAIL"))</f>
        <v>PASS</v>
      </c>
      <c r="E34" s="142" t="str">
        <f aca="false">IF(Scoring!AI34="","",IF(Scoring!AI34="OK","PASS","FAIL — mandatory review required"))</f>
        <v>PASS</v>
      </c>
      <c r="F34" s="142"/>
      <c r="G34" s="142"/>
      <c r="H34" s="143" t="str">
        <f aca="false">IF(OR(F34="",G34=""),"",IF(AND(F34="Y",G34="Y"),"Standard initial size","50% of normal initial size + 90-day technical review"))</f>
        <v/>
      </c>
      <c r="I34" s="142"/>
      <c r="J34" s="142"/>
      <c r="K34" s="144" t="str">
        <f aca="false">IF(I34="","",IF(I34="N","PASS",IF(J34="Y","PASS — risk documented in thesis","FAIL — undocumented binary risk")))</f>
        <v/>
      </c>
      <c r="L34" s="142" t="str">
        <f aca="false">IF('Implied-Return Calculator'!S35="","",'Implied-Return Calculator'!S35)</f>
        <v/>
      </c>
      <c r="M34" s="142" t="str">
        <f aca="false">IF('Implied-Return Calculator'!T35="","",'Implied-Return Calculator'!T35)</f>
        <v/>
      </c>
      <c r="N34" s="142" t="str">
        <f aca="false">IF('Implied-Return Calculator'!U35="","",'Implied-Return Calculator'!U35)</f>
        <v/>
      </c>
      <c r="O34" s="142"/>
      <c r="P34" s="142"/>
      <c r="Q34" s="144" t="str">
        <f aca="false">IF(OR(O34="",P34=""),"",IF(O34&lt;=50,"PASS — within ceiling",IF(AND(P34&gt;0.3,M34="PASS"),"PASS — growth+bear case exception met","FAIL — exceeds 50x, exception not met")))</f>
        <v/>
      </c>
      <c r="R34" s="143" t="str">
        <f aca="false">IF(OR(C34="",D34="",E34="",K34="",L34="",M34="",N34="",Q34=""),"",IF(AND(C34="PASS",D34="PASS",LEFT(E34,4)="PASS",LEFT(K34,4)="PASS",L34="PASS",M34="PASS",N34="OK",LEFT(Q34,4)="PASS"),"YES","NO — see failing rule(s)"))</f>
        <v/>
      </c>
      <c r="S34" s="143" t="str">
        <f aca="false">IF(R34="","",IF(R34="YES","Initiate: "&amp;H34,"DO NOT ENTER — resolve failing Entry Rule(s) above first"))</f>
        <v/>
      </c>
    </row>
    <row r="35" customFormat="false" ht="15" hidden="false" customHeight="true" outlineLevel="0" collapsed="false">
      <c r="A35" s="142" t="str">
        <f aca="false">IF(Scoring!A35="","",Scoring!A35)</f>
        <v>PZZA</v>
      </c>
      <c r="B35" s="143" t="str">
        <f aca="false">IF(Scoring!B35="","",Scoring!B35)</f>
        <v>Papa John's Intl.</v>
      </c>
      <c r="C35" s="142" t="str">
        <f aca="false">IF(Scoring!AG35="","",IF(OR(Scoring!AG35="STRONG BUY",Scoring!AG35="BUY"),"PASS","FAIL"))</f>
        <v/>
      </c>
      <c r="D35" s="142" t="str">
        <f aca="false">IF(Scoring!AH35="","",IF(Scoring!AH35="OK","PASS","FAIL"))</f>
        <v>FAIL</v>
      </c>
      <c r="E35" s="142" t="str">
        <f aca="false">IF(Scoring!AI35="","",IF(Scoring!AI35="OK","PASS","FAIL — mandatory review required"))</f>
        <v>FAIL — mandatory review required</v>
      </c>
      <c r="F35" s="142"/>
      <c r="G35" s="142"/>
      <c r="H35" s="143" t="str">
        <f aca="false">IF(OR(F35="",G35=""),"",IF(AND(F35="Y",G35="Y"),"Standard initial size","50% of normal initial size + 90-day technical review"))</f>
        <v/>
      </c>
      <c r="I35" s="142"/>
      <c r="J35" s="142"/>
      <c r="K35" s="144" t="str">
        <f aca="false">IF(I35="","",IF(I35="N","PASS",IF(J35="Y","PASS — risk documented in thesis","FAIL — undocumented binary risk")))</f>
        <v/>
      </c>
      <c r="L35" s="142" t="str">
        <f aca="false">IF('Implied-Return Calculator'!S36="","",'Implied-Return Calculator'!S36)</f>
        <v/>
      </c>
      <c r="M35" s="142" t="str">
        <f aca="false">IF('Implied-Return Calculator'!T36="","",'Implied-Return Calculator'!T36)</f>
        <v/>
      </c>
      <c r="N35" s="142" t="str">
        <f aca="false">IF('Implied-Return Calculator'!U36="","",'Implied-Return Calculator'!U36)</f>
        <v/>
      </c>
      <c r="O35" s="142"/>
      <c r="P35" s="142"/>
      <c r="Q35" s="144" t="str">
        <f aca="false">IF(OR(O35="",P35=""),"",IF(O35&lt;=50,"PASS — within ceiling",IF(AND(P35&gt;0.3,M35="PASS"),"PASS — growth+bear case exception met","FAIL — exceeds 50x, exception not met")))</f>
        <v/>
      </c>
      <c r="R35" s="143" t="str">
        <f aca="false">IF(OR(C35="",D35="",E35="",K35="",L35="",M35="",N35="",Q35=""),"",IF(AND(C35="PASS",D35="PASS",LEFT(E35,4)="PASS",LEFT(K35,4)="PASS",L35="PASS",M35="PASS",N35="OK",LEFT(Q35,4)="PASS"),"YES","NO — see failing rule(s)"))</f>
        <v/>
      </c>
      <c r="S35" s="143" t="str">
        <f aca="false">IF(R35="","",IF(R35="YES","Initiate: "&amp;H35,"DO NOT ENTER — resolve failing Entry Rule(s) above first"))</f>
        <v/>
      </c>
    </row>
    <row r="36" customFormat="false" ht="15" hidden="false" customHeight="true" outlineLevel="0" collapsed="false">
      <c r="A36" s="142" t="str">
        <f aca="false">IF(Scoring!A36="","",Scoring!A36)</f>
        <v>YUM</v>
      </c>
      <c r="B36" s="143" t="str">
        <f aca="false">IF(Scoring!B36="","",Scoring!B36)</f>
        <v>Yum! Brands Inc.</v>
      </c>
      <c r="C36" s="142" t="str">
        <f aca="false">IF(Scoring!AG36="","",IF(OR(Scoring!AG36="STRONG BUY",Scoring!AG36="BUY"),"PASS","FAIL"))</f>
        <v/>
      </c>
      <c r="D36" s="142" t="str">
        <f aca="false">IF(Scoring!AH36="","",IF(Scoring!AH36="OK","PASS","FAIL"))</f>
        <v>PASS</v>
      </c>
      <c r="E36" s="142" t="str">
        <f aca="false">IF(Scoring!AI36="","",IF(Scoring!AI36="OK","PASS","FAIL — mandatory review required"))</f>
        <v>PASS</v>
      </c>
      <c r="F36" s="142"/>
      <c r="G36" s="142"/>
      <c r="H36" s="143" t="str">
        <f aca="false">IF(OR(F36="",G36=""),"",IF(AND(F36="Y",G36="Y"),"Standard initial size","50% of normal initial size + 90-day technical review"))</f>
        <v/>
      </c>
      <c r="I36" s="142"/>
      <c r="J36" s="142"/>
      <c r="K36" s="144" t="str">
        <f aca="false">IF(I36="","",IF(I36="N","PASS",IF(J36="Y","PASS — risk documented in thesis","FAIL — undocumented binary risk")))</f>
        <v/>
      </c>
      <c r="L36" s="142" t="str">
        <f aca="false">IF('Implied-Return Calculator'!S37="","",'Implied-Return Calculator'!S37)</f>
        <v/>
      </c>
      <c r="M36" s="142" t="str">
        <f aca="false">IF('Implied-Return Calculator'!T37="","",'Implied-Return Calculator'!T37)</f>
        <v/>
      </c>
      <c r="N36" s="142" t="str">
        <f aca="false">IF('Implied-Return Calculator'!U37="","",'Implied-Return Calculator'!U37)</f>
        <v/>
      </c>
      <c r="O36" s="142"/>
      <c r="P36" s="142"/>
      <c r="Q36" s="144" t="str">
        <f aca="false">IF(OR(O36="",P36=""),"",IF(O36&lt;=50,"PASS — within ceiling",IF(AND(P36&gt;0.3,M36="PASS"),"PASS — growth+bear case exception met","FAIL — exceeds 50x, exception not met")))</f>
        <v/>
      </c>
      <c r="R36" s="143" t="str">
        <f aca="false">IF(OR(C36="",D36="",E36="",K36="",L36="",M36="",N36="",Q36=""),"",IF(AND(C36="PASS",D36="PASS",LEFT(E36,4)="PASS",LEFT(K36,4)="PASS",L36="PASS",M36="PASS",N36="OK",LEFT(Q36,4)="PASS"),"YES","NO — see failing rule(s)"))</f>
        <v/>
      </c>
      <c r="S36" s="143" t="str">
        <f aca="false">IF(R36="","",IF(R36="YES","Initiate: "&amp;H36,"DO NOT ENTER — resolve failing Entry Rule(s) above first"))</f>
        <v/>
      </c>
    </row>
    <row r="37" customFormat="false" ht="15" hidden="false" customHeight="true" outlineLevel="0" collapsed="false">
      <c r="A37" s="142" t="str">
        <f aca="false">IF(Scoring!A37="","",Scoring!A37)</f>
        <v>NKE</v>
      </c>
      <c r="B37" s="143" t="str">
        <f aca="false">IF(Scoring!B37="","",Scoring!B37)</f>
        <v>Nike Inc.</v>
      </c>
      <c r="C37" s="142" t="str">
        <f aca="false">IF(Scoring!AG37="","",IF(OR(Scoring!AG37="STRONG BUY",Scoring!AG37="BUY"),"PASS","FAIL"))</f>
        <v/>
      </c>
      <c r="D37" s="142" t="str">
        <f aca="false">IF(Scoring!AH37="","",IF(Scoring!AH37="OK","PASS","FAIL"))</f>
        <v>FAIL</v>
      </c>
      <c r="E37" s="142" t="str">
        <f aca="false">IF(Scoring!AI37="","",IF(Scoring!AI37="OK","PASS","FAIL — mandatory review required"))</f>
        <v>FAIL — mandatory review required</v>
      </c>
      <c r="F37" s="142"/>
      <c r="G37" s="142"/>
      <c r="H37" s="143" t="str">
        <f aca="false">IF(OR(F37="",G37=""),"",IF(AND(F37="Y",G37="Y"),"Standard initial size","50% of normal initial size + 90-day technical review"))</f>
        <v/>
      </c>
      <c r="I37" s="142"/>
      <c r="J37" s="142"/>
      <c r="K37" s="144" t="str">
        <f aca="false">IF(I37="","",IF(I37="N","PASS",IF(J37="Y","PASS — risk documented in thesis","FAIL — undocumented binary risk")))</f>
        <v/>
      </c>
      <c r="L37" s="142" t="str">
        <f aca="false">IF('Implied-Return Calculator'!S38="","",'Implied-Return Calculator'!S38)</f>
        <v/>
      </c>
      <c r="M37" s="142" t="str">
        <f aca="false">IF('Implied-Return Calculator'!T38="","",'Implied-Return Calculator'!T38)</f>
        <v/>
      </c>
      <c r="N37" s="142" t="str">
        <f aca="false">IF('Implied-Return Calculator'!U38="","",'Implied-Return Calculator'!U38)</f>
        <v/>
      </c>
      <c r="O37" s="142"/>
      <c r="P37" s="142"/>
      <c r="Q37" s="144" t="str">
        <f aca="false">IF(OR(O37="",P37=""),"",IF(O37&lt;=50,"PASS — within ceiling",IF(AND(P37&gt;0.3,M37="PASS"),"PASS — growth+bear case exception met","FAIL — exceeds 50x, exception not met")))</f>
        <v/>
      </c>
      <c r="R37" s="143" t="str">
        <f aca="false">IF(OR(C37="",D37="",E37="",K37="",L37="",M37="",N37="",Q37=""),"",IF(AND(C37="PASS",D37="PASS",LEFT(E37,4)="PASS",LEFT(K37,4)="PASS",L37="PASS",M37="PASS",N37="OK",LEFT(Q37,4)="PASS"),"YES","NO — see failing rule(s)"))</f>
        <v/>
      </c>
      <c r="S37" s="143" t="str">
        <f aca="false">IF(R37="","",IF(R37="YES","Initiate: "&amp;H37,"DO NOT ENTER — resolve failing Entry Rule(s) above first"))</f>
        <v/>
      </c>
    </row>
    <row r="38" customFormat="false" ht="15" hidden="false" customHeight="true" outlineLevel="0" collapsed="false">
      <c r="A38" s="142" t="str">
        <f aca="false">IF(Scoring!A38="","",Scoring!A38)</f>
        <v>VFC</v>
      </c>
      <c r="B38" s="143" t="str">
        <f aca="false">IF(Scoring!B38="","",Scoring!B38)</f>
        <v>V.F. Corporation</v>
      </c>
      <c r="C38" s="142" t="str">
        <f aca="false">IF(Scoring!AG38="","",IF(OR(Scoring!AG38="STRONG BUY",Scoring!AG38="BUY"),"PASS","FAIL"))</f>
        <v/>
      </c>
      <c r="D38" s="142" t="str">
        <f aca="false">IF(Scoring!AH38="","",IF(Scoring!AH38="OK","PASS","FAIL"))</f>
        <v>FAIL</v>
      </c>
      <c r="E38" s="142" t="str">
        <f aca="false">IF(Scoring!AI38="","",IF(Scoring!AI38="OK","PASS","FAIL — mandatory review required"))</f>
        <v>PASS</v>
      </c>
      <c r="F38" s="142"/>
      <c r="G38" s="142"/>
      <c r="H38" s="143" t="str">
        <f aca="false">IF(OR(F38="",G38=""),"",IF(AND(F38="Y",G38="Y"),"Standard initial size","50% of normal initial size + 90-day technical review"))</f>
        <v/>
      </c>
      <c r="I38" s="142"/>
      <c r="J38" s="142"/>
      <c r="K38" s="144" t="str">
        <f aca="false">IF(I38="","",IF(I38="N","PASS",IF(J38="Y","PASS — risk documented in thesis","FAIL — undocumented binary risk")))</f>
        <v/>
      </c>
      <c r="L38" s="142" t="str">
        <f aca="false">IF('Implied-Return Calculator'!S39="","",'Implied-Return Calculator'!S39)</f>
        <v/>
      </c>
      <c r="M38" s="142" t="str">
        <f aca="false">IF('Implied-Return Calculator'!T39="","",'Implied-Return Calculator'!T39)</f>
        <v/>
      </c>
      <c r="N38" s="142" t="str">
        <f aca="false">IF('Implied-Return Calculator'!U39="","",'Implied-Return Calculator'!U39)</f>
        <v/>
      </c>
      <c r="O38" s="142"/>
      <c r="P38" s="142"/>
      <c r="Q38" s="144" t="str">
        <f aca="false">IF(OR(O38="",P38=""),"",IF(O38&lt;=50,"PASS — within ceiling",IF(AND(P38&gt;0.3,M38="PASS"),"PASS — growth+bear case exception met","FAIL — exceeds 50x, exception not met")))</f>
        <v/>
      </c>
      <c r="R38" s="143" t="str">
        <f aca="false">IF(OR(C38="",D38="",E38="",K38="",L38="",M38="",N38="",Q38=""),"",IF(AND(C38="PASS",D38="PASS",LEFT(E38,4)="PASS",LEFT(K38,4)="PASS",L38="PASS",M38="PASS",N38="OK",LEFT(Q38,4)="PASS"),"YES","NO — see failing rule(s)"))</f>
        <v/>
      </c>
      <c r="S38" s="143" t="str">
        <f aca="false">IF(R38="","",IF(R38="YES","Initiate: "&amp;H38,"DO NOT ENTER — resolve failing Entry Rule(s) above first"))</f>
        <v/>
      </c>
    </row>
    <row r="39" customFormat="false" ht="15" hidden="false" customHeight="true" outlineLevel="0" collapsed="false">
      <c r="A39" s="142" t="str">
        <f aca="false">IF(Scoring!A39="","",Scoring!A39)</f>
        <v>GOOS</v>
      </c>
      <c r="B39" s="143" t="str">
        <f aca="false">IF(Scoring!B39="","",Scoring!B39)</f>
        <v>Canada Goose Holdings</v>
      </c>
      <c r="C39" s="142" t="str">
        <f aca="false">IF(Scoring!AG39="","",IF(OR(Scoring!AG39="STRONG BUY",Scoring!AG39="BUY"),"PASS","FAIL"))</f>
        <v/>
      </c>
      <c r="D39" s="142" t="str">
        <f aca="false">IF(Scoring!AH39="","",IF(Scoring!AH39="OK","PASS","FAIL"))</f>
        <v>FAIL</v>
      </c>
      <c r="E39" s="142" t="str">
        <f aca="false">IF(Scoring!AI39="","",IF(Scoring!AI39="OK","PASS","FAIL — mandatory review required"))</f>
        <v>FAIL — mandatory review required</v>
      </c>
      <c r="F39" s="142"/>
      <c r="G39" s="142"/>
      <c r="H39" s="143" t="str">
        <f aca="false">IF(OR(F39="",G39=""),"",IF(AND(F39="Y",G39="Y"),"Standard initial size","50% of normal initial size + 90-day technical review"))</f>
        <v/>
      </c>
      <c r="I39" s="142"/>
      <c r="J39" s="142"/>
      <c r="K39" s="144" t="str">
        <f aca="false">IF(I39="","",IF(I39="N","PASS",IF(J39="Y","PASS — risk documented in thesis","FAIL — undocumented binary risk")))</f>
        <v/>
      </c>
      <c r="L39" s="142" t="str">
        <f aca="false">IF('Implied-Return Calculator'!S40="","",'Implied-Return Calculator'!S40)</f>
        <v/>
      </c>
      <c r="M39" s="142" t="str">
        <f aca="false">IF('Implied-Return Calculator'!T40="","",'Implied-Return Calculator'!T40)</f>
        <v/>
      </c>
      <c r="N39" s="142" t="str">
        <f aca="false">IF('Implied-Return Calculator'!U40="","",'Implied-Return Calculator'!U40)</f>
        <v/>
      </c>
      <c r="O39" s="142"/>
      <c r="P39" s="142"/>
      <c r="Q39" s="144" t="str">
        <f aca="false">IF(OR(O39="",P39=""),"",IF(O39&lt;=50,"PASS — within ceiling",IF(AND(P39&gt;0.3,M39="PASS"),"PASS — growth+bear case exception met","FAIL — exceeds 50x, exception not met")))</f>
        <v/>
      </c>
      <c r="R39" s="143" t="str">
        <f aca="false">IF(OR(C39="",D39="",E39="",K39="",L39="",M39="",N39="",Q39=""),"",IF(AND(C39="PASS",D39="PASS",LEFT(E39,4)="PASS",LEFT(K39,4)="PASS",L39="PASS",M39="PASS",N39="OK",LEFT(Q39,4)="PASS"),"YES","NO — see failing rule(s)"))</f>
        <v/>
      </c>
      <c r="S39" s="143" t="str">
        <f aca="false">IF(R39="","",IF(R39="YES","Initiate: "&amp;H39,"DO NOT ENTER — resolve failing Entry Rule(s) above first"))</f>
        <v/>
      </c>
    </row>
    <row r="40" customFormat="false" ht="15" hidden="false" customHeight="true" outlineLevel="0" collapsed="false">
      <c r="A40" s="142" t="str">
        <f aca="false">IF(Scoring!A40="","",Scoring!A40)</f>
        <v>AAP</v>
      </c>
      <c r="B40" s="143" t="str">
        <f aca="false">IF(Scoring!B40="","",Scoring!B40)</f>
        <v>Advance Auto Parts Inc.</v>
      </c>
      <c r="C40" s="142" t="str">
        <f aca="false">IF(Scoring!AG40="","",IF(OR(Scoring!AG40="STRONG BUY",Scoring!AG40="BUY"),"PASS","FAIL"))</f>
        <v/>
      </c>
      <c r="D40" s="142" t="str">
        <f aca="false">IF(Scoring!AH40="","",IF(Scoring!AH40="OK","PASS","FAIL"))</f>
        <v>FAIL</v>
      </c>
      <c r="E40" s="142" t="str">
        <f aca="false">IF(Scoring!AI40="","",IF(Scoring!AI40="OK","PASS","FAIL — mandatory review required"))</f>
        <v>FAIL — mandatory review required</v>
      </c>
      <c r="F40" s="142"/>
      <c r="G40" s="142"/>
      <c r="H40" s="143" t="str">
        <f aca="false">IF(OR(F40="",G40=""),"",IF(AND(F40="Y",G40="Y"),"Standard initial size","50% of normal initial size + 90-day technical review"))</f>
        <v/>
      </c>
      <c r="I40" s="142"/>
      <c r="J40" s="142"/>
      <c r="K40" s="144" t="str">
        <f aca="false">IF(I40="","",IF(I40="N","PASS",IF(J40="Y","PASS — risk documented in thesis","FAIL — undocumented binary risk")))</f>
        <v/>
      </c>
      <c r="L40" s="142" t="str">
        <f aca="false">IF('Implied-Return Calculator'!S41="","",'Implied-Return Calculator'!S41)</f>
        <v/>
      </c>
      <c r="M40" s="142" t="str">
        <f aca="false">IF('Implied-Return Calculator'!T41="","",'Implied-Return Calculator'!T41)</f>
        <v/>
      </c>
      <c r="N40" s="142" t="str">
        <f aca="false">IF('Implied-Return Calculator'!U41="","",'Implied-Return Calculator'!U41)</f>
        <v/>
      </c>
      <c r="O40" s="142"/>
      <c r="P40" s="142"/>
      <c r="Q40" s="144" t="str">
        <f aca="false">IF(OR(O40="",P40=""),"",IF(O40&lt;=50,"PASS — within ceiling",IF(AND(P40&gt;0.3,M40="PASS"),"PASS — growth+bear case exception met","FAIL — exceeds 50x, exception not met")))</f>
        <v/>
      </c>
      <c r="R40" s="143" t="str">
        <f aca="false">IF(OR(C40="",D40="",E40="",K40="",L40="",M40="",N40="",Q40=""),"",IF(AND(C40="PASS",D40="PASS",LEFT(E40,4)="PASS",LEFT(K40,4)="PASS",L40="PASS",M40="PASS",N40="OK",LEFT(Q40,4)="PASS"),"YES","NO — see failing rule(s)"))</f>
        <v/>
      </c>
      <c r="S40" s="143" t="str">
        <f aca="false">IF(R40="","",IF(R40="YES","Initiate: "&amp;H40,"DO NOT ENTER — resolve failing Entry Rule(s) above first"))</f>
        <v/>
      </c>
    </row>
    <row r="41" customFormat="false" ht="15" hidden="false" customHeight="true" outlineLevel="0" collapsed="false">
      <c r="A41" s="142" t="str">
        <f aca="false">IF(Scoring!A41="","",Scoring!A41)</f>
        <v>BABA</v>
      </c>
      <c r="B41" s="143" t="str">
        <f aca="false">IF(Scoring!B41="","",Scoring!B41)</f>
        <v>Alibaba Group Holding Ltd.</v>
      </c>
      <c r="C41" s="142" t="str">
        <f aca="false">IF(Scoring!AG41="","",IF(OR(Scoring!AG41="STRONG BUY",Scoring!AG41="BUY"),"PASS","FAIL"))</f>
        <v/>
      </c>
      <c r="D41" s="142" t="str">
        <f aca="false">IF(Scoring!AH41="","",IF(Scoring!AH41="OK","PASS","FAIL"))</f>
        <v>FAIL</v>
      </c>
      <c r="E41" s="142" t="str">
        <f aca="false">IF(Scoring!AI41="","",IF(Scoring!AI41="OK","PASS","FAIL — mandatory review required"))</f>
        <v>PASS</v>
      </c>
      <c r="F41" s="142"/>
      <c r="G41" s="142"/>
      <c r="H41" s="143" t="str">
        <f aca="false">IF(OR(F41="",G41=""),"",IF(AND(F41="Y",G41="Y"),"Standard initial size","50% of normal initial size + 90-day technical review"))</f>
        <v/>
      </c>
      <c r="I41" s="142"/>
      <c r="J41" s="142"/>
      <c r="K41" s="144" t="str">
        <f aca="false">IF(I41="","",IF(I41="N","PASS",IF(J41="Y","PASS — risk documented in thesis","FAIL — undocumented binary risk")))</f>
        <v/>
      </c>
      <c r="L41" s="142" t="str">
        <f aca="false">IF('Implied-Return Calculator'!S42="","",'Implied-Return Calculator'!S42)</f>
        <v/>
      </c>
      <c r="M41" s="142" t="str">
        <f aca="false">IF('Implied-Return Calculator'!T42="","",'Implied-Return Calculator'!T42)</f>
        <v/>
      </c>
      <c r="N41" s="142" t="str">
        <f aca="false">IF('Implied-Return Calculator'!U42="","",'Implied-Return Calculator'!U42)</f>
        <v/>
      </c>
      <c r="O41" s="142"/>
      <c r="P41" s="142"/>
      <c r="Q41" s="144" t="str">
        <f aca="false">IF(OR(O41="",P41=""),"",IF(O41&lt;=50,"PASS — within ceiling",IF(AND(P41&gt;0.3,M41="PASS"),"PASS — growth+bear case exception met","FAIL — exceeds 50x, exception not met")))</f>
        <v/>
      </c>
      <c r="R41" s="143" t="str">
        <f aca="false">IF(OR(C41="",D41="",E41="",K41="",L41="",M41="",N41="",Q41=""),"",IF(AND(C41="PASS",D41="PASS",LEFT(E41,4)="PASS",LEFT(K41,4)="PASS",L41="PASS",M41="PASS",N41="OK",LEFT(Q41,4)="PASS"),"YES","NO — see failing rule(s)"))</f>
        <v/>
      </c>
      <c r="S41" s="143" t="str">
        <f aca="false">IF(R41="","",IF(R41="YES","Initiate: "&amp;H41,"DO NOT ENTER — resolve failing Entry Rule(s) above first"))</f>
        <v/>
      </c>
    </row>
    <row r="42" customFormat="false" ht="15" hidden="false" customHeight="true" outlineLevel="0" collapsed="false">
      <c r="A42" s="142" t="str">
        <f aca="false">IF(Scoring!A42="","",Scoring!A42)</f>
        <v>ETSY</v>
      </c>
      <c r="B42" s="143" t="str">
        <f aca="false">IF(Scoring!B42="","",Scoring!B42)</f>
        <v>Etsy Inc.</v>
      </c>
      <c r="C42" s="142" t="str">
        <f aca="false">IF(Scoring!AG42="","",IF(OR(Scoring!AG42="STRONG BUY",Scoring!AG42="BUY"),"PASS","FAIL"))</f>
        <v/>
      </c>
      <c r="D42" s="142" t="str">
        <f aca="false">IF(Scoring!AH42="","",IF(Scoring!AH42="OK","PASS","FAIL"))</f>
        <v>PASS</v>
      </c>
      <c r="E42" s="142" t="str">
        <f aca="false">IF(Scoring!AI42="","",IF(Scoring!AI42="OK","PASS","FAIL — mandatory review required"))</f>
        <v>PASS</v>
      </c>
      <c r="F42" s="142"/>
      <c r="G42" s="142"/>
      <c r="H42" s="143" t="str">
        <f aca="false">IF(OR(F42="",G42=""),"",IF(AND(F42="Y",G42="Y"),"Standard initial size","50% of normal initial size + 90-day technical review"))</f>
        <v/>
      </c>
      <c r="I42" s="142"/>
      <c r="J42" s="142"/>
      <c r="K42" s="144" t="str">
        <f aca="false">IF(I42="","",IF(I42="N","PASS",IF(J42="Y","PASS — risk documented in thesis","FAIL — undocumented binary risk")))</f>
        <v/>
      </c>
      <c r="L42" s="142" t="str">
        <f aca="false">IF('Implied-Return Calculator'!S43="","",'Implied-Return Calculator'!S43)</f>
        <v/>
      </c>
      <c r="M42" s="142" t="str">
        <f aca="false">IF('Implied-Return Calculator'!T43="","",'Implied-Return Calculator'!T43)</f>
        <v/>
      </c>
      <c r="N42" s="142" t="str">
        <f aca="false">IF('Implied-Return Calculator'!U43="","",'Implied-Return Calculator'!U43)</f>
        <v/>
      </c>
      <c r="O42" s="142"/>
      <c r="P42" s="142"/>
      <c r="Q42" s="144" t="str">
        <f aca="false">IF(OR(O42="",P42=""),"",IF(O42&lt;=50,"PASS — within ceiling",IF(AND(P42&gt;0.3,M42="PASS"),"PASS — growth+bear case exception met","FAIL — exceeds 50x, exception not met")))</f>
        <v/>
      </c>
      <c r="R42" s="143" t="str">
        <f aca="false">IF(OR(C42="",D42="",E42="",K42="",L42="",M42="",N42="",Q42=""),"",IF(AND(C42="PASS",D42="PASS",LEFT(E42,4)="PASS",LEFT(K42,4)="PASS",L42="PASS",M42="PASS",N42="OK",LEFT(Q42,4)="PASS"),"YES","NO — see failing rule(s)"))</f>
        <v/>
      </c>
      <c r="S42" s="143" t="str">
        <f aca="false">IF(R42="","",IF(R42="YES","Initiate: "&amp;H42,"DO NOT ENTER — resolve failing Entry Rule(s) above first"))</f>
        <v/>
      </c>
    </row>
    <row r="43" customFormat="false" ht="15" hidden="false" customHeight="true" outlineLevel="0" collapsed="false">
      <c r="A43" s="142" t="str">
        <f aca="false">IF(Scoring!A43="","",Scoring!A43)</f>
        <v>GE</v>
      </c>
      <c r="B43" s="143" t="str">
        <f aca="false">IF(Scoring!B43="","",Scoring!B43)</f>
        <v>GE Aerospace</v>
      </c>
      <c r="C43" s="142" t="str">
        <f aca="false">IF(Scoring!AG43="","",IF(OR(Scoring!AG43="STRONG BUY",Scoring!AG43="BUY"),"PASS","FAIL"))</f>
        <v>PASS</v>
      </c>
      <c r="D43" s="142" t="str">
        <f aca="false">IF(Scoring!AH43="","",IF(Scoring!AH43="OK","PASS","FAIL"))</f>
        <v>PASS</v>
      </c>
      <c r="E43" s="142" t="str">
        <f aca="false">IF(Scoring!AI43="","",IF(Scoring!AI43="OK","PASS","FAIL — mandatory review required"))</f>
        <v>PASS</v>
      </c>
      <c r="F43" s="142" t="s">
        <v>222</v>
      </c>
      <c r="G43" s="142" t="s">
        <v>222</v>
      </c>
      <c r="H43" s="143" t="str">
        <f aca="false">IF(OR(F43="",G43=""),"",IF(AND(F43="Y",G43="Y"),"Standard initial size","50% of normal initial size + 90-day technical review"))</f>
        <v>Standard initial size</v>
      </c>
      <c r="I43" s="142" t="s">
        <v>224</v>
      </c>
      <c r="J43" s="142"/>
      <c r="K43" s="144" t="str">
        <f aca="false">IF(I43="","",IF(I43="N","PASS",IF(J43="Y","PASS — risk documented in thesis","FAIL — undocumented binary risk")))</f>
        <v>PASS</v>
      </c>
      <c r="L43" s="142" t="str">
        <f aca="false">IF('Implied-Return Calculator'!S44="","",'Implied-Return Calculator'!S44)</f>
        <v>PASS</v>
      </c>
      <c r="M43" s="142" t="str">
        <f aca="false">IF('Implied-Return Calculator'!T44="","",'Implied-Return Calculator'!T44)</f>
        <v>PASS</v>
      </c>
      <c r="N43" s="142" t="str">
        <f aca="false">IF('Implied-Return Calculator'!U44="","",'Implied-Return Calculator'!U44)</f>
        <v>OK</v>
      </c>
      <c r="O43" s="142" t="n">
        <v>40.9</v>
      </c>
      <c r="P43" s="142" t="n">
        <v>0.147</v>
      </c>
      <c r="Q43" s="144" t="str">
        <f aca="false">IF(OR(O43="",P43=""),"",IF(O43&lt;=50,"PASS — within ceiling",IF(AND(P43&gt;0.3,M43="PASS"),"PASS — growth+bear case exception met","FAIL — exceeds 50x, exception not met")))</f>
        <v>PASS — within ceiling</v>
      </c>
      <c r="R43" s="143" t="str">
        <f aca="false">IF(OR(C43="",D43="",E43="",K43="",L43="",M43="",N43="",Q43=""),"",IF(AND(C43="PASS",D43="PASS",LEFT(E43,4)="PASS",LEFT(K43,4)="PASS",L43="PASS",M43="PASS",N43="OK",LEFT(Q43,4)="PASS"),"YES","NO — see failing rule(s)"))</f>
        <v>YES</v>
      </c>
      <c r="S43" s="143" t="str">
        <f aca="false">IF(R43="","",IF(R43="YES","Initiate: "&amp;H43,"DO NOT ENTER — resolve failing Entry Rule(s) above first"))</f>
        <v>Initiate: Standard initial size</v>
      </c>
    </row>
    <row r="44" customFormat="false" ht="15" hidden="false" customHeight="true" outlineLevel="0" collapsed="false">
      <c r="A44" s="142" t="str">
        <f aca="false">IF(Scoring!A44="","",Scoring!A44)</f>
        <v>PH</v>
      </c>
      <c r="B44" s="143" t="str">
        <f aca="false">IF(Scoring!B44="","",Scoring!B44)</f>
        <v>Parker-Hannifin Corporation</v>
      </c>
      <c r="C44" s="142" t="str">
        <f aca="false">IF(Scoring!AG44="","",IF(OR(Scoring!AG44="STRONG BUY",Scoring!AG44="BUY"),"PASS","FAIL"))</f>
        <v/>
      </c>
      <c r="D44" s="142" t="str">
        <f aca="false">IF(Scoring!AH44="","",IF(Scoring!AH44="OK","PASS","FAIL"))</f>
        <v>PASS</v>
      </c>
      <c r="E44" s="142" t="str">
        <f aca="false">IF(Scoring!AI44="","",IF(Scoring!AI44="OK","PASS","FAIL — mandatory review required"))</f>
        <v>PASS</v>
      </c>
      <c r="F44" s="142"/>
      <c r="G44" s="142"/>
      <c r="H44" s="143" t="str">
        <f aca="false">IF(OR(F44="",G44=""),"",IF(AND(F44="Y",G44="Y"),"Standard initial size","50% of normal initial size + 90-day technical review"))</f>
        <v/>
      </c>
      <c r="I44" s="142"/>
      <c r="J44" s="142"/>
      <c r="K44" s="144" t="str">
        <f aca="false">IF(I44="","",IF(I44="N","PASS",IF(J44="Y","PASS — risk documented in thesis","FAIL — undocumented binary risk")))</f>
        <v/>
      </c>
      <c r="L44" s="142" t="str">
        <f aca="false">IF('Implied-Return Calculator'!S45="","",'Implied-Return Calculator'!S45)</f>
        <v/>
      </c>
      <c r="M44" s="142" t="str">
        <f aca="false">IF('Implied-Return Calculator'!T45="","",'Implied-Return Calculator'!T45)</f>
        <v/>
      </c>
      <c r="N44" s="142" t="str">
        <f aca="false">IF('Implied-Return Calculator'!U45="","",'Implied-Return Calculator'!U45)</f>
        <v/>
      </c>
      <c r="O44" s="142"/>
      <c r="P44" s="142"/>
      <c r="Q44" s="144" t="str">
        <f aca="false">IF(OR(O44="",P44=""),"",IF(O44&lt;=50,"PASS — within ceiling",IF(AND(P44&gt;0.3,M44="PASS"),"PASS — growth+bear case exception met","FAIL — exceeds 50x, exception not met")))</f>
        <v/>
      </c>
      <c r="R44" s="143" t="str">
        <f aca="false">IF(OR(C44="",D44="",E44="",K44="",L44="",M44="",N44="",Q44=""),"",IF(AND(C44="PASS",D44="PASS",LEFT(E44,4)="PASS",LEFT(K44,4)="PASS",L44="PASS",M44="PASS",N44="OK",LEFT(Q44,4)="PASS"),"YES","NO — see failing rule(s)"))</f>
        <v/>
      </c>
      <c r="S44" s="143" t="str">
        <f aca="false">IF(R44="","",IF(R44="YES","Initiate: "&amp;H44,"DO NOT ENTER — resolve failing Entry Rule(s) above first"))</f>
        <v/>
      </c>
    </row>
    <row r="45" customFormat="false" ht="15" hidden="false" customHeight="true" outlineLevel="0" collapsed="false">
      <c r="A45" s="142" t="str">
        <f aca="false">IF(Scoring!A45="","",Scoring!A45)</f>
        <v>ETN</v>
      </c>
      <c r="B45" s="143" t="str">
        <f aca="false">IF(Scoring!B45="","",Scoring!B45)</f>
        <v>Eaton Corporation plc</v>
      </c>
      <c r="C45" s="142" t="str">
        <f aca="false">IF(Scoring!AG45="","",IF(OR(Scoring!AG45="STRONG BUY",Scoring!AG45="BUY"),"PASS","FAIL"))</f>
        <v/>
      </c>
      <c r="D45" s="142" t="str">
        <f aca="false">IF(Scoring!AH45="","",IF(Scoring!AH45="OK","PASS","FAIL"))</f>
        <v>PASS</v>
      </c>
      <c r="E45" s="142" t="str">
        <f aca="false">IF(Scoring!AI45="","",IF(Scoring!AI45="OK","PASS","FAIL — mandatory review required"))</f>
        <v>PASS</v>
      </c>
      <c r="F45" s="142"/>
      <c r="G45" s="142"/>
      <c r="H45" s="143" t="str">
        <f aca="false">IF(OR(F45="",G45=""),"",IF(AND(F45="Y",G45="Y"),"Standard initial size","50% of normal initial size + 90-day technical review"))</f>
        <v/>
      </c>
      <c r="I45" s="142"/>
      <c r="J45" s="142"/>
      <c r="K45" s="144" t="str">
        <f aca="false">IF(I45="","",IF(I45="N","PASS",IF(J45="Y","PASS — risk documented in thesis","FAIL — undocumented binary risk")))</f>
        <v/>
      </c>
      <c r="L45" s="142" t="str">
        <f aca="false">IF('Implied-Return Calculator'!S46="","",'Implied-Return Calculator'!S46)</f>
        <v/>
      </c>
      <c r="M45" s="142" t="str">
        <f aca="false">IF('Implied-Return Calculator'!T46="","",'Implied-Return Calculator'!T46)</f>
        <v/>
      </c>
      <c r="N45" s="142" t="str">
        <f aca="false">IF('Implied-Return Calculator'!U46="","",'Implied-Return Calculator'!U46)</f>
        <v/>
      </c>
      <c r="O45" s="142"/>
      <c r="P45" s="142"/>
      <c r="Q45" s="144" t="str">
        <f aca="false">IF(OR(O45="",P45=""),"",IF(O45&lt;=50,"PASS — within ceiling",IF(AND(P45&gt;0.3,M45="PASS"),"PASS — growth+bear case exception met","FAIL — exceeds 50x, exception not met")))</f>
        <v/>
      </c>
      <c r="R45" s="143" t="str">
        <f aca="false">IF(OR(C45="",D45="",E45="",K45="",L45="",M45="",N45="",Q45=""),"",IF(AND(C45="PASS",D45="PASS",LEFT(E45,4)="PASS",LEFT(K45,4)="PASS",L45="PASS",M45="PASS",N45="OK",LEFT(Q45,4)="PASS"),"YES","NO — see failing rule(s)"))</f>
        <v/>
      </c>
      <c r="S45" s="143" t="str">
        <f aca="false">IF(R45="","",IF(R45="YES","Initiate: "&amp;H45,"DO NOT ENTER — resolve failing Entry Rule(s) above first"))</f>
        <v/>
      </c>
    </row>
    <row r="46" customFormat="false" ht="15" hidden="false" customHeight="true" outlineLevel="0" collapsed="false">
      <c r="A46" s="142" t="str">
        <f aca="false">IF(Scoring!A46="","",Scoring!A46)</f>
        <v>DIS</v>
      </c>
      <c r="B46" s="143" t="str">
        <f aca="false">IF(Scoring!B46="","",Scoring!B46)</f>
        <v>The Walt Disney Company</v>
      </c>
      <c r="C46" s="142" t="str">
        <f aca="false">IF(Scoring!AG46="","",IF(OR(Scoring!AG46="STRONG BUY",Scoring!AG46="BUY"),"PASS","FAIL"))</f>
        <v/>
      </c>
      <c r="D46" s="142" t="str">
        <f aca="false">IF(Scoring!AH46="","",IF(Scoring!AH46="OK","PASS","FAIL"))</f>
        <v>FAIL</v>
      </c>
      <c r="E46" s="142" t="str">
        <f aca="false">IF(Scoring!AI46="","",IF(Scoring!AI46="OK","PASS","FAIL — mandatory review required"))</f>
        <v>PASS</v>
      </c>
      <c r="F46" s="142"/>
      <c r="G46" s="142"/>
      <c r="H46" s="143" t="str">
        <f aca="false">IF(OR(F46="",G46=""),"",IF(AND(F46="Y",G46="Y"),"Standard initial size","50% of normal initial size + 90-day technical review"))</f>
        <v/>
      </c>
      <c r="I46" s="142"/>
      <c r="J46" s="142"/>
      <c r="K46" s="144" t="str">
        <f aca="false">IF(I46="","",IF(I46="N","PASS",IF(J46="Y","PASS — risk documented in thesis","FAIL — undocumented binary risk")))</f>
        <v/>
      </c>
      <c r="L46" s="142" t="str">
        <f aca="false">IF('Implied-Return Calculator'!S47="","",'Implied-Return Calculator'!S47)</f>
        <v/>
      </c>
      <c r="M46" s="142" t="str">
        <f aca="false">IF('Implied-Return Calculator'!T47="","",'Implied-Return Calculator'!T47)</f>
        <v/>
      </c>
      <c r="N46" s="142" t="str">
        <f aca="false">IF('Implied-Return Calculator'!U47="","",'Implied-Return Calculator'!U47)</f>
        <v/>
      </c>
      <c r="O46" s="142"/>
      <c r="P46" s="142"/>
      <c r="Q46" s="144" t="str">
        <f aca="false">IF(OR(O46="",P46=""),"",IF(O46&lt;=50,"PASS — within ceiling",IF(AND(P46&gt;0.3,M46="PASS"),"PASS — growth+bear case exception met","FAIL — exceeds 50x, exception not met")))</f>
        <v/>
      </c>
      <c r="R46" s="143" t="str">
        <f aca="false">IF(OR(C46="",D46="",E46="",K46="",L46="",M46="",N46="",Q46=""),"",IF(AND(C46="PASS",D46="PASS",LEFT(E46,4)="PASS",LEFT(K46,4)="PASS",L46="PASS",M46="PASS",N46="OK",LEFT(Q46,4)="PASS"),"YES","NO — see failing rule(s)"))</f>
        <v/>
      </c>
      <c r="S46" s="143" t="str">
        <f aca="false">IF(R46="","",IF(R46="YES","Initiate: "&amp;H46,"DO NOT ENTER — resolve failing Entry Rule(s) above first"))</f>
        <v/>
      </c>
    </row>
    <row r="47" customFormat="false" ht="15" hidden="false" customHeight="true" outlineLevel="0" collapsed="false">
      <c r="A47" s="142" t="str">
        <f aca="false">IF(Scoring!A47="","",Scoring!A47)</f>
        <v>NFLX</v>
      </c>
      <c r="B47" s="143" t="str">
        <f aca="false">IF(Scoring!B47="","",Scoring!B47)</f>
        <v>Netflix, Inc.</v>
      </c>
      <c r="C47" s="142" t="str">
        <f aca="false">IF(Scoring!AG47="","",IF(OR(Scoring!AG47="STRONG BUY",Scoring!AG47="BUY"),"PASS","FAIL"))</f>
        <v>PASS</v>
      </c>
      <c r="D47" s="142" t="str">
        <f aca="false">IF(Scoring!AH47="","",IF(Scoring!AH47="OK","PASS","FAIL"))</f>
        <v>PASS</v>
      </c>
      <c r="E47" s="142" t="str">
        <f aca="false">IF(Scoring!AI47="","",IF(Scoring!AI47="OK","PASS","FAIL — mandatory review required"))</f>
        <v>PASS</v>
      </c>
      <c r="F47" s="142" t="s">
        <v>224</v>
      </c>
      <c r="G47" s="142" t="s">
        <v>224</v>
      </c>
      <c r="H47" s="143" t="str">
        <f aca="false">IF(OR(F47="",G47=""),"",IF(AND(F47="Y",G47="Y"),"Standard initial size","50% of normal initial size + 90-day technical review"))</f>
        <v>50% of normal initial size + 90-day technical review</v>
      </c>
      <c r="I47" s="142" t="s">
        <v>224</v>
      </c>
      <c r="J47" s="142"/>
      <c r="K47" s="144" t="str">
        <f aca="false">IF(I47="","",IF(I47="N","PASS",IF(J47="Y","PASS — risk documented in thesis","FAIL — undocumented binary risk")))</f>
        <v>PASS</v>
      </c>
      <c r="L47" s="142" t="str">
        <f aca="false">IF('Implied-Return Calculator'!S48="","",'Implied-Return Calculator'!S48)</f>
        <v>PASS</v>
      </c>
      <c r="M47" s="142" t="str">
        <f aca="false">IF('Implied-Return Calculator'!T48="","",'Implied-Return Calculator'!T48)</f>
        <v>PASS</v>
      </c>
      <c r="N47" s="142" t="str">
        <f aca="false">IF('Implied-Return Calculator'!U48="","",'Implied-Return Calculator'!U48)</f>
        <v>OK</v>
      </c>
      <c r="O47" s="142" t="n">
        <v>37.8</v>
      </c>
      <c r="P47" s="142" t="n">
        <v>0.15</v>
      </c>
      <c r="Q47" s="144" t="str">
        <f aca="false">IF(OR(O47="",P47=""),"",IF(O47&lt;=50,"PASS — within ceiling",IF(AND(P47&gt;0.3,M47="PASS"),"PASS — growth+bear case exception met","FAIL — exceeds 50x, exception not met")))</f>
        <v>PASS — within ceiling</v>
      </c>
      <c r="R47" s="143" t="str">
        <f aca="false">IF(OR(C47="",D47="",E47="",K47="",L47="",M47="",N47="",Q47=""),"",IF(AND(C47="PASS",D47="PASS",LEFT(E47,4)="PASS",LEFT(K47,4)="PASS",L47="PASS",M47="PASS",N47="OK",LEFT(Q47,4)="PASS"),"YES","NO — see failing rule(s)"))</f>
        <v>YES</v>
      </c>
      <c r="S47" s="143" t="str">
        <f aca="false">IF(R47="","",IF(R47="YES","Initiate: "&amp;H47,"DO NOT ENTER — resolve failing Entry Rule(s) above first"))</f>
        <v>Initiate: 50% of normal initial size + 90-day technical review</v>
      </c>
    </row>
    <row r="48" customFormat="false" ht="15" hidden="false" customHeight="true" outlineLevel="0" collapsed="false">
      <c r="A48" s="142" t="str">
        <f aca="false">IF(Scoring!A48="","",Scoring!A48)</f>
        <v>KGS</v>
      </c>
      <c r="B48" s="143" t="str">
        <f aca="false">IF(Scoring!B48="","",Scoring!B48)</f>
        <v>Kodiak Gas Services, Inc.</v>
      </c>
      <c r="C48" s="142" t="str">
        <f aca="false">IF(Scoring!AG48="","",IF(OR(Scoring!AG48="STRONG BUY",Scoring!AG48="BUY"),"PASS","FAIL"))</f>
        <v/>
      </c>
      <c r="D48" s="142" t="str">
        <f aca="false">IF(Scoring!AH48="","",IF(Scoring!AH48="OK","PASS","FAIL"))</f>
        <v>PASS</v>
      </c>
      <c r="E48" s="142" t="str">
        <f aca="false">IF(Scoring!AI48="","",IF(Scoring!AI48="OK","PASS","FAIL — mandatory review required"))</f>
        <v>PASS</v>
      </c>
      <c r="F48" s="142"/>
      <c r="G48" s="142"/>
      <c r="H48" s="143" t="str">
        <f aca="false">IF(OR(F48="",G48=""),"",IF(AND(F48="Y",G48="Y"),"Standard initial size","50% of normal initial size + 90-day technical review"))</f>
        <v/>
      </c>
      <c r="I48" s="142"/>
      <c r="J48" s="142"/>
      <c r="K48" s="144" t="str">
        <f aca="false">IF(I48="","",IF(I48="N","PASS",IF(J48="Y","PASS — risk documented in thesis","FAIL — undocumented binary risk")))</f>
        <v/>
      </c>
      <c r="L48" s="142" t="str">
        <f aca="false">IF('Implied-Return Calculator'!S49="","",'Implied-Return Calculator'!S49)</f>
        <v/>
      </c>
      <c r="M48" s="142" t="str">
        <f aca="false">IF('Implied-Return Calculator'!T49="","",'Implied-Return Calculator'!T49)</f>
        <v/>
      </c>
      <c r="N48" s="142" t="str">
        <f aca="false">IF('Implied-Return Calculator'!U49="","",'Implied-Return Calculator'!U49)</f>
        <v/>
      </c>
      <c r="O48" s="142"/>
      <c r="P48" s="142"/>
      <c r="Q48" s="144" t="str">
        <f aca="false">IF(OR(O48="",P48=""),"",IF(O48&lt;=50,"PASS — within ceiling",IF(AND(P48&gt;0.3,M48="PASS"),"PASS — growth+bear case exception met","FAIL — exceeds 50x, exception not met")))</f>
        <v/>
      </c>
      <c r="R48" s="143" t="str">
        <f aca="false">IF(OR(C48="",D48="",E48="",K48="",L48="",M48="",N48="",Q48=""),"",IF(AND(C48="PASS",D48="PASS",LEFT(E48,4)="PASS",LEFT(K48,4)="PASS",L48="PASS",M48="PASS",N48="OK",LEFT(Q48,4)="PASS"),"YES","NO — see failing rule(s)"))</f>
        <v/>
      </c>
      <c r="S48" s="143" t="str">
        <f aca="false">IF(R48="","",IF(R48="YES","Initiate: "&amp;H48,"DO NOT ENTER — resolve failing Entry Rule(s) above first"))</f>
        <v/>
      </c>
    </row>
    <row r="49" customFormat="false" ht="15" hidden="false" customHeight="true" outlineLevel="0" collapsed="false">
      <c r="A49" s="142" t="str">
        <f aca="false">IF(Scoring!A49="","",Scoring!A49)</f>
        <v>ABT</v>
      </c>
      <c r="B49" s="143" t="str">
        <f aca="false">IF(Scoring!B49="","",Scoring!B49)</f>
        <v>Abbott Laboratories</v>
      </c>
      <c r="C49" s="142" t="str">
        <f aca="false">IF(Scoring!AG49="","",IF(OR(Scoring!AG49="STRONG BUY",Scoring!AG49="BUY"),"PASS","FAIL"))</f>
        <v>PASS</v>
      </c>
      <c r="D49" s="142" t="str">
        <f aca="false">IF(Scoring!AH49="","",IF(Scoring!AH49="OK","PASS","FAIL"))</f>
        <v>PASS</v>
      </c>
      <c r="E49" s="142" t="str">
        <f aca="false">IF(Scoring!AI49="","",IF(Scoring!AI49="OK","PASS","FAIL — mandatory review required"))</f>
        <v>PASS</v>
      </c>
      <c r="F49" s="142"/>
      <c r="G49" s="142"/>
      <c r="H49" s="143" t="str">
        <f aca="false">IF(OR(F49="",G49=""),"",IF(AND(F49="Y",G49="Y"),"Standard initial size","50% of normal initial size + 90-day technical review"))</f>
        <v/>
      </c>
      <c r="I49" s="142"/>
      <c r="J49" s="142"/>
      <c r="K49" s="144" t="str">
        <f aca="false">IF(I49="","",IF(I49="N","PASS",IF(J49="Y","PASS — risk documented in thesis","FAIL — undocumented binary risk")))</f>
        <v/>
      </c>
      <c r="L49" s="142" t="str">
        <f aca="false">IF('Implied-Return Calculator'!S50="","",'Implied-Return Calculator'!S50)</f>
        <v/>
      </c>
      <c r="M49" s="142" t="str">
        <f aca="false">IF('Implied-Return Calculator'!T50="","",'Implied-Return Calculator'!T50)</f>
        <v/>
      </c>
      <c r="N49" s="142" t="str">
        <f aca="false">IF('Implied-Return Calculator'!U50="","",'Implied-Return Calculator'!U50)</f>
        <v/>
      </c>
      <c r="O49" s="142"/>
      <c r="P49" s="142"/>
      <c r="Q49" s="144" t="str">
        <f aca="false">IF(OR(O49="",P49=""),"",IF(O49&lt;=50,"PASS — within ceiling",IF(AND(P49&gt;0.3,M49="PASS"),"PASS — growth+bear case exception met","FAIL — exceeds 50x, exception not met")))</f>
        <v/>
      </c>
      <c r="R49" s="143" t="str">
        <f aca="false">IF(OR(C49="",D49="",E49="",K49="",L49="",M49="",N49="",Q49=""),"",IF(AND(C49="PASS",D49="PASS",LEFT(E49,4)="PASS",LEFT(K49,4)="PASS",L49="PASS",M49="PASS",N49="OK",LEFT(Q49,4)="PASS"),"YES","NO — see failing rule(s)"))</f>
        <v/>
      </c>
      <c r="S49" s="143" t="str">
        <f aca="false">IF(R49="","",IF(R49="YES","Initiate: "&amp;H49,"DO NOT ENTER — resolve failing Entry Rule(s) above first"))</f>
        <v/>
      </c>
    </row>
    <row r="50" customFormat="false" ht="15" hidden="false" customHeight="true" outlineLevel="0" collapsed="false">
      <c r="A50" s="142" t="str">
        <f aca="false">IF(Scoring!A50="","",Scoring!A50)</f>
        <v>SLB</v>
      </c>
      <c r="B50" s="143" t="str">
        <f aca="false">IF(Scoring!B50="","",Scoring!B50)</f>
        <v>SLB N.V.</v>
      </c>
      <c r="C50" s="142" t="str">
        <f aca="false">IF(Scoring!AG50="","",IF(OR(Scoring!AG50="STRONG BUY",Scoring!AG50="BUY"),"PASS","FAIL"))</f>
        <v>PASS</v>
      </c>
      <c r="D50" s="142" t="str">
        <f aca="false">IF(Scoring!AH50="","",IF(Scoring!AH50="OK","PASS","FAIL"))</f>
        <v>PASS</v>
      </c>
      <c r="E50" s="142" t="str">
        <f aca="false">IF(Scoring!AI50="","",IF(Scoring!AI50="OK","PASS","FAIL — mandatory review required"))</f>
        <v>PASS</v>
      </c>
      <c r="F50" s="142" t="s">
        <v>222</v>
      </c>
      <c r="G50" s="142" t="s">
        <v>222</v>
      </c>
      <c r="H50" s="143" t="str">
        <f aca="false">IF(OR(F50="",G50=""),"",IF(AND(F50="Y",G50="Y"),"Standard initial size","50% of normal initial size + 90-day technical review"))</f>
        <v>Standard initial size</v>
      </c>
      <c r="I50" s="142" t="s">
        <v>224</v>
      </c>
      <c r="J50" s="142"/>
      <c r="K50" s="144" t="str">
        <f aca="false">IF(I50="","",IF(I50="N","PASS",IF(J50="Y","PASS — risk documented in thesis","FAIL — undocumented binary risk")))</f>
        <v>PASS</v>
      </c>
      <c r="L50" s="142" t="str">
        <f aca="false">IF('Implied-Return Calculator'!S51="","",'Implied-Return Calculator'!S51)</f>
        <v>FAIL</v>
      </c>
      <c r="M50" s="142" t="str">
        <f aca="false">IF('Implied-Return Calculator'!T51="","",'Implied-Return Calculator'!T51)</f>
        <v>FAIL</v>
      </c>
      <c r="N50" s="142" t="str">
        <f aca="false">IF('Implied-Return Calculator'!U51="","",'Implied-Return Calculator'!U51)</f>
        <v>OK</v>
      </c>
      <c r="O50" s="142" t="n">
        <v>17.7</v>
      </c>
      <c r="P50" s="142" t="n">
        <v>0.047</v>
      </c>
      <c r="Q50" s="144" t="str">
        <f aca="false">IF(OR(O50="",P50=""),"",IF(O50&lt;=50,"PASS — within ceiling",IF(AND(P50&gt;0.3,M50="PASS"),"PASS — growth+bear case exception met","FAIL — exceeds 50x, exception not met")))</f>
        <v>PASS — within ceiling</v>
      </c>
      <c r="R50" s="143" t="str">
        <f aca="false">IF(OR(C50="",D50="",E50="",K50="",L50="",M50="",N50="",Q50=""),"",IF(AND(C50="PASS",D50="PASS",LEFT(E50,4)="PASS",LEFT(K50,4)="PASS",L50="PASS",M50="PASS",N50="OK",LEFT(Q50,4)="PASS"),"YES","NO — see failing rule(s)"))</f>
        <v>NO — see failing rule(s)</v>
      </c>
      <c r="S50" s="143" t="str">
        <f aca="false">IF(R50="","",IF(R50="YES","Initiate: "&amp;H50,"DO NOT ENTER — resolve failing Entry Rule(s) above first"))</f>
        <v>DO NOT ENTER — resolve failing Entry Rule(s) above first</v>
      </c>
    </row>
    <row r="51" customFormat="false" ht="15" hidden="false" customHeight="true" outlineLevel="0" collapsed="false">
      <c r="A51" s="142" t="str">
        <f aca="false">IF(Scoring!A51="","",Scoring!A51)</f>
        <v>VEEV</v>
      </c>
      <c r="B51" s="143" t="str">
        <f aca="false">IF(Scoring!B51="","",Scoring!B51)</f>
        <v>Veeva Systems Inc.</v>
      </c>
      <c r="C51" s="142" t="str">
        <f aca="false">IF(Scoring!AG51="","",IF(OR(Scoring!AG51="STRONG BUY",Scoring!AG51="BUY"),"PASS","FAIL"))</f>
        <v>PASS</v>
      </c>
      <c r="D51" s="142" t="str">
        <f aca="false">IF(Scoring!AH51="","",IF(Scoring!AH51="OK","PASS","FAIL"))</f>
        <v>PASS</v>
      </c>
      <c r="E51" s="142" t="str">
        <f aca="false">IF(Scoring!AI51="","",IF(Scoring!AI51="OK","PASS","FAIL — mandatory review required"))</f>
        <v>PASS</v>
      </c>
      <c r="F51" s="142" t="s">
        <v>222</v>
      </c>
      <c r="G51" s="142" t="s">
        <v>222</v>
      </c>
      <c r="H51" s="143" t="str">
        <f aca="false">IF(OR(F51="",G51=""),"",IF(AND(F51="Y",G51="Y"),"Standard initial size","50% of normal initial size + 90-day technical review"))</f>
        <v>Standard initial size</v>
      </c>
      <c r="I51" s="142" t="s">
        <v>224</v>
      </c>
      <c r="J51" s="142"/>
      <c r="K51" s="144" t="str">
        <f aca="false">IF(I51="","",IF(I51="N","PASS",IF(J51="Y","PASS — risk documented in thesis","FAIL — undocumented binary risk")))</f>
        <v>PASS</v>
      </c>
      <c r="L51" s="142" t="str">
        <f aca="false">IF('Implied-Return Calculator'!S52="","",'Implied-Return Calculator'!S52)</f>
        <v>PASS</v>
      </c>
      <c r="M51" s="142" t="str">
        <f aca="false">IF('Implied-Return Calculator'!T52="","",'Implied-Return Calculator'!T52)</f>
        <v>PASS</v>
      </c>
      <c r="N51" s="142" t="str">
        <f aca="false">IF('Implied-Return Calculator'!U52="","",'Implied-Return Calculator'!U52)</f>
        <v>OK</v>
      </c>
      <c r="O51" s="142" t="n">
        <v>40.4</v>
      </c>
      <c r="P51" s="142" t="n">
        <v>0.125</v>
      </c>
      <c r="Q51" s="144" t="str">
        <f aca="false">IF(OR(O51="",P51=""),"",IF(O51&lt;=50,"PASS — within ceiling",IF(AND(P51&gt;0.3,M51="PASS"),"PASS — growth+bear case exception met","FAIL — exceeds 50x, exception not met")))</f>
        <v>PASS — within ceiling</v>
      </c>
      <c r="R51" s="143" t="str">
        <f aca="false">IF(OR(C51="",D51="",E51="",K51="",L51="",M51="",N51="",Q51=""),"",IF(AND(C51="PASS",D51="PASS",LEFT(E51,4)="PASS",LEFT(K51,4)="PASS",L51="PASS",M51="PASS",N51="OK",LEFT(Q51,4)="PASS"),"YES","NO — see failing rule(s)"))</f>
        <v>YES</v>
      </c>
      <c r="S51" s="143" t="str">
        <f aca="false">IF(R51="","",IF(R51="YES","Initiate: "&amp;H51,"DO NOT ENTER — resolve failing Entry Rule(s) above first"))</f>
        <v>Initiate: Standard initial size</v>
      </c>
    </row>
    <row r="52" customFormat="false" ht="15" hidden="false" customHeight="true" outlineLevel="0" collapsed="false">
      <c r="K52" s="145"/>
      <c r="Q52" s="145"/>
    </row>
    <row r="53" customFormat="false" ht="15" hidden="false" customHeight="true" outlineLevel="0" collapsed="false">
      <c r="K53" s="145"/>
      <c r="Q53" s="145"/>
    </row>
    <row r="54" customFormat="false" ht="15" hidden="false" customHeight="true" outlineLevel="0" collapsed="false">
      <c r="K54" s="145"/>
      <c r="Q54" s="145"/>
    </row>
    <row r="55" customFormat="false" ht="15" hidden="false" customHeight="true" outlineLevel="0" collapsed="false">
      <c r="K55" s="145"/>
      <c r="Q55" s="145"/>
    </row>
    <row r="56" customFormat="false" ht="15" hidden="false" customHeight="true" outlineLevel="0" collapsed="false">
      <c r="K56" s="145"/>
      <c r="Q56" s="145"/>
    </row>
    <row r="57" customFormat="false" ht="15" hidden="false" customHeight="true" outlineLevel="0" collapsed="false">
      <c r="K57" s="145"/>
      <c r="Q57" s="145"/>
    </row>
    <row r="58" customFormat="false" ht="15" hidden="false" customHeight="true" outlineLevel="0" collapsed="false">
      <c r="K58" s="145"/>
      <c r="Q58" s="145"/>
    </row>
    <row r="59" customFormat="false" ht="15" hidden="false" customHeight="true" outlineLevel="0" collapsed="false">
      <c r="K59" s="145"/>
      <c r="Q59" s="145"/>
    </row>
    <row r="60" customFormat="false" ht="15" hidden="false" customHeight="true" outlineLevel="0" collapsed="false">
      <c r="K60" s="145"/>
      <c r="Q60" s="145"/>
    </row>
    <row r="61" customFormat="false" ht="15" hidden="false" customHeight="true" outlineLevel="0" collapsed="false">
      <c r="K61" s="145"/>
      <c r="Q61" s="145"/>
    </row>
    <row r="62" customFormat="false" ht="15" hidden="false" customHeight="true" outlineLevel="0" collapsed="false">
      <c r="K62" s="145"/>
      <c r="Q62" s="145"/>
    </row>
    <row r="63" customFormat="false" ht="15" hidden="false" customHeight="true" outlineLevel="0" collapsed="false">
      <c r="K63" s="145"/>
      <c r="Q63" s="145"/>
    </row>
    <row r="64" customFormat="false" ht="15" hidden="false" customHeight="true" outlineLevel="0" collapsed="false">
      <c r="K64" s="145"/>
      <c r="Q64" s="145"/>
    </row>
    <row r="65" customFormat="false" ht="15" hidden="false" customHeight="true" outlineLevel="0" collapsed="false">
      <c r="K65" s="145"/>
      <c r="Q65" s="145"/>
    </row>
    <row r="66" customFormat="false" ht="15" hidden="false" customHeight="true" outlineLevel="0" collapsed="false">
      <c r="K66" s="145"/>
      <c r="Q66" s="145"/>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6" t="s">
        <v>443</v>
      </c>
      <c r="B1" s="146"/>
      <c r="C1" s="146"/>
      <c r="D1" s="146"/>
      <c r="E1" s="146"/>
      <c r="F1" s="146"/>
      <c r="G1" s="146"/>
      <c r="H1" s="146"/>
      <c r="I1" s="146"/>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7" t="n">
        <v>97.5</v>
      </c>
      <c r="D3" s="130" t="n">
        <v>8644982</v>
      </c>
      <c r="E3" s="148" t="n">
        <v>168712.372224</v>
      </c>
      <c r="F3" s="149" t="n">
        <v>31.451614</v>
      </c>
      <c r="G3" s="147" t="n">
        <v>81.97</v>
      </c>
      <c r="H3" s="147" t="n">
        <v>135.24</v>
      </c>
      <c r="I3" s="132" t="n">
        <v>2.58</v>
      </c>
    </row>
    <row r="4" customFormat="false" ht="15" hidden="false" customHeight="true" outlineLevel="0" collapsed="false">
      <c r="A4" s="125" t="s">
        <v>96</v>
      </c>
      <c r="B4" s="123" t="s">
        <v>97</v>
      </c>
      <c r="C4" s="147" t="n">
        <v>237.69</v>
      </c>
      <c r="D4" s="130" t="n">
        <v>3115208</v>
      </c>
      <c r="E4" s="148" t="n">
        <v>92508.946432</v>
      </c>
      <c r="F4" s="149" t="n">
        <v>13.263951</v>
      </c>
      <c r="G4" s="147" t="n">
        <v>190.12</v>
      </c>
      <c r="H4" s="147" t="n">
        <v>363.7</v>
      </c>
      <c r="I4" s="132"/>
    </row>
    <row r="5" customFormat="false" ht="15" hidden="false" customHeight="true" outlineLevel="0" collapsed="false">
      <c r="A5" s="125" t="s">
        <v>101</v>
      </c>
      <c r="B5" s="123" t="s">
        <v>102</v>
      </c>
      <c r="C5" s="147" t="n">
        <v>207.35</v>
      </c>
      <c r="D5" s="130" t="n">
        <v>4113045</v>
      </c>
      <c r="E5" s="148" t="n">
        <v>261514.952704</v>
      </c>
      <c r="F5" s="149" t="n">
        <v>65.82539</v>
      </c>
      <c r="G5" s="147" t="n">
        <v>114.52</v>
      </c>
      <c r="H5" s="147" t="n">
        <v>214.89</v>
      </c>
      <c r="I5" s="132"/>
    </row>
    <row r="6" customFormat="false" ht="15" hidden="false" customHeight="true" outlineLevel="0" collapsed="false">
      <c r="A6" s="125" t="s">
        <v>103</v>
      </c>
      <c r="B6" s="123" t="s">
        <v>104</v>
      </c>
      <c r="C6" s="147" t="n">
        <v>1867.31</v>
      </c>
      <c r="D6" s="130" t="n">
        <v>1345027</v>
      </c>
      <c r="E6" s="148" t="n">
        <v>717233.782784</v>
      </c>
      <c r="F6" s="149" t="n">
        <v>64.92733</v>
      </c>
      <c r="G6" s="147" t="n">
        <v>935.41</v>
      </c>
      <c r="H6" s="147" t="n">
        <v>1999.96</v>
      </c>
      <c r="I6" s="132" t="n">
        <v>0.49</v>
      </c>
    </row>
    <row r="7" customFormat="false" ht="15" hidden="false" customHeight="true" outlineLevel="0" collapsed="false">
      <c r="A7" s="125" t="s">
        <v>172</v>
      </c>
      <c r="B7" s="123" t="s">
        <v>173</v>
      </c>
      <c r="C7" s="147" t="n">
        <v>355.14</v>
      </c>
      <c r="D7" s="130" t="n">
        <v>24639562</v>
      </c>
      <c r="E7" s="148" t="n">
        <v>1695307.005952</v>
      </c>
      <c r="F7" s="149" t="n">
        <v>45.24077</v>
      </c>
      <c r="G7" s="147" t="n">
        <v>289.96</v>
      </c>
      <c r="H7" s="147" t="n">
        <v>495</v>
      </c>
      <c r="I7" s="132" t="n">
        <v>0.73</v>
      </c>
    </row>
    <row r="8" customFormat="false" ht="15" hidden="false" customHeight="true" outlineLevel="0" collapsed="false">
      <c r="A8" s="125" t="s">
        <v>163</v>
      </c>
      <c r="B8" s="123" t="s">
        <v>164</v>
      </c>
      <c r="C8" s="147" t="n">
        <v>120.03</v>
      </c>
      <c r="D8" s="130" t="n">
        <v>1577333</v>
      </c>
      <c r="E8" s="148"/>
      <c r="F8" s="149" t="n">
        <v>11.920055</v>
      </c>
      <c r="G8" s="147" t="n">
        <v>93.87</v>
      </c>
      <c r="H8" s="147" t="n">
        <v>129.05</v>
      </c>
      <c r="I8" s="132" t="n">
        <v>1.25</v>
      </c>
    </row>
    <row r="9" customFormat="false" ht="15" hidden="false" customHeight="true" outlineLevel="0" collapsed="false">
      <c r="A9" s="125" t="s">
        <v>242</v>
      </c>
      <c r="B9" s="123" t="s">
        <v>398</v>
      </c>
      <c r="C9" s="147" t="n">
        <v>32.36</v>
      </c>
      <c r="D9" s="130" t="n">
        <v>15057494</v>
      </c>
      <c r="E9" s="148" t="n">
        <v>40948.928512</v>
      </c>
      <c r="F9" s="149" t="n">
        <v>29.962963</v>
      </c>
      <c r="G9" s="147" t="n">
        <v>28.04</v>
      </c>
      <c r="H9" s="147" t="n">
        <v>42.82</v>
      </c>
      <c r="I9" s="132"/>
    </row>
    <row r="10" customFormat="false" ht="15" hidden="false" customHeight="true" outlineLevel="0" collapsed="false">
      <c r="A10" s="125" t="s">
        <v>244</v>
      </c>
      <c r="B10" s="123" t="s">
        <v>369</v>
      </c>
      <c r="C10" s="147" t="n">
        <v>920.65</v>
      </c>
      <c r="D10" s="130" t="n">
        <v>2025566</v>
      </c>
      <c r="E10" s="148" t="n">
        <v>408092.83584</v>
      </c>
      <c r="F10" s="149" t="n">
        <v>44.454372</v>
      </c>
      <c r="G10" s="147" t="n">
        <v>844.06</v>
      </c>
      <c r="H10" s="147" t="n">
        <v>1096.5</v>
      </c>
      <c r="I10" s="132" t="n">
        <v>0.64</v>
      </c>
    </row>
    <row r="11" customFormat="false" ht="15" hidden="false" customHeight="true" outlineLevel="0" collapsed="false">
      <c r="A11" s="125" t="s">
        <v>105</v>
      </c>
      <c r="B11" s="123" t="s">
        <v>106</v>
      </c>
      <c r="C11" s="147" t="n">
        <v>270.04</v>
      </c>
      <c r="D11" s="130" t="n">
        <v>5857040</v>
      </c>
      <c r="E11" s="148" t="n">
        <v>276503.363584</v>
      </c>
      <c r="F11" s="149" t="n">
        <v>4500.667</v>
      </c>
      <c r="G11" s="147" t="n">
        <v>85.68</v>
      </c>
      <c r="H11" s="147" t="n">
        <v>273.5351</v>
      </c>
      <c r="I11" s="132"/>
    </row>
    <row r="12" customFormat="false" ht="15" hidden="false" customHeight="true" outlineLevel="0" collapsed="false">
      <c r="A12" s="125" t="s">
        <v>249</v>
      </c>
      <c r="B12" s="123" t="s">
        <v>400</v>
      </c>
      <c r="C12" s="147" t="n">
        <v>297.615</v>
      </c>
      <c r="D12" s="130" t="n">
        <v>579133</v>
      </c>
      <c r="E12" s="148" t="n">
        <v>9845.620736</v>
      </c>
      <c r="F12" s="149" t="n">
        <v>16.86204</v>
      </c>
      <c r="G12" s="147" t="n">
        <v>282</v>
      </c>
      <c r="H12" s="147" t="n">
        <v>442.35</v>
      </c>
      <c r="I12" s="132" t="n">
        <v>2.67</v>
      </c>
    </row>
    <row r="13" customFormat="false" ht="15" hidden="false" customHeight="true" outlineLevel="0" collapsed="false">
      <c r="A13" s="125" t="s">
        <v>128</v>
      </c>
      <c r="B13" s="123" t="s">
        <v>129</v>
      </c>
      <c r="C13" s="147" t="n">
        <v>153.05</v>
      </c>
      <c r="D13" s="130" t="n">
        <v>307298</v>
      </c>
      <c r="E13" s="148"/>
      <c r="F13" s="149" t="n">
        <v>14.554879</v>
      </c>
      <c r="G13" s="147" t="n">
        <v>137.16</v>
      </c>
      <c r="H13" s="147" t="n">
        <v>167.06</v>
      </c>
      <c r="I13" s="132" t="n">
        <v>3.24</v>
      </c>
    </row>
    <row r="14" customFormat="false" ht="15" hidden="false" customHeight="true" outlineLevel="0" collapsed="false">
      <c r="A14" s="125" t="s">
        <v>252</v>
      </c>
      <c r="B14" s="123" t="s">
        <v>379</v>
      </c>
      <c r="C14" s="147" t="n">
        <v>20.47</v>
      </c>
      <c r="D14" s="130" t="n">
        <v>11114908</v>
      </c>
      <c r="E14" s="148" t="n">
        <v>70484.33664</v>
      </c>
      <c r="F14" s="149" t="n">
        <v>14.020547</v>
      </c>
      <c r="G14" s="147" t="n">
        <v>16.18</v>
      </c>
      <c r="H14" s="147" t="n">
        <v>21.84</v>
      </c>
      <c r="I14" s="132" t="n">
        <v>6.64</v>
      </c>
    </row>
    <row r="15" customFormat="false" ht="15" hidden="false" customHeight="true" outlineLevel="0" collapsed="false">
      <c r="A15" s="125" t="s">
        <v>254</v>
      </c>
      <c r="B15" s="123" t="s">
        <v>415</v>
      </c>
      <c r="C15" s="147" t="n">
        <v>436.11</v>
      </c>
      <c r="D15" s="130" t="n">
        <v>2088721</v>
      </c>
      <c r="E15" s="148" t="n">
        <v>169385.115648</v>
      </c>
      <c r="F15" s="149" t="n">
        <v>44.455654</v>
      </c>
      <c r="G15" s="147" t="n">
        <v>311.92</v>
      </c>
      <c r="H15" s="147" t="n">
        <v>478</v>
      </c>
      <c r="I15" s="132" t="n">
        <v>1.01</v>
      </c>
    </row>
    <row r="16" customFormat="false" ht="15" hidden="false" customHeight="true" outlineLevel="0" collapsed="false">
      <c r="A16" s="125" t="s">
        <v>256</v>
      </c>
      <c r="B16" s="123" t="s">
        <v>411</v>
      </c>
      <c r="C16" s="147" t="n">
        <v>72.77</v>
      </c>
      <c r="D16" s="130" t="n">
        <v>1975132</v>
      </c>
      <c r="E16" s="148" t="n">
        <v>6678.957056</v>
      </c>
      <c r="F16" s="149" t="n">
        <v>23.028479</v>
      </c>
      <c r="G16" s="147" t="n">
        <v>44</v>
      </c>
      <c r="H16" s="147" t="n">
        <v>87.974</v>
      </c>
      <c r="I16" s="132"/>
    </row>
    <row r="17" customFormat="false" ht="15" hidden="false" customHeight="true" outlineLevel="0" collapsed="false">
      <c r="A17" s="125" t="s">
        <v>143</v>
      </c>
      <c r="B17" s="123" t="s">
        <v>144</v>
      </c>
      <c r="C17" s="147" t="n">
        <v>309.56</v>
      </c>
      <c r="D17" s="130" t="n">
        <v>4148627</v>
      </c>
      <c r="E17" s="148" t="n">
        <v>321187.84</v>
      </c>
      <c r="F17" s="149" t="n">
        <v>36.50472</v>
      </c>
      <c r="G17" s="147" t="n">
        <v>268.91</v>
      </c>
      <c r="H17" s="147" t="n">
        <v>388.84</v>
      </c>
      <c r="I17" s="132" t="n">
        <v>0.61</v>
      </c>
    </row>
    <row r="18" customFormat="false" ht="15" hidden="false" customHeight="true" outlineLevel="0" collapsed="false">
      <c r="A18" s="125" t="s">
        <v>169</v>
      </c>
      <c r="B18" s="123" t="s">
        <v>170</v>
      </c>
      <c r="C18" s="147" t="n">
        <v>69.42</v>
      </c>
      <c r="D18" s="130" t="n">
        <v>273443</v>
      </c>
      <c r="E18" s="148"/>
      <c r="F18" s="149" t="n">
        <v>24.468174</v>
      </c>
      <c r="G18" s="147" t="n">
        <v>63.24</v>
      </c>
      <c r="H18" s="147" t="n">
        <v>70.23</v>
      </c>
      <c r="I18" s="132" t="n">
        <v>0.62</v>
      </c>
    </row>
    <row r="19" customFormat="false" ht="15" hidden="false" customHeight="true" outlineLevel="0" collapsed="false">
      <c r="A19" s="125" t="s">
        <v>195</v>
      </c>
      <c r="B19" s="123" t="s">
        <v>196</v>
      </c>
      <c r="C19" s="147" t="n">
        <v>56.1</v>
      </c>
      <c r="D19" s="130" t="n">
        <v>4897921</v>
      </c>
      <c r="E19" s="148"/>
      <c r="F19" s="149" t="n">
        <v>24.939985</v>
      </c>
      <c r="G19" s="147" t="n">
        <v>55.1</v>
      </c>
      <c r="H19" s="147" t="n">
        <v>59.9</v>
      </c>
      <c r="I19" s="132" t="n">
        <v>7.97</v>
      </c>
    </row>
    <row r="20" customFormat="false" ht="15" hidden="false" customHeight="true" outlineLevel="0" collapsed="false">
      <c r="A20" s="125" t="s">
        <v>159</v>
      </c>
      <c r="B20" s="123" t="s">
        <v>160</v>
      </c>
      <c r="C20" s="147" t="n">
        <v>61.04</v>
      </c>
      <c r="D20" s="130" t="n">
        <v>7333590</v>
      </c>
      <c r="E20" s="148" t="n">
        <v>225986.3</v>
      </c>
      <c r="F20" s="149" t="n">
        <v>29.525686</v>
      </c>
      <c r="G20" s="147" t="n">
        <v>53.51</v>
      </c>
      <c r="H20" s="147" t="n">
        <v>61.72</v>
      </c>
      <c r="I20" s="132" t="n">
        <v>10.84</v>
      </c>
    </row>
    <row r="21" customFormat="false" ht="15" hidden="false" customHeight="true" outlineLevel="0" collapsed="false">
      <c r="A21" s="125" t="s">
        <v>285</v>
      </c>
      <c r="B21" s="123" t="s">
        <v>419</v>
      </c>
      <c r="C21" s="147" t="n">
        <v>54.33</v>
      </c>
      <c r="D21" s="130" t="n">
        <v>1354391</v>
      </c>
      <c r="E21" s="148" t="n">
        <v>5492.982272</v>
      </c>
      <c r="F21" s="149" t="n">
        <v>61.73864</v>
      </c>
      <c r="G21" s="147" t="n">
        <v>32.55</v>
      </c>
      <c r="H21" s="147" t="n">
        <v>77.68</v>
      </c>
      <c r="I21" s="132" t="n">
        <v>3.61</v>
      </c>
    </row>
    <row r="22" customFormat="false" ht="15" hidden="false" customHeight="true" outlineLevel="0" collapsed="false">
      <c r="A22" s="125" t="s">
        <v>107</v>
      </c>
      <c r="B22" s="123" t="s">
        <v>108</v>
      </c>
      <c r="C22" s="147" t="n">
        <v>206.89</v>
      </c>
      <c r="D22" s="130" t="n">
        <v>7356292</v>
      </c>
      <c r="E22" s="148" t="n">
        <v>269992.787968</v>
      </c>
      <c r="F22" s="149" t="n">
        <v>56.52732</v>
      </c>
      <c r="G22" s="147" t="n">
        <v>98.097</v>
      </c>
      <c r="H22" s="147" t="n">
        <v>307.37</v>
      </c>
      <c r="I22" s="132" t="n">
        <v>0.44</v>
      </c>
    </row>
    <row r="23" customFormat="false" ht="15" hidden="false" customHeight="true" outlineLevel="0" collapsed="false">
      <c r="A23" s="125" t="s">
        <v>262</v>
      </c>
      <c r="B23" s="123" t="s">
        <v>389</v>
      </c>
      <c r="C23" s="147" t="n">
        <v>479.48</v>
      </c>
      <c r="D23" s="130" t="n">
        <v>2534284</v>
      </c>
      <c r="E23" s="148" t="n">
        <v>221030.776832</v>
      </c>
      <c r="F23" s="149" t="n">
        <v>30.954165</v>
      </c>
      <c r="G23" s="147" t="n">
        <v>387.78</v>
      </c>
      <c r="H23" s="147" t="n">
        <v>548.2</v>
      </c>
      <c r="I23" s="132" t="n">
        <v>1.33</v>
      </c>
    </row>
    <row r="24" customFormat="false" ht="15" hidden="false" customHeight="true" outlineLevel="0" collapsed="false">
      <c r="A24" s="125" t="s">
        <v>138</v>
      </c>
      <c r="B24" s="123" t="s">
        <v>139</v>
      </c>
      <c r="C24" s="147" t="n">
        <v>51.17</v>
      </c>
      <c r="D24" s="130" t="n">
        <v>347350</v>
      </c>
      <c r="E24" s="148"/>
      <c r="F24" s="149" t="n">
        <v>17.65314</v>
      </c>
      <c r="G24" s="147" t="n">
        <v>49.15</v>
      </c>
      <c r="H24" s="147" t="n">
        <v>58.47</v>
      </c>
      <c r="I24" s="132"/>
    </row>
    <row r="25" customFormat="false" ht="15" hidden="false" customHeight="true" outlineLevel="0" collapsed="false">
      <c r="A25" s="125" t="s">
        <v>109</v>
      </c>
      <c r="B25" s="123" t="s">
        <v>110</v>
      </c>
      <c r="C25" s="147" t="n">
        <v>1074.89</v>
      </c>
      <c r="D25" s="130" t="n">
        <v>27337514</v>
      </c>
      <c r="E25" s="148" t="n">
        <v>1213973.397504</v>
      </c>
      <c r="F25" s="149" t="n">
        <v>14.461052</v>
      </c>
      <c r="G25" s="147" t="n">
        <v>179.61</v>
      </c>
      <c r="H25" s="147" t="n">
        <v>1255</v>
      </c>
      <c r="I25" s="132" t="n">
        <v>0.06</v>
      </c>
    </row>
    <row r="26" customFormat="false" ht="15" hidden="false" customHeight="true" outlineLevel="0" collapsed="false">
      <c r="A26" s="125" t="s">
        <v>146</v>
      </c>
      <c r="B26" s="123" t="s">
        <v>147</v>
      </c>
      <c r="C26" s="147" t="n">
        <v>67.06</v>
      </c>
      <c r="D26" s="130" t="n">
        <v>38672123</v>
      </c>
      <c r="E26" s="148" t="n">
        <v>279233.789952</v>
      </c>
      <c r="F26" s="149" t="n">
        <v>21.088049</v>
      </c>
      <c r="G26" s="147" t="n">
        <v>65.08</v>
      </c>
      <c r="H26" s="147" t="n">
        <v>124.86</v>
      </c>
      <c r="I26" s="132"/>
    </row>
    <row r="27" customFormat="false" ht="15" hidden="false" customHeight="true" outlineLevel="0" collapsed="false">
      <c r="A27" s="125" t="s">
        <v>111</v>
      </c>
      <c r="B27" s="123" t="s">
        <v>112</v>
      </c>
      <c r="C27" s="147" t="n">
        <v>233.95</v>
      </c>
      <c r="D27" s="130" t="n">
        <v>135167817</v>
      </c>
      <c r="E27" s="148" t="n">
        <v>5649190.617088</v>
      </c>
      <c r="F27" s="149" t="n">
        <v>29.576487</v>
      </c>
      <c r="G27" s="147" t="n">
        <v>164.27</v>
      </c>
      <c r="H27" s="147" t="n">
        <v>237.88</v>
      </c>
      <c r="I27" s="132" t="n">
        <v>0.43</v>
      </c>
    </row>
    <row r="28" customFormat="false" ht="15" hidden="false" customHeight="true" outlineLevel="0" collapsed="false">
      <c r="A28" s="125" t="s">
        <v>273</v>
      </c>
      <c r="B28" s="123" t="s">
        <v>397</v>
      </c>
      <c r="C28" s="147" t="n">
        <v>144.91</v>
      </c>
      <c r="D28" s="130" t="n">
        <v>6219527</v>
      </c>
      <c r="E28" s="148" t="n">
        <v>336578.47808</v>
      </c>
      <c r="F28" s="149" t="n">
        <v>21.889729</v>
      </c>
      <c r="G28" s="147" t="n">
        <v>137.62</v>
      </c>
      <c r="H28" s="147" t="n">
        <v>167.25</v>
      </c>
      <c r="I28" s="132" t="n">
        <v>3</v>
      </c>
    </row>
    <row r="29" customFormat="false" ht="15" hidden="false" customHeight="true" outlineLevel="0" collapsed="false">
      <c r="A29" s="125" t="s">
        <v>275</v>
      </c>
      <c r="B29" s="123" t="s">
        <v>413</v>
      </c>
      <c r="C29" s="147" t="n">
        <v>972.55</v>
      </c>
      <c r="D29" s="130" t="n">
        <v>343039</v>
      </c>
      <c r="E29" s="148" t="n">
        <v>122650.632192</v>
      </c>
      <c r="F29" s="149" t="n">
        <v>34.148525</v>
      </c>
      <c r="G29" s="147" t="n">
        <v>715.37</v>
      </c>
      <c r="H29" s="147" t="n">
        <v>1099.94</v>
      </c>
      <c r="I29" s="132" t="n">
        <v>0.82</v>
      </c>
    </row>
    <row r="30" customFormat="false" ht="15" hidden="false" customHeight="true" outlineLevel="0" collapsed="false">
      <c r="A30" s="125" t="s">
        <v>177</v>
      </c>
      <c r="B30" s="123" t="s">
        <v>355</v>
      </c>
      <c r="C30" s="147" t="n">
        <v>128.91</v>
      </c>
      <c r="D30" s="130" t="n">
        <v>3811300</v>
      </c>
      <c r="E30" s="148" t="n">
        <v>125312.303104</v>
      </c>
      <c r="F30" s="149" t="n">
        <v>28.646667</v>
      </c>
      <c r="G30" s="147" t="n">
        <v>111.03</v>
      </c>
      <c r="H30" s="147" t="n">
        <v>153.35</v>
      </c>
      <c r="I30" s="132" t="n">
        <v>3.32</v>
      </c>
    </row>
    <row r="31" customFormat="false" ht="15" hidden="false" customHeight="true" outlineLevel="0" collapsed="false">
      <c r="A31" s="125" t="s">
        <v>113</v>
      </c>
      <c r="B31" s="123" t="s">
        <v>114</v>
      </c>
      <c r="C31" s="147" t="n">
        <v>188.75</v>
      </c>
      <c r="D31" s="130" t="n">
        <v>17932108</v>
      </c>
      <c r="E31" s="148" t="n">
        <v>453577.27744</v>
      </c>
      <c r="F31" s="149" t="n">
        <v>161.3248</v>
      </c>
      <c r="G31" s="147" t="n">
        <v>106.37</v>
      </c>
      <c r="H31" s="147" t="n">
        <v>207.52</v>
      </c>
      <c r="I31" s="132"/>
    </row>
    <row r="32" customFormat="false" ht="15" hidden="false" customHeight="true" outlineLevel="0" collapsed="false">
      <c r="A32" s="125" t="s">
        <v>134</v>
      </c>
      <c r="B32" s="123" t="s">
        <v>135</v>
      </c>
      <c r="C32" s="147" t="n">
        <v>32.72</v>
      </c>
      <c r="D32" s="130" t="n">
        <v>20649814</v>
      </c>
      <c r="E32" s="148"/>
      <c r="F32" s="149" t="n">
        <v>18.057316</v>
      </c>
      <c r="G32" s="147" t="n">
        <v>26.32</v>
      </c>
      <c r="H32" s="147" t="n">
        <v>35.31</v>
      </c>
      <c r="I32" s="132" t="n">
        <v>3</v>
      </c>
    </row>
    <row r="33" customFormat="false" ht="15" hidden="false" customHeight="true" outlineLevel="0" collapsed="false">
      <c r="A33" s="125" t="s">
        <v>289</v>
      </c>
      <c r="B33" s="123" t="s">
        <v>422</v>
      </c>
      <c r="C33" s="147" t="n">
        <v>48.74</v>
      </c>
      <c r="D33" s="130" t="n">
        <v>11141176</v>
      </c>
      <c r="E33" s="148" t="n">
        <v>72337.145856</v>
      </c>
      <c r="F33" s="149" t="n">
        <v>23.775612</v>
      </c>
      <c r="G33" s="147" t="n">
        <v>31.64</v>
      </c>
      <c r="H33" s="147" t="n">
        <v>60.46</v>
      </c>
      <c r="I33" s="132" t="n">
        <v>2.42</v>
      </c>
    </row>
    <row r="34" customFormat="false" ht="15" hidden="false" customHeight="true" outlineLevel="0" collapsed="false">
      <c r="A34" s="125" t="s">
        <v>140</v>
      </c>
      <c r="B34" s="123" t="s">
        <v>141</v>
      </c>
      <c r="C34" s="147" t="n">
        <v>153.23</v>
      </c>
      <c r="D34" s="130" t="n">
        <v>2110789</v>
      </c>
      <c r="E34" s="148" t="n">
        <v>100824.6</v>
      </c>
      <c r="F34" s="149" t="n">
        <v>28.292862</v>
      </c>
      <c r="G34" s="147" t="n">
        <v>107.24</v>
      </c>
      <c r="H34" s="147" t="n">
        <v>162.3</v>
      </c>
      <c r="I34" s="132" t="n">
        <v>0.71</v>
      </c>
    </row>
    <row r="35" customFormat="false" ht="15" hidden="false" customHeight="true" outlineLevel="0" collapsed="false">
      <c r="A35" s="125" t="s">
        <v>115</v>
      </c>
      <c r="B35" s="123" t="s">
        <v>366</v>
      </c>
      <c r="C35" s="147" t="n">
        <v>472.78</v>
      </c>
      <c r="D35" s="130" t="n">
        <v>9722477</v>
      </c>
      <c r="E35" s="148" t="n">
        <v>2452061.159424</v>
      </c>
      <c r="F35" s="149" t="n">
        <v>35.334827</v>
      </c>
      <c r="G35" s="147" t="n">
        <v>266.82</v>
      </c>
      <c r="H35" s="147" t="n">
        <v>479</v>
      </c>
      <c r="I35" s="132" t="n">
        <v>0.8</v>
      </c>
    </row>
    <row r="36" customFormat="false" ht="15" hidden="false" customHeight="true" outlineLevel="0" collapsed="false">
      <c r="A36" s="125" t="s">
        <v>119</v>
      </c>
      <c r="B36" s="123" t="s">
        <v>120</v>
      </c>
      <c r="C36" s="147" t="n">
        <v>360.66</v>
      </c>
      <c r="D36" s="130" t="n">
        <v>3987848</v>
      </c>
      <c r="E36" s="148" t="n">
        <v>677086.953472</v>
      </c>
      <c r="F36" s="149" t="n">
        <v>30.668367</v>
      </c>
      <c r="G36" s="147" t="n">
        <v>293.89</v>
      </c>
      <c r="H36" s="147" t="n">
        <v>385.57</v>
      </c>
      <c r="I36" s="132" t="n">
        <v>0.74</v>
      </c>
    </row>
    <row r="37" customFormat="false" ht="15" hidden="false" customHeight="true" outlineLevel="0" collapsed="false">
      <c r="A37" s="125" t="s">
        <v>149</v>
      </c>
      <c r="B37" s="123" t="s">
        <v>423</v>
      </c>
      <c r="C37" s="147" t="n">
        <v>273.33</v>
      </c>
      <c r="D37" s="130" t="n">
        <v>1077706</v>
      </c>
      <c r="E37" s="148" t="n">
        <v>44254.543872</v>
      </c>
      <c r="F37" s="149" t="n">
        <v>44.808197</v>
      </c>
      <c r="G37" s="147" t="n">
        <v>148.05</v>
      </c>
      <c r="H37" s="147" t="n">
        <v>310.5</v>
      </c>
      <c r="I37" s="132"/>
    </row>
    <row r="38" customFormat="false" ht="15" hidden="false" customHeight="true" outlineLevel="0" collapsed="false">
      <c r="A38" s="125" t="s">
        <v>131</v>
      </c>
      <c r="B38" s="123" t="s">
        <v>132</v>
      </c>
      <c r="C38" s="147" t="n">
        <v>51.82</v>
      </c>
      <c r="D38" s="130" t="n">
        <v>3089053</v>
      </c>
      <c r="E38" s="148"/>
      <c r="F38" s="149" t="n">
        <v>16.458015</v>
      </c>
      <c r="G38" s="147" t="n">
        <v>36.56</v>
      </c>
      <c r="H38" s="147" t="n">
        <v>56.44</v>
      </c>
      <c r="I38" s="132" t="n">
        <v>1.01</v>
      </c>
    </row>
    <row r="39" customFormat="false" ht="15" hidden="false" customHeight="true" outlineLevel="0" collapsed="false">
      <c r="A39" s="125" t="s">
        <v>117</v>
      </c>
      <c r="B39" s="123" t="s">
        <v>118</v>
      </c>
      <c r="C39" s="147" t="n">
        <v>252.18</v>
      </c>
      <c r="D39" s="130" t="n">
        <v>3336969</v>
      </c>
      <c r="E39" s="148" t="n">
        <v>97086.308352</v>
      </c>
      <c r="F39" s="149" t="n">
        <v>57.183674</v>
      </c>
      <c r="G39" s="147" t="n">
        <v>147.82</v>
      </c>
      <c r="H39" s="147" t="n">
        <v>379.935</v>
      </c>
      <c r="I39" s="132" t="n">
        <v>0.1</v>
      </c>
    </row>
    <row r="40" customFormat="false" ht="15" hidden="false" customHeight="true" outlineLevel="0" collapsed="false">
      <c r="A40" s="125" t="s">
        <v>174</v>
      </c>
      <c r="B40" s="123" t="s">
        <v>175</v>
      </c>
      <c r="C40" s="147" t="n">
        <v>504.73</v>
      </c>
      <c r="D40" s="130" t="n">
        <v>939658</v>
      </c>
      <c r="E40" s="148" t="n">
        <v>127929.335808</v>
      </c>
      <c r="F40" s="149" t="n">
        <v>29.413172</v>
      </c>
      <c r="G40" s="147" t="n">
        <v>400.74</v>
      </c>
      <c r="H40" s="147" t="n">
        <v>560.25</v>
      </c>
      <c r="I40" s="132"/>
    </row>
    <row r="41" customFormat="false" ht="15" hidden="false" customHeight="true" outlineLevel="0" collapsed="false">
      <c r="A41" s="125" t="s">
        <v>136</v>
      </c>
      <c r="B41" s="123" t="s">
        <v>137</v>
      </c>
      <c r="C41" s="147" t="n">
        <v>156.46</v>
      </c>
      <c r="D41" s="130" t="n">
        <v>1229990</v>
      </c>
      <c r="E41" s="148"/>
      <c r="F41" s="149" t="n">
        <v>19.653795</v>
      </c>
      <c r="G41" s="147" t="n">
        <v>137.42</v>
      </c>
      <c r="H41" s="147" t="n">
        <v>167.61</v>
      </c>
      <c r="I41" s="132" t="n">
        <v>2.22</v>
      </c>
    </row>
    <row r="42" customFormat="false" ht="15" hidden="false" customHeight="true" outlineLevel="0" collapsed="false">
      <c r="A42" s="125" t="s">
        <v>283</v>
      </c>
      <c r="B42" s="123" t="s">
        <v>402</v>
      </c>
      <c r="C42" s="147" t="n">
        <v>136.12</v>
      </c>
      <c r="D42" s="130" t="n">
        <v>1751563</v>
      </c>
      <c r="E42" s="148" t="n">
        <v>37147.295744</v>
      </c>
      <c r="F42" s="149" t="n">
        <v>17.143576</v>
      </c>
      <c r="G42" s="147" t="n">
        <v>134.26</v>
      </c>
      <c r="H42" s="147" t="n">
        <v>170.14</v>
      </c>
      <c r="I42" s="132"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pane xSplit="1" ySplit="2" topLeftCell="B3" activePane="bottomRight" state="frozen"/>
      <selection pane="topLeft" activeCell="A199" activeCellId="0" sqref="A199"/>
      <selection pane="topRight" activeCell="B199" activeCellId="0" sqref="B199"/>
      <selection pane="bottomLeft" activeCell="A3" activeCellId="0" sqref="A3"/>
      <selection pane="bottomRigh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50" t="s">
        <v>451</v>
      </c>
      <c r="B1" s="150"/>
      <c r="C1" s="150"/>
      <c r="D1" s="150"/>
      <c r="E1" s="150"/>
      <c r="F1" s="150"/>
      <c r="G1" s="150"/>
      <c r="H1" s="150"/>
      <c r="I1" s="150"/>
      <c r="J1" s="150"/>
      <c r="K1" s="150"/>
      <c r="L1" s="150"/>
      <c r="M1" s="150"/>
      <c r="N1" s="150"/>
      <c r="O1" s="150"/>
      <c r="P1" s="150"/>
      <c r="Q1" s="150"/>
      <c r="R1" s="150"/>
      <c r="S1" s="150"/>
      <c r="T1" s="150"/>
      <c r="U1" s="150"/>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1" t="str">
        <f aca="false">'Price History'!V2</f>
        <v>V</v>
      </c>
      <c r="W2" s="152" t="s">
        <v>452</v>
      </c>
      <c r="X2" s="152" t="s">
        <v>453</v>
      </c>
      <c r="Y2" s="152" t="s">
        <v>454</v>
      </c>
      <c r="Z2" s="152" t="s">
        <v>455</v>
      </c>
      <c r="AA2" s="152" t="s">
        <v>456</v>
      </c>
      <c r="AB2" s="152" t="s">
        <v>457</v>
      </c>
      <c r="AC2" s="152" t="s">
        <v>458</v>
      </c>
      <c r="AD2" s="152" t="s">
        <v>459</v>
      </c>
      <c r="AE2" s="152" t="s">
        <v>460</v>
      </c>
      <c r="AF2" s="152" t="s">
        <v>461</v>
      </c>
      <c r="AG2" s="152" t="s">
        <v>462</v>
      </c>
      <c r="AH2" s="152" t="s">
        <v>463</v>
      </c>
      <c r="AI2" s="152" t="s">
        <v>464</v>
      </c>
      <c r="AJ2" s="152" t="s">
        <v>465</v>
      </c>
      <c r="AK2" s="152" t="s">
        <v>466</v>
      </c>
      <c r="AL2" s="152" t="s">
        <v>467</v>
      </c>
      <c r="AM2" s="152" t="s">
        <v>468</v>
      </c>
      <c r="AN2" s="152" t="s">
        <v>469</v>
      </c>
      <c r="AO2" s="151" t="s">
        <v>470</v>
      </c>
      <c r="AP2" s="151" t="str">
        <f aca="false">'Price History'!W2</f>
        <v>VYM</v>
      </c>
      <c r="AQ2" s="151" t="str">
        <f aca="false">'Price History'!X2</f>
        <v>MLPI</v>
      </c>
      <c r="AR2" s="151" t="str">
        <f aca="false">'Price History'!Y2</f>
        <v>JEPI</v>
      </c>
      <c r="AS2" s="151" t="str">
        <f aca="false">'Price History'!Z2</f>
        <v>GE</v>
      </c>
      <c r="AT2" s="151" t="str">
        <f aca="false">'Price History'!AA2</f>
        <v>NFLX</v>
      </c>
      <c r="AU2" s="151" t="str">
        <f aca="false">'Price History'!AB2</f>
        <v>VEEV</v>
      </c>
    </row>
    <row r="3" customFormat="false" ht="15" hidden="false" customHeight="true" outlineLevel="0" collapsed="false">
      <c r="A3" s="153" t="n">
        <f aca="false">IF('Price History'!A4="","",'Price History'!A4)</f>
        <v>45191</v>
      </c>
      <c r="B3" s="154" t="n">
        <f aca="false">IFERROR(IF(OR(NOT(ISNUMBER('Price History'!B4)),NOT(ISNUMBER('Price History'!B3)),'Price History'!B3=0),"",'Price History'!B4/'Price History'!B3-1),"")</f>
        <v>-0.0302331297623325</v>
      </c>
      <c r="C3" s="154" t="n">
        <f aca="false">IFERROR(IF(OR(NOT(ISNUMBER('Price History'!C4)),NOT(ISNUMBER('Price History'!C3)),'Price History'!C3=0),"",'Price History'!C4/'Price History'!C3-1),"")</f>
        <v>-0.0238198354265916</v>
      </c>
      <c r="D3" s="154" t="n">
        <f aca="false">IFERROR(IF(OR(NOT(ISNUMBER('Price History'!D4)),NOT(ISNUMBER('Price History'!D3)),'Price History'!D3=0),"",'Price History'!D4/'Price History'!D3-1),"")</f>
        <v>-0.016013470558925</v>
      </c>
      <c r="E3" s="154" t="n">
        <f aca="false">IFERROR(IF(OR(NOT(ISNUMBER('Price History'!E4)),NOT(ISNUMBER('Price History'!E3)),'Price History'!E3=0),"",'Price History'!E4/'Price History'!E3-1),"")</f>
        <v>-0.0212195121951219</v>
      </c>
      <c r="F3" s="154" t="n">
        <f aca="false">IFERROR(IF(OR(NOT(ISNUMBER('Price History'!F4)),NOT(ISNUMBER('Price History'!F3)),'Price History'!F3=0),"",'Price History'!F4/'Price History'!F3-1),"")</f>
        <v>-0.0174081237911025</v>
      </c>
      <c r="G3" s="154" t="n">
        <f aca="false">IFERROR(IF(OR(NOT(ISNUMBER('Price History'!G4)),NOT(ISNUMBER('Price History'!G3)),'Price History'!G3=0),"",'Price History'!G4/'Price History'!G3-1),"")</f>
        <v>-0.00518602029312298</v>
      </c>
      <c r="H3" s="154" t="n">
        <f aca="false">IFERROR(IF(OR(NOT(ISNUMBER('Price History'!H4)),NOT(ISNUMBER('Price History'!H3)),'Price History'!H3=0),"",'Price History'!H4/'Price History'!H3-1),"")</f>
        <v>-0.0143249891477354</v>
      </c>
      <c r="I3" s="154" t="n">
        <f aca="false">IFERROR(IF(OR(NOT(ISNUMBER('Price History'!I4)),NOT(ISNUMBER('Price History'!I3)),'Price History'!I3=0),"",'Price History'!I4/'Price History'!I3-1),"")</f>
        <v>-0.0520904729266621</v>
      </c>
      <c r="J3" s="154" t="n">
        <f aca="false">IFERROR(IF(OR(NOT(ISNUMBER('Price History'!J4)),NOT(ISNUMBER('Price History'!J3)),'Price History'!J3=0),"",'Price History'!J4/'Price History'!J3-1),"")</f>
        <v>-0.073944921316166</v>
      </c>
      <c r="K3" s="154" t="n">
        <f aca="false">IFERROR(IF(OR(NOT(ISNUMBER('Price History'!K4)),NOT(ISNUMBER('Price History'!K3)),'Price History'!K3=0),"",'Price History'!K4/'Price History'!K3-1),"")</f>
        <v>-0.0782778864970646</v>
      </c>
      <c r="L3" s="154" t="n">
        <f aca="false">IFERROR(IF(OR(NOT(ISNUMBER('Price History'!L4)),NOT(ISNUMBER('Price History'!L3)),'Price History'!L3=0),"",'Price History'!L4/'Price History'!L3-1),"")</f>
        <v>-0.040466472303207</v>
      </c>
      <c r="M3" s="154" t="n">
        <f aca="false">IFERROR(IF(OR(NOT(ISNUMBER('Price History'!M4)),NOT(ISNUMBER('Price History'!M3)),'Price History'!M3=0),"",'Price History'!M4/'Price History'!M3-1),"")</f>
        <v>-0.0449763282482903</v>
      </c>
      <c r="N3" s="154" t="n">
        <f aca="false">IFERROR(IF(OR(NOT(ISNUMBER('Price History'!N4)),NOT(ISNUMBER('Price History'!N3)),'Price History'!N3=0),"",'Price History'!N4/'Price History'!N3-1),"")</f>
        <v>0.00180567497850381</v>
      </c>
      <c r="O3" s="154" t="n">
        <f aca="false">IFERROR(IF(OR(NOT(ISNUMBER('Price History'!O4)),NOT(ISNUMBER('Price History'!O3)),'Price History'!O3=0),"",'Price History'!O4/'Price History'!O3-1),"")</f>
        <v>-0.0292125879697251</v>
      </c>
      <c r="P3" s="154" t="n">
        <f aca="false">IFERROR(IF(OR(NOT(ISNUMBER('Price History'!P4)),NOT(ISNUMBER('Price History'!P3)),'Price History'!P3=0),"",'Price History'!P4/'Price History'!P3-1),"")</f>
        <v>-0.021373894025251</v>
      </c>
      <c r="Q3" s="154" t="str">
        <f aca="false">IFERROR(IF(OR(NOT(ISNUMBER('Price History'!Q4)),NOT(ISNUMBER('Price History'!Q3)),'Price History'!Q3=0),"",'Price History'!Q4/'Price History'!Q3-1),"")</f>
        <v/>
      </c>
      <c r="R3" s="154" t="n">
        <f aca="false">IFERROR(IF(OR(NOT(ISNUMBER('Price History'!R4)),NOT(ISNUMBER('Price History'!R3)),'Price History'!R3=0),"",'Price History'!R4/'Price History'!R3-1),"")</f>
        <v>-0.0269721577726219</v>
      </c>
      <c r="S3" s="154" t="n">
        <f aca="false">IFERROR(IF(OR(NOT(ISNUMBER('Price History'!S4)),NOT(ISNUMBER('Price History'!S3)),'Price History'!S3=0),"",'Price History'!S4/'Price History'!S3-1),"")</f>
        <v>-0.0242929030019088</v>
      </c>
      <c r="T3" s="154" t="n">
        <f aca="false">IFERROR(IF(OR(NOT(ISNUMBER('Price History'!T4)),NOT(ISNUMBER('Price History'!T3)),'Price History'!T3=0),"",'Price History'!T4/'Price History'!T3-1),"")</f>
        <v>-0.0146592709984151</v>
      </c>
      <c r="U3" s="154" t="n">
        <f aca="false">IFERROR(IF(OR(NOT(ISNUMBER('Price History'!U4)),NOT(ISNUMBER('Price History'!U3)),'Price History'!U3=0),"",'Price History'!U4/'Price History'!U3-1),"")</f>
        <v>-0.0229357798165137</v>
      </c>
      <c r="V3" s="155" t="n">
        <f aca="false">IFERROR(IF(OR(NOT(ISNUMBER('Price History'!V4)),NOT(ISNUMBER('Price History'!V3)),'Price History'!V3=0),"",'Price History'!V4/'Price History'!V3-1),"")</f>
        <v>-0.0248270593727454</v>
      </c>
      <c r="W3" s="156" t="n">
        <f aca="false">IFERROR('Price History'!B3+(INDEX('Price History'!B:B,MATCH(9.99E+307,'Returns (Calc)'!$A:$A)+1)-'Price History'!B3)*(ROW()-3)/(MATCH(9.99E+307,'Returns (Calc)'!$A:$A)-3),"")</f>
        <v>528.89</v>
      </c>
      <c r="X3" s="156" t="n">
        <f aca="false">IFERROR('Price History'!C3+(INDEX('Price History'!C:C,MATCH(9.99E+307,'Returns (Calc)'!$A:$A)+1)-'Price History'!C3)*(ROW()-3)/(MATCH(9.99E+307,'Returns (Calc)'!$A:$A)-3),"")</f>
        <v>46.18</v>
      </c>
      <c r="Y3" s="156" t="n">
        <f aca="false">IFERROR('Price History'!D3+(INDEX('Price History'!D:D,MATCH(9.99E+307,'Returns (Calc)'!$A:$A)+1)-'Price History'!D3)*(ROW()-3)/(MATCH(9.99E+307,'Returns (Calc)'!$A:$A)-3),"")</f>
        <v>582.01</v>
      </c>
      <c r="Z3" s="156" t="n">
        <f aca="false">IFERROR('Price History'!E3+(INDEX('Price History'!E:E,MATCH(9.99E+307,'Returns (Calc)'!$A:$A)+1)-'Price History'!E3)*(ROW()-3)/(MATCH(9.99E+307,'Returns (Calc)'!$A:$A)-3),"")</f>
        <v>82</v>
      </c>
      <c r="AA3" s="156" t="n">
        <f aca="false">IFERROR('Price History'!F3+(INDEX('Price History'!F:F,MATCH(9.99E+307,'Returns (Calc)'!$A:$A)+1)-'Price History'!F3)*(ROW()-3)/(MATCH(9.99E+307,'Returns (Calc)'!$A:$A)-3),"")</f>
        <v>41.36</v>
      </c>
      <c r="AB3" s="156" t="n">
        <f aca="false">IFERROR('Price History'!G3+(INDEX('Price History'!G:G,MATCH(9.99E+307,'Returns (Calc)'!$A:$A)+1)-'Price History'!G3)*(ROW()-3)/(MATCH(9.99E+307,'Returns (Calc)'!$A:$A)-3),"")</f>
        <v>44.35</v>
      </c>
      <c r="AC3" s="156" t="n">
        <f aca="false">IFERROR('Price History'!H3+(INDEX('Price History'!H:H,MATCH(9.99E+307,'Returns (Calc)'!$A:$A)+1)-'Price History'!H3)*(ROW()-3)/(MATCH(9.99E+307,'Returns (Calc)'!$A:$A)-3),"")</f>
        <v>69.11</v>
      </c>
      <c r="AD3" s="156" t="n">
        <f aca="false">IFERROR('Price History'!I3+(INDEX('Price History'!I:I,MATCH(9.99E+307,'Returns (Calc)'!$A:$A)+1)-'Price History'!I3)*(ROW()-3)/(MATCH(9.99E+307,'Returns (Calc)'!$A:$A)-3),"")</f>
        <v>43.77</v>
      </c>
      <c r="AE3" s="156" t="n">
        <f aca="false">IFERROR('Price History'!J3+(INDEX('Price History'!J:J,MATCH(9.99E+307,'Returns (Calc)'!$A:$A)+1)-'Price History'!J3)*(ROW()-3)/(MATCH(9.99E+307,'Returns (Calc)'!$A:$A)-3),"")</f>
        <v>111.84</v>
      </c>
      <c r="AF3" s="156" t="n">
        <f aca="false">IFERROR('Price History'!K3+(INDEX('Price History'!K:K,MATCH(9.99E+307,'Returns (Calc)'!$A:$A)+1)-'Price History'!K3)*(ROW()-3)/(MATCH(9.99E+307,'Returns (Calc)'!$A:$A)-3),"")</f>
        <v>15.33</v>
      </c>
      <c r="AG3" s="156" t="n">
        <f aca="false">IFERROR('Price History'!L3+(INDEX('Price History'!L:L,MATCH(9.99E+307,'Returns (Calc)'!$A:$A)+1)-'Price History'!L3)*(ROW()-3)/(MATCH(9.99E+307,'Returns (Calc)'!$A:$A)-3),"")</f>
        <v>85.75</v>
      </c>
      <c r="AH3" s="156" t="n">
        <f aca="false">IFERROR('Price History'!M3+(INDEX('Price History'!M:M,MATCH(9.99E+307,'Returns (Calc)'!$A:$A)+1)-'Price History'!M3)*(ROW()-3)/(MATCH(9.99E+307,'Returns (Calc)'!$A:$A)-3),"")</f>
        <v>38.02</v>
      </c>
      <c r="AI3" s="156" t="n">
        <f aca="false">IFERROR('Price History'!N3+(INDEX('Price History'!N:N,MATCH(9.99E+307,'Returns (Calc)'!$A:$A)+1)-'Price History'!N3)*(ROW()-3)/(MATCH(9.99E+307,'Returns (Calc)'!$A:$A)-3),"")</f>
        <v>348.9</v>
      </c>
      <c r="AJ3" s="156" t="n">
        <f aca="false">IFERROR('Price History'!O3+(INDEX('Price History'!O:O,MATCH(9.99E+307,'Returns (Calc)'!$A:$A)+1)-'Price History'!O3)*(ROW()-3)/(MATCH(9.99E+307,'Returns (Calc)'!$A:$A)-3),"")</f>
        <v>75.31</v>
      </c>
      <c r="AK3" s="156" t="n">
        <f aca="false">IFERROR('Price History'!Q3+(INDEX('Price History'!Q:Q,MATCH(9.99E+307,'Returns (Calc)'!$A:$A)+1)-'Price History'!Q3)*(ROW()-3)/(MATCH(9.99E+307,'Returns (Calc)'!$A:$A)-3),"")</f>
        <v>0</v>
      </c>
      <c r="AL3" s="156" t="n">
        <f aca="false">IFERROR('Price History'!R3+(INDEX('Price History'!R:R,MATCH(9.99E+307,'Returns (Calc)'!$A:$A)+1)-'Price History'!R3)*(ROW()-3)/(MATCH(9.99E+307,'Returns (Calc)'!$A:$A)-3),"")</f>
        <v>34.48</v>
      </c>
      <c r="AM3" s="156" t="n">
        <f aca="false">IFERROR('Price History'!S3+(INDEX('Price History'!S:S,MATCH(9.99E+307,'Returns (Calc)'!$A:$A)+1)-'Price History'!S3)*(ROW()-3)/(MATCH(9.99E+307,'Returns (Calc)'!$A:$A)-3),"")</f>
        <v>57.63</v>
      </c>
      <c r="AN3" s="156" t="n">
        <f aca="false">IFERROR('Price History'!T3+(INDEX('Price History'!T:T,MATCH(9.99E+307,'Returns (Calc)'!$A:$A)+1)-'Price History'!T3)*(ROW()-3)/(MATCH(9.99E+307,'Returns (Calc)'!$A:$A)-3),"")</f>
        <v>25.24</v>
      </c>
      <c r="AO3" s="157" t="n">
        <f aca="false">IFERROR('Price History'!V3+(INDEX('Price History'!V:V,MATCH(9.99E+307,'Returns (Calc)'!$A:$A)+1)-'Price History'!V3)*(ROW()-3)/(MATCH(9.99E+307,'Returns (Calc)'!$A:$A)-3),"")</f>
        <v>235.63</v>
      </c>
      <c r="AP3" s="155" t="n">
        <f aca="false">IFERROR(IF(OR(NOT(ISNUMBER('Price History'!W4)),NOT(ISNUMBER('Price History'!W3)),'Price History'!W3=0),"",'Price History'!W4/'Price History'!W3-1),"")</f>
        <v>-0.0218074855462015</v>
      </c>
      <c r="AQ3" s="155" t="str">
        <f aca="false">IFERROR(IF(OR(NOT(ISNUMBER('Price History'!X4)),NOT(ISNUMBER('Price History'!X3)),'Price History'!X3=0),"",'Price History'!X4/'Price History'!X3-1),"")</f>
        <v/>
      </c>
      <c r="AR3" s="155" t="n">
        <f aca="false">IFERROR(IF(OR(NOT(ISNUMBER('Price History'!Y4)),NOT(ISNUMBER('Price History'!Y3)),'Price History'!Y3=0),"",'Price History'!Y4/'Price History'!Y3-1),"")</f>
        <v>-0.0187369882026369</v>
      </c>
      <c r="AS3" s="155" t="n">
        <f aca="false">IFERROR(IF(OR(NOT(ISNUMBER('Price History'!Z4)),NOT(ISNUMBER('Price History'!Z3)),'Price History'!Z3=0),"",'Price History'!Z4/'Price History'!Z3-1),"")</f>
        <v>-0.0367225408028232</v>
      </c>
      <c r="AT3" s="155" t="n">
        <f aca="false">IFERROR(IF(OR(NOT(ISNUMBER('Price History'!AA4)),NOT(ISNUMBER('Price History'!AA3)),'Price History'!AA3=0),"",'Price History'!AA4/'Price History'!AA3-1),"")</f>
        <v>-0.0430839002267573</v>
      </c>
      <c r="AU3" s="155" t="n">
        <f aca="false">IFERROR(IF(OR(NOT(ISNUMBER('Price History'!AB4)),NOT(ISNUMBER('Price History'!AB3)),'Price History'!AB3=0),"",'Price History'!AB4/'Price History'!AB3-1),"")</f>
        <v>-0.0280847806325056</v>
      </c>
    </row>
    <row r="4" customFormat="false" ht="15" hidden="false" customHeight="true" outlineLevel="0" collapsed="false">
      <c r="A4" s="153" t="n">
        <f aca="false">IF('Price History'!A5="","",'Price History'!A5)</f>
        <v>45198</v>
      </c>
      <c r="B4" s="154" t="n">
        <f aca="false">IFERROR(IF(OR(NOT(ISNUMBER('Price History'!B5)),NOT(ISNUMBER('Price History'!B4)),'Price History'!B4=0),"",'Price History'!B5/'Price History'!B4-1),"")</f>
        <v>-0.00584909339052442</v>
      </c>
      <c r="C4" s="154" t="n">
        <f aca="false">IFERROR(IF(OR(NOT(ISNUMBER('Price History'!C5)),NOT(ISNUMBER('Price History'!C4)),'Price History'!C4=0),"",'Price History'!C5/'Price History'!C4-1),"")</f>
        <v>0.0199645075421473</v>
      </c>
      <c r="D4" s="154" t="n">
        <f aca="false">IFERROR(IF(OR(NOT(ISNUMBER('Price History'!D5)),NOT(ISNUMBER('Price History'!D4)),'Price History'!D4=0),"",'Price History'!D5/'Price History'!D4-1),"")</f>
        <v>0.00265414098377836</v>
      </c>
      <c r="E4" s="154" t="n">
        <f aca="false">IFERROR(IF(OR(NOT(ISNUMBER('Price History'!E5)),NOT(ISNUMBER('Price History'!E4)),'Price History'!E4=0),"",'Price History'!E5/'Price History'!E4-1),"")</f>
        <v>0.00186892599053068</v>
      </c>
      <c r="F4" s="154" t="n">
        <f aca="false">IFERROR(IF(OR(NOT(ISNUMBER('Price History'!F5)),NOT(ISNUMBER('Price History'!F4)),'Price History'!F4=0),"",'Price History'!F5/'Price History'!F4-1),"")</f>
        <v>0.0297736220472442</v>
      </c>
      <c r="G4" s="154" t="n">
        <f aca="false">IFERROR(IF(OR(NOT(ISNUMBER('Price History'!G5)),NOT(ISNUMBER('Price History'!G4)),'Price History'!G4=0),"",'Price History'!G5/'Price History'!G4-1),"")</f>
        <v>0.0151858567543064</v>
      </c>
      <c r="H4" s="154" t="n">
        <f aca="false">IFERROR(IF(OR(NOT(ISNUMBER('Price History'!H5)),NOT(ISNUMBER('Price History'!H4)),'Price History'!H4=0),"",'Price History'!H5/'Price History'!H4-1),"")</f>
        <v>-0.0123311802701116</v>
      </c>
      <c r="I4" s="154" t="n">
        <f aca="false">IFERROR(IF(OR(NOT(ISNUMBER('Price History'!I5)),NOT(ISNUMBER('Price History'!I4)),'Price History'!I4=0),"",'Price History'!I5/'Price History'!I4-1),"")</f>
        <v>0.0453121234032297</v>
      </c>
      <c r="J4" s="154" t="n">
        <f aca="false">IFERROR(IF(OR(NOT(ISNUMBER('Price History'!J5)),NOT(ISNUMBER('Price History'!J4)),'Price History'!J4=0),"",'Price History'!J5/'Price History'!J4-1),"")</f>
        <v>-0.0163174664478131</v>
      </c>
      <c r="K4" s="154" t="n">
        <f aca="false">IFERROR(IF(OR(NOT(ISNUMBER('Price History'!K5)),NOT(ISNUMBER('Price History'!K4)),'Price History'!K4=0),"",'Price History'!K5/'Price History'!K4-1),"")</f>
        <v>0.132342533616419</v>
      </c>
      <c r="L4" s="154" t="n">
        <f aca="false">IFERROR(IF(OR(NOT(ISNUMBER('Price History'!L5)),NOT(ISNUMBER('Price History'!L4)),'Price History'!L4=0),"",'Price History'!L5/'Price History'!L4-1),"")</f>
        <v>0.0147058823529411</v>
      </c>
      <c r="M4" s="154" t="n">
        <f aca="false">IFERROR(IF(OR(NOT(ISNUMBER('Price History'!M5)),NOT(ISNUMBER('Price History'!M4)),'Price History'!M4=0),"",'Price History'!M5/'Price History'!M4-1),"")</f>
        <v>0.0206554668135499</v>
      </c>
      <c r="N4" s="154" t="n">
        <f aca="false">IFERROR(IF(OR(NOT(ISNUMBER('Price History'!N5)),NOT(ISNUMBER('Price History'!N4)),'Price History'!N4=0),"",'Price History'!N5/'Price History'!N4-1),"")</f>
        <v>-0.00512116270420271</v>
      </c>
      <c r="O4" s="154" t="n">
        <f aca="false">IFERROR(IF(OR(NOT(ISNUMBER('Price History'!O5)),NOT(ISNUMBER('Price History'!O4)),'Price History'!O4=0),"",'Price History'!O5/'Price History'!O4-1),"")</f>
        <v>0.0164136233073451</v>
      </c>
      <c r="P4" s="154" t="n">
        <f aca="false">IFERROR(IF(OR(NOT(ISNUMBER('Price History'!P5)),NOT(ISNUMBER('Price History'!P4)),'Price History'!P4=0),"",'Price History'!P5/'Price History'!P4-1),"")</f>
        <v>-0.0187931735067045</v>
      </c>
      <c r="Q4" s="154" t="str">
        <f aca="false">IFERROR(IF(OR(NOT(ISNUMBER('Price History'!Q5)),NOT(ISNUMBER('Price History'!Q4)),'Price History'!Q4=0),"",'Price History'!Q5/'Price History'!Q4-1),"")</f>
        <v/>
      </c>
      <c r="R4" s="154" t="n">
        <f aca="false">IFERROR(IF(OR(NOT(ISNUMBER('Price History'!R5)),NOT(ISNUMBER('Price History'!R4)),'Price History'!R4=0),"",'Price History'!R5/'Price History'!R4-1),"")</f>
        <v>0.000596125186289154</v>
      </c>
      <c r="S4" s="154" t="n">
        <f aca="false">IFERROR(IF(OR(NOT(ISNUMBER('Price History'!S5)),NOT(ISNUMBER('Price History'!S4)),'Price History'!S4=0),"",'Price History'!S5/'Price History'!S4-1),"")</f>
        <v>-0.00302329717232785</v>
      </c>
      <c r="T4" s="154" t="n">
        <f aca="false">IFERROR(IF(OR(NOT(ISNUMBER('Price History'!T5)),NOT(ISNUMBER('Price History'!T4)),'Price History'!T4=0),"",'Price History'!T5/'Price History'!T4-1),"")</f>
        <v>0.00281463610776034</v>
      </c>
      <c r="U4" s="154" t="n">
        <f aca="false">IFERROR(IF(OR(NOT(ISNUMBER('Price History'!U5)),NOT(ISNUMBER('Price History'!U4)),'Price History'!U4=0),"",'Price History'!U5/'Price History'!U4-1),"")</f>
        <v>-0.00751173708920183</v>
      </c>
      <c r="V4" s="155" t="n">
        <f aca="false">IFERROR(IF(OR(NOT(ISNUMBER('Price History'!V5)),NOT(ISNUMBER('Price History'!V4)),'Price History'!V4=0),"",'Price History'!V5/'Price History'!V4-1),"")</f>
        <v>-0.0215858647401863</v>
      </c>
      <c r="W4" s="156" t="n">
        <f aca="false">IFERROR('Price History'!B3+(INDEX('Price History'!B:B,MATCH(9.99E+307,'Returns (Calc)'!$A:$A)+1)-'Price History'!B3)*(ROW()-3)/(MATCH(9.99E+307,'Returns (Calc)'!$A:$A)-3),"")</f>
        <v>527.046962025317</v>
      </c>
      <c r="X4" s="156" t="n">
        <f aca="false">IFERROR('Price History'!C3+(INDEX('Price History'!C:C,MATCH(9.99E+307,'Returns (Calc)'!$A:$A)+1)-'Price History'!C3)*(ROW()-3)/(MATCH(9.99E+307,'Returns (Calc)'!$A:$A)-3),"")</f>
        <v>47.2000632911392</v>
      </c>
      <c r="Y4" s="156" t="n">
        <f aca="false">IFERROR('Price History'!D3+(INDEX('Price History'!D:D,MATCH(9.99E+307,'Returns (Calc)'!$A:$A)+1)-'Price History'!D3)*(ROW()-3)/(MATCH(9.99E+307,'Returns (Calc)'!$A:$A)-3),"")</f>
        <v>590.144810126582</v>
      </c>
      <c r="Z4" s="156" t="n">
        <f aca="false">IFERROR('Price History'!E3+(INDEX('Price History'!E:E,MATCH(9.99E+307,'Returns (Calc)'!$A:$A)+1)-'Price History'!E3)*(ROW()-3)/(MATCH(9.99E+307,'Returns (Calc)'!$A:$A)-3),"")</f>
        <v>83.7287341772152</v>
      </c>
      <c r="AA4" s="156" t="n">
        <f aca="false">IFERROR('Price History'!F3+(INDEX('Price History'!F:F,MATCH(9.99E+307,'Returns (Calc)'!$A:$A)+1)-'Price History'!F3)*(ROW()-3)/(MATCH(9.99E+307,'Returns (Calc)'!$A:$A)-3),"")</f>
        <v>42.8073417721519</v>
      </c>
      <c r="AB4" s="156" t="n">
        <f aca="false">IFERROR('Price History'!G3+(INDEX('Price History'!G:G,MATCH(9.99E+307,'Returns (Calc)'!$A:$A)+1)-'Price History'!G3)*(ROW()-3)/(MATCH(9.99E+307,'Returns (Calc)'!$A:$A)-3),"")</f>
        <v>45.3787341772152</v>
      </c>
      <c r="AC4" s="156" t="n">
        <f aca="false">IFERROR('Price History'!H3+(INDEX('Price History'!H:H,MATCH(9.99E+307,'Returns (Calc)'!$A:$A)+1)-'Price History'!H3)*(ROW()-3)/(MATCH(9.99E+307,'Returns (Calc)'!$A:$A)-3),"")</f>
        <v>75.4756962025317</v>
      </c>
      <c r="AD4" s="156" t="n">
        <f aca="false">IFERROR('Price History'!I3+(INDEX('Price History'!I:I,MATCH(9.99E+307,'Returns (Calc)'!$A:$A)+1)-'Price History'!I3)*(ROW()-3)/(MATCH(9.99E+307,'Returns (Calc)'!$A:$A)-3),"")</f>
        <v>44.973670886076</v>
      </c>
      <c r="AE4" s="156" t="n">
        <f aca="false">IFERROR('Price History'!J3+(INDEX('Price History'!J:J,MATCH(9.99E+307,'Returns (Calc)'!$A:$A)+1)-'Price History'!J3)*(ROW()-3)/(MATCH(9.99E+307,'Returns (Calc)'!$A:$A)-3),"")</f>
        <v>111.948037974684</v>
      </c>
      <c r="AF4" s="156" t="n">
        <f aca="false">IFERROR('Price History'!K3+(INDEX('Price History'!K:K,MATCH(9.99E+307,'Returns (Calc)'!$A:$A)+1)-'Price History'!K3)*(ROW()-3)/(MATCH(9.99E+307,'Returns (Calc)'!$A:$A)-3),"")</f>
        <v>16.4275949367089</v>
      </c>
      <c r="AG4" s="156" t="n">
        <f aca="false">IFERROR('Price History'!L3+(INDEX('Price History'!L:L,MATCH(9.99E+307,'Returns (Calc)'!$A:$A)+1)-'Price History'!L3)*(ROW()-3)/(MATCH(9.99E+307,'Returns (Calc)'!$A:$A)-3),"")</f>
        <v>88.1995569620253</v>
      </c>
      <c r="AH4" s="156" t="n">
        <f aca="false">IFERROR('Price History'!M3+(INDEX('Price History'!M:M,MATCH(9.99E+307,'Returns (Calc)'!$A:$A)+1)-'Price History'!M3)*(ROW()-3)/(MATCH(9.99E+307,'Returns (Calc)'!$A:$A)-3),"")</f>
        <v>39.3754430379747</v>
      </c>
      <c r="AI4" s="156" t="n">
        <f aca="false">IFERROR('Price History'!N3+(INDEX('Price History'!N:N,MATCH(9.99E+307,'Returns (Calc)'!$A:$A)+1)-'Price History'!N3)*(ROW()-3)/(MATCH(9.99E+307,'Returns (Calc)'!$A:$A)-3),"")</f>
        <v>349.886265822785</v>
      </c>
      <c r="AJ4" s="156" t="n">
        <f aca="false">IFERROR('Price History'!O3+(INDEX('Price History'!O:O,MATCH(9.99E+307,'Returns (Calc)'!$A:$A)+1)-'Price History'!O3)*(ROW()-3)/(MATCH(9.99E+307,'Returns (Calc)'!$A:$A)-3),"")</f>
        <v>75.5930379746835</v>
      </c>
      <c r="AK4" s="156" t="n">
        <f aca="false">IFERROR('Price History'!Q3+(INDEX('Price History'!Q:Q,MATCH(9.99E+307,'Returns (Calc)'!$A:$A)+1)-'Price History'!Q3)*(ROW()-3)/(MATCH(9.99E+307,'Returns (Calc)'!$A:$A)-3),"")</f>
        <v>0.439367088607595</v>
      </c>
      <c r="AL4" s="156" t="n">
        <f aca="false">IFERROR('Price History'!R3+(INDEX('Price History'!R:R,MATCH(9.99E+307,'Returns (Calc)'!$A:$A)+1)-'Price History'!R3)*(ROW()-3)/(MATCH(9.99E+307,'Returns (Calc)'!$A:$A)-3),"")</f>
        <v>34.6481012658228</v>
      </c>
      <c r="AM4" s="156" t="n">
        <f aca="false">IFERROR('Price History'!S3+(INDEX('Price History'!S:S,MATCH(9.99E+307,'Returns (Calc)'!$A:$A)+1)-'Price History'!S3)*(ROW()-3)/(MATCH(9.99E+307,'Returns (Calc)'!$A:$A)-3),"")</f>
        <v>58.2350632911392</v>
      </c>
      <c r="AN4" s="156" t="n">
        <f aca="false">IFERROR('Price History'!T3+(INDEX('Price History'!T:T,MATCH(9.99E+307,'Returns (Calc)'!$A:$A)+1)-'Price History'!T3)*(ROW()-3)/(MATCH(9.99E+307,'Returns (Calc)'!$A:$A)-3),"")</f>
        <v>25.4082278481013</v>
      </c>
      <c r="AO4" s="157" t="n">
        <f aca="false">IFERROR('Price History'!V3+(INDEX('Price History'!V:V,MATCH(9.99E+307,'Returns (Calc)'!$A:$A)+1)-'Price History'!V3)*(ROW()-3)/(MATCH(9.99E+307,'Returns (Calc)'!$A:$A)-3),"")</f>
        <v>236.421329113924</v>
      </c>
      <c r="AP4" s="155" t="n">
        <f aca="false">IFERROR(IF(OR(NOT(ISNUMBER('Price History'!W5)),NOT(ISNUMBER('Price History'!W4)),'Price History'!W4=0),"",'Price History'!W5/'Price History'!W4-1),"")</f>
        <v>-0.0127540439651598</v>
      </c>
      <c r="AQ4" s="155" t="str">
        <f aca="false">IFERROR(IF(OR(NOT(ISNUMBER('Price History'!X5)),NOT(ISNUMBER('Price History'!X4)),'Price History'!X4=0),"",'Price History'!X5/'Price History'!X4-1),"")</f>
        <v/>
      </c>
      <c r="AR4" s="155" t="n">
        <f aca="false">IFERROR(IF(OR(NOT(ISNUMBER('Price History'!Y5)),NOT(ISNUMBER('Price History'!Y4)),'Price History'!Y4=0),"",'Price History'!Y5/'Price History'!Y4-1),"")</f>
        <v>-0.011079679396511</v>
      </c>
      <c r="AS4" s="155" t="n">
        <f aca="false">IFERROR(IF(OR(NOT(ISNUMBER('Price History'!Z5)),NOT(ISNUMBER('Price History'!Z4)),'Price History'!Z4=0),"",'Price History'!Z5/'Price History'!Z4-1),"")</f>
        <v>-0.00560961648540348</v>
      </c>
      <c r="AT4" s="155" t="n">
        <f aca="false">IFERROR(IF(OR(NOT(ISNUMBER('Price History'!AA5)),NOT(ISNUMBER('Price History'!AA4)),'Price History'!AA4=0),"",'Price History'!AA5/'Price History'!AA4-1),"")</f>
        <v>-0.00579252238020012</v>
      </c>
      <c r="AU4" s="155" t="n">
        <f aca="false">IFERROR(IF(OR(NOT(ISNUMBER('Price History'!AB5)),NOT(ISNUMBER('Price History'!AB4)),'Price History'!AB4=0),"",'Price History'!AB5/'Price History'!AB4-1),"")</f>
        <v>0.00152604115388399</v>
      </c>
    </row>
    <row r="5" customFormat="false" ht="15" hidden="false" customHeight="true" outlineLevel="0" collapsed="false">
      <c r="A5" s="153" t="n">
        <f aca="false">IF('Price History'!A6="","",'Price History'!A6)</f>
        <v>45205</v>
      </c>
      <c r="B5" s="154" t="n">
        <f aca="false">IFERROR(IF(OR(NOT(ISNUMBER('Price History'!B6)),NOT(ISNUMBER('Price History'!B5)),'Price History'!B5=0),"",'Price History'!B6/'Price History'!B5-1),"")</f>
        <v>0.0329084134143949</v>
      </c>
      <c r="C5" s="154" t="n">
        <f aca="false">IFERROR(IF(OR(NOT(ISNUMBER('Price History'!C6)),NOT(ISNUMBER('Price History'!C5)),'Price History'!C5=0),"",'Price History'!C6/'Price History'!C5-1),"")</f>
        <v>0.0550239234449761</v>
      </c>
      <c r="D5" s="154" t="n">
        <f aca="false">IFERROR(IF(OR(NOT(ISNUMBER('Price History'!D6)),NOT(ISNUMBER('Price History'!D5)),'Price History'!D5=0),"",'Price History'!D6/'Price History'!D5-1),"")</f>
        <v>0.0147681161944238</v>
      </c>
      <c r="E5" s="154" t="n">
        <f aca="false">IFERROR(IF(OR(NOT(ISNUMBER('Price History'!E6)),NOT(ISNUMBER('Price History'!E5)),'Price History'!E5=0),"",'Price History'!E6/'Price History'!E5-1),"")</f>
        <v>0.0176594950876756</v>
      </c>
      <c r="F5" s="154" t="n">
        <f aca="false">IFERROR(IF(OR(NOT(ISNUMBER('Price History'!F6)),NOT(ISNUMBER('Price History'!F5)),'Price History'!F5=0),"",'Price History'!F6/'Price History'!F5-1),"")</f>
        <v>0.055436081242533</v>
      </c>
      <c r="G5" s="154" t="n">
        <f aca="false">IFERROR(IF(OR(NOT(ISNUMBER('Price History'!G6)),NOT(ISNUMBER('Price History'!G5)),'Price History'!G5=0),"",'Price History'!G6/'Price History'!G5-1),"")</f>
        <v>0.0203170350524671</v>
      </c>
      <c r="H5" s="154" t="n">
        <f aca="false">IFERROR(IF(OR(NOT(ISNUMBER('Price History'!H6)),NOT(ISNUMBER('Price History'!H5)),'Price History'!H5=0),"",'Price History'!H6/'Price History'!H5-1),"")</f>
        <v>0.0300237812128419</v>
      </c>
      <c r="I5" s="154" t="n">
        <f aca="false">IFERROR(IF(OR(NOT(ISNUMBER('Price History'!I6)),NOT(ISNUMBER('Price History'!I5)),'Price History'!I5=0),"",'Price History'!I6/'Price History'!I5-1),"")</f>
        <v>0.0521097532856816</v>
      </c>
      <c r="J5" s="154" t="n">
        <f aca="false">IFERROR(IF(OR(NOT(ISNUMBER('Price History'!J6)),NOT(ISNUMBER('Price History'!J5)),'Price History'!J5=0),"",'Price History'!J6/'Price History'!J5-1),"")</f>
        <v>-0.0294464075382803</v>
      </c>
      <c r="K5" s="154" t="n">
        <f aca="false">IFERROR(IF(OR(NOT(ISNUMBER('Price History'!K6)),NOT(ISNUMBER('Price History'!K5)),'Price History'!K5=0),"",'Price History'!K6/'Price History'!K5-1),"")</f>
        <v>0.038125</v>
      </c>
      <c r="L5" s="154" t="n">
        <f aca="false">IFERROR(IF(OR(NOT(ISNUMBER('Price History'!L6)),NOT(ISNUMBER('Price History'!L5)),'Price History'!L5=0),"",'Price History'!L6/'Price History'!L5-1),"")</f>
        <v>0.0275482093663912</v>
      </c>
      <c r="M5" s="154" t="n">
        <f aca="false">IFERROR(IF(OR(NOT(ISNUMBER('Price History'!M6)),NOT(ISNUMBER('Price History'!M5)),'Price History'!M5=0),"",'Price History'!M6/'Price History'!M5-1),"")</f>
        <v>0.0690771721532648</v>
      </c>
      <c r="N5" s="154" t="n">
        <f aca="false">IFERROR(IF(OR(NOT(ISNUMBER('Price History'!N6)),NOT(ISNUMBER('Price History'!N5)),'Price History'!N5=0),"",'Price History'!N6/'Price History'!N5-1),"")</f>
        <v>0.0370391671938806</v>
      </c>
      <c r="O5" s="154" t="n">
        <f aca="false">IFERROR(IF(OR(NOT(ISNUMBER('Price History'!O6)),NOT(ISNUMBER('Price History'!O5)),'Price History'!O5=0),"",'Price History'!O6/'Price History'!O5-1),"")</f>
        <v>-0.0301439913874312</v>
      </c>
      <c r="P5" s="154" t="n">
        <f aca="false">IFERROR(IF(OR(NOT(ISNUMBER('Price History'!P6)),NOT(ISNUMBER('Price History'!P5)),'Price History'!P5=0),"",'Price History'!P6/'Price History'!P5-1),"")</f>
        <v>-0.0222590330261933</v>
      </c>
      <c r="Q5" s="154" t="n">
        <f aca="false">IFERROR(IF(OR(NOT(ISNUMBER('Price History'!Q6)),NOT(ISNUMBER('Price History'!Q5)),'Price History'!Q5=0),"",'Price History'!Q6/'Price History'!Q5-1),"")</f>
        <v>0.00327198364008185</v>
      </c>
      <c r="R5" s="154" t="n">
        <f aca="false">IFERROR(IF(OR(NOT(ISNUMBER('Price History'!R6)),NOT(ISNUMBER('Price History'!R5)),'Price History'!R5=0),"",'Price History'!R6/'Price History'!R5-1),"")</f>
        <v>0.0131069407208817</v>
      </c>
      <c r="S5" s="154" t="n">
        <f aca="false">IFERROR(IF(OR(NOT(ISNUMBER('Price History'!S6)),NOT(ISNUMBER('Price History'!S5)),'Price History'!S5=0),"",'Price History'!S6/'Price History'!S5-1),"")</f>
        <v>0.0110595790224759</v>
      </c>
      <c r="T5" s="154" t="n">
        <f aca="false">IFERROR(IF(OR(NOT(ISNUMBER('Price History'!T6)),NOT(ISNUMBER('Price History'!T5)),'Price History'!T5=0),"",'Price History'!T6/'Price History'!T5-1),"")</f>
        <v>-0.0188452285485166</v>
      </c>
      <c r="U5" s="154" t="n">
        <f aca="false">IFERROR(IF(OR(NOT(ISNUMBER('Price History'!U6)),NOT(ISNUMBER('Price History'!U5)),'Price History'!U5=0),"",'Price History'!U6/'Price History'!U5-1),"")</f>
        <v>-0.0160832544938505</v>
      </c>
      <c r="V5" s="155" t="n">
        <f aca="false">IFERROR(IF(OR(NOT(ISNUMBER('Price History'!V6)),NOT(ISNUMBER('Price History'!V5)),'Price History'!V5=0),"",'Price History'!V6/'Price History'!V5-1),"")</f>
        <v>0.0218841740058715</v>
      </c>
      <c r="W5" s="156" t="n">
        <f aca="false">IFERROR('Price History'!B3+(INDEX('Price History'!B:B,MATCH(9.99E+307,'Returns (Calc)'!$A:$A)+1)-'Price History'!B3)*(ROW()-3)/(MATCH(9.99E+307,'Returns (Calc)'!$A:$A)-3),"")</f>
        <v>525.203924050633</v>
      </c>
      <c r="X5" s="156" t="n">
        <f aca="false">IFERROR('Price History'!C3+(INDEX('Price History'!C:C,MATCH(9.99E+307,'Returns (Calc)'!$A:$A)+1)-'Price History'!C3)*(ROW()-3)/(MATCH(9.99E+307,'Returns (Calc)'!$A:$A)-3),"")</f>
        <v>48.2201265822785</v>
      </c>
      <c r="Y5" s="156" t="n">
        <f aca="false">IFERROR('Price History'!D3+(INDEX('Price History'!D:D,MATCH(9.99E+307,'Returns (Calc)'!$A:$A)+1)-'Price History'!D3)*(ROW()-3)/(MATCH(9.99E+307,'Returns (Calc)'!$A:$A)-3),"")</f>
        <v>598.279620253165</v>
      </c>
      <c r="Z5" s="156" t="n">
        <f aca="false">IFERROR('Price History'!E3+(INDEX('Price History'!E:E,MATCH(9.99E+307,'Returns (Calc)'!$A:$A)+1)-'Price History'!E3)*(ROW()-3)/(MATCH(9.99E+307,'Returns (Calc)'!$A:$A)-3),"")</f>
        <v>85.4574683544304</v>
      </c>
      <c r="AA5" s="156" t="n">
        <f aca="false">IFERROR('Price History'!F3+(INDEX('Price History'!F:F,MATCH(9.99E+307,'Returns (Calc)'!$A:$A)+1)-'Price History'!F3)*(ROW()-3)/(MATCH(9.99E+307,'Returns (Calc)'!$A:$A)-3),"")</f>
        <v>44.2546835443038</v>
      </c>
      <c r="AB5" s="156" t="n">
        <f aca="false">IFERROR('Price History'!G3+(INDEX('Price History'!G:G,MATCH(9.99E+307,'Returns (Calc)'!$A:$A)+1)-'Price History'!G3)*(ROW()-3)/(MATCH(9.99E+307,'Returns (Calc)'!$A:$A)-3),"")</f>
        <v>46.4074683544304</v>
      </c>
      <c r="AC5" s="156" t="n">
        <f aca="false">IFERROR('Price History'!H3+(INDEX('Price History'!H:H,MATCH(9.99E+307,'Returns (Calc)'!$A:$A)+1)-'Price History'!H3)*(ROW()-3)/(MATCH(9.99E+307,'Returns (Calc)'!$A:$A)-3),"")</f>
        <v>81.8413924050633</v>
      </c>
      <c r="AD5" s="156" t="n">
        <f aca="false">IFERROR('Price History'!I3+(INDEX('Price History'!I:I,MATCH(9.99E+307,'Returns (Calc)'!$A:$A)+1)-'Price History'!I3)*(ROW()-3)/(MATCH(9.99E+307,'Returns (Calc)'!$A:$A)-3),"")</f>
        <v>46.1773417721519</v>
      </c>
      <c r="AE5" s="156" t="n">
        <f aca="false">IFERROR('Price History'!J3+(INDEX('Price History'!J:J,MATCH(9.99E+307,'Returns (Calc)'!$A:$A)+1)-'Price History'!J3)*(ROW()-3)/(MATCH(9.99E+307,'Returns (Calc)'!$A:$A)-3),"")</f>
        <v>112.056075949367</v>
      </c>
      <c r="AF5" s="156" t="n">
        <f aca="false">IFERROR('Price History'!K3+(INDEX('Price History'!K:K,MATCH(9.99E+307,'Returns (Calc)'!$A:$A)+1)-'Price History'!K3)*(ROW()-3)/(MATCH(9.99E+307,'Returns (Calc)'!$A:$A)-3),"")</f>
        <v>17.5251898734177</v>
      </c>
      <c r="AG5" s="156" t="n">
        <f aca="false">IFERROR('Price History'!L3+(INDEX('Price History'!L:L,MATCH(9.99E+307,'Returns (Calc)'!$A:$A)+1)-'Price History'!L3)*(ROW()-3)/(MATCH(9.99E+307,'Returns (Calc)'!$A:$A)-3),"")</f>
        <v>90.6491139240506</v>
      </c>
      <c r="AH5" s="156" t="n">
        <f aca="false">IFERROR('Price History'!M3+(INDEX('Price History'!M:M,MATCH(9.99E+307,'Returns (Calc)'!$A:$A)+1)-'Price History'!M3)*(ROW()-3)/(MATCH(9.99E+307,'Returns (Calc)'!$A:$A)-3),"")</f>
        <v>40.7308860759494</v>
      </c>
      <c r="AI5" s="156" t="n">
        <f aca="false">IFERROR('Price History'!N3+(INDEX('Price History'!N:N,MATCH(9.99E+307,'Returns (Calc)'!$A:$A)+1)-'Price History'!N3)*(ROW()-3)/(MATCH(9.99E+307,'Returns (Calc)'!$A:$A)-3),"")</f>
        <v>350.87253164557</v>
      </c>
      <c r="AJ5" s="156" t="n">
        <f aca="false">IFERROR('Price History'!O3+(INDEX('Price History'!O:O,MATCH(9.99E+307,'Returns (Calc)'!$A:$A)+1)-'Price History'!O3)*(ROW()-3)/(MATCH(9.99E+307,'Returns (Calc)'!$A:$A)-3),"")</f>
        <v>75.8760759493671</v>
      </c>
      <c r="AK5" s="156" t="n">
        <f aca="false">IFERROR('Price History'!Q3+(INDEX('Price History'!Q:Q,MATCH(9.99E+307,'Returns (Calc)'!$A:$A)+1)-'Price History'!Q3)*(ROW()-3)/(MATCH(9.99E+307,'Returns (Calc)'!$A:$A)-3),"")</f>
        <v>0.87873417721519</v>
      </c>
      <c r="AL5" s="156" t="n">
        <f aca="false">IFERROR('Price History'!R3+(INDEX('Price History'!R:R,MATCH(9.99E+307,'Returns (Calc)'!$A:$A)+1)-'Price History'!R3)*(ROW()-3)/(MATCH(9.99E+307,'Returns (Calc)'!$A:$A)-3),"")</f>
        <v>34.8162025316456</v>
      </c>
      <c r="AM5" s="156" t="n">
        <f aca="false">IFERROR('Price History'!S3+(INDEX('Price History'!S:S,MATCH(9.99E+307,'Returns (Calc)'!$A:$A)+1)-'Price History'!S3)*(ROW()-3)/(MATCH(9.99E+307,'Returns (Calc)'!$A:$A)-3),"")</f>
        <v>58.8401265822785</v>
      </c>
      <c r="AN5" s="156" t="n">
        <f aca="false">IFERROR('Price History'!T3+(INDEX('Price History'!T:T,MATCH(9.99E+307,'Returns (Calc)'!$A:$A)+1)-'Price History'!T3)*(ROW()-3)/(MATCH(9.99E+307,'Returns (Calc)'!$A:$A)-3),"")</f>
        <v>25.5764556962025</v>
      </c>
      <c r="AO5" s="157" t="n">
        <f aca="false">IFERROR('Price History'!V3+(INDEX('Price History'!V:V,MATCH(9.99E+307,'Returns (Calc)'!$A:$A)+1)-'Price History'!V3)*(ROW()-3)/(MATCH(9.99E+307,'Returns (Calc)'!$A:$A)-3),"")</f>
        <v>237.212658227848</v>
      </c>
      <c r="AP5" s="155" t="n">
        <f aca="false">IFERROR(IF(OR(NOT(ISNUMBER('Price History'!W6)),NOT(ISNUMBER('Price History'!W5)),'Price History'!W5=0),"",'Price History'!W6/'Price History'!W5-1),"")</f>
        <v>-0.0194307320659594</v>
      </c>
      <c r="AQ5" s="155" t="str">
        <f aca="false">IFERROR(IF(OR(NOT(ISNUMBER('Price History'!X6)),NOT(ISNUMBER('Price History'!X5)),'Price History'!X5=0),"",'Price History'!X6/'Price History'!X5-1),"")</f>
        <v/>
      </c>
      <c r="AR5" s="155" t="n">
        <f aca="false">IFERROR(IF(OR(NOT(ISNUMBER('Price History'!Y6)),NOT(ISNUMBER('Price History'!Y5)),'Price History'!Y5=0),"",'Price History'!Y6/'Price History'!Y5-1),"")</f>
        <v>-0.00357568533969022</v>
      </c>
      <c r="AS5" s="155" t="n">
        <f aca="false">IFERROR(IF(OR(NOT(ISNUMBER('Price History'!Z6)),NOT(ISNUMBER('Price History'!Z5)),'Price History'!Z5=0),"",'Price History'!Z6/'Price History'!Z5-1),"")</f>
        <v>0.00840432880497355</v>
      </c>
      <c r="AT5" s="155" t="n">
        <f aca="false">IFERROR(IF(OR(NOT(ISNUMBER('Price History'!AA6)),NOT(ISNUMBER('Price History'!AA5)),'Price History'!AA5=0),"",'Price History'!AA6/'Price History'!AA5-1),"")</f>
        <v>0.0103283898305084</v>
      </c>
      <c r="AU5" s="155" t="n">
        <f aca="false">IFERROR(IF(OR(NOT(ISNUMBER('Price History'!AB6)),NOT(ISNUMBER('Price History'!AB5)),'Price History'!AB5=0),"",'Price History'!AB6/'Price History'!AB5-1),"")</f>
        <v>0.0302285573851069</v>
      </c>
    </row>
    <row r="6" customFormat="false" ht="15" hidden="false" customHeight="true" outlineLevel="0" collapsed="false">
      <c r="A6" s="153" t="n">
        <f aca="false">IF('Price History'!A7="","",'Price History'!A7)</f>
        <v>45212</v>
      </c>
      <c r="B6" s="154" t="n">
        <f aca="false">IFERROR(IF(OR(NOT(ISNUMBER('Price History'!B7)),NOT(ISNUMBER('Price History'!B6)),'Price History'!B6=0),"",'Price History'!B7/'Price History'!B6-1),"")</f>
        <v>0.0419229892914104</v>
      </c>
      <c r="C6" s="154" t="n">
        <f aca="false">IFERROR(IF(OR(NOT(ISNUMBER('Price History'!C7)),NOT(ISNUMBER('Price History'!C6)),'Price History'!C6=0),"",'Price History'!C7/'Price History'!C6-1),"")</f>
        <v>-0.0216450216450216</v>
      </c>
      <c r="D6" s="154" t="n">
        <f aca="false">IFERROR(IF(OR(NOT(ISNUMBER('Price History'!D7)),NOT(ISNUMBER('Price History'!D6)),'Price History'!D6=0),"",'Price History'!D7/'Price History'!D6-1),"")</f>
        <v>0.00401585748854427</v>
      </c>
      <c r="E6" s="154" t="n">
        <f aca="false">IFERROR(IF(OR(NOT(ISNUMBER('Price History'!E7)),NOT(ISNUMBER('Price History'!E6)),'Price History'!E6=0),"",'Price History'!E7/'Price History'!E6-1),"")</f>
        <v>0.044849077355493</v>
      </c>
      <c r="F6" s="154" t="n">
        <f aca="false">IFERROR(IF(OR(NOT(ISNUMBER('Price History'!F7)),NOT(ISNUMBER('Price History'!F6)),'Price History'!F6=0),"",'Price History'!F7/'Price History'!F6-1),"")</f>
        <v>0.0511659497396422</v>
      </c>
      <c r="G6" s="154" t="n">
        <f aca="false">IFERROR(IF(OR(NOT(ISNUMBER('Price History'!G7)),NOT(ISNUMBER('Price History'!G6)),'Price History'!G6=0),"",'Price History'!G7/'Price History'!G6-1),"")</f>
        <v>0.0402625820568927</v>
      </c>
      <c r="H6" s="154" t="n">
        <f aca="false">IFERROR(IF(OR(NOT(ISNUMBER('Price History'!H7)),NOT(ISNUMBER('Price History'!H6)),'Price History'!H6=0),"",'Price History'!H7/'Price History'!H6-1),"")</f>
        <v>-0.0106782106782106</v>
      </c>
      <c r="I6" s="154" t="n">
        <f aca="false">IFERROR(IF(OR(NOT(ISNUMBER('Price History'!I7)),NOT(ISNUMBER('Price History'!I6)),'Price History'!I6=0),"",'Price History'!I7/'Price History'!I6-1),"")</f>
        <v>-0.00657462195923741</v>
      </c>
      <c r="J6" s="154" t="n">
        <f aca="false">IFERROR(IF(OR(NOT(ISNUMBER('Price History'!J7)),NOT(ISNUMBER('Price History'!J6)),'Price History'!J6=0),"",'Price History'!J7/'Price History'!J6-1),"")</f>
        <v>0.00687702265372181</v>
      </c>
      <c r="K6" s="154" t="n">
        <f aca="false">IFERROR(IF(OR(NOT(ISNUMBER('Price History'!K7)),NOT(ISNUMBER('Price History'!K6)),'Price History'!K6=0),"",'Price History'!K7/'Price History'!K6-1),"")</f>
        <v>0.0451535219747141</v>
      </c>
      <c r="L6" s="154" t="n">
        <f aca="false">IFERROR(IF(OR(NOT(ISNUMBER('Price History'!L7)),NOT(ISNUMBER('Price History'!L6)),'Price History'!L6=0),"",'Price History'!L7/'Price History'!L6-1),"")</f>
        <v>0.0131716983331389</v>
      </c>
      <c r="M6" s="154" t="n">
        <f aca="false">IFERROR(IF(OR(NOT(ISNUMBER('Price History'!M7)),NOT(ISNUMBER('Price History'!M6)),'Price History'!M6=0),"",'Price History'!M7/'Price History'!M6-1),"")</f>
        <v>-0.0169106511862694</v>
      </c>
      <c r="N6" s="154" t="n">
        <f aca="false">IFERROR(IF(OR(NOT(ISNUMBER('Price History'!N7)),NOT(ISNUMBER('Price History'!N6)),'Price History'!N6=0),"",'Price History'!N7/'Price History'!N6-1),"")</f>
        <v>0.0287837612999833</v>
      </c>
      <c r="O6" s="154" t="n">
        <f aca="false">IFERROR(IF(OR(NOT(ISNUMBER('Price History'!O7)),NOT(ISNUMBER('Price History'!O6)),'Price History'!O6=0),"",'Price History'!O7/'Price History'!O6-1),"")</f>
        <v>0.00263632579436668</v>
      </c>
      <c r="P6" s="154" t="n">
        <f aca="false">IFERROR(IF(OR(NOT(ISNUMBER('Price History'!P7)),NOT(ISNUMBER('Price History'!P6)),'Price History'!P6=0),"",'Price History'!P7/'Price History'!P6-1),"")</f>
        <v>0.0136594663278273</v>
      </c>
      <c r="Q6" s="154" t="n">
        <f aca="false">IFERROR(IF(OR(NOT(ISNUMBER('Price History'!Q7)),NOT(ISNUMBER('Price History'!Q6)),'Price History'!Q6=0),"",'Price History'!Q7/'Price History'!Q6-1),"")</f>
        <v>0.0034651447207501</v>
      </c>
      <c r="R6" s="154" t="n">
        <f aca="false">IFERROR(IF(OR(NOT(ISNUMBER('Price History'!R7)),NOT(ISNUMBER('Price History'!R6)),'Price History'!R6=0),"",'Price History'!R7/'Price History'!R6-1),"")</f>
        <v>0.00264628050573368</v>
      </c>
      <c r="S6" s="154" t="n">
        <f aca="false">IFERROR(IF(OR(NOT(ISNUMBER('Price History'!S7)),NOT(ISNUMBER('Price History'!S6)),'Price History'!S6=0),"",'Price History'!S7/'Price History'!S6-1),"")</f>
        <v>0.00564573041637262</v>
      </c>
      <c r="T6" s="154" t="n">
        <f aca="false">IFERROR(IF(OR(NOT(ISNUMBER('Price History'!T7)),NOT(ISNUMBER('Price History'!T6)),'Price History'!T6=0),"",'Price History'!T7/'Price History'!T6-1),"")</f>
        <v>0.0143032284429914</v>
      </c>
      <c r="U6" s="154" t="n">
        <f aca="false">IFERROR(IF(OR(NOT(ISNUMBER('Price History'!U7)),NOT(ISNUMBER('Price History'!U6)),'Price History'!U6=0),"",'Price History'!U7/'Price History'!U6-1),"")</f>
        <v>0.0100961538461539</v>
      </c>
      <c r="V6" s="155" t="n">
        <f aca="false">IFERROR(IF(OR(NOT(ISNUMBER('Price History'!V7)),NOT(ISNUMBER('Price History'!V6)),'Price History'!V6=0),"",'Price History'!V7/'Price History'!V6-1),"")</f>
        <v>0.0111865587185513</v>
      </c>
      <c r="W6" s="156" t="n">
        <f aca="false">IFERROR('Price History'!B3+(INDEX('Price History'!B:B,MATCH(9.99E+307,'Returns (Calc)'!$A:$A)+1)-'Price History'!B3)*(ROW()-3)/(MATCH(9.99E+307,'Returns (Calc)'!$A:$A)-3),"")</f>
        <v>523.360886075949</v>
      </c>
      <c r="X6" s="156" t="n">
        <f aca="false">IFERROR('Price History'!C3+(INDEX('Price History'!C:C,MATCH(9.99E+307,'Returns (Calc)'!$A:$A)+1)-'Price History'!C3)*(ROW()-3)/(MATCH(9.99E+307,'Returns (Calc)'!$A:$A)-3),"")</f>
        <v>49.2401898734177</v>
      </c>
      <c r="Y6" s="156" t="n">
        <f aca="false">IFERROR('Price History'!D3+(INDEX('Price History'!D:D,MATCH(9.99E+307,'Returns (Calc)'!$A:$A)+1)-'Price History'!D3)*(ROW()-3)/(MATCH(9.99E+307,'Returns (Calc)'!$A:$A)-3),"")</f>
        <v>606.414430379747</v>
      </c>
      <c r="Z6" s="156" t="n">
        <f aca="false">IFERROR('Price History'!E3+(INDEX('Price History'!E:E,MATCH(9.99E+307,'Returns (Calc)'!$A:$A)+1)-'Price History'!E3)*(ROW()-3)/(MATCH(9.99E+307,'Returns (Calc)'!$A:$A)-3),"")</f>
        <v>87.1862025316456</v>
      </c>
      <c r="AA6" s="156" t="n">
        <f aca="false">IFERROR('Price History'!F3+(INDEX('Price History'!F:F,MATCH(9.99E+307,'Returns (Calc)'!$A:$A)+1)-'Price History'!F3)*(ROW()-3)/(MATCH(9.99E+307,'Returns (Calc)'!$A:$A)-3),"")</f>
        <v>45.7020253164557</v>
      </c>
      <c r="AB6" s="156" t="n">
        <f aca="false">IFERROR('Price History'!G3+(INDEX('Price History'!G:G,MATCH(9.99E+307,'Returns (Calc)'!$A:$A)+1)-'Price History'!G3)*(ROW()-3)/(MATCH(9.99E+307,'Returns (Calc)'!$A:$A)-3),"")</f>
        <v>47.4362025316456</v>
      </c>
      <c r="AC6" s="156" t="n">
        <f aca="false">IFERROR('Price History'!H3+(INDEX('Price History'!H:H,MATCH(9.99E+307,'Returns (Calc)'!$A:$A)+1)-'Price History'!H3)*(ROW()-3)/(MATCH(9.99E+307,'Returns (Calc)'!$A:$A)-3),"")</f>
        <v>88.2070886075949</v>
      </c>
      <c r="AD6" s="156" t="n">
        <f aca="false">IFERROR('Price History'!I3+(INDEX('Price History'!I:I,MATCH(9.99E+307,'Returns (Calc)'!$A:$A)+1)-'Price History'!I3)*(ROW()-3)/(MATCH(9.99E+307,'Returns (Calc)'!$A:$A)-3),"")</f>
        <v>47.3810126582279</v>
      </c>
      <c r="AE6" s="156" t="n">
        <f aca="false">IFERROR('Price History'!J3+(INDEX('Price History'!J:J,MATCH(9.99E+307,'Returns (Calc)'!$A:$A)+1)-'Price History'!J3)*(ROW()-3)/(MATCH(9.99E+307,'Returns (Calc)'!$A:$A)-3),"")</f>
        <v>112.164113924051</v>
      </c>
      <c r="AF6" s="156" t="n">
        <f aca="false">IFERROR('Price History'!K3+(INDEX('Price History'!K:K,MATCH(9.99E+307,'Returns (Calc)'!$A:$A)+1)-'Price History'!K3)*(ROW()-3)/(MATCH(9.99E+307,'Returns (Calc)'!$A:$A)-3),"")</f>
        <v>18.6227848101266</v>
      </c>
      <c r="AG6" s="156" t="n">
        <f aca="false">IFERROR('Price History'!L3+(INDEX('Price History'!L:L,MATCH(9.99E+307,'Returns (Calc)'!$A:$A)+1)-'Price History'!L3)*(ROW()-3)/(MATCH(9.99E+307,'Returns (Calc)'!$A:$A)-3),"")</f>
        <v>93.098670886076</v>
      </c>
      <c r="AH6" s="156" t="n">
        <f aca="false">IFERROR('Price History'!M3+(INDEX('Price History'!M:M,MATCH(9.99E+307,'Returns (Calc)'!$A:$A)+1)-'Price History'!M3)*(ROW()-3)/(MATCH(9.99E+307,'Returns (Calc)'!$A:$A)-3),"")</f>
        <v>42.0863291139241</v>
      </c>
      <c r="AI6" s="156" t="n">
        <f aca="false">IFERROR('Price History'!N3+(INDEX('Price History'!N:N,MATCH(9.99E+307,'Returns (Calc)'!$A:$A)+1)-'Price History'!N3)*(ROW()-3)/(MATCH(9.99E+307,'Returns (Calc)'!$A:$A)-3),"")</f>
        <v>351.858797468354</v>
      </c>
      <c r="AJ6" s="156" t="n">
        <f aca="false">IFERROR('Price History'!O3+(INDEX('Price History'!O:O,MATCH(9.99E+307,'Returns (Calc)'!$A:$A)+1)-'Price History'!O3)*(ROW()-3)/(MATCH(9.99E+307,'Returns (Calc)'!$A:$A)-3),"")</f>
        <v>76.1591139240506</v>
      </c>
      <c r="AK6" s="156" t="n">
        <f aca="false">IFERROR('Price History'!Q3+(INDEX('Price History'!Q:Q,MATCH(9.99E+307,'Returns (Calc)'!$A:$A)+1)-'Price History'!Q3)*(ROW()-3)/(MATCH(9.99E+307,'Returns (Calc)'!$A:$A)-3),"")</f>
        <v>1.31810126582278</v>
      </c>
      <c r="AL6" s="156" t="n">
        <f aca="false">IFERROR('Price History'!R3+(INDEX('Price History'!R:R,MATCH(9.99E+307,'Returns (Calc)'!$A:$A)+1)-'Price History'!R3)*(ROW()-3)/(MATCH(9.99E+307,'Returns (Calc)'!$A:$A)-3),"")</f>
        <v>34.9843037974684</v>
      </c>
      <c r="AM6" s="156" t="n">
        <f aca="false">IFERROR('Price History'!S3+(INDEX('Price History'!S:S,MATCH(9.99E+307,'Returns (Calc)'!$A:$A)+1)-'Price History'!S3)*(ROW()-3)/(MATCH(9.99E+307,'Returns (Calc)'!$A:$A)-3),"")</f>
        <v>59.4451898734177</v>
      </c>
      <c r="AN6" s="156" t="n">
        <f aca="false">IFERROR('Price History'!T3+(INDEX('Price History'!T:T,MATCH(9.99E+307,'Returns (Calc)'!$A:$A)+1)-'Price History'!T3)*(ROW()-3)/(MATCH(9.99E+307,'Returns (Calc)'!$A:$A)-3),"")</f>
        <v>25.7446835443038</v>
      </c>
      <c r="AO6" s="157" t="n">
        <f aca="false">IFERROR('Price History'!V3+(INDEX('Price History'!V:V,MATCH(9.99E+307,'Returns (Calc)'!$A:$A)+1)-'Price History'!V3)*(ROW()-3)/(MATCH(9.99E+307,'Returns (Calc)'!$A:$A)-3),"")</f>
        <v>238.003987341772</v>
      </c>
      <c r="AP6" s="155" t="n">
        <f aca="false">IFERROR(IF(OR(NOT(ISNUMBER('Price History'!W7)),NOT(ISNUMBER('Price History'!W6)),'Price History'!W6=0),"",'Price History'!W7/'Price History'!W6-1),"")</f>
        <v>0.0113538988860327</v>
      </c>
      <c r="AQ6" s="155" t="str">
        <f aca="false">IFERROR(IF(OR(NOT(ISNUMBER('Price History'!X7)),NOT(ISNUMBER('Price History'!X6)),'Price History'!X6=0),"",'Price History'!X7/'Price History'!X6-1),"")</f>
        <v/>
      </c>
      <c r="AR6" s="155" t="n">
        <f aca="false">IFERROR(IF(OR(NOT(ISNUMBER('Price History'!Y7)),NOT(ISNUMBER('Price History'!Y6)),'Price History'!Y6=0),"",'Price History'!Y7/'Price History'!Y6-1),"")</f>
        <v>0.00861244019138763</v>
      </c>
      <c r="AS6" s="155" t="n">
        <f aca="false">IFERROR(IF(OR(NOT(ISNUMBER('Price History'!Z7)),NOT(ISNUMBER('Price History'!Z6)),'Price History'!Z6=0),"",'Price History'!Z7/'Price History'!Z6-1),"")</f>
        <v>-0.018837766868364</v>
      </c>
      <c r="AT6" s="155" t="n">
        <f aca="false">IFERROR(IF(OR(NOT(ISNUMBER('Price History'!AA7)),NOT(ISNUMBER('Price History'!AA6)),'Price History'!AA6=0),"",'Price History'!AA7/'Price History'!AA6-1),"")</f>
        <v>-0.0676277850589777</v>
      </c>
      <c r="AU6" s="155" t="n">
        <f aca="false">IFERROR(IF(OR(NOT(ISNUMBER('Price History'!AB7)),NOT(ISNUMBER('Price History'!AB6)),'Price History'!AB6=0),"",'Price History'!AB7/'Price History'!AB6-1),"")</f>
        <v>0.0310591603053436</v>
      </c>
    </row>
    <row r="7" customFormat="false" ht="15" hidden="false" customHeight="true" outlineLevel="0" collapsed="false">
      <c r="A7" s="153" t="n">
        <f aca="false">IF('Price History'!A8="","",'Price History'!A8)</f>
        <v>45219</v>
      </c>
      <c r="B7" s="154" t="n">
        <f aca="false">IFERROR(IF(OR(NOT(ISNUMBER('Price History'!B8)),NOT(ISNUMBER('Price History'!B7)),'Price History'!B7=0),"",'Price History'!B8/'Price History'!B7-1),"")</f>
        <v>-0.0142138639842553</v>
      </c>
      <c r="C7" s="154" t="n">
        <f aca="false">IFERROR(IF(OR(NOT(ISNUMBER('Price History'!C8)),NOT(ISNUMBER('Price History'!C7)),'Price History'!C7=0),"",'Price History'!C8/'Price History'!C7-1),"")</f>
        <v>-0.0195954487989887</v>
      </c>
      <c r="D7" s="154" t="n">
        <f aca="false">IFERROR(IF(OR(NOT(ISNUMBER('Price History'!D8)),NOT(ISNUMBER('Price History'!D7)),'Price History'!D7=0),"",'Price History'!D8/'Price History'!D7-1),"")</f>
        <v>-0.0327675503820316</v>
      </c>
      <c r="E7" s="154" t="n">
        <f aca="false">IFERROR(IF(OR(NOT(ISNUMBER('Price History'!E8)),NOT(ISNUMBER('Price History'!E7)),'Price History'!E7=0),"",'Price History'!E8/'Price History'!E7-1),"")</f>
        <v>-0.0334502923976608</v>
      </c>
      <c r="F7" s="154" t="n">
        <f aca="false">IFERROR(IF(OR(NOT(ISNUMBER('Price History'!F8)),NOT(ISNUMBER('Price History'!F7)),'Price History'!F7=0),"",'Price History'!F8/'Price History'!F7-1),"")</f>
        <v>-0.0374757699763084</v>
      </c>
      <c r="G7" s="154" t="n">
        <f aca="false">IFERROR(IF(OR(NOT(ISNUMBER('Price History'!G8)),NOT(ISNUMBER('Price History'!G7)),'Price History'!G7=0),"",'Price History'!G8/'Price History'!G7-1),"")</f>
        <v>-0.0500631047538915</v>
      </c>
      <c r="H7" s="154" t="n">
        <f aca="false">IFERROR(IF(OR(NOT(ISNUMBER('Price History'!H8)),NOT(ISNUMBER('Price History'!H7)),'Price History'!H7=0),"",'Price History'!H8/'Price History'!H7-1),"")</f>
        <v>-0.0287339556592765</v>
      </c>
      <c r="I7" s="154" t="n">
        <f aca="false">IFERROR(IF(OR(NOT(ISNUMBER('Price History'!I8)),NOT(ISNUMBER('Price History'!I7)),'Price History'!I7=0),"",'Price History'!I8/'Price History'!I7-1),"")</f>
        <v>-0.0897860136774763</v>
      </c>
      <c r="J7" s="154" t="n">
        <f aca="false">IFERROR(IF(OR(NOT(ISNUMBER('Price History'!J8)),NOT(ISNUMBER('Price History'!J7)),'Price History'!J7=0),"",'Price History'!J8/'Price History'!J7-1),"")</f>
        <v>-0.0658899156287666</v>
      </c>
      <c r="K7" s="154" t="n">
        <f aca="false">IFERROR(IF(OR(NOT(ISNUMBER('Price History'!K8)),NOT(ISNUMBER('Price History'!K7)),'Price History'!K7=0),"",'Price History'!K8/'Price History'!K7-1),"")</f>
        <v>-0.0720046082949308</v>
      </c>
      <c r="L7" s="154" t="n">
        <f aca="false">IFERROR(IF(OR(NOT(ISNUMBER('Price History'!L8)),NOT(ISNUMBER('Price History'!L7)),'Price History'!L7=0),"",'Price History'!L8/'Price History'!L7-1),"")</f>
        <v>0.00931891394385653</v>
      </c>
      <c r="M7" s="154" t="n">
        <f aca="false">IFERROR(IF(OR(NOT(ISNUMBER('Price History'!M8)),NOT(ISNUMBER('Price History'!M7)),'Price History'!M7=0),"",'Price History'!M8/'Price History'!M7-1),"")</f>
        <v>-0.0603337612323492</v>
      </c>
      <c r="N7" s="154" t="n">
        <f aca="false">IFERROR(IF(OR(NOT(ISNUMBER('Price History'!N8)),NOT(ISNUMBER('Price History'!N7)),'Price History'!N7=0),"",'Price History'!N8/'Price History'!N7-1),"")</f>
        <v>-0.0246361185983827</v>
      </c>
      <c r="O7" s="154" t="n">
        <f aca="false">IFERROR(IF(OR(NOT(ISNUMBER('Price History'!O8)),NOT(ISNUMBER('Price History'!O7)),'Price History'!O7=0),"",'Price History'!O8/'Price History'!O7-1),"")</f>
        <v>-0.0167450871851648</v>
      </c>
      <c r="P7" s="154" t="n">
        <f aca="false">IFERROR(IF(OR(NOT(ISNUMBER('Price History'!P8)),NOT(ISNUMBER('Price History'!P7)),'Price History'!P7=0),"",'Price History'!P8/'Price History'!P7-1),"")</f>
        <v>-0.019011804032174</v>
      </c>
      <c r="Q7" s="154" t="n">
        <f aca="false">IFERROR(IF(OR(NOT(ISNUMBER('Price History'!Q8)),NOT(ISNUMBER('Price History'!Q7)),'Price History'!Q7=0),"",'Price History'!Q8/'Price History'!Q7-1),"")</f>
        <v>-0.011375177737152</v>
      </c>
      <c r="R7" s="154" t="n">
        <f aca="false">IFERROR(IF(OR(NOT(ISNUMBER('Price History'!R8)),NOT(ISNUMBER('Price History'!R7)),'Price History'!R7=0),"",'Price History'!R8/'Price History'!R7-1),"")</f>
        <v>-0.0196480938416422</v>
      </c>
      <c r="S7" s="154" t="n">
        <f aca="false">IFERROR(IF(OR(NOT(ISNUMBER('Price History'!S8)),NOT(ISNUMBER('Price History'!S7)),'Price History'!S7=0),"",'Price History'!S8/'Price History'!S7-1),"")</f>
        <v>-0.0289473684210526</v>
      </c>
      <c r="T7" s="154" t="n">
        <f aca="false">IFERROR(IF(OR(NOT(ISNUMBER('Price History'!T8)),NOT(ISNUMBER('Price History'!T7)),'Price History'!T7=0),"",'Price History'!T8/'Price History'!T7-1),"")</f>
        <v>-0.0124899274778404</v>
      </c>
      <c r="U7" s="154" t="n">
        <f aca="false">IFERROR(IF(OR(NOT(ISNUMBER('Price History'!U8)),NOT(ISNUMBER('Price History'!U7)),'Price History'!U7=0),"",'Price History'!U8/'Price History'!U7-1),"")</f>
        <v>-0.0147548786292243</v>
      </c>
      <c r="V7" s="155" t="n">
        <f aca="false">IFERROR(IF(OR(NOT(ISNUMBER('Price History'!V8)),NOT(ISNUMBER('Price History'!V7)),'Price History'!V7=0),"",'Price History'!V8/'Price History'!V7-1),"")</f>
        <v>-0.0180362446730662</v>
      </c>
      <c r="W7" s="156" t="n">
        <f aca="false">IFERROR('Price History'!B3+(INDEX('Price History'!B:B,MATCH(9.99E+307,'Returns (Calc)'!$A:$A)+1)-'Price History'!B3)*(ROW()-3)/(MATCH(9.99E+307,'Returns (Calc)'!$A:$A)-3),"")</f>
        <v>521.517848101266</v>
      </c>
      <c r="X7" s="156" t="n">
        <f aca="false">IFERROR('Price History'!C3+(INDEX('Price History'!C:C,MATCH(9.99E+307,'Returns (Calc)'!$A:$A)+1)-'Price History'!C3)*(ROW()-3)/(MATCH(9.99E+307,'Returns (Calc)'!$A:$A)-3),"")</f>
        <v>50.260253164557</v>
      </c>
      <c r="Y7" s="156" t="n">
        <f aca="false">IFERROR('Price History'!D3+(INDEX('Price History'!D:D,MATCH(9.99E+307,'Returns (Calc)'!$A:$A)+1)-'Price History'!D3)*(ROW()-3)/(MATCH(9.99E+307,'Returns (Calc)'!$A:$A)-3),"")</f>
        <v>614.549240506329</v>
      </c>
      <c r="Z7" s="156" t="n">
        <f aca="false">IFERROR('Price History'!E3+(INDEX('Price History'!E:E,MATCH(9.99E+307,'Returns (Calc)'!$A:$A)+1)-'Price History'!E3)*(ROW()-3)/(MATCH(9.99E+307,'Returns (Calc)'!$A:$A)-3),"")</f>
        <v>88.9149367088608</v>
      </c>
      <c r="AA7" s="156" t="n">
        <f aca="false">IFERROR('Price History'!F3+(INDEX('Price History'!F:F,MATCH(9.99E+307,'Returns (Calc)'!$A:$A)+1)-'Price History'!F3)*(ROW()-3)/(MATCH(9.99E+307,'Returns (Calc)'!$A:$A)-3),"")</f>
        <v>47.1493670886076</v>
      </c>
      <c r="AB7" s="156" t="n">
        <f aca="false">IFERROR('Price History'!G3+(INDEX('Price History'!G:G,MATCH(9.99E+307,'Returns (Calc)'!$A:$A)+1)-'Price History'!G3)*(ROW()-3)/(MATCH(9.99E+307,'Returns (Calc)'!$A:$A)-3),"")</f>
        <v>48.4649367088608</v>
      </c>
      <c r="AC7" s="156" t="n">
        <f aca="false">IFERROR('Price History'!H3+(INDEX('Price History'!H:H,MATCH(9.99E+307,'Returns (Calc)'!$A:$A)+1)-'Price History'!H3)*(ROW()-3)/(MATCH(9.99E+307,'Returns (Calc)'!$A:$A)-3),"")</f>
        <v>94.5727848101266</v>
      </c>
      <c r="AD7" s="156" t="n">
        <f aca="false">IFERROR('Price History'!I3+(INDEX('Price History'!I:I,MATCH(9.99E+307,'Returns (Calc)'!$A:$A)+1)-'Price History'!I3)*(ROW()-3)/(MATCH(9.99E+307,'Returns (Calc)'!$A:$A)-3),"")</f>
        <v>48.5846835443038</v>
      </c>
      <c r="AE7" s="156" t="n">
        <f aca="false">IFERROR('Price History'!J3+(INDEX('Price History'!J:J,MATCH(9.99E+307,'Returns (Calc)'!$A:$A)+1)-'Price History'!J3)*(ROW()-3)/(MATCH(9.99E+307,'Returns (Calc)'!$A:$A)-3),"")</f>
        <v>112.272151898734</v>
      </c>
      <c r="AF7" s="156" t="n">
        <f aca="false">IFERROR('Price History'!K3+(INDEX('Price History'!K:K,MATCH(9.99E+307,'Returns (Calc)'!$A:$A)+1)-'Price History'!K3)*(ROW()-3)/(MATCH(9.99E+307,'Returns (Calc)'!$A:$A)-3),"")</f>
        <v>19.7203797468354</v>
      </c>
      <c r="AG7" s="156" t="n">
        <f aca="false">IFERROR('Price History'!L3+(INDEX('Price History'!L:L,MATCH(9.99E+307,'Returns (Calc)'!$A:$A)+1)-'Price History'!L3)*(ROW()-3)/(MATCH(9.99E+307,'Returns (Calc)'!$A:$A)-3),"")</f>
        <v>95.5482278481013</v>
      </c>
      <c r="AH7" s="156" t="n">
        <f aca="false">IFERROR('Price History'!M3+(INDEX('Price History'!M:M,MATCH(9.99E+307,'Returns (Calc)'!$A:$A)+1)-'Price History'!M3)*(ROW()-3)/(MATCH(9.99E+307,'Returns (Calc)'!$A:$A)-3),"")</f>
        <v>43.4417721518987</v>
      </c>
      <c r="AI7" s="156" t="n">
        <f aca="false">IFERROR('Price History'!N3+(INDEX('Price History'!N:N,MATCH(9.99E+307,'Returns (Calc)'!$A:$A)+1)-'Price History'!N3)*(ROW()-3)/(MATCH(9.99E+307,'Returns (Calc)'!$A:$A)-3),"")</f>
        <v>352.845063291139</v>
      </c>
      <c r="AJ7" s="156" t="n">
        <f aca="false">IFERROR('Price History'!O3+(INDEX('Price History'!O:O,MATCH(9.99E+307,'Returns (Calc)'!$A:$A)+1)-'Price History'!O3)*(ROW()-3)/(MATCH(9.99E+307,'Returns (Calc)'!$A:$A)-3),"")</f>
        <v>76.4421518987342</v>
      </c>
      <c r="AK7" s="156" t="n">
        <f aca="false">IFERROR('Price History'!Q3+(INDEX('Price History'!Q:Q,MATCH(9.99E+307,'Returns (Calc)'!$A:$A)+1)-'Price History'!Q3)*(ROW()-3)/(MATCH(9.99E+307,'Returns (Calc)'!$A:$A)-3),"")</f>
        <v>1.75746835443038</v>
      </c>
      <c r="AL7" s="156" t="n">
        <f aca="false">IFERROR('Price History'!R3+(INDEX('Price History'!R:R,MATCH(9.99E+307,'Returns (Calc)'!$A:$A)+1)-'Price History'!R3)*(ROW()-3)/(MATCH(9.99E+307,'Returns (Calc)'!$A:$A)-3),"")</f>
        <v>35.1524050632911</v>
      </c>
      <c r="AM7" s="156" t="n">
        <f aca="false">IFERROR('Price History'!S3+(INDEX('Price History'!S:S,MATCH(9.99E+307,'Returns (Calc)'!$A:$A)+1)-'Price History'!S3)*(ROW()-3)/(MATCH(9.99E+307,'Returns (Calc)'!$A:$A)-3),"")</f>
        <v>60.050253164557</v>
      </c>
      <c r="AN7" s="156" t="n">
        <f aca="false">IFERROR('Price History'!T3+(INDEX('Price History'!T:T,MATCH(9.99E+307,'Returns (Calc)'!$A:$A)+1)-'Price History'!T3)*(ROW()-3)/(MATCH(9.99E+307,'Returns (Calc)'!$A:$A)-3),"")</f>
        <v>25.9129113924051</v>
      </c>
      <c r="AO7" s="157" t="n">
        <f aca="false">IFERROR('Price History'!V3+(INDEX('Price History'!V:V,MATCH(9.99E+307,'Returns (Calc)'!$A:$A)+1)-'Price History'!V3)*(ROW()-3)/(MATCH(9.99E+307,'Returns (Calc)'!$A:$A)-3),"")</f>
        <v>238.795316455696</v>
      </c>
      <c r="AP7" s="155" t="n">
        <f aca="false">IFERROR(IF(OR(NOT(ISNUMBER('Price History'!W8)),NOT(ISNUMBER('Price History'!W7)),'Price History'!W7=0),"",'Price History'!W8/'Price History'!W7-1),"")</f>
        <v>-0.0121796229612371</v>
      </c>
      <c r="AQ7" s="155" t="str">
        <f aca="false">IFERROR(IF(OR(NOT(ISNUMBER('Price History'!X8)),NOT(ISNUMBER('Price History'!X7)),'Price History'!X7=0),"",'Price History'!X8/'Price History'!X7-1),"")</f>
        <v/>
      </c>
      <c r="AR7" s="155" t="n">
        <f aca="false">IFERROR(IF(OR(NOT(ISNUMBER('Price History'!Y8)),NOT(ISNUMBER('Price History'!Y7)),'Price History'!Y7=0),"",'Price History'!Y8/'Price History'!Y7-1),"")</f>
        <v>-0.0147058823529411</v>
      </c>
      <c r="AS7" s="155" t="n">
        <f aca="false">IFERROR(IF(OR(NOT(ISNUMBER('Price History'!Z8)),NOT(ISNUMBER('Price History'!Z7)),'Price History'!Z7=0),"",'Price History'!Z8/'Price History'!Z7-1),"")</f>
        <v>-0.0301373050965791</v>
      </c>
      <c r="AT7" s="155" t="n">
        <f aca="false">IFERROR(IF(OR(NOT(ISNUMBER('Price History'!AA8)),NOT(ISNUMBER('Price History'!AA7)),'Price History'!AA7=0),"",'Price History'!AA8/'Price History'!AA7-1),"")</f>
        <v>0.127354512229407</v>
      </c>
      <c r="AU7" s="155" t="n">
        <f aca="false">IFERROR(IF(OR(NOT(ISNUMBER('Price History'!AB8)),NOT(ISNUMBER('Price History'!AB7)),'Price History'!AB7=0),"",'Price History'!AB8/'Price History'!AB7-1),"")</f>
        <v>-0.0727407338855214</v>
      </c>
    </row>
    <row r="8" customFormat="false" ht="15" hidden="false" customHeight="true" outlineLevel="0" collapsed="false">
      <c r="A8" s="153" t="n">
        <f aca="false">IF('Price History'!A9="","",'Price History'!A9)</f>
        <v>45226</v>
      </c>
      <c r="B8" s="154" t="n">
        <f aca="false">IFERROR(IF(OR(NOT(ISNUMBER('Price History'!B9)),NOT(ISNUMBER('Price History'!B8)),'Price History'!B8=0),"",'Price History'!B9/'Price History'!B8-1),"")</f>
        <v>-0.0607068914522331</v>
      </c>
      <c r="C8" s="154" t="n">
        <f aca="false">IFERROR(IF(OR(NOT(ISNUMBER('Price History'!C9)),NOT(ISNUMBER('Price History'!C8)),'Price History'!C8=0),"",'Price History'!C9/'Price History'!C8-1),"")</f>
        <v>-0.0532989469159683</v>
      </c>
      <c r="D8" s="154" t="n">
        <f aca="false">IFERROR(IF(OR(NOT(ISNUMBER('Price History'!D9)),NOT(ISNUMBER('Price History'!D8)),'Price History'!D8=0),"",'Price History'!D9/'Price History'!D8-1),"")</f>
        <v>0.0170713604071677</v>
      </c>
      <c r="E8" s="154" t="n">
        <f aca="false">IFERROR(IF(OR(NOT(ISNUMBER('Price History'!E9)),NOT(ISNUMBER('Price History'!E8)),'Price History'!E8=0),"",'Price History'!E9/'Price History'!E8-1),"")</f>
        <v>-0.0179090029041626</v>
      </c>
      <c r="F8" s="154" t="n">
        <f aca="false">IFERROR(IF(OR(NOT(ISNUMBER('Price History'!F9)),NOT(ISNUMBER('Price History'!F8)),'Price History'!F8=0),"",'Price History'!F9/'Price History'!F8-1),"")</f>
        <v>-0.0331170284179906</v>
      </c>
      <c r="G8" s="154" t="n">
        <f aca="false">IFERROR(IF(OR(NOT(ISNUMBER('Price History'!G9)),NOT(ISNUMBER('Price History'!G8)),'Price History'!G8=0),"",'Price History'!G9/'Price History'!G8-1),"")</f>
        <v>-0.00974313551815764</v>
      </c>
      <c r="H8" s="154" t="n">
        <f aca="false">IFERROR(IF(OR(NOT(ISNUMBER('Price History'!H9)),NOT(ISNUMBER('Price History'!H8)),'Price History'!H8=0),"",'Price History'!H9/'Price History'!H8-1),"")</f>
        <v>-0.0234269409821295</v>
      </c>
      <c r="I8" s="154" t="n">
        <f aca="false">IFERROR(IF(OR(NOT(ISNUMBER('Price History'!I9)),NOT(ISNUMBER('Price History'!I8)),'Price History'!I8=0),"",'Price History'!I9/'Price History'!I8-1),"")</f>
        <v>-0.0213281628696073</v>
      </c>
      <c r="J8" s="154" t="n">
        <f aca="false">IFERROR(IF(OR(NOT(ISNUMBER('Price History'!J9)),NOT(ISNUMBER('Price History'!J8)),'Price History'!J8=0),"",'Price History'!J9/'Price History'!J8-1),"")</f>
        <v>-0.0498924731182796</v>
      </c>
      <c r="K8" s="154" t="n">
        <f aca="false">IFERROR(IF(OR(NOT(ISNUMBER('Price History'!K9)),NOT(ISNUMBER('Price History'!K8)),'Price History'!K8=0),"",'Price History'!K9/'Price History'!K8-1),"")</f>
        <v>-0.0645561762880198</v>
      </c>
      <c r="L8" s="154" t="n">
        <f aca="false">IFERROR(IF(OR(NOT(ISNUMBER('Price History'!L9)),NOT(ISNUMBER('Price History'!L8)),'Price History'!L8=0),"",'Price History'!L9/'Price History'!L8-1),"")</f>
        <v>-0.0582468938789468</v>
      </c>
      <c r="M8" s="154" t="n">
        <f aca="false">IFERROR(IF(OR(NOT(ISNUMBER('Price History'!M9)),NOT(ISNUMBER('Price History'!M8)),'Price History'!M8=0),"",'Price History'!M9/'Price History'!M8-1),"")</f>
        <v>-0.00874316939890707</v>
      </c>
      <c r="N8" s="154" t="n">
        <f aca="false">IFERROR(IF(OR(NOT(ISNUMBER('Price History'!N9)),NOT(ISNUMBER('Price History'!N8)),'Price History'!N8=0),"",'Price History'!N9/'Price History'!N8-1),"")</f>
        <v>-0.018183827999779</v>
      </c>
      <c r="O8" s="154" t="n">
        <f aca="false">IFERROR(IF(OR(NOT(ISNUMBER('Price History'!O9)),NOT(ISNUMBER('Price History'!O8)),'Price History'!O8=0),"",'Price History'!O9/'Price History'!O8-1),"")</f>
        <v>-0.0154820548909218</v>
      </c>
      <c r="P8" s="154" t="n">
        <f aca="false">IFERROR(IF(OR(NOT(ISNUMBER('Price History'!P9)),NOT(ISNUMBER('Price History'!P8)),'Price History'!P8=0),"",'Price History'!P9/'Price History'!P8-1),"")</f>
        <v>-0.0160792247896921</v>
      </c>
      <c r="Q8" s="154" t="n">
        <f aca="false">IFERROR(IF(OR(NOT(ISNUMBER('Price History'!Q9)),NOT(ISNUMBER('Price History'!Q8)),'Price History'!Q8=0),"",'Price History'!Q9/'Price History'!Q8-1),"")</f>
        <v>-0.0172590918430245</v>
      </c>
      <c r="R8" s="154" t="n">
        <f aca="false">IFERROR(IF(OR(NOT(ISNUMBER('Price History'!R9)),NOT(ISNUMBER('Price History'!R8)),'Price History'!R8=0),"",'Price History'!R9/'Price History'!R8-1),"")</f>
        <v>-0.0209392760993121</v>
      </c>
      <c r="S8" s="154" t="n">
        <f aca="false">IFERROR(IF(OR(NOT(ISNUMBER('Price History'!S9)),NOT(ISNUMBER('Price History'!S8)),'Price History'!S8=0),"",'Price History'!S9/'Price History'!S8-1),"")</f>
        <v>-0.0202348690153569</v>
      </c>
      <c r="T8" s="154" t="n">
        <f aca="false">IFERROR(IF(OR(NOT(ISNUMBER('Price History'!T9)),NOT(ISNUMBER('Price History'!T8)),'Price History'!T8=0),"",'Price History'!T9/'Price History'!T8-1),"")</f>
        <v>-0.0330477356181151</v>
      </c>
      <c r="U8" s="154" t="n">
        <f aca="false">IFERROR(IF(OR(NOT(ISNUMBER('Price History'!U9)),NOT(ISNUMBER('Price History'!U8)),'Price History'!U8=0),"",'Price History'!U9/'Price History'!U8-1),"")</f>
        <v>-0.0342995169082126</v>
      </c>
      <c r="V8" s="155" t="n">
        <f aca="false">IFERROR(IF(OR(NOT(ISNUMBER('Price History'!V9)),NOT(ISNUMBER('Price History'!V8)),'Price History'!V8=0),"",'Price History'!V9/'Price History'!V8-1),"")</f>
        <v>-0.0176223040504998</v>
      </c>
      <c r="W8" s="156" t="n">
        <f aca="false">IFERROR('Price History'!B3+(INDEX('Price History'!B:B,MATCH(9.99E+307,'Returns (Calc)'!$A:$A)+1)-'Price History'!B3)*(ROW()-3)/(MATCH(9.99E+307,'Returns (Calc)'!$A:$A)-3),"")</f>
        <v>519.674810126582</v>
      </c>
      <c r="X8" s="156" t="n">
        <f aca="false">IFERROR('Price History'!C3+(INDEX('Price History'!C:C,MATCH(9.99E+307,'Returns (Calc)'!$A:$A)+1)-'Price History'!C3)*(ROW()-3)/(MATCH(9.99E+307,'Returns (Calc)'!$A:$A)-3),"")</f>
        <v>51.2803164556962</v>
      </c>
      <c r="Y8" s="156" t="n">
        <f aca="false">IFERROR('Price History'!D3+(INDEX('Price History'!D:D,MATCH(9.99E+307,'Returns (Calc)'!$A:$A)+1)-'Price History'!D3)*(ROW()-3)/(MATCH(9.99E+307,'Returns (Calc)'!$A:$A)-3),"")</f>
        <v>622.684050632911</v>
      </c>
      <c r="Z8" s="156" t="n">
        <f aca="false">IFERROR('Price History'!E3+(INDEX('Price History'!E:E,MATCH(9.99E+307,'Returns (Calc)'!$A:$A)+1)-'Price History'!E3)*(ROW()-3)/(MATCH(9.99E+307,'Returns (Calc)'!$A:$A)-3),"")</f>
        <v>90.643670886076</v>
      </c>
      <c r="AA8" s="156" t="n">
        <f aca="false">IFERROR('Price History'!F3+(INDEX('Price History'!F:F,MATCH(9.99E+307,'Returns (Calc)'!$A:$A)+1)-'Price History'!F3)*(ROW()-3)/(MATCH(9.99E+307,'Returns (Calc)'!$A:$A)-3),"")</f>
        <v>48.5967088607595</v>
      </c>
      <c r="AB8" s="156" t="n">
        <f aca="false">IFERROR('Price History'!G3+(INDEX('Price History'!G:G,MATCH(9.99E+307,'Returns (Calc)'!$A:$A)+1)-'Price History'!G3)*(ROW()-3)/(MATCH(9.99E+307,'Returns (Calc)'!$A:$A)-3),"")</f>
        <v>49.493670886076</v>
      </c>
      <c r="AC8" s="156" t="n">
        <f aca="false">IFERROR('Price History'!H3+(INDEX('Price History'!H:H,MATCH(9.99E+307,'Returns (Calc)'!$A:$A)+1)-'Price History'!H3)*(ROW()-3)/(MATCH(9.99E+307,'Returns (Calc)'!$A:$A)-3),"")</f>
        <v>100.938481012658</v>
      </c>
      <c r="AD8" s="156" t="n">
        <f aca="false">IFERROR('Price History'!I3+(INDEX('Price History'!I:I,MATCH(9.99E+307,'Returns (Calc)'!$A:$A)+1)-'Price History'!I3)*(ROW()-3)/(MATCH(9.99E+307,'Returns (Calc)'!$A:$A)-3),"")</f>
        <v>49.7883544303798</v>
      </c>
      <c r="AE8" s="156" t="n">
        <f aca="false">IFERROR('Price History'!J3+(INDEX('Price History'!J:J,MATCH(9.99E+307,'Returns (Calc)'!$A:$A)+1)-'Price History'!J3)*(ROW()-3)/(MATCH(9.99E+307,'Returns (Calc)'!$A:$A)-3),"")</f>
        <v>112.380189873418</v>
      </c>
      <c r="AF8" s="156" t="n">
        <f aca="false">IFERROR('Price History'!K3+(INDEX('Price History'!K:K,MATCH(9.99E+307,'Returns (Calc)'!$A:$A)+1)-'Price History'!K3)*(ROW()-3)/(MATCH(9.99E+307,'Returns (Calc)'!$A:$A)-3),"")</f>
        <v>20.8179746835443</v>
      </c>
      <c r="AG8" s="156" t="n">
        <f aca="false">IFERROR('Price History'!L3+(INDEX('Price History'!L:L,MATCH(9.99E+307,'Returns (Calc)'!$A:$A)+1)-'Price History'!L3)*(ROW()-3)/(MATCH(9.99E+307,'Returns (Calc)'!$A:$A)-3),"")</f>
        <v>97.9977848101266</v>
      </c>
      <c r="AH8" s="156" t="n">
        <f aca="false">IFERROR('Price History'!M3+(INDEX('Price History'!M:M,MATCH(9.99E+307,'Returns (Calc)'!$A:$A)+1)-'Price History'!M3)*(ROW()-3)/(MATCH(9.99E+307,'Returns (Calc)'!$A:$A)-3),"")</f>
        <v>44.7972151898734</v>
      </c>
      <c r="AI8" s="156" t="n">
        <f aca="false">IFERROR('Price History'!N3+(INDEX('Price History'!N:N,MATCH(9.99E+307,'Returns (Calc)'!$A:$A)+1)-'Price History'!N3)*(ROW()-3)/(MATCH(9.99E+307,'Returns (Calc)'!$A:$A)-3),"")</f>
        <v>353.831329113924</v>
      </c>
      <c r="AJ8" s="156" t="n">
        <f aca="false">IFERROR('Price History'!O3+(INDEX('Price History'!O:O,MATCH(9.99E+307,'Returns (Calc)'!$A:$A)+1)-'Price History'!O3)*(ROW()-3)/(MATCH(9.99E+307,'Returns (Calc)'!$A:$A)-3),"")</f>
        <v>76.7251898734177</v>
      </c>
      <c r="AK8" s="156" t="n">
        <f aca="false">IFERROR('Price History'!Q3+(INDEX('Price History'!Q:Q,MATCH(9.99E+307,'Returns (Calc)'!$A:$A)+1)-'Price History'!Q3)*(ROW()-3)/(MATCH(9.99E+307,'Returns (Calc)'!$A:$A)-3),"")</f>
        <v>2.19683544303798</v>
      </c>
      <c r="AL8" s="156" t="n">
        <f aca="false">IFERROR('Price History'!R3+(INDEX('Price History'!R:R,MATCH(9.99E+307,'Returns (Calc)'!$A:$A)+1)-'Price History'!R3)*(ROW()-3)/(MATCH(9.99E+307,'Returns (Calc)'!$A:$A)-3),"")</f>
        <v>35.3205063291139</v>
      </c>
      <c r="AM8" s="156" t="n">
        <f aca="false">IFERROR('Price History'!S3+(INDEX('Price History'!S:S,MATCH(9.99E+307,'Returns (Calc)'!$A:$A)+1)-'Price History'!S3)*(ROW()-3)/(MATCH(9.99E+307,'Returns (Calc)'!$A:$A)-3),"")</f>
        <v>60.6553164556962</v>
      </c>
      <c r="AN8" s="156" t="n">
        <f aca="false">IFERROR('Price History'!T3+(INDEX('Price History'!T:T,MATCH(9.99E+307,'Returns (Calc)'!$A:$A)+1)-'Price History'!T3)*(ROW()-3)/(MATCH(9.99E+307,'Returns (Calc)'!$A:$A)-3),"")</f>
        <v>26.0811392405063</v>
      </c>
      <c r="AO8" s="157" t="n">
        <f aca="false">IFERROR('Price History'!V3+(INDEX('Price History'!V:V,MATCH(9.99E+307,'Returns (Calc)'!$A:$A)+1)-'Price History'!V3)*(ROW()-3)/(MATCH(9.99E+307,'Returns (Calc)'!$A:$A)-3),"")</f>
        <v>239.58664556962</v>
      </c>
      <c r="AP8" s="155" t="n">
        <f aca="false">IFERROR(IF(OR(NOT(ISNUMBER('Price History'!W9)),NOT(ISNUMBER('Price History'!W8)),'Price History'!W8=0),"",'Price History'!W9/'Price History'!W8-1),"")</f>
        <v>-0.0247668060469605</v>
      </c>
      <c r="AQ8" s="155" t="str">
        <f aca="false">IFERROR(IF(OR(NOT(ISNUMBER('Price History'!X9)),NOT(ISNUMBER('Price History'!X8)),'Price History'!X8=0),"",'Price History'!X9/'Price History'!X8-1),"")</f>
        <v/>
      </c>
      <c r="AR8" s="155" t="n">
        <f aca="false">IFERROR(IF(OR(NOT(ISNUMBER('Price History'!Y9)),NOT(ISNUMBER('Price History'!Y8)),'Price History'!Y8=0),"",'Price History'!Y9/'Price History'!Y8-1),"")</f>
        <v>-0.0221473278767453</v>
      </c>
      <c r="AS8" s="155" t="n">
        <f aca="false">IFERROR(IF(OR(NOT(ISNUMBER('Price History'!Z9)),NOT(ISNUMBER('Price History'!Z8)),'Price History'!Z8=0),"",'Price History'!Z9/'Price History'!Z8-1),"")</f>
        <v>0.00251949610077995</v>
      </c>
      <c r="AT8" s="155" t="n">
        <f aca="false">IFERROR(IF(OR(NOT(ISNUMBER('Price History'!AA9)),NOT(ISNUMBER('Price History'!AA8)),'Price History'!AA8=0),"",'Price History'!AA9/'Price History'!AA8-1),"")</f>
        <v>-0.00773067331670829</v>
      </c>
      <c r="AU8" s="155" t="n">
        <f aca="false">IFERROR(IF(OR(NOT(ISNUMBER('Price History'!AB9)),NOT(ISNUMBER('Price History'!AB8)),'Price History'!AB8=0),"",'Price History'!AB9/'Price History'!AB8-1),"")</f>
        <v>-0.0542442237636608</v>
      </c>
    </row>
    <row r="9" customFormat="false" ht="15" hidden="false" customHeight="true" outlineLevel="0" collapsed="false">
      <c r="A9" s="153" t="n">
        <f aca="false">IF('Price History'!A10="","",'Price History'!A10)</f>
        <v>45233</v>
      </c>
      <c r="B9" s="154" t="n">
        <f aca="false">IFERROR(IF(OR(NOT(ISNUMBER('Price History'!B10)),NOT(ISNUMBER('Price History'!B9)),'Price History'!B9=0),"",'Price History'!B10/'Price History'!B9-1),"")</f>
        <v>0.10930488860899</v>
      </c>
      <c r="C9" s="154" t="n">
        <f aca="false">IFERROR(IF(OR(NOT(ISNUMBER('Price History'!C10)),NOT(ISNUMBER('Price History'!C9)),'Price History'!C9=0),"",'Price History'!C10/'Price History'!C9-1),"")</f>
        <v>0.205902383654938</v>
      </c>
      <c r="D9" s="154" t="n">
        <f aca="false">IFERROR(IF(OR(NOT(ISNUMBER('Price History'!D10)),NOT(ISNUMBER('Price History'!D9)),'Price History'!D9=0),"",'Price History'!D10/'Price History'!D9-1),"")</f>
        <v>0.0916041145398945</v>
      </c>
      <c r="E9" s="154" t="n">
        <f aca="false">IFERROR(IF(OR(NOT(ISNUMBER('Price History'!E10)),NOT(ISNUMBER('Price History'!E9)),'Price History'!E9=0),"",'Price History'!E10/'Price History'!E9-1),"")</f>
        <v>0.0528585510103501</v>
      </c>
      <c r="F9" s="154" t="n">
        <f aca="false">IFERROR(IF(OR(NOT(ISNUMBER('Price History'!F10)),NOT(ISNUMBER('Price History'!F9)),'Price History'!F9=0),"",'Price History'!F10/'Price History'!F9-1),"")</f>
        <v>0.0890997454292988</v>
      </c>
      <c r="G9" s="154" t="n">
        <f aca="false">IFERROR(IF(OR(NOT(ISNUMBER('Price History'!G10)),NOT(ISNUMBER('Price History'!G9)),'Price History'!G9=0),"",'Price History'!G10/'Price History'!G9-1),"")</f>
        <v>0.091010733452594</v>
      </c>
      <c r="H9" s="154" t="n">
        <f aca="false">IFERROR(IF(OR(NOT(ISNUMBER('Price History'!H10)),NOT(ISNUMBER('Price History'!H9)),'Price History'!H9=0),"",'Price History'!H10/'Price History'!H9-1),"")</f>
        <v>0.10564354913117</v>
      </c>
      <c r="I9" s="154" t="n">
        <f aca="false">IFERROR(IF(OR(NOT(ISNUMBER('Price History'!I10)),NOT(ISNUMBER('Price History'!I9)),'Price History'!I9=0),"",'Price History'!I10/'Price History'!I9-1),"")</f>
        <v>0.111193660227835</v>
      </c>
      <c r="J9" s="154" t="n">
        <f aca="false">IFERROR(IF(OR(NOT(ISNUMBER('Price History'!J10)),NOT(ISNUMBER('Price History'!J9)),'Price History'!J9=0),"",'Price History'!J10/'Price History'!J9-1),"")</f>
        <v>0.0948392937980986</v>
      </c>
      <c r="K9" s="154" t="n">
        <f aca="false">IFERROR(IF(OR(NOT(ISNUMBER('Price History'!K10)),NOT(ISNUMBER('Price History'!K9)),'Price History'!K9=0),"",'Price History'!K10/'Price History'!K9-1),"")</f>
        <v>0.253483742534838</v>
      </c>
      <c r="L9" s="154" t="n">
        <f aca="false">IFERROR(IF(OR(NOT(ISNUMBER('Price History'!L10)),NOT(ISNUMBER('Price History'!L9)),'Price History'!L9=0),"",'Price History'!L10/'Price History'!L9-1),"")</f>
        <v>0.0674170902929072</v>
      </c>
      <c r="M9" s="154" t="n">
        <f aca="false">IFERROR(IF(OR(NOT(ISNUMBER('Price History'!M10)),NOT(ISNUMBER('Price History'!M9)),'Price History'!M9=0),"",'Price History'!M10/'Price History'!M9-1),"")</f>
        <v>0.110253583241455</v>
      </c>
      <c r="N9" s="154" t="n">
        <f aca="false">IFERROR(IF(OR(NOT(ISNUMBER('Price History'!N10)),NOT(ISNUMBER('Price History'!N9)),'Price History'!N9=0),"",'Price History'!N10/'Price History'!N9-1),"")</f>
        <v>0.0588831344291827</v>
      </c>
      <c r="O9" s="154" t="n">
        <f aca="false">IFERROR(IF(OR(NOT(ISNUMBER('Price History'!O10)),NOT(ISNUMBER('Price History'!O9)),'Price History'!O9=0),"",'Price History'!O10/'Price History'!O9-1),"")</f>
        <v>0.0716225875625445</v>
      </c>
      <c r="P9" s="154" t="n">
        <f aca="false">IFERROR(IF(OR(NOT(ISNUMBER('Price History'!P10)),NOT(ISNUMBER('Price History'!P9)),'Price History'!P9=0),"",'Price History'!P10/'Price History'!P9-1),"")</f>
        <v>0.0586580086580084</v>
      </c>
      <c r="Q9" s="154" t="n">
        <f aca="false">IFERROR(IF(OR(NOT(ISNUMBER('Price History'!Q10)),NOT(ISNUMBER('Price History'!Q9)),'Price History'!Q9=0),"",'Price History'!Q10/'Price History'!Q9-1),"")</f>
        <v>0.0403512439891283</v>
      </c>
      <c r="R9" s="154" t="n">
        <f aca="false">IFERROR(IF(OR(NOT(ISNUMBER('Price History'!R10)),NOT(ISNUMBER('Price History'!R9)),'Price History'!R9=0),"",'Price History'!R10/'Price History'!R9-1),"")</f>
        <v>0.0574396578062939</v>
      </c>
      <c r="S9" s="154" t="n">
        <f aca="false">IFERROR(IF(OR(NOT(ISNUMBER('Price History'!S10)),NOT(ISNUMBER('Price History'!S9)),'Price History'!S9=0),"",'Price History'!S10/'Price History'!S9-1),"")</f>
        <v>0.0584547298543243</v>
      </c>
      <c r="T9" s="154" t="n">
        <f aca="false">IFERROR(IF(OR(NOT(ISNUMBER('Price History'!T10)),NOT(ISNUMBER('Price History'!T9)),'Price History'!T9=0),"",'Price History'!T10/'Price History'!T9-1),"")</f>
        <v>0.0586497890295359</v>
      </c>
      <c r="U9" s="154" t="n">
        <f aca="false">IFERROR(IF(OR(NOT(ISNUMBER('Price History'!U10)),NOT(ISNUMBER('Price History'!U9)),'Price History'!U9=0),"",'Price History'!U10/'Price History'!U9-1),"")</f>
        <v>0.0500250125062531</v>
      </c>
      <c r="V9" s="155" t="n">
        <f aca="false">IFERROR(IF(OR(NOT(ISNUMBER('Price History'!V10)),NOT(ISNUMBER('Price History'!V9)),'Price History'!V9=0),"",'Price History'!V10/'Price History'!V9-1),"")</f>
        <v>0.062516733601071</v>
      </c>
      <c r="W9" s="156" t="n">
        <f aca="false">IFERROR('Price History'!B3+(INDEX('Price History'!B:B,MATCH(9.99E+307,'Returns (Calc)'!$A:$A)+1)-'Price History'!B3)*(ROW()-3)/(MATCH(9.99E+307,'Returns (Calc)'!$A:$A)-3),"")</f>
        <v>517.831772151899</v>
      </c>
      <c r="X9" s="156" t="n">
        <f aca="false">IFERROR('Price History'!C3+(INDEX('Price History'!C:C,MATCH(9.99E+307,'Returns (Calc)'!$A:$A)+1)-'Price History'!C3)*(ROW()-3)/(MATCH(9.99E+307,'Returns (Calc)'!$A:$A)-3),"")</f>
        <v>52.3003797468354</v>
      </c>
      <c r="Y9" s="156" t="n">
        <f aca="false">IFERROR('Price History'!D3+(INDEX('Price History'!D:D,MATCH(9.99E+307,'Returns (Calc)'!$A:$A)+1)-'Price History'!D3)*(ROW()-3)/(MATCH(9.99E+307,'Returns (Calc)'!$A:$A)-3),"")</f>
        <v>630.818860759494</v>
      </c>
      <c r="Z9" s="156" t="n">
        <f aca="false">IFERROR('Price History'!E3+(INDEX('Price History'!E:E,MATCH(9.99E+307,'Returns (Calc)'!$A:$A)+1)-'Price History'!E3)*(ROW()-3)/(MATCH(9.99E+307,'Returns (Calc)'!$A:$A)-3),"")</f>
        <v>92.3724050632911</v>
      </c>
      <c r="AA9" s="156" t="n">
        <f aca="false">IFERROR('Price History'!F3+(INDEX('Price History'!F:F,MATCH(9.99E+307,'Returns (Calc)'!$A:$A)+1)-'Price History'!F3)*(ROW()-3)/(MATCH(9.99E+307,'Returns (Calc)'!$A:$A)-3),"")</f>
        <v>50.0440506329114</v>
      </c>
      <c r="AB9" s="156" t="n">
        <f aca="false">IFERROR('Price History'!G3+(INDEX('Price History'!G:G,MATCH(9.99E+307,'Returns (Calc)'!$A:$A)+1)-'Price History'!G3)*(ROW()-3)/(MATCH(9.99E+307,'Returns (Calc)'!$A:$A)-3),"")</f>
        <v>50.5224050632911</v>
      </c>
      <c r="AC9" s="156" t="n">
        <f aca="false">IFERROR('Price History'!H3+(INDEX('Price History'!H:H,MATCH(9.99E+307,'Returns (Calc)'!$A:$A)+1)-'Price History'!H3)*(ROW()-3)/(MATCH(9.99E+307,'Returns (Calc)'!$A:$A)-3),"")</f>
        <v>107.30417721519</v>
      </c>
      <c r="AD9" s="156" t="n">
        <f aca="false">IFERROR('Price History'!I3+(INDEX('Price History'!I:I,MATCH(9.99E+307,'Returns (Calc)'!$A:$A)+1)-'Price History'!I3)*(ROW()-3)/(MATCH(9.99E+307,'Returns (Calc)'!$A:$A)-3),"")</f>
        <v>50.9920253164557</v>
      </c>
      <c r="AE9" s="156" t="n">
        <f aca="false">IFERROR('Price History'!J3+(INDEX('Price History'!J:J,MATCH(9.99E+307,'Returns (Calc)'!$A:$A)+1)-'Price History'!J3)*(ROW()-3)/(MATCH(9.99E+307,'Returns (Calc)'!$A:$A)-3),"")</f>
        <v>112.488227848101</v>
      </c>
      <c r="AF9" s="156" t="n">
        <f aca="false">IFERROR('Price History'!K3+(INDEX('Price History'!K:K,MATCH(9.99E+307,'Returns (Calc)'!$A:$A)+1)-'Price History'!K3)*(ROW()-3)/(MATCH(9.99E+307,'Returns (Calc)'!$A:$A)-3),"")</f>
        <v>21.9155696202532</v>
      </c>
      <c r="AG9" s="156" t="n">
        <f aca="false">IFERROR('Price History'!L3+(INDEX('Price History'!L:L,MATCH(9.99E+307,'Returns (Calc)'!$A:$A)+1)-'Price History'!L3)*(ROW()-3)/(MATCH(9.99E+307,'Returns (Calc)'!$A:$A)-3),"")</f>
        <v>100.447341772152</v>
      </c>
      <c r="AH9" s="156" t="n">
        <f aca="false">IFERROR('Price History'!M3+(INDEX('Price History'!M:M,MATCH(9.99E+307,'Returns (Calc)'!$A:$A)+1)-'Price History'!M3)*(ROW()-3)/(MATCH(9.99E+307,'Returns (Calc)'!$A:$A)-3),"")</f>
        <v>46.1526582278481</v>
      </c>
      <c r="AI9" s="156" t="n">
        <f aca="false">IFERROR('Price History'!N3+(INDEX('Price History'!N:N,MATCH(9.99E+307,'Returns (Calc)'!$A:$A)+1)-'Price History'!N3)*(ROW()-3)/(MATCH(9.99E+307,'Returns (Calc)'!$A:$A)-3),"")</f>
        <v>354.817594936709</v>
      </c>
      <c r="AJ9" s="156" t="n">
        <f aca="false">IFERROR('Price History'!O3+(INDEX('Price History'!O:O,MATCH(9.99E+307,'Returns (Calc)'!$A:$A)+1)-'Price History'!O3)*(ROW()-3)/(MATCH(9.99E+307,'Returns (Calc)'!$A:$A)-3),"")</f>
        <v>77.0082278481013</v>
      </c>
      <c r="AK9" s="156" t="n">
        <f aca="false">IFERROR('Price History'!Q3+(INDEX('Price History'!Q:Q,MATCH(9.99E+307,'Returns (Calc)'!$A:$A)+1)-'Price History'!Q3)*(ROW()-3)/(MATCH(9.99E+307,'Returns (Calc)'!$A:$A)-3),"")</f>
        <v>2.63620253164557</v>
      </c>
      <c r="AL9" s="156" t="n">
        <f aca="false">IFERROR('Price History'!R3+(INDEX('Price History'!R:R,MATCH(9.99E+307,'Returns (Calc)'!$A:$A)+1)-'Price History'!R3)*(ROW()-3)/(MATCH(9.99E+307,'Returns (Calc)'!$A:$A)-3),"")</f>
        <v>35.4886075949367</v>
      </c>
      <c r="AM9" s="156" t="n">
        <f aca="false">IFERROR('Price History'!S3+(INDEX('Price History'!S:S,MATCH(9.99E+307,'Returns (Calc)'!$A:$A)+1)-'Price History'!S3)*(ROW()-3)/(MATCH(9.99E+307,'Returns (Calc)'!$A:$A)-3),"")</f>
        <v>61.2603797468355</v>
      </c>
      <c r="AN9" s="156" t="n">
        <f aca="false">IFERROR('Price History'!T3+(INDEX('Price History'!T:T,MATCH(9.99E+307,'Returns (Calc)'!$A:$A)+1)-'Price History'!T3)*(ROW()-3)/(MATCH(9.99E+307,'Returns (Calc)'!$A:$A)-3),"")</f>
        <v>26.2493670886076</v>
      </c>
      <c r="AO9" s="157" t="n">
        <f aca="false">IFERROR('Price History'!V3+(INDEX('Price History'!V:V,MATCH(9.99E+307,'Returns (Calc)'!$A:$A)+1)-'Price History'!V3)*(ROW()-3)/(MATCH(9.99E+307,'Returns (Calc)'!$A:$A)-3),"")</f>
        <v>240.377974683544</v>
      </c>
      <c r="AP9" s="155" t="n">
        <f aca="false">IFERROR(IF(OR(NOT(ISNUMBER('Price History'!W10)),NOT(ISNUMBER('Price History'!W9)),'Price History'!W9=0),"",'Price History'!W10/'Price History'!W9-1),"")</f>
        <v>0.0517810026385226</v>
      </c>
      <c r="AQ9" s="155" t="str">
        <f aca="false">IFERROR(IF(OR(NOT(ISNUMBER('Price History'!X10)),NOT(ISNUMBER('Price History'!X9)),'Price History'!X9=0),"",'Price History'!X10/'Price History'!X9-1),"")</f>
        <v/>
      </c>
      <c r="AR9" s="155" t="n">
        <f aca="false">IFERROR(IF(OR(NOT(ISNUMBER('Price History'!Y10)),NOT(ISNUMBER('Price History'!Y9)),'Price History'!Y9=0),"",'Price History'!Y10/'Price History'!Y9-1),"")</f>
        <v>0.0475135401280158</v>
      </c>
      <c r="AS9" s="155" t="n">
        <f aca="false">IFERROR(IF(OR(NOT(ISNUMBER('Price History'!Z10)),NOT(ISNUMBER('Price History'!Z9)),'Price History'!Z9=0),"",'Price History'!Z10/'Price History'!Z9-1),"")</f>
        <v>0.0241742460507419</v>
      </c>
      <c r="AT9" s="155" t="n">
        <f aca="false">IFERROR(IF(OR(NOT(ISNUMBER('Price History'!AA10)),NOT(ISNUMBER('Price History'!AA9)),'Price History'!AA9=0),"",'Price History'!AA10/'Price History'!AA9-1),"")</f>
        <v>0.0867052023121389</v>
      </c>
      <c r="AU9" s="155" t="n">
        <f aca="false">IFERROR(IF(OR(NOT(ISNUMBER('Price History'!AB10)),NOT(ISNUMBER('Price History'!AB9)),'Price History'!AB9=0),"",'Price History'!AB10/'Price History'!AB9-1),"")</f>
        <v>0.0267517940059097</v>
      </c>
    </row>
    <row r="10" customFormat="false" ht="15" hidden="false" customHeight="true" outlineLevel="0" collapsed="false">
      <c r="A10" s="153" t="n">
        <f aca="false">IF('Price History'!A11="","",'Price History'!A11)</f>
        <v>45240</v>
      </c>
      <c r="B10" s="154" t="n">
        <f aca="false">IFERROR(IF(OR(NOT(ISNUMBER('Price History'!B11)),NOT(ISNUMBER('Price History'!B10)),'Price History'!B10=0),"",'Price History'!B11/'Price History'!B10-1),"")</f>
        <v>0.0595394386687012</v>
      </c>
      <c r="C10" s="154" t="n">
        <f aca="false">IFERROR(IF(OR(NOT(ISNUMBER('Price History'!C11)),NOT(ISNUMBER('Price History'!C10)),'Price History'!C10=0),"",'Price History'!C11/'Price History'!C10-1),"")</f>
        <v>-0.0265436746987952</v>
      </c>
      <c r="D10" s="154" t="n">
        <f aca="false">IFERROR(IF(OR(NOT(ISNUMBER('Price History'!D11)),NOT(ISNUMBER('Price History'!D10)),'Price History'!D10=0),"",'Price History'!D11/'Price History'!D10-1),"")</f>
        <v>0.0293836750286516</v>
      </c>
      <c r="E10" s="154" t="n">
        <f aca="false">IFERROR(IF(OR(NOT(ISNUMBER('Price History'!E11)),NOT(ISNUMBER('Price History'!E10)),'Price History'!E10=0),"",'Price History'!E11/'Price History'!E10-1),"")</f>
        <v>0.0847279110590988</v>
      </c>
      <c r="F10" s="154" t="n">
        <f aca="false">IFERROR(IF(OR(NOT(ISNUMBER('Price History'!F11)),NOT(ISNUMBER('Price History'!F10)),'Price History'!F10=0),"",'Price History'!F11/'Price History'!F10-1),"")</f>
        <v>0.0429239269018273</v>
      </c>
      <c r="G10" s="154" t="n">
        <f aca="false">IFERROR(IF(OR(NOT(ISNUMBER('Price History'!G11)),NOT(ISNUMBER('Price History'!G10)),'Price History'!G10=0),"",'Price History'!G11/'Price History'!G10-1),"")</f>
        <v>0.0692764910842387</v>
      </c>
      <c r="H10" s="154" t="n">
        <f aca="false">IFERROR(IF(OR(NOT(ISNUMBER('Price History'!H11)),NOT(ISNUMBER('Price History'!H10)),'Price History'!H10=0),"",'Price History'!H11/'Price History'!H10-1),"")</f>
        <v>0.0382475660639778</v>
      </c>
      <c r="I10" s="154" t="n">
        <f aca="false">IFERROR(IF(OR(NOT(ISNUMBER('Price History'!I11)),NOT(ISNUMBER('Price History'!I10)),'Price History'!I10=0),"",'Price History'!I11/'Price History'!I10-1),"")</f>
        <v>0.0739915310898149</v>
      </c>
      <c r="J10" s="154" t="n">
        <f aca="false">IFERROR(IF(OR(NOT(ISNUMBER('Price History'!J11)),NOT(ISNUMBER('Price History'!J10)),'Price History'!J10=0),"",'Price History'!J11/'Price History'!J10-1),"")</f>
        <v>-0.0187099441802769</v>
      </c>
      <c r="K10" s="154" t="n">
        <f aca="false">IFERROR(IF(OR(NOT(ISNUMBER('Price History'!K11)),NOT(ISNUMBER('Price History'!K10)),'Price History'!K10=0),"",'Price History'!K11/'Price History'!K10-1),"")</f>
        <v>0.0412916887241928</v>
      </c>
      <c r="L10" s="154" t="n">
        <f aca="false">IFERROR(IF(OR(NOT(ISNUMBER('Price History'!L11)),NOT(ISNUMBER('Price History'!L10)),'Price History'!L10=0),"",'Price History'!L11/'Price History'!L10-1),"")</f>
        <v>0.061571606758136</v>
      </c>
      <c r="M10" s="154" t="n">
        <f aca="false">IFERROR(IF(OR(NOT(ISNUMBER('Price History'!M11)),NOT(ISNUMBER('Price History'!M10)),'Price History'!M10=0),"",'Price History'!M11/'Price History'!M10-1),"")</f>
        <v>0.0345084409136047</v>
      </c>
      <c r="N10" s="154" t="n">
        <f aca="false">IFERROR(IF(OR(NOT(ISNUMBER('Price History'!N11)),NOT(ISNUMBER('Price History'!N10)),'Price History'!N10=0),"",'Price History'!N11/'Price History'!N10-1),"")</f>
        <v>-0.00677830940988844</v>
      </c>
      <c r="O10" s="154" t="n">
        <f aca="false">IFERROR(IF(OR(NOT(ISNUMBER('Price History'!O11)),NOT(ISNUMBER('Price History'!O10)),'Price History'!O10=0),"",'Price History'!O11/'Price History'!O10-1),"")</f>
        <v>-0.0341515474919956</v>
      </c>
      <c r="P10" s="154" t="n">
        <f aca="false">IFERROR(IF(OR(NOT(ISNUMBER('Price History'!P11)),NOT(ISNUMBER('Price History'!P10)),'Price History'!P10=0),"",'Price History'!P11/'Price History'!P10-1),"")</f>
        <v>-0.0225925168677161</v>
      </c>
      <c r="Q10" s="154" t="n">
        <f aca="false">IFERROR(IF(OR(NOT(ISNUMBER('Price History'!Q11)),NOT(ISNUMBER('Price History'!Q10)),'Price History'!Q10=0),"",'Price History'!Q11/'Price History'!Q10-1),"")</f>
        <v>0.010048231511254</v>
      </c>
      <c r="R10" s="154" t="n">
        <f aca="false">IFERROR(IF(OR(NOT(ISNUMBER('Price History'!R11)),NOT(ISNUMBER('Price History'!R10)),'Price History'!R10=0),"",'Price History'!R11/'Price History'!R10-1),"")</f>
        <v>0.0208032360589425</v>
      </c>
      <c r="S10" s="154" t="n">
        <f aca="false">IFERROR(IF(OR(NOT(ISNUMBER('Price History'!S11)),NOT(ISNUMBER('Price History'!S10)),'Price History'!S10=0),"",'Price History'!S11/'Price History'!S10-1),"")</f>
        <v>0.0294425087108015</v>
      </c>
      <c r="T10" s="154" t="n">
        <f aca="false">IFERROR(IF(OR(NOT(ISNUMBER('Price History'!T11)),NOT(ISNUMBER('Price History'!T10)),'Price History'!T10=0),"",'Price History'!T11/'Price History'!T10-1),"")</f>
        <v>-0.00637704264647265</v>
      </c>
      <c r="U10" s="154" t="n">
        <f aca="false">IFERROR(IF(OR(NOT(ISNUMBER('Price History'!U11)),NOT(ISNUMBER('Price History'!U10)),'Price History'!U10=0),"",'Price History'!U11/'Price History'!U10-1),"")</f>
        <v>-0.0114340161981895</v>
      </c>
      <c r="V10" s="155" t="n">
        <f aca="false">IFERROR(IF(OR(NOT(ISNUMBER('Price History'!V11)),NOT(ISNUMBER('Price History'!V10)),'Price History'!V10=0),"",'Price History'!V11/'Price History'!V10-1),"")</f>
        <v>0.00890344798622467</v>
      </c>
      <c r="W10" s="156" t="n">
        <f aca="false">IFERROR('Price History'!B3+(INDEX('Price History'!B:B,MATCH(9.99E+307,'Returns (Calc)'!$A:$A)+1)-'Price History'!B3)*(ROW()-3)/(MATCH(9.99E+307,'Returns (Calc)'!$A:$A)-3),"")</f>
        <v>515.988734177215</v>
      </c>
      <c r="X10" s="156" t="n">
        <f aca="false">IFERROR('Price History'!C3+(INDEX('Price History'!C:C,MATCH(9.99E+307,'Returns (Calc)'!$A:$A)+1)-'Price History'!C3)*(ROW()-3)/(MATCH(9.99E+307,'Returns (Calc)'!$A:$A)-3),"")</f>
        <v>53.3204430379747</v>
      </c>
      <c r="Y10" s="156" t="n">
        <f aca="false">IFERROR('Price History'!D3+(INDEX('Price History'!D:D,MATCH(9.99E+307,'Returns (Calc)'!$A:$A)+1)-'Price History'!D3)*(ROW()-3)/(MATCH(9.99E+307,'Returns (Calc)'!$A:$A)-3),"")</f>
        <v>638.953670886076</v>
      </c>
      <c r="Z10" s="156" t="n">
        <f aca="false">IFERROR('Price History'!E3+(INDEX('Price History'!E:E,MATCH(9.99E+307,'Returns (Calc)'!$A:$A)+1)-'Price History'!E3)*(ROW()-3)/(MATCH(9.99E+307,'Returns (Calc)'!$A:$A)-3),"")</f>
        <v>94.1011392405063</v>
      </c>
      <c r="AA10" s="156" t="n">
        <f aca="false">IFERROR('Price History'!F3+(INDEX('Price History'!F:F,MATCH(9.99E+307,'Returns (Calc)'!$A:$A)+1)-'Price History'!F3)*(ROW()-3)/(MATCH(9.99E+307,'Returns (Calc)'!$A:$A)-3),"")</f>
        <v>51.4913924050633</v>
      </c>
      <c r="AB10" s="156" t="n">
        <f aca="false">IFERROR('Price History'!G3+(INDEX('Price History'!G:G,MATCH(9.99E+307,'Returns (Calc)'!$A:$A)+1)-'Price History'!G3)*(ROW()-3)/(MATCH(9.99E+307,'Returns (Calc)'!$A:$A)-3),"")</f>
        <v>51.5511392405063</v>
      </c>
      <c r="AC10" s="156" t="n">
        <f aca="false">IFERROR('Price History'!H3+(INDEX('Price History'!H:H,MATCH(9.99E+307,'Returns (Calc)'!$A:$A)+1)-'Price History'!H3)*(ROW()-3)/(MATCH(9.99E+307,'Returns (Calc)'!$A:$A)-3),"")</f>
        <v>113.669873417722</v>
      </c>
      <c r="AD10" s="156" t="n">
        <f aca="false">IFERROR('Price History'!I3+(INDEX('Price History'!I:I,MATCH(9.99E+307,'Returns (Calc)'!$A:$A)+1)-'Price History'!I3)*(ROW()-3)/(MATCH(9.99E+307,'Returns (Calc)'!$A:$A)-3),"")</f>
        <v>52.1956962025317</v>
      </c>
      <c r="AE10" s="156" t="n">
        <f aca="false">IFERROR('Price History'!J3+(INDEX('Price History'!J:J,MATCH(9.99E+307,'Returns (Calc)'!$A:$A)+1)-'Price History'!J3)*(ROW()-3)/(MATCH(9.99E+307,'Returns (Calc)'!$A:$A)-3),"")</f>
        <v>112.596265822785</v>
      </c>
      <c r="AF10" s="156" t="n">
        <f aca="false">IFERROR('Price History'!K3+(INDEX('Price History'!K:K,MATCH(9.99E+307,'Returns (Calc)'!$A:$A)+1)-'Price History'!K3)*(ROW()-3)/(MATCH(9.99E+307,'Returns (Calc)'!$A:$A)-3),"")</f>
        <v>23.013164556962</v>
      </c>
      <c r="AG10" s="156" t="n">
        <f aca="false">IFERROR('Price History'!L3+(INDEX('Price History'!L:L,MATCH(9.99E+307,'Returns (Calc)'!$A:$A)+1)-'Price History'!L3)*(ROW()-3)/(MATCH(9.99E+307,'Returns (Calc)'!$A:$A)-3),"")</f>
        <v>102.896898734177</v>
      </c>
      <c r="AH10" s="156" t="n">
        <f aca="false">IFERROR('Price History'!M3+(INDEX('Price History'!M:M,MATCH(9.99E+307,'Returns (Calc)'!$A:$A)+1)-'Price History'!M3)*(ROW()-3)/(MATCH(9.99E+307,'Returns (Calc)'!$A:$A)-3),"")</f>
        <v>47.5081012658228</v>
      </c>
      <c r="AI10" s="156" t="n">
        <f aca="false">IFERROR('Price History'!N3+(INDEX('Price History'!N:N,MATCH(9.99E+307,'Returns (Calc)'!$A:$A)+1)-'Price History'!N3)*(ROW()-3)/(MATCH(9.99E+307,'Returns (Calc)'!$A:$A)-3),"")</f>
        <v>355.803860759494</v>
      </c>
      <c r="AJ10" s="156" t="n">
        <f aca="false">IFERROR('Price History'!O3+(INDEX('Price History'!O:O,MATCH(9.99E+307,'Returns (Calc)'!$A:$A)+1)-'Price History'!O3)*(ROW()-3)/(MATCH(9.99E+307,'Returns (Calc)'!$A:$A)-3),"")</f>
        <v>77.2912658227848</v>
      </c>
      <c r="AK10" s="156" t="n">
        <f aca="false">IFERROR('Price History'!Q3+(INDEX('Price History'!Q:Q,MATCH(9.99E+307,'Returns (Calc)'!$A:$A)+1)-'Price History'!Q3)*(ROW()-3)/(MATCH(9.99E+307,'Returns (Calc)'!$A:$A)-3),"")</f>
        <v>3.07556962025316</v>
      </c>
      <c r="AL10" s="156" t="n">
        <f aca="false">IFERROR('Price History'!R3+(INDEX('Price History'!R:R,MATCH(9.99E+307,'Returns (Calc)'!$A:$A)+1)-'Price History'!R3)*(ROW()-3)/(MATCH(9.99E+307,'Returns (Calc)'!$A:$A)-3),"")</f>
        <v>35.6567088607595</v>
      </c>
      <c r="AM10" s="156" t="n">
        <f aca="false">IFERROR('Price History'!S3+(INDEX('Price History'!S:S,MATCH(9.99E+307,'Returns (Calc)'!$A:$A)+1)-'Price History'!S3)*(ROW()-3)/(MATCH(9.99E+307,'Returns (Calc)'!$A:$A)-3),"")</f>
        <v>61.8654430379747</v>
      </c>
      <c r="AN10" s="156" t="n">
        <f aca="false">IFERROR('Price History'!T3+(INDEX('Price History'!T:T,MATCH(9.99E+307,'Returns (Calc)'!$A:$A)+1)-'Price History'!T3)*(ROW()-3)/(MATCH(9.99E+307,'Returns (Calc)'!$A:$A)-3),"")</f>
        <v>26.4175949367089</v>
      </c>
      <c r="AO10" s="157" t="n">
        <f aca="false">IFERROR('Price History'!V3+(INDEX('Price History'!V:V,MATCH(9.99E+307,'Returns (Calc)'!$A:$A)+1)-'Price History'!V3)*(ROW()-3)/(MATCH(9.99E+307,'Returns (Calc)'!$A:$A)-3),"")</f>
        <v>241.169303797468</v>
      </c>
      <c r="AP10" s="155" t="n">
        <f aca="false">IFERROR(IF(OR(NOT(ISNUMBER('Price History'!W11)),NOT(ISNUMBER('Price History'!W10)),'Price History'!W10=0),"",'Price History'!W11/'Price History'!W10-1),"")</f>
        <v>-0.0112888052681092</v>
      </c>
      <c r="AQ10" s="155" t="str">
        <f aca="false">IFERROR(IF(OR(NOT(ISNUMBER('Price History'!X11)),NOT(ISNUMBER('Price History'!X10)),'Price History'!X10=0),"",'Price History'!X11/'Price History'!X10-1),"")</f>
        <v/>
      </c>
      <c r="AR10" s="155" t="n">
        <f aca="false">IFERROR(IF(OR(NOT(ISNUMBER('Price History'!Y11)),NOT(ISNUMBER('Price History'!Y10)),'Price History'!Y10=0),"",'Price History'!Y11/'Price History'!Y10-1),"")</f>
        <v>0.00399529964747369</v>
      </c>
      <c r="AS10" s="155" t="n">
        <f aca="false">IFERROR(IF(OR(NOT(ISNUMBER('Price History'!Z11)),NOT(ISNUMBER('Price History'!Z10)),'Price History'!Z10=0),"",'Price History'!Z11/'Price History'!Z10-1),"")</f>
        <v>0.0583080158915634</v>
      </c>
      <c r="AT10" s="155" t="n">
        <f aca="false">IFERROR(IF(OR(NOT(ISNUMBER('Price History'!AA11)),NOT(ISNUMBER('Price History'!AA10)),'Price History'!AA10=0),"",'Price History'!AA11/'Price History'!AA10-1),"")</f>
        <v>0.0342275670675301</v>
      </c>
      <c r="AU10" s="155" t="n">
        <f aca="false">IFERROR(IF(OR(NOT(ISNUMBER('Price History'!AB11)),NOT(ISNUMBER('Price History'!AB10)),'Price History'!AB10=0),"",'Price History'!AB11/'Price History'!AB10-1),"")</f>
        <v>-0.151652191787862</v>
      </c>
    </row>
    <row r="11" customFormat="false" ht="15" hidden="false" customHeight="true" outlineLevel="0" collapsed="false">
      <c r="A11" s="153" t="n">
        <f aca="false">IF('Price History'!A12="","",'Price History'!A12)</f>
        <v>45247</v>
      </c>
      <c r="B11" s="154" t="n">
        <f aca="false">IFERROR(IF(OR(NOT(ISNUMBER('Price History'!B12)),NOT(ISNUMBER('Price History'!B11)),'Price History'!B11=0),"",'Price History'!B12/'Price History'!B11-1),"")</f>
        <v>0.00910887110277603</v>
      </c>
      <c r="C11" s="154" t="n">
        <f aca="false">IFERROR(IF(OR(NOT(ISNUMBER('Price History'!C12)),NOT(ISNUMBER('Price History'!C11)),'Price History'!C11=0),"",'Price History'!C12/'Price History'!C11-1),"")</f>
        <v>0.0377103074840455</v>
      </c>
      <c r="D11" s="154" t="n">
        <f aca="false">IFERROR(IF(OR(NOT(ISNUMBER('Price History'!D12)),NOT(ISNUMBER('Price History'!D11)),'Price History'!D11=0),"",'Price History'!D12/'Price History'!D11-1),"")</f>
        <v>0.0375135302304004</v>
      </c>
      <c r="E11" s="154" t="n">
        <f aca="false">IFERROR(IF(OR(NOT(ISNUMBER('Price History'!E12)),NOT(ISNUMBER('Price History'!E11)),'Price History'!E11=0),"",'Price History'!E12/'Price History'!E11-1),"")</f>
        <v>0.0211457546660914</v>
      </c>
      <c r="F11" s="154" t="n">
        <f aca="false">IFERROR(IF(OR(NOT(ISNUMBER('Price History'!F12)),NOT(ISNUMBER('Price History'!F11)),'Price History'!F11=0),"",'Price History'!F12/'Price History'!F11-1),"")</f>
        <v>0.0548084759576204</v>
      </c>
      <c r="G11" s="154" t="n">
        <f aca="false">IFERROR(IF(OR(NOT(ISNUMBER('Price History'!G12)),NOT(ISNUMBER('Price History'!G11)),'Price History'!G11=0),"",'Price History'!G12/'Price History'!G11-1),"")</f>
        <v>0.0220433199156602</v>
      </c>
      <c r="H11" s="154" t="n">
        <f aca="false">IFERROR(IF(OR(NOT(ISNUMBER('Price History'!H12)),NOT(ISNUMBER('Price History'!H11)),'Price History'!H11=0),"",'Price History'!H12/'Price History'!H11-1),"")</f>
        <v>0.029202947086403</v>
      </c>
      <c r="I11" s="154" t="n">
        <f aca="false">IFERROR(IF(OR(NOT(ISNUMBER('Price History'!I12)),NOT(ISNUMBER('Price History'!I11)),'Price History'!I11=0),"",'Price History'!I12/'Price History'!I11-1),"")</f>
        <v>0.0199211454658643</v>
      </c>
      <c r="J11" s="154" t="n">
        <f aca="false">IFERROR(IF(OR(NOT(ISNUMBER('Price History'!J12)),NOT(ISNUMBER('Price History'!J11)),'Price History'!J11=0),"",'Price History'!J12/'Price History'!J11-1),"")</f>
        <v>0.0527757294848834</v>
      </c>
      <c r="K11" s="154" t="n">
        <f aca="false">IFERROR(IF(OR(NOT(ISNUMBER('Price History'!K12)),NOT(ISNUMBER('Price History'!K11)),'Price History'!K11=0),"",'Price History'!K12/'Price History'!K11-1),"")</f>
        <v>0.0416878495170308</v>
      </c>
      <c r="L11" s="154" t="n">
        <f aca="false">IFERROR(IF(OR(NOT(ISNUMBER('Price History'!L12)),NOT(ISNUMBER('Price History'!L11)),'Price History'!L11=0),"",'Price History'!L12/'Price History'!L11-1),"")</f>
        <v>0.022003845332194</v>
      </c>
      <c r="M11" s="154" t="n">
        <f aca="false">IFERROR(IF(OR(NOT(ISNUMBER('Price History'!M12)),NOT(ISNUMBER('Price History'!M11)),'Price History'!M11=0),"",'Price History'!M12/'Price History'!M11-1),"")</f>
        <v>0.0347972162227022</v>
      </c>
      <c r="N11" s="154" t="n">
        <f aca="false">IFERROR(IF(OR(NOT(ISNUMBER('Price History'!N12)),NOT(ISNUMBER('Price History'!N11)),'Price History'!N11=0),"",'Price History'!N12/'Price History'!N11-1),"")</f>
        <v>-0.06195637628797</v>
      </c>
      <c r="O11" s="154" t="n">
        <f aca="false">IFERROR(IF(OR(NOT(ISNUMBER('Price History'!O12)),NOT(ISNUMBER('Price History'!O11)),'Price History'!O11=0),"",'Price History'!O12/'Price History'!O11-1),"")</f>
        <v>0.055524861878453</v>
      </c>
      <c r="P11" s="154" t="n">
        <f aca="false">IFERROR(IF(OR(NOT(ISNUMBER('Price History'!P12)),NOT(ISNUMBER('Price History'!P11)),'Price History'!P11=0),"",'Price History'!P12/'Price History'!P11-1),"")</f>
        <v>0.0354565422026985</v>
      </c>
      <c r="Q11" s="154" t="n">
        <f aca="false">IFERROR(IF(OR(NOT(ISNUMBER('Price History'!Q12)),NOT(ISNUMBER('Price History'!Q11)),'Price History'!Q11=0),"",'Price History'!Q12/'Price History'!Q11-1),"")</f>
        <v>0.0129327497015519</v>
      </c>
      <c r="R11" s="154" t="n">
        <f aca="false">IFERROR(IF(OR(NOT(ISNUMBER('Price History'!R12)),NOT(ISNUMBER('Price History'!R11)),'Price History'!R11=0),"",'Price History'!R12/'Price History'!R11-1),"")</f>
        <v>0.00934050382111518</v>
      </c>
      <c r="S11" s="154" t="n">
        <f aca="false">IFERROR(IF(OR(NOT(ISNUMBER('Price History'!S12)),NOT(ISNUMBER('Price History'!S11)),'Price History'!S11=0),"",'Price History'!S12/'Price History'!S11-1),"")</f>
        <v>0.0216618717211032</v>
      </c>
      <c r="T11" s="154" t="n">
        <f aca="false">IFERROR(IF(OR(NOT(ISNUMBER('Price History'!T12)),NOT(ISNUMBER('Price History'!T11)),'Price History'!T11=0),"",'Price History'!T12/'Price History'!T11-1),"")</f>
        <v>0.0256718812675492</v>
      </c>
      <c r="U11" s="154" t="n">
        <f aca="false">IFERROR(IF(OR(NOT(ISNUMBER('Price History'!U12)),NOT(ISNUMBER('Price History'!U11)),'Price History'!U11=0),"",'Price History'!U12/'Price History'!U11-1),"")</f>
        <v>0.0240963855421688</v>
      </c>
      <c r="V11" s="155" t="n">
        <f aca="false">IFERROR(IF(OR(NOT(ISNUMBER('Price History'!V12)),NOT(ISNUMBER('Price History'!V11)),'Price History'!V11=0),"",'Price History'!V12/'Price History'!V11-1),"")</f>
        <v>0.0175664987720101</v>
      </c>
      <c r="W11" s="156" t="n">
        <f aca="false">IFERROR('Price History'!B3+(INDEX('Price History'!B:B,MATCH(9.99E+307,'Returns (Calc)'!$A:$A)+1)-'Price History'!B3)*(ROW()-3)/(MATCH(9.99E+307,'Returns (Calc)'!$A:$A)-3),"")</f>
        <v>514.145696202532</v>
      </c>
      <c r="X11" s="156" t="n">
        <f aca="false">IFERROR('Price History'!C3+(INDEX('Price History'!C:C,MATCH(9.99E+307,'Returns (Calc)'!$A:$A)+1)-'Price History'!C3)*(ROW()-3)/(MATCH(9.99E+307,'Returns (Calc)'!$A:$A)-3),"")</f>
        <v>54.3405063291139</v>
      </c>
      <c r="Y11" s="156" t="n">
        <f aca="false">IFERROR('Price History'!D3+(INDEX('Price History'!D:D,MATCH(9.99E+307,'Returns (Calc)'!$A:$A)+1)-'Price History'!D3)*(ROW()-3)/(MATCH(9.99E+307,'Returns (Calc)'!$A:$A)-3),"")</f>
        <v>647.088481012658</v>
      </c>
      <c r="Z11" s="156" t="n">
        <f aca="false">IFERROR('Price History'!E3+(INDEX('Price History'!E:E,MATCH(9.99E+307,'Returns (Calc)'!$A:$A)+1)-'Price History'!E3)*(ROW()-3)/(MATCH(9.99E+307,'Returns (Calc)'!$A:$A)-3),"")</f>
        <v>95.8298734177215</v>
      </c>
      <c r="AA11" s="156" t="n">
        <f aca="false">IFERROR('Price History'!F3+(INDEX('Price History'!F:F,MATCH(9.99E+307,'Returns (Calc)'!$A:$A)+1)-'Price History'!F3)*(ROW()-3)/(MATCH(9.99E+307,'Returns (Calc)'!$A:$A)-3),"")</f>
        <v>52.9387341772152</v>
      </c>
      <c r="AB11" s="156" t="n">
        <f aca="false">IFERROR('Price History'!G3+(INDEX('Price History'!G:G,MATCH(9.99E+307,'Returns (Calc)'!$A:$A)+1)-'Price History'!G3)*(ROW()-3)/(MATCH(9.99E+307,'Returns (Calc)'!$A:$A)-3),"")</f>
        <v>52.5798734177215</v>
      </c>
      <c r="AC11" s="156" t="n">
        <f aca="false">IFERROR('Price History'!H3+(INDEX('Price History'!H:H,MATCH(9.99E+307,'Returns (Calc)'!$A:$A)+1)-'Price History'!H3)*(ROW()-3)/(MATCH(9.99E+307,'Returns (Calc)'!$A:$A)-3),"")</f>
        <v>120.035569620253</v>
      </c>
      <c r="AD11" s="156" t="n">
        <f aca="false">IFERROR('Price History'!I3+(INDEX('Price History'!I:I,MATCH(9.99E+307,'Returns (Calc)'!$A:$A)+1)-'Price History'!I3)*(ROW()-3)/(MATCH(9.99E+307,'Returns (Calc)'!$A:$A)-3),"")</f>
        <v>53.3993670886076</v>
      </c>
      <c r="AE11" s="156" t="n">
        <f aca="false">IFERROR('Price History'!J3+(INDEX('Price History'!J:J,MATCH(9.99E+307,'Returns (Calc)'!$A:$A)+1)-'Price History'!J3)*(ROW()-3)/(MATCH(9.99E+307,'Returns (Calc)'!$A:$A)-3),"")</f>
        <v>112.704303797468</v>
      </c>
      <c r="AF11" s="156" t="n">
        <f aca="false">IFERROR('Price History'!K3+(INDEX('Price History'!K:K,MATCH(9.99E+307,'Returns (Calc)'!$A:$A)+1)-'Price History'!K3)*(ROW()-3)/(MATCH(9.99E+307,'Returns (Calc)'!$A:$A)-3),"")</f>
        <v>24.1107594936709</v>
      </c>
      <c r="AG11" s="156" t="n">
        <f aca="false">IFERROR('Price History'!L3+(INDEX('Price History'!L:L,MATCH(9.99E+307,'Returns (Calc)'!$A:$A)+1)-'Price History'!L3)*(ROW()-3)/(MATCH(9.99E+307,'Returns (Calc)'!$A:$A)-3),"")</f>
        <v>105.346455696203</v>
      </c>
      <c r="AH11" s="156" t="n">
        <f aca="false">IFERROR('Price History'!M3+(INDEX('Price History'!M:M,MATCH(9.99E+307,'Returns (Calc)'!$A:$A)+1)-'Price History'!M3)*(ROW()-3)/(MATCH(9.99E+307,'Returns (Calc)'!$A:$A)-3),"")</f>
        <v>48.8635443037975</v>
      </c>
      <c r="AI11" s="156" t="n">
        <f aca="false">IFERROR('Price History'!N3+(INDEX('Price History'!N:N,MATCH(9.99E+307,'Returns (Calc)'!$A:$A)+1)-'Price History'!N3)*(ROW()-3)/(MATCH(9.99E+307,'Returns (Calc)'!$A:$A)-3),"")</f>
        <v>356.790126582278</v>
      </c>
      <c r="AJ11" s="156" t="n">
        <f aca="false">IFERROR('Price History'!O3+(INDEX('Price History'!O:O,MATCH(9.99E+307,'Returns (Calc)'!$A:$A)+1)-'Price History'!O3)*(ROW()-3)/(MATCH(9.99E+307,'Returns (Calc)'!$A:$A)-3),"")</f>
        <v>77.5743037974684</v>
      </c>
      <c r="AK11" s="156" t="n">
        <f aca="false">IFERROR('Price History'!Q3+(INDEX('Price History'!Q:Q,MATCH(9.99E+307,'Returns (Calc)'!$A:$A)+1)-'Price History'!Q3)*(ROW()-3)/(MATCH(9.99E+307,'Returns (Calc)'!$A:$A)-3),"")</f>
        <v>3.51493670886076</v>
      </c>
      <c r="AL11" s="156" t="n">
        <f aca="false">IFERROR('Price History'!R3+(INDEX('Price History'!R:R,MATCH(9.99E+307,'Returns (Calc)'!$A:$A)+1)-'Price History'!R3)*(ROW()-3)/(MATCH(9.99E+307,'Returns (Calc)'!$A:$A)-3),"")</f>
        <v>35.8248101265823</v>
      </c>
      <c r="AM11" s="156" t="n">
        <f aca="false">IFERROR('Price History'!S3+(INDEX('Price History'!S:S,MATCH(9.99E+307,'Returns (Calc)'!$A:$A)+1)-'Price History'!S3)*(ROW()-3)/(MATCH(9.99E+307,'Returns (Calc)'!$A:$A)-3),"")</f>
        <v>62.4705063291139</v>
      </c>
      <c r="AN11" s="156" t="n">
        <f aca="false">IFERROR('Price History'!T3+(INDEX('Price History'!T:T,MATCH(9.99E+307,'Returns (Calc)'!$A:$A)+1)-'Price History'!T3)*(ROW()-3)/(MATCH(9.99E+307,'Returns (Calc)'!$A:$A)-3),"")</f>
        <v>26.5858227848101</v>
      </c>
      <c r="AO11" s="157" t="n">
        <f aca="false">IFERROR('Price History'!V3+(INDEX('Price History'!V:V,MATCH(9.99E+307,'Returns (Calc)'!$A:$A)+1)-'Price History'!V3)*(ROW()-3)/(MATCH(9.99E+307,'Returns (Calc)'!$A:$A)-3),"")</f>
        <v>241.960632911392</v>
      </c>
      <c r="AP11" s="155" t="n">
        <f aca="false">IFERROR(IF(OR(NOT(ISNUMBER('Price History'!W12)),NOT(ISNUMBER('Price History'!W11)),'Price History'!W11=0),"",'Price History'!W12/'Price History'!W11-1),"")</f>
        <v>0.025584099799133</v>
      </c>
      <c r="AQ11" s="155" t="str">
        <f aca="false">IFERROR(IF(OR(NOT(ISNUMBER('Price History'!X12)),NOT(ISNUMBER('Price History'!X11)),'Price History'!X11=0),"",'Price History'!X12/'Price History'!X11-1),"")</f>
        <v/>
      </c>
      <c r="AR11" s="155" t="n">
        <f aca="false">IFERROR(IF(OR(NOT(ISNUMBER('Price History'!Y12)),NOT(ISNUMBER('Price History'!Y11)),'Price History'!Y11=0),"",'Price History'!Y12/'Price History'!Y11-1),"")</f>
        <v>0.00866104868913875</v>
      </c>
      <c r="AS11" s="155" t="n">
        <f aca="false">IFERROR(IF(OR(NOT(ISNUMBER('Price History'!Z12)),NOT(ISNUMBER('Price History'!Z11)),'Price History'!Z11=0),"",'Price History'!Z12/'Price History'!Z11-1),"")</f>
        <v>0.0404107320304739</v>
      </c>
      <c r="AT11" s="155" t="n">
        <f aca="false">IFERROR(IF(OR(NOT(ISNUMBER('Price History'!AA12)),NOT(ISNUMBER('Price History'!AA11)),'Price History'!AA11=0),"",'Price History'!AA12/'Price History'!AA11-1),"")</f>
        <v>0.0418157423971379</v>
      </c>
      <c r="AU11" s="155" t="n">
        <f aca="false">IFERROR(IF(OR(NOT(ISNUMBER('Price History'!AB12)),NOT(ISNUMBER('Price History'!AB11)),'Price History'!AB11=0),"",'Price History'!AB12/'Price History'!AB11-1),"")</f>
        <v>0.0694208868427428</v>
      </c>
    </row>
    <row r="12" customFormat="false" ht="15" hidden="false" customHeight="true" outlineLevel="0" collapsed="false">
      <c r="A12" s="153" t="n">
        <f aca="false">IF('Price History'!A13="","",'Price History'!A13)</f>
        <v>45254</v>
      </c>
      <c r="B12" s="154" t="n">
        <f aca="false">IFERROR(IF(OR(NOT(ISNUMBER('Price History'!B13)),NOT(ISNUMBER('Price History'!B12)),'Price History'!B12=0),"",'Price History'!B13/'Price History'!B12-1),"")</f>
        <v>0.02782663525039</v>
      </c>
      <c r="C12" s="154" t="n">
        <f aca="false">IFERROR(IF(OR(NOT(ISNUMBER('Price History'!C13)),NOT(ISNUMBER('Price History'!C12)),'Price History'!C12=0),"",'Price History'!C13/'Price History'!C12-1),"")</f>
        <v>0.0175177040626167</v>
      </c>
      <c r="D12" s="154" t="n">
        <f aca="false">IFERROR(IF(OR(NOT(ISNUMBER('Price History'!D13)),NOT(ISNUMBER('Price History'!D12)),'Price History'!D12=0),"",'Price History'!D13/'Price History'!D12-1),"")</f>
        <v>0.00742220102539637</v>
      </c>
      <c r="E12" s="154" t="n">
        <f aca="false">IFERROR(IF(OR(NOT(ISNUMBER('Price History'!E13)),NOT(ISNUMBER('Price History'!E12)),'Price History'!E12=0),"",'Price History'!E13/'Price History'!E12-1),"")</f>
        <v>0.001162176439514</v>
      </c>
      <c r="F12" s="154" t="n">
        <f aca="false">IFERROR(IF(OR(NOT(ISNUMBER('Price History'!F13)),NOT(ISNUMBER('Price History'!F12)),'Price History'!F12=0),"",'Price History'!F13/'Price History'!F12-1),"")</f>
        <v>0.0173845856673749</v>
      </c>
      <c r="G12" s="154" t="n">
        <f aca="false">IFERROR(IF(OR(NOT(ISNUMBER('Price History'!G13)),NOT(ISNUMBER('Price History'!G12)),'Price History'!G12=0),"",'Price History'!G13/'Price History'!G12-1),"")</f>
        <v>0.0204426106526632</v>
      </c>
      <c r="H12" s="154" t="n">
        <f aca="false">IFERROR(IF(OR(NOT(ISNUMBER('Price History'!H13)),NOT(ISNUMBER('Price History'!H12)),'Price History'!H12=0),"",'Price History'!H13/'Price History'!H12-1),"")</f>
        <v>-0.00885070935832344</v>
      </c>
      <c r="I12" s="154" t="n">
        <f aca="false">IFERROR(IF(OR(NOT(ISNUMBER('Price History'!I13)),NOT(ISNUMBER('Price History'!I12)),'Price History'!I12=0),"",'Price History'!I13/'Price History'!I12-1),"")</f>
        <v>-0.0309257375381484</v>
      </c>
      <c r="J12" s="154" t="n">
        <f aca="false">IFERROR(IF(OR(NOT(ISNUMBER('Price History'!J13)),NOT(ISNUMBER('Price History'!J12)),'Price History'!J12=0),"",'Price History'!J13/'Price History'!J12-1),"")</f>
        <v>0.0175105063037824</v>
      </c>
      <c r="K12" s="154" t="n">
        <f aca="false">IFERROR(IF(OR(NOT(ISNUMBER('Price History'!K13)),NOT(ISNUMBER('Price History'!K12)),'Price History'!K12=0),"",'Price History'!K13/'Price History'!K12-1),"")</f>
        <v>-0.0629575402635432</v>
      </c>
      <c r="L12" s="154" t="n">
        <f aca="false">IFERROR(IF(OR(NOT(ISNUMBER('Price History'!L13)),NOT(ISNUMBER('Price History'!L12)),'Price History'!L12=0),"",'Price History'!L13/'Price History'!L12-1),"")</f>
        <v>-0.0175585284280937</v>
      </c>
      <c r="M12" s="154" t="n">
        <f aca="false">IFERROR(IF(OR(NOT(ISNUMBER('Price History'!M13)),NOT(ISNUMBER('Price History'!M12)),'Price History'!M12=0),"",'Price History'!M13/'Price History'!M12-1),"")</f>
        <v>-0.0139146567717995</v>
      </c>
      <c r="N12" s="154" t="n">
        <f aca="false">IFERROR(IF(OR(NOT(ISNUMBER('Price History'!N13)),NOT(ISNUMBER('Price History'!N12)),'Price History'!N12=0),"",'Price History'!N13/'Price History'!N12-1),"")</f>
        <v>0.00724679029957209</v>
      </c>
      <c r="O12" s="154" t="n">
        <f aca="false">IFERROR(IF(OR(NOT(ISNUMBER('Price History'!O13)),NOT(ISNUMBER('Price History'!O12)),'Price History'!O12=0),"",'Price History'!O13/'Price History'!O12-1),"")</f>
        <v>0.000130855796911966</v>
      </c>
      <c r="P12" s="154" t="n">
        <f aca="false">IFERROR(IF(OR(NOT(ISNUMBER('Price History'!P13)),NOT(ISNUMBER('Price History'!P12)),'Price History'!P12=0),"",'Price History'!P13/'Price History'!P12-1),"")</f>
        <v>0.0035353535353535</v>
      </c>
      <c r="Q12" s="154" t="n">
        <f aca="false">IFERROR(IF(OR(NOT(ISNUMBER('Price History'!Q13)),NOT(ISNUMBER('Price History'!Q12)),'Price History'!Q12=0),"",'Price History'!Q13/'Price History'!Q12-1),"")</f>
        <v>0.00432135140443934</v>
      </c>
      <c r="R12" s="154" t="n">
        <f aca="false">IFERROR(IF(OR(NOT(ISNUMBER('Price History'!R13)),NOT(ISNUMBER('Price History'!R12)),'Price History'!R12=0),"",'Price History'!R13/'Price History'!R12-1),"")</f>
        <v>0.00532809871003948</v>
      </c>
      <c r="S12" s="154" t="n">
        <f aca="false">IFERROR(IF(OR(NOT(ISNUMBER('Price History'!S13)),NOT(ISNUMBER('Price History'!S12)),'Price History'!S12=0),"",'Price History'!S13/'Price History'!S12-1),"")</f>
        <v>0.00546629120424069</v>
      </c>
      <c r="T12" s="154" t="n">
        <f aca="false">IFERROR(IF(OR(NOT(ISNUMBER('Price History'!T13)),NOT(ISNUMBER('Price History'!T12)),'Price History'!T12=0),"",'Price History'!T13/'Price History'!T12-1),"")</f>
        <v>0.00703949941337512</v>
      </c>
      <c r="U12" s="154" t="n">
        <f aca="false">IFERROR(IF(OR(NOT(ISNUMBER('Price History'!U13)),NOT(ISNUMBER('Price History'!U12)),'Price History'!U12=0),"",'Price History'!U13/'Price History'!U12-1),"")</f>
        <v>0.00941176470588223</v>
      </c>
      <c r="V12" s="155" t="n">
        <f aca="false">IFERROR(IF(OR(NOT(ISNUMBER('Price History'!V13)),NOT(ISNUMBER('Price History'!V12)),'Price History'!V12=0),"",'Price History'!V13/'Price History'!V12-1),"")</f>
        <v>0.019022294947842</v>
      </c>
      <c r="W12" s="156" t="n">
        <f aca="false">IFERROR('Price History'!B3+(INDEX('Price History'!B:B,MATCH(9.99E+307,'Returns (Calc)'!$A:$A)+1)-'Price History'!B3)*(ROW()-3)/(MATCH(9.99E+307,'Returns (Calc)'!$A:$A)-3),"")</f>
        <v>512.302658227848</v>
      </c>
      <c r="X12" s="156" t="n">
        <f aca="false">IFERROR('Price History'!C3+(INDEX('Price History'!C:C,MATCH(9.99E+307,'Returns (Calc)'!$A:$A)+1)-'Price History'!C3)*(ROW()-3)/(MATCH(9.99E+307,'Returns (Calc)'!$A:$A)-3),"")</f>
        <v>55.3605696202532</v>
      </c>
      <c r="Y12" s="156" t="n">
        <f aca="false">IFERROR('Price History'!D3+(INDEX('Price History'!D:D,MATCH(9.99E+307,'Returns (Calc)'!$A:$A)+1)-'Price History'!D3)*(ROW()-3)/(MATCH(9.99E+307,'Returns (Calc)'!$A:$A)-3),"")</f>
        <v>655.223291139241</v>
      </c>
      <c r="Z12" s="156" t="n">
        <f aca="false">IFERROR('Price History'!E3+(INDEX('Price History'!E:E,MATCH(9.99E+307,'Returns (Calc)'!$A:$A)+1)-'Price History'!E3)*(ROW()-3)/(MATCH(9.99E+307,'Returns (Calc)'!$A:$A)-3),"")</f>
        <v>97.5586075949367</v>
      </c>
      <c r="AA12" s="156" t="n">
        <f aca="false">IFERROR('Price History'!F3+(INDEX('Price History'!F:F,MATCH(9.99E+307,'Returns (Calc)'!$A:$A)+1)-'Price History'!F3)*(ROW()-3)/(MATCH(9.99E+307,'Returns (Calc)'!$A:$A)-3),"")</f>
        <v>54.3860759493671</v>
      </c>
      <c r="AB12" s="156" t="n">
        <f aca="false">IFERROR('Price History'!G3+(INDEX('Price History'!G:G,MATCH(9.99E+307,'Returns (Calc)'!$A:$A)+1)-'Price History'!G3)*(ROW()-3)/(MATCH(9.99E+307,'Returns (Calc)'!$A:$A)-3),"")</f>
        <v>53.6086075949367</v>
      </c>
      <c r="AC12" s="156" t="n">
        <f aca="false">IFERROR('Price History'!H3+(INDEX('Price History'!H:H,MATCH(9.99E+307,'Returns (Calc)'!$A:$A)+1)-'Price History'!H3)*(ROW()-3)/(MATCH(9.99E+307,'Returns (Calc)'!$A:$A)-3),"")</f>
        <v>126.401265822785</v>
      </c>
      <c r="AD12" s="156" t="n">
        <f aca="false">IFERROR('Price History'!I3+(INDEX('Price History'!I:I,MATCH(9.99E+307,'Returns (Calc)'!$A:$A)+1)-'Price History'!I3)*(ROW()-3)/(MATCH(9.99E+307,'Returns (Calc)'!$A:$A)-3),"")</f>
        <v>54.6030379746835</v>
      </c>
      <c r="AE12" s="156" t="n">
        <f aca="false">IFERROR('Price History'!J3+(INDEX('Price History'!J:J,MATCH(9.99E+307,'Returns (Calc)'!$A:$A)+1)-'Price History'!J3)*(ROW()-3)/(MATCH(9.99E+307,'Returns (Calc)'!$A:$A)-3),"")</f>
        <v>112.812341772152</v>
      </c>
      <c r="AF12" s="156" t="n">
        <f aca="false">IFERROR('Price History'!K3+(INDEX('Price History'!K:K,MATCH(9.99E+307,'Returns (Calc)'!$A:$A)+1)-'Price History'!K3)*(ROW()-3)/(MATCH(9.99E+307,'Returns (Calc)'!$A:$A)-3),"")</f>
        <v>25.2083544303797</v>
      </c>
      <c r="AG12" s="156" t="n">
        <f aca="false">IFERROR('Price History'!L3+(INDEX('Price History'!L:L,MATCH(9.99E+307,'Returns (Calc)'!$A:$A)+1)-'Price History'!L3)*(ROW()-3)/(MATCH(9.99E+307,'Returns (Calc)'!$A:$A)-3),"")</f>
        <v>107.796012658228</v>
      </c>
      <c r="AH12" s="156" t="n">
        <f aca="false">IFERROR('Price History'!M3+(INDEX('Price History'!M:M,MATCH(9.99E+307,'Returns (Calc)'!$A:$A)+1)-'Price History'!M3)*(ROW()-3)/(MATCH(9.99E+307,'Returns (Calc)'!$A:$A)-3),"")</f>
        <v>50.2189873417722</v>
      </c>
      <c r="AI12" s="156" t="n">
        <f aca="false">IFERROR('Price History'!N3+(INDEX('Price History'!N:N,MATCH(9.99E+307,'Returns (Calc)'!$A:$A)+1)-'Price History'!N3)*(ROW()-3)/(MATCH(9.99E+307,'Returns (Calc)'!$A:$A)-3),"")</f>
        <v>357.776392405063</v>
      </c>
      <c r="AJ12" s="156" t="n">
        <f aca="false">IFERROR('Price History'!O3+(INDEX('Price History'!O:O,MATCH(9.99E+307,'Returns (Calc)'!$A:$A)+1)-'Price History'!O3)*(ROW()-3)/(MATCH(9.99E+307,'Returns (Calc)'!$A:$A)-3),"")</f>
        <v>77.8573417721519</v>
      </c>
      <c r="AK12" s="156" t="n">
        <f aca="false">IFERROR('Price History'!Q3+(INDEX('Price History'!Q:Q,MATCH(9.99E+307,'Returns (Calc)'!$A:$A)+1)-'Price History'!Q3)*(ROW()-3)/(MATCH(9.99E+307,'Returns (Calc)'!$A:$A)-3),"")</f>
        <v>3.95430379746835</v>
      </c>
      <c r="AL12" s="156" t="n">
        <f aca="false">IFERROR('Price History'!R3+(INDEX('Price History'!R:R,MATCH(9.99E+307,'Returns (Calc)'!$A:$A)+1)-'Price History'!R3)*(ROW()-3)/(MATCH(9.99E+307,'Returns (Calc)'!$A:$A)-3),"")</f>
        <v>35.9929113924051</v>
      </c>
      <c r="AM12" s="156" t="n">
        <f aca="false">IFERROR('Price History'!S3+(INDEX('Price History'!S:S,MATCH(9.99E+307,'Returns (Calc)'!$A:$A)+1)-'Price History'!S3)*(ROW()-3)/(MATCH(9.99E+307,'Returns (Calc)'!$A:$A)-3),"")</f>
        <v>63.0755696202532</v>
      </c>
      <c r="AN12" s="156" t="n">
        <f aca="false">IFERROR('Price History'!T3+(INDEX('Price History'!T:T,MATCH(9.99E+307,'Returns (Calc)'!$A:$A)+1)-'Price History'!T3)*(ROW()-3)/(MATCH(9.99E+307,'Returns (Calc)'!$A:$A)-3),"")</f>
        <v>26.7540506329114</v>
      </c>
      <c r="AO12" s="157" t="n">
        <f aca="false">IFERROR('Price History'!V3+(INDEX('Price History'!V:V,MATCH(9.99E+307,'Returns (Calc)'!$A:$A)+1)-'Price History'!V3)*(ROW()-3)/(MATCH(9.99E+307,'Returns (Calc)'!$A:$A)-3),"")</f>
        <v>242.751962025316</v>
      </c>
      <c r="AP12" s="155" t="n">
        <f aca="false">IFERROR(IF(OR(NOT(ISNUMBER('Price History'!W13)),NOT(ISNUMBER('Price History'!W12)),'Price History'!W12=0),"",'Price History'!W13/'Price History'!W12-1),"")</f>
        <v>0.0070095866405524</v>
      </c>
      <c r="AQ12" s="155" t="str">
        <f aca="false">IFERROR(IF(OR(NOT(ISNUMBER('Price History'!X13)),NOT(ISNUMBER('Price History'!X12)),'Price History'!X12=0),"",'Price History'!X13/'Price History'!X12-1),"")</f>
        <v/>
      </c>
      <c r="AR12" s="155" t="n">
        <f aca="false">IFERROR(IF(OR(NOT(ISNUMBER('Price History'!Y13)),NOT(ISNUMBER('Price History'!Y12)),'Price History'!Y12=0),"",'Price History'!Y13/'Price History'!Y12-1),"")</f>
        <v>0.00765838941749819</v>
      </c>
      <c r="AS12" s="155" t="n">
        <f aca="false">IFERROR(IF(OR(NOT(ISNUMBER('Price History'!Z13)),NOT(ISNUMBER('Price History'!Z12)),'Price History'!Z12=0),"",'Price History'!Z13/'Price History'!Z12-1),"")</f>
        <v>0.000424493261169445</v>
      </c>
      <c r="AT12" s="155" t="n">
        <f aca="false">IFERROR(IF(OR(NOT(ISNUMBER('Price History'!AA13)),NOT(ISNUMBER('Price History'!AA12)),'Price History'!AA12=0),"",'Price History'!AA13/'Price History'!AA12-1),"")</f>
        <v>0.0294054518136939</v>
      </c>
      <c r="AU12" s="155" t="n">
        <f aca="false">IFERROR(IF(OR(NOT(ISNUMBER('Price History'!AB13)),NOT(ISNUMBER('Price History'!AB12)),'Price History'!AB12=0),"",'Price History'!AB13/'Price History'!AB12-1),"")</f>
        <v>0.000169933159623881</v>
      </c>
    </row>
    <row r="13" customFormat="false" ht="15" hidden="false" customHeight="true" outlineLevel="0" collapsed="false">
      <c r="A13" s="153" t="n">
        <f aca="false">IF('Price History'!A14="","",'Price History'!A14)</f>
        <v>45261</v>
      </c>
      <c r="B13" s="154" t="n">
        <f aca="false">IFERROR(IF(OR(NOT(ISNUMBER('Price History'!B14)),NOT(ISNUMBER('Price History'!B13)),'Price History'!B13=0),"",'Price History'!B14/'Price History'!B13-1),"")</f>
        <v>-0.0112361364480247</v>
      </c>
      <c r="C13" s="154" t="n">
        <f aca="false">IFERROR(IF(OR(NOT(ISNUMBER('Price History'!C14)),NOT(ISNUMBER('Price History'!C13)),'Price History'!C13=0),"",'Price History'!C14/'Price History'!C13-1),"")</f>
        <v>-0.00805860805860814</v>
      </c>
      <c r="D13" s="154" t="n">
        <f aca="false">IFERROR(IF(OR(NOT(ISNUMBER('Price History'!D14)),NOT(ISNUMBER('Price History'!D13)),'Price History'!D13=0),"",'Price History'!D14/'Price History'!D13-1),"")</f>
        <v>0.00147942125040679</v>
      </c>
      <c r="E13" s="154" t="n">
        <f aca="false">IFERROR(IF(OR(NOT(ISNUMBER('Price History'!E14)),NOT(ISNUMBER('Price History'!E13)),'Price History'!E13=0),"",'Price History'!E14/'Price History'!E13-1),"")</f>
        <v>-0.0499155761924863</v>
      </c>
      <c r="F13" s="154" t="n">
        <f aca="false">IFERROR(IF(OR(NOT(ISNUMBER('Price History'!F14)),NOT(ISNUMBER('Price History'!F13)),'Price History'!F13=0),"",'Price History'!F14/'Price History'!F13-1),"")</f>
        <v>0.115625593316879</v>
      </c>
      <c r="G13" s="154" t="n">
        <f aca="false">IFERROR(IF(OR(NOT(ISNUMBER('Price History'!G14)),NOT(ISNUMBER('Price History'!G13)),'Price History'!G13=0),"",'Price History'!G14/'Price History'!G13-1),"")</f>
        <v>-0.0119463333945966</v>
      </c>
      <c r="H13" s="154" t="n">
        <f aca="false">IFERROR(IF(OR(NOT(ISNUMBER('Price History'!H14)),NOT(ISNUMBER('Price History'!H13)),'Price History'!H13=0),"",'Price History'!H14/'Price History'!H13-1),"")</f>
        <v>-0.0122127380170717</v>
      </c>
      <c r="I13" s="154" t="n">
        <f aca="false">IFERROR(IF(OR(NOT(ISNUMBER('Price History'!I14)),NOT(ISNUMBER('Price History'!I13)),'Price History'!I13=0),"",'Price History'!I14/'Price History'!I13-1),"")</f>
        <v>-0.0209951711106445</v>
      </c>
      <c r="J13" s="154" t="n">
        <f aca="false">IFERROR(IF(OR(NOT(ISNUMBER('Price History'!J14)),NOT(ISNUMBER('Price History'!J13)),'Price History'!J13=0),"",'Price History'!J14/'Price History'!J13-1),"")</f>
        <v>0.0558560330415971</v>
      </c>
      <c r="K13" s="154" t="n">
        <f aca="false">IFERROR(IF(OR(NOT(ISNUMBER('Price History'!K14)),NOT(ISNUMBER('Price History'!K13)),'Price History'!K13=0),"",'Price History'!K14/'Price History'!K13-1),"")</f>
        <v>0.0557291666666666</v>
      </c>
      <c r="L13" s="154" t="n">
        <f aca="false">IFERROR(IF(OR(NOT(ISNUMBER('Price History'!L14)),NOT(ISNUMBER('Price History'!L13)),'Price History'!L13=0),"",'Price History'!L14/'Price History'!L13-1),"")</f>
        <v>0.00734042553191494</v>
      </c>
      <c r="M13" s="154" t="n">
        <f aca="false">IFERROR(IF(OR(NOT(ISNUMBER('Price History'!M14)),NOT(ISNUMBER('Price History'!M13)),'Price History'!M13=0),"",'Price History'!M14/'Price History'!M13-1),"")</f>
        <v>0.0576199435559737</v>
      </c>
      <c r="N13" s="154" t="n">
        <f aca="false">IFERROR(IF(OR(NOT(ISNUMBER('Price History'!N14)),NOT(ISNUMBER('Price History'!N13)),'Price History'!N13=0),"",'Price History'!N14/'Price History'!N13-1),"")</f>
        <v>-0.00532517561749379</v>
      </c>
      <c r="O13" s="154" t="n">
        <f aca="false">IFERROR(IF(OR(NOT(ISNUMBER('Price History'!O14)),NOT(ISNUMBER('Price History'!O13)),'Price History'!O13=0),"",'Price History'!O14/'Price History'!O13-1),"")</f>
        <v>0.0334947010336253</v>
      </c>
      <c r="P13" s="154" t="n">
        <f aca="false">IFERROR(IF(OR(NOT(ISNUMBER('Price History'!P14)),NOT(ISNUMBER('Price History'!P13)),'Price History'!P13=0),"",'Price History'!P14/'Price History'!P13-1),"")</f>
        <v>0.0292903875188728</v>
      </c>
      <c r="Q13" s="154" t="n">
        <f aca="false">IFERROR(IF(OR(NOT(ISNUMBER('Price History'!Q14)),NOT(ISNUMBER('Price History'!Q13)),'Price History'!Q13=0),"",'Price History'!Q14/'Price History'!Q13-1),"")</f>
        <v>0.000977899471934274</v>
      </c>
      <c r="R13" s="154" t="n">
        <f aca="false">IFERROR(IF(OR(NOT(ISNUMBER('Price History'!R14)),NOT(ISNUMBER('Price History'!R13)),'Price History'!R13=0),"",'Price History'!R14/'Price History'!R13-1),"")</f>
        <v>0.00195258019525801</v>
      </c>
      <c r="S13" s="154" t="n">
        <f aca="false">IFERROR(IF(OR(NOT(ISNUMBER('Price History'!S14)),NOT(ISNUMBER('Price History'!S13)),'Price History'!S13=0),"",'Price History'!S14/'Price History'!S13-1),"")</f>
        <v>-0.0021416803953872</v>
      </c>
      <c r="T13" s="154" t="n">
        <f aca="false">IFERROR(IF(OR(NOT(ISNUMBER('Price History'!T14)),NOT(ISNUMBER('Price History'!T13)),'Price History'!T13=0),"",'Price History'!T14/'Price History'!T13-1),"")</f>
        <v>0.0135922330097087</v>
      </c>
      <c r="U13" s="154" t="n">
        <f aca="false">IFERROR(IF(OR(NOT(ISNUMBER('Price History'!U14)),NOT(ISNUMBER('Price History'!U13)),'Price History'!U13=0),"",'Price History'!U14/'Price History'!U13-1),"")</f>
        <v>0.0186480186480187</v>
      </c>
      <c r="V13" s="155" t="n">
        <f aca="false">IFERROR(IF(OR(NOT(ISNUMBER('Price History'!V14)),NOT(ISNUMBER('Price History'!V13)),'Price History'!V13=0),"",'Price History'!V14/'Price History'!V13-1),"")</f>
        <v>0.00843034925732633</v>
      </c>
      <c r="W13" s="156" t="n">
        <f aca="false">IFERROR('Price History'!B3+(INDEX('Price History'!B:B,MATCH(9.99E+307,'Returns (Calc)'!$A:$A)+1)-'Price History'!B3)*(ROW()-3)/(MATCH(9.99E+307,'Returns (Calc)'!$A:$A)-3),"")</f>
        <v>510.459620253165</v>
      </c>
      <c r="X13" s="156" t="n">
        <f aca="false">IFERROR('Price History'!C3+(INDEX('Price History'!C:C,MATCH(9.99E+307,'Returns (Calc)'!$A:$A)+1)-'Price History'!C3)*(ROW()-3)/(MATCH(9.99E+307,'Returns (Calc)'!$A:$A)-3),"")</f>
        <v>56.3806329113924</v>
      </c>
      <c r="Y13" s="156" t="n">
        <f aca="false">IFERROR('Price History'!D3+(INDEX('Price History'!D:D,MATCH(9.99E+307,'Returns (Calc)'!$A:$A)+1)-'Price History'!D3)*(ROW()-3)/(MATCH(9.99E+307,'Returns (Calc)'!$A:$A)-3),"")</f>
        <v>663.358101265823</v>
      </c>
      <c r="Z13" s="156" t="n">
        <f aca="false">IFERROR('Price History'!E3+(INDEX('Price History'!E:E,MATCH(9.99E+307,'Returns (Calc)'!$A:$A)+1)-'Price History'!E3)*(ROW()-3)/(MATCH(9.99E+307,'Returns (Calc)'!$A:$A)-3),"")</f>
        <v>99.2873417721519</v>
      </c>
      <c r="AA13" s="156" t="n">
        <f aca="false">IFERROR('Price History'!F3+(INDEX('Price History'!F:F,MATCH(9.99E+307,'Returns (Calc)'!$A:$A)+1)-'Price History'!F3)*(ROW()-3)/(MATCH(9.99E+307,'Returns (Calc)'!$A:$A)-3),"")</f>
        <v>55.833417721519</v>
      </c>
      <c r="AB13" s="156" t="n">
        <f aca="false">IFERROR('Price History'!G3+(INDEX('Price History'!G:G,MATCH(9.99E+307,'Returns (Calc)'!$A:$A)+1)-'Price History'!G3)*(ROW()-3)/(MATCH(9.99E+307,'Returns (Calc)'!$A:$A)-3),"")</f>
        <v>54.6373417721519</v>
      </c>
      <c r="AC13" s="156" t="n">
        <f aca="false">IFERROR('Price History'!H3+(INDEX('Price History'!H:H,MATCH(9.99E+307,'Returns (Calc)'!$A:$A)+1)-'Price History'!H3)*(ROW()-3)/(MATCH(9.99E+307,'Returns (Calc)'!$A:$A)-3),"")</f>
        <v>132.766962025316</v>
      </c>
      <c r="AD13" s="156" t="n">
        <f aca="false">IFERROR('Price History'!I3+(INDEX('Price History'!I:I,MATCH(9.99E+307,'Returns (Calc)'!$A:$A)+1)-'Price History'!I3)*(ROW()-3)/(MATCH(9.99E+307,'Returns (Calc)'!$A:$A)-3),"")</f>
        <v>55.8067088607595</v>
      </c>
      <c r="AE13" s="156" t="n">
        <f aca="false">IFERROR('Price History'!J3+(INDEX('Price History'!J:J,MATCH(9.99E+307,'Returns (Calc)'!$A:$A)+1)-'Price History'!J3)*(ROW()-3)/(MATCH(9.99E+307,'Returns (Calc)'!$A:$A)-3),"")</f>
        <v>112.920379746835</v>
      </c>
      <c r="AF13" s="156" t="n">
        <f aca="false">IFERROR('Price History'!K3+(INDEX('Price History'!K:K,MATCH(9.99E+307,'Returns (Calc)'!$A:$A)+1)-'Price History'!K3)*(ROW()-3)/(MATCH(9.99E+307,'Returns (Calc)'!$A:$A)-3),"")</f>
        <v>26.3059493670886</v>
      </c>
      <c r="AG13" s="156" t="n">
        <f aca="false">IFERROR('Price History'!L3+(INDEX('Price History'!L:L,MATCH(9.99E+307,'Returns (Calc)'!$A:$A)+1)-'Price History'!L3)*(ROW()-3)/(MATCH(9.99E+307,'Returns (Calc)'!$A:$A)-3),"")</f>
        <v>110.245569620253</v>
      </c>
      <c r="AH13" s="156" t="n">
        <f aca="false">IFERROR('Price History'!M3+(INDEX('Price History'!M:M,MATCH(9.99E+307,'Returns (Calc)'!$A:$A)+1)-'Price History'!M3)*(ROW()-3)/(MATCH(9.99E+307,'Returns (Calc)'!$A:$A)-3),"")</f>
        <v>51.5744303797468</v>
      </c>
      <c r="AI13" s="156" t="n">
        <f aca="false">IFERROR('Price History'!N3+(INDEX('Price History'!N:N,MATCH(9.99E+307,'Returns (Calc)'!$A:$A)+1)-'Price History'!N3)*(ROW()-3)/(MATCH(9.99E+307,'Returns (Calc)'!$A:$A)-3),"")</f>
        <v>358.762658227848</v>
      </c>
      <c r="AJ13" s="156" t="n">
        <f aca="false">IFERROR('Price History'!O3+(INDEX('Price History'!O:O,MATCH(9.99E+307,'Returns (Calc)'!$A:$A)+1)-'Price History'!O3)*(ROW()-3)/(MATCH(9.99E+307,'Returns (Calc)'!$A:$A)-3),"")</f>
        <v>78.1403797468355</v>
      </c>
      <c r="AK13" s="156" t="n">
        <f aca="false">IFERROR('Price History'!Q3+(INDEX('Price History'!Q:Q,MATCH(9.99E+307,'Returns (Calc)'!$A:$A)+1)-'Price History'!Q3)*(ROW()-3)/(MATCH(9.99E+307,'Returns (Calc)'!$A:$A)-3),"")</f>
        <v>4.39367088607595</v>
      </c>
      <c r="AL13" s="156" t="n">
        <f aca="false">IFERROR('Price History'!R3+(INDEX('Price History'!R:R,MATCH(9.99E+307,'Returns (Calc)'!$A:$A)+1)-'Price History'!R3)*(ROW()-3)/(MATCH(9.99E+307,'Returns (Calc)'!$A:$A)-3),"")</f>
        <v>36.1610126582279</v>
      </c>
      <c r="AM13" s="156" t="n">
        <f aca="false">IFERROR('Price History'!S3+(INDEX('Price History'!S:S,MATCH(9.99E+307,'Returns (Calc)'!$A:$A)+1)-'Price History'!S3)*(ROW()-3)/(MATCH(9.99E+307,'Returns (Calc)'!$A:$A)-3),"")</f>
        <v>63.6806329113924</v>
      </c>
      <c r="AN13" s="156" t="n">
        <f aca="false">IFERROR('Price History'!T3+(INDEX('Price History'!T:T,MATCH(9.99E+307,'Returns (Calc)'!$A:$A)+1)-'Price History'!T3)*(ROW()-3)/(MATCH(9.99E+307,'Returns (Calc)'!$A:$A)-3),"")</f>
        <v>26.9222784810127</v>
      </c>
      <c r="AO13" s="157" t="n">
        <f aca="false">IFERROR('Price History'!V3+(INDEX('Price History'!V:V,MATCH(9.99E+307,'Returns (Calc)'!$A:$A)+1)-'Price History'!V3)*(ROW()-3)/(MATCH(9.99E+307,'Returns (Calc)'!$A:$A)-3),"")</f>
        <v>243.543291139241</v>
      </c>
      <c r="AP13" s="155" t="n">
        <f aca="false">IFERROR(IF(OR(NOT(ISNUMBER('Price History'!W14)),NOT(ISNUMBER('Price History'!W13)),'Price History'!W13=0),"",'Price History'!W14/'Price History'!W13-1),"")</f>
        <v>0.0172996212508956</v>
      </c>
      <c r="AQ13" s="155" t="str">
        <f aca="false">IFERROR(IF(OR(NOT(ISNUMBER('Price History'!X14)),NOT(ISNUMBER('Price History'!X13)),'Price History'!X13=0),"",'Price History'!X14/'Price History'!X13-1),"")</f>
        <v/>
      </c>
      <c r="AR13" s="155" t="n">
        <f aca="false">IFERROR(IF(OR(NOT(ISNUMBER('Price History'!Y14)),NOT(ISNUMBER('Price History'!Y13)),'Price History'!Y13=0),"",'Price History'!Y14/'Price History'!Y13-1),"")</f>
        <v>0.00460617227084281</v>
      </c>
      <c r="AS13" s="155" t="n">
        <f aca="false">IFERROR(IF(OR(NOT(ISNUMBER('Price History'!Z14)),NOT(ISNUMBER('Price History'!Z13)),'Price History'!Z13=0),"",'Price History'!Z14/'Price History'!Z13-1),"")</f>
        <v>0.0210035005834306</v>
      </c>
      <c r="AT13" s="155" t="n">
        <f aca="false">IFERROR(IF(OR(NOT(ISNUMBER('Price History'!AA14)),NOT(ISNUMBER('Price History'!AA13)),'Price History'!AA13=0),"",'Price History'!AA14/'Price History'!AA13-1),"")</f>
        <v>-0.0289824854045038</v>
      </c>
      <c r="AU13" s="155" t="n">
        <f aca="false">IFERROR(IF(OR(NOT(ISNUMBER('Price History'!AB14)),NOT(ISNUMBER('Price History'!AB13)),'Price History'!AB13=0),"",'Price History'!AB14/'Price History'!AB13-1),"")</f>
        <v>0.0128560910686981</v>
      </c>
    </row>
    <row r="14" customFormat="false" ht="15" hidden="false" customHeight="true" outlineLevel="0" collapsed="false">
      <c r="A14" s="153" t="n">
        <f aca="false">IF('Price History'!A15="","",'Price History'!A15)</f>
        <v>45268</v>
      </c>
      <c r="B14" s="154" t="n">
        <f aca="false">IFERROR(IF(OR(NOT(ISNUMBER('Price History'!B15)),NOT(ISNUMBER('Price History'!B14)),'Price History'!B14=0),"",'Price History'!B15/'Price History'!B14-1),"")</f>
        <v>-0.00401652325828206</v>
      </c>
      <c r="C14" s="154" t="n">
        <f aca="false">IFERROR(IF(OR(NOT(ISNUMBER('Price History'!C15)),NOT(ISNUMBER('Price History'!C14)),'Price History'!C14=0),"",'Price History'!C15/'Price History'!C14-1),"")</f>
        <v>0.0341580502215657</v>
      </c>
      <c r="D14" s="154" t="n">
        <f aca="false">IFERROR(IF(OR(NOT(ISNUMBER('Price History'!D15)),NOT(ISNUMBER('Price History'!D14)),'Price History'!D14=0),"",'Price History'!D15/'Price History'!D14-1),"")</f>
        <v>0.00610098383904045</v>
      </c>
      <c r="E14" s="154" t="n">
        <f aca="false">IFERROR(IF(OR(NOT(ISNUMBER('Price History'!E15)),NOT(ISNUMBER('Price History'!E14)),'Price History'!E14=0),"",'Price History'!E15/'Price History'!E14-1),"")</f>
        <v>0.0153282239253583</v>
      </c>
      <c r="F14" s="154" t="n">
        <f aca="false">IFERROR(IF(OR(NOT(ISNUMBER('Price History'!F15)),NOT(ISNUMBER('Price History'!F14)),'Price History'!F14=0),"",'Price History'!F15/'Price History'!F14-1),"")</f>
        <v>0.0319945541184479</v>
      </c>
      <c r="G14" s="154" t="n">
        <f aca="false">IFERROR(IF(OR(NOT(ISNUMBER('Price History'!G15)),NOT(ISNUMBER('Price History'!G14)),'Price History'!G14=0),"",'Price History'!G15/'Price History'!G14-1),"")</f>
        <v>-0.0265997023809523</v>
      </c>
      <c r="H14" s="154" t="n">
        <f aca="false">IFERROR(IF(OR(NOT(ISNUMBER('Price History'!H15)),NOT(ISNUMBER('Price History'!H14)),'Price History'!H14=0),"",'Price History'!H15/'Price History'!H14-1),"")</f>
        <v>-0.0127625631480989</v>
      </c>
      <c r="I14" s="154" t="n">
        <f aca="false">IFERROR(IF(OR(NOT(ISNUMBER('Price History'!I15)),NOT(ISNUMBER('Price History'!I14)),'Price History'!I14=0),"",'Price History'!I15/'Price History'!I14-1),"")</f>
        <v>0.0158696118378725</v>
      </c>
      <c r="J14" s="154" t="n">
        <f aca="false">IFERROR(IF(OR(NOT(ISNUMBER('Price History'!J15)),NOT(ISNUMBER('Price History'!J14)),'Price History'!J14=0),"",'Price History'!J15/'Price History'!J14-1),"")</f>
        <v>0.0135047033622053</v>
      </c>
      <c r="K14" s="154" t="n">
        <f aca="false">IFERROR(IF(OR(NOT(ISNUMBER('Price History'!K15)),NOT(ISNUMBER('Price History'!K14)),'Price History'!K14=0),"",'Price History'!K15/'Price History'!K14-1),"")</f>
        <v>-0.123334977799704</v>
      </c>
      <c r="L14" s="154" t="n">
        <f aca="false">IFERROR(IF(OR(NOT(ISNUMBER('Price History'!L15)),NOT(ISNUMBER('Price History'!L14)),'Price History'!L14=0),"",'Price History'!L15/'Price History'!L14-1),"")</f>
        <v>0.0182701446826488</v>
      </c>
      <c r="M14" s="154" t="n">
        <f aca="false">IFERROR(IF(OR(NOT(ISNUMBER('Price History'!M15)),NOT(ISNUMBER('Price History'!M14)),'Price History'!M14=0),"",'Price History'!M15/'Price History'!M14-1),"")</f>
        <v>0.0446964643095396</v>
      </c>
      <c r="N14" s="154" t="n">
        <f aca="false">IFERROR(IF(OR(NOT(ISNUMBER('Price History'!N15)),NOT(ISNUMBER('Price History'!N14)),'Price History'!N14=0),"",'Price History'!N15/'Price History'!N14-1),"")</f>
        <v>-0.0028761817974714</v>
      </c>
      <c r="O14" s="154" t="n">
        <f aca="false">IFERROR(IF(OR(NOT(ISNUMBER('Price History'!O15)),NOT(ISNUMBER('Price History'!O14)),'Price History'!O14=0),"",'Price History'!O15/'Price History'!O14-1),"")</f>
        <v>0.00835548803646047</v>
      </c>
      <c r="P14" s="154" t="n">
        <f aca="false">IFERROR(IF(OR(NOT(ISNUMBER('Price History'!P15)),NOT(ISNUMBER('Price History'!P14)),'Price History'!P14=0),"",'Price History'!P15/'Price History'!P14-1),"")</f>
        <v>0.00215137883825545</v>
      </c>
      <c r="Q14" s="154" t="n">
        <f aca="false">IFERROR(IF(OR(NOT(ISNUMBER('Price History'!Q15)),NOT(ISNUMBER('Price History'!Q14)),'Price History'!Q14=0),"",'Price History'!Q15/'Price History'!Q14-1),"")</f>
        <v>0.00371238765142623</v>
      </c>
      <c r="R14" s="154" t="n">
        <f aca="false">IFERROR(IF(OR(NOT(ISNUMBER('Price History'!R15)),NOT(ISNUMBER('Price History'!R14)),'Price History'!R14=0),"",'Price History'!R15/'Price History'!R14-1),"")</f>
        <v>0.0072383073496658</v>
      </c>
      <c r="S14" s="154" t="n">
        <f aca="false">IFERROR(IF(OR(NOT(ISNUMBER('Price History'!S15)),NOT(ISNUMBER('Price History'!S14)),'Price History'!S14=0),"",'Price History'!S15/'Price History'!S14-1),"")</f>
        <v>0.00363216113587583</v>
      </c>
      <c r="T14" s="154" t="n">
        <f aca="false">IFERROR(IF(OR(NOT(ISNUMBER('Price History'!T15)),NOT(ISNUMBER('Price History'!T14)),'Price History'!T14=0),"",'Price History'!T15/'Price History'!T14-1),"")</f>
        <v>0.00881226053639828</v>
      </c>
      <c r="U14" s="154" t="n">
        <f aca="false">IFERROR(IF(OR(NOT(ISNUMBER('Price History'!U15)),NOT(ISNUMBER('Price History'!U14)),'Price History'!U14=0),"",'Price History'!U15/'Price History'!U14-1),"")</f>
        <v>0.0018306636155605</v>
      </c>
      <c r="V14" s="155" t="n">
        <f aca="false">IFERROR(IF(OR(NOT(ISNUMBER('Price History'!V15)),NOT(ISNUMBER('Price History'!V14)),'Price History'!V14=0),"",'Price History'!V15/'Price History'!V14-1),"")</f>
        <v>-0.00274681528662424</v>
      </c>
      <c r="W14" s="156" t="n">
        <f aca="false">IFERROR('Price History'!B3+(INDEX('Price History'!B:B,MATCH(9.99E+307,'Returns (Calc)'!$A:$A)+1)-'Price History'!B3)*(ROW()-3)/(MATCH(9.99E+307,'Returns (Calc)'!$A:$A)-3),"")</f>
        <v>508.616582278481</v>
      </c>
      <c r="X14" s="156" t="n">
        <f aca="false">IFERROR('Price History'!C3+(INDEX('Price History'!C:C,MATCH(9.99E+307,'Returns (Calc)'!$A:$A)+1)-'Price History'!C3)*(ROW()-3)/(MATCH(9.99E+307,'Returns (Calc)'!$A:$A)-3),"")</f>
        <v>57.4006962025317</v>
      </c>
      <c r="Y14" s="156" t="n">
        <f aca="false">IFERROR('Price History'!D3+(INDEX('Price History'!D:D,MATCH(9.99E+307,'Returns (Calc)'!$A:$A)+1)-'Price History'!D3)*(ROW()-3)/(MATCH(9.99E+307,'Returns (Calc)'!$A:$A)-3),"")</f>
        <v>671.492911392405</v>
      </c>
      <c r="Z14" s="156" t="n">
        <f aca="false">IFERROR('Price History'!E3+(INDEX('Price History'!E:E,MATCH(9.99E+307,'Returns (Calc)'!$A:$A)+1)-'Price History'!E3)*(ROW()-3)/(MATCH(9.99E+307,'Returns (Calc)'!$A:$A)-3),"")</f>
        <v>101.016075949367</v>
      </c>
      <c r="AA14" s="156" t="n">
        <f aca="false">IFERROR('Price History'!F3+(INDEX('Price History'!F:F,MATCH(9.99E+307,'Returns (Calc)'!$A:$A)+1)-'Price History'!F3)*(ROW()-3)/(MATCH(9.99E+307,'Returns (Calc)'!$A:$A)-3),"")</f>
        <v>57.2807594936709</v>
      </c>
      <c r="AB14" s="156" t="n">
        <f aca="false">IFERROR('Price History'!G3+(INDEX('Price History'!G:G,MATCH(9.99E+307,'Returns (Calc)'!$A:$A)+1)-'Price History'!G3)*(ROW()-3)/(MATCH(9.99E+307,'Returns (Calc)'!$A:$A)-3),"")</f>
        <v>55.6660759493671</v>
      </c>
      <c r="AC14" s="156" t="n">
        <f aca="false">IFERROR('Price History'!H3+(INDEX('Price History'!H:H,MATCH(9.99E+307,'Returns (Calc)'!$A:$A)+1)-'Price History'!H3)*(ROW()-3)/(MATCH(9.99E+307,'Returns (Calc)'!$A:$A)-3),"")</f>
        <v>139.132658227848</v>
      </c>
      <c r="AD14" s="156" t="n">
        <f aca="false">IFERROR('Price History'!I3+(INDEX('Price History'!I:I,MATCH(9.99E+307,'Returns (Calc)'!$A:$A)+1)-'Price History'!I3)*(ROW()-3)/(MATCH(9.99E+307,'Returns (Calc)'!$A:$A)-3),"")</f>
        <v>57.0103797468354</v>
      </c>
      <c r="AE14" s="156" t="n">
        <f aca="false">IFERROR('Price History'!J3+(INDEX('Price History'!J:J,MATCH(9.99E+307,'Returns (Calc)'!$A:$A)+1)-'Price History'!J3)*(ROW()-3)/(MATCH(9.99E+307,'Returns (Calc)'!$A:$A)-3),"")</f>
        <v>113.028417721519</v>
      </c>
      <c r="AF14" s="156" t="n">
        <f aca="false">IFERROR('Price History'!K3+(INDEX('Price History'!K:K,MATCH(9.99E+307,'Returns (Calc)'!$A:$A)+1)-'Price History'!K3)*(ROW()-3)/(MATCH(9.99E+307,'Returns (Calc)'!$A:$A)-3),"")</f>
        <v>27.4035443037975</v>
      </c>
      <c r="AG14" s="156" t="n">
        <f aca="false">IFERROR('Price History'!L3+(INDEX('Price History'!L:L,MATCH(9.99E+307,'Returns (Calc)'!$A:$A)+1)-'Price History'!L3)*(ROW()-3)/(MATCH(9.99E+307,'Returns (Calc)'!$A:$A)-3),"")</f>
        <v>112.695126582278</v>
      </c>
      <c r="AH14" s="156" t="n">
        <f aca="false">IFERROR('Price History'!M3+(INDEX('Price History'!M:M,MATCH(9.99E+307,'Returns (Calc)'!$A:$A)+1)-'Price History'!M3)*(ROW()-3)/(MATCH(9.99E+307,'Returns (Calc)'!$A:$A)-3),"")</f>
        <v>52.9298734177215</v>
      </c>
      <c r="AI14" s="156" t="n">
        <f aca="false">IFERROR('Price History'!N3+(INDEX('Price History'!N:N,MATCH(9.99E+307,'Returns (Calc)'!$A:$A)+1)-'Price History'!N3)*(ROW()-3)/(MATCH(9.99E+307,'Returns (Calc)'!$A:$A)-3),"")</f>
        <v>359.748924050633</v>
      </c>
      <c r="AJ14" s="156" t="n">
        <f aca="false">IFERROR('Price History'!O3+(INDEX('Price History'!O:O,MATCH(9.99E+307,'Returns (Calc)'!$A:$A)+1)-'Price History'!O3)*(ROW()-3)/(MATCH(9.99E+307,'Returns (Calc)'!$A:$A)-3),"")</f>
        <v>78.423417721519</v>
      </c>
      <c r="AK14" s="156" t="n">
        <f aca="false">IFERROR('Price History'!Q3+(INDEX('Price History'!Q:Q,MATCH(9.99E+307,'Returns (Calc)'!$A:$A)+1)-'Price History'!Q3)*(ROW()-3)/(MATCH(9.99E+307,'Returns (Calc)'!$A:$A)-3),"")</f>
        <v>4.83303797468355</v>
      </c>
      <c r="AL14" s="156" t="n">
        <f aca="false">IFERROR('Price History'!R3+(INDEX('Price History'!R:R,MATCH(9.99E+307,'Returns (Calc)'!$A:$A)+1)-'Price History'!R3)*(ROW()-3)/(MATCH(9.99E+307,'Returns (Calc)'!$A:$A)-3),"")</f>
        <v>36.3291139240506</v>
      </c>
      <c r="AM14" s="156" t="n">
        <f aca="false">IFERROR('Price History'!S3+(INDEX('Price History'!S:S,MATCH(9.99E+307,'Returns (Calc)'!$A:$A)+1)-'Price History'!S3)*(ROW()-3)/(MATCH(9.99E+307,'Returns (Calc)'!$A:$A)-3),"")</f>
        <v>64.2856962025317</v>
      </c>
      <c r="AN14" s="156" t="n">
        <f aca="false">IFERROR('Price History'!T3+(INDEX('Price History'!T:T,MATCH(9.99E+307,'Returns (Calc)'!$A:$A)+1)-'Price History'!T3)*(ROW()-3)/(MATCH(9.99E+307,'Returns (Calc)'!$A:$A)-3),"")</f>
        <v>27.0905063291139</v>
      </c>
      <c r="AO14" s="157" t="n">
        <f aca="false">IFERROR('Price History'!V3+(INDEX('Price History'!V:V,MATCH(9.99E+307,'Returns (Calc)'!$A:$A)+1)-'Price History'!V3)*(ROW()-3)/(MATCH(9.99E+307,'Returns (Calc)'!$A:$A)-3),"")</f>
        <v>244.334620253165</v>
      </c>
      <c r="AP14" s="155" t="n">
        <f aca="false">IFERROR(IF(OR(NOT(ISNUMBER('Price History'!W15)),NOT(ISNUMBER('Price History'!W14)),'Price History'!W14=0),"",'Price History'!W15/'Price History'!W14-1),"")</f>
        <v>-0.00231434896357408</v>
      </c>
      <c r="AQ14" s="155" t="str">
        <f aca="false">IFERROR(IF(OR(NOT(ISNUMBER('Price History'!X15)),NOT(ISNUMBER('Price History'!X14)),'Price History'!X14=0),"",'Price History'!X15/'Price History'!X14-1),"")</f>
        <v/>
      </c>
      <c r="AR14" s="155" t="n">
        <f aca="false">IFERROR(IF(OR(NOT(ISNUMBER('Price History'!Y15)),NOT(ISNUMBER('Price History'!Y14)),'Price History'!Y14=0),"",'Price History'!Y15/'Price History'!Y14-1),"")</f>
        <v>-0.00298028427326902</v>
      </c>
      <c r="AS14" s="155" t="n">
        <f aca="false">IFERROR(IF(OR(NOT(ISNUMBER('Price History'!Z15)),NOT(ISNUMBER('Price History'!Z14)),'Price History'!Z14=0),"",'Price History'!Z15/'Price History'!Z14-1),"")</f>
        <v>-0.0155844155844156</v>
      </c>
      <c r="AT14" s="155" t="n">
        <f aca="false">IFERROR(IF(OR(NOT(ISNUMBER('Price History'!AA15)),NOT(ISNUMBER('Price History'!AA14)),'Price History'!AA14=0),"",'Price History'!AA15/'Price History'!AA14-1),"")</f>
        <v>-0.0255529310715052</v>
      </c>
      <c r="AU14" s="155" t="n">
        <f aca="false">IFERROR(IF(OR(NOT(ISNUMBER('Price History'!AB15)),NOT(ISNUMBER('Price History'!AB14)),'Price History'!AB14=0),"",'Price History'!AB15/'Price History'!AB14-1),"")</f>
        <v>-0.0342764482218743</v>
      </c>
    </row>
    <row r="15" customFormat="false" ht="15" hidden="false" customHeight="true" outlineLevel="0" collapsed="false">
      <c r="A15" s="153" t="n">
        <f aca="false">IF('Price History'!A16="","",'Price History'!A16)</f>
        <v>45275</v>
      </c>
      <c r="B15" s="154" t="n">
        <f aca="false">IFERROR(IF(OR(NOT(ISNUMBER('Price History'!B16)),NOT(ISNUMBER('Price History'!B15)),'Price History'!B15=0),"",'Price History'!B16/'Price History'!B15-1),"")</f>
        <v>-0.0415239094441076</v>
      </c>
      <c r="C15" s="154" t="n">
        <f aca="false">IFERROR(IF(OR(NOT(ISNUMBER('Price History'!C16)),NOT(ISNUMBER('Price History'!C15)),'Price History'!C15=0),"",'Price History'!C16/'Price History'!C15-1),"")</f>
        <v>0.0515979289412605</v>
      </c>
      <c r="D15" s="154" t="n">
        <f aca="false">IFERROR(IF(OR(NOT(ISNUMBER('Price History'!D16)),NOT(ISNUMBER('Price History'!D15)),'Price History'!D15=0),"",'Price History'!D16/'Price History'!D15-1),"")</f>
        <v>0.0811810827080917</v>
      </c>
      <c r="E15" s="154" t="n">
        <f aca="false">IFERROR(IF(OR(NOT(ISNUMBER('Price History'!E16)),NOT(ISNUMBER('Price History'!E15)),'Price History'!E15=0),"",'Price History'!E16/'Price History'!E15-1),"")</f>
        <v>0.1964774094738</v>
      </c>
      <c r="F15" s="154" t="n">
        <f aca="false">IFERROR(IF(OR(NOT(ISNUMBER('Price History'!F16)),NOT(ISNUMBER('Price History'!F15)),'Price History'!F15=0),"",'Price History'!F16/'Price History'!F15-1),"")</f>
        <v>0.0722295514511873</v>
      </c>
      <c r="G15" s="154" t="n">
        <f aca="false">IFERROR(IF(OR(NOT(ISNUMBER('Price History'!G16)),NOT(ISNUMBER('Price History'!G15)),'Price History'!G15=0),"",'Price History'!G16/'Price History'!G15-1),"")</f>
        <v>0.0947831072042806</v>
      </c>
      <c r="H15" s="154" t="n">
        <f aca="false">IFERROR(IF(OR(NOT(ISNUMBER('Price History'!H16)),NOT(ISNUMBER('Price History'!H15)),'Price History'!H15=0),"",'Price History'!H16/'Price History'!H15-1),"")</f>
        <v>0.0859143549690278</v>
      </c>
      <c r="I15" s="154" t="n">
        <f aca="false">IFERROR(IF(OR(NOT(ISNUMBER('Price History'!I16)),NOT(ISNUMBER('Price History'!I15)),'Price History'!I15=0),"",'Price History'!I16/'Price History'!I15-1),"")</f>
        <v>0.0291323622545916</v>
      </c>
      <c r="J15" s="154" t="n">
        <f aca="false">IFERROR(IF(OR(NOT(ISNUMBER('Price History'!J16)),NOT(ISNUMBER('Price History'!J15)),'Price History'!J15=0),"",'Price History'!J16/'Price History'!J15-1),"")</f>
        <v>0.127366292960853</v>
      </c>
      <c r="K15" s="154" t="n">
        <f aca="false">IFERROR(IF(OR(NOT(ISNUMBER('Price History'!K16)),NOT(ISNUMBER('Price History'!K15)),'Price History'!K15=0),"",'Price History'!K16/'Price History'!K15-1),"")</f>
        <v>0.024198086662915</v>
      </c>
      <c r="L15" s="154" t="n">
        <f aca="false">IFERROR(IF(OR(NOT(ISNUMBER('Price History'!L16)),NOT(ISNUMBER('Price History'!L15)),'Price History'!L15=0),"",'Price History'!L16/'Price History'!L15-1),"")</f>
        <v>0.0266542211159511</v>
      </c>
      <c r="M15" s="154" t="n">
        <f aca="false">IFERROR(IF(OR(NOT(ISNUMBER('Price History'!M16)),NOT(ISNUMBER('Price History'!M15)),'Price History'!M15=0),"",'Price History'!M16/'Price History'!M15-1),"")</f>
        <v>0.0125585355470415</v>
      </c>
      <c r="N15" s="154" t="n">
        <f aca="false">IFERROR(IF(OR(NOT(ISNUMBER('Price History'!N16)),NOT(ISNUMBER('Price History'!N15)),'Price History'!N15=0),"",'Price History'!N16/'Price History'!N15-1),"")</f>
        <v>0.172868770526917</v>
      </c>
      <c r="O15" s="154" t="n">
        <f aca="false">IFERROR(IF(OR(NOT(ISNUMBER('Price History'!O16)),NOT(ISNUMBER('Price History'!O15)),'Price History'!O15=0),"",'Price History'!O16/'Price History'!O15-1),"")</f>
        <v>0.0548650345260513</v>
      </c>
      <c r="P15" s="154" t="n">
        <f aca="false">IFERROR(IF(OR(NOT(ISNUMBER('Price History'!P16)),NOT(ISNUMBER('Price History'!P15)),'Price History'!P15=0),"",'Price History'!P16/'Price History'!P15-1),"")</f>
        <v>0.0298594847775175</v>
      </c>
      <c r="Q15" s="154" t="n">
        <f aca="false">IFERROR(IF(OR(NOT(ISNUMBER('Price History'!Q16)),NOT(ISNUMBER('Price History'!Q15)),'Price History'!Q15=0),"",'Price History'!Q16/'Price History'!Q15-1),"")</f>
        <v>0.00914930893517618</v>
      </c>
      <c r="R15" s="154" t="n">
        <f aca="false">IFERROR(IF(OR(NOT(ISNUMBER('Price History'!R16)),NOT(ISNUMBER('Price History'!R15)),'Price History'!R15=0),"",'Price History'!R16/'Price History'!R15-1),"")</f>
        <v>0.0152017689331121</v>
      </c>
      <c r="S15" s="154" t="n">
        <f aca="false">IFERROR(IF(OR(NOT(ISNUMBER('Price History'!S16)),NOT(ISNUMBER('Price History'!S15)),'Price History'!S15=0),"",'Price History'!S16/'Price History'!S15-1),"")</f>
        <v>0.0342161539726928</v>
      </c>
      <c r="T15" s="154" t="n">
        <f aca="false">IFERROR(IF(OR(NOT(ISNUMBER('Price History'!T16)),NOT(ISNUMBER('Price History'!T15)),'Price History'!T15=0),"",'Price History'!T16/'Price History'!T15-1),"")</f>
        <v>0.0277250284846182</v>
      </c>
      <c r="U15" s="154" t="n">
        <f aca="false">IFERROR(IF(OR(NOT(ISNUMBER('Price History'!U16)),NOT(ISNUMBER('Price History'!U15)),'Price History'!U15=0),"",'Price History'!U16/'Price History'!U15-1),"")</f>
        <v>0.0402010050251256</v>
      </c>
      <c r="V15" s="155" t="n">
        <f aca="false">IFERROR(IF(OR(NOT(ISNUMBER('Price History'!V16)),NOT(ISNUMBER('Price History'!V15)),'Price History'!V15=0),"",'Price History'!V16/'Price History'!V15-1),"")</f>
        <v>0.00894175881202353</v>
      </c>
      <c r="W15" s="156" t="n">
        <f aca="false">IFERROR('Price History'!B3+(INDEX('Price History'!B:B,MATCH(9.99E+307,'Returns (Calc)'!$A:$A)+1)-'Price History'!B3)*(ROW()-3)/(MATCH(9.99E+307,'Returns (Calc)'!$A:$A)-3),"")</f>
        <v>506.773544303797</v>
      </c>
      <c r="X15" s="156" t="n">
        <f aca="false">IFERROR('Price History'!C3+(INDEX('Price History'!C:C,MATCH(9.99E+307,'Returns (Calc)'!$A:$A)+1)-'Price History'!C3)*(ROW()-3)/(MATCH(9.99E+307,'Returns (Calc)'!$A:$A)-3),"")</f>
        <v>58.4207594936709</v>
      </c>
      <c r="Y15" s="156" t="n">
        <f aca="false">IFERROR('Price History'!D3+(INDEX('Price History'!D:D,MATCH(9.99E+307,'Returns (Calc)'!$A:$A)+1)-'Price History'!D3)*(ROW()-3)/(MATCH(9.99E+307,'Returns (Calc)'!$A:$A)-3),"")</f>
        <v>679.627721518987</v>
      </c>
      <c r="Z15" s="156" t="n">
        <f aca="false">IFERROR('Price History'!E3+(INDEX('Price History'!E:E,MATCH(9.99E+307,'Returns (Calc)'!$A:$A)+1)-'Price History'!E3)*(ROW()-3)/(MATCH(9.99E+307,'Returns (Calc)'!$A:$A)-3),"")</f>
        <v>102.744810126582</v>
      </c>
      <c r="AA15" s="156" t="n">
        <f aca="false">IFERROR('Price History'!F3+(INDEX('Price History'!F:F,MATCH(9.99E+307,'Returns (Calc)'!$A:$A)+1)-'Price History'!F3)*(ROW()-3)/(MATCH(9.99E+307,'Returns (Calc)'!$A:$A)-3),"")</f>
        <v>58.7281012658228</v>
      </c>
      <c r="AB15" s="156" t="n">
        <f aca="false">IFERROR('Price History'!G3+(INDEX('Price History'!G:G,MATCH(9.99E+307,'Returns (Calc)'!$A:$A)+1)-'Price History'!G3)*(ROW()-3)/(MATCH(9.99E+307,'Returns (Calc)'!$A:$A)-3),"")</f>
        <v>56.6948101265823</v>
      </c>
      <c r="AC15" s="156" t="n">
        <f aca="false">IFERROR('Price History'!H3+(INDEX('Price History'!H:H,MATCH(9.99E+307,'Returns (Calc)'!$A:$A)+1)-'Price History'!H3)*(ROW()-3)/(MATCH(9.99E+307,'Returns (Calc)'!$A:$A)-3),"")</f>
        <v>145.49835443038</v>
      </c>
      <c r="AD15" s="156" t="n">
        <f aca="false">IFERROR('Price History'!I3+(INDEX('Price History'!I:I,MATCH(9.99E+307,'Returns (Calc)'!$A:$A)+1)-'Price History'!I3)*(ROW()-3)/(MATCH(9.99E+307,'Returns (Calc)'!$A:$A)-3),"")</f>
        <v>58.2140506329114</v>
      </c>
      <c r="AE15" s="156" t="n">
        <f aca="false">IFERROR('Price History'!J3+(INDEX('Price History'!J:J,MATCH(9.99E+307,'Returns (Calc)'!$A:$A)+1)-'Price History'!J3)*(ROW()-3)/(MATCH(9.99E+307,'Returns (Calc)'!$A:$A)-3),"")</f>
        <v>113.136455696203</v>
      </c>
      <c r="AF15" s="156" t="n">
        <f aca="false">IFERROR('Price History'!K3+(INDEX('Price History'!K:K,MATCH(9.99E+307,'Returns (Calc)'!$A:$A)+1)-'Price History'!K3)*(ROW()-3)/(MATCH(9.99E+307,'Returns (Calc)'!$A:$A)-3),"")</f>
        <v>28.5011392405063</v>
      </c>
      <c r="AG15" s="156" t="n">
        <f aca="false">IFERROR('Price History'!L3+(INDEX('Price History'!L:L,MATCH(9.99E+307,'Returns (Calc)'!$A:$A)+1)-'Price History'!L3)*(ROW()-3)/(MATCH(9.99E+307,'Returns (Calc)'!$A:$A)-3),"")</f>
        <v>115.144683544304</v>
      </c>
      <c r="AH15" s="156" t="n">
        <f aca="false">IFERROR('Price History'!M3+(INDEX('Price History'!M:M,MATCH(9.99E+307,'Returns (Calc)'!$A:$A)+1)-'Price History'!M3)*(ROW()-3)/(MATCH(9.99E+307,'Returns (Calc)'!$A:$A)-3),"")</f>
        <v>54.2853164556962</v>
      </c>
      <c r="AI15" s="156" t="n">
        <f aca="false">IFERROR('Price History'!N3+(INDEX('Price History'!N:N,MATCH(9.99E+307,'Returns (Calc)'!$A:$A)+1)-'Price History'!N3)*(ROW()-3)/(MATCH(9.99E+307,'Returns (Calc)'!$A:$A)-3),"")</f>
        <v>360.735189873418</v>
      </c>
      <c r="AJ15" s="156" t="n">
        <f aca="false">IFERROR('Price History'!O3+(INDEX('Price History'!O:O,MATCH(9.99E+307,'Returns (Calc)'!$A:$A)+1)-'Price History'!O3)*(ROW()-3)/(MATCH(9.99E+307,'Returns (Calc)'!$A:$A)-3),"")</f>
        <v>78.7064556962025</v>
      </c>
      <c r="AK15" s="156" t="n">
        <f aca="false">IFERROR('Price History'!Q3+(INDEX('Price History'!Q:Q,MATCH(9.99E+307,'Returns (Calc)'!$A:$A)+1)-'Price History'!Q3)*(ROW()-3)/(MATCH(9.99E+307,'Returns (Calc)'!$A:$A)-3),"")</f>
        <v>5.27240506329114</v>
      </c>
      <c r="AL15" s="156" t="n">
        <f aca="false">IFERROR('Price History'!R3+(INDEX('Price History'!R:R,MATCH(9.99E+307,'Returns (Calc)'!$A:$A)+1)-'Price History'!R3)*(ROW()-3)/(MATCH(9.99E+307,'Returns (Calc)'!$A:$A)-3),"")</f>
        <v>36.4972151898734</v>
      </c>
      <c r="AM15" s="156" t="n">
        <f aca="false">IFERROR('Price History'!S3+(INDEX('Price History'!S:S,MATCH(9.99E+307,'Returns (Calc)'!$A:$A)+1)-'Price History'!S3)*(ROW()-3)/(MATCH(9.99E+307,'Returns (Calc)'!$A:$A)-3),"")</f>
        <v>64.8907594936709</v>
      </c>
      <c r="AN15" s="156" t="n">
        <f aca="false">IFERROR('Price History'!T3+(INDEX('Price History'!T:T,MATCH(9.99E+307,'Returns (Calc)'!$A:$A)+1)-'Price History'!T3)*(ROW()-3)/(MATCH(9.99E+307,'Returns (Calc)'!$A:$A)-3),"")</f>
        <v>27.2587341772152</v>
      </c>
      <c r="AO15" s="157" t="n">
        <f aca="false">IFERROR('Price History'!V3+(INDEX('Price History'!V:V,MATCH(9.99E+307,'Returns (Calc)'!$A:$A)+1)-'Price History'!V3)*(ROW()-3)/(MATCH(9.99E+307,'Returns (Calc)'!$A:$A)-3),"")</f>
        <v>245.125949367089</v>
      </c>
      <c r="AP15" s="155" t="n">
        <f aca="false">IFERROR(IF(OR(NOT(ISNUMBER('Price History'!W16)),NOT(ISNUMBER('Price History'!W15)),'Price History'!W15=0),"",'Price History'!W16/'Price History'!W15-1),"")</f>
        <v>0.0343923348461925</v>
      </c>
      <c r="AQ15" s="155" t="str">
        <f aca="false">IFERROR(IF(OR(NOT(ISNUMBER('Price History'!X16)),NOT(ISNUMBER('Price History'!X15)),'Price History'!X15=0),"",'Price History'!X16/'Price History'!X15-1),"")</f>
        <v/>
      </c>
      <c r="AR15" s="155" t="n">
        <f aca="false">IFERROR(IF(OR(NOT(ISNUMBER('Price History'!Y16)),NOT(ISNUMBER('Price History'!Y15)),'Price History'!Y15=0),"",'Price History'!Y16/'Price History'!Y15-1),"")</f>
        <v>0.0121867095884112</v>
      </c>
      <c r="AS15" s="155" t="n">
        <f aca="false">IFERROR(IF(OR(NOT(ISNUMBER('Price History'!Z16)),NOT(ISNUMBER('Price History'!Z15)),'Price History'!Z15=0),"",'Price History'!Z16/'Price History'!Z15-1),"")</f>
        <v>0.021952506596306</v>
      </c>
      <c r="AT15" s="155" t="n">
        <f aca="false">IFERROR(IF(OR(NOT(ISNUMBER('Price History'!AA16)),NOT(ISNUMBER('Price History'!AA15)),'Price History'!AA15=0),"",'Price History'!AA16/'Price History'!AA15-1),"")</f>
        <v>0.0403261348611723</v>
      </c>
      <c r="AU15" s="155" t="n">
        <f aca="false">IFERROR(IF(OR(NOT(ISNUMBER('Price History'!AB16)),NOT(ISNUMBER('Price History'!AB15)),'Price History'!AB15=0),"",'Price History'!AB16/'Price History'!AB15-1),"")</f>
        <v>0.0460888194082565</v>
      </c>
    </row>
    <row r="16" customFormat="false" ht="15" hidden="false" customHeight="true" outlineLevel="0" collapsed="false">
      <c r="A16" s="153" t="n">
        <f aca="false">IF('Price History'!A17="","",'Price History'!A17)</f>
        <v>45282</v>
      </c>
      <c r="B16" s="154" t="n">
        <f aca="false">IFERROR(IF(OR(NOT(ISNUMBER('Price History'!B17)),NOT(ISNUMBER('Price History'!B16)),'Price History'!B16=0),"",'Price History'!B17/'Price History'!B16-1),"")</f>
        <v>0.0240644455086545</v>
      </c>
      <c r="C16" s="154" t="n">
        <f aca="false">IFERROR(IF(OR(NOT(ISNUMBER('Price History'!C17)),NOT(ISNUMBER('Price History'!C16)),'Price History'!C16=0),"",'Price History'!C17/'Price History'!C16-1),"")</f>
        <v>0.0112054329371818</v>
      </c>
      <c r="D16" s="154" t="n">
        <f aca="false">IFERROR(IF(OR(NOT(ISNUMBER('Price History'!D17)),NOT(ISNUMBER('Price History'!D16)),'Price History'!D16=0),"",'Price History'!D17/'Price History'!D16-1),"")</f>
        <v>-0.000570373187028017</v>
      </c>
      <c r="E16" s="154" t="n">
        <f aca="false">IFERROR(IF(OR(NOT(ISNUMBER('Price History'!E17)),NOT(ISNUMBER('Price History'!E16)),'Price History'!E16=0),"",'Price History'!E17/'Price History'!E16-1),"")</f>
        <v>-0.00237725153149859</v>
      </c>
      <c r="F16" s="154" t="n">
        <f aca="false">IFERROR(IF(OR(NOT(ISNUMBER('Price History'!F17)),NOT(ISNUMBER('Price History'!F16)),'Price History'!F16=0),"",'Price History'!F17/'Price History'!F16-1),"")</f>
        <v>-0.0170716702553061</v>
      </c>
      <c r="G16" s="154" t="n">
        <f aca="false">IFERROR(IF(OR(NOT(ISNUMBER('Price History'!G17)),NOT(ISNUMBER('Price History'!G16)),'Price History'!G16=0),"",'Price History'!G17/'Price History'!G16-1),"")</f>
        <v>-0.00418921277709905</v>
      </c>
      <c r="H16" s="154" t="n">
        <f aca="false">IFERROR(IF(OR(NOT(ISNUMBER('Price History'!H17)),NOT(ISNUMBER('Price History'!H16)),'Price History'!H16=0),"",'Price History'!H17/'Price History'!H16-1),"")</f>
        <v>0.0625</v>
      </c>
      <c r="I16" s="154" t="n">
        <f aca="false">IFERROR(IF(OR(NOT(ISNUMBER('Price History'!I17)),NOT(ISNUMBER('Price History'!I16)),'Price History'!I16=0),"",'Price History'!I17/'Price History'!I16-1),"")</f>
        <v>-0.00123076923076926</v>
      </c>
      <c r="J16" s="154" t="n">
        <f aca="false">IFERROR(IF(OR(NOT(ISNUMBER('Price History'!J17)),NOT(ISNUMBER('Price History'!J16)),'Price History'!J16=0),"",'Price History'!J17/'Price History'!J16-1),"")</f>
        <v>-0.013857189435931</v>
      </c>
      <c r="K16" s="154" t="n">
        <f aca="false">IFERROR(IF(OR(NOT(ISNUMBER('Price History'!K17)),NOT(ISNUMBER('Price History'!K16)),'Price History'!K16=0),"",'Price History'!K17/'Price History'!K16-1),"")</f>
        <v>-0.0434065934065934</v>
      </c>
      <c r="L16" s="154" t="n">
        <f aca="false">IFERROR(IF(OR(NOT(ISNUMBER('Price History'!L17)),NOT(ISNUMBER('Price History'!L16)),'Price History'!L16=0),"",'Price History'!L17/'Price History'!L16-1),"")</f>
        <v>0.00585917769471656</v>
      </c>
      <c r="M16" s="154" t="n">
        <f aca="false">IFERROR(IF(OR(NOT(ISNUMBER('Price History'!M17)),NOT(ISNUMBER('Price History'!M16)),'Price History'!M16=0),"",'Price History'!M17/'Price History'!M16-1),"")</f>
        <v>0.0220727349169645</v>
      </c>
      <c r="N16" s="154" t="n">
        <f aca="false">IFERROR(IF(OR(NOT(ISNUMBER('Price History'!N17)),NOT(ISNUMBER('Price History'!N16)),'Price History'!N16=0),"",'Price History'!N17/'Price History'!N16-1),"")</f>
        <v>-0.0132219733125548</v>
      </c>
      <c r="O16" s="154" t="n">
        <f aca="false">IFERROR(IF(OR(NOT(ISNUMBER('Price History'!O17)),NOT(ISNUMBER('Price History'!O16)),'Price History'!O16=0),"",'Price History'!O17/'Price History'!O16-1),"")</f>
        <v>0.0277314925017853</v>
      </c>
      <c r="P16" s="154" t="n">
        <f aca="false">IFERROR(IF(OR(NOT(ISNUMBER('Price History'!P17)),NOT(ISNUMBER('Price History'!P16)),'Price History'!P16=0),"",'Price History'!P17/'Price History'!P16-1),"")</f>
        <v>0.00265302255069155</v>
      </c>
      <c r="Q16" s="154" t="n">
        <f aca="false">IFERROR(IF(OR(NOT(ISNUMBER('Price History'!Q17)),NOT(ISNUMBER('Price History'!Q16)),'Price History'!Q16=0),"",'Price History'!Q17/'Price History'!Q16-1),"")</f>
        <v>0.00115740740740722</v>
      </c>
      <c r="R16" s="154" t="n">
        <f aca="false">IFERROR(IF(OR(NOT(ISNUMBER('Price History'!R17)),NOT(ISNUMBER('Price History'!R16)),'Price History'!R16=0),"",'Price History'!R17/'Price History'!R16-1),"")</f>
        <v>0.00299482711679833</v>
      </c>
      <c r="S16" s="154" t="n">
        <f aca="false">IFERROR(IF(OR(NOT(ISNUMBER('Price History'!S17)),NOT(ISNUMBER('Price History'!S16)),'Price History'!S16=0),"",'Price History'!S17/'Price History'!S16-1),"")</f>
        <v>0.014951487195801</v>
      </c>
      <c r="T16" s="154" t="n">
        <f aca="false">IFERROR(IF(OR(NOT(ISNUMBER('Price History'!T17)),NOT(ISNUMBER('Price History'!T16)),'Price History'!T16=0),"",'Price History'!T17/'Price History'!T16-1),"")</f>
        <v>0.0121951219512195</v>
      </c>
      <c r="U16" s="154" t="n">
        <f aca="false">IFERROR(IF(OR(NOT(ISNUMBER('Price History'!U17)),NOT(ISNUMBER('Price History'!U16)),'Price History'!U16=0),"",'Price History'!U17/'Price History'!U16-1),"")</f>
        <v>0.00527009222661401</v>
      </c>
      <c r="V16" s="155" t="n">
        <f aca="false">IFERROR(IF(OR(NOT(ISNUMBER('Price History'!V17)),NOT(ISNUMBER('Price History'!V16)),'Price History'!V16=0),"",'Price History'!V17/'Price History'!V16-1),"")</f>
        <v>0.0015430267062313</v>
      </c>
      <c r="W16" s="156" t="n">
        <f aca="false">IFERROR('Price History'!B3+(INDEX('Price History'!B:B,MATCH(9.99E+307,'Returns (Calc)'!$A:$A)+1)-'Price History'!B3)*(ROW()-3)/(MATCH(9.99E+307,'Returns (Calc)'!$A:$A)-3),"")</f>
        <v>504.930506329114</v>
      </c>
      <c r="X16" s="156" t="n">
        <f aca="false">IFERROR('Price History'!C3+(INDEX('Price History'!C:C,MATCH(9.99E+307,'Returns (Calc)'!$A:$A)+1)-'Price History'!C3)*(ROW()-3)/(MATCH(9.99E+307,'Returns (Calc)'!$A:$A)-3),"")</f>
        <v>59.4408227848101</v>
      </c>
      <c r="Y16" s="156" t="n">
        <f aca="false">IFERROR('Price History'!D3+(INDEX('Price History'!D:D,MATCH(9.99E+307,'Returns (Calc)'!$A:$A)+1)-'Price History'!D3)*(ROW()-3)/(MATCH(9.99E+307,'Returns (Calc)'!$A:$A)-3),"")</f>
        <v>687.76253164557</v>
      </c>
      <c r="Z16" s="156" t="n">
        <f aca="false">IFERROR('Price History'!E3+(INDEX('Price History'!E:E,MATCH(9.99E+307,'Returns (Calc)'!$A:$A)+1)-'Price History'!E3)*(ROW()-3)/(MATCH(9.99E+307,'Returns (Calc)'!$A:$A)-3),"")</f>
        <v>104.473544303797</v>
      </c>
      <c r="AA16" s="156" t="n">
        <f aca="false">IFERROR('Price History'!F3+(INDEX('Price History'!F:F,MATCH(9.99E+307,'Returns (Calc)'!$A:$A)+1)-'Price History'!F3)*(ROW()-3)/(MATCH(9.99E+307,'Returns (Calc)'!$A:$A)-3),"")</f>
        <v>60.1754430379747</v>
      </c>
      <c r="AB16" s="156" t="n">
        <f aca="false">IFERROR('Price History'!G3+(INDEX('Price History'!G:G,MATCH(9.99E+307,'Returns (Calc)'!$A:$A)+1)-'Price History'!G3)*(ROW()-3)/(MATCH(9.99E+307,'Returns (Calc)'!$A:$A)-3),"")</f>
        <v>57.7235443037975</v>
      </c>
      <c r="AC16" s="156" t="n">
        <f aca="false">IFERROR('Price History'!H3+(INDEX('Price History'!H:H,MATCH(9.99E+307,'Returns (Calc)'!$A:$A)+1)-'Price History'!H3)*(ROW()-3)/(MATCH(9.99E+307,'Returns (Calc)'!$A:$A)-3),"")</f>
        <v>151.864050632911</v>
      </c>
      <c r="AD16" s="156" t="n">
        <f aca="false">IFERROR('Price History'!I3+(INDEX('Price History'!I:I,MATCH(9.99E+307,'Returns (Calc)'!$A:$A)+1)-'Price History'!I3)*(ROW()-3)/(MATCH(9.99E+307,'Returns (Calc)'!$A:$A)-3),"")</f>
        <v>59.4177215189873</v>
      </c>
      <c r="AE16" s="156" t="n">
        <f aca="false">IFERROR('Price History'!J3+(INDEX('Price History'!J:J,MATCH(9.99E+307,'Returns (Calc)'!$A:$A)+1)-'Price History'!J3)*(ROW()-3)/(MATCH(9.99E+307,'Returns (Calc)'!$A:$A)-3),"")</f>
        <v>113.244493670886</v>
      </c>
      <c r="AF16" s="156" t="n">
        <f aca="false">IFERROR('Price History'!K3+(INDEX('Price History'!K:K,MATCH(9.99E+307,'Returns (Calc)'!$A:$A)+1)-'Price History'!K3)*(ROW()-3)/(MATCH(9.99E+307,'Returns (Calc)'!$A:$A)-3),"")</f>
        <v>29.5987341772152</v>
      </c>
      <c r="AG16" s="156" t="n">
        <f aca="false">IFERROR('Price History'!L3+(INDEX('Price History'!L:L,MATCH(9.99E+307,'Returns (Calc)'!$A:$A)+1)-'Price History'!L3)*(ROW()-3)/(MATCH(9.99E+307,'Returns (Calc)'!$A:$A)-3),"")</f>
        <v>117.594240506329</v>
      </c>
      <c r="AH16" s="156" t="n">
        <f aca="false">IFERROR('Price History'!M3+(INDEX('Price History'!M:M,MATCH(9.99E+307,'Returns (Calc)'!$A:$A)+1)-'Price History'!M3)*(ROW()-3)/(MATCH(9.99E+307,'Returns (Calc)'!$A:$A)-3),"")</f>
        <v>55.6407594936709</v>
      </c>
      <c r="AI16" s="156" t="n">
        <f aca="false">IFERROR('Price History'!N3+(INDEX('Price History'!N:N,MATCH(9.99E+307,'Returns (Calc)'!$A:$A)+1)-'Price History'!N3)*(ROW()-3)/(MATCH(9.99E+307,'Returns (Calc)'!$A:$A)-3),"")</f>
        <v>361.721455696203</v>
      </c>
      <c r="AJ16" s="156" t="n">
        <f aca="false">IFERROR('Price History'!O3+(INDEX('Price History'!O:O,MATCH(9.99E+307,'Returns (Calc)'!$A:$A)+1)-'Price History'!O3)*(ROW()-3)/(MATCH(9.99E+307,'Returns (Calc)'!$A:$A)-3),"")</f>
        <v>78.9894936708861</v>
      </c>
      <c r="AK16" s="156" t="n">
        <f aca="false">IFERROR('Price History'!Q3+(INDEX('Price History'!Q:Q,MATCH(9.99E+307,'Returns (Calc)'!$A:$A)+1)-'Price History'!Q3)*(ROW()-3)/(MATCH(9.99E+307,'Returns (Calc)'!$A:$A)-3),"")</f>
        <v>5.71177215189873</v>
      </c>
      <c r="AL16" s="156" t="n">
        <f aca="false">IFERROR('Price History'!R3+(INDEX('Price History'!R:R,MATCH(9.99E+307,'Returns (Calc)'!$A:$A)+1)-'Price History'!R3)*(ROW()-3)/(MATCH(9.99E+307,'Returns (Calc)'!$A:$A)-3),"")</f>
        <v>36.6653164556962</v>
      </c>
      <c r="AM16" s="156" t="n">
        <f aca="false">IFERROR('Price History'!S3+(INDEX('Price History'!S:S,MATCH(9.99E+307,'Returns (Calc)'!$A:$A)+1)-'Price History'!S3)*(ROW()-3)/(MATCH(9.99E+307,'Returns (Calc)'!$A:$A)-3),"")</f>
        <v>65.4958227848101</v>
      </c>
      <c r="AN16" s="156" t="n">
        <f aca="false">IFERROR('Price History'!T3+(INDEX('Price History'!T:T,MATCH(9.99E+307,'Returns (Calc)'!$A:$A)+1)-'Price History'!T3)*(ROW()-3)/(MATCH(9.99E+307,'Returns (Calc)'!$A:$A)-3),"")</f>
        <v>27.4269620253165</v>
      </c>
      <c r="AO16" s="157" t="n">
        <f aca="false">IFERROR('Price History'!V3+(INDEX('Price History'!V:V,MATCH(9.99E+307,'Returns (Calc)'!$A:$A)+1)-'Price History'!V3)*(ROW()-3)/(MATCH(9.99E+307,'Returns (Calc)'!$A:$A)-3),"")</f>
        <v>245.917278481013</v>
      </c>
      <c r="AP16" s="155" t="n">
        <f aca="false">IFERROR(IF(OR(NOT(ISNUMBER('Price History'!W17)),NOT(ISNUMBER('Price History'!W16)),'Price History'!W16=0),"",'Price History'!W17/'Price History'!W16-1),"")</f>
        <v>0.0068252730109204</v>
      </c>
      <c r="AQ16" s="155" t="str">
        <f aca="false">IFERROR(IF(OR(NOT(ISNUMBER('Price History'!X17)),NOT(ISNUMBER('Price History'!X16)),'Price History'!X16=0),"",'Price History'!X17/'Price History'!X16-1),"")</f>
        <v/>
      </c>
      <c r="AR16" s="155" t="n">
        <f aca="false">IFERROR(IF(OR(NOT(ISNUMBER('Price History'!Y17)),NOT(ISNUMBER('Price History'!Y16)),'Price History'!Y16=0),"",'Price History'!Y17/'Price History'!Y16-1),"")</f>
        <v>0.00136301681054052</v>
      </c>
      <c r="AS16" s="155" t="n">
        <f aca="false">IFERROR(IF(OR(NOT(ISNUMBER('Price History'!Z17)),NOT(ISNUMBER('Price History'!Z16)),'Price History'!Z16=0),"",'Price History'!Z17/'Price History'!Z16-1),"")</f>
        <v>0.0280904678302178</v>
      </c>
      <c r="AT16" s="155" t="n">
        <f aca="false">IFERROR(IF(OR(NOT(ISNUMBER('Price History'!AA17)),NOT(ISNUMBER('Price History'!AA16)),'Price History'!AA16=0),"",'Price History'!AA17/'Price History'!AA16-1),"")</f>
        <v>0.0311374708748147</v>
      </c>
      <c r="AU16" s="155" t="n">
        <f aca="false">IFERROR(IF(OR(NOT(ISNUMBER('Price History'!AB17)),NOT(ISNUMBER('Price History'!AB16)),'Price History'!AB16=0),"",'Price History'!AB17/'Price History'!AB16-1),"")</f>
        <v>0.0563458238777883</v>
      </c>
    </row>
    <row r="17" customFormat="false" ht="15" hidden="false" customHeight="true" outlineLevel="0" collapsed="false">
      <c r="A17" s="153" t="n">
        <f aca="false">IF('Price History'!A18="","",'Price History'!A18)</f>
        <v>45289</v>
      </c>
      <c r="B17" s="154" t="n">
        <f aca="false">IFERROR(IF(OR(NOT(ISNUMBER('Price History'!B18)),NOT(ISNUMBER('Price History'!B17)),'Price History'!B17=0),"",'Price History'!B18/'Price History'!B17-1),"")</f>
        <v>-0.00359081419624219</v>
      </c>
      <c r="C17" s="154" t="n">
        <f aca="false">IFERROR(IF(OR(NOT(ISNUMBER('Price History'!C18)),NOT(ISNUMBER('Price History'!C17)),'Price History'!C17=0),"",'Price History'!C18/'Price History'!C17-1),"")</f>
        <v>-0.0114170584284755</v>
      </c>
      <c r="D17" s="154" t="n">
        <f aca="false">IFERROR(IF(OR(NOT(ISNUMBER('Price History'!D18)),NOT(ISNUMBER('Price History'!D17)),'Price History'!D17=0),"",'Price History'!D18/'Price History'!D17-1),"")</f>
        <v>0.00582927956083368</v>
      </c>
      <c r="E17" s="154" t="n">
        <f aca="false">IFERROR(IF(OR(NOT(ISNUMBER('Price History'!E18)),NOT(ISNUMBER('Price History'!E17)),'Price History'!E17=0),"",'Price History'!E18/'Price History'!E17-1),"")</f>
        <v>-0.00504078452937395</v>
      </c>
      <c r="F17" s="154" t="n">
        <f aca="false">IFERROR(IF(OR(NOT(ISNUMBER('Price History'!F18)),NOT(ISNUMBER('Price History'!F17)),'Price History'!F17=0),"",'Price History'!F18/'Price History'!F17-1),"")</f>
        <v>-0.00125176028790486</v>
      </c>
      <c r="G17" s="154" t="n">
        <f aca="false">IFERROR(IF(OR(NOT(ISNUMBER('Price History'!G18)),NOT(ISNUMBER('Price History'!G17)),'Price History'!G17=0),"",'Price History'!G18/'Price History'!G17-1),"")</f>
        <v>-0.00227870289219978</v>
      </c>
      <c r="H17" s="154" t="n">
        <f aca="false">IFERROR(IF(OR(NOT(ISNUMBER('Price History'!H18)),NOT(ISNUMBER('Price History'!H17)),'Price History'!H17=0),"",'Price History'!H18/'Price History'!H17-1),"")</f>
        <v>-0.0120214752567693</v>
      </c>
      <c r="I17" s="154" t="n">
        <f aca="false">IFERROR(IF(OR(NOT(ISNUMBER('Price History'!I18)),NOT(ISNUMBER('Price History'!I17)),'Price History'!I17=0),"",'Price History'!I18/'Price History'!I17-1),"")</f>
        <v>0.0141712877387554</v>
      </c>
      <c r="J17" s="154" t="n">
        <f aca="false">IFERROR(IF(OR(NOT(ISNUMBER('Price History'!J18)),NOT(ISNUMBER('Price History'!J17)),'Price History'!J17=0),"",'Price History'!J18/'Price History'!J17-1),"")</f>
        <v>0.00677797983137696</v>
      </c>
      <c r="K17" s="154" t="n">
        <f aca="false">IFERROR(IF(OR(NOT(ISNUMBER('Price History'!K18)),NOT(ISNUMBER('Price History'!K17)),'Price History'!K17=0),"",'Price History'!K18/'Price History'!K17-1),"")</f>
        <v>-0.0137851809304996</v>
      </c>
      <c r="L17" s="154" t="n">
        <f aca="false">IFERROR(IF(OR(NOT(ISNUMBER('Price History'!L18)),NOT(ISNUMBER('Price History'!L17)),'Price History'!L17=0),"",'Price History'!L18/'Price History'!L17-1),"")</f>
        <v>0.00833584412975807</v>
      </c>
      <c r="M17" s="154" t="n">
        <f aca="false">IFERROR(IF(OR(NOT(ISNUMBER('Price History'!M18)),NOT(ISNUMBER('Price History'!M17)),'Price History'!M17=0),"",'Price History'!M18/'Price History'!M17-1),"")</f>
        <v>-0.0154257507198684</v>
      </c>
      <c r="N17" s="154" t="n">
        <f aca="false">IFERROR(IF(OR(NOT(ISNUMBER('Price History'!N18)),NOT(ISNUMBER('Price History'!N17)),'Price History'!N17=0),"",'Price History'!N18/'Price History'!N17-1),"")</f>
        <v>0.00404688463911174</v>
      </c>
      <c r="O17" s="154" t="n">
        <f aca="false">IFERROR(IF(OR(NOT(ISNUMBER('Price History'!O18)),NOT(ISNUMBER('Price History'!O17)),'Price History'!O17=0),"",'Price History'!O18/'Price History'!O17-1),"")</f>
        <v>-0.00370584829183551</v>
      </c>
      <c r="P17" s="154" t="n">
        <f aca="false">IFERROR(IF(OR(NOT(ISNUMBER('Price History'!P18)),NOT(ISNUMBER('Price History'!P17)),'Price History'!P17=0),"",'Price History'!P18/'Price History'!P17-1),"")</f>
        <v>0.0040635040635042</v>
      </c>
      <c r="Q17" s="154" t="n">
        <f aca="false">IFERROR(IF(OR(NOT(ISNUMBER('Price History'!Q18)),NOT(ISNUMBER('Price History'!Q17)),'Price History'!Q17=0),"",'Price History'!Q18/'Price History'!Q17-1),"")</f>
        <v>0.00173410404624286</v>
      </c>
      <c r="R17" s="154" t="n">
        <f aca="false">IFERROR(IF(OR(NOT(ISNUMBER('Price History'!R18)),NOT(ISNUMBER('Price History'!R17)),'Price History'!R17=0),"",'Price History'!R18/'Price History'!R17-1),"")</f>
        <v>0.00325732899022801</v>
      </c>
      <c r="S17" s="154" t="n">
        <f aca="false">IFERROR(IF(OR(NOT(ISNUMBER('Price History'!S18)),NOT(ISNUMBER('Price History'!S17)),'Price History'!S17=0),"",'Price History'!S18/'Price History'!S17-1),"")</f>
        <v>0.00705218617771508</v>
      </c>
      <c r="T17" s="154" t="n">
        <f aca="false">IFERROR(IF(OR(NOT(ISNUMBER('Price History'!T18)),NOT(ISNUMBER('Price History'!T17)),'Price History'!T17=0),"",'Price History'!T18/'Price History'!T17-1),"")</f>
        <v>-0.00219058050383358</v>
      </c>
      <c r="U17" s="154" t="n">
        <f aca="false">IFERROR(IF(OR(NOT(ISNUMBER('Price History'!U18)),NOT(ISNUMBER('Price History'!U17)),'Price History'!U17=0),"",'Price History'!U18/'Price History'!U17-1),"")</f>
        <v>0.00393184796854529</v>
      </c>
      <c r="V17" s="155" t="n">
        <f aca="false">IFERROR(IF(OR(NOT(ISNUMBER('Price History'!V18)),NOT(ISNUMBER('Price History'!V17)),'Price History'!V17=0),"",'Price History'!V18/'Price History'!V17-1),"")</f>
        <v>0.00742672039187808</v>
      </c>
      <c r="W17" s="156" t="n">
        <f aca="false">IFERROR('Price History'!B3+(INDEX('Price History'!B:B,MATCH(9.99E+307,'Returns (Calc)'!$A:$A)+1)-'Price History'!B3)*(ROW()-3)/(MATCH(9.99E+307,'Returns (Calc)'!$A:$A)-3),"")</f>
        <v>503.08746835443</v>
      </c>
      <c r="X17" s="156" t="n">
        <f aca="false">IFERROR('Price History'!C3+(INDEX('Price History'!C:C,MATCH(9.99E+307,'Returns (Calc)'!$A:$A)+1)-'Price History'!C3)*(ROW()-3)/(MATCH(9.99E+307,'Returns (Calc)'!$A:$A)-3),"")</f>
        <v>60.4608860759494</v>
      </c>
      <c r="Y17" s="156" t="n">
        <f aca="false">IFERROR('Price History'!D3+(INDEX('Price History'!D:D,MATCH(9.99E+307,'Returns (Calc)'!$A:$A)+1)-'Price History'!D3)*(ROW()-3)/(MATCH(9.99E+307,'Returns (Calc)'!$A:$A)-3),"")</f>
        <v>695.897341772152</v>
      </c>
      <c r="Z17" s="156" t="n">
        <f aca="false">IFERROR('Price History'!E3+(INDEX('Price History'!E:E,MATCH(9.99E+307,'Returns (Calc)'!$A:$A)+1)-'Price History'!E3)*(ROW()-3)/(MATCH(9.99E+307,'Returns (Calc)'!$A:$A)-3),"")</f>
        <v>106.202278481013</v>
      </c>
      <c r="AA17" s="156" t="n">
        <f aca="false">IFERROR('Price History'!F3+(INDEX('Price History'!F:F,MATCH(9.99E+307,'Returns (Calc)'!$A:$A)+1)-'Price History'!F3)*(ROW()-3)/(MATCH(9.99E+307,'Returns (Calc)'!$A:$A)-3),"")</f>
        <v>61.6227848101266</v>
      </c>
      <c r="AB17" s="156" t="n">
        <f aca="false">IFERROR('Price History'!G3+(INDEX('Price History'!G:G,MATCH(9.99E+307,'Returns (Calc)'!$A:$A)+1)-'Price History'!G3)*(ROW()-3)/(MATCH(9.99E+307,'Returns (Calc)'!$A:$A)-3),"")</f>
        <v>58.7522784810127</v>
      </c>
      <c r="AC17" s="156" t="n">
        <f aca="false">IFERROR('Price History'!H3+(INDEX('Price History'!H:H,MATCH(9.99E+307,'Returns (Calc)'!$A:$A)+1)-'Price History'!H3)*(ROW()-3)/(MATCH(9.99E+307,'Returns (Calc)'!$A:$A)-3),"")</f>
        <v>158.229746835443</v>
      </c>
      <c r="AD17" s="156" t="n">
        <f aca="false">IFERROR('Price History'!I3+(INDEX('Price History'!I:I,MATCH(9.99E+307,'Returns (Calc)'!$A:$A)+1)-'Price History'!I3)*(ROW()-3)/(MATCH(9.99E+307,'Returns (Calc)'!$A:$A)-3),"")</f>
        <v>60.6213924050633</v>
      </c>
      <c r="AE17" s="156" t="n">
        <f aca="false">IFERROR('Price History'!J3+(INDEX('Price History'!J:J,MATCH(9.99E+307,'Returns (Calc)'!$A:$A)+1)-'Price History'!J3)*(ROW()-3)/(MATCH(9.99E+307,'Returns (Calc)'!$A:$A)-3),"")</f>
        <v>113.35253164557</v>
      </c>
      <c r="AF17" s="156" t="n">
        <f aca="false">IFERROR('Price History'!K3+(INDEX('Price History'!K:K,MATCH(9.99E+307,'Returns (Calc)'!$A:$A)+1)-'Price History'!K3)*(ROW()-3)/(MATCH(9.99E+307,'Returns (Calc)'!$A:$A)-3),"")</f>
        <v>30.6963291139241</v>
      </c>
      <c r="AG17" s="156" t="n">
        <f aca="false">IFERROR('Price History'!L3+(INDEX('Price History'!L:L,MATCH(9.99E+307,'Returns (Calc)'!$A:$A)+1)-'Price History'!L3)*(ROW()-3)/(MATCH(9.99E+307,'Returns (Calc)'!$A:$A)-3),"")</f>
        <v>120.043797468354</v>
      </c>
      <c r="AH17" s="156" t="n">
        <f aca="false">IFERROR('Price History'!M3+(INDEX('Price History'!M:M,MATCH(9.99E+307,'Returns (Calc)'!$A:$A)+1)-'Price History'!M3)*(ROW()-3)/(MATCH(9.99E+307,'Returns (Calc)'!$A:$A)-3),"")</f>
        <v>56.9962025316456</v>
      </c>
      <c r="AI17" s="156" t="n">
        <f aca="false">IFERROR('Price History'!N3+(INDEX('Price History'!N:N,MATCH(9.99E+307,'Returns (Calc)'!$A:$A)+1)-'Price History'!N3)*(ROW()-3)/(MATCH(9.99E+307,'Returns (Calc)'!$A:$A)-3),"")</f>
        <v>362.707721518987</v>
      </c>
      <c r="AJ17" s="156" t="n">
        <f aca="false">IFERROR('Price History'!O3+(INDEX('Price History'!O:O,MATCH(9.99E+307,'Returns (Calc)'!$A:$A)+1)-'Price History'!O3)*(ROW()-3)/(MATCH(9.99E+307,'Returns (Calc)'!$A:$A)-3),"")</f>
        <v>79.2725316455696</v>
      </c>
      <c r="AK17" s="156" t="n">
        <f aca="false">IFERROR('Price History'!Q3+(INDEX('Price History'!Q:Q,MATCH(9.99E+307,'Returns (Calc)'!$A:$A)+1)-'Price History'!Q3)*(ROW()-3)/(MATCH(9.99E+307,'Returns (Calc)'!$A:$A)-3),"")</f>
        <v>6.15113924050633</v>
      </c>
      <c r="AL17" s="156" t="n">
        <f aca="false">IFERROR('Price History'!R3+(INDEX('Price History'!R:R,MATCH(9.99E+307,'Returns (Calc)'!$A:$A)+1)-'Price History'!R3)*(ROW()-3)/(MATCH(9.99E+307,'Returns (Calc)'!$A:$A)-3),"")</f>
        <v>36.833417721519</v>
      </c>
      <c r="AM17" s="156" t="n">
        <f aca="false">IFERROR('Price History'!S3+(INDEX('Price History'!S:S,MATCH(9.99E+307,'Returns (Calc)'!$A:$A)+1)-'Price History'!S3)*(ROW()-3)/(MATCH(9.99E+307,'Returns (Calc)'!$A:$A)-3),"")</f>
        <v>66.1008860759494</v>
      </c>
      <c r="AN17" s="156" t="n">
        <f aca="false">IFERROR('Price History'!T3+(INDEX('Price History'!T:T,MATCH(9.99E+307,'Returns (Calc)'!$A:$A)+1)-'Price History'!T3)*(ROW()-3)/(MATCH(9.99E+307,'Returns (Calc)'!$A:$A)-3),"")</f>
        <v>27.5951898734177</v>
      </c>
      <c r="AO17" s="157" t="n">
        <f aca="false">IFERROR('Price History'!V3+(INDEX('Price History'!V:V,MATCH(9.99E+307,'Returns (Calc)'!$A:$A)+1)-'Price History'!V3)*(ROW()-3)/(MATCH(9.99E+307,'Returns (Calc)'!$A:$A)-3),"")</f>
        <v>246.708607594937</v>
      </c>
      <c r="AP17" s="155" t="n">
        <f aca="false">IFERROR(IF(OR(NOT(ISNUMBER('Price History'!W18)),NOT(ISNUMBER('Price History'!W17)),'Price History'!W17=0),"",'Price History'!W18/'Price History'!W17-1),"")</f>
        <v>0.00610110400929687</v>
      </c>
      <c r="AQ17" s="155" t="str">
        <f aca="false">IFERROR(IF(OR(NOT(ISNUMBER('Price History'!X18)),NOT(ISNUMBER('Price History'!X17)),'Price History'!X17=0),"",'Price History'!X18/'Price History'!X17-1),"")</f>
        <v/>
      </c>
      <c r="AR17" s="155" t="n">
        <f aca="false">IFERROR(IF(OR(NOT(ISNUMBER('Price History'!Y18)),NOT(ISNUMBER('Price History'!Y17)),'Price History'!Y17=0),"",'Price History'!Y18/'Price History'!Y17-1),"")</f>
        <v>0.00521778584392019</v>
      </c>
      <c r="AS17" s="155" t="n">
        <f aca="false">IFERROR(IF(OR(NOT(ISNUMBER('Price History'!Z18)),NOT(ISNUMBER('Price History'!Z17)),'Price History'!Z17=0),"",'Price History'!Z18/'Price History'!Z17-1),"")</f>
        <v>0.00803616273229535</v>
      </c>
      <c r="AT17" s="155" t="n">
        <f aca="false">IFERROR(IF(OR(NOT(ISNUMBER('Price History'!AA18)),NOT(ISNUMBER('Price History'!AA17)),'Price History'!AA17=0),"",'Price History'!AA18/'Price History'!AA17-1),"")</f>
        <v>0.000205423171733665</v>
      </c>
      <c r="AU17" s="155" t="n">
        <f aca="false">IFERROR(IF(OR(NOT(ISNUMBER('Price History'!AB18)),NOT(ISNUMBER('Price History'!AB17)),'Price History'!AB17=0),"",'Price History'!AB18/'Price History'!AB17-1),"")</f>
        <v>0.00875032748231597</v>
      </c>
    </row>
    <row r="18" customFormat="false" ht="15" hidden="false" customHeight="true" outlineLevel="0" collapsed="false">
      <c r="A18" s="153" t="n">
        <f aca="false">IF('Price History'!A19="","",'Price History'!A19)</f>
        <v>45296</v>
      </c>
      <c r="B18" s="154" t="n">
        <f aca="false">IFERROR(IF(OR(NOT(ISNUMBER('Price History'!B19)),NOT(ISNUMBER('Price History'!B18)),'Price History'!B18=0),"",'Price History'!B19/'Price History'!B18-1),"")</f>
        <v>-0.0536372779081462</v>
      </c>
      <c r="C18" s="154" t="n">
        <f aca="false">IFERROR(IF(OR(NOT(ISNUMBER('Price History'!C19)),NOT(ISNUMBER('Price History'!C18)),'Price History'!C18=0),"",'Price History'!C19/'Price History'!C18-1),"")</f>
        <v>-0.0195312500000001</v>
      </c>
      <c r="D18" s="154" t="n">
        <f aca="false">IFERROR(IF(OR(NOT(ISNUMBER('Price History'!D19)),NOT(ISNUMBER('Price History'!D18)),'Price History'!D18=0),"",'Price History'!D19/'Price History'!D18-1),"")</f>
        <v>-0.0707888088837253</v>
      </c>
      <c r="E18" s="154" t="n">
        <f aca="false">IFERROR(IF(OR(NOT(ISNUMBER('Price History'!E19)),NOT(ISNUMBER('Price History'!E18)),'Price History'!E18=0),"",'Price History'!E19/'Price History'!E18-1),"")</f>
        <v>-0.0600589535740604</v>
      </c>
      <c r="F18" s="154" t="n">
        <f aca="false">IFERROR(IF(OR(NOT(ISNUMBER('Price History'!F19)),NOT(ISNUMBER('Price History'!F18)),'Price History'!F18=0),"",'Price History'!F19/'Price History'!F18-1),"")</f>
        <v>-0.0307065643114524</v>
      </c>
      <c r="G18" s="154" t="n">
        <f aca="false">IFERROR(IF(OR(NOT(ISNUMBER('Price History'!G19)),NOT(ISNUMBER('Price History'!G18)),'Price History'!G18=0),"",'Price History'!G19/'Price History'!G18-1),"")</f>
        <v>-0.0635980323260718</v>
      </c>
      <c r="H18" s="154" t="n">
        <f aca="false">IFERROR(IF(OR(NOT(ISNUMBER('Price History'!H19)),NOT(ISNUMBER('Price History'!H18)),'Price History'!H18=0),"",'Price History'!H19/'Price History'!H18-1),"")</f>
        <v>-0.0220909627879504</v>
      </c>
      <c r="I18" s="154" t="n">
        <f aca="false">IFERROR(IF(OR(NOT(ISNUMBER('Price History'!I19)),NOT(ISNUMBER('Price History'!I18)),'Price History'!I18=0),"",'Price History'!I19/'Price History'!I18-1),"")</f>
        <v>-0.00850546780072903</v>
      </c>
      <c r="J18" s="154" t="n">
        <f aca="false">IFERROR(IF(OR(NOT(ISNUMBER('Price History'!J19)),NOT(ISNUMBER('Price History'!J18)),'Price History'!J18=0),"",'Price History'!J19/'Price History'!J18-1),"")</f>
        <v>-0.0205254515599344</v>
      </c>
      <c r="K18" s="154" t="n">
        <f aca="false">IFERROR(IF(OR(NOT(ISNUMBER('Price History'!K19)),NOT(ISNUMBER('Price History'!K18)),'Price History'!K18=0),"",'Price History'!K19/'Price History'!K18-1),"")</f>
        <v>-0.0693069306930694</v>
      </c>
      <c r="L18" s="154" t="n">
        <f aca="false">IFERROR(IF(OR(NOT(ISNUMBER('Price History'!L19)),NOT(ISNUMBER('Price History'!L18)),'Price History'!L18=0),"",'Price History'!L19/'Price History'!L18-1),"")</f>
        <v>-0.0422310756972113</v>
      </c>
      <c r="M18" s="154" t="n">
        <f aca="false">IFERROR(IF(OR(NOT(ISNUMBER('Price History'!M19)),NOT(ISNUMBER('Price History'!M18)),'Price History'!M18=0),"",'Price History'!M19/'Price History'!M18-1),"")</f>
        <v>-0.0357217463964905</v>
      </c>
      <c r="N18" s="154" t="n">
        <f aca="false">IFERROR(IF(OR(NOT(ISNUMBER('Price History'!N19)),NOT(ISNUMBER('Price History'!N18)),'Price History'!N18=0),"",'Price History'!N19/'Price History'!N18-1),"")</f>
        <v>0.0236181769028485</v>
      </c>
      <c r="O18" s="154" t="n">
        <f aca="false">IFERROR(IF(OR(NOT(ISNUMBER('Price History'!O19)),NOT(ISNUMBER('Price History'!O18)),'Price History'!O18=0),"",'Price History'!O19/'Price History'!O18-1),"")</f>
        <v>-0.0259211902824597</v>
      </c>
      <c r="P18" s="154" t="n">
        <f aca="false">IFERROR(IF(OR(NOT(ISNUMBER('Price History'!P19)),NOT(ISNUMBER('Price History'!P18)),'Price History'!P18=0),"",'Price History'!P19/'Price History'!P18-1),"")</f>
        <v>0.00705882352941178</v>
      </c>
      <c r="Q18" s="154" t="n">
        <f aca="false">IFERROR(IF(OR(NOT(ISNUMBER('Price History'!Q19)),NOT(ISNUMBER('Price History'!Q18)),'Price History'!Q18=0),"",'Price History'!Q19/'Price History'!Q18-1),"")</f>
        <v>-0.00442392767839972</v>
      </c>
      <c r="R18" s="154" t="n">
        <f aca="false">IFERROR(IF(OR(NOT(ISNUMBER('Price History'!R19)),NOT(ISNUMBER('Price History'!R18)),'Price History'!R18=0),"",'Price History'!R19/'Price History'!R18-1),"")</f>
        <v>-0.0156926406926406</v>
      </c>
      <c r="S18" s="154" t="n">
        <f aca="false">IFERROR(IF(OR(NOT(ISNUMBER('Price History'!S19)),NOT(ISNUMBER('Price History'!S18)),'Price History'!S18=0),"",'Price History'!S19/'Price History'!S18-1),"")</f>
        <v>-0.0102707749766574</v>
      </c>
      <c r="T18" s="154" t="n">
        <f aca="false">IFERROR(IF(OR(NOT(ISNUMBER('Price History'!T19)),NOT(ISNUMBER('Price History'!T18)),'Price History'!T18=0),"",'Price History'!T19/'Price History'!T18-1),"")</f>
        <v>0.000731796560556219</v>
      </c>
      <c r="U18" s="154" t="n">
        <f aca="false">IFERROR(IF(OR(NOT(ISNUMBER('Price History'!U19)),NOT(ISNUMBER('Price History'!U18)),'Price History'!U18=0),"",'Price History'!U19/'Price History'!U18-1),"")</f>
        <v>0.00304612706701479</v>
      </c>
      <c r="V18" s="155" t="n">
        <f aca="false">IFERROR(IF(OR(NOT(ISNUMBER('Price History'!V19)),NOT(ISNUMBER('Price History'!V18)),'Price History'!V18=0),"",'Price History'!V19/'Price History'!V18-1),"")</f>
        <v>-0.0025096070896401</v>
      </c>
      <c r="W18" s="156" t="n">
        <f aca="false">IFERROR('Price History'!B3+(INDEX('Price History'!B:B,MATCH(9.99E+307,'Returns (Calc)'!$A:$A)+1)-'Price History'!B3)*(ROW()-3)/(MATCH(9.99E+307,'Returns (Calc)'!$A:$A)-3),"")</f>
        <v>501.244430379747</v>
      </c>
      <c r="X18" s="156" t="n">
        <f aca="false">IFERROR('Price History'!C3+(INDEX('Price History'!C:C,MATCH(9.99E+307,'Returns (Calc)'!$A:$A)+1)-'Price History'!C3)*(ROW()-3)/(MATCH(9.99E+307,'Returns (Calc)'!$A:$A)-3),"")</f>
        <v>61.4809493670886</v>
      </c>
      <c r="Y18" s="156" t="n">
        <f aca="false">IFERROR('Price History'!D3+(INDEX('Price History'!D:D,MATCH(9.99E+307,'Returns (Calc)'!$A:$A)+1)-'Price History'!D3)*(ROW()-3)/(MATCH(9.99E+307,'Returns (Calc)'!$A:$A)-3),"")</f>
        <v>704.032151898734</v>
      </c>
      <c r="Z18" s="156" t="n">
        <f aca="false">IFERROR('Price History'!E3+(INDEX('Price History'!E:E,MATCH(9.99E+307,'Returns (Calc)'!$A:$A)+1)-'Price History'!E3)*(ROW()-3)/(MATCH(9.99E+307,'Returns (Calc)'!$A:$A)-3),"")</f>
        <v>107.931012658228</v>
      </c>
      <c r="AA18" s="156" t="n">
        <f aca="false">IFERROR('Price History'!F3+(INDEX('Price History'!F:F,MATCH(9.99E+307,'Returns (Calc)'!$A:$A)+1)-'Price History'!F3)*(ROW()-3)/(MATCH(9.99E+307,'Returns (Calc)'!$A:$A)-3),"")</f>
        <v>63.0701265822785</v>
      </c>
      <c r="AB18" s="156" t="n">
        <f aca="false">IFERROR('Price History'!G3+(INDEX('Price History'!G:G,MATCH(9.99E+307,'Returns (Calc)'!$A:$A)+1)-'Price History'!G3)*(ROW()-3)/(MATCH(9.99E+307,'Returns (Calc)'!$A:$A)-3),"")</f>
        <v>59.7810126582279</v>
      </c>
      <c r="AC18" s="156" t="n">
        <f aca="false">IFERROR('Price History'!H3+(INDEX('Price History'!H:H,MATCH(9.99E+307,'Returns (Calc)'!$A:$A)+1)-'Price History'!H3)*(ROW()-3)/(MATCH(9.99E+307,'Returns (Calc)'!$A:$A)-3),"")</f>
        <v>164.595443037975</v>
      </c>
      <c r="AD18" s="156" t="n">
        <f aca="false">IFERROR('Price History'!I3+(INDEX('Price History'!I:I,MATCH(9.99E+307,'Returns (Calc)'!$A:$A)+1)-'Price History'!I3)*(ROW()-3)/(MATCH(9.99E+307,'Returns (Calc)'!$A:$A)-3),"")</f>
        <v>61.8250632911392</v>
      </c>
      <c r="AE18" s="156" t="n">
        <f aca="false">IFERROR('Price History'!J3+(INDEX('Price History'!J:J,MATCH(9.99E+307,'Returns (Calc)'!$A:$A)+1)-'Price History'!J3)*(ROW()-3)/(MATCH(9.99E+307,'Returns (Calc)'!$A:$A)-3),"")</f>
        <v>113.460569620253</v>
      </c>
      <c r="AF18" s="156" t="n">
        <f aca="false">IFERROR('Price History'!K3+(INDEX('Price History'!K:K,MATCH(9.99E+307,'Returns (Calc)'!$A:$A)+1)-'Price History'!K3)*(ROW()-3)/(MATCH(9.99E+307,'Returns (Calc)'!$A:$A)-3),"")</f>
        <v>31.7939240506329</v>
      </c>
      <c r="AG18" s="156" t="n">
        <f aca="false">IFERROR('Price History'!L3+(INDEX('Price History'!L:L,MATCH(9.99E+307,'Returns (Calc)'!$A:$A)+1)-'Price History'!L3)*(ROW()-3)/(MATCH(9.99E+307,'Returns (Calc)'!$A:$A)-3),"")</f>
        <v>122.49335443038</v>
      </c>
      <c r="AH18" s="156" t="n">
        <f aca="false">IFERROR('Price History'!M3+(INDEX('Price History'!M:M,MATCH(9.99E+307,'Returns (Calc)'!$A:$A)+1)-'Price History'!M3)*(ROW()-3)/(MATCH(9.99E+307,'Returns (Calc)'!$A:$A)-3),"")</f>
        <v>58.3516455696203</v>
      </c>
      <c r="AI18" s="156" t="n">
        <f aca="false">IFERROR('Price History'!N3+(INDEX('Price History'!N:N,MATCH(9.99E+307,'Returns (Calc)'!$A:$A)+1)-'Price History'!N3)*(ROW()-3)/(MATCH(9.99E+307,'Returns (Calc)'!$A:$A)-3),"")</f>
        <v>363.693987341772</v>
      </c>
      <c r="AJ18" s="156" t="n">
        <f aca="false">IFERROR('Price History'!O3+(INDEX('Price History'!O:O,MATCH(9.99E+307,'Returns (Calc)'!$A:$A)+1)-'Price History'!O3)*(ROW()-3)/(MATCH(9.99E+307,'Returns (Calc)'!$A:$A)-3),"")</f>
        <v>79.5555696202532</v>
      </c>
      <c r="AK18" s="156" t="n">
        <f aca="false">IFERROR('Price History'!Q3+(INDEX('Price History'!Q:Q,MATCH(9.99E+307,'Returns (Calc)'!$A:$A)+1)-'Price History'!Q3)*(ROW()-3)/(MATCH(9.99E+307,'Returns (Calc)'!$A:$A)-3),"")</f>
        <v>6.59050632911392</v>
      </c>
      <c r="AL18" s="156" t="n">
        <f aca="false">IFERROR('Price History'!R3+(INDEX('Price History'!R:R,MATCH(9.99E+307,'Returns (Calc)'!$A:$A)+1)-'Price History'!R3)*(ROW()-3)/(MATCH(9.99E+307,'Returns (Calc)'!$A:$A)-3),"")</f>
        <v>37.0015189873418</v>
      </c>
      <c r="AM18" s="156" t="n">
        <f aca="false">IFERROR('Price History'!S3+(INDEX('Price History'!S:S,MATCH(9.99E+307,'Returns (Calc)'!$A:$A)+1)-'Price History'!S3)*(ROW()-3)/(MATCH(9.99E+307,'Returns (Calc)'!$A:$A)-3),"")</f>
        <v>66.7059493670886</v>
      </c>
      <c r="AN18" s="156" t="n">
        <f aca="false">IFERROR('Price History'!T3+(INDEX('Price History'!T:T,MATCH(9.99E+307,'Returns (Calc)'!$A:$A)+1)-'Price History'!T3)*(ROW()-3)/(MATCH(9.99E+307,'Returns (Calc)'!$A:$A)-3),"")</f>
        <v>27.763417721519</v>
      </c>
      <c r="AO18" s="157" t="n">
        <f aca="false">IFERROR('Price History'!V3+(INDEX('Price History'!V:V,MATCH(9.99E+307,'Returns (Calc)'!$A:$A)+1)-'Price History'!V3)*(ROW()-3)/(MATCH(9.99E+307,'Returns (Calc)'!$A:$A)-3),"")</f>
        <v>247.499936708861</v>
      </c>
      <c r="AP18" s="155" t="n">
        <f aca="false">IFERROR(IF(OR(NOT(ISNUMBER('Price History'!W19)),NOT(ISNUMBER('Price History'!W18)),'Price History'!W18=0),"",'Price History'!W19/'Price History'!W18-1),"")</f>
        <v>0.00221388006545387</v>
      </c>
      <c r="AQ18" s="155" t="str">
        <f aca="false">IFERROR(IF(OR(NOT(ISNUMBER('Price History'!X19)),NOT(ISNUMBER('Price History'!X18)),'Price History'!X18=0),"",'Price History'!X19/'Price History'!X18-1),"")</f>
        <v/>
      </c>
      <c r="AR18" s="155" t="n">
        <f aca="false">IFERROR(IF(OR(NOT(ISNUMBER('Price History'!Y19)),NOT(ISNUMBER('Price History'!Y18)),'Price History'!Y18=0),"",'Price History'!Y19/'Price History'!Y18-1),"")</f>
        <v>-0.00428797111261581</v>
      </c>
      <c r="AS18" s="155" t="n">
        <f aca="false">IFERROR(IF(OR(NOT(ISNUMBER('Price History'!Z19)),NOT(ISNUMBER('Price History'!Z18)),'Price History'!Z18=0),"",'Price History'!Z19/'Price History'!Z18-1),"")</f>
        <v>-0.01056302939711</v>
      </c>
      <c r="AT18" s="155" t="n">
        <f aca="false">IFERROR(IF(OR(NOT(ISNUMBER('Price History'!AA19)),NOT(ISNUMBER('Price History'!AA18)),'Price History'!AA18=0),"",'Price History'!AA19/'Price History'!AA18-1),"")</f>
        <v>-0.0262887656602999</v>
      </c>
      <c r="AU18" s="155" t="n">
        <f aca="false">IFERROR(IF(OR(NOT(ISNUMBER('Price History'!AB19)),NOT(ISNUMBER('Price History'!AB18)),'Price History'!AB18=0),"",'Price History'!AB19/'Price History'!AB18-1),"")</f>
        <v>-0.0354768335757325</v>
      </c>
    </row>
    <row r="19" customFormat="false" ht="15" hidden="false" customHeight="true" outlineLevel="0" collapsed="false">
      <c r="A19" s="153" t="n">
        <f aca="false">IF('Price History'!A20="","",'Price History'!A20)</f>
        <v>45303</v>
      </c>
      <c r="B19" s="154" t="n">
        <f aca="false">IFERROR(IF(OR(NOT(ISNUMBER('Price History'!B20)),NOT(ISNUMBER('Price History'!B19)),'Price History'!B19=0),"",'Price History'!B20/'Price History'!B19-1),"")</f>
        <v>0.0565710237336166</v>
      </c>
      <c r="C19" s="154" t="n">
        <f aca="false">IFERROR(IF(OR(NOT(ISNUMBER('Price History'!C20)),NOT(ISNUMBER('Price History'!C19)),'Price History'!C19=0),"",'Price History'!C20/'Price History'!C19-1),"")</f>
        <v>0.0914602459726313</v>
      </c>
      <c r="D19" s="154" t="n">
        <f aca="false">IFERROR(IF(OR(NOT(ISNUMBER('Price History'!D20)),NOT(ISNUMBER('Price History'!D19)),'Price History'!D19=0),"",'Price History'!D20/'Price History'!D19-1),"")</f>
        <v>0.0140441678903216</v>
      </c>
      <c r="E19" s="154" t="n">
        <f aca="false">IFERROR(IF(OR(NOT(ISNUMBER('Price History'!E20)),NOT(ISNUMBER('Price History'!E19)),'Price History'!E19=0),"",'Price History'!E20/'Price History'!E19-1),"")</f>
        <v>0.0556644453155624</v>
      </c>
      <c r="F19" s="154" t="n">
        <f aca="false">IFERROR(IF(OR(NOT(ISNUMBER('Price History'!F20)),NOT(ISNUMBER('Price History'!F19)),'Price History'!F19=0),"",'Price History'!F20/'Price History'!F19-1),"")</f>
        <v>0.144981412639405</v>
      </c>
      <c r="G19" s="154" t="n">
        <f aca="false">IFERROR(IF(OR(NOT(ISNUMBER('Price History'!G20)),NOT(ISNUMBER('Price History'!G19)),'Price History'!G19=0),"",'Price History'!G20/'Price History'!G19-1),"")</f>
        <v>0.0298311444652908</v>
      </c>
      <c r="H19" s="154" t="n">
        <f aca="false">IFERROR(IF(OR(NOT(ISNUMBER('Price History'!H20)),NOT(ISNUMBER('Price History'!H19)),'Price History'!H19=0),"",'Price History'!H20/'Price History'!H19-1),"")</f>
        <v>-0.0128050253684465</v>
      </c>
      <c r="I19" s="154" t="n">
        <f aca="false">IFERROR(IF(OR(NOT(ISNUMBER('Price History'!I20)),NOT(ISNUMBER('Price History'!I19)),'Price History'!I19=0),"",'Price History'!I20/'Price History'!I19-1),"")</f>
        <v>0.114174836601307</v>
      </c>
      <c r="J19" s="154" t="n">
        <f aca="false">IFERROR(IF(OR(NOT(ISNUMBER('Price History'!J20)),NOT(ISNUMBER('Price History'!J19)),'Price History'!J19=0),"",'Price History'!J20/'Price History'!J19-1),"")</f>
        <v>0.0075440067057837</v>
      </c>
      <c r="K19" s="154" t="n">
        <f aca="false">IFERROR(IF(OR(NOT(ISNUMBER('Price History'!K20)),NOT(ISNUMBER('Price History'!K19)),'Price History'!K19=0),"",'Price History'!K20/'Price History'!K19-1),"")</f>
        <v>0.0488110137672091</v>
      </c>
      <c r="L19" s="154" t="n">
        <f aca="false">IFERROR(IF(OR(NOT(ISNUMBER('Price History'!L20)),NOT(ISNUMBER('Price History'!L19)),'Price History'!L19=0),"",'Price History'!L20/'Price History'!L19-1),"")</f>
        <v>0.0163269550748753</v>
      </c>
      <c r="M19" s="154" t="n">
        <f aca="false">IFERROR(IF(OR(NOT(ISNUMBER('Price History'!M20)),NOT(ISNUMBER('Price History'!M19)),'Price History'!M19=0),"",'Price History'!M20/'Price History'!M19-1),"")</f>
        <v>0.0693240901213172</v>
      </c>
      <c r="N19" s="154" t="n">
        <f aca="false">IFERROR(IF(OR(NOT(ISNUMBER('Price History'!N20)),NOT(ISNUMBER('Price History'!N19)),'Price History'!N19=0),"",'Price History'!N20/'Price History'!N19-1),"")</f>
        <v>0.0405762304921968</v>
      </c>
      <c r="O19" s="154" t="n">
        <f aca="false">IFERROR(IF(OR(NOT(ISNUMBER('Price History'!O20)),NOT(ISNUMBER('Price History'!O19)),'Price History'!O19=0),"",'Price History'!O20/'Price History'!O19-1),"")</f>
        <v>-0.0113365155131265</v>
      </c>
      <c r="P19" s="154" t="n">
        <f aca="false">IFERROR(IF(OR(NOT(ISNUMBER('Price History'!P20)),NOT(ISNUMBER('Price History'!P19)),'Price History'!P19=0),"",'Price History'!P20/'Price History'!P19-1),"")</f>
        <v>-0.0138317757009346</v>
      </c>
      <c r="Q19" s="154" t="n">
        <f aca="false">IFERROR(IF(OR(NOT(ISNUMBER('Price History'!Q20)),NOT(ISNUMBER('Price History'!Q19)),'Price History'!Q19=0),"",'Price History'!Q20/'Price History'!Q19-1),"")</f>
        <v>0.00985316846986106</v>
      </c>
      <c r="R19" s="154" t="n">
        <f aca="false">IFERROR(IF(OR(NOT(ISNUMBER('Price History'!R20)),NOT(ISNUMBER('Price History'!R19)),'Price History'!R19=0),"",'Price History'!R20/'Price History'!R19-1),"")</f>
        <v>0.0274876305662453</v>
      </c>
      <c r="S19" s="154" t="n">
        <f aca="false">IFERROR(IF(OR(NOT(ISNUMBER('Price History'!S20)),NOT(ISNUMBER('Price History'!S19)),'Price History'!S19=0),"",'Price History'!S20/'Price History'!S19-1),"")</f>
        <v>0.0309748427672956</v>
      </c>
      <c r="T19" s="154" t="n">
        <f aca="false">IFERROR(IF(OR(NOT(ISNUMBER('Price History'!T20)),NOT(ISNUMBER('Price History'!T19)),'Price History'!T19=0),"",'Price History'!T20/'Price History'!T19-1),"")</f>
        <v>-0.00219378427787942</v>
      </c>
      <c r="U19" s="154" t="n">
        <f aca="false">IFERROR(IF(OR(NOT(ISNUMBER('Price History'!U20)),NOT(ISNUMBER('Price History'!U19)),'Price History'!U19=0),"",'Price History'!U20/'Price History'!U19-1),"")</f>
        <v>-0.00130151843817794</v>
      </c>
      <c r="V19" s="155" t="n">
        <f aca="false">IFERROR(IF(OR(NOT(ISNUMBER('Price History'!V20)),NOT(ISNUMBER('Price History'!V19)),'Price History'!V19=0),"",'Price History'!V20/'Price History'!V19-1),"")</f>
        <v>0.0172183347747463</v>
      </c>
      <c r="W19" s="156" t="n">
        <f aca="false">IFERROR('Price History'!B3+(INDEX('Price History'!B:B,MATCH(9.99E+307,'Returns (Calc)'!$A:$A)+1)-'Price History'!B3)*(ROW()-3)/(MATCH(9.99E+307,'Returns (Calc)'!$A:$A)-3),"")</f>
        <v>499.401392405063</v>
      </c>
      <c r="X19" s="156" t="n">
        <f aca="false">IFERROR('Price History'!C3+(INDEX('Price History'!C:C,MATCH(9.99E+307,'Returns (Calc)'!$A:$A)+1)-'Price History'!C3)*(ROW()-3)/(MATCH(9.99E+307,'Returns (Calc)'!$A:$A)-3),"")</f>
        <v>62.5010126582279</v>
      </c>
      <c r="Y19" s="156" t="n">
        <f aca="false">IFERROR('Price History'!D3+(INDEX('Price History'!D:D,MATCH(9.99E+307,'Returns (Calc)'!$A:$A)+1)-'Price History'!D3)*(ROW()-3)/(MATCH(9.99E+307,'Returns (Calc)'!$A:$A)-3),"")</f>
        <v>712.166962025317</v>
      </c>
      <c r="Z19" s="156" t="n">
        <f aca="false">IFERROR('Price History'!E3+(INDEX('Price History'!E:E,MATCH(9.99E+307,'Returns (Calc)'!$A:$A)+1)-'Price History'!E3)*(ROW()-3)/(MATCH(9.99E+307,'Returns (Calc)'!$A:$A)-3),"")</f>
        <v>109.659746835443</v>
      </c>
      <c r="AA19" s="156" t="n">
        <f aca="false">IFERROR('Price History'!F3+(INDEX('Price History'!F:F,MATCH(9.99E+307,'Returns (Calc)'!$A:$A)+1)-'Price History'!F3)*(ROW()-3)/(MATCH(9.99E+307,'Returns (Calc)'!$A:$A)-3),"")</f>
        <v>64.5174683544304</v>
      </c>
      <c r="AB19" s="156" t="n">
        <f aca="false">IFERROR('Price History'!G3+(INDEX('Price History'!G:G,MATCH(9.99E+307,'Returns (Calc)'!$A:$A)+1)-'Price History'!G3)*(ROW()-3)/(MATCH(9.99E+307,'Returns (Calc)'!$A:$A)-3),"")</f>
        <v>60.809746835443</v>
      </c>
      <c r="AC19" s="156" t="n">
        <f aca="false">IFERROR('Price History'!H3+(INDEX('Price History'!H:H,MATCH(9.99E+307,'Returns (Calc)'!$A:$A)+1)-'Price History'!H3)*(ROW()-3)/(MATCH(9.99E+307,'Returns (Calc)'!$A:$A)-3),"")</f>
        <v>170.961139240506</v>
      </c>
      <c r="AD19" s="156" t="n">
        <f aca="false">IFERROR('Price History'!I3+(INDEX('Price History'!I:I,MATCH(9.99E+307,'Returns (Calc)'!$A:$A)+1)-'Price History'!I3)*(ROW()-3)/(MATCH(9.99E+307,'Returns (Calc)'!$A:$A)-3),"")</f>
        <v>63.0287341772152</v>
      </c>
      <c r="AE19" s="156" t="n">
        <f aca="false">IFERROR('Price History'!J3+(INDEX('Price History'!J:J,MATCH(9.99E+307,'Returns (Calc)'!$A:$A)+1)-'Price History'!J3)*(ROW()-3)/(MATCH(9.99E+307,'Returns (Calc)'!$A:$A)-3),"")</f>
        <v>113.568607594937</v>
      </c>
      <c r="AF19" s="156" t="n">
        <f aca="false">IFERROR('Price History'!K3+(INDEX('Price History'!K:K,MATCH(9.99E+307,'Returns (Calc)'!$A:$A)+1)-'Price History'!K3)*(ROW()-3)/(MATCH(9.99E+307,'Returns (Calc)'!$A:$A)-3),"")</f>
        <v>32.8915189873418</v>
      </c>
      <c r="AG19" s="156" t="n">
        <f aca="false">IFERROR('Price History'!L3+(INDEX('Price History'!L:L,MATCH(9.99E+307,'Returns (Calc)'!$A:$A)+1)-'Price History'!L3)*(ROW()-3)/(MATCH(9.99E+307,'Returns (Calc)'!$A:$A)-3),"")</f>
        <v>124.942911392405</v>
      </c>
      <c r="AH19" s="156" t="n">
        <f aca="false">IFERROR('Price History'!M3+(INDEX('Price History'!M:M,MATCH(9.99E+307,'Returns (Calc)'!$A:$A)+1)-'Price History'!M3)*(ROW()-3)/(MATCH(9.99E+307,'Returns (Calc)'!$A:$A)-3),"")</f>
        <v>59.7070886075949</v>
      </c>
      <c r="AI19" s="156" t="n">
        <f aca="false">IFERROR('Price History'!N3+(INDEX('Price History'!N:N,MATCH(9.99E+307,'Returns (Calc)'!$A:$A)+1)-'Price History'!N3)*(ROW()-3)/(MATCH(9.99E+307,'Returns (Calc)'!$A:$A)-3),"")</f>
        <v>364.680253164557</v>
      </c>
      <c r="AJ19" s="156" t="n">
        <f aca="false">IFERROR('Price History'!O3+(INDEX('Price History'!O:O,MATCH(9.99E+307,'Returns (Calc)'!$A:$A)+1)-'Price History'!O3)*(ROW()-3)/(MATCH(9.99E+307,'Returns (Calc)'!$A:$A)-3),"")</f>
        <v>79.8386075949367</v>
      </c>
      <c r="AK19" s="156" t="n">
        <f aca="false">IFERROR('Price History'!Q3+(INDEX('Price History'!Q:Q,MATCH(9.99E+307,'Returns (Calc)'!$A:$A)+1)-'Price History'!Q3)*(ROW()-3)/(MATCH(9.99E+307,'Returns (Calc)'!$A:$A)-3),"")</f>
        <v>7.02987341772152</v>
      </c>
      <c r="AL19" s="156" t="n">
        <f aca="false">IFERROR('Price History'!R3+(INDEX('Price History'!R:R,MATCH(9.99E+307,'Returns (Calc)'!$A:$A)+1)-'Price History'!R3)*(ROW()-3)/(MATCH(9.99E+307,'Returns (Calc)'!$A:$A)-3),"")</f>
        <v>37.1696202531646</v>
      </c>
      <c r="AM19" s="156" t="n">
        <f aca="false">IFERROR('Price History'!S3+(INDEX('Price History'!S:S,MATCH(9.99E+307,'Returns (Calc)'!$A:$A)+1)-'Price History'!S3)*(ROW()-3)/(MATCH(9.99E+307,'Returns (Calc)'!$A:$A)-3),"")</f>
        <v>67.3110126582279</v>
      </c>
      <c r="AN19" s="156" t="n">
        <f aca="false">IFERROR('Price History'!T3+(INDEX('Price History'!T:T,MATCH(9.99E+307,'Returns (Calc)'!$A:$A)+1)-'Price History'!T3)*(ROW()-3)/(MATCH(9.99E+307,'Returns (Calc)'!$A:$A)-3),"")</f>
        <v>27.9316455696203</v>
      </c>
      <c r="AO19" s="157" t="n">
        <f aca="false">IFERROR('Price History'!V3+(INDEX('Price History'!V:V,MATCH(9.99E+307,'Returns (Calc)'!$A:$A)+1)-'Price History'!V3)*(ROW()-3)/(MATCH(9.99E+307,'Returns (Calc)'!$A:$A)-3),"")</f>
        <v>248.291265822785</v>
      </c>
      <c r="AP19" s="155" t="n">
        <f aca="false">IFERROR(IF(OR(NOT(ISNUMBER('Price History'!W20)),NOT(ISNUMBER('Price History'!W19)),'Price History'!W19=0),"",'Price History'!W20/'Price History'!W19-1),"")</f>
        <v>-0.00345754898194395</v>
      </c>
      <c r="AQ19" s="155" t="str">
        <f aca="false">IFERROR(IF(OR(NOT(ISNUMBER('Price History'!X20)),NOT(ISNUMBER('Price History'!X19)),'Price History'!X19=0),"",'Price History'!X20/'Price History'!X19-1),"")</f>
        <v/>
      </c>
      <c r="AR19" s="155" t="n">
        <f aca="false">IFERROR(IF(OR(NOT(ISNUMBER('Price History'!Y20)),NOT(ISNUMBER('Price History'!Y19)),'Price History'!Y19=0),"",'Price History'!Y20/'Price History'!Y19-1),"")</f>
        <v>0.010199456029012</v>
      </c>
      <c r="AS19" s="155" t="n">
        <f aca="false">IFERROR(IF(OR(NOT(ISNUMBER('Price History'!Z20)),NOT(ISNUMBER('Price History'!Z19)),'Price History'!Z19=0),"",'Price History'!Z20/'Price History'!Z19-1),"")</f>
        <v>0.0277973612649813</v>
      </c>
      <c r="AT19" s="155" t="n">
        <f aca="false">IFERROR(IF(OR(NOT(ISNUMBER('Price History'!AA20)),NOT(ISNUMBER('Price History'!AA19)),'Price History'!AA19=0),"",'Price History'!AA20/'Price History'!AA19-1),"")</f>
        <v>0.0381775996625184</v>
      </c>
      <c r="AU19" s="155" t="n">
        <f aca="false">IFERROR(IF(OR(NOT(ISNUMBER('Price History'!AB20)),NOT(ISNUMBER('Price History'!AB19)),'Price History'!AB19=0),"",'Price History'!AB20/'Price History'!AB19-1),"")</f>
        <v>0.123862351230545</v>
      </c>
    </row>
    <row r="20" customFormat="false" ht="15" hidden="false" customHeight="true" outlineLevel="0" collapsed="false">
      <c r="A20" s="153" t="n">
        <f aca="false">IF('Price History'!A21="","",'Price History'!A21)</f>
        <v>45310</v>
      </c>
      <c r="B20" s="154" t="n">
        <f aca="false">IFERROR(IF(OR(NOT(ISNUMBER('Price History'!B21)),NOT(ISNUMBER('Price History'!B20)),'Price History'!B20=0),"",'Price History'!B21/'Price History'!B20-1),"")</f>
        <v>0.0251617661850001</v>
      </c>
      <c r="C20" s="154" t="n">
        <f aca="false">IFERROR(IF(OR(NOT(ISNUMBER('Price History'!C21)),NOT(ISNUMBER('Price History'!C20)),'Price History'!C20=0),"",'Price History'!C21/'Price History'!C20-1),"")</f>
        <v>0.0455483256625933</v>
      </c>
      <c r="D20" s="154" t="n">
        <f aca="false">IFERROR(IF(OR(NOT(ISNUMBER('Price History'!D21)),NOT(ISNUMBER('Price History'!D20)),'Price History'!D20=0),"",'Price History'!D21/'Price History'!D20-1),"")</f>
        <v>0.0625528681414787</v>
      </c>
      <c r="E20" s="154" t="n">
        <f aca="false">IFERROR(IF(OR(NOT(ISNUMBER('Price History'!E21)),NOT(ISNUMBER('Price History'!E20)),'Price History'!E20=0),"",'Price History'!E21/'Price History'!E20-1),"")</f>
        <v>0.0934831043445972</v>
      </c>
      <c r="F20" s="154" t="n">
        <f aca="false">IFERROR(IF(OR(NOT(ISNUMBER('Price History'!F21)),NOT(ISNUMBER('Price History'!F20)),'Price History'!F20=0),"",'Price History'!F21/'Price History'!F20-1),"")</f>
        <v>0.0254093732354601</v>
      </c>
      <c r="G20" s="154" t="n">
        <f aca="false">IFERROR(IF(OR(NOT(ISNUMBER('Price History'!G21)),NOT(ISNUMBER('Price History'!G20)),'Price History'!G20=0),"",'Price History'!G21/'Price History'!G20-1),"")</f>
        <v>0.093459646565859</v>
      </c>
      <c r="H20" s="154" t="n">
        <f aca="false">IFERROR(IF(OR(NOT(ISNUMBER('Price History'!H21)),NOT(ISNUMBER('Price History'!H20)),'Price History'!H20=0),"",'Price History'!H21/'Price History'!H20-1),"")</f>
        <v>0.062163485070974</v>
      </c>
      <c r="I20" s="154" t="n">
        <f aca="false">IFERROR(IF(OR(NOT(ISNUMBER('Price History'!I21)),NOT(ISNUMBER('Price History'!I20)),'Price History'!I20=0),"",'Price History'!I21/'Price History'!I20-1),"")</f>
        <v>0.0874427131072411</v>
      </c>
      <c r="J20" s="154" t="n">
        <f aca="false">IFERROR(IF(OR(NOT(ISNUMBER('Price History'!J21)),NOT(ISNUMBER('Price History'!J20)),'Price History'!J20=0),"",'Price History'!J21/'Price History'!J20-1),"")</f>
        <v>-0.0236272878535774</v>
      </c>
      <c r="K20" s="154" t="n">
        <f aca="false">IFERROR(IF(OR(NOT(ISNUMBER('Price History'!K21)),NOT(ISNUMBER('Price History'!K20)),'Price History'!K20=0),"",'Price History'!K21/'Price History'!K20-1),"")</f>
        <v>0.00119331742243434</v>
      </c>
      <c r="L20" s="154" t="n">
        <f aca="false">IFERROR(IF(OR(NOT(ISNUMBER('Price History'!L21)),NOT(ISNUMBER('Price History'!L20)),'Price History'!L20=0),"",'Price History'!L21/'Price History'!L20-1),"")</f>
        <v>0.128005730072649</v>
      </c>
      <c r="M20" s="154" t="n">
        <f aca="false">IFERROR(IF(OR(NOT(ISNUMBER('Price History'!M21)),NOT(ISNUMBER('Price History'!M20)),'Price History'!M20=0),"",'Price History'!M21/'Price History'!M20-1),"")</f>
        <v>0.0836709886547813</v>
      </c>
      <c r="N20" s="154" t="n">
        <f aca="false">IFERROR(IF(OR(NOT(ISNUMBER('Price History'!N21)),NOT(ISNUMBER('Price History'!N20)),'Price History'!N20=0),"",'Price History'!N21/'Price History'!N20-1),"")</f>
        <v>0.00373788647900319</v>
      </c>
      <c r="O20" s="154" t="n">
        <f aca="false">IFERROR(IF(OR(NOT(ISNUMBER('Price History'!O21)),NOT(ISNUMBER('Price History'!O20)),'Price History'!O20=0),"",'Price History'!O21/'Price History'!O20-1),"")</f>
        <v>0.0030175015087508</v>
      </c>
      <c r="P20" s="154" t="n">
        <f aca="false">IFERROR(IF(OR(NOT(ISNUMBER('Price History'!P21)),NOT(ISNUMBER('Price History'!P20)),'Price History'!P20=0),"",'Price History'!P21/'Price History'!P20-1),"")</f>
        <v>-0.0131728582259287</v>
      </c>
      <c r="Q20" s="154" t="n">
        <f aca="false">IFERROR(IF(OR(NOT(ISNUMBER('Price History'!Q21)),NOT(ISNUMBER('Price History'!Q20)),'Price History'!Q20=0),"",'Price History'!Q21/'Price History'!Q20-1),"")</f>
        <v>0.00593074421274142</v>
      </c>
      <c r="R20" s="154" t="n">
        <f aca="false">IFERROR(IF(OR(NOT(ISNUMBER('Price History'!R21)),NOT(ISNUMBER('Price History'!R20)),'Price History'!R20=0),"",'Price History'!R21/'Price History'!R20-1),"")</f>
        <v>0.0176565008025682</v>
      </c>
      <c r="S20" s="154" t="n">
        <f aca="false">IFERROR(IF(OR(NOT(ISNUMBER('Price History'!S21)),NOT(ISNUMBER('Price History'!S20)),'Price History'!S20=0),"",'Price History'!S21/'Price History'!S20-1),"")</f>
        <v>0.0211987189263383</v>
      </c>
      <c r="T20" s="154" t="n">
        <f aca="false">IFERROR(IF(OR(NOT(ISNUMBER('Price History'!T21)),NOT(ISNUMBER('Price History'!T20)),'Price History'!T20=0),"",'Price History'!T21/'Price History'!T20-1),"")</f>
        <v>-0.00952729937706109</v>
      </c>
      <c r="U20" s="154" t="n">
        <f aca="false">IFERROR(IF(OR(NOT(ISNUMBER('Price History'!U21)),NOT(ISNUMBER('Price History'!U20)),'Price History'!U20=0),"",'Price History'!U21/'Price History'!U20-1),"")</f>
        <v>0.00434404865334503</v>
      </c>
      <c r="V20" s="155" t="n">
        <f aca="false">IFERROR(IF(OR(NOT(ISNUMBER('Price History'!V21)),NOT(ISNUMBER('Price History'!V20)),'Price History'!V20=0),"",'Price History'!V21/'Price History'!V20-1),"")</f>
        <v>0.0255062606276086</v>
      </c>
      <c r="W20" s="156" t="n">
        <f aca="false">IFERROR('Price History'!B3+(INDEX('Price History'!B:B,MATCH(9.99E+307,'Returns (Calc)'!$A:$A)+1)-'Price History'!B3)*(ROW()-3)/(MATCH(9.99E+307,'Returns (Calc)'!$A:$A)-3),"")</f>
        <v>497.55835443038</v>
      </c>
      <c r="X20" s="156" t="n">
        <f aca="false">IFERROR('Price History'!C3+(INDEX('Price History'!C:C,MATCH(9.99E+307,'Returns (Calc)'!$A:$A)+1)-'Price History'!C3)*(ROW()-3)/(MATCH(9.99E+307,'Returns (Calc)'!$A:$A)-3),"")</f>
        <v>63.5210759493671</v>
      </c>
      <c r="Y20" s="156" t="n">
        <f aca="false">IFERROR('Price History'!D3+(INDEX('Price History'!D:D,MATCH(9.99E+307,'Returns (Calc)'!$A:$A)+1)-'Price History'!D3)*(ROW()-3)/(MATCH(9.99E+307,'Returns (Calc)'!$A:$A)-3),"")</f>
        <v>720.301772151899</v>
      </c>
      <c r="Z20" s="156" t="n">
        <f aca="false">IFERROR('Price History'!E3+(INDEX('Price History'!E:E,MATCH(9.99E+307,'Returns (Calc)'!$A:$A)+1)-'Price History'!E3)*(ROW()-3)/(MATCH(9.99E+307,'Returns (Calc)'!$A:$A)-3),"")</f>
        <v>111.388481012658</v>
      </c>
      <c r="AA20" s="156" t="n">
        <f aca="false">IFERROR('Price History'!F3+(INDEX('Price History'!F:F,MATCH(9.99E+307,'Returns (Calc)'!$A:$A)+1)-'Price History'!F3)*(ROW()-3)/(MATCH(9.99E+307,'Returns (Calc)'!$A:$A)-3),"")</f>
        <v>65.9648101265823</v>
      </c>
      <c r="AB20" s="156" t="n">
        <f aca="false">IFERROR('Price History'!G3+(INDEX('Price History'!G:G,MATCH(9.99E+307,'Returns (Calc)'!$A:$A)+1)-'Price History'!G3)*(ROW()-3)/(MATCH(9.99E+307,'Returns (Calc)'!$A:$A)-3),"")</f>
        <v>61.8384810126582</v>
      </c>
      <c r="AC20" s="156" t="n">
        <f aca="false">IFERROR('Price History'!H3+(INDEX('Price History'!H:H,MATCH(9.99E+307,'Returns (Calc)'!$A:$A)+1)-'Price History'!H3)*(ROW()-3)/(MATCH(9.99E+307,'Returns (Calc)'!$A:$A)-3),"")</f>
        <v>177.326835443038</v>
      </c>
      <c r="AD20" s="156" t="n">
        <f aca="false">IFERROR('Price History'!I3+(INDEX('Price History'!I:I,MATCH(9.99E+307,'Returns (Calc)'!$A:$A)+1)-'Price History'!I3)*(ROW()-3)/(MATCH(9.99E+307,'Returns (Calc)'!$A:$A)-3),"")</f>
        <v>64.2324050632911</v>
      </c>
      <c r="AE20" s="156" t="n">
        <f aca="false">IFERROR('Price History'!J3+(INDEX('Price History'!J:J,MATCH(9.99E+307,'Returns (Calc)'!$A:$A)+1)-'Price History'!J3)*(ROW()-3)/(MATCH(9.99E+307,'Returns (Calc)'!$A:$A)-3),"")</f>
        <v>113.67664556962</v>
      </c>
      <c r="AF20" s="156" t="n">
        <f aca="false">IFERROR('Price History'!K3+(INDEX('Price History'!K:K,MATCH(9.99E+307,'Returns (Calc)'!$A:$A)+1)-'Price History'!K3)*(ROW()-3)/(MATCH(9.99E+307,'Returns (Calc)'!$A:$A)-3),"")</f>
        <v>33.9891139240506</v>
      </c>
      <c r="AG20" s="156" t="n">
        <f aca="false">IFERROR('Price History'!L3+(INDEX('Price History'!L:L,MATCH(9.99E+307,'Returns (Calc)'!$A:$A)+1)-'Price History'!L3)*(ROW()-3)/(MATCH(9.99E+307,'Returns (Calc)'!$A:$A)-3),"")</f>
        <v>127.39246835443</v>
      </c>
      <c r="AH20" s="156" t="n">
        <f aca="false">IFERROR('Price History'!M3+(INDEX('Price History'!M:M,MATCH(9.99E+307,'Returns (Calc)'!$A:$A)+1)-'Price History'!M3)*(ROW()-3)/(MATCH(9.99E+307,'Returns (Calc)'!$A:$A)-3),"")</f>
        <v>61.0625316455696</v>
      </c>
      <c r="AI20" s="156" t="n">
        <f aca="false">IFERROR('Price History'!N3+(INDEX('Price History'!N:N,MATCH(9.99E+307,'Returns (Calc)'!$A:$A)+1)-'Price History'!N3)*(ROW()-3)/(MATCH(9.99E+307,'Returns (Calc)'!$A:$A)-3),"")</f>
        <v>365.666518987342</v>
      </c>
      <c r="AJ20" s="156" t="n">
        <f aca="false">IFERROR('Price History'!O3+(INDEX('Price History'!O:O,MATCH(9.99E+307,'Returns (Calc)'!$A:$A)+1)-'Price History'!O3)*(ROW()-3)/(MATCH(9.99E+307,'Returns (Calc)'!$A:$A)-3),"")</f>
        <v>80.1216455696203</v>
      </c>
      <c r="AK20" s="156" t="n">
        <f aca="false">IFERROR('Price History'!Q3+(INDEX('Price History'!Q:Q,MATCH(9.99E+307,'Returns (Calc)'!$A:$A)+1)-'Price History'!Q3)*(ROW()-3)/(MATCH(9.99E+307,'Returns (Calc)'!$A:$A)-3),"")</f>
        <v>7.46924050632912</v>
      </c>
      <c r="AL20" s="156" t="n">
        <f aca="false">IFERROR('Price History'!R3+(INDEX('Price History'!R:R,MATCH(9.99E+307,'Returns (Calc)'!$A:$A)+1)-'Price History'!R3)*(ROW()-3)/(MATCH(9.99E+307,'Returns (Calc)'!$A:$A)-3),"")</f>
        <v>37.3377215189873</v>
      </c>
      <c r="AM20" s="156" t="n">
        <f aca="false">IFERROR('Price History'!S3+(INDEX('Price History'!S:S,MATCH(9.99E+307,'Returns (Calc)'!$A:$A)+1)-'Price History'!S3)*(ROW()-3)/(MATCH(9.99E+307,'Returns (Calc)'!$A:$A)-3),"")</f>
        <v>67.9160759493671</v>
      </c>
      <c r="AN20" s="156" t="n">
        <f aca="false">IFERROR('Price History'!T3+(INDEX('Price History'!T:T,MATCH(9.99E+307,'Returns (Calc)'!$A:$A)+1)-'Price History'!T3)*(ROW()-3)/(MATCH(9.99E+307,'Returns (Calc)'!$A:$A)-3),"")</f>
        <v>28.0998734177215</v>
      </c>
      <c r="AO20" s="157" t="n">
        <f aca="false">IFERROR('Price History'!V3+(INDEX('Price History'!V:V,MATCH(9.99E+307,'Returns (Calc)'!$A:$A)+1)-'Price History'!V3)*(ROW()-3)/(MATCH(9.99E+307,'Returns (Calc)'!$A:$A)-3),"")</f>
        <v>249.082594936709</v>
      </c>
      <c r="AP20" s="155" t="n">
        <f aca="false">IFERROR(IF(OR(NOT(ISNUMBER('Price History'!W21)),NOT(ISNUMBER('Price History'!W20)),'Price History'!W20=0),"",'Price History'!W21/'Price History'!W20-1),"")</f>
        <v>0.00125289128758666</v>
      </c>
      <c r="AQ20" s="155" t="str">
        <f aca="false">IFERROR(IF(OR(NOT(ISNUMBER('Price History'!X21)),NOT(ISNUMBER('Price History'!X20)),'Price History'!X20=0),"",'Price History'!X21/'Price History'!X20-1),"")</f>
        <v/>
      </c>
      <c r="AR20" s="155" t="n">
        <f aca="false">IFERROR(IF(OR(NOT(ISNUMBER('Price History'!Y21)),NOT(ISNUMBER('Price History'!Y20)),'Price History'!Y20=0),"",'Price History'!Y21/'Price History'!Y20-1),"")</f>
        <v>0.00291676015256903</v>
      </c>
      <c r="AS20" s="155" t="n">
        <f aca="false">IFERROR(IF(OR(NOT(ISNUMBER('Price History'!Z21)),NOT(ISNUMBER('Price History'!Z20)),'Price History'!Z20=0),"",'Price History'!Z21/'Price History'!Z20-1),"")</f>
        <v>9.79911807936773E-005</v>
      </c>
      <c r="AT20" s="155" t="n">
        <f aca="false">IFERROR(IF(OR(NOT(ISNUMBER('Price History'!AA21)),NOT(ISNUMBER('Price History'!AA20)),'Price History'!AA20=0),"",'Price History'!AA21/'Price History'!AA20-1),"")</f>
        <v>-0.0188947582283624</v>
      </c>
      <c r="AU20" s="155" t="n">
        <f aca="false">IFERROR(IF(OR(NOT(ISNUMBER('Price History'!AB21)),NOT(ISNUMBER('Price History'!AB20)),'Price History'!AB20=0),"",'Price History'!AB21/'Price History'!AB20-1),"")</f>
        <v>-0.00737936652450999</v>
      </c>
    </row>
    <row r="21" customFormat="false" ht="15" hidden="false" customHeight="true" outlineLevel="0" collapsed="false">
      <c r="A21" s="153" t="n">
        <f aca="false">IF('Price History'!A22="","",'Price History'!A22)</f>
        <v>45317</v>
      </c>
      <c r="B21" s="154" t="n">
        <f aca="false">IFERROR(IF(OR(NOT(ISNUMBER('Price History'!B22)),NOT(ISNUMBER('Price History'!B21)),'Price History'!B21=0),"",'Price History'!B22/'Price History'!B21-1),"")</f>
        <v>0.00389175047011681</v>
      </c>
      <c r="C21" s="154" t="n">
        <f aca="false">IFERROR(IF(OR(NOT(ISNUMBER('Price History'!C22)),NOT(ISNUMBER('Price History'!C21)),'Price History'!C21=0),"",'Price History'!C22/'Price History'!C21-1),"")</f>
        <v>0.00333940497874918</v>
      </c>
      <c r="D21" s="154" t="n">
        <f aca="false">IFERROR(IF(OR(NOT(ISNUMBER('Price History'!D22)),NOT(ISNUMBER('Price History'!D21)),'Price History'!D21=0),"",'Price History'!D22/'Price History'!D21-1),"")</f>
        <v>0.145037240932643</v>
      </c>
      <c r="E21" s="154" t="n">
        <f aca="false">IFERROR(IF(OR(NOT(ISNUMBER('Price History'!E22)),NOT(ISNUMBER('Price History'!E21)),'Price History'!E21=0),"",'Price History'!E22/'Price History'!E21-1),"")</f>
        <v>-0.00517870786993802</v>
      </c>
      <c r="F21" s="154" t="n">
        <f aca="false">IFERROR(IF(OR(NOT(ISNUMBER('Price History'!F22)),NOT(ISNUMBER('Price History'!F21)),'Price History'!F21=0),"",'Price History'!F22/'Price History'!F21-1),"")</f>
        <v>-0.000825991189427389</v>
      </c>
      <c r="G21" s="154" t="n">
        <f aca="false">IFERROR(IF(OR(NOT(ISNUMBER('Price History'!G22)),NOT(ISNUMBER('Price History'!G21)),'Price History'!G21=0),"",'Price History'!G22/'Price History'!G21-1),"")</f>
        <v>-0.0221592802399201</v>
      </c>
      <c r="H21" s="154" t="n">
        <f aca="false">IFERROR(IF(OR(NOT(ISNUMBER('Price History'!H22)),NOT(ISNUMBER('Price History'!H21)),'Price History'!H21=0),"",'Price History'!H22/'Price History'!H21-1),"")</f>
        <v>0.00622119815668221</v>
      </c>
      <c r="I21" s="154" t="n">
        <f aca="false">IFERROR(IF(OR(NOT(ISNUMBER('Price History'!I22)),NOT(ISNUMBER('Price History'!I21)),'Price History'!I21=0),"",'Price History'!I22/'Price History'!I21-1),"")</f>
        <v>0.0257923128792987</v>
      </c>
      <c r="J21" s="154" t="n">
        <f aca="false">IFERROR(IF(OR(NOT(ISNUMBER('Price History'!J22)),NOT(ISNUMBER('Price History'!J21)),'Price History'!J21=0),"",'Price History'!J22/'Price History'!J21-1),"")</f>
        <v>-0.0121847307430129</v>
      </c>
      <c r="K21" s="154" t="n">
        <f aca="false">IFERROR(IF(OR(NOT(ISNUMBER('Price History'!K22)),NOT(ISNUMBER('Price History'!K21)),'Price History'!K21=0),"",'Price History'!K22/'Price History'!K21-1),"")</f>
        <v>-0.0256257449344458</v>
      </c>
      <c r="L21" s="154" t="n">
        <f aca="false">IFERROR(IF(OR(NOT(ISNUMBER('Price History'!L22)),NOT(ISNUMBER('Price History'!L21)),'Price History'!L21=0),"",'Price History'!L22/'Price History'!L21-1),"")</f>
        <v>0.0268505079825836</v>
      </c>
      <c r="M21" s="154" t="n">
        <f aca="false">IFERROR(IF(OR(NOT(ISNUMBER('Price History'!M22)),NOT(ISNUMBER('Price History'!M21)),'Price History'!M21=0),"",'Price History'!M22/'Price History'!M21-1),"")</f>
        <v>-0.00392596747055529</v>
      </c>
      <c r="N21" s="154" t="n">
        <f aca="false">IFERROR(IF(OR(NOT(ISNUMBER('Price History'!N22)),NOT(ISNUMBER('Price History'!N21)),'Price History'!N21=0),"",'Price History'!N22/'Price History'!N21-1),"")</f>
        <v>-0.0111489126936691</v>
      </c>
      <c r="O21" s="154" t="n">
        <f aca="false">IFERROR(IF(OR(NOT(ISNUMBER('Price History'!O22)),NOT(ISNUMBER('Price History'!O21)),'Price History'!O21=0),"",'Price History'!O22/'Price History'!O21-1),"")</f>
        <v>0.023586040914561</v>
      </c>
      <c r="P21" s="154" t="n">
        <f aca="false">IFERROR(IF(OR(NOT(ISNUMBER('Price History'!P22)),NOT(ISNUMBER('Price History'!P21)),'Price History'!P21=0),"",'Price History'!P22/'Price History'!P21-1),"")</f>
        <v>0.0157495438394315</v>
      </c>
      <c r="Q21" s="154" t="n">
        <f aca="false">IFERROR(IF(OR(NOT(ISNUMBER('Price History'!Q22)),NOT(ISNUMBER('Price History'!Q21)),'Price History'!Q21=0),"",'Price History'!Q22/'Price History'!Q21-1),"")</f>
        <v>0.006276150627615</v>
      </c>
      <c r="R21" s="154" t="n">
        <f aca="false">IFERROR(IF(OR(NOT(ISNUMBER('Price History'!R22)),NOT(ISNUMBER('Price History'!R21)),'Price History'!R21=0),"",'Price History'!R22/'Price History'!R21-1),"")</f>
        <v>0.00788643533123046</v>
      </c>
      <c r="S21" s="154" t="n">
        <f aca="false">IFERROR(IF(OR(NOT(ISNUMBER('Price History'!S22)),NOT(ISNUMBER('Price History'!S21)),'Price History'!S21=0),"",'Price History'!S22/'Price History'!S21-1),"")</f>
        <v>0.0161290322580647</v>
      </c>
      <c r="T21" s="154" t="n">
        <f aca="false">IFERROR(IF(OR(NOT(ISNUMBER('Price History'!T22)),NOT(ISNUMBER('Price History'!T21)),'Price History'!T21=0),"",'Price History'!T22/'Price History'!T21-1),"")</f>
        <v>0.00813910469848311</v>
      </c>
      <c r="U21" s="154" t="n">
        <f aca="false">IFERROR(IF(OR(NOT(ISNUMBER('Price History'!U22)),NOT(ISNUMBER('Price History'!U21)),'Price History'!U21=0),"",'Price History'!U22/'Price History'!U21-1),"")</f>
        <v>0.00562283737024227</v>
      </c>
      <c r="V21" s="155" t="n">
        <f aca="false">IFERROR(IF(OR(NOT(ISNUMBER('Price History'!V22)),NOT(ISNUMBER('Price History'!V21)),'Price History'!V21=0),"",'Price History'!V22/'Price History'!V21-1),"")</f>
        <v>-0.0109285498944831</v>
      </c>
      <c r="W21" s="156" t="n">
        <f aca="false">IFERROR('Price History'!B3+(INDEX('Price History'!B:B,MATCH(9.99E+307,'Returns (Calc)'!$A:$A)+1)-'Price History'!B3)*(ROW()-3)/(MATCH(9.99E+307,'Returns (Calc)'!$A:$A)-3),"")</f>
        <v>495.715316455696</v>
      </c>
      <c r="X21" s="156" t="n">
        <f aca="false">IFERROR('Price History'!C3+(INDEX('Price History'!C:C,MATCH(9.99E+307,'Returns (Calc)'!$A:$A)+1)-'Price History'!C3)*(ROW()-3)/(MATCH(9.99E+307,'Returns (Calc)'!$A:$A)-3),"")</f>
        <v>64.5411392405063</v>
      </c>
      <c r="Y21" s="156" t="n">
        <f aca="false">IFERROR('Price History'!D3+(INDEX('Price History'!D:D,MATCH(9.99E+307,'Returns (Calc)'!$A:$A)+1)-'Price History'!D3)*(ROW()-3)/(MATCH(9.99E+307,'Returns (Calc)'!$A:$A)-3),"")</f>
        <v>728.436582278481</v>
      </c>
      <c r="Z21" s="156" t="n">
        <f aca="false">IFERROR('Price History'!E3+(INDEX('Price History'!E:E,MATCH(9.99E+307,'Returns (Calc)'!$A:$A)+1)-'Price History'!E3)*(ROW()-3)/(MATCH(9.99E+307,'Returns (Calc)'!$A:$A)-3),"")</f>
        <v>113.117215189873</v>
      </c>
      <c r="AA21" s="156" t="n">
        <f aca="false">IFERROR('Price History'!F3+(INDEX('Price History'!F:F,MATCH(9.99E+307,'Returns (Calc)'!$A:$A)+1)-'Price History'!F3)*(ROW()-3)/(MATCH(9.99E+307,'Returns (Calc)'!$A:$A)-3),"")</f>
        <v>67.4121518987342</v>
      </c>
      <c r="AB21" s="156" t="n">
        <f aca="false">IFERROR('Price History'!G3+(INDEX('Price History'!G:G,MATCH(9.99E+307,'Returns (Calc)'!$A:$A)+1)-'Price History'!G3)*(ROW()-3)/(MATCH(9.99E+307,'Returns (Calc)'!$A:$A)-3),"")</f>
        <v>62.8672151898734</v>
      </c>
      <c r="AC21" s="156" t="n">
        <f aca="false">IFERROR('Price History'!H3+(INDEX('Price History'!H:H,MATCH(9.99E+307,'Returns (Calc)'!$A:$A)+1)-'Price History'!H3)*(ROW()-3)/(MATCH(9.99E+307,'Returns (Calc)'!$A:$A)-3),"")</f>
        <v>183.69253164557</v>
      </c>
      <c r="AD21" s="156" t="n">
        <f aca="false">IFERROR('Price History'!I3+(INDEX('Price History'!I:I,MATCH(9.99E+307,'Returns (Calc)'!$A:$A)+1)-'Price History'!I3)*(ROW()-3)/(MATCH(9.99E+307,'Returns (Calc)'!$A:$A)-3),"")</f>
        <v>65.4360759493671</v>
      </c>
      <c r="AE21" s="156" t="n">
        <f aca="false">IFERROR('Price History'!J3+(INDEX('Price History'!J:J,MATCH(9.99E+307,'Returns (Calc)'!$A:$A)+1)-'Price History'!J3)*(ROW()-3)/(MATCH(9.99E+307,'Returns (Calc)'!$A:$A)-3),"")</f>
        <v>113.784683544304</v>
      </c>
      <c r="AF21" s="156" t="n">
        <f aca="false">IFERROR('Price History'!K3+(INDEX('Price History'!K:K,MATCH(9.99E+307,'Returns (Calc)'!$A:$A)+1)-'Price History'!K3)*(ROW()-3)/(MATCH(9.99E+307,'Returns (Calc)'!$A:$A)-3),"")</f>
        <v>35.0867088607595</v>
      </c>
      <c r="AG21" s="156" t="n">
        <f aca="false">IFERROR('Price History'!L3+(INDEX('Price History'!L:L,MATCH(9.99E+307,'Returns (Calc)'!$A:$A)+1)-'Price History'!L3)*(ROW()-3)/(MATCH(9.99E+307,'Returns (Calc)'!$A:$A)-3),"")</f>
        <v>129.842025316456</v>
      </c>
      <c r="AH21" s="156" t="n">
        <f aca="false">IFERROR('Price History'!M3+(INDEX('Price History'!M:M,MATCH(9.99E+307,'Returns (Calc)'!$A:$A)+1)-'Price History'!M3)*(ROW()-3)/(MATCH(9.99E+307,'Returns (Calc)'!$A:$A)-3),"")</f>
        <v>62.4179746835443</v>
      </c>
      <c r="AI21" s="156" t="n">
        <f aca="false">IFERROR('Price History'!N3+(INDEX('Price History'!N:N,MATCH(9.99E+307,'Returns (Calc)'!$A:$A)+1)-'Price History'!N3)*(ROW()-3)/(MATCH(9.99E+307,'Returns (Calc)'!$A:$A)-3),"")</f>
        <v>366.652784810127</v>
      </c>
      <c r="AJ21" s="156" t="n">
        <f aca="false">IFERROR('Price History'!O3+(INDEX('Price History'!O:O,MATCH(9.99E+307,'Returns (Calc)'!$A:$A)+1)-'Price History'!O3)*(ROW()-3)/(MATCH(9.99E+307,'Returns (Calc)'!$A:$A)-3),"")</f>
        <v>80.4046835443038</v>
      </c>
      <c r="AK21" s="156" t="n">
        <f aca="false">IFERROR('Price History'!Q3+(INDEX('Price History'!Q:Q,MATCH(9.99E+307,'Returns (Calc)'!$A:$A)+1)-'Price History'!Q3)*(ROW()-3)/(MATCH(9.99E+307,'Returns (Calc)'!$A:$A)-3),"")</f>
        <v>7.90860759493671</v>
      </c>
      <c r="AL21" s="156" t="n">
        <f aca="false">IFERROR('Price History'!R3+(INDEX('Price History'!R:R,MATCH(9.99E+307,'Returns (Calc)'!$A:$A)+1)-'Price History'!R3)*(ROW()-3)/(MATCH(9.99E+307,'Returns (Calc)'!$A:$A)-3),"")</f>
        <v>37.5058227848101</v>
      </c>
      <c r="AM21" s="156" t="n">
        <f aca="false">IFERROR('Price History'!S3+(INDEX('Price History'!S:S,MATCH(9.99E+307,'Returns (Calc)'!$A:$A)+1)-'Price History'!S3)*(ROW()-3)/(MATCH(9.99E+307,'Returns (Calc)'!$A:$A)-3),"")</f>
        <v>68.5211392405063</v>
      </c>
      <c r="AN21" s="156" t="n">
        <f aca="false">IFERROR('Price History'!T3+(INDEX('Price History'!T:T,MATCH(9.99E+307,'Returns (Calc)'!$A:$A)+1)-'Price History'!T3)*(ROW()-3)/(MATCH(9.99E+307,'Returns (Calc)'!$A:$A)-3),"")</f>
        <v>28.2681012658228</v>
      </c>
      <c r="AO21" s="157" t="n">
        <f aca="false">IFERROR('Price History'!V3+(INDEX('Price History'!V:V,MATCH(9.99E+307,'Returns (Calc)'!$A:$A)+1)-'Price History'!V3)*(ROW()-3)/(MATCH(9.99E+307,'Returns (Calc)'!$A:$A)-3),"")</f>
        <v>249.873924050633</v>
      </c>
      <c r="AP21" s="155" t="n">
        <f aca="false">IFERROR(IF(OR(NOT(ISNUMBER('Price History'!W22)),NOT(ISNUMBER('Price History'!W21)),'Price History'!W21=0),"",'Price History'!W22/'Price History'!W21-1),"")</f>
        <v>0.0122244681875059</v>
      </c>
      <c r="AQ21" s="155" t="str">
        <f aca="false">IFERROR(IF(OR(NOT(ISNUMBER('Price History'!X22)),NOT(ISNUMBER('Price History'!X21)),'Price History'!X21=0),"",'Price History'!X22/'Price History'!X21-1),"")</f>
        <v/>
      </c>
      <c r="AR21" s="155" t="n">
        <f aca="false">IFERROR(IF(OR(NOT(ISNUMBER('Price History'!Y22)),NOT(ISNUMBER('Price History'!Y21)),'Price History'!Y21=0),"",'Price History'!Y22/'Price History'!Y21-1),"")</f>
        <v>0.00850111856823266</v>
      </c>
      <c r="AS21" s="155" t="n">
        <f aca="false">IFERROR(IF(OR(NOT(ISNUMBER('Price History'!Z22)),NOT(ISNUMBER('Price History'!Z21)),'Price History'!Z21=0),"",'Price History'!Z22/'Price History'!Z21-1),"")</f>
        <v>0.0106799921614738</v>
      </c>
      <c r="AT21" s="155" t="n">
        <f aca="false">IFERROR(IF(OR(NOT(ISNUMBER('Price History'!AA22)),NOT(ISNUMBER('Price History'!AA21)),'Price History'!AA21=0),"",'Price History'!AA22/'Price History'!AA21-1),"")</f>
        <v>0.181196935183268</v>
      </c>
      <c r="AU21" s="155" t="n">
        <f aca="false">IFERROR(IF(OR(NOT(ISNUMBER('Price History'!AB22)),NOT(ISNUMBER('Price History'!AB21)),'Price History'!AB21=0),"",'Price History'!AB22/'Price History'!AB21-1),"")</f>
        <v>0.00762732319575177</v>
      </c>
    </row>
    <row r="22" customFormat="false" ht="15" hidden="false" customHeight="true" outlineLevel="0" collapsed="false">
      <c r="A22" s="153" t="n">
        <f aca="false">IF('Price History'!A23="","",'Price History'!A23)</f>
        <v>45324</v>
      </c>
      <c r="B22" s="154" t="n">
        <f aca="false">IFERROR(IF(OR(NOT(ISNUMBER('Price History'!B23)),NOT(ISNUMBER('Price History'!B22)),'Price History'!B22=0),"",'Price History'!B23/'Price History'!B22-1),"")</f>
        <v>0.0339289495545096</v>
      </c>
      <c r="C22" s="154" t="n">
        <f aca="false">IFERROR(IF(OR(NOT(ISNUMBER('Price History'!C23)),NOT(ISNUMBER('Price History'!C22)),'Price History'!C22=0),"",'Price History'!C23/'Price History'!C22-1),"")</f>
        <v>0.032980332829047</v>
      </c>
      <c r="D22" s="154" t="n">
        <f aca="false">IFERROR(IF(OR(NOT(ISNUMBER('Price History'!D23)),NOT(ISNUMBER('Price History'!D22)),'Price History'!D22=0),"",'Price History'!D23/'Price History'!D22-1),"")</f>
        <v>0.0264078905504295</v>
      </c>
      <c r="E22" s="154" t="n">
        <f aca="false">IFERROR(IF(OR(NOT(ISNUMBER('Price History'!E23)),NOT(ISNUMBER('Price History'!E22)),'Price History'!E22=0),"",'Price History'!E23/'Price History'!E22-1),"")</f>
        <v>0.0161290322580645</v>
      </c>
      <c r="F22" s="154" t="n">
        <f aca="false">IFERROR(IF(OR(NOT(ISNUMBER('Price History'!F23)),NOT(ISNUMBER('Price History'!F22)),'Price History'!F22=0),"",'Price History'!F23/'Price History'!F22-1),"")</f>
        <v>0.0456048498208874</v>
      </c>
      <c r="G22" s="154" t="n">
        <f aca="false">IFERROR(IF(OR(NOT(ISNUMBER('Price History'!G23)),NOT(ISNUMBER('Price History'!G22)),'Price History'!G22=0),"",'Price History'!G23/'Price History'!G22-1),"")</f>
        <v>0.0081785653433295</v>
      </c>
      <c r="H22" s="154" t="n">
        <f aca="false">IFERROR(IF(OR(NOT(ISNUMBER('Price History'!H23)),NOT(ISNUMBER('Price History'!H22)),'Price History'!H22=0),"",'Price History'!H23/'Price History'!H22-1),"")</f>
        <v>-0.0178612319670255</v>
      </c>
      <c r="I22" s="154" t="n">
        <f aca="false">IFERROR(IF(OR(NOT(ISNUMBER('Price History'!I23)),NOT(ISNUMBER('Price History'!I22)),'Price History'!I22=0),"",'Price History'!I23/'Price History'!I22-1),"")</f>
        <v>0.0841413311421528</v>
      </c>
      <c r="J22" s="154" t="n">
        <f aca="false">IFERROR(IF(OR(NOT(ISNUMBER('Price History'!J23)),NOT(ISNUMBER('Price History'!J22)),'Price History'!J22=0),"",'Price History'!J23/'Price History'!J22-1),"")</f>
        <v>0.0187181920124211</v>
      </c>
      <c r="K22" s="154" t="n">
        <f aca="false">IFERROR(IF(OR(NOT(ISNUMBER('Price History'!K23)),NOT(ISNUMBER('Price History'!K22)),'Price History'!K22=0),"",'Price History'!K23/'Price History'!K22-1),"")</f>
        <v>0.0409785932721711</v>
      </c>
      <c r="L22" s="154" t="n">
        <f aca="false">IFERROR(IF(OR(NOT(ISNUMBER('Price History'!L23)),NOT(ISNUMBER('Price History'!L22)),'Price History'!L22=0),"",'Price History'!L23/'Price History'!L22-1),"")</f>
        <v>-0.0128975265017669</v>
      </c>
      <c r="M22" s="154" t="n">
        <f aca="false">IFERROR(IF(OR(NOT(ISNUMBER('Price History'!M23)),NOT(ISNUMBER('Price History'!M22)),'Price History'!M22=0),"",'Price History'!M23/'Price History'!M22-1),"")</f>
        <v>0.149962462462462</v>
      </c>
      <c r="N22" s="154" t="n">
        <f aca="false">IFERROR(IF(OR(NOT(ISNUMBER('Price History'!N23)),NOT(ISNUMBER('Price History'!N22)),'Price History'!N22=0),"",'Price History'!N23/'Price History'!N22-1),"")</f>
        <v>-0.012762396261943</v>
      </c>
      <c r="O22" s="154" t="n">
        <f aca="false">IFERROR(IF(OR(NOT(ISNUMBER('Price History'!O23)),NOT(ISNUMBER('Price History'!O22)),'Price History'!O22=0),"",'Price History'!O23/'Price History'!O22-1),"")</f>
        <v>-0.0186926875146956</v>
      </c>
      <c r="P22" s="154" t="n">
        <f aca="false">IFERROR(IF(OR(NOT(ISNUMBER('Price History'!P23)),NOT(ISNUMBER('Price History'!P22)),'Price History'!P22=0),"",'Price History'!P23/'Price History'!P22-1),"")</f>
        <v>-0.0128580883048123</v>
      </c>
      <c r="Q22" s="154" t="n">
        <f aca="false">IFERROR(IF(OR(NOT(ISNUMBER('Price History'!Q23)),NOT(ISNUMBER('Price History'!Q22)),'Price History'!Q22=0),"",'Price History'!Q23/'Price History'!Q22-1),"")</f>
        <v>0.0141750141750141</v>
      </c>
      <c r="R22" s="154" t="n">
        <f aca="false">IFERROR(IF(OR(NOT(ISNUMBER('Price History'!R23)),NOT(ISNUMBER('Price History'!R22)),'Price History'!R22=0),"",'Price History'!R23/'Price History'!R22-1),"")</f>
        <v>0.0096504955659884</v>
      </c>
      <c r="S22" s="154" t="n">
        <f aca="false">IFERROR(IF(OR(NOT(ISNUMBER('Price History'!S23)),NOT(ISNUMBER('Price History'!S22)),'Price History'!S22=0),"",'Price History'!S23/'Price History'!S22-1),"")</f>
        <v>0.0457084068195179</v>
      </c>
      <c r="T22" s="154" t="n">
        <f aca="false">IFERROR(IF(OR(NOT(ISNUMBER('Price History'!T23)),NOT(ISNUMBER('Price History'!T22)),'Price History'!T22=0),"",'Price History'!T23/'Price History'!T22-1),"")</f>
        <v>0.00954128440366975</v>
      </c>
      <c r="U22" s="154" t="n">
        <f aca="false">IFERROR(IF(OR(NOT(ISNUMBER('Price History'!U23)),NOT(ISNUMBER('Price History'!U22)),'Price History'!U22=0),"",'Price History'!U23/'Price History'!U22-1),"")</f>
        <v>-0.000430107526881773</v>
      </c>
      <c r="V22" s="155" t="n">
        <f aca="false">IFERROR(IF(OR(NOT(ISNUMBER('Price History'!V23)),NOT(ISNUMBER('Price History'!V22)),'Price History'!V22=0),"",'Price History'!V23/'Price History'!V22-1),"")</f>
        <v>0.0344814447915873</v>
      </c>
      <c r="W22" s="156" t="n">
        <f aca="false">IFERROR('Price History'!B3+(INDEX('Price History'!B:B,MATCH(9.99E+307,'Returns (Calc)'!$A:$A)+1)-'Price History'!B3)*(ROW()-3)/(MATCH(9.99E+307,'Returns (Calc)'!$A:$A)-3),"")</f>
        <v>493.872278481013</v>
      </c>
      <c r="X22" s="156" t="n">
        <f aca="false">IFERROR('Price History'!C3+(INDEX('Price History'!C:C,MATCH(9.99E+307,'Returns (Calc)'!$A:$A)+1)-'Price History'!C3)*(ROW()-3)/(MATCH(9.99E+307,'Returns (Calc)'!$A:$A)-3),"")</f>
        <v>65.5612025316456</v>
      </c>
      <c r="Y22" s="156" t="n">
        <f aca="false">IFERROR('Price History'!D3+(INDEX('Price History'!D:D,MATCH(9.99E+307,'Returns (Calc)'!$A:$A)+1)-'Price History'!D3)*(ROW()-3)/(MATCH(9.99E+307,'Returns (Calc)'!$A:$A)-3),"")</f>
        <v>736.571392405063</v>
      </c>
      <c r="Z22" s="156" t="n">
        <f aca="false">IFERROR('Price History'!E3+(INDEX('Price History'!E:E,MATCH(9.99E+307,'Returns (Calc)'!$A:$A)+1)-'Price History'!E3)*(ROW()-3)/(MATCH(9.99E+307,'Returns (Calc)'!$A:$A)-3),"")</f>
        <v>114.845949367089</v>
      </c>
      <c r="AA22" s="156" t="n">
        <f aca="false">IFERROR('Price History'!F3+(INDEX('Price History'!F:F,MATCH(9.99E+307,'Returns (Calc)'!$A:$A)+1)-'Price History'!F3)*(ROW()-3)/(MATCH(9.99E+307,'Returns (Calc)'!$A:$A)-3),"")</f>
        <v>68.8594936708861</v>
      </c>
      <c r="AB22" s="156" t="n">
        <f aca="false">IFERROR('Price History'!G3+(INDEX('Price History'!G:G,MATCH(9.99E+307,'Returns (Calc)'!$A:$A)+1)-'Price History'!G3)*(ROW()-3)/(MATCH(9.99E+307,'Returns (Calc)'!$A:$A)-3),"")</f>
        <v>63.8959493670886</v>
      </c>
      <c r="AC22" s="156" t="n">
        <f aca="false">IFERROR('Price History'!H3+(INDEX('Price History'!H:H,MATCH(9.99E+307,'Returns (Calc)'!$A:$A)+1)-'Price History'!H3)*(ROW()-3)/(MATCH(9.99E+307,'Returns (Calc)'!$A:$A)-3),"")</f>
        <v>190.058227848101</v>
      </c>
      <c r="AD22" s="156" t="n">
        <f aca="false">IFERROR('Price History'!I3+(INDEX('Price History'!I:I,MATCH(9.99E+307,'Returns (Calc)'!$A:$A)+1)-'Price History'!I3)*(ROW()-3)/(MATCH(9.99E+307,'Returns (Calc)'!$A:$A)-3),"")</f>
        <v>66.639746835443</v>
      </c>
      <c r="AE22" s="156" t="n">
        <f aca="false">IFERROR('Price History'!J3+(INDEX('Price History'!J:J,MATCH(9.99E+307,'Returns (Calc)'!$A:$A)+1)-'Price History'!J3)*(ROW()-3)/(MATCH(9.99E+307,'Returns (Calc)'!$A:$A)-3),"")</f>
        <v>113.892721518987</v>
      </c>
      <c r="AF22" s="156" t="n">
        <f aca="false">IFERROR('Price History'!K3+(INDEX('Price History'!K:K,MATCH(9.99E+307,'Returns (Calc)'!$A:$A)+1)-'Price History'!K3)*(ROW()-3)/(MATCH(9.99E+307,'Returns (Calc)'!$A:$A)-3),"")</f>
        <v>36.1843037974684</v>
      </c>
      <c r="AG22" s="156" t="n">
        <f aca="false">IFERROR('Price History'!L3+(INDEX('Price History'!L:L,MATCH(9.99E+307,'Returns (Calc)'!$A:$A)+1)-'Price History'!L3)*(ROW()-3)/(MATCH(9.99E+307,'Returns (Calc)'!$A:$A)-3),"")</f>
        <v>132.291582278481</v>
      </c>
      <c r="AH22" s="156" t="n">
        <f aca="false">IFERROR('Price History'!M3+(INDEX('Price History'!M:M,MATCH(9.99E+307,'Returns (Calc)'!$A:$A)+1)-'Price History'!M3)*(ROW()-3)/(MATCH(9.99E+307,'Returns (Calc)'!$A:$A)-3),"")</f>
        <v>63.773417721519</v>
      </c>
      <c r="AI22" s="156" t="n">
        <f aca="false">IFERROR('Price History'!N3+(INDEX('Price History'!N:N,MATCH(9.99E+307,'Returns (Calc)'!$A:$A)+1)-'Price History'!N3)*(ROW()-3)/(MATCH(9.99E+307,'Returns (Calc)'!$A:$A)-3),"")</f>
        <v>367.639050632911</v>
      </c>
      <c r="AJ22" s="156" t="n">
        <f aca="false">IFERROR('Price History'!O3+(INDEX('Price History'!O:O,MATCH(9.99E+307,'Returns (Calc)'!$A:$A)+1)-'Price History'!O3)*(ROW()-3)/(MATCH(9.99E+307,'Returns (Calc)'!$A:$A)-3),"")</f>
        <v>80.6877215189874</v>
      </c>
      <c r="AK22" s="156" t="n">
        <f aca="false">IFERROR('Price History'!Q3+(INDEX('Price History'!Q:Q,MATCH(9.99E+307,'Returns (Calc)'!$A:$A)+1)-'Price History'!Q3)*(ROW()-3)/(MATCH(9.99E+307,'Returns (Calc)'!$A:$A)-3),"")</f>
        <v>8.3479746835443</v>
      </c>
      <c r="AL22" s="156" t="n">
        <f aca="false">IFERROR('Price History'!R3+(INDEX('Price History'!R:R,MATCH(9.99E+307,'Returns (Calc)'!$A:$A)+1)-'Price History'!R3)*(ROW()-3)/(MATCH(9.99E+307,'Returns (Calc)'!$A:$A)-3),"")</f>
        <v>37.6739240506329</v>
      </c>
      <c r="AM22" s="156" t="n">
        <f aca="false">IFERROR('Price History'!S3+(INDEX('Price History'!S:S,MATCH(9.99E+307,'Returns (Calc)'!$A:$A)+1)-'Price History'!S3)*(ROW()-3)/(MATCH(9.99E+307,'Returns (Calc)'!$A:$A)-3),"")</f>
        <v>69.1262025316456</v>
      </c>
      <c r="AN22" s="156" t="n">
        <f aca="false">IFERROR('Price History'!T3+(INDEX('Price History'!T:T,MATCH(9.99E+307,'Returns (Calc)'!$A:$A)+1)-'Price History'!T3)*(ROW()-3)/(MATCH(9.99E+307,'Returns (Calc)'!$A:$A)-3),"")</f>
        <v>28.4363291139241</v>
      </c>
      <c r="AO22" s="157" t="n">
        <f aca="false">IFERROR('Price History'!V3+(INDEX('Price History'!V:V,MATCH(9.99E+307,'Returns (Calc)'!$A:$A)+1)-'Price History'!V3)*(ROW()-3)/(MATCH(9.99E+307,'Returns (Calc)'!$A:$A)-3),"")</f>
        <v>250.665253164557</v>
      </c>
      <c r="AP22" s="155" t="n">
        <f aca="false">IFERROR(IF(OR(NOT(ISNUMBER('Price History'!W23)),NOT(ISNUMBER('Price History'!W22)),'Price History'!W22=0),"",'Price History'!W23/'Price History'!W22-1),"")</f>
        <v>0.0012362114872575</v>
      </c>
      <c r="AQ22" s="155" t="str">
        <f aca="false">IFERROR(IF(OR(NOT(ISNUMBER('Price History'!X23)),NOT(ISNUMBER('Price History'!X22)),'Price History'!X22=0),"",'Price History'!X23/'Price History'!X22-1),"")</f>
        <v/>
      </c>
      <c r="AR22" s="155" t="n">
        <f aca="false">IFERROR(IF(OR(NOT(ISNUMBER('Price History'!Y23)),NOT(ISNUMBER('Price History'!Y22)),'Price History'!Y22=0),"",'Price History'!Y23/'Price History'!Y22-1),"")</f>
        <v>0.00998225377107365</v>
      </c>
      <c r="AS22" s="155" t="n">
        <f aca="false">IFERROR(IF(OR(NOT(ISNUMBER('Price History'!Z23)),NOT(ISNUMBER('Price History'!Z22)),'Price History'!Z22=0),"",'Price History'!Z23/'Price History'!Z22-1),"")</f>
        <v>0.0407174018419776</v>
      </c>
      <c r="AT22" s="155" t="n">
        <f aca="false">IFERROR(IF(OR(NOT(ISNUMBER('Price History'!AA23)),NOT(ISNUMBER('Price History'!AA22)),'Price History'!AA22=0),"",'Price History'!AA23/'Price History'!AA22-1),"")</f>
        <v>-0.0101683029453015</v>
      </c>
      <c r="AU22" s="155" t="n">
        <f aca="false">IFERROR(IF(OR(NOT(ISNUMBER('Price History'!AB23)),NOT(ISNUMBER('Price History'!AB22)),'Price History'!AB22=0),"",'Price History'!AB23/'Price History'!AB22-1),"")</f>
        <v>-0.00924639486417855</v>
      </c>
    </row>
    <row r="23" customFormat="false" ht="15" hidden="false" customHeight="true" outlineLevel="0" collapsed="false">
      <c r="A23" s="153" t="n">
        <f aca="false">IF('Price History'!A24="","",'Price History'!A24)</f>
        <v>45331</v>
      </c>
      <c r="B23" s="154" t="n">
        <f aca="false">IFERROR(IF(OR(NOT(ISNUMBER('Price History'!B24)),NOT(ISNUMBER('Price History'!B23)),'Price History'!B23=0),"",'Price History'!B24/'Price History'!B23-1),"")</f>
        <v>-0.0118942592475896</v>
      </c>
      <c r="C23" s="154" t="n">
        <f aca="false">IFERROR(IF(OR(NOT(ISNUMBER('Price History'!C24)),NOT(ISNUMBER('Price History'!C23)),'Price History'!C23=0),"",'Price History'!C24/'Price History'!C23-1),"")</f>
        <v>0.0341241944932631</v>
      </c>
      <c r="D23" s="154" t="n">
        <f aca="false">IFERROR(IF(OR(NOT(ISNUMBER('Price History'!D24)),NOT(ISNUMBER('Price History'!D23)),'Price History'!D23=0),"",'Price History'!D24/'Price History'!D23-1),"")</f>
        <v>0.0680466579412642</v>
      </c>
      <c r="E23" s="154" t="n">
        <f aca="false">IFERROR(IF(OR(NOT(ISNUMBER('Price History'!E24)),NOT(ISNUMBER('Price History'!E23)),'Price History'!E23=0),"",'Price History'!E24/'Price History'!E23-1),"")</f>
        <v>0.0482909213067944</v>
      </c>
      <c r="F23" s="154" t="n">
        <f aca="false">IFERROR(IF(OR(NOT(ISNUMBER('Price History'!F24)),NOT(ISNUMBER('Price History'!F23)),'Price History'!F23=0),"",'Price History'!F24/'Price History'!F23-1),"")</f>
        <v>0.0848596653050469</v>
      </c>
      <c r="G23" s="154" t="n">
        <f aca="false">IFERROR(IF(OR(NOT(ISNUMBER('Price History'!G24)),NOT(ISNUMBER('Price History'!G23)),'Price History'!G23=0),"",'Price History'!G24/'Price History'!G23-1),"")</f>
        <v>0.0753760351529491</v>
      </c>
      <c r="H23" s="154" t="n">
        <f aca="false">IFERROR(IF(OR(NOT(ISNUMBER('Price History'!H24)),NOT(ISNUMBER('Price History'!H23)),'Price History'!H23=0),"",'Price History'!H24/'Price History'!H23-1),"")</f>
        <v>-0.0106085334576824</v>
      </c>
      <c r="I23" s="154" t="n">
        <f aca="false">IFERROR(IF(OR(NOT(ISNUMBER('Price History'!I24)),NOT(ISNUMBER('Price History'!I23)),'Price History'!I23=0),"",'Price History'!I24/'Price History'!I23-1),"")</f>
        <v>0.0901925117477642</v>
      </c>
      <c r="J23" s="154" t="n">
        <f aca="false">IFERROR(IF(OR(NOT(ISNUMBER('Price History'!J24)),NOT(ISNUMBER('Price History'!J23)),'Price History'!J23=0),"",'Price History'!J24/'Price History'!J23-1),"")</f>
        <v>0.0249788314987298</v>
      </c>
      <c r="K23" s="154" t="n">
        <f aca="false">IFERROR(IF(OR(NOT(ISNUMBER('Price History'!K24)),NOT(ISNUMBER('Price History'!K23)),'Price History'!K23=0),"",'Price History'!K24/'Price History'!K23-1),"")</f>
        <v>0.432432432432432</v>
      </c>
      <c r="L23" s="154" t="n">
        <f aca="false">IFERROR(IF(OR(NOT(ISNUMBER('Price History'!L24)),NOT(ISNUMBER('Price History'!L23)),'Price History'!L23=0),"",'Price History'!L24/'Price History'!L23-1),"")</f>
        <v>0.149991050653302</v>
      </c>
      <c r="M23" s="154" t="n">
        <f aca="false">IFERROR(IF(OR(NOT(ISNUMBER('Price History'!M24)),NOT(ISNUMBER('Price History'!M23)),'Price History'!M23=0),"",'Price History'!M24/'Price History'!M23-1),"")</f>
        <v>0.0332952505304391</v>
      </c>
      <c r="N23" s="154" t="n">
        <f aca="false">IFERROR(IF(OR(NOT(ISNUMBER('Price History'!N24)),NOT(ISNUMBER('Price History'!N23)),'Price History'!N23=0),"",'Price History'!N24/'Price History'!N23-1),"")</f>
        <v>-0.00416784402373549</v>
      </c>
      <c r="O23" s="154" t="n">
        <f aca="false">IFERROR(IF(OR(NOT(ISNUMBER('Price History'!O24)),NOT(ISNUMBER('Price History'!O23)),'Price History'!O23=0),"",'Price History'!O24/'Price History'!O23-1),"")</f>
        <v>0.00898526416676648</v>
      </c>
      <c r="P23" s="154" t="n">
        <f aca="false">IFERROR(IF(OR(NOT(ISNUMBER('Price History'!P24)),NOT(ISNUMBER('Price History'!P23)),'Price History'!P23=0),"",'Price History'!P24/'Price History'!P23-1),"")</f>
        <v>-0.00890719279762464</v>
      </c>
      <c r="Q23" s="154" t="n">
        <f aca="false">IFERROR(IF(OR(NOT(ISNUMBER('Price History'!Q24)),NOT(ISNUMBER('Price History'!Q23)),'Price History'!Q23=0),"",'Price History'!Q24/'Price History'!Q23-1),"")</f>
        <v>0.00428624673872546</v>
      </c>
      <c r="R23" s="154" t="n">
        <f aca="false">IFERROR(IF(OR(NOT(ISNUMBER('Price History'!R24)),NOT(ISNUMBER('Price History'!R23)),'Price History'!R23=0),"",'Price History'!R24/'Price History'!R23-1),"")</f>
        <v>0.0105915784035133</v>
      </c>
      <c r="S23" s="154" t="n">
        <f aca="false">IFERROR(IF(OR(NOT(ISNUMBER('Price History'!S24)),NOT(ISNUMBER('Price History'!S23)),'Price History'!S23=0),"",'Price History'!S24/'Price History'!S23-1),"")</f>
        <v>0.0238931834153195</v>
      </c>
      <c r="T23" s="154" t="n">
        <f aca="false">IFERROR(IF(OR(NOT(ISNUMBER('Price History'!T24)),NOT(ISNUMBER('Price History'!T23)),'Price History'!T23=0),"",'Price History'!T24/'Price History'!T23-1),"")</f>
        <v>0.00508905852417296</v>
      </c>
      <c r="U23" s="154" t="n">
        <f aca="false">IFERROR(IF(OR(NOT(ISNUMBER('Price History'!U24)),NOT(ISNUMBER('Price History'!U23)),'Price History'!U23=0),"",'Price History'!U24/'Price History'!U23-1),"")</f>
        <v>-0.00258175559380369</v>
      </c>
      <c r="V23" s="155" t="n">
        <f aca="false">IFERROR(IF(OR(NOT(ISNUMBER('Price History'!V24)),NOT(ISNUMBER('Price History'!V23)),'Price History'!V23=0),"",'Price History'!V24/'Price History'!V23-1),"")</f>
        <v>-0.000847114286766648</v>
      </c>
      <c r="W23" s="156" t="n">
        <f aca="false">IFERROR('Price History'!B3+(INDEX('Price History'!B:B,MATCH(9.99E+307,'Returns (Calc)'!$A:$A)+1)-'Price History'!B3)*(ROW()-3)/(MATCH(9.99E+307,'Returns (Calc)'!$A:$A)-3),"")</f>
        <v>492.029240506329</v>
      </c>
      <c r="X23" s="156" t="n">
        <f aca="false">IFERROR('Price History'!C3+(INDEX('Price History'!C:C,MATCH(9.99E+307,'Returns (Calc)'!$A:$A)+1)-'Price History'!C3)*(ROW()-3)/(MATCH(9.99E+307,'Returns (Calc)'!$A:$A)-3),"")</f>
        <v>66.5812658227848</v>
      </c>
      <c r="Y23" s="156" t="n">
        <f aca="false">IFERROR('Price History'!D3+(INDEX('Price History'!D:D,MATCH(9.99E+307,'Returns (Calc)'!$A:$A)+1)-'Price History'!D3)*(ROW()-3)/(MATCH(9.99E+307,'Returns (Calc)'!$A:$A)-3),"")</f>
        <v>744.706202531646</v>
      </c>
      <c r="Z23" s="156" t="n">
        <f aca="false">IFERROR('Price History'!E3+(INDEX('Price History'!E:E,MATCH(9.99E+307,'Returns (Calc)'!$A:$A)+1)-'Price History'!E3)*(ROW()-3)/(MATCH(9.99E+307,'Returns (Calc)'!$A:$A)-3),"")</f>
        <v>116.574683544304</v>
      </c>
      <c r="AA23" s="156" t="n">
        <f aca="false">IFERROR('Price History'!F3+(INDEX('Price History'!F:F,MATCH(9.99E+307,'Returns (Calc)'!$A:$A)+1)-'Price History'!F3)*(ROW()-3)/(MATCH(9.99E+307,'Returns (Calc)'!$A:$A)-3),"")</f>
        <v>70.306835443038</v>
      </c>
      <c r="AB23" s="156" t="n">
        <f aca="false">IFERROR('Price History'!G3+(INDEX('Price History'!G:G,MATCH(9.99E+307,'Returns (Calc)'!$A:$A)+1)-'Price History'!G3)*(ROW()-3)/(MATCH(9.99E+307,'Returns (Calc)'!$A:$A)-3),"")</f>
        <v>64.9246835443038</v>
      </c>
      <c r="AC23" s="156" t="n">
        <f aca="false">IFERROR('Price History'!H3+(INDEX('Price History'!H:H,MATCH(9.99E+307,'Returns (Calc)'!$A:$A)+1)-'Price History'!H3)*(ROW()-3)/(MATCH(9.99E+307,'Returns (Calc)'!$A:$A)-3),"")</f>
        <v>196.423924050633</v>
      </c>
      <c r="AD23" s="156" t="n">
        <f aca="false">IFERROR('Price History'!I3+(INDEX('Price History'!I:I,MATCH(9.99E+307,'Returns (Calc)'!$A:$A)+1)-'Price History'!I3)*(ROW()-3)/(MATCH(9.99E+307,'Returns (Calc)'!$A:$A)-3),"")</f>
        <v>67.843417721519</v>
      </c>
      <c r="AE23" s="156" t="n">
        <f aca="false">IFERROR('Price History'!J3+(INDEX('Price History'!J:J,MATCH(9.99E+307,'Returns (Calc)'!$A:$A)+1)-'Price History'!J3)*(ROW()-3)/(MATCH(9.99E+307,'Returns (Calc)'!$A:$A)-3),"")</f>
        <v>114.000759493671</v>
      </c>
      <c r="AF23" s="156" t="n">
        <f aca="false">IFERROR('Price History'!K3+(INDEX('Price History'!K:K,MATCH(9.99E+307,'Returns (Calc)'!$A:$A)+1)-'Price History'!K3)*(ROW()-3)/(MATCH(9.99E+307,'Returns (Calc)'!$A:$A)-3),"")</f>
        <v>37.2818987341772</v>
      </c>
      <c r="AG23" s="156" t="n">
        <f aca="false">IFERROR('Price History'!L3+(INDEX('Price History'!L:L,MATCH(9.99E+307,'Returns (Calc)'!$A:$A)+1)-'Price History'!L3)*(ROW()-3)/(MATCH(9.99E+307,'Returns (Calc)'!$A:$A)-3),"")</f>
        <v>134.741139240506</v>
      </c>
      <c r="AH23" s="156" t="n">
        <f aca="false">IFERROR('Price History'!M3+(INDEX('Price History'!M:M,MATCH(9.99E+307,'Returns (Calc)'!$A:$A)+1)-'Price History'!M3)*(ROW()-3)/(MATCH(9.99E+307,'Returns (Calc)'!$A:$A)-3),"")</f>
        <v>65.1288607594937</v>
      </c>
      <c r="AI23" s="156" t="n">
        <f aca="false">IFERROR('Price History'!N3+(INDEX('Price History'!N:N,MATCH(9.99E+307,'Returns (Calc)'!$A:$A)+1)-'Price History'!N3)*(ROW()-3)/(MATCH(9.99E+307,'Returns (Calc)'!$A:$A)-3),"")</f>
        <v>368.625316455696</v>
      </c>
      <c r="AJ23" s="156" t="n">
        <f aca="false">IFERROR('Price History'!O3+(INDEX('Price History'!O:O,MATCH(9.99E+307,'Returns (Calc)'!$A:$A)+1)-'Price History'!O3)*(ROW()-3)/(MATCH(9.99E+307,'Returns (Calc)'!$A:$A)-3),"")</f>
        <v>80.9707594936709</v>
      </c>
      <c r="AK23" s="156" t="n">
        <f aca="false">IFERROR('Price History'!Q3+(INDEX('Price History'!Q:Q,MATCH(9.99E+307,'Returns (Calc)'!$A:$A)+1)-'Price History'!Q3)*(ROW()-3)/(MATCH(9.99E+307,'Returns (Calc)'!$A:$A)-3),"")</f>
        <v>8.7873417721519</v>
      </c>
      <c r="AL23" s="156" t="n">
        <f aca="false">IFERROR('Price History'!R3+(INDEX('Price History'!R:R,MATCH(9.99E+307,'Returns (Calc)'!$A:$A)+1)-'Price History'!R3)*(ROW()-3)/(MATCH(9.99E+307,'Returns (Calc)'!$A:$A)-3),"")</f>
        <v>37.8420253164557</v>
      </c>
      <c r="AM23" s="156" t="n">
        <f aca="false">IFERROR('Price History'!S3+(INDEX('Price History'!S:S,MATCH(9.99E+307,'Returns (Calc)'!$A:$A)+1)-'Price History'!S3)*(ROW()-3)/(MATCH(9.99E+307,'Returns (Calc)'!$A:$A)-3),"")</f>
        <v>69.7312658227848</v>
      </c>
      <c r="AN23" s="156" t="n">
        <f aca="false">IFERROR('Price History'!T3+(INDEX('Price History'!T:T,MATCH(9.99E+307,'Returns (Calc)'!$A:$A)+1)-'Price History'!T3)*(ROW()-3)/(MATCH(9.99E+307,'Returns (Calc)'!$A:$A)-3),"")</f>
        <v>28.6045569620253</v>
      </c>
      <c r="AO23" s="157" t="n">
        <f aca="false">IFERROR('Price History'!V3+(INDEX('Price History'!V:V,MATCH(9.99E+307,'Returns (Calc)'!$A:$A)+1)-'Price History'!V3)*(ROW()-3)/(MATCH(9.99E+307,'Returns (Calc)'!$A:$A)-3),"")</f>
        <v>251.456582278481</v>
      </c>
      <c r="AP23" s="155" t="n">
        <f aca="false">IFERROR(IF(OR(NOT(ISNUMBER('Price History'!W24)),NOT(ISNUMBER('Price History'!W23)),'Price History'!W23=0),"",'Price History'!W24/'Price History'!W23-1),"")</f>
        <v>-0.00218444296704345</v>
      </c>
      <c r="AQ23" s="155" t="str">
        <f aca="false">IFERROR(IF(OR(NOT(ISNUMBER('Price History'!X24)),NOT(ISNUMBER('Price History'!X23)),'Price History'!X23=0),"",'Price History'!X24/'Price History'!X23-1),"")</f>
        <v/>
      </c>
      <c r="AR23" s="155" t="n">
        <f aca="false">IFERROR(IF(OR(NOT(ISNUMBER('Price History'!Y24)),NOT(ISNUMBER('Price History'!Y23)),'Price History'!Y23=0),"",'Price History'!Y24/'Price History'!Y23-1),"")</f>
        <v>-0.000658906215681987</v>
      </c>
      <c r="AS23" s="155" t="n">
        <f aca="false">IFERROR(IF(OR(NOT(ISNUMBER('Price History'!Z24)),NOT(ISNUMBER('Price History'!Z23)),'Price History'!Z23=0),"",'Price History'!Z24/'Price History'!Z23-1),"")</f>
        <v>0.0201210992081975</v>
      </c>
      <c r="AT23" s="155" t="n">
        <f aca="false">IFERROR(IF(OR(NOT(ISNUMBER('Price History'!AA24)),NOT(ISNUMBER('Price History'!AA23)),'Price History'!AA23=0),"",'Price History'!AA24/'Price History'!AA23-1),"")</f>
        <v>-0.00584484590860779</v>
      </c>
      <c r="AU23" s="155" t="n">
        <f aca="false">IFERROR(IF(OR(NOT(ISNUMBER('Price History'!AB24)),NOT(ISNUMBER('Price History'!AB23)),'Price History'!AB23=0),"",'Price History'!AB24/'Price History'!AB23-1),"")</f>
        <v>0.0481624758220502</v>
      </c>
    </row>
    <row r="24" customFormat="false" ht="15" hidden="false" customHeight="true" outlineLevel="0" collapsed="false">
      <c r="A24" s="153" t="n">
        <f aca="false">IF('Price History'!A25="","",'Price History'!A25)</f>
        <v>45338</v>
      </c>
      <c r="B24" s="154" t="n">
        <f aca="false">IFERROR(IF(OR(NOT(ISNUMBER('Price History'!B25)),NOT(ISNUMBER('Price History'!B24)),'Price History'!B24=0),"",'Price History'!B25/'Price History'!B24-1),"")</f>
        <v>-0.128425886066868</v>
      </c>
      <c r="C24" s="154" t="n">
        <f aca="false">IFERROR(IF(OR(NOT(ISNUMBER('Price History'!C25)),NOT(ISNUMBER('Price History'!C24)),'Price History'!C24=0),"",'Price History'!C25/'Price History'!C24-1),"")</f>
        <v>-0.0732190907803427</v>
      </c>
      <c r="D24" s="154" t="n">
        <f aca="false">IFERROR(IF(OR(NOT(ISNUMBER('Price History'!D25)),NOT(ISNUMBER('Price History'!D24)),'Price History'!D24=0),"",'Price History'!D25/'Price History'!D24-1),"")</f>
        <v>-0.0217566565264595</v>
      </c>
      <c r="E24" s="154" t="n">
        <f aca="false">IFERROR(IF(OR(NOT(ISNUMBER('Price History'!E25)),NOT(ISNUMBER('Price History'!E24)),'Price History'!E24=0),"",'Price History'!E25/'Price History'!E24-1),"")</f>
        <v>-0.0296426854670725</v>
      </c>
      <c r="F24" s="154" t="n">
        <f aca="false">IFERROR(IF(OR(NOT(ISNUMBER('Price History'!F25)),NOT(ISNUMBER('Price History'!F24)),'Price History'!F24=0),"",'Price History'!F25/'Price History'!F24-1),"")</f>
        <v>-0.000242924814769729</v>
      </c>
      <c r="G24" s="154" t="n">
        <f aca="false">IFERROR(IF(OR(NOT(ISNUMBER('Price History'!G25)),NOT(ISNUMBER('Price History'!G24)),'Price History'!G24=0),"",'Price History'!G25/'Price History'!G24-1),"")</f>
        <v>0.0199591387710201</v>
      </c>
      <c r="H24" s="154" t="n">
        <f aca="false">IFERROR(IF(OR(NOT(ISNUMBER('Price History'!H25)),NOT(ISNUMBER('Price History'!H24)),'Price History'!H24=0),"",'Price History'!H25/'Price History'!H24-1),"")</f>
        <v>-0.0708141864027336</v>
      </c>
      <c r="I24" s="154" t="n">
        <f aca="false">IFERROR(IF(OR(NOT(ISNUMBER('Price History'!I25)),NOT(ISNUMBER('Price History'!I24)),'Price History'!I24=0),"",'Price History'!I25/'Price History'!I24-1),"")</f>
        <v>0.00667408231368194</v>
      </c>
      <c r="J24" s="154" t="n">
        <f aca="false">IFERROR(IF(OR(NOT(ISNUMBER('Price History'!J25)),NOT(ISNUMBER('Price History'!J24)),'Price History'!J24=0),"",'Price History'!J25/'Price History'!J24-1),"")</f>
        <v>0.00685667079719132</v>
      </c>
      <c r="K24" s="154" t="n">
        <f aca="false">IFERROR(IF(OR(NOT(ISNUMBER('Price History'!K25)),NOT(ISNUMBER('Price History'!K24)),'Price History'!K24=0),"",'Price History'!K25/'Price History'!K24-1),"")</f>
        <v>0.00246103363412642</v>
      </c>
      <c r="L24" s="154" t="n">
        <f aca="false">IFERROR(IF(OR(NOT(ISNUMBER('Price History'!L25)),NOT(ISNUMBER('Price History'!L24)),'Price History'!L24=0),"",'Price History'!L25/'Price History'!L24-1),"")</f>
        <v>-0.0482490272373541</v>
      </c>
      <c r="M24" s="154" t="n">
        <f aca="false">IFERROR(IF(OR(NOT(ISNUMBER('Price History'!M25)),NOT(ISNUMBER('Price History'!M24)),'Price History'!M24=0),"",'Price History'!M25/'Price History'!M24-1),"")</f>
        <v>-0.00868741115147698</v>
      </c>
      <c r="N24" s="154" t="n">
        <f aca="false">IFERROR(IF(OR(NOT(ISNUMBER('Price History'!N25)),NOT(ISNUMBER('Price History'!N24)),'Price History'!N24=0),"",'Price History'!N25/'Price History'!N24-1),"")</f>
        <v>-0.00167884419852937</v>
      </c>
      <c r="O24" s="154" t="n">
        <f aca="false">IFERROR(IF(OR(NOT(ISNUMBER('Price History'!O25)),NOT(ISNUMBER('Price History'!O24)),'Price History'!O24=0),"",'Price History'!O25/'Price History'!O24-1),"")</f>
        <v>0.00712419852766555</v>
      </c>
      <c r="P24" s="154" t="n">
        <f aca="false">IFERROR(IF(OR(NOT(ISNUMBER('Price History'!P25)),NOT(ISNUMBER('Price History'!P24)),'Price History'!P24=0),"",'Price History'!P25/'Price History'!P24-1),"")</f>
        <v>0.011693080788558</v>
      </c>
      <c r="Q24" s="154" t="n">
        <f aca="false">IFERROR(IF(OR(NOT(ISNUMBER('Price History'!Q25)),NOT(ISNUMBER('Price History'!Q24)),'Price History'!Q24=0),"",'Price History'!Q25/'Price History'!Q24-1),"")</f>
        <v>-0.00556689552792722</v>
      </c>
      <c r="R24" s="154" t="n">
        <f aca="false">IFERROR(IF(OR(NOT(ISNUMBER('Price History'!R25)),NOT(ISNUMBER('Price History'!R24)),'Price History'!R24=0),"",'Price History'!R25/'Price History'!R24-1),"")</f>
        <v>-0.00332310838445793</v>
      </c>
      <c r="S24" s="154" t="n">
        <f aca="false">IFERROR(IF(OR(NOT(ISNUMBER('Price History'!S25)),NOT(ISNUMBER('Price History'!S24)),'Price History'!S24=0),"",'Price History'!S25/'Price History'!S24-1),"")</f>
        <v>0.00837336993822913</v>
      </c>
      <c r="T24" s="154" t="n">
        <f aca="false">IFERROR(IF(OR(NOT(ISNUMBER('Price History'!T25)),NOT(ISNUMBER('Price History'!T24)),'Price History'!T24=0),"",'Price History'!T25/'Price History'!T24-1),"")</f>
        <v>0.00831826401446656</v>
      </c>
      <c r="U24" s="154" t="n">
        <f aca="false">IFERROR(IF(OR(NOT(ISNUMBER('Price History'!U25)),NOT(ISNUMBER('Price History'!U24)),'Price History'!U24=0),"",'Price History'!U25/'Price History'!U24-1),"")</f>
        <v>0.002588438308887</v>
      </c>
      <c r="V24" s="155" t="n">
        <f aca="false">IFERROR(IF(OR(NOT(ISNUMBER('Price History'!V25)),NOT(ISNUMBER('Price History'!V24)),'Price History'!V24=0),"",'Price History'!V25/'Price History'!V24-1),"")</f>
        <v>0.00770421704511959</v>
      </c>
      <c r="W24" s="156" t="n">
        <f aca="false">IFERROR('Price History'!B3+(INDEX('Price History'!B:B,MATCH(9.99E+307,'Returns (Calc)'!$A:$A)+1)-'Price History'!B3)*(ROW()-3)/(MATCH(9.99E+307,'Returns (Calc)'!$A:$A)-3),"")</f>
        <v>490.186202531646</v>
      </c>
      <c r="X24" s="156" t="n">
        <f aca="false">IFERROR('Price History'!C3+(INDEX('Price History'!C:C,MATCH(9.99E+307,'Returns (Calc)'!$A:$A)+1)-'Price History'!C3)*(ROW()-3)/(MATCH(9.99E+307,'Returns (Calc)'!$A:$A)-3),"")</f>
        <v>67.6013291139241</v>
      </c>
      <c r="Y24" s="156" t="n">
        <f aca="false">IFERROR('Price History'!D3+(INDEX('Price History'!D:D,MATCH(9.99E+307,'Returns (Calc)'!$A:$A)+1)-'Price History'!D3)*(ROW()-3)/(MATCH(9.99E+307,'Returns (Calc)'!$A:$A)-3),"")</f>
        <v>752.841012658228</v>
      </c>
      <c r="Z24" s="156" t="n">
        <f aca="false">IFERROR('Price History'!E3+(INDEX('Price History'!E:E,MATCH(9.99E+307,'Returns (Calc)'!$A:$A)+1)-'Price History'!E3)*(ROW()-3)/(MATCH(9.99E+307,'Returns (Calc)'!$A:$A)-3),"")</f>
        <v>118.303417721519</v>
      </c>
      <c r="AA24" s="156" t="n">
        <f aca="false">IFERROR('Price History'!F3+(INDEX('Price History'!F:F,MATCH(9.99E+307,'Returns (Calc)'!$A:$A)+1)-'Price History'!F3)*(ROW()-3)/(MATCH(9.99E+307,'Returns (Calc)'!$A:$A)-3),"")</f>
        <v>71.7541772151899</v>
      </c>
      <c r="AB24" s="156" t="n">
        <f aca="false">IFERROR('Price History'!G3+(INDEX('Price History'!G:G,MATCH(9.99E+307,'Returns (Calc)'!$A:$A)+1)-'Price History'!G3)*(ROW()-3)/(MATCH(9.99E+307,'Returns (Calc)'!$A:$A)-3),"")</f>
        <v>65.953417721519</v>
      </c>
      <c r="AC24" s="156" t="n">
        <f aca="false">IFERROR('Price History'!H3+(INDEX('Price History'!H:H,MATCH(9.99E+307,'Returns (Calc)'!$A:$A)+1)-'Price History'!H3)*(ROW()-3)/(MATCH(9.99E+307,'Returns (Calc)'!$A:$A)-3),"")</f>
        <v>202.789620253165</v>
      </c>
      <c r="AD24" s="156" t="n">
        <f aca="false">IFERROR('Price History'!I3+(INDEX('Price History'!I:I,MATCH(9.99E+307,'Returns (Calc)'!$A:$A)+1)-'Price History'!I3)*(ROW()-3)/(MATCH(9.99E+307,'Returns (Calc)'!$A:$A)-3),"")</f>
        <v>69.0470886075949</v>
      </c>
      <c r="AE24" s="156" t="n">
        <f aca="false">IFERROR('Price History'!J3+(INDEX('Price History'!J:J,MATCH(9.99E+307,'Returns (Calc)'!$A:$A)+1)-'Price History'!J3)*(ROW()-3)/(MATCH(9.99E+307,'Returns (Calc)'!$A:$A)-3),"")</f>
        <v>114.108797468354</v>
      </c>
      <c r="AF24" s="156" t="n">
        <f aca="false">IFERROR('Price History'!K3+(INDEX('Price History'!K:K,MATCH(9.99E+307,'Returns (Calc)'!$A:$A)+1)-'Price History'!K3)*(ROW()-3)/(MATCH(9.99E+307,'Returns (Calc)'!$A:$A)-3),"")</f>
        <v>38.3794936708861</v>
      </c>
      <c r="AG24" s="156" t="n">
        <f aca="false">IFERROR('Price History'!L3+(INDEX('Price History'!L:L,MATCH(9.99E+307,'Returns (Calc)'!$A:$A)+1)-'Price History'!L3)*(ROW()-3)/(MATCH(9.99E+307,'Returns (Calc)'!$A:$A)-3),"")</f>
        <v>137.190696202532</v>
      </c>
      <c r="AH24" s="156" t="n">
        <f aca="false">IFERROR('Price History'!M3+(INDEX('Price History'!M:M,MATCH(9.99E+307,'Returns (Calc)'!$A:$A)+1)-'Price History'!M3)*(ROW()-3)/(MATCH(9.99E+307,'Returns (Calc)'!$A:$A)-3),"")</f>
        <v>66.4843037974684</v>
      </c>
      <c r="AI24" s="156" t="n">
        <f aca="false">IFERROR('Price History'!N3+(INDEX('Price History'!N:N,MATCH(9.99E+307,'Returns (Calc)'!$A:$A)+1)-'Price History'!N3)*(ROW()-3)/(MATCH(9.99E+307,'Returns (Calc)'!$A:$A)-3),"")</f>
        <v>369.611582278481</v>
      </c>
      <c r="AJ24" s="156" t="n">
        <f aca="false">IFERROR('Price History'!O3+(INDEX('Price History'!O:O,MATCH(9.99E+307,'Returns (Calc)'!$A:$A)+1)-'Price History'!O3)*(ROW()-3)/(MATCH(9.99E+307,'Returns (Calc)'!$A:$A)-3),"")</f>
        <v>81.2537974683544</v>
      </c>
      <c r="AK24" s="156" t="n">
        <f aca="false">IFERROR('Price History'!Q3+(INDEX('Price History'!Q:Q,MATCH(9.99E+307,'Returns (Calc)'!$A:$A)+1)-'Price History'!Q3)*(ROW()-3)/(MATCH(9.99E+307,'Returns (Calc)'!$A:$A)-3),"")</f>
        <v>9.22670886075949</v>
      </c>
      <c r="AL24" s="156" t="n">
        <f aca="false">IFERROR('Price History'!R3+(INDEX('Price History'!R:R,MATCH(9.99E+307,'Returns (Calc)'!$A:$A)+1)-'Price History'!R3)*(ROW()-3)/(MATCH(9.99E+307,'Returns (Calc)'!$A:$A)-3),"")</f>
        <v>38.0101265822785</v>
      </c>
      <c r="AM24" s="156" t="n">
        <f aca="false">IFERROR('Price History'!S3+(INDEX('Price History'!S:S,MATCH(9.99E+307,'Returns (Calc)'!$A:$A)+1)-'Price History'!S3)*(ROW()-3)/(MATCH(9.99E+307,'Returns (Calc)'!$A:$A)-3),"")</f>
        <v>70.3363291139241</v>
      </c>
      <c r="AN24" s="156" t="n">
        <f aca="false">IFERROR('Price History'!T3+(INDEX('Price History'!T:T,MATCH(9.99E+307,'Returns (Calc)'!$A:$A)+1)-'Price History'!T3)*(ROW()-3)/(MATCH(9.99E+307,'Returns (Calc)'!$A:$A)-3),"")</f>
        <v>28.7727848101266</v>
      </c>
      <c r="AO24" s="157" t="n">
        <f aca="false">IFERROR('Price History'!V3+(INDEX('Price History'!V:V,MATCH(9.99E+307,'Returns (Calc)'!$A:$A)+1)-'Price History'!V3)*(ROW()-3)/(MATCH(9.99E+307,'Returns (Calc)'!$A:$A)-3),"")</f>
        <v>252.247911392405</v>
      </c>
      <c r="AP24" s="155" t="n">
        <f aca="false">IFERROR(IF(OR(NOT(ISNUMBER('Price History'!W25)),NOT(ISNUMBER('Price History'!W24)),'Price History'!W24=0),"",'Price History'!W25/'Price History'!W24-1),"")</f>
        <v>0.00932800304587866</v>
      </c>
      <c r="AQ24" s="155" t="str">
        <f aca="false">IFERROR(IF(OR(NOT(ISNUMBER('Price History'!X25)),NOT(ISNUMBER('Price History'!X24)),'Price History'!X24=0),"",'Price History'!X25/'Price History'!X24-1),"")</f>
        <v/>
      </c>
      <c r="AR24" s="155" t="n">
        <f aca="false">IFERROR(IF(OR(NOT(ISNUMBER('Price History'!Y25)),NOT(ISNUMBER('Price History'!Y24)),'Price History'!Y24=0),"",'Price History'!Y25/'Price History'!Y24-1),"")</f>
        <v>0.0013186813186814</v>
      </c>
      <c r="AS24" s="155" t="n">
        <f aca="false">IFERROR(IF(OR(NOT(ISNUMBER('Price History'!Z25)),NOT(ISNUMBER('Price History'!Z24)),'Price History'!Z24=0),"",'Price History'!Z25/'Price History'!Z24-1),"")</f>
        <v>0.0708611085745594</v>
      </c>
      <c r="AT24" s="155" t="n">
        <f aca="false">IFERROR(IF(OR(NOT(ISNUMBER('Price History'!AA25)),NOT(ISNUMBER('Price History'!AA24)),'Price History'!AA24=0),"",'Price History'!AA25/'Price History'!AA24-1),"")</f>
        <v>0.0404418314626758</v>
      </c>
      <c r="AU24" s="155" t="n">
        <f aca="false">IFERROR(IF(OR(NOT(ISNUMBER('Price History'!AB25)),NOT(ISNUMBER('Price History'!AB24)),'Price History'!AB24=0),"",'Price History'!AB25/'Price History'!AB24-1),"")</f>
        <v>0.0119486990219597</v>
      </c>
    </row>
    <row r="25" customFormat="false" ht="15" hidden="false" customHeight="true" outlineLevel="0" collapsed="false">
      <c r="A25" s="153" t="n">
        <f aca="false">IF('Price History'!A26="","",'Price History'!A26)</f>
        <v>45345</v>
      </c>
      <c r="B25" s="154" t="n">
        <f aca="false">IFERROR(IF(OR(NOT(ISNUMBER('Price History'!B26)),NOT(ISNUMBER('Price History'!B25)),'Price History'!B25=0),"",'Price History'!B26/'Price History'!B25-1),"")</f>
        <v>0.0124025902754914</v>
      </c>
      <c r="C25" s="154" t="n">
        <f aca="false">IFERROR(IF(OR(NOT(ISNUMBER('Price History'!C26)),NOT(ISNUMBER('Price History'!C25)),'Price History'!C25=0),"",'Price History'!C26/'Price History'!C25-1),"")</f>
        <v>0.0226161369193154</v>
      </c>
      <c r="D25" s="154" t="n">
        <f aca="false">IFERROR(IF(OR(NOT(ISNUMBER('Price History'!D26)),NOT(ISNUMBER('Price History'!D25)),'Price History'!D25=0),"",'Price History'!D26/'Price History'!D25-1),"")</f>
        <v>0.00463710785121707</v>
      </c>
      <c r="E25" s="154" t="n">
        <f aca="false">IFERROR(IF(OR(NOT(ISNUMBER('Price History'!E26)),NOT(ISNUMBER('Price History'!E25)),'Price History'!E25=0),"",'Price History'!E26/'Price History'!E25-1),"")</f>
        <v>0.0408685601056802</v>
      </c>
      <c r="F25" s="154" t="n">
        <f aca="false">IFERROR(IF(OR(NOT(ISNUMBER('Price History'!F26)),NOT(ISNUMBER('Price History'!F25)),'Price History'!F25=0),"",'Price History'!F26/'Price History'!F25-1),"")</f>
        <v>-0.0539424128295468</v>
      </c>
      <c r="G25" s="154" t="n">
        <f aca="false">IFERROR(IF(OR(NOT(ISNUMBER('Price History'!G26)),NOT(ISNUMBER('Price History'!G25)),'Price History'!G25=0),"",'Price History'!G26/'Price History'!G25-1),"")</f>
        <v>0.0112480739599381</v>
      </c>
      <c r="H25" s="154" t="n">
        <f aca="false">IFERROR(IF(OR(NOT(ISNUMBER('Price History'!H26)),NOT(ISNUMBER('Price History'!H25)),'Price History'!H25=0),"",'Price History'!H26/'Price History'!H25-1),"")</f>
        <v>0.0817905148364191</v>
      </c>
      <c r="I25" s="154" t="n">
        <f aca="false">IFERROR(IF(OR(NOT(ISNUMBER('Price History'!I26)),NOT(ISNUMBER('Price History'!I25)),'Price History'!I25=0),"",'Price History'!I26/'Price History'!I25-1),"")</f>
        <v>0.0854972375690608</v>
      </c>
      <c r="J25" s="154" t="n">
        <f aca="false">IFERROR(IF(OR(NOT(ISNUMBER('Price History'!J26)),NOT(ISNUMBER('Price History'!J25)),'Price History'!J25=0),"",'Price History'!J26/'Price History'!J25-1),"")</f>
        <v>-0.00131276665572688</v>
      </c>
      <c r="K25" s="154" t="n">
        <f aca="false">IFERROR(IF(OR(NOT(ISNUMBER('Price History'!K26)),NOT(ISNUMBER('Price History'!K25)),'Price History'!K25=0),"",'Price History'!K26/'Price History'!K25-1),"")</f>
        <v>-0.0601472995090018</v>
      </c>
      <c r="L25" s="154" t="n">
        <f aca="false">IFERROR(IF(OR(NOT(ISNUMBER('Price History'!L26)),NOT(ISNUMBER('Price History'!L25)),'Price History'!L25=0),"",'Price History'!L26/'Price History'!L25-1),"")</f>
        <v>0.0224039247751431</v>
      </c>
      <c r="M25" s="154" t="n">
        <f aca="false">IFERROR(IF(OR(NOT(ISNUMBER('Price History'!M26)),NOT(ISNUMBER('Price History'!M25)),'Price History'!M25=0),"",'Price History'!M26/'Price History'!M25-1),"")</f>
        <v>-0.00430210325047797</v>
      </c>
      <c r="N25" s="154" t="n">
        <f aca="false">IFERROR(IF(OR(NOT(ISNUMBER('Price History'!N26)),NOT(ISNUMBER('Price History'!N25)),'Price History'!N25=0),"",'Price History'!N26/'Price History'!N25-1),"")</f>
        <v>0.0187351965892941</v>
      </c>
      <c r="O25" s="154" t="n">
        <f aca="false">IFERROR(IF(OR(NOT(ISNUMBER('Price History'!O26)),NOT(ISNUMBER('Price History'!O25)),'Price History'!O25=0),"",'Price History'!O26/'Price History'!O25-1),"")</f>
        <v>-0.00330110822919105</v>
      </c>
      <c r="P25" s="154" t="n">
        <f aca="false">IFERROR(IF(OR(NOT(ISNUMBER('Price History'!P26)),NOT(ISNUMBER('Price History'!P25)),'Price History'!P25=0),"",'Price History'!P26/'Price History'!P25-1),"")</f>
        <v>0.0084057694144617</v>
      </c>
      <c r="Q25" s="154" t="n">
        <f aca="false">IFERROR(IF(OR(NOT(ISNUMBER('Price History'!Q26)),NOT(ISNUMBER('Price History'!Q25)),'Price History'!Q25=0),"",'Price History'!Q26/'Price History'!Q25-1),"")</f>
        <v>0.00765068109721967</v>
      </c>
      <c r="R25" s="154" t="n">
        <f aca="false">IFERROR(IF(OR(NOT(ISNUMBER('Price History'!R26)),NOT(ISNUMBER('Price History'!R25)),'Price History'!R25=0),"",'Price History'!R26/'Price History'!R25-1),"")</f>
        <v>0.0125673249551166</v>
      </c>
      <c r="S25" s="154" t="n">
        <f aca="false">IFERROR(IF(OR(NOT(ISNUMBER('Price History'!S26)),NOT(ISNUMBER('Price History'!S25)),'Price History'!S25=0),"",'Price History'!S26/'Price History'!S25-1),"")</f>
        <v>0.022325074870678</v>
      </c>
      <c r="T25" s="154" t="n">
        <f aca="false">IFERROR(IF(OR(NOT(ISNUMBER('Price History'!T26)),NOT(ISNUMBER('Price History'!T25)),'Price History'!T25=0),"",'Price History'!T26/'Price History'!T25-1),"")</f>
        <v>0.0218794835007174</v>
      </c>
      <c r="U25" s="154" t="n">
        <f aca="false">IFERROR(IF(OR(NOT(ISNUMBER('Price History'!U26)),NOT(ISNUMBER('Price History'!U25)),'Price History'!U25=0),"",'Price History'!U26/'Price History'!U25-1),"")</f>
        <v>0.0116179001721173</v>
      </c>
      <c r="V25" s="155" t="n">
        <f aca="false">IFERROR(IF(OR(NOT(ISNUMBER('Price History'!V26)),NOT(ISNUMBER('Price History'!V25)),'Price History'!V25=0),"",'Price History'!V26/'Price History'!V25-1),"")</f>
        <v>0.0180707466071623</v>
      </c>
      <c r="W25" s="156" t="n">
        <f aca="false">IFERROR('Price History'!B3+(INDEX('Price History'!B:B,MATCH(9.99E+307,'Returns (Calc)'!$A:$A)+1)-'Price History'!B3)*(ROW()-3)/(MATCH(9.99E+307,'Returns (Calc)'!$A:$A)-3),"")</f>
        <v>488.343164556962</v>
      </c>
      <c r="X25" s="156" t="n">
        <f aca="false">IFERROR('Price History'!C3+(INDEX('Price History'!C:C,MATCH(9.99E+307,'Returns (Calc)'!$A:$A)+1)-'Price History'!C3)*(ROW()-3)/(MATCH(9.99E+307,'Returns (Calc)'!$A:$A)-3),"")</f>
        <v>68.6213924050633</v>
      </c>
      <c r="Y25" s="156" t="n">
        <f aca="false">IFERROR('Price History'!D3+(INDEX('Price History'!D:D,MATCH(9.99E+307,'Returns (Calc)'!$A:$A)+1)-'Price History'!D3)*(ROW()-3)/(MATCH(9.99E+307,'Returns (Calc)'!$A:$A)-3),"")</f>
        <v>760.97582278481</v>
      </c>
      <c r="Z25" s="156" t="n">
        <f aca="false">IFERROR('Price History'!E3+(INDEX('Price History'!E:E,MATCH(9.99E+307,'Returns (Calc)'!$A:$A)+1)-'Price History'!E3)*(ROW()-3)/(MATCH(9.99E+307,'Returns (Calc)'!$A:$A)-3),"")</f>
        <v>120.032151898734</v>
      </c>
      <c r="AA25" s="156" t="n">
        <f aca="false">IFERROR('Price History'!F3+(INDEX('Price History'!F:F,MATCH(9.99E+307,'Returns (Calc)'!$A:$A)+1)-'Price History'!F3)*(ROW()-3)/(MATCH(9.99E+307,'Returns (Calc)'!$A:$A)-3),"")</f>
        <v>73.2015189873418</v>
      </c>
      <c r="AB25" s="156" t="n">
        <f aca="false">IFERROR('Price History'!G3+(INDEX('Price History'!G:G,MATCH(9.99E+307,'Returns (Calc)'!$A:$A)+1)-'Price History'!G3)*(ROW()-3)/(MATCH(9.99E+307,'Returns (Calc)'!$A:$A)-3),"")</f>
        <v>66.9821518987342</v>
      </c>
      <c r="AC25" s="156" t="n">
        <f aca="false">IFERROR('Price History'!H3+(INDEX('Price History'!H:H,MATCH(9.99E+307,'Returns (Calc)'!$A:$A)+1)-'Price History'!H3)*(ROW()-3)/(MATCH(9.99E+307,'Returns (Calc)'!$A:$A)-3),"")</f>
        <v>209.155316455696</v>
      </c>
      <c r="AD25" s="156" t="n">
        <f aca="false">IFERROR('Price History'!I3+(INDEX('Price History'!I:I,MATCH(9.99E+307,'Returns (Calc)'!$A:$A)+1)-'Price History'!I3)*(ROW()-3)/(MATCH(9.99E+307,'Returns (Calc)'!$A:$A)-3),"")</f>
        <v>70.2507594936709</v>
      </c>
      <c r="AE25" s="156" t="n">
        <f aca="false">IFERROR('Price History'!J3+(INDEX('Price History'!J:J,MATCH(9.99E+307,'Returns (Calc)'!$A:$A)+1)-'Price History'!J3)*(ROW()-3)/(MATCH(9.99E+307,'Returns (Calc)'!$A:$A)-3),"")</f>
        <v>114.216835443038</v>
      </c>
      <c r="AF25" s="156" t="n">
        <f aca="false">IFERROR('Price History'!K3+(INDEX('Price History'!K:K,MATCH(9.99E+307,'Returns (Calc)'!$A:$A)+1)-'Price History'!K3)*(ROW()-3)/(MATCH(9.99E+307,'Returns (Calc)'!$A:$A)-3),"")</f>
        <v>39.4770886075949</v>
      </c>
      <c r="AG25" s="156" t="n">
        <f aca="false">IFERROR('Price History'!L3+(INDEX('Price History'!L:L,MATCH(9.99E+307,'Returns (Calc)'!$A:$A)+1)-'Price History'!L3)*(ROW()-3)/(MATCH(9.99E+307,'Returns (Calc)'!$A:$A)-3),"")</f>
        <v>139.640253164557</v>
      </c>
      <c r="AH25" s="156" t="n">
        <f aca="false">IFERROR('Price History'!M3+(INDEX('Price History'!M:M,MATCH(9.99E+307,'Returns (Calc)'!$A:$A)+1)-'Price History'!M3)*(ROW()-3)/(MATCH(9.99E+307,'Returns (Calc)'!$A:$A)-3),"")</f>
        <v>67.839746835443</v>
      </c>
      <c r="AI25" s="156" t="n">
        <f aca="false">IFERROR('Price History'!N3+(INDEX('Price History'!N:N,MATCH(9.99E+307,'Returns (Calc)'!$A:$A)+1)-'Price History'!N3)*(ROW()-3)/(MATCH(9.99E+307,'Returns (Calc)'!$A:$A)-3),"")</f>
        <v>370.597848101266</v>
      </c>
      <c r="AJ25" s="156" t="n">
        <f aca="false">IFERROR('Price History'!O3+(INDEX('Price History'!O:O,MATCH(9.99E+307,'Returns (Calc)'!$A:$A)+1)-'Price History'!O3)*(ROW()-3)/(MATCH(9.99E+307,'Returns (Calc)'!$A:$A)-3),"")</f>
        <v>81.536835443038</v>
      </c>
      <c r="AK25" s="156" t="n">
        <f aca="false">IFERROR('Price History'!Q3+(INDEX('Price History'!Q:Q,MATCH(9.99E+307,'Returns (Calc)'!$A:$A)+1)-'Price History'!Q3)*(ROW()-3)/(MATCH(9.99E+307,'Returns (Calc)'!$A:$A)-3),"")</f>
        <v>9.66607594936709</v>
      </c>
      <c r="AL25" s="156" t="n">
        <f aca="false">IFERROR('Price History'!R3+(INDEX('Price History'!R:R,MATCH(9.99E+307,'Returns (Calc)'!$A:$A)+1)-'Price History'!R3)*(ROW()-3)/(MATCH(9.99E+307,'Returns (Calc)'!$A:$A)-3),"")</f>
        <v>38.1782278481013</v>
      </c>
      <c r="AM25" s="156" t="n">
        <f aca="false">IFERROR('Price History'!S3+(INDEX('Price History'!S:S,MATCH(9.99E+307,'Returns (Calc)'!$A:$A)+1)-'Price History'!S3)*(ROW()-3)/(MATCH(9.99E+307,'Returns (Calc)'!$A:$A)-3),"")</f>
        <v>70.9413924050633</v>
      </c>
      <c r="AN25" s="156" t="n">
        <f aca="false">IFERROR('Price History'!T3+(INDEX('Price History'!T:T,MATCH(9.99E+307,'Returns (Calc)'!$A:$A)+1)-'Price History'!T3)*(ROW()-3)/(MATCH(9.99E+307,'Returns (Calc)'!$A:$A)-3),"")</f>
        <v>28.9410126582278</v>
      </c>
      <c r="AO25" s="157" t="n">
        <f aca="false">IFERROR('Price History'!V3+(INDEX('Price History'!V:V,MATCH(9.99E+307,'Returns (Calc)'!$A:$A)+1)-'Price History'!V3)*(ROW()-3)/(MATCH(9.99E+307,'Returns (Calc)'!$A:$A)-3),"")</f>
        <v>253.039240506329</v>
      </c>
      <c r="AP25" s="155" t="n">
        <f aca="false">IFERROR(IF(OR(NOT(ISNUMBER('Price History'!W26)),NOT(ISNUMBER('Price History'!W25)),'Price History'!W25=0),"",'Price History'!W26/'Price History'!W25-1),"")</f>
        <v>0.0142399094681251</v>
      </c>
      <c r="AQ25" s="155" t="str">
        <f aca="false">IFERROR(IF(OR(NOT(ISNUMBER('Price History'!X26)),NOT(ISNUMBER('Price History'!X25)),'Price History'!X25=0),"",'Price History'!X26/'Price History'!X25-1),"")</f>
        <v/>
      </c>
      <c r="AR25" s="155" t="n">
        <f aca="false">IFERROR(IF(OR(NOT(ISNUMBER('Price History'!Y26)),NOT(ISNUMBER('Price History'!Y25)),'Price History'!Y25=0),"",'Price History'!Y26/'Price History'!Y25-1),"")</f>
        <v>0.0116330114135206</v>
      </c>
      <c r="AS25" s="155" t="n">
        <f aca="false">IFERROR(IF(OR(NOT(ISNUMBER('Price History'!Z26)),NOT(ISNUMBER('Price History'!Z25)),'Price History'!Z25=0),"",'Price History'!Z26/'Price History'!Z25-1),"")</f>
        <v>0.027969642704869</v>
      </c>
      <c r="AT25" s="155" t="n">
        <f aca="false">IFERROR(IF(OR(NOT(ISNUMBER('Price History'!AA26)),NOT(ISNUMBER('Price History'!AA25)),'Price History'!AA25=0),"",'Price History'!AA26/'Price History'!AA25-1),"")</f>
        <v>-0.00068493150684934</v>
      </c>
      <c r="AU25" s="155" t="n">
        <f aca="false">IFERROR(IF(OR(NOT(ISNUMBER('Price History'!AB26)),NOT(ISNUMBER('Price History'!AB25)),'Price History'!AB25=0),"",'Price History'!AB26/'Price History'!AB25-1),"")</f>
        <v>0.0104399361750627</v>
      </c>
    </row>
    <row r="26" customFormat="false" ht="15" hidden="false" customHeight="true" outlineLevel="0" collapsed="false">
      <c r="A26" s="153" t="n">
        <f aca="false">IF('Price History'!A27="","",'Price History'!A27)</f>
        <v>45352</v>
      </c>
      <c r="B26" s="154" t="n">
        <f aca="false">IFERROR(IF(OR(NOT(ISNUMBER('Price History'!B27)),NOT(ISNUMBER('Price History'!B26)),'Price History'!B26=0),"",'Price History'!B27/'Price History'!B26-1),"")</f>
        <v>0.0316023417172591</v>
      </c>
      <c r="C26" s="154" t="n">
        <f aca="false">IFERROR(IF(OR(NOT(ISNUMBER('Price History'!C27)),NOT(ISNUMBER('Price History'!C26)),'Price History'!C26=0),"",'Price History'!C27/'Price History'!C26-1),"")</f>
        <v>0.0748655110579797</v>
      </c>
      <c r="D26" s="154" t="n">
        <f aca="false">IFERROR(IF(OR(NOT(ISNUMBER('Price History'!D27)),NOT(ISNUMBER('Price History'!D26)),'Price History'!D26=0),"",'Price History'!D27/'Price History'!D26-1),"")</f>
        <v>0.0618088748400363</v>
      </c>
      <c r="E26" s="154" t="n">
        <f aca="false">IFERROR(IF(OR(NOT(ISNUMBER('Price History'!E27)),NOT(ISNUMBER('Price History'!E26)),'Price History'!E26=0),"",'Price History'!E27/'Price History'!E26-1),"")</f>
        <v>0.0793210121361148</v>
      </c>
      <c r="F26" s="154" t="n">
        <f aca="false">IFERROR(IF(OR(NOT(ISNUMBER('Price History'!F27)),NOT(ISNUMBER('Price History'!F26)),'Price History'!F26=0),"",'Price History'!F27/'Price History'!F26-1),"")</f>
        <v>0.010016694490818</v>
      </c>
      <c r="G26" s="154" t="n">
        <f aca="false">IFERROR(IF(OR(NOT(ISNUMBER('Price History'!G27)),NOT(ISNUMBER('Price History'!G26)),'Price History'!G26=0),"",'Price History'!G27/'Price History'!G26-1),"")</f>
        <v>0.0729849154350146</v>
      </c>
      <c r="H26" s="154" t="n">
        <f aca="false">IFERROR(IF(OR(NOT(ISNUMBER('Price History'!H27)),NOT(ISNUMBER('Price History'!H26)),'Price History'!H26=0),"",'Price History'!H27/'Price History'!H26-1),"")</f>
        <v>0.106318133864729</v>
      </c>
      <c r="I26" s="154" t="n">
        <f aca="false">IFERROR(IF(OR(NOT(ISNUMBER('Price History'!I27)),NOT(ISNUMBER('Price History'!I26)),'Price History'!I26=0),"",'Price History'!I27/'Price History'!I26-1),"")</f>
        <v>0.0438987148492176</v>
      </c>
      <c r="J26" s="154" t="n">
        <f aca="false">IFERROR(IF(OR(NOT(ISNUMBER('Price History'!J27)),NOT(ISNUMBER('Price History'!J26)),'Price History'!J26=0),"",'Price History'!J27/'Price History'!J26-1),"")</f>
        <v>0.0104337824515282</v>
      </c>
      <c r="K26" s="154" t="n">
        <f aca="false">IFERROR(IF(OR(NOT(ISNUMBER('Price History'!K27)),NOT(ISNUMBER('Price History'!K26)),'Price History'!K26=0),"",'Price History'!K27/'Price History'!K26-1),"")</f>
        <v>0.0853286895951242</v>
      </c>
      <c r="L26" s="154" t="n">
        <f aca="false">IFERROR(IF(OR(NOT(ISNUMBER('Price History'!L27)),NOT(ISNUMBER('Price History'!L26)),'Price History'!L26=0),"",'Price History'!L27/'Price History'!L26-1),"")</f>
        <v>0.0337492002559179</v>
      </c>
      <c r="M26" s="154" t="n">
        <f aca="false">IFERROR(IF(OR(NOT(ISNUMBER('Price History'!M27)),NOT(ISNUMBER('Price History'!M26)),'Price History'!M26=0),"",'Price History'!M27/'Price History'!M26-1),"")</f>
        <v>0.125620099215874</v>
      </c>
      <c r="N26" s="154" t="n">
        <f aca="false">IFERROR(IF(OR(NOT(ISNUMBER('Price History'!N27)),NOT(ISNUMBER('Price History'!N26)),'Price History'!N26=0),"",'Price History'!N27/'Price History'!N26-1),"")</f>
        <v>0.00616121457301611</v>
      </c>
      <c r="O26" s="154" t="n">
        <f aca="false">IFERROR(IF(OR(NOT(ISNUMBER('Price History'!O27)),NOT(ISNUMBER('Price History'!O26)),'Price History'!O26=0),"",'Price History'!O27/'Price History'!O26-1),"")</f>
        <v>0.0157321977762006</v>
      </c>
      <c r="P26" s="154" t="n">
        <f aca="false">IFERROR(IF(OR(NOT(ISNUMBER('Price History'!P27)),NOT(ISNUMBER('Price History'!P26)),'Price History'!P26=0),"",'Price History'!P27/'Price History'!P26-1),"")</f>
        <v>0.000189447759780359</v>
      </c>
      <c r="Q26" s="154" t="n">
        <f aca="false">IFERROR(IF(OR(NOT(ISNUMBER('Price History'!Q27)),NOT(ISNUMBER('Price History'!Q26)),'Price History'!Q26=0),"",'Price History'!Q27/'Price History'!Q26-1),"")</f>
        <v>0.00629629629629647</v>
      </c>
      <c r="R26" s="154" t="n">
        <f aca="false">IFERROR(IF(OR(NOT(ISNUMBER('Price History'!R27)),NOT(ISNUMBER('Price History'!R26)),'Price History'!R26=0),"",'Price History'!R27/'Price History'!R26-1),"")</f>
        <v>0.0126646403242148</v>
      </c>
      <c r="S26" s="154" t="n">
        <f aca="false">IFERROR(IF(OR(NOT(ISNUMBER('Price History'!S27)),NOT(ISNUMBER('Price History'!S26)),'Price History'!S26=0),"",'Price History'!S27/'Price History'!S26-1),"")</f>
        <v>0.0280958721704394</v>
      </c>
      <c r="T26" s="154" t="n">
        <f aca="false">IFERROR(IF(OR(NOT(ISNUMBER('Price History'!T27)),NOT(ISNUMBER('Price History'!T26)),'Price History'!T26=0),"",'Price History'!T27/'Price History'!T26-1),"")</f>
        <v>0.0217620217620218</v>
      </c>
      <c r="U26" s="154" t="n">
        <f aca="false">IFERROR(IF(OR(NOT(ISNUMBER('Price History'!U27)),NOT(ISNUMBER('Price History'!U26)),'Price History'!U26=0),"",'Price History'!U27/'Price History'!U26-1),"")</f>
        <v>0.00340280731603571</v>
      </c>
      <c r="V26" s="155" t="n">
        <f aca="false">IFERROR(IF(OR(NOT(ISNUMBER('Price History'!V27)),NOT(ISNUMBER('Price History'!V26)),'Price History'!V26=0),"",'Price History'!V27/'Price History'!V26-1),"")</f>
        <v>-0.00154503970392728</v>
      </c>
      <c r="W26" s="156" t="n">
        <f aca="false">IFERROR('Price History'!B3+(INDEX('Price History'!B:B,MATCH(9.99E+307,'Returns (Calc)'!$A:$A)+1)-'Price History'!B3)*(ROW()-3)/(MATCH(9.99E+307,'Returns (Calc)'!$A:$A)-3),"")</f>
        <v>486.500126582279</v>
      </c>
      <c r="X26" s="156" t="n">
        <f aca="false">IFERROR('Price History'!C3+(INDEX('Price History'!C:C,MATCH(9.99E+307,'Returns (Calc)'!$A:$A)+1)-'Price History'!C3)*(ROW()-3)/(MATCH(9.99E+307,'Returns (Calc)'!$A:$A)-3),"")</f>
        <v>69.6414556962025</v>
      </c>
      <c r="Y26" s="156" t="n">
        <f aca="false">IFERROR('Price History'!D3+(INDEX('Price History'!D:D,MATCH(9.99E+307,'Returns (Calc)'!$A:$A)+1)-'Price History'!D3)*(ROW()-3)/(MATCH(9.99E+307,'Returns (Calc)'!$A:$A)-3),"")</f>
        <v>769.110632911392</v>
      </c>
      <c r="Z26" s="156" t="n">
        <f aca="false">IFERROR('Price History'!E3+(INDEX('Price History'!E:E,MATCH(9.99E+307,'Returns (Calc)'!$A:$A)+1)-'Price History'!E3)*(ROW()-3)/(MATCH(9.99E+307,'Returns (Calc)'!$A:$A)-3),"")</f>
        <v>121.760886075949</v>
      </c>
      <c r="AA26" s="156" t="n">
        <f aca="false">IFERROR('Price History'!F3+(INDEX('Price History'!F:F,MATCH(9.99E+307,'Returns (Calc)'!$A:$A)+1)-'Price History'!F3)*(ROW()-3)/(MATCH(9.99E+307,'Returns (Calc)'!$A:$A)-3),"")</f>
        <v>74.6488607594937</v>
      </c>
      <c r="AB26" s="156" t="n">
        <f aca="false">IFERROR('Price History'!G3+(INDEX('Price History'!G:G,MATCH(9.99E+307,'Returns (Calc)'!$A:$A)+1)-'Price History'!G3)*(ROW()-3)/(MATCH(9.99E+307,'Returns (Calc)'!$A:$A)-3),"")</f>
        <v>68.0108860759494</v>
      </c>
      <c r="AC26" s="156" t="n">
        <f aca="false">IFERROR('Price History'!H3+(INDEX('Price History'!H:H,MATCH(9.99E+307,'Returns (Calc)'!$A:$A)+1)-'Price History'!H3)*(ROW()-3)/(MATCH(9.99E+307,'Returns (Calc)'!$A:$A)-3),"")</f>
        <v>215.521012658228</v>
      </c>
      <c r="AD26" s="156" t="n">
        <f aca="false">IFERROR('Price History'!I3+(INDEX('Price History'!I:I,MATCH(9.99E+307,'Returns (Calc)'!$A:$A)+1)-'Price History'!I3)*(ROW()-3)/(MATCH(9.99E+307,'Returns (Calc)'!$A:$A)-3),"")</f>
        <v>71.4544303797468</v>
      </c>
      <c r="AE26" s="156" t="n">
        <f aca="false">IFERROR('Price History'!J3+(INDEX('Price History'!J:J,MATCH(9.99E+307,'Returns (Calc)'!$A:$A)+1)-'Price History'!J3)*(ROW()-3)/(MATCH(9.99E+307,'Returns (Calc)'!$A:$A)-3),"")</f>
        <v>114.324873417722</v>
      </c>
      <c r="AF26" s="156" t="n">
        <f aca="false">IFERROR('Price History'!K3+(INDEX('Price History'!K:K,MATCH(9.99E+307,'Returns (Calc)'!$A:$A)+1)-'Price History'!K3)*(ROW()-3)/(MATCH(9.99E+307,'Returns (Calc)'!$A:$A)-3),"")</f>
        <v>40.5746835443038</v>
      </c>
      <c r="AG26" s="156" t="n">
        <f aca="false">IFERROR('Price History'!L3+(INDEX('Price History'!L:L,MATCH(9.99E+307,'Returns (Calc)'!$A:$A)+1)-'Price History'!L3)*(ROW()-3)/(MATCH(9.99E+307,'Returns (Calc)'!$A:$A)-3),"")</f>
        <v>142.089810126582</v>
      </c>
      <c r="AH26" s="156" t="n">
        <f aca="false">IFERROR('Price History'!M3+(INDEX('Price History'!M:M,MATCH(9.99E+307,'Returns (Calc)'!$A:$A)+1)-'Price History'!M3)*(ROW()-3)/(MATCH(9.99E+307,'Returns (Calc)'!$A:$A)-3),"")</f>
        <v>69.1951898734177</v>
      </c>
      <c r="AI26" s="156" t="n">
        <f aca="false">IFERROR('Price History'!N3+(INDEX('Price History'!N:N,MATCH(9.99E+307,'Returns (Calc)'!$A:$A)+1)-'Price History'!N3)*(ROW()-3)/(MATCH(9.99E+307,'Returns (Calc)'!$A:$A)-3),"")</f>
        <v>371.584113924051</v>
      </c>
      <c r="AJ26" s="156" t="n">
        <f aca="false">IFERROR('Price History'!O3+(INDEX('Price History'!O:O,MATCH(9.99E+307,'Returns (Calc)'!$A:$A)+1)-'Price History'!O3)*(ROW()-3)/(MATCH(9.99E+307,'Returns (Calc)'!$A:$A)-3),"")</f>
        <v>81.8198734177215</v>
      </c>
      <c r="AK26" s="156" t="n">
        <f aca="false">IFERROR('Price History'!Q3+(INDEX('Price History'!Q:Q,MATCH(9.99E+307,'Returns (Calc)'!$A:$A)+1)-'Price History'!Q3)*(ROW()-3)/(MATCH(9.99E+307,'Returns (Calc)'!$A:$A)-3),"")</f>
        <v>10.1054430379747</v>
      </c>
      <c r="AL26" s="156" t="n">
        <f aca="false">IFERROR('Price History'!R3+(INDEX('Price History'!R:R,MATCH(9.99E+307,'Returns (Calc)'!$A:$A)+1)-'Price History'!R3)*(ROW()-3)/(MATCH(9.99E+307,'Returns (Calc)'!$A:$A)-3),"")</f>
        <v>38.3463291139241</v>
      </c>
      <c r="AM26" s="156" t="n">
        <f aca="false">IFERROR('Price History'!S3+(INDEX('Price History'!S:S,MATCH(9.99E+307,'Returns (Calc)'!$A:$A)+1)-'Price History'!S3)*(ROW()-3)/(MATCH(9.99E+307,'Returns (Calc)'!$A:$A)-3),"")</f>
        <v>71.5464556962025</v>
      </c>
      <c r="AN26" s="156" t="n">
        <f aca="false">IFERROR('Price History'!T3+(INDEX('Price History'!T:T,MATCH(9.99E+307,'Returns (Calc)'!$A:$A)+1)-'Price History'!T3)*(ROW()-3)/(MATCH(9.99E+307,'Returns (Calc)'!$A:$A)-3),"")</f>
        <v>29.1092405063291</v>
      </c>
      <c r="AO26" s="157" t="n">
        <f aca="false">IFERROR('Price History'!V3+(INDEX('Price History'!V:V,MATCH(9.99E+307,'Returns (Calc)'!$A:$A)+1)-'Price History'!V3)*(ROW()-3)/(MATCH(9.99E+307,'Returns (Calc)'!$A:$A)-3),"")</f>
        <v>253.830569620253</v>
      </c>
      <c r="AP26" s="155" t="n">
        <f aca="false">IFERROR(IF(OR(NOT(ISNUMBER('Price History'!W27)),NOT(ISNUMBER('Price History'!W26)),'Price History'!W26=0),"",'Price History'!W27/'Price History'!W26-1),"")</f>
        <v>0.00520688052068818</v>
      </c>
      <c r="AQ26" s="155" t="str">
        <f aca="false">IFERROR(IF(OR(NOT(ISNUMBER('Price History'!X27)),NOT(ISNUMBER('Price History'!X26)),'Price History'!X26=0),"",'Price History'!X27/'Price History'!X26-1),"")</f>
        <v/>
      </c>
      <c r="AR26" s="155" t="n">
        <f aca="false">IFERROR(IF(OR(NOT(ISNUMBER('Price History'!Y27)),NOT(ISNUMBER('Price History'!Y26)),'Price History'!Y26=0),"",'Price History'!Y27/'Price History'!Y26-1),"")</f>
        <v>0.00412236927750054</v>
      </c>
      <c r="AS26" s="155" t="n">
        <f aca="false">IFERROR(IF(OR(NOT(ISNUMBER('Price History'!Z27)),NOT(ISNUMBER('Price History'!Z26)),'Price History'!Z26=0),"",'Price History'!Z27/'Price History'!Z26-1),"")</f>
        <v>0.0347573620904189</v>
      </c>
      <c r="AT26" s="155" t="n">
        <f aca="false">IFERROR(IF(OR(NOT(ISNUMBER('Price History'!AA27)),NOT(ISNUMBER('Price History'!AA26)),'Price History'!AA26=0),"",'Price History'!AA27/'Price History'!AA26-1),"")</f>
        <v>0.0611720356408498</v>
      </c>
      <c r="AU26" s="155" t="n">
        <f aca="false">IFERROR(IF(OR(NOT(ISNUMBER('Price History'!AB27)),NOT(ISNUMBER('Price History'!AB26)),'Price History'!AB26=0),"",'Price History'!AB27/'Price History'!AB26-1),"")</f>
        <v>0.00166937375924925</v>
      </c>
    </row>
    <row r="27" customFormat="false" ht="15" hidden="false" customHeight="true" outlineLevel="0" collapsed="false">
      <c r="A27" s="153" t="n">
        <f aca="false">IF('Price History'!A28="","",'Price History'!A28)</f>
        <v>45359</v>
      </c>
      <c r="B27" s="154" t="n">
        <f aca="false">IFERROR(IF(OR(NOT(ISNUMBER('Price History'!B28)),NOT(ISNUMBER('Price History'!B27)),'Price History'!B27=0),"",'Price History'!B28/'Price History'!B27-1),"")</f>
        <v>-0.0336994027288807</v>
      </c>
      <c r="C27" s="154" t="n">
        <f aca="false">IFERROR(IF(OR(NOT(ISNUMBER('Price History'!C28)),NOT(ISNUMBER('Price History'!C27)),'Price History'!C27=0),"",'Price History'!C28/'Price History'!C27-1),"")</f>
        <v>-0.0507437786737106</v>
      </c>
      <c r="D27" s="154" t="n">
        <f aca="false">IFERROR(IF(OR(NOT(ISNUMBER('Price History'!D28)),NOT(ISNUMBER('Price History'!D27)),'Price History'!D27=0),"",'Price History'!D28/'Price History'!D27-1),"")</f>
        <v>0.00343023136034937</v>
      </c>
      <c r="E27" s="154" t="n">
        <f aca="false">IFERROR(IF(OR(NOT(ISNUMBER('Price History'!E28)),NOT(ISNUMBER('Price History'!E27)),'Price History'!E27=0),"",'Price History'!E28/'Price History'!E27-1),"")</f>
        <v>-0.0646725949878739</v>
      </c>
      <c r="F27" s="154" t="n">
        <f aca="false">IFERROR(IF(OR(NOT(ISNUMBER('Price History'!F28)),NOT(ISNUMBER('Price History'!F27)),'Price History'!F27=0),"",'Price History'!F28/'Price History'!F27-1),"")</f>
        <v>0.0261919898283534</v>
      </c>
      <c r="G27" s="154" t="n">
        <f aca="false">IFERROR(IF(OR(NOT(ISNUMBER('Price History'!G28)),NOT(ISNUMBER('Price History'!G27)),'Price History'!G27=0),"",'Price History'!G28/'Price History'!G27-1),"")</f>
        <v>-0.0255609201931269</v>
      </c>
      <c r="H27" s="154" t="n">
        <f aca="false">IFERROR(IF(OR(NOT(ISNUMBER('Price History'!H28)),NOT(ISNUMBER('Price History'!H27)),'Price History'!H27=0),"",'Price History'!H28/'Price History'!H27-1),"")</f>
        <v>0.0259588895952532</v>
      </c>
      <c r="I27" s="154" t="n">
        <f aca="false">IFERROR(IF(OR(NOT(ISNUMBER('Price History'!I28)),NOT(ISNUMBER('Price History'!I27)),'Price History'!I27=0),"",'Price History'!I28/'Price History'!I27-1),"")</f>
        <v>0.0638712823013163</v>
      </c>
      <c r="J27" s="154" t="n">
        <f aca="false">IFERROR(IF(OR(NOT(ISNUMBER('Price History'!J28)),NOT(ISNUMBER('Price History'!J27)),'Price History'!J27=0),"",'Price History'!J28/'Price History'!J27-1),"")</f>
        <v>0.00349621920481336</v>
      </c>
      <c r="K27" s="154" t="n">
        <f aca="false">IFERROR(IF(OR(NOT(ISNUMBER('Price History'!K28)),NOT(ISNUMBER('Price History'!K27)),'Price History'!K27=0),"",'Price History'!K28/'Price History'!K27-1),"")</f>
        <v>0.0445246690734056</v>
      </c>
      <c r="L27" s="154" t="n">
        <f aca="false">IFERROR(IF(OR(NOT(ISNUMBER('Price History'!L28)),NOT(ISNUMBER('Price History'!L27)),'Price History'!L27=0),"",'Price History'!L28/'Price History'!L27-1),"")</f>
        <v>0.0931455980194957</v>
      </c>
      <c r="M27" s="154" t="n">
        <f aca="false">IFERROR(IF(OR(NOT(ISNUMBER('Price History'!M28)),NOT(ISNUMBER('Price History'!M27)),'Price History'!M27=0),"",'Price History'!M28/'Price History'!M27-1),"")</f>
        <v>-0.0170599943133353</v>
      </c>
      <c r="N27" s="154" t="n">
        <f aca="false">IFERROR(IF(OR(NOT(ISNUMBER('Price History'!N28)),NOT(ISNUMBER('Price History'!N27)),'Price History'!N27=0),"",'Price History'!N28/'Price History'!N27-1),"")</f>
        <v>-0.0442970699694981</v>
      </c>
      <c r="O27" s="154" t="n">
        <f aca="false">IFERROR(IF(OR(NOT(ISNUMBER('Price History'!O28)),NOT(ISNUMBER('Price History'!O27)),'Price History'!O27=0),"",'Price History'!O28/'Price History'!O27-1),"")</f>
        <v>0.00116455106556423</v>
      </c>
      <c r="P27" s="154" t="n">
        <f aca="false">IFERROR(IF(OR(NOT(ISNUMBER('Price History'!P28)),NOT(ISNUMBER('Price History'!P27)),'Price History'!P27=0),"",'Price History'!P28/'Price History'!P27-1),"")</f>
        <v>0.0267070745335731</v>
      </c>
      <c r="Q27" s="154" t="n">
        <f aca="false">IFERROR(IF(OR(NOT(ISNUMBER('Price History'!Q28)),NOT(ISNUMBER('Price History'!Q27)),'Price History'!Q27=0),"",'Price History'!Q28/'Price History'!Q27-1),"")</f>
        <v>0.0005520794994478</v>
      </c>
      <c r="R27" s="154" t="n">
        <f aca="false">IFERROR(IF(OR(NOT(ISNUMBER('Price History'!R28)),NOT(ISNUMBER('Price History'!R27)),'Price History'!R27=0),"",'Price History'!R28/'Price History'!R27-1),"")</f>
        <v>-0.00150075037518749</v>
      </c>
      <c r="S27" s="154" t="n">
        <f aca="false">IFERROR(IF(OR(NOT(ISNUMBER('Price History'!S28)),NOT(ISNUMBER('Price History'!S27)),'Price History'!S27=0),"",'Price History'!S28/'Price History'!S27-1),"")</f>
        <v>0.00388550705867141</v>
      </c>
      <c r="T27" s="154" t="n">
        <f aca="false">IFERROR(IF(OR(NOT(ISNUMBER('Price History'!T28)),NOT(ISNUMBER('Price History'!T27)),'Price History'!T27=0),"",'Price History'!T28/'Price History'!T27-1),"")</f>
        <v>0.0199244245963588</v>
      </c>
      <c r="U27" s="154" t="n">
        <f aca="false">IFERROR(IF(OR(NOT(ISNUMBER('Price History'!U28)),NOT(ISNUMBER('Price History'!U27)),'Price History'!U27=0),"",'Price History'!U28/'Price History'!U27-1),"")</f>
        <v>0.00339126748622309</v>
      </c>
      <c r="V27" s="155" t="n">
        <f aca="false">IFERROR(IF(OR(NOT(ISNUMBER('Price History'!V28)),NOT(ISNUMBER('Price History'!V27)),'Price History'!V27=0),"",'Price History'!V28/'Price History'!V27-1),"")</f>
        <v>-0.0110119476032819</v>
      </c>
      <c r="W27" s="156" t="n">
        <f aca="false">IFERROR('Price History'!B3+(INDEX('Price History'!B:B,MATCH(9.99E+307,'Returns (Calc)'!$A:$A)+1)-'Price History'!B3)*(ROW()-3)/(MATCH(9.99E+307,'Returns (Calc)'!$A:$A)-3),"")</f>
        <v>484.657088607595</v>
      </c>
      <c r="X27" s="156" t="n">
        <f aca="false">IFERROR('Price History'!C3+(INDEX('Price History'!C:C,MATCH(9.99E+307,'Returns (Calc)'!$A:$A)+1)-'Price History'!C3)*(ROW()-3)/(MATCH(9.99E+307,'Returns (Calc)'!$A:$A)-3),"")</f>
        <v>70.6615189873418</v>
      </c>
      <c r="Y27" s="156" t="n">
        <f aca="false">IFERROR('Price History'!D3+(INDEX('Price History'!D:D,MATCH(9.99E+307,'Returns (Calc)'!$A:$A)+1)-'Price History'!D3)*(ROW()-3)/(MATCH(9.99E+307,'Returns (Calc)'!$A:$A)-3),"")</f>
        <v>777.245443037975</v>
      </c>
      <c r="Z27" s="156" t="n">
        <f aca="false">IFERROR('Price History'!E3+(INDEX('Price History'!E:E,MATCH(9.99E+307,'Returns (Calc)'!$A:$A)+1)-'Price History'!E3)*(ROW()-3)/(MATCH(9.99E+307,'Returns (Calc)'!$A:$A)-3),"")</f>
        <v>123.489620253165</v>
      </c>
      <c r="AA27" s="156" t="n">
        <f aca="false">IFERROR('Price History'!F3+(INDEX('Price History'!F:F,MATCH(9.99E+307,'Returns (Calc)'!$A:$A)+1)-'Price History'!F3)*(ROW()-3)/(MATCH(9.99E+307,'Returns (Calc)'!$A:$A)-3),"")</f>
        <v>76.0962025316456</v>
      </c>
      <c r="AB27" s="156" t="n">
        <f aca="false">IFERROR('Price History'!G3+(INDEX('Price History'!G:G,MATCH(9.99E+307,'Returns (Calc)'!$A:$A)+1)-'Price History'!G3)*(ROW()-3)/(MATCH(9.99E+307,'Returns (Calc)'!$A:$A)-3),"")</f>
        <v>69.0396202531646</v>
      </c>
      <c r="AC27" s="156" t="n">
        <f aca="false">IFERROR('Price History'!H3+(INDEX('Price History'!H:H,MATCH(9.99E+307,'Returns (Calc)'!$A:$A)+1)-'Price History'!H3)*(ROW()-3)/(MATCH(9.99E+307,'Returns (Calc)'!$A:$A)-3),"")</f>
        <v>221.886708860759</v>
      </c>
      <c r="AD27" s="156" t="n">
        <f aca="false">IFERROR('Price History'!I3+(INDEX('Price History'!I:I,MATCH(9.99E+307,'Returns (Calc)'!$A:$A)+1)-'Price History'!I3)*(ROW()-3)/(MATCH(9.99E+307,'Returns (Calc)'!$A:$A)-3),"")</f>
        <v>72.6581012658228</v>
      </c>
      <c r="AE27" s="156" t="n">
        <f aca="false">IFERROR('Price History'!J3+(INDEX('Price History'!J:J,MATCH(9.99E+307,'Returns (Calc)'!$A:$A)+1)-'Price History'!J3)*(ROW()-3)/(MATCH(9.99E+307,'Returns (Calc)'!$A:$A)-3),"")</f>
        <v>114.432911392405</v>
      </c>
      <c r="AF27" s="156" t="n">
        <f aca="false">IFERROR('Price History'!K3+(INDEX('Price History'!K:K,MATCH(9.99E+307,'Returns (Calc)'!$A:$A)+1)-'Price History'!K3)*(ROW()-3)/(MATCH(9.99E+307,'Returns (Calc)'!$A:$A)-3),"")</f>
        <v>41.6722784810127</v>
      </c>
      <c r="AG27" s="156" t="n">
        <f aca="false">IFERROR('Price History'!L3+(INDEX('Price History'!L:L,MATCH(9.99E+307,'Returns (Calc)'!$A:$A)+1)-'Price History'!L3)*(ROW()-3)/(MATCH(9.99E+307,'Returns (Calc)'!$A:$A)-3),"")</f>
        <v>144.539367088608</v>
      </c>
      <c r="AH27" s="156" t="n">
        <f aca="false">IFERROR('Price History'!M3+(INDEX('Price History'!M:M,MATCH(9.99E+307,'Returns (Calc)'!$A:$A)+1)-'Price History'!M3)*(ROW()-3)/(MATCH(9.99E+307,'Returns (Calc)'!$A:$A)-3),"")</f>
        <v>70.5506329113924</v>
      </c>
      <c r="AI27" s="156" t="n">
        <f aca="false">IFERROR('Price History'!N3+(INDEX('Price History'!N:N,MATCH(9.99E+307,'Returns (Calc)'!$A:$A)+1)-'Price History'!N3)*(ROW()-3)/(MATCH(9.99E+307,'Returns (Calc)'!$A:$A)-3),"")</f>
        <v>372.570379746835</v>
      </c>
      <c r="AJ27" s="156" t="n">
        <f aca="false">IFERROR('Price History'!O3+(INDEX('Price History'!O:O,MATCH(9.99E+307,'Returns (Calc)'!$A:$A)+1)-'Price History'!O3)*(ROW()-3)/(MATCH(9.99E+307,'Returns (Calc)'!$A:$A)-3),"")</f>
        <v>82.1029113924051</v>
      </c>
      <c r="AK27" s="156" t="n">
        <f aca="false">IFERROR('Price History'!Q3+(INDEX('Price History'!Q:Q,MATCH(9.99E+307,'Returns (Calc)'!$A:$A)+1)-'Price History'!Q3)*(ROW()-3)/(MATCH(9.99E+307,'Returns (Calc)'!$A:$A)-3),"")</f>
        <v>10.5448101265823</v>
      </c>
      <c r="AL27" s="156" t="n">
        <f aca="false">IFERROR('Price History'!R3+(INDEX('Price History'!R:R,MATCH(9.99E+307,'Returns (Calc)'!$A:$A)+1)-'Price History'!R3)*(ROW()-3)/(MATCH(9.99E+307,'Returns (Calc)'!$A:$A)-3),"")</f>
        <v>38.5144303797468</v>
      </c>
      <c r="AM27" s="156" t="n">
        <f aca="false">IFERROR('Price History'!S3+(INDEX('Price History'!S:S,MATCH(9.99E+307,'Returns (Calc)'!$A:$A)+1)-'Price History'!S3)*(ROW()-3)/(MATCH(9.99E+307,'Returns (Calc)'!$A:$A)-3),"")</f>
        <v>72.1515189873418</v>
      </c>
      <c r="AN27" s="156" t="n">
        <f aca="false">IFERROR('Price History'!T3+(INDEX('Price History'!T:T,MATCH(9.99E+307,'Returns (Calc)'!$A:$A)+1)-'Price History'!T3)*(ROW()-3)/(MATCH(9.99E+307,'Returns (Calc)'!$A:$A)-3),"")</f>
        <v>29.2774683544304</v>
      </c>
      <c r="AO27" s="157" t="n">
        <f aca="false">IFERROR('Price History'!V3+(INDEX('Price History'!V:V,MATCH(9.99E+307,'Returns (Calc)'!$A:$A)+1)-'Price History'!V3)*(ROW()-3)/(MATCH(9.99E+307,'Returns (Calc)'!$A:$A)-3),"")</f>
        <v>254.621898734177</v>
      </c>
      <c r="AP27" s="155" t="n">
        <f aca="false">IFERROR(IF(OR(NOT(ISNUMBER('Price History'!W28)),NOT(ISNUMBER('Price History'!W27)),'Price History'!W27=0),"",'Price History'!W28/'Price History'!W27-1),"")</f>
        <v>0.0100823235593377</v>
      </c>
      <c r="AQ27" s="155" t="str">
        <f aca="false">IFERROR(IF(OR(NOT(ISNUMBER('Price History'!X28)),NOT(ISNUMBER('Price History'!X27)),'Price History'!X27=0),"",'Price History'!X28/'Price History'!X27-1),"")</f>
        <v/>
      </c>
      <c r="AR27" s="155" t="n">
        <f aca="false">IFERROR(IF(OR(NOT(ISNUMBER('Price History'!Y28)),NOT(ISNUMBER('Price History'!Y27)),'Price History'!Y27=0),"",'Price History'!Y28/'Price History'!Y27-1),"")</f>
        <v>0.00496974935177175</v>
      </c>
      <c r="AS27" s="155" t="n">
        <f aca="false">IFERROR(IF(OR(NOT(ISNUMBER('Price History'!Z28)),NOT(ISNUMBER('Price History'!Z27)),'Price History'!Z27=0),"",'Price History'!Z28/'Price History'!Z27-1),"")</f>
        <v>0.0586820586820587</v>
      </c>
      <c r="AT27" s="155" t="n">
        <f aca="false">IFERROR(IF(OR(NOT(ISNUMBER('Price History'!AA28)),NOT(ISNUMBER('Price History'!AA27)),'Price History'!AA27=0),"",'Price History'!AA28/'Price History'!AA27-1),"")</f>
        <v>-0.0234135314064267</v>
      </c>
      <c r="AU27" s="155" t="n">
        <f aca="false">IFERROR(IF(OR(NOT(ISNUMBER('Price History'!AB28)),NOT(ISNUMBER('Price History'!AB27)),'Price History'!AB27=0),"",'Price History'!AB28/'Price History'!AB27-1),"")</f>
        <v>0.0260348632944463</v>
      </c>
    </row>
    <row r="28" customFormat="false" ht="15" hidden="false" customHeight="true" outlineLevel="0" collapsed="false">
      <c r="A28" s="153" t="n">
        <f aca="false">IF('Price History'!A29="","",'Price History'!A29)</f>
        <v>45366</v>
      </c>
      <c r="B28" s="154" t="n">
        <f aca="false">IFERROR(IF(OR(NOT(ISNUMBER('Price History'!B29)),NOT(ISNUMBER('Price History'!B28)),'Price History'!B28=0),"",'Price History'!B29/'Price History'!B28-1),"")</f>
        <v>-0.107361017962987</v>
      </c>
      <c r="C28" s="154" t="n">
        <f aca="false">IFERROR(IF(OR(NOT(ISNUMBER('Price History'!C29)),NOT(ISNUMBER('Price History'!C28)),'Price History'!C28=0),"",'Price History'!C29/'Price History'!C28-1),"")</f>
        <v>0.0168424135910956</v>
      </c>
      <c r="D28" s="154" t="n">
        <f aca="false">IFERROR(IF(OR(NOT(ISNUMBER('Price History'!D29)),NOT(ISNUMBER('Price History'!D28)),'Price History'!D28=0),"",'Price History'!D29/'Price History'!D28-1),"")</f>
        <v>-0.054429171243494</v>
      </c>
      <c r="E28" s="154" t="n">
        <f aca="false">IFERROR(IF(OR(NOT(ISNUMBER('Price History'!E29)),NOT(ISNUMBER('Price History'!E28)),'Price History'!E28=0),"",'Price History'!E29/'Price History'!E28-1),"")</f>
        <v>-0.0559440559440558</v>
      </c>
      <c r="F28" s="154" t="n">
        <f aca="false">IFERROR(IF(OR(NOT(ISNUMBER('Price History'!F29)),NOT(ISNUMBER('Price History'!F28)),'Price History'!F28=0),"",'Price History'!F29/'Price History'!F28-1),"")</f>
        <v>-0.0223020691364143</v>
      </c>
      <c r="G28" s="154" t="n">
        <f aca="false">IFERROR(IF(OR(NOT(ISNUMBER('Price History'!G29)),NOT(ISNUMBER('Price History'!G28)),'Price History'!G28=0),"",'Price History'!G29/'Price History'!G28-1),"")</f>
        <v>-0.0220052462838823</v>
      </c>
      <c r="H28" s="154" t="n">
        <f aca="false">IFERROR(IF(OR(NOT(ISNUMBER('Price History'!H29)),NOT(ISNUMBER('Price History'!H28)),'Price History'!H28=0),"",'Price History'!H29/'Price History'!H28-1),"")</f>
        <v>-0.044717546215016</v>
      </c>
      <c r="I28" s="154" t="n">
        <f aca="false">IFERROR(IF(OR(NOT(ISNUMBER('Price History'!I29)),NOT(ISNUMBER('Price History'!I28)),'Price History'!I28=0),"",'Price History'!I29/'Price History'!I28-1),"")</f>
        <v>0.00355178735105421</v>
      </c>
      <c r="J28" s="154" t="n">
        <f aca="false">IFERROR(IF(OR(NOT(ISNUMBER('Price History'!J29)),NOT(ISNUMBER('Price History'!J28)),'Price History'!J28=0),"",'Price History'!J29/'Price History'!J28-1),"")</f>
        <v>-0.037757251660995</v>
      </c>
      <c r="K28" s="154" t="n">
        <f aca="false">IFERROR(IF(OR(NOT(ISNUMBER('Price History'!K29)),NOT(ISNUMBER('Price History'!K28)),'Price History'!K28=0),"",'Price History'!K29/'Price History'!K28-1),"")</f>
        <v>-0.097926267281106</v>
      </c>
      <c r="L28" s="154" t="n">
        <f aca="false">IFERROR(IF(OR(NOT(ISNUMBER('Price History'!L29)),NOT(ISNUMBER('Price History'!L28)),'Price History'!L28=0),"",'Price History'!L29/'Price History'!L28-1),"")</f>
        <v>-0.0641896673743809</v>
      </c>
      <c r="M28" s="154" t="n">
        <f aca="false">IFERROR(IF(OR(NOT(ISNUMBER('Price History'!M29)),NOT(ISNUMBER('Price History'!M28)),'Price History'!M28=0),"",'Price History'!M29/'Price History'!M28-1),"")</f>
        <v>0.068990454150998</v>
      </c>
      <c r="N28" s="154" t="n">
        <f aca="false">IFERROR(IF(OR(NOT(ISNUMBER('Price History'!N29)),NOT(ISNUMBER('Price History'!N28)),'Price History'!N28=0),"",'Price History'!N29/'Price History'!N28-1),"")</f>
        <v>-0.014265335235378</v>
      </c>
      <c r="O28" s="154" t="n">
        <f aca="false">IFERROR(IF(OR(NOT(ISNUMBER('Price History'!O29)),NOT(ISNUMBER('Price History'!O28)),'Price History'!O28=0),"",'Price History'!O29/'Price History'!O28-1),"")</f>
        <v>-0.00849133418634407</v>
      </c>
      <c r="P28" s="154" t="n">
        <f aca="false">IFERROR(IF(OR(NOT(ISNUMBER('Price History'!P29)),NOT(ISNUMBER('Price History'!P28)),'Price History'!P28=0),"",'Price History'!P29/'Price History'!P28-1),"")</f>
        <v>-0.0032284844571534</v>
      </c>
      <c r="Q28" s="154" t="n">
        <f aca="false">IFERROR(IF(OR(NOT(ISNUMBER('Price History'!Q29)),NOT(ISNUMBER('Price History'!Q28)),'Price History'!Q28=0),"",'Price History'!Q29/'Price History'!Q28-1),"")</f>
        <v>0.000183924958617077</v>
      </c>
      <c r="R28" s="154" t="n">
        <f aca="false">IFERROR(IF(OR(NOT(ISNUMBER('Price History'!R29)),NOT(ISNUMBER('Price History'!R28)),'Price History'!R28=0),"",'Price History'!R29/'Price History'!R28-1),"")</f>
        <v>-0.00526052104208419</v>
      </c>
      <c r="S28" s="154" t="n">
        <f aca="false">IFERROR(IF(OR(NOT(ISNUMBER('Price History'!S29)),NOT(ISNUMBER('Price History'!S28)),'Price History'!S28=0),"",'Price History'!S29/'Price History'!S28-1),"")</f>
        <v>-0.00516062443555676</v>
      </c>
      <c r="T28" s="154" t="n">
        <f aca="false">IFERROR(IF(OR(NOT(ISNUMBER('Price History'!T29)),NOT(ISNUMBER('Price History'!T28)),'Price History'!T28=0),"",'Price History'!T29/'Price History'!T28-1),"")</f>
        <v>0.0154934321320308</v>
      </c>
      <c r="U28" s="154" t="n">
        <f aca="false">IFERROR(IF(OR(NOT(ISNUMBER('Price History'!U29)),NOT(ISNUMBER('Price History'!U28)),'Price History'!U28=0),"",'Price History'!U29/'Price History'!U28-1),"")</f>
        <v>0.00168990283058723</v>
      </c>
      <c r="V28" s="155" t="n">
        <f aca="false">IFERROR(IF(OR(NOT(ISNUMBER('Price History'!V29)),NOT(ISNUMBER('Price History'!V28)),'Price History'!V28=0),"",'Price History'!V29/'Price History'!V28-1),"")</f>
        <v>0.0106979113601631</v>
      </c>
      <c r="W28" s="156" t="n">
        <f aca="false">IFERROR('Price History'!B3+(INDEX('Price History'!B:B,MATCH(9.99E+307,'Returns (Calc)'!$A:$A)+1)-'Price History'!B3)*(ROW()-3)/(MATCH(9.99E+307,'Returns (Calc)'!$A:$A)-3),"")</f>
        <v>482.814050632911</v>
      </c>
      <c r="X28" s="156" t="n">
        <f aca="false">IFERROR('Price History'!C3+(INDEX('Price History'!C:C,MATCH(9.99E+307,'Returns (Calc)'!$A:$A)+1)-'Price History'!C3)*(ROW()-3)/(MATCH(9.99E+307,'Returns (Calc)'!$A:$A)-3),"")</f>
        <v>71.681582278481</v>
      </c>
      <c r="Y28" s="156" t="n">
        <f aca="false">IFERROR('Price History'!D3+(INDEX('Price History'!D:D,MATCH(9.99E+307,'Returns (Calc)'!$A:$A)+1)-'Price History'!D3)*(ROW()-3)/(MATCH(9.99E+307,'Returns (Calc)'!$A:$A)-3),"")</f>
        <v>785.380253164557</v>
      </c>
      <c r="Z28" s="156" t="n">
        <f aca="false">IFERROR('Price History'!E3+(INDEX('Price History'!E:E,MATCH(9.99E+307,'Returns (Calc)'!$A:$A)+1)-'Price History'!E3)*(ROW()-3)/(MATCH(9.99E+307,'Returns (Calc)'!$A:$A)-3),"")</f>
        <v>125.21835443038</v>
      </c>
      <c r="AA28" s="156" t="n">
        <f aca="false">IFERROR('Price History'!F3+(INDEX('Price History'!F:F,MATCH(9.99E+307,'Returns (Calc)'!$A:$A)+1)-'Price History'!F3)*(ROW()-3)/(MATCH(9.99E+307,'Returns (Calc)'!$A:$A)-3),"")</f>
        <v>77.5435443037975</v>
      </c>
      <c r="AB28" s="156" t="n">
        <f aca="false">IFERROR('Price History'!G3+(INDEX('Price History'!G:G,MATCH(9.99E+307,'Returns (Calc)'!$A:$A)+1)-'Price History'!G3)*(ROW()-3)/(MATCH(9.99E+307,'Returns (Calc)'!$A:$A)-3),"")</f>
        <v>70.0683544303797</v>
      </c>
      <c r="AC28" s="156" t="n">
        <f aca="false">IFERROR('Price History'!H3+(INDEX('Price History'!H:H,MATCH(9.99E+307,'Returns (Calc)'!$A:$A)+1)-'Price History'!H3)*(ROW()-3)/(MATCH(9.99E+307,'Returns (Calc)'!$A:$A)-3),"")</f>
        <v>228.252405063291</v>
      </c>
      <c r="AD28" s="156" t="n">
        <f aca="false">IFERROR('Price History'!I3+(INDEX('Price History'!I:I,MATCH(9.99E+307,'Returns (Calc)'!$A:$A)+1)-'Price History'!I3)*(ROW()-3)/(MATCH(9.99E+307,'Returns (Calc)'!$A:$A)-3),"")</f>
        <v>73.8617721518987</v>
      </c>
      <c r="AE28" s="156" t="n">
        <f aca="false">IFERROR('Price History'!J3+(INDEX('Price History'!J:J,MATCH(9.99E+307,'Returns (Calc)'!$A:$A)+1)-'Price History'!J3)*(ROW()-3)/(MATCH(9.99E+307,'Returns (Calc)'!$A:$A)-3),"")</f>
        <v>114.540949367089</v>
      </c>
      <c r="AF28" s="156" t="n">
        <f aca="false">IFERROR('Price History'!K3+(INDEX('Price History'!K:K,MATCH(9.99E+307,'Returns (Calc)'!$A:$A)+1)-'Price History'!K3)*(ROW()-3)/(MATCH(9.99E+307,'Returns (Calc)'!$A:$A)-3),"")</f>
        <v>42.7698734177215</v>
      </c>
      <c r="AG28" s="156" t="n">
        <f aca="false">IFERROR('Price History'!L3+(INDEX('Price History'!L:L,MATCH(9.99E+307,'Returns (Calc)'!$A:$A)+1)-'Price History'!L3)*(ROW()-3)/(MATCH(9.99E+307,'Returns (Calc)'!$A:$A)-3),"")</f>
        <v>146.988924050633</v>
      </c>
      <c r="AH28" s="156" t="n">
        <f aca="false">IFERROR('Price History'!M3+(INDEX('Price History'!M:M,MATCH(9.99E+307,'Returns (Calc)'!$A:$A)+1)-'Price History'!M3)*(ROW()-3)/(MATCH(9.99E+307,'Returns (Calc)'!$A:$A)-3),"")</f>
        <v>71.9060759493671</v>
      </c>
      <c r="AI28" s="156" t="n">
        <f aca="false">IFERROR('Price History'!N3+(INDEX('Price History'!N:N,MATCH(9.99E+307,'Returns (Calc)'!$A:$A)+1)-'Price History'!N3)*(ROW()-3)/(MATCH(9.99E+307,'Returns (Calc)'!$A:$A)-3),"")</f>
        <v>373.55664556962</v>
      </c>
      <c r="AJ28" s="156" t="n">
        <f aca="false">IFERROR('Price History'!O3+(INDEX('Price History'!O:O,MATCH(9.99E+307,'Returns (Calc)'!$A:$A)+1)-'Price History'!O3)*(ROW()-3)/(MATCH(9.99E+307,'Returns (Calc)'!$A:$A)-3),"")</f>
        <v>82.3859493670886</v>
      </c>
      <c r="AK28" s="156" t="n">
        <f aca="false">IFERROR('Price History'!Q3+(INDEX('Price History'!Q:Q,MATCH(9.99E+307,'Returns (Calc)'!$A:$A)+1)-'Price History'!Q3)*(ROW()-3)/(MATCH(9.99E+307,'Returns (Calc)'!$A:$A)-3),"")</f>
        <v>10.9841772151899</v>
      </c>
      <c r="AL28" s="156" t="n">
        <f aca="false">IFERROR('Price History'!R3+(INDEX('Price History'!R:R,MATCH(9.99E+307,'Returns (Calc)'!$A:$A)+1)-'Price History'!R3)*(ROW()-3)/(MATCH(9.99E+307,'Returns (Calc)'!$A:$A)-3),"")</f>
        <v>38.6825316455696</v>
      </c>
      <c r="AM28" s="156" t="n">
        <f aca="false">IFERROR('Price History'!S3+(INDEX('Price History'!S:S,MATCH(9.99E+307,'Returns (Calc)'!$A:$A)+1)-'Price History'!S3)*(ROW()-3)/(MATCH(9.99E+307,'Returns (Calc)'!$A:$A)-3),"")</f>
        <v>72.756582278481</v>
      </c>
      <c r="AN28" s="156" t="n">
        <f aca="false">IFERROR('Price History'!T3+(INDEX('Price History'!T:T,MATCH(9.99E+307,'Returns (Calc)'!$A:$A)+1)-'Price History'!T3)*(ROW()-3)/(MATCH(9.99E+307,'Returns (Calc)'!$A:$A)-3),"")</f>
        <v>29.4456962025316</v>
      </c>
      <c r="AO28" s="157" t="n">
        <f aca="false">IFERROR('Price History'!V3+(INDEX('Price History'!V:V,MATCH(9.99E+307,'Returns (Calc)'!$A:$A)+1)-'Price History'!V3)*(ROW()-3)/(MATCH(9.99E+307,'Returns (Calc)'!$A:$A)-3),"")</f>
        <v>255.413227848101</v>
      </c>
      <c r="AP28" s="155" t="n">
        <f aca="false">IFERROR(IF(OR(NOT(ISNUMBER('Price History'!W29)),NOT(ISNUMBER('Price History'!W28)),'Price History'!W28=0),"",'Price History'!W29/'Price History'!W28-1),"")</f>
        <v>0.0021062271062271</v>
      </c>
      <c r="AQ28" s="155" t="str">
        <f aca="false">IFERROR(IF(OR(NOT(ISNUMBER('Price History'!X29)),NOT(ISNUMBER('Price History'!X28)),'Price History'!X28=0),"",'Price History'!X29/'Price History'!X28-1),"")</f>
        <v/>
      </c>
      <c r="AR28" s="155" t="n">
        <f aca="false">IFERROR(IF(OR(NOT(ISNUMBER('Price History'!Y29)),NOT(ISNUMBER('Price History'!Y28)),'Price History'!Y28=0),"",'Price History'!Y29/'Price History'!Y28-1),"")</f>
        <v>-0.00215007525263389</v>
      </c>
      <c r="AS28" s="155" t="n">
        <f aca="false">IFERROR(IF(OR(NOT(ISNUMBER('Price History'!Z29)),NOT(ISNUMBER('Price History'!Z28)),'Price History'!Z28=0),"",'Price History'!Z29/'Price History'!Z28-1),"")</f>
        <v>0.00552779039830376</v>
      </c>
      <c r="AT28" s="155" t="n">
        <f aca="false">IFERROR(IF(OR(NOT(ISNUMBER('Price History'!AA29)),NOT(ISNUMBER('Price History'!AA28)),'Price History'!AA28=0),"",'Price History'!AA29/'Price History'!AA28-1),"")</f>
        <v>0.00181878306878325</v>
      </c>
      <c r="AU28" s="155" t="n">
        <f aca="false">IFERROR(IF(OR(NOT(ISNUMBER('Price History'!AB29)),NOT(ISNUMBER('Price History'!AB28)),'Price History'!AB28=0),"",'Price History'!AB29/'Price History'!AB28-1),"")</f>
        <v>-0.00355590675622286</v>
      </c>
    </row>
    <row r="29" customFormat="false" ht="15" hidden="false" customHeight="true" outlineLevel="0" collapsed="false">
      <c r="A29" s="153" t="n">
        <f aca="false">IF('Price History'!A30="","",'Price History'!A30)</f>
        <v>45373</v>
      </c>
      <c r="B29" s="154" t="n">
        <f aca="false">IFERROR(IF(OR(NOT(ISNUMBER('Price History'!B30)),NOT(ISNUMBER('Price History'!B29)),'Price History'!B29=0),"",'Price History'!B30/'Price History'!B29-1),"")</f>
        <v>0.0143361897412988</v>
      </c>
      <c r="C29" s="154" t="n">
        <f aca="false">IFERROR(IF(OR(NOT(ISNUMBER('Price History'!C30)),NOT(ISNUMBER('Price History'!C29)),'Price History'!C29=0),"",'Price History'!C30/'Price History'!C29-1),"")</f>
        <v>0.103413510010082</v>
      </c>
      <c r="D29" s="154" t="n">
        <f aca="false">IFERROR(IF(OR(NOT(ISNUMBER('Price History'!D30)),NOT(ISNUMBER('Price History'!D29)),'Price History'!D29=0),"",'Price History'!D30/'Price History'!D29-1),"")</f>
        <v>0.042275999088037</v>
      </c>
      <c r="E29" s="154" t="n">
        <f aca="false">IFERROR(IF(OR(NOT(ISNUMBER('Price History'!E30)),NOT(ISNUMBER('Price History'!E29)),'Price History'!E29=0),"",'Price History'!E30/'Price History'!E29-1),"")</f>
        <v>0.100208073241781</v>
      </c>
      <c r="F29" s="154" t="n">
        <f aca="false">IFERROR(IF(OR(NOT(ISNUMBER('Price History'!F30)),NOT(ISNUMBER('Price History'!F29)),'Price History'!F29=0),"",'Price History'!F30/'Price History'!F29-1),"")</f>
        <v>0.037764541883158</v>
      </c>
      <c r="G29" s="154" t="n">
        <f aca="false">IFERROR(IF(OR(NOT(ISNUMBER('Price History'!G30)),NOT(ISNUMBER('Price History'!G29)),'Price History'!G29=0),"",'Price History'!G30/'Price History'!G29-1),"")</f>
        <v>0.0390403814632694</v>
      </c>
      <c r="H29" s="154" t="n">
        <f aca="false">IFERROR(IF(OR(NOT(ISNUMBER('Price History'!H30)),NOT(ISNUMBER('Price History'!H29)),'Price History'!H29=0),"",'Price History'!H30/'Price History'!H29-1),"")</f>
        <v>0.181837837837838</v>
      </c>
      <c r="I29" s="154" t="n">
        <f aca="false">IFERROR(IF(OR(NOT(ISNUMBER('Price History'!I30)),NOT(ISNUMBER('Price History'!I29)),'Price History'!I29=0),"",'Price History'!I30/'Price History'!I29-1),"")</f>
        <v>0.0734102066445941</v>
      </c>
      <c r="J29" s="154" t="n">
        <f aca="false">IFERROR(IF(OR(NOT(ISNUMBER('Price History'!J30)),NOT(ISNUMBER('Price History'!J29)),'Price History'!J29=0),"",'Price History'!J30/'Price History'!J29-1),"")</f>
        <v>-0.00303132367800607</v>
      </c>
      <c r="K29" s="154" t="n">
        <f aca="false">IFERROR(IF(OR(NOT(ISNUMBER('Price History'!K30)),NOT(ISNUMBER('Price History'!K29)),'Price History'!K29=0),"",'Price History'!K30/'Price History'!K29-1),"")</f>
        <v>0.029374201787995</v>
      </c>
      <c r="L29" s="154" t="n">
        <f aca="false">IFERROR(IF(OR(NOT(ISNUMBER('Price History'!L30)),NOT(ISNUMBER('Price History'!L29)),'Price History'!L29=0),"",'Price History'!L30/'Price History'!L29-1),"")</f>
        <v>0.0301746956061408</v>
      </c>
      <c r="M29" s="154" t="n">
        <f aca="false">IFERROR(IF(OR(NOT(ISNUMBER('Price History'!M30)),NOT(ISNUMBER('Price History'!M29)),'Price History'!M29=0),"",'Price History'!M30/'Price History'!M29-1),"")</f>
        <v>0.112839940468137</v>
      </c>
      <c r="N29" s="154" t="n">
        <f aca="false">IFERROR(IF(OR(NOT(ISNUMBER('Price History'!N30)),NOT(ISNUMBER('Price History'!N29)),'Price History'!N29=0),"",'Price History'!N30/'Price History'!N29-1),"")</f>
        <v>0.0195491672594375</v>
      </c>
      <c r="O29" s="154" t="n">
        <f aca="false">IFERROR(IF(OR(NOT(ISNUMBER('Price History'!O30)),NOT(ISNUMBER('Price History'!O29)),'Price History'!O29=0),"",'Price History'!O30/'Price History'!O29-1),"")</f>
        <v>0.0273345847020179</v>
      </c>
      <c r="P29" s="154" t="n">
        <f aca="false">IFERROR(IF(OR(NOT(ISNUMBER('Price History'!P30)),NOT(ISNUMBER('Price History'!P29)),'Price History'!P29=0),"",'Price History'!P30/'Price History'!P29-1),"")</f>
        <v>0.0161947066444568</v>
      </c>
      <c r="Q29" s="154" t="n">
        <f aca="false">IFERROR(IF(OR(NOT(ISNUMBER('Price History'!Q30)),NOT(ISNUMBER('Price History'!Q29)),'Price History'!Q29=0),"",'Price History'!Q30/'Price History'!Q29-1),"")</f>
        <v>0.0121368150055168</v>
      </c>
      <c r="R29" s="154" t="n">
        <f aca="false">IFERROR(IF(OR(NOT(ISNUMBER('Price History'!R30)),NOT(ISNUMBER('Price History'!R29)),'Price History'!R29=0),"",'Price History'!R30/'Price History'!R29-1),"")</f>
        <v>0.0256862251322083</v>
      </c>
      <c r="S29" s="154" t="n">
        <f aca="false">IFERROR(IF(OR(NOT(ISNUMBER('Price History'!S30)),NOT(ISNUMBER('Price History'!S29)),'Price History'!S29=0),"",'Price History'!S30/'Price History'!S29-1),"")</f>
        <v>0.0300868888600701</v>
      </c>
      <c r="T29" s="154" t="n">
        <f aca="false">IFERROR(IF(OR(NOT(ISNUMBER('Price History'!T30)),NOT(ISNUMBER('Price History'!T29)),'Price History'!T29=0),"",'Price History'!T30/'Price History'!T29-1),"")</f>
        <v>0.0242122719734661</v>
      </c>
      <c r="U29" s="154" t="n">
        <f aca="false">IFERROR(IF(OR(NOT(ISNUMBER('Price History'!U30)),NOT(ISNUMBER('Price History'!U29)),'Price History'!U29=0),"",'Price History'!U30/'Price History'!U29-1),"")</f>
        <v>0.0185575706452972</v>
      </c>
      <c r="V29" s="155" t="n">
        <f aca="false">IFERROR(IF(OR(NOT(ISNUMBER('Price History'!V30)),NOT(ISNUMBER('Price History'!V29)),'Price History'!V29=0),"",'Price History'!V30/'Price History'!V29-1),"")</f>
        <v>0.000792050691244439</v>
      </c>
      <c r="W29" s="156" t="n">
        <f aca="false">IFERROR('Price History'!B3+(INDEX('Price History'!B:B,MATCH(9.99E+307,'Returns (Calc)'!$A:$A)+1)-'Price History'!B3)*(ROW()-3)/(MATCH(9.99E+307,'Returns (Calc)'!$A:$A)-3),"")</f>
        <v>480.971012658228</v>
      </c>
      <c r="X29" s="156" t="n">
        <f aca="false">IFERROR('Price History'!C3+(INDEX('Price History'!C:C,MATCH(9.99E+307,'Returns (Calc)'!$A:$A)+1)-'Price History'!C3)*(ROW()-3)/(MATCH(9.99E+307,'Returns (Calc)'!$A:$A)-3),"")</f>
        <v>72.7016455696203</v>
      </c>
      <c r="Y29" s="156" t="n">
        <f aca="false">IFERROR('Price History'!D3+(INDEX('Price History'!D:D,MATCH(9.99E+307,'Returns (Calc)'!$A:$A)+1)-'Price History'!D3)*(ROW()-3)/(MATCH(9.99E+307,'Returns (Calc)'!$A:$A)-3),"")</f>
        <v>793.515063291139</v>
      </c>
      <c r="Z29" s="156" t="n">
        <f aca="false">IFERROR('Price History'!E3+(INDEX('Price History'!E:E,MATCH(9.99E+307,'Returns (Calc)'!$A:$A)+1)-'Price History'!E3)*(ROW()-3)/(MATCH(9.99E+307,'Returns (Calc)'!$A:$A)-3),"")</f>
        <v>126.947088607595</v>
      </c>
      <c r="AA29" s="156" t="n">
        <f aca="false">IFERROR('Price History'!F3+(INDEX('Price History'!F:F,MATCH(9.99E+307,'Returns (Calc)'!$A:$A)+1)-'Price History'!F3)*(ROW()-3)/(MATCH(9.99E+307,'Returns (Calc)'!$A:$A)-3),"")</f>
        <v>78.9908860759494</v>
      </c>
      <c r="AB29" s="156" t="n">
        <f aca="false">IFERROR('Price History'!G3+(INDEX('Price History'!G:G,MATCH(9.99E+307,'Returns (Calc)'!$A:$A)+1)-'Price History'!G3)*(ROW()-3)/(MATCH(9.99E+307,'Returns (Calc)'!$A:$A)-3),"")</f>
        <v>71.0970886075949</v>
      </c>
      <c r="AC29" s="156" t="n">
        <f aca="false">IFERROR('Price History'!H3+(INDEX('Price History'!H:H,MATCH(9.99E+307,'Returns (Calc)'!$A:$A)+1)-'Price History'!H3)*(ROW()-3)/(MATCH(9.99E+307,'Returns (Calc)'!$A:$A)-3),"")</f>
        <v>234.618101265823</v>
      </c>
      <c r="AD29" s="156" t="n">
        <f aca="false">IFERROR('Price History'!I3+(INDEX('Price History'!I:I,MATCH(9.99E+307,'Returns (Calc)'!$A:$A)+1)-'Price History'!I3)*(ROW()-3)/(MATCH(9.99E+307,'Returns (Calc)'!$A:$A)-3),"")</f>
        <v>75.0654430379747</v>
      </c>
      <c r="AE29" s="156" t="n">
        <f aca="false">IFERROR('Price History'!J3+(INDEX('Price History'!J:J,MATCH(9.99E+307,'Returns (Calc)'!$A:$A)+1)-'Price History'!J3)*(ROW()-3)/(MATCH(9.99E+307,'Returns (Calc)'!$A:$A)-3),"")</f>
        <v>114.648987341772</v>
      </c>
      <c r="AF29" s="156" t="n">
        <f aca="false">IFERROR('Price History'!K3+(INDEX('Price History'!K:K,MATCH(9.99E+307,'Returns (Calc)'!$A:$A)+1)-'Price History'!K3)*(ROW()-3)/(MATCH(9.99E+307,'Returns (Calc)'!$A:$A)-3),"")</f>
        <v>43.8674683544304</v>
      </c>
      <c r="AG29" s="156" t="n">
        <f aca="false">IFERROR('Price History'!L3+(INDEX('Price History'!L:L,MATCH(9.99E+307,'Returns (Calc)'!$A:$A)+1)-'Price History'!L3)*(ROW()-3)/(MATCH(9.99E+307,'Returns (Calc)'!$A:$A)-3),"")</f>
        <v>149.438481012658</v>
      </c>
      <c r="AH29" s="156" t="n">
        <f aca="false">IFERROR('Price History'!M3+(INDEX('Price History'!M:M,MATCH(9.99E+307,'Returns (Calc)'!$A:$A)+1)-'Price History'!M3)*(ROW()-3)/(MATCH(9.99E+307,'Returns (Calc)'!$A:$A)-3),"")</f>
        <v>73.2615189873418</v>
      </c>
      <c r="AI29" s="156" t="n">
        <f aca="false">IFERROR('Price History'!N3+(INDEX('Price History'!N:N,MATCH(9.99E+307,'Returns (Calc)'!$A:$A)+1)-'Price History'!N3)*(ROW()-3)/(MATCH(9.99E+307,'Returns (Calc)'!$A:$A)-3),"")</f>
        <v>374.542911392405</v>
      </c>
      <c r="AJ29" s="156" t="n">
        <f aca="false">IFERROR('Price History'!O3+(INDEX('Price History'!O:O,MATCH(9.99E+307,'Returns (Calc)'!$A:$A)+1)-'Price History'!O3)*(ROW()-3)/(MATCH(9.99E+307,'Returns (Calc)'!$A:$A)-3),"")</f>
        <v>82.6689873417722</v>
      </c>
      <c r="AK29" s="156" t="n">
        <f aca="false">IFERROR('Price History'!Q3+(INDEX('Price History'!Q:Q,MATCH(9.99E+307,'Returns (Calc)'!$A:$A)+1)-'Price History'!Q3)*(ROW()-3)/(MATCH(9.99E+307,'Returns (Calc)'!$A:$A)-3),"")</f>
        <v>11.4235443037975</v>
      </c>
      <c r="AL29" s="156" t="n">
        <f aca="false">IFERROR('Price History'!R3+(INDEX('Price History'!R:R,MATCH(9.99E+307,'Returns (Calc)'!$A:$A)+1)-'Price History'!R3)*(ROW()-3)/(MATCH(9.99E+307,'Returns (Calc)'!$A:$A)-3),"")</f>
        <v>38.8506329113924</v>
      </c>
      <c r="AM29" s="156" t="n">
        <f aca="false">IFERROR('Price History'!S3+(INDEX('Price History'!S:S,MATCH(9.99E+307,'Returns (Calc)'!$A:$A)+1)-'Price History'!S3)*(ROW()-3)/(MATCH(9.99E+307,'Returns (Calc)'!$A:$A)-3),"")</f>
        <v>73.3616455696203</v>
      </c>
      <c r="AN29" s="156" t="n">
        <f aca="false">IFERROR('Price History'!T3+(INDEX('Price History'!T:T,MATCH(9.99E+307,'Returns (Calc)'!$A:$A)+1)-'Price History'!T3)*(ROW()-3)/(MATCH(9.99E+307,'Returns (Calc)'!$A:$A)-3),"")</f>
        <v>29.6139240506329</v>
      </c>
      <c r="AO29" s="157" t="n">
        <f aca="false">IFERROR('Price History'!V3+(INDEX('Price History'!V:V,MATCH(9.99E+307,'Returns (Calc)'!$A:$A)+1)-'Price History'!V3)*(ROW()-3)/(MATCH(9.99E+307,'Returns (Calc)'!$A:$A)-3),"")</f>
        <v>256.204556962025</v>
      </c>
      <c r="AP29" s="155" t="n">
        <f aca="false">IFERROR(IF(OR(NOT(ISNUMBER('Price History'!W30)),NOT(ISNUMBER('Price History'!W29)),'Price History'!W29=0),"",'Price History'!W30/'Price History'!W29-1),"")</f>
        <v>0.018459289043224</v>
      </c>
      <c r="AQ29" s="155" t="str">
        <f aca="false">IFERROR(IF(OR(NOT(ISNUMBER('Price History'!X30)),NOT(ISNUMBER('Price History'!X29)),'Price History'!X29=0),"",'Price History'!X30/'Price History'!X29-1),"")</f>
        <v/>
      </c>
      <c r="AR29" s="155" t="n">
        <f aca="false">IFERROR(IF(OR(NOT(ISNUMBER('Price History'!Y30)),NOT(ISNUMBER('Price History'!Y29)),'Price History'!Y29=0),"",'Price History'!Y30/'Price History'!Y29-1),"")</f>
        <v>0.0086188321482441</v>
      </c>
      <c r="AS29" s="155" t="n">
        <f aca="false">IFERROR(IF(OR(NOT(ISNUMBER('Price History'!Z30)),NOT(ISNUMBER('Price History'!Z29)),'Price History'!Z29=0),"",'Price History'!Z30/'Price History'!Z29-1),"")</f>
        <v>0.0370509827547256</v>
      </c>
      <c r="AT29" s="155" t="n">
        <f aca="false">IFERROR(IF(OR(NOT(ISNUMBER('Price History'!AA30)),NOT(ISNUMBER('Price History'!AA29)),'Price History'!AA29=0),"",'Price History'!AA30/'Price History'!AA29-1),"")</f>
        <v>0.0364746657864332</v>
      </c>
      <c r="AU29" s="155" t="n">
        <f aca="false">IFERROR(IF(OR(NOT(ISNUMBER('Price History'!AB30)),NOT(ISNUMBER('Price History'!AB29)),'Price History'!AB29=0),"",'Price History'!AB30/'Price History'!AB29-1),"")</f>
        <v>0.0151555203101594</v>
      </c>
    </row>
    <row r="30" customFormat="false" ht="15" hidden="false" customHeight="true" outlineLevel="0" collapsed="false">
      <c r="A30" s="153" t="n">
        <f aca="false">IF('Price History'!A31="","",'Price History'!A31)</f>
        <v>45380</v>
      </c>
      <c r="B30" s="154" t="n">
        <f aca="false">IFERROR(IF(OR(NOT(ISNUMBER('Price History'!B31)),NOT(ISNUMBER('Price History'!B30)),'Price History'!B30=0),"",'Price History'!B31/'Price History'!B30-1),"")</f>
        <v>0.0101697629724535</v>
      </c>
      <c r="C30" s="154" t="n">
        <f aca="false">IFERROR(IF(OR(NOT(ISNUMBER('Price History'!C31)),NOT(ISNUMBER('Price History'!C30)),'Price History'!C30=0),"",'Price History'!C31/'Price History'!C30-1),"")</f>
        <v>-0.0536483487795327</v>
      </c>
      <c r="D30" s="154" t="n">
        <f aca="false">IFERROR(IF(OR(NOT(ISNUMBER('Price History'!D31)),NOT(ISNUMBER('Price History'!D30)),'Price History'!D30=0),"",'Price History'!D31/'Price History'!D30-1),"")</f>
        <v>-0.00968719727508516</v>
      </c>
      <c r="E30" s="154" t="n">
        <f aca="false">IFERROR(IF(OR(NOT(ISNUMBER('Price History'!E31)),NOT(ISNUMBER('Price History'!E30)),'Price History'!E30=0),"",'Price History'!E31/'Price History'!E30-1),"")</f>
        <v>-0.0207277403737046</v>
      </c>
      <c r="F30" s="154" t="n">
        <f aca="false">IFERROR(IF(OR(NOT(ISNUMBER('Price History'!F31)),NOT(ISNUMBER('Price History'!F30)),'Price History'!F30=0),"",'Price History'!F31/'Price History'!F30-1),"")</f>
        <v>-0.0212480156307241</v>
      </c>
      <c r="G30" s="154" t="n">
        <f aca="false">IFERROR(IF(OR(NOT(ISNUMBER('Price History'!G31)),NOT(ISNUMBER('Price History'!G30)),'Price History'!G30=0),"",'Price History'!G31/'Price History'!G30-1),"")</f>
        <v>-0.0169224150293992</v>
      </c>
      <c r="H30" s="154" t="n">
        <f aca="false">IFERROR(IF(OR(NOT(ISNUMBER('Price History'!H31)),NOT(ISNUMBER('Price History'!H30)),'Price History'!H30=0),"",'Price History'!H31/'Price History'!H30-1),"")</f>
        <v>0.0707098426637396</v>
      </c>
      <c r="I30" s="154" t="n">
        <f aca="false">IFERROR(IF(OR(NOT(ISNUMBER('Price History'!I31)),NOT(ISNUMBER('Price History'!I30)),'Price History'!I30=0),"",'Price History'!I31/'Price History'!I30-1),"")</f>
        <v>-0.0416932567538821</v>
      </c>
      <c r="J30" s="154" t="n">
        <f aca="false">IFERROR(IF(OR(NOT(ISNUMBER('Price History'!J31)),NOT(ISNUMBER('Price History'!J30)),'Price History'!J30=0),"",'Price History'!J31/'Price History'!J30-1),"")</f>
        <v>0.0124155405405406</v>
      </c>
      <c r="K30" s="154" t="n">
        <f aca="false">IFERROR(IF(OR(NOT(ISNUMBER('Price History'!K31)),NOT(ISNUMBER('Price History'!K30)),'Price History'!K30=0),"",'Price History'!K31/'Price History'!K30-1),"")</f>
        <v>-0.0483870967741935</v>
      </c>
      <c r="L30" s="154" t="n">
        <f aca="false">IFERROR(IF(OR(NOT(ISNUMBER('Price History'!L31)),NOT(ISNUMBER('Price History'!L30)),'Price History'!L30=0),"",'Price History'!L31/'Price History'!L30-1),"")</f>
        <v>-0.0319336367640581</v>
      </c>
      <c r="M30" s="154" t="n">
        <f aca="false">IFERROR(IF(OR(NOT(ISNUMBER('Price History'!M31)),NOT(ISNUMBER('Price History'!M30)),'Price History'!M30=0),"",'Price History'!M31/'Price History'!M30-1),"")</f>
        <v>-0.00996960486322185</v>
      </c>
      <c r="N30" s="154" t="n">
        <f aca="false">IFERROR(IF(OR(NOT(ISNUMBER('Price History'!N31)),NOT(ISNUMBER('Price History'!N30)),'Price History'!N30=0),"",'Price History'!N31/'Price History'!N30-1),"")</f>
        <v>0.00565365924072547</v>
      </c>
      <c r="O30" s="154" t="n">
        <f aca="false">IFERROR(IF(OR(NOT(ISNUMBER('Price History'!O31)),NOT(ISNUMBER('Price History'!O30)),'Price History'!O30=0),"",'Price History'!O31/'Price History'!O30-1),"")</f>
        <v>0.0286627840584677</v>
      </c>
      <c r="P30" s="154" t="n">
        <f aca="false">IFERROR(IF(OR(NOT(ISNUMBER('Price History'!P31)),NOT(ISNUMBER('Price History'!P30)),'Price History'!P30=0),"",'Price History'!P31/'Price History'!P30-1),"")</f>
        <v>0.0252253893088061</v>
      </c>
      <c r="Q30" s="154" t="n">
        <f aca="false">IFERROR(IF(OR(NOT(ISNUMBER('Price History'!Q31)),NOT(ISNUMBER('Price History'!Q30)),'Price History'!Q30=0),"",'Price History'!Q31/'Price History'!Q30-1),"")</f>
        <v>0.000726744186046568</v>
      </c>
      <c r="R30" s="154" t="n">
        <f aca="false">IFERROR(IF(OR(NOT(ISNUMBER('Price History'!R31)),NOT(ISNUMBER('Price History'!R30)),'Price History'!R30=0),"",'Price History'!R31/'Price History'!R30-1),"")</f>
        <v>-0.000491038546525768</v>
      </c>
      <c r="S30" s="154" t="n">
        <f aca="false">IFERROR(IF(OR(NOT(ISNUMBER('Price History'!S31)),NOT(ISNUMBER('Price History'!S30)),'Price History'!S30=0),"",'Price History'!S31/'Price History'!S30-1),"")</f>
        <v>-0.00755382097444302</v>
      </c>
      <c r="T30" s="154" t="n">
        <f aca="false">IFERROR(IF(OR(NOT(ISNUMBER('Price History'!T31)),NOT(ISNUMBER('Price History'!T30)),'Price History'!T30=0),"",'Price History'!T31/'Price History'!T30-1),"")</f>
        <v>0.0155440414507773</v>
      </c>
      <c r="U30" s="154" t="n">
        <f aca="false">IFERROR(IF(OR(NOT(ISNUMBER('Price History'!U31)),NOT(ISNUMBER('Price History'!U30)),'Price History'!U30=0),"",'Price History'!U31/'Price History'!U30-1),"")</f>
        <v>0.0157349896480332</v>
      </c>
      <c r="V30" s="155" t="n">
        <f aca="false">IFERROR(IF(OR(NOT(ISNUMBER('Price History'!V31)),NOT(ISNUMBER('Price History'!V30)),'Price History'!V30=0),"",'Price History'!V31/'Price History'!V30-1),"")</f>
        <v>-0.0147492625368733</v>
      </c>
      <c r="W30" s="156" t="n">
        <f aca="false">IFERROR('Price History'!B3+(INDEX('Price History'!B:B,MATCH(9.99E+307,'Returns (Calc)'!$A:$A)+1)-'Price History'!B3)*(ROW()-3)/(MATCH(9.99E+307,'Returns (Calc)'!$A:$A)-3),"")</f>
        <v>479.127974683544</v>
      </c>
      <c r="X30" s="156" t="n">
        <f aca="false">IFERROR('Price History'!C3+(INDEX('Price History'!C:C,MATCH(9.99E+307,'Returns (Calc)'!$A:$A)+1)-'Price History'!C3)*(ROW()-3)/(MATCH(9.99E+307,'Returns (Calc)'!$A:$A)-3),"")</f>
        <v>73.7217088607595</v>
      </c>
      <c r="Y30" s="156" t="n">
        <f aca="false">IFERROR('Price History'!D3+(INDEX('Price History'!D:D,MATCH(9.99E+307,'Returns (Calc)'!$A:$A)+1)-'Price History'!D3)*(ROW()-3)/(MATCH(9.99E+307,'Returns (Calc)'!$A:$A)-3),"")</f>
        <v>801.649873417721</v>
      </c>
      <c r="Z30" s="156" t="n">
        <f aca="false">IFERROR('Price History'!E3+(INDEX('Price History'!E:E,MATCH(9.99E+307,'Returns (Calc)'!$A:$A)+1)-'Price History'!E3)*(ROW()-3)/(MATCH(9.99E+307,'Returns (Calc)'!$A:$A)-3),"")</f>
        <v>128.67582278481</v>
      </c>
      <c r="AA30" s="156" t="n">
        <f aca="false">IFERROR('Price History'!F3+(INDEX('Price History'!F:F,MATCH(9.99E+307,'Returns (Calc)'!$A:$A)+1)-'Price History'!F3)*(ROW()-3)/(MATCH(9.99E+307,'Returns (Calc)'!$A:$A)-3),"")</f>
        <v>80.4382278481013</v>
      </c>
      <c r="AB30" s="156" t="n">
        <f aca="false">IFERROR('Price History'!G3+(INDEX('Price History'!G:G,MATCH(9.99E+307,'Returns (Calc)'!$A:$A)+1)-'Price History'!G3)*(ROW()-3)/(MATCH(9.99E+307,'Returns (Calc)'!$A:$A)-3),"")</f>
        <v>72.1258227848101</v>
      </c>
      <c r="AC30" s="156" t="n">
        <f aca="false">IFERROR('Price History'!H3+(INDEX('Price History'!H:H,MATCH(9.99E+307,'Returns (Calc)'!$A:$A)+1)-'Price History'!H3)*(ROW()-3)/(MATCH(9.99E+307,'Returns (Calc)'!$A:$A)-3),"")</f>
        <v>240.983797468354</v>
      </c>
      <c r="AD30" s="156" t="n">
        <f aca="false">IFERROR('Price History'!I3+(INDEX('Price History'!I:I,MATCH(9.99E+307,'Returns (Calc)'!$A:$A)+1)-'Price History'!I3)*(ROW()-3)/(MATCH(9.99E+307,'Returns (Calc)'!$A:$A)-3),"")</f>
        <v>76.2691139240506</v>
      </c>
      <c r="AE30" s="156" t="n">
        <f aca="false">IFERROR('Price History'!J3+(INDEX('Price History'!J:J,MATCH(9.99E+307,'Returns (Calc)'!$A:$A)+1)-'Price History'!J3)*(ROW()-3)/(MATCH(9.99E+307,'Returns (Calc)'!$A:$A)-3),"")</f>
        <v>114.757025316456</v>
      </c>
      <c r="AF30" s="156" t="n">
        <f aca="false">IFERROR('Price History'!K3+(INDEX('Price History'!K:K,MATCH(9.99E+307,'Returns (Calc)'!$A:$A)+1)-'Price History'!K3)*(ROW()-3)/(MATCH(9.99E+307,'Returns (Calc)'!$A:$A)-3),"")</f>
        <v>44.9650632911392</v>
      </c>
      <c r="AG30" s="156" t="n">
        <f aca="false">IFERROR('Price History'!L3+(INDEX('Price History'!L:L,MATCH(9.99E+307,'Returns (Calc)'!$A:$A)+1)-'Price History'!L3)*(ROW()-3)/(MATCH(9.99E+307,'Returns (Calc)'!$A:$A)-3),"")</f>
        <v>151.888037974684</v>
      </c>
      <c r="AH30" s="156" t="n">
        <f aca="false">IFERROR('Price History'!M3+(INDEX('Price History'!M:M,MATCH(9.99E+307,'Returns (Calc)'!$A:$A)+1)-'Price History'!M3)*(ROW()-3)/(MATCH(9.99E+307,'Returns (Calc)'!$A:$A)-3),"")</f>
        <v>74.6169620253165</v>
      </c>
      <c r="AI30" s="156" t="n">
        <f aca="false">IFERROR('Price History'!N3+(INDEX('Price History'!N:N,MATCH(9.99E+307,'Returns (Calc)'!$A:$A)+1)-'Price History'!N3)*(ROW()-3)/(MATCH(9.99E+307,'Returns (Calc)'!$A:$A)-3),"")</f>
        <v>375.52917721519</v>
      </c>
      <c r="AJ30" s="156" t="n">
        <f aca="false">IFERROR('Price History'!O3+(INDEX('Price History'!O:O,MATCH(9.99E+307,'Returns (Calc)'!$A:$A)+1)-'Price History'!O3)*(ROW()-3)/(MATCH(9.99E+307,'Returns (Calc)'!$A:$A)-3),"")</f>
        <v>82.9520253164557</v>
      </c>
      <c r="AK30" s="156" t="n">
        <f aca="false">IFERROR('Price History'!Q3+(INDEX('Price History'!Q:Q,MATCH(9.99E+307,'Returns (Calc)'!$A:$A)+1)-'Price History'!Q3)*(ROW()-3)/(MATCH(9.99E+307,'Returns (Calc)'!$A:$A)-3),"")</f>
        <v>11.8629113924051</v>
      </c>
      <c r="AL30" s="156" t="n">
        <f aca="false">IFERROR('Price History'!R3+(INDEX('Price History'!R:R,MATCH(9.99E+307,'Returns (Calc)'!$A:$A)+1)-'Price History'!R3)*(ROW()-3)/(MATCH(9.99E+307,'Returns (Calc)'!$A:$A)-3),"")</f>
        <v>39.0187341772152</v>
      </c>
      <c r="AM30" s="156" t="n">
        <f aca="false">IFERROR('Price History'!S3+(INDEX('Price History'!S:S,MATCH(9.99E+307,'Returns (Calc)'!$A:$A)+1)-'Price History'!S3)*(ROW()-3)/(MATCH(9.99E+307,'Returns (Calc)'!$A:$A)-3),"")</f>
        <v>73.9667088607595</v>
      </c>
      <c r="AN30" s="156" t="n">
        <f aca="false">IFERROR('Price History'!T3+(INDEX('Price History'!T:T,MATCH(9.99E+307,'Returns (Calc)'!$A:$A)+1)-'Price History'!T3)*(ROW()-3)/(MATCH(9.99E+307,'Returns (Calc)'!$A:$A)-3),"")</f>
        <v>29.7821518987342</v>
      </c>
      <c r="AO30" s="157" t="n">
        <f aca="false">IFERROR('Price History'!V3+(INDEX('Price History'!V:V,MATCH(9.99E+307,'Returns (Calc)'!$A:$A)+1)-'Price History'!V3)*(ROW()-3)/(MATCH(9.99E+307,'Returns (Calc)'!$A:$A)-3),"")</f>
        <v>256.995886075949</v>
      </c>
      <c r="AP30" s="155" t="n">
        <f aca="false">IFERROR(IF(OR(NOT(ISNUMBER('Price History'!W31)),NOT(ISNUMBER('Price History'!W30)),'Price History'!W30=0),"",'Price History'!W31/'Price History'!W30-1),"")</f>
        <v>0.0160610139075819</v>
      </c>
      <c r="AQ30" s="155" t="str">
        <f aca="false">IFERROR(IF(OR(NOT(ISNUMBER('Price History'!X31)),NOT(ISNUMBER('Price History'!X30)),'Price History'!X30=0),"",'Price History'!X31/'Price History'!X30-1),"")</f>
        <v/>
      </c>
      <c r="AR30" s="155" t="n">
        <f aca="false">IFERROR(IF(OR(NOT(ISNUMBER('Price History'!Y31)),NOT(ISNUMBER('Price History'!Y30)),'Price History'!Y30=0),"",'Price History'!Y31/'Price History'!Y30-1),"")</f>
        <v>0.0068361461226234</v>
      </c>
      <c r="AS30" s="155" t="n">
        <f aca="false">IFERROR(IF(OR(NOT(ISNUMBER('Price History'!Z31)),NOT(ISNUMBER('Price History'!Z30)),'Price History'!Z30=0),"",'Price History'!Z31/'Price History'!Z30-1),"")</f>
        <v>0.0021784910318785</v>
      </c>
      <c r="AT30" s="155" t="n">
        <f aca="false">IFERROR(IF(OR(NOT(ISNUMBER('Price History'!AA31)),NOT(ISNUMBER('Price History'!AA30)),'Price History'!AA30=0),"",'Price History'!AA31/'Price History'!AA30-1),"")</f>
        <v>-0.0329617834394904</v>
      </c>
      <c r="AU30" s="155" t="n">
        <f aca="false">IFERROR(IF(OR(NOT(ISNUMBER('Price History'!AB31)),NOT(ISNUMBER('Price History'!AB30)),'Price History'!AB30=0),"",'Price History'!AB31/'Price History'!AB30-1),"")</f>
        <v>0.00551167433382527</v>
      </c>
    </row>
    <row r="31" customFormat="false" ht="15" hidden="false" customHeight="true" outlineLevel="0" collapsed="false">
      <c r="A31" s="153" t="n">
        <f aca="false">IF('Price History'!A32="","",'Price History'!A32)</f>
        <v>45387</v>
      </c>
      <c r="B31" s="154" t="n">
        <f aca="false">IFERROR(IF(OR(NOT(ISNUMBER('Price History'!B32)),NOT(ISNUMBER('Price History'!B31)),'Price History'!B31=0),"",'Price History'!B32/'Price History'!B31-1),"")</f>
        <v>-0.0386048355132779</v>
      </c>
      <c r="C31" s="154" t="n">
        <f aca="false">IFERROR(IF(OR(NOT(ISNUMBER('Price History'!C32)),NOT(ISNUMBER('Price History'!C31)),'Price History'!C31=0),"",'Price History'!C32/'Price History'!C31-1),"")</f>
        <v>0.0262068965517241</v>
      </c>
      <c r="D31" s="154" t="n">
        <f aca="false">IFERROR(IF(OR(NOT(ISNUMBER('Price History'!D32)),NOT(ISNUMBER('Price History'!D31)),'Price History'!D31=0),"",'Price History'!D32/'Price History'!D31-1),"")</f>
        <v>0.00936122768819736</v>
      </c>
      <c r="E31" s="154" t="n">
        <f aca="false">IFERROR(IF(OR(NOT(ISNUMBER('Price History'!E32)),NOT(ISNUMBER('Price History'!E31)),'Price History'!E31=0),"",'Price History'!E32/'Price History'!E31-1),"")</f>
        <v>0.010583236770954</v>
      </c>
      <c r="F31" s="154" t="n">
        <f aca="false">IFERROR(IF(OR(NOT(ISNUMBER('Price History'!F32)),NOT(ISNUMBER('Price History'!F31)),'Price History'!F31=0),"",'Price History'!F32/'Price History'!F31-1),"")</f>
        <v>-0.015845290081098</v>
      </c>
      <c r="G31" s="154" t="n">
        <f aca="false">IFERROR(IF(OR(NOT(ISNUMBER('Price History'!G32)),NOT(ISNUMBER('Price History'!G31)),'Price History'!G31=0),"",'Price History'!G32/'Price History'!G31-1),"")</f>
        <v>-0.022465353756382</v>
      </c>
      <c r="H31" s="154" t="n">
        <f aca="false">IFERROR(IF(OR(NOT(ISNUMBER('Price History'!H32)),NOT(ISNUMBER('Price History'!H31)),'Price History'!H31=0),"",'Price History'!H32/'Price History'!H31-1),"")</f>
        <v>0.0482699700982487</v>
      </c>
      <c r="I31" s="154" t="n">
        <f aca="false">IFERROR(IF(OR(NOT(ISNUMBER('Price History'!I32)),NOT(ISNUMBER('Price History'!I31)),'Price History'!I31=0),"",'Price History'!I32/'Price History'!I31-1),"")</f>
        <v>-0.0259711431742508</v>
      </c>
      <c r="J31" s="154" t="n">
        <f aca="false">IFERROR(IF(OR(NOT(ISNUMBER('Price History'!J32)),NOT(ISNUMBER('Price History'!J31)),'Price History'!J31=0),"",'Price History'!J32/'Price History'!J31-1),"")</f>
        <v>-0.0421289730541421</v>
      </c>
      <c r="K31" s="154" t="n">
        <f aca="false">IFERROR(IF(OR(NOT(ISNUMBER('Price History'!K32)),NOT(ISNUMBER('Price History'!K31)),'Price History'!K31=0),"",'Price History'!K32/'Price History'!K31-1),"")</f>
        <v>-0.00217296827466318</v>
      </c>
      <c r="L31" s="154" t="n">
        <f aca="false">IFERROR(IF(OR(NOT(ISNUMBER('Price History'!L32)),NOT(ISNUMBER('Price History'!L31)),'Price History'!L31=0),"",'Price History'!L32/'Price History'!L31-1),"")</f>
        <v>0.0389777811481002</v>
      </c>
      <c r="M31" s="154" t="n">
        <f aca="false">IFERROR(IF(OR(NOT(ISNUMBER('Price History'!M32)),NOT(ISNUMBER('Price History'!M31)),'Price History'!M31=0),"",'Price History'!M32/'Price History'!M31-1),"")</f>
        <v>0.0449465798845634</v>
      </c>
      <c r="N31" s="154" t="n">
        <f aca="false">IFERROR(IF(OR(NOT(ISNUMBER('Price History'!N32)),NOT(ISNUMBER('Price History'!N31)),'Price History'!N31=0),"",'Price History'!N32/'Price History'!N31-1),"")</f>
        <v>-0.0271285375947943</v>
      </c>
      <c r="O31" s="154" t="n">
        <f aca="false">IFERROR(IF(OR(NOT(ISNUMBER('Price History'!O32)),NOT(ISNUMBER('Price History'!O31)),'Price History'!O31=0),"",'Price History'!O32/'Price History'!O31-1),"")</f>
        <v>-0.0215364120781527</v>
      </c>
      <c r="P31" s="154" t="n">
        <f aca="false">IFERROR(IF(OR(NOT(ISNUMBER('Price History'!P32)),NOT(ISNUMBER('Price History'!P31)),'Price History'!P31=0),"",'Price History'!P32/'Price History'!P31-1),"")</f>
        <v>-0.0177651447859301</v>
      </c>
      <c r="Q31" s="154" t="n">
        <f aca="false">IFERROR(IF(OR(NOT(ISNUMBER('Price History'!Q32)),NOT(ISNUMBER('Price History'!Q31)),'Price History'!Q31=0),"",'Price History'!Q32/'Price History'!Q31-1),"")</f>
        <v>-0.00381263616557737</v>
      </c>
      <c r="R31" s="154" t="n">
        <f aca="false">IFERROR(IF(OR(NOT(ISNUMBER('Price History'!R32)),NOT(ISNUMBER('Price History'!R31)),'Price History'!R31=0),"",'Price History'!R32/'Price History'!R31-1),"")</f>
        <v>-0.00417587816261367</v>
      </c>
      <c r="S31" s="154" t="n">
        <f aca="false">IFERROR(IF(OR(NOT(ISNUMBER('Price History'!S32)),NOT(ISNUMBER('Price History'!S31)),'Price History'!S31=0),"",'Price History'!S32/'Price History'!S31-1),"")</f>
        <v>0.00291767093746032</v>
      </c>
      <c r="T31" s="154" t="n">
        <f aca="false">IFERROR(IF(OR(NOT(ISNUMBER('Price History'!T32)),NOT(ISNUMBER('Price History'!T31)),'Price History'!T31=0),"",'Price History'!T32/'Price History'!T31-1),"")</f>
        <v>-0.00255102040816324</v>
      </c>
      <c r="U31" s="154" t="n">
        <f aca="false">IFERROR(IF(OR(NOT(ISNUMBER('Price History'!U32)),NOT(ISNUMBER('Price History'!U31)),'Price History'!U31=0),"",'Price History'!U32/'Price History'!U31-1),"")</f>
        <v>-0.0203832042397065</v>
      </c>
      <c r="V31" s="155" t="n">
        <f aca="false">IFERROR(IF(OR(NOT(ISNUMBER('Price History'!V32)),NOT(ISNUMBER('Price History'!V31)),'Price History'!V31=0),"",'Price History'!V32/'Price History'!V31-1),"")</f>
        <v>-0.00697385716372123</v>
      </c>
      <c r="W31" s="156" t="n">
        <f aca="false">IFERROR('Price History'!B3+(INDEX('Price History'!B:B,MATCH(9.99E+307,'Returns (Calc)'!$A:$A)+1)-'Price History'!B3)*(ROW()-3)/(MATCH(9.99E+307,'Returns (Calc)'!$A:$A)-3),"")</f>
        <v>477.284936708861</v>
      </c>
      <c r="X31" s="156" t="n">
        <f aca="false">IFERROR('Price History'!C3+(INDEX('Price History'!C:C,MATCH(9.99E+307,'Returns (Calc)'!$A:$A)+1)-'Price History'!C3)*(ROW()-3)/(MATCH(9.99E+307,'Returns (Calc)'!$A:$A)-3),"")</f>
        <v>74.7417721518987</v>
      </c>
      <c r="Y31" s="156" t="n">
        <f aca="false">IFERROR('Price History'!D3+(INDEX('Price History'!D:D,MATCH(9.99E+307,'Returns (Calc)'!$A:$A)+1)-'Price History'!D3)*(ROW()-3)/(MATCH(9.99E+307,'Returns (Calc)'!$A:$A)-3),"")</f>
        <v>809.784683544304</v>
      </c>
      <c r="Z31" s="156" t="n">
        <f aca="false">IFERROR('Price History'!E3+(INDEX('Price History'!E:E,MATCH(9.99E+307,'Returns (Calc)'!$A:$A)+1)-'Price History'!E3)*(ROW()-3)/(MATCH(9.99E+307,'Returns (Calc)'!$A:$A)-3),"")</f>
        <v>130.404556962025</v>
      </c>
      <c r="AA31" s="156" t="n">
        <f aca="false">IFERROR('Price History'!F3+(INDEX('Price History'!F:F,MATCH(9.99E+307,'Returns (Calc)'!$A:$A)+1)-'Price History'!F3)*(ROW()-3)/(MATCH(9.99E+307,'Returns (Calc)'!$A:$A)-3),"")</f>
        <v>81.8855696202532</v>
      </c>
      <c r="AB31" s="156" t="n">
        <f aca="false">IFERROR('Price History'!G3+(INDEX('Price History'!G:G,MATCH(9.99E+307,'Returns (Calc)'!$A:$A)+1)-'Price History'!G3)*(ROW()-3)/(MATCH(9.99E+307,'Returns (Calc)'!$A:$A)-3),"")</f>
        <v>73.1545569620253</v>
      </c>
      <c r="AC31" s="156" t="n">
        <f aca="false">IFERROR('Price History'!H3+(INDEX('Price History'!H:H,MATCH(9.99E+307,'Returns (Calc)'!$A:$A)+1)-'Price History'!H3)*(ROW()-3)/(MATCH(9.99E+307,'Returns (Calc)'!$A:$A)-3),"")</f>
        <v>247.349493670886</v>
      </c>
      <c r="AD31" s="156" t="n">
        <f aca="false">IFERROR('Price History'!I3+(INDEX('Price History'!I:I,MATCH(9.99E+307,'Returns (Calc)'!$A:$A)+1)-'Price History'!I3)*(ROW()-3)/(MATCH(9.99E+307,'Returns (Calc)'!$A:$A)-3),"")</f>
        <v>77.4727848101266</v>
      </c>
      <c r="AE31" s="156" t="n">
        <f aca="false">IFERROR('Price History'!J3+(INDEX('Price History'!J:J,MATCH(9.99E+307,'Returns (Calc)'!$A:$A)+1)-'Price History'!J3)*(ROW()-3)/(MATCH(9.99E+307,'Returns (Calc)'!$A:$A)-3),"")</f>
        <v>114.865063291139</v>
      </c>
      <c r="AF31" s="156" t="n">
        <f aca="false">IFERROR('Price History'!K3+(INDEX('Price History'!K:K,MATCH(9.99E+307,'Returns (Calc)'!$A:$A)+1)-'Price History'!K3)*(ROW()-3)/(MATCH(9.99E+307,'Returns (Calc)'!$A:$A)-3),"")</f>
        <v>46.0626582278481</v>
      </c>
      <c r="AG31" s="156" t="n">
        <f aca="false">IFERROR('Price History'!L3+(INDEX('Price History'!L:L,MATCH(9.99E+307,'Returns (Calc)'!$A:$A)+1)-'Price History'!L3)*(ROW()-3)/(MATCH(9.99E+307,'Returns (Calc)'!$A:$A)-3),"")</f>
        <v>154.337594936709</v>
      </c>
      <c r="AH31" s="156" t="n">
        <f aca="false">IFERROR('Price History'!M3+(INDEX('Price History'!M:M,MATCH(9.99E+307,'Returns (Calc)'!$A:$A)+1)-'Price History'!M3)*(ROW()-3)/(MATCH(9.99E+307,'Returns (Calc)'!$A:$A)-3),"")</f>
        <v>75.9724050632912</v>
      </c>
      <c r="AI31" s="156" t="n">
        <f aca="false">IFERROR('Price History'!N3+(INDEX('Price History'!N:N,MATCH(9.99E+307,'Returns (Calc)'!$A:$A)+1)-'Price History'!N3)*(ROW()-3)/(MATCH(9.99E+307,'Returns (Calc)'!$A:$A)-3),"")</f>
        <v>376.515443037975</v>
      </c>
      <c r="AJ31" s="156" t="n">
        <f aca="false">IFERROR('Price History'!O3+(INDEX('Price History'!O:O,MATCH(9.99E+307,'Returns (Calc)'!$A:$A)+1)-'Price History'!O3)*(ROW()-3)/(MATCH(9.99E+307,'Returns (Calc)'!$A:$A)-3),"")</f>
        <v>83.2350632911392</v>
      </c>
      <c r="AK31" s="156" t="n">
        <f aca="false">IFERROR('Price History'!Q3+(INDEX('Price History'!Q:Q,MATCH(9.99E+307,'Returns (Calc)'!$A:$A)+1)-'Price History'!Q3)*(ROW()-3)/(MATCH(9.99E+307,'Returns (Calc)'!$A:$A)-3),"")</f>
        <v>12.3022784810127</v>
      </c>
      <c r="AL31" s="156" t="n">
        <f aca="false">IFERROR('Price History'!R3+(INDEX('Price History'!R:R,MATCH(9.99E+307,'Returns (Calc)'!$A:$A)+1)-'Price History'!R3)*(ROW()-3)/(MATCH(9.99E+307,'Returns (Calc)'!$A:$A)-3),"")</f>
        <v>39.186835443038</v>
      </c>
      <c r="AM31" s="156" t="n">
        <f aca="false">IFERROR('Price History'!S3+(INDEX('Price History'!S:S,MATCH(9.99E+307,'Returns (Calc)'!$A:$A)+1)-'Price History'!S3)*(ROW()-3)/(MATCH(9.99E+307,'Returns (Calc)'!$A:$A)-3),"")</f>
        <v>74.5717721518987</v>
      </c>
      <c r="AN31" s="156" t="n">
        <f aca="false">IFERROR('Price History'!T3+(INDEX('Price History'!T:T,MATCH(9.99E+307,'Returns (Calc)'!$A:$A)+1)-'Price History'!T3)*(ROW()-3)/(MATCH(9.99E+307,'Returns (Calc)'!$A:$A)-3),"")</f>
        <v>29.9503797468354</v>
      </c>
      <c r="AO31" s="157" t="n">
        <f aca="false">IFERROR('Price History'!V3+(INDEX('Price History'!V:V,MATCH(9.99E+307,'Returns (Calc)'!$A:$A)+1)-'Price History'!V3)*(ROW()-3)/(MATCH(9.99E+307,'Returns (Calc)'!$A:$A)-3),"")</f>
        <v>257.787215189873</v>
      </c>
      <c r="AP31" s="155" t="n">
        <f aca="false">IFERROR(IF(OR(NOT(ISNUMBER('Price History'!W32)),NOT(ISNUMBER('Price History'!W31)),'Price History'!W31=0),"",'Price History'!W32/'Price History'!W31-1),"")</f>
        <v>-0.014305898975627</v>
      </c>
      <c r="AQ31" s="155" t="str">
        <f aca="false">IFERROR(IF(OR(NOT(ISNUMBER('Price History'!X32)),NOT(ISNUMBER('Price History'!X31)),'Price History'!X31=0),"",'Price History'!X32/'Price History'!X31-1),"")</f>
        <v/>
      </c>
      <c r="AR31" s="155" t="n">
        <f aca="false">IFERROR(IF(OR(NOT(ISNUMBER('Price History'!Y32)),NOT(ISNUMBER('Price History'!Y31)),'Price History'!Y31=0),"",'Price History'!Y32/'Price History'!Y31-1),"")</f>
        <v>-0.00763844684914061</v>
      </c>
      <c r="AS31" s="155" t="n">
        <f aca="false">IFERROR(IF(OR(NOT(ISNUMBER('Price History'!Z32)),NOT(ISNUMBER('Price History'!Z31)),'Price History'!Z31=0),"",'Price History'!Z32/'Price History'!Z31-1),"")</f>
        <v>0.115716252445475</v>
      </c>
      <c r="AT31" s="155" t="n">
        <f aca="false">IFERROR(IF(OR(NOT(ISNUMBER('Price History'!AA32)),NOT(ISNUMBER('Price History'!AA31)),'Price History'!AA31=0),"",'Price History'!AA32/'Price History'!AA31-1),"")</f>
        <v>0.0475876831878808</v>
      </c>
      <c r="AU31" s="155" t="n">
        <f aca="false">IFERROR(IF(OR(NOT(ISNUMBER('Price History'!AB32)),NOT(ISNUMBER('Price History'!AB31)),'Price History'!AB31=0),"",'Price History'!AB32/'Price History'!AB31-1),"")</f>
        <v>-0.0732012603047175</v>
      </c>
    </row>
    <row r="32" customFormat="false" ht="15" hidden="false" customHeight="true" outlineLevel="0" collapsed="false">
      <c r="A32" s="153" t="n">
        <f aca="false">IF('Price History'!A33="","",'Price History'!A33)</f>
        <v>45394</v>
      </c>
      <c r="B32" s="154" t="n">
        <f aca="false">IFERROR(IF(OR(NOT(ISNUMBER('Price History'!B33)),NOT(ISNUMBER('Price History'!B32)),'Price History'!B32=0),"",'Price History'!B33/'Price History'!B32-1),"")</f>
        <v>-0.0227366424802111</v>
      </c>
      <c r="C32" s="154" t="n">
        <f aca="false">IFERROR(IF(OR(NOT(ISNUMBER('Price History'!C33)),NOT(ISNUMBER('Price History'!C32)),'Price History'!C32=0),"",'Price History'!C33/'Price History'!C32-1),"")</f>
        <v>-0.0885752688172043</v>
      </c>
      <c r="D32" s="154" t="n">
        <f aca="false">IFERROR(IF(OR(NOT(ISNUMBER('Price History'!D33)),NOT(ISNUMBER('Price History'!D32)),'Price History'!D32=0),"",'Price History'!D33/'Price History'!D32-1),"")</f>
        <v>-0.01807988495566</v>
      </c>
      <c r="E32" s="154" t="n">
        <f aca="false">IFERROR(IF(OR(NOT(ISNUMBER('Price History'!E33)),NOT(ISNUMBER('Price History'!E32)),'Price History'!E32=0),"",'Price History'!E33/'Price History'!E32-1),"")</f>
        <v>0.00343984100290484</v>
      </c>
      <c r="F32" s="154" t="n">
        <f aca="false">IFERROR(IF(OR(NOT(ISNUMBER('Price History'!F33)),NOT(ISNUMBER('Price History'!F32)),'Price History'!F32=0),"",'Price History'!F33/'Price History'!F32-1),"")</f>
        <v>-0.0205375253549694</v>
      </c>
      <c r="G32" s="154" t="n">
        <f aca="false">IFERROR(IF(OR(NOT(ISNUMBER('Price History'!G33)),NOT(ISNUMBER('Price History'!G32)),'Price History'!G32=0),"",'Price History'!G33/'Price History'!G32-1),"")</f>
        <v>-0.00298462915982689</v>
      </c>
      <c r="H32" s="154" t="n">
        <f aca="false">IFERROR(IF(OR(NOT(ISNUMBER('Price History'!H33)),NOT(ISNUMBER('Price History'!H32)),'Price History'!H32=0),"",'Price History'!H33/'Price History'!H32-1),"")</f>
        <v>-0.00855745721271395</v>
      </c>
      <c r="I32" s="154" t="n">
        <f aca="false">IFERROR(IF(OR(NOT(ISNUMBER('Price History'!I33)),NOT(ISNUMBER('Price History'!I32)),'Price History'!I32=0),"",'Price History'!I33/'Price History'!I32-1),"")</f>
        <v>0.00205104831358249</v>
      </c>
      <c r="J32" s="154" t="n">
        <f aca="false">IFERROR(IF(OR(NOT(ISNUMBER('Price History'!J33)),NOT(ISNUMBER('Price History'!J32)),'Price History'!J32=0),"",'Price History'!J33/'Price History'!J32-1),"")</f>
        <v>-0.0459850200313533</v>
      </c>
      <c r="K32" s="154" t="n">
        <f aca="false">IFERROR(IF(OR(NOT(ISNUMBER('Price History'!K33)),NOT(ISNUMBER('Price History'!K32)),'Price History'!K32=0),"",'Price History'!K33/'Price History'!K32-1),"")</f>
        <v>-0.0126306620209059</v>
      </c>
      <c r="L32" s="154" t="n">
        <f aca="false">IFERROR(IF(OR(NOT(ISNUMBER('Price History'!L33)),NOT(ISNUMBER('Price History'!L32)),'Price History'!L32=0),"",'Price History'!L33/'Price History'!L32-1),"")</f>
        <v>0.00824757316984148</v>
      </c>
      <c r="M32" s="154" t="n">
        <f aca="false">IFERROR(IF(OR(NOT(ISNUMBER('Price History'!M33)),NOT(ISNUMBER('Price History'!M32)),'Price History'!M32=0),"",'Price History'!M33/'Price History'!M32-1),"")</f>
        <v>-0.0170407803502175</v>
      </c>
      <c r="N32" s="154" t="n">
        <f aca="false">IFERROR(IF(OR(NOT(ISNUMBER('Price History'!N33)),NOT(ISNUMBER('Price History'!N32)),'Price History'!N32=0),"",'Price History'!N33/'Price History'!N32-1),"")</f>
        <v>-0.0248850419258858</v>
      </c>
      <c r="O32" s="154" t="n">
        <f aca="false">IFERROR(IF(OR(NOT(ISNUMBER('Price History'!O33)),NOT(ISNUMBER('Price History'!O32)),'Price History'!O32=0),"",'Price History'!O33/'Price History'!O32-1),"")</f>
        <v>-0.0308599954617653</v>
      </c>
      <c r="P32" s="154" t="n">
        <f aca="false">IFERROR(IF(OR(NOT(ISNUMBER('Price History'!P33)),NOT(ISNUMBER('Price History'!P32)),'Price History'!P32=0),"",'Price History'!P33/'Price History'!P32-1),"")</f>
        <v>-0.0285765961294989</v>
      </c>
      <c r="Q32" s="154" t="n">
        <f aca="false">IFERROR(IF(OR(NOT(ISNUMBER('Price History'!Q33)),NOT(ISNUMBER('Price History'!Q32)),'Price History'!Q32=0),"",'Price History'!Q33/'Price History'!Q32-1),"")</f>
        <v>-0.00637871332239826</v>
      </c>
      <c r="R32" s="154" t="n">
        <f aca="false">IFERROR(IF(OR(NOT(ISNUMBER('Price History'!R33)),NOT(ISNUMBER('Price History'!R32)),'Price History'!R32=0),"",'Price History'!R33/'Price History'!R32-1),"")</f>
        <v>-0.00345337937839174</v>
      </c>
      <c r="S32" s="154" t="n">
        <f aca="false">IFERROR(IF(OR(NOT(ISNUMBER('Price History'!S33)),NOT(ISNUMBER('Price History'!S32)),'Price History'!S32=0),"",'Price History'!S33/'Price History'!S32-1),"")</f>
        <v>-0.0140399696433089</v>
      </c>
      <c r="T32" s="154" t="n">
        <f aca="false">IFERROR(IF(OR(NOT(ISNUMBER('Price History'!T33)),NOT(ISNUMBER('Price History'!T32)),'Price History'!T32=0),"",'Price History'!T33/'Price History'!T32-1),"")</f>
        <v>-0.0255754475703325</v>
      </c>
      <c r="U32" s="154" t="n">
        <f aca="false">IFERROR(IF(OR(NOT(ISNUMBER('Price History'!U33)),NOT(ISNUMBER('Price History'!U32)),'Price History'!U32=0),"",'Price History'!U33/'Price History'!U32-1),"")</f>
        <v>-0.0278818143986684</v>
      </c>
      <c r="V32" s="155" t="n">
        <f aca="false">IFERROR(IF(OR(NOT(ISNUMBER('Price History'!V33)),NOT(ISNUMBER('Price History'!V32)),'Price History'!V32=0),"",'Price History'!V33/'Price History'!V32-1),"")</f>
        <v>-0.00422840754494991</v>
      </c>
      <c r="W32" s="156" t="n">
        <f aca="false">IFERROR('Price History'!B3+(INDEX('Price History'!B:B,MATCH(9.99E+307,'Returns (Calc)'!$A:$A)+1)-'Price History'!B3)*(ROW()-3)/(MATCH(9.99E+307,'Returns (Calc)'!$A:$A)-3),"")</f>
        <v>475.441898734177</v>
      </c>
      <c r="X32" s="156" t="n">
        <f aca="false">IFERROR('Price History'!C3+(INDEX('Price History'!C:C,MATCH(9.99E+307,'Returns (Calc)'!$A:$A)+1)-'Price History'!C3)*(ROW()-3)/(MATCH(9.99E+307,'Returns (Calc)'!$A:$A)-3),"")</f>
        <v>75.761835443038</v>
      </c>
      <c r="Y32" s="156" t="n">
        <f aca="false">IFERROR('Price History'!D3+(INDEX('Price History'!D:D,MATCH(9.99E+307,'Returns (Calc)'!$A:$A)+1)-'Price History'!D3)*(ROW()-3)/(MATCH(9.99E+307,'Returns (Calc)'!$A:$A)-3),"")</f>
        <v>817.919493670886</v>
      </c>
      <c r="Z32" s="156" t="n">
        <f aca="false">IFERROR('Price History'!E3+(INDEX('Price History'!E:E,MATCH(9.99E+307,'Returns (Calc)'!$A:$A)+1)-'Price History'!E3)*(ROW()-3)/(MATCH(9.99E+307,'Returns (Calc)'!$A:$A)-3),"")</f>
        <v>132.133291139241</v>
      </c>
      <c r="AA32" s="156" t="n">
        <f aca="false">IFERROR('Price History'!F3+(INDEX('Price History'!F:F,MATCH(9.99E+307,'Returns (Calc)'!$A:$A)+1)-'Price History'!F3)*(ROW()-3)/(MATCH(9.99E+307,'Returns (Calc)'!$A:$A)-3),"")</f>
        <v>83.3329113924051</v>
      </c>
      <c r="AB32" s="156" t="n">
        <f aca="false">IFERROR('Price History'!G3+(INDEX('Price History'!G:G,MATCH(9.99E+307,'Returns (Calc)'!$A:$A)+1)-'Price History'!G3)*(ROW()-3)/(MATCH(9.99E+307,'Returns (Calc)'!$A:$A)-3),"")</f>
        <v>74.1832911392405</v>
      </c>
      <c r="AC32" s="156" t="n">
        <f aca="false">IFERROR('Price History'!H3+(INDEX('Price History'!H:H,MATCH(9.99E+307,'Returns (Calc)'!$A:$A)+1)-'Price History'!H3)*(ROW()-3)/(MATCH(9.99E+307,'Returns (Calc)'!$A:$A)-3),"")</f>
        <v>253.715189873418</v>
      </c>
      <c r="AD32" s="156" t="n">
        <f aca="false">IFERROR('Price History'!I3+(INDEX('Price History'!I:I,MATCH(9.99E+307,'Returns (Calc)'!$A:$A)+1)-'Price History'!I3)*(ROW()-3)/(MATCH(9.99E+307,'Returns (Calc)'!$A:$A)-3),"")</f>
        <v>78.6764556962025</v>
      </c>
      <c r="AE32" s="156" t="n">
        <f aca="false">IFERROR('Price History'!J3+(INDEX('Price History'!J:J,MATCH(9.99E+307,'Returns (Calc)'!$A:$A)+1)-'Price History'!J3)*(ROW()-3)/(MATCH(9.99E+307,'Returns (Calc)'!$A:$A)-3),"")</f>
        <v>114.973101265823</v>
      </c>
      <c r="AF32" s="156" t="n">
        <f aca="false">IFERROR('Price History'!K3+(INDEX('Price History'!K:K,MATCH(9.99E+307,'Returns (Calc)'!$A:$A)+1)-'Price History'!K3)*(ROW()-3)/(MATCH(9.99E+307,'Returns (Calc)'!$A:$A)-3),"")</f>
        <v>47.160253164557</v>
      </c>
      <c r="AG32" s="156" t="n">
        <f aca="false">IFERROR('Price History'!L3+(INDEX('Price History'!L:L,MATCH(9.99E+307,'Returns (Calc)'!$A:$A)+1)-'Price History'!L3)*(ROW()-3)/(MATCH(9.99E+307,'Returns (Calc)'!$A:$A)-3),"")</f>
        <v>156.787151898734</v>
      </c>
      <c r="AH32" s="156" t="n">
        <f aca="false">IFERROR('Price History'!M3+(INDEX('Price History'!M:M,MATCH(9.99E+307,'Returns (Calc)'!$A:$A)+1)-'Price History'!M3)*(ROW()-3)/(MATCH(9.99E+307,'Returns (Calc)'!$A:$A)-3),"")</f>
        <v>77.3278481012658</v>
      </c>
      <c r="AI32" s="156" t="n">
        <f aca="false">IFERROR('Price History'!N3+(INDEX('Price History'!N:N,MATCH(9.99E+307,'Returns (Calc)'!$A:$A)+1)-'Price History'!N3)*(ROW()-3)/(MATCH(9.99E+307,'Returns (Calc)'!$A:$A)-3),"")</f>
        <v>377.50170886076</v>
      </c>
      <c r="AJ32" s="156" t="n">
        <f aca="false">IFERROR('Price History'!O3+(INDEX('Price History'!O:O,MATCH(9.99E+307,'Returns (Calc)'!$A:$A)+1)-'Price History'!O3)*(ROW()-3)/(MATCH(9.99E+307,'Returns (Calc)'!$A:$A)-3),"")</f>
        <v>83.5181012658228</v>
      </c>
      <c r="AK32" s="156" t="n">
        <f aca="false">IFERROR('Price History'!Q3+(INDEX('Price History'!Q:Q,MATCH(9.99E+307,'Returns (Calc)'!$A:$A)+1)-'Price History'!Q3)*(ROW()-3)/(MATCH(9.99E+307,'Returns (Calc)'!$A:$A)-3),"")</f>
        <v>12.7416455696203</v>
      </c>
      <c r="AL32" s="156" t="n">
        <f aca="false">IFERROR('Price History'!R3+(INDEX('Price History'!R:R,MATCH(9.99E+307,'Returns (Calc)'!$A:$A)+1)-'Price History'!R3)*(ROW()-3)/(MATCH(9.99E+307,'Returns (Calc)'!$A:$A)-3),"")</f>
        <v>39.3549367088608</v>
      </c>
      <c r="AM32" s="156" t="n">
        <f aca="false">IFERROR('Price History'!S3+(INDEX('Price History'!S:S,MATCH(9.99E+307,'Returns (Calc)'!$A:$A)+1)-'Price History'!S3)*(ROW()-3)/(MATCH(9.99E+307,'Returns (Calc)'!$A:$A)-3),"")</f>
        <v>75.176835443038</v>
      </c>
      <c r="AN32" s="156" t="n">
        <f aca="false">IFERROR('Price History'!T3+(INDEX('Price History'!T:T,MATCH(9.99E+307,'Returns (Calc)'!$A:$A)+1)-'Price History'!T3)*(ROW()-3)/(MATCH(9.99E+307,'Returns (Calc)'!$A:$A)-3),"")</f>
        <v>30.1186075949367</v>
      </c>
      <c r="AO32" s="157" t="n">
        <f aca="false">IFERROR('Price History'!V3+(INDEX('Price History'!V:V,MATCH(9.99E+307,'Returns (Calc)'!$A:$A)+1)-'Price History'!V3)*(ROW()-3)/(MATCH(9.99E+307,'Returns (Calc)'!$A:$A)-3),"")</f>
        <v>258.578544303797</v>
      </c>
      <c r="AP32" s="155" t="n">
        <f aca="false">IFERROR(IF(OR(NOT(ISNUMBER('Price History'!W33)),NOT(ISNUMBER('Price History'!W32)),'Price History'!W32=0),"",'Price History'!W33/'Price History'!W32-1),"")</f>
        <v>-0.0265185450636087</v>
      </c>
      <c r="AQ32" s="155" t="str">
        <f aca="false">IFERROR(IF(OR(NOT(ISNUMBER('Price History'!X33)),NOT(ISNUMBER('Price History'!X32)),'Price History'!X32=0),"",'Price History'!X33/'Price History'!X32-1),"")</f>
        <v/>
      </c>
      <c r="AR32" s="155" t="n">
        <f aca="false">IFERROR(IF(OR(NOT(ISNUMBER('Price History'!Y33)),NOT(ISNUMBER('Price History'!Y32)),'Price History'!Y32=0),"",'Price History'!Y33/'Price History'!Y32-1),"")</f>
        <v>-0.0153944836433613</v>
      </c>
      <c r="AS32" s="155" t="n">
        <f aca="false">IFERROR(IF(OR(NOT(ISNUMBER('Price History'!Z33)),NOT(ISNUMBER('Price History'!Z32)),'Price History'!Z32=0),"",'Price History'!Z33/'Price History'!Z32-1),"")</f>
        <v>-0.00896220288349137</v>
      </c>
      <c r="AT32" s="155" t="n">
        <f aca="false">IFERROR(IF(OR(NOT(ISNUMBER('Price History'!AA33)),NOT(ISNUMBER('Price History'!AA32)),'Price History'!AA32=0),"",'Price History'!AA33/'Price History'!AA32-1),"")</f>
        <v>-0.0210625589437283</v>
      </c>
      <c r="AU32" s="155" t="n">
        <f aca="false">IFERROR(IF(OR(NOT(ISNUMBER('Price History'!AB33)),NOT(ISNUMBER('Price History'!AB32)),'Price History'!AB32=0),"",'Price History'!AB33/'Price History'!AB32-1),"")</f>
        <v>-0.0372095189307502</v>
      </c>
    </row>
    <row r="33" customFormat="false" ht="15" hidden="false" customHeight="true" outlineLevel="0" collapsed="false">
      <c r="A33" s="153" t="n">
        <f aca="false">IF('Price History'!A34="","",'Price History'!A34)</f>
        <v>45401</v>
      </c>
      <c r="B33" s="154" t="n">
        <f aca="false">IFERROR(IF(OR(NOT(ISNUMBER('Price History'!B34)),NOT(ISNUMBER('Price History'!B33)),'Price History'!B33=0),"",'Price History'!B34/'Price History'!B33-1),"")</f>
        <v>-0.0191313885549157</v>
      </c>
      <c r="C33" s="154" t="n">
        <f aca="false">IFERROR(IF(OR(NOT(ISNUMBER('Price History'!C34)),NOT(ISNUMBER('Price History'!C33)),'Price History'!C33=0),"",'Price History'!C34/'Price History'!C33-1),"")</f>
        <v>-0.0927591800619377</v>
      </c>
      <c r="D33" s="154" t="n">
        <f aca="false">IFERROR(IF(OR(NOT(ISNUMBER('Price History'!D34)),NOT(ISNUMBER('Price History'!D33)),'Price History'!D33=0),"",'Price History'!D34/'Price History'!D33-1),"")</f>
        <v>-0.106359044020886</v>
      </c>
      <c r="E33" s="154" t="n">
        <f aca="false">IFERROR(IF(OR(NOT(ISNUMBER('Price History'!E34)),NOT(ISNUMBER('Price History'!E33)),'Price History'!E33=0),"",'Price History'!E34/'Price History'!E33-1),"")</f>
        <v>-0.103679439323532</v>
      </c>
      <c r="F33" s="154" t="n">
        <f aca="false">IFERROR(IF(OR(NOT(ISNUMBER('Price History'!F34)),NOT(ISNUMBER('Price History'!F33)),'Price History'!F33=0),"",'Price History'!F34/'Price History'!F33-1),"")</f>
        <v>-0.0854258348433861</v>
      </c>
      <c r="G33" s="154" t="n">
        <f aca="false">IFERROR(IF(OR(NOT(ISNUMBER('Price History'!G34)),NOT(ISNUMBER('Price History'!G33)),'Price History'!G33=0),"",'Price History'!G34/'Price History'!G33-1),"")</f>
        <v>-0.0773836252058076</v>
      </c>
      <c r="H33" s="154" t="n">
        <f aca="false">IFERROR(IF(OR(NOT(ISNUMBER('Price History'!H34)),NOT(ISNUMBER('Price History'!H33)),'Price History'!H33=0),"",'Price History'!H34/'Price History'!H33-1),"")</f>
        <v>-0.128565556925606</v>
      </c>
      <c r="I33" s="154" t="n">
        <f aca="false">IFERROR(IF(OR(NOT(ISNUMBER('Price History'!I34)),NOT(ISNUMBER('Price History'!I33)),'Price History'!I33=0),"",'Price History'!I34/'Price History'!I33-1),"")</f>
        <v>-0.136001819422333</v>
      </c>
      <c r="J33" s="154" t="n">
        <f aca="false">IFERROR(IF(OR(NOT(ISNUMBER('Price History'!J34)),NOT(ISNUMBER('Price History'!J33)),'Price History'!J33=0),"",'Price History'!J34/'Price History'!J33-1),"")</f>
        <v>-0.130363337593573</v>
      </c>
      <c r="K33" s="154" t="n">
        <f aca="false">IFERROR(IF(OR(NOT(ISNUMBER('Price History'!K34)),NOT(ISNUMBER('Price History'!K33)),'Price History'!K33=0),"",'Price History'!K34/'Price History'!K33-1),"")</f>
        <v>-0.0970445522717248</v>
      </c>
      <c r="L33" s="154" t="n">
        <f aca="false">IFERROR(IF(OR(NOT(ISNUMBER('Price History'!L34)),NOT(ISNUMBER('Price History'!L33)),'Price History'!L33=0),"",'Price History'!L34/'Price History'!L33-1),"")</f>
        <v>-0.104024902273056</v>
      </c>
      <c r="M33" s="154" t="n">
        <f aca="false">IFERROR(IF(OR(NOT(ISNUMBER('Price History'!M34)),NOT(ISNUMBER('Price History'!M33)),'Price History'!M33=0),"",'Price History'!M34/'Price History'!M33-1),"")</f>
        <v>-0.105810616929699</v>
      </c>
      <c r="N33" s="154" t="n">
        <f aca="false">IFERROR(IF(OR(NOT(ISNUMBER('Price History'!N34)),NOT(ISNUMBER('Price History'!N33)),'Price History'!N33=0),"",'Price History'!N34/'Price History'!N33-1),"")</f>
        <v>-0.00572437271466408</v>
      </c>
      <c r="O33" s="154" t="n">
        <f aca="false">IFERROR(IF(OR(NOT(ISNUMBER('Price History'!O34)),NOT(ISNUMBER('Price History'!O33)),'Price History'!O33=0),"",'Price History'!O34/'Price History'!O33-1),"")</f>
        <v>-0.00901428236946844</v>
      </c>
      <c r="P33" s="154" t="n">
        <f aca="false">IFERROR(IF(OR(NOT(ISNUMBER('Price History'!P34)),NOT(ISNUMBER('Price History'!P33)),'Price History'!P33=0),"",'Price History'!P34/'Price History'!P33-1),"")</f>
        <v>0.00986780860175007</v>
      </c>
      <c r="Q33" s="154" t="n">
        <f aca="false">IFERROR(IF(OR(NOT(ISNUMBER('Price History'!Q34)),NOT(ISNUMBER('Price History'!Q33)),'Price History'!Q33=0),"",'Price History'!Q34/'Price History'!Q33-1),"")</f>
        <v>-0.0194424064563463</v>
      </c>
      <c r="R33" s="154" t="n">
        <f aca="false">IFERROR(IF(OR(NOT(ISNUMBER('Price History'!R34)),NOT(ISNUMBER('Price History'!R33)),'Price History'!R33=0),"",'Price History'!R34/'Price History'!R33-1),"")</f>
        <v>-0.048019801980198</v>
      </c>
      <c r="S33" s="154" t="n">
        <f aca="false">IFERROR(IF(OR(NOT(ISNUMBER('Price History'!S34)),NOT(ISNUMBER('Price History'!S33)),'Price History'!S33=0),"",'Price History'!S34/'Price History'!S33-1),"")</f>
        <v>-0.0568313021167416</v>
      </c>
      <c r="T33" s="154" t="n">
        <f aca="false">IFERROR(IF(OR(NOT(ISNUMBER('Price History'!T34)),NOT(ISNUMBER('Price History'!T33)),'Price History'!T33=0),"",'Price History'!T34/'Price History'!T33-1),"")</f>
        <v>-0.0177165354330708</v>
      </c>
      <c r="U33" s="154" t="n">
        <f aca="false">IFERROR(IF(OR(NOT(ISNUMBER('Price History'!U34)),NOT(ISNUMBER('Price History'!U33)),'Price History'!U33=0),"",'Price History'!U34/'Price History'!U33-1),"")</f>
        <v>-0.00171232876712324</v>
      </c>
      <c r="V33" s="155" t="n">
        <f aca="false">IFERROR(IF(OR(NOT(ISNUMBER('Price History'!V34)),NOT(ISNUMBER('Price History'!V33)),'Price History'!V33=0),"",'Price History'!V34/'Price History'!V33-1),"")</f>
        <v>-0.0224134111217783</v>
      </c>
      <c r="W33" s="156" t="n">
        <f aca="false">IFERROR('Price History'!B3+(INDEX('Price History'!B:B,MATCH(9.99E+307,'Returns (Calc)'!$A:$A)+1)-'Price History'!B3)*(ROW()-3)/(MATCH(9.99E+307,'Returns (Calc)'!$A:$A)-3),"")</f>
        <v>473.598860759494</v>
      </c>
      <c r="X33" s="156" t="n">
        <f aca="false">IFERROR('Price History'!C3+(INDEX('Price History'!C:C,MATCH(9.99E+307,'Returns (Calc)'!$A:$A)+1)-'Price History'!C3)*(ROW()-3)/(MATCH(9.99E+307,'Returns (Calc)'!$A:$A)-3),"")</f>
        <v>76.7818987341772</v>
      </c>
      <c r="Y33" s="156" t="n">
        <f aca="false">IFERROR('Price History'!D3+(INDEX('Price History'!D:D,MATCH(9.99E+307,'Returns (Calc)'!$A:$A)+1)-'Price History'!D3)*(ROW()-3)/(MATCH(9.99E+307,'Returns (Calc)'!$A:$A)-3),"")</f>
        <v>826.054303797468</v>
      </c>
      <c r="Z33" s="156" t="n">
        <f aca="false">IFERROR('Price History'!E3+(INDEX('Price History'!E:E,MATCH(9.99E+307,'Returns (Calc)'!$A:$A)+1)-'Price History'!E3)*(ROW()-3)/(MATCH(9.99E+307,'Returns (Calc)'!$A:$A)-3),"")</f>
        <v>133.862025316456</v>
      </c>
      <c r="AA33" s="156" t="n">
        <f aca="false">IFERROR('Price History'!F3+(INDEX('Price History'!F:F,MATCH(9.99E+307,'Returns (Calc)'!$A:$A)+1)-'Price History'!F3)*(ROW()-3)/(MATCH(9.99E+307,'Returns (Calc)'!$A:$A)-3),"")</f>
        <v>84.780253164557</v>
      </c>
      <c r="AB33" s="156" t="n">
        <f aca="false">IFERROR('Price History'!G3+(INDEX('Price History'!G:G,MATCH(9.99E+307,'Returns (Calc)'!$A:$A)+1)-'Price History'!G3)*(ROW()-3)/(MATCH(9.99E+307,'Returns (Calc)'!$A:$A)-3),"")</f>
        <v>75.2120253164557</v>
      </c>
      <c r="AC33" s="156" t="n">
        <f aca="false">IFERROR('Price History'!H3+(INDEX('Price History'!H:H,MATCH(9.99E+307,'Returns (Calc)'!$A:$A)+1)-'Price History'!H3)*(ROW()-3)/(MATCH(9.99E+307,'Returns (Calc)'!$A:$A)-3),"")</f>
        <v>260.080886075949</v>
      </c>
      <c r="AD33" s="156" t="n">
        <f aca="false">IFERROR('Price History'!I3+(INDEX('Price History'!I:I,MATCH(9.99E+307,'Returns (Calc)'!$A:$A)+1)-'Price History'!I3)*(ROW()-3)/(MATCH(9.99E+307,'Returns (Calc)'!$A:$A)-3),"")</f>
        <v>79.8801265822785</v>
      </c>
      <c r="AE33" s="156" t="n">
        <f aca="false">IFERROR('Price History'!J3+(INDEX('Price History'!J:J,MATCH(9.99E+307,'Returns (Calc)'!$A:$A)+1)-'Price History'!J3)*(ROW()-3)/(MATCH(9.99E+307,'Returns (Calc)'!$A:$A)-3),"")</f>
        <v>115.081139240506</v>
      </c>
      <c r="AF33" s="156" t="n">
        <f aca="false">IFERROR('Price History'!K3+(INDEX('Price History'!K:K,MATCH(9.99E+307,'Returns (Calc)'!$A:$A)+1)-'Price History'!K3)*(ROW()-3)/(MATCH(9.99E+307,'Returns (Calc)'!$A:$A)-3),"")</f>
        <v>48.2578481012658</v>
      </c>
      <c r="AG33" s="156" t="n">
        <f aca="false">IFERROR('Price History'!L3+(INDEX('Price History'!L:L,MATCH(9.99E+307,'Returns (Calc)'!$A:$A)+1)-'Price History'!L3)*(ROW()-3)/(MATCH(9.99E+307,'Returns (Calc)'!$A:$A)-3),"")</f>
        <v>159.23670886076</v>
      </c>
      <c r="AH33" s="156" t="n">
        <f aca="false">IFERROR('Price History'!M3+(INDEX('Price History'!M:M,MATCH(9.99E+307,'Returns (Calc)'!$A:$A)+1)-'Price History'!M3)*(ROW()-3)/(MATCH(9.99E+307,'Returns (Calc)'!$A:$A)-3),"")</f>
        <v>78.6832911392405</v>
      </c>
      <c r="AI33" s="156" t="n">
        <f aca="false">IFERROR('Price History'!N3+(INDEX('Price History'!N:N,MATCH(9.99E+307,'Returns (Calc)'!$A:$A)+1)-'Price History'!N3)*(ROW()-3)/(MATCH(9.99E+307,'Returns (Calc)'!$A:$A)-3),"")</f>
        <v>378.487974683544</v>
      </c>
      <c r="AJ33" s="156" t="n">
        <f aca="false">IFERROR('Price History'!O3+(INDEX('Price History'!O:O,MATCH(9.99E+307,'Returns (Calc)'!$A:$A)+1)-'Price History'!O3)*(ROW()-3)/(MATCH(9.99E+307,'Returns (Calc)'!$A:$A)-3),"")</f>
        <v>83.8011392405063</v>
      </c>
      <c r="AK33" s="156" t="n">
        <f aca="false">IFERROR('Price History'!Q3+(INDEX('Price History'!Q:Q,MATCH(9.99E+307,'Returns (Calc)'!$A:$A)+1)-'Price History'!Q3)*(ROW()-3)/(MATCH(9.99E+307,'Returns (Calc)'!$A:$A)-3),"")</f>
        <v>13.1810126582278</v>
      </c>
      <c r="AL33" s="156" t="n">
        <f aca="false">IFERROR('Price History'!R3+(INDEX('Price History'!R:R,MATCH(9.99E+307,'Returns (Calc)'!$A:$A)+1)-'Price History'!R3)*(ROW()-3)/(MATCH(9.99E+307,'Returns (Calc)'!$A:$A)-3),"")</f>
        <v>39.5230379746835</v>
      </c>
      <c r="AM33" s="156" t="n">
        <f aca="false">IFERROR('Price History'!S3+(INDEX('Price History'!S:S,MATCH(9.99E+307,'Returns (Calc)'!$A:$A)+1)-'Price History'!S3)*(ROW()-3)/(MATCH(9.99E+307,'Returns (Calc)'!$A:$A)-3),"")</f>
        <v>75.7818987341772</v>
      </c>
      <c r="AN33" s="156" t="n">
        <f aca="false">IFERROR('Price History'!T3+(INDEX('Price History'!T:T,MATCH(9.99E+307,'Returns (Calc)'!$A:$A)+1)-'Price History'!T3)*(ROW()-3)/(MATCH(9.99E+307,'Returns (Calc)'!$A:$A)-3),"")</f>
        <v>30.286835443038</v>
      </c>
      <c r="AO33" s="157" t="n">
        <f aca="false">IFERROR('Price History'!V3+(INDEX('Price History'!V:V,MATCH(9.99E+307,'Returns (Calc)'!$A:$A)+1)-'Price History'!V3)*(ROW()-3)/(MATCH(9.99E+307,'Returns (Calc)'!$A:$A)-3),"")</f>
        <v>259.369873417722</v>
      </c>
      <c r="AP33" s="155" t="n">
        <f aca="false">IFERROR(IF(OR(NOT(ISNUMBER('Price History'!W34)),NOT(ISNUMBER('Price History'!W33)),'Price History'!W33=0),"",'Price History'!W34/'Price History'!W33-1),"")</f>
        <v>-0.00138045278851451</v>
      </c>
      <c r="AQ33" s="155" t="str">
        <f aca="false">IFERROR(IF(OR(NOT(ISNUMBER('Price History'!X34)),NOT(ISNUMBER('Price History'!X33)),'Price History'!X33=0),"",'Price History'!X34/'Price History'!X33-1),"")</f>
        <v/>
      </c>
      <c r="AR33" s="155" t="n">
        <f aca="false">IFERROR(IF(OR(NOT(ISNUMBER('Price History'!Y34)),NOT(ISNUMBER('Price History'!Y33)),'Price History'!Y33=0),"",'Price History'!Y34/'Price History'!Y33-1),"")</f>
        <v>-0.0132464712269272</v>
      </c>
      <c r="AS33" s="155" t="n">
        <f aca="false">IFERROR(IF(OR(NOT(ISNUMBER('Price History'!Z34)),NOT(ISNUMBER('Price History'!Z33)),'Price History'!Z33=0),"",'Price History'!Z34/'Price History'!Z33-1),"")</f>
        <v>-0.0424639580602882</v>
      </c>
      <c r="AT33" s="155" t="n">
        <f aca="false">IFERROR(IF(OR(NOT(ISNUMBER('Price History'!AA34)),NOT(ISNUMBER('Price History'!AA33)),'Price History'!AA33=0),"",'Price History'!AA34/'Price History'!AA33-1),"")</f>
        <v>-0.108863198458574</v>
      </c>
      <c r="AU33" s="155" t="n">
        <f aca="false">IFERROR(IF(OR(NOT(ISNUMBER('Price History'!AB34)),NOT(ISNUMBER('Price History'!AB33)),'Price History'!AB33=0),"",'Price History'!AB34/'Price History'!AB33-1),"")</f>
        <v>-0.0404372641965755</v>
      </c>
    </row>
    <row r="34" customFormat="false" ht="15" hidden="false" customHeight="true" outlineLevel="0" collapsed="false">
      <c r="A34" s="153" t="n">
        <f aca="false">IF('Price History'!A35="","",'Price History'!A35)</f>
        <v>45408</v>
      </c>
      <c r="B34" s="154" t="n">
        <f aca="false">IFERROR(IF(OR(NOT(ISNUMBER('Price History'!B35)),NOT(ISNUMBER('Price History'!B34)),'Price History'!B34=0),"",'Price History'!B35/'Price History'!B34-1),"")</f>
        <v>0.0269665820824911</v>
      </c>
      <c r="C34" s="154" t="n">
        <f aca="false">IFERROR(IF(OR(NOT(ISNUMBER('Price History'!C35)),NOT(ISNUMBER('Price History'!C34)),'Price History'!C34=0),"",'Price History'!C35/'Price History'!C34-1),"")</f>
        <v>0.0757477243172953</v>
      </c>
      <c r="D34" s="154" t="n">
        <f aca="false">IFERROR(IF(OR(NOT(ISNUMBER('Price History'!D35)),NOT(ISNUMBER('Price History'!D34)),'Price History'!D34=0),"",'Price History'!D35/'Price History'!D34-1),"")</f>
        <v>0.0713607106381968</v>
      </c>
      <c r="E34" s="154" t="n">
        <f aca="false">IFERROR(IF(OR(NOT(ISNUMBER('Price History'!E35)),NOT(ISNUMBER('Price History'!E34)),'Price History'!E34=0),"",'Price History'!E35/'Price History'!E34-1),"")</f>
        <v>0.115672276049635</v>
      </c>
      <c r="F34" s="154" t="n">
        <f aca="false">IFERROR(IF(OR(NOT(ISNUMBER('Price History'!F35)),NOT(ISNUMBER('Price History'!F34)),'Price History'!F34=0),"",'Price History'!F35/'Price History'!F34-1),"")</f>
        <v>0.0758562128502689</v>
      </c>
      <c r="G34" s="154" t="n">
        <f aca="false">IFERROR(IF(OR(NOT(ISNUMBER('Price History'!G35)),NOT(ISNUMBER('Price History'!G34)),'Price History'!G34=0),"",'Price History'!G35/'Price History'!G34-1),"")</f>
        <v>0.124432186891629</v>
      </c>
      <c r="H34" s="154" t="n">
        <f aca="false">IFERROR(IF(OR(NOT(ISNUMBER('Price History'!H35)),NOT(ISNUMBER('Price History'!H34)),'Price History'!H34=0),"",'Price History'!H35/'Price History'!H34-1),"")</f>
        <v>0.0755589095368361</v>
      </c>
      <c r="I34" s="154" t="n">
        <f aca="false">IFERROR(IF(OR(NOT(ISNUMBER('Price History'!I35)),NOT(ISNUMBER('Price History'!I34)),'Price History'!I34=0),"",'Price History'!I35/'Price History'!I34-1),"")</f>
        <v>0.151487233482495</v>
      </c>
      <c r="J34" s="154" t="n">
        <f aca="false">IFERROR(IF(OR(NOT(ISNUMBER('Price History'!J35)),NOT(ISNUMBER('Price History'!J34)),'Price History'!J34=0),"",'Price History'!J35/'Price History'!J34-1),"")</f>
        <v>0.00556372034432084</v>
      </c>
      <c r="K34" s="154" t="n">
        <f aca="false">IFERROR(IF(OR(NOT(ISNUMBER('Price History'!K35)),NOT(ISNUMBER('Price History'!K34)),'Price History'!K34=0),"",'Price History'!K35/'Price History'!K34-1),"")</f>
        <v>0.100146555935515</v>
      </c>
      <c r="L34" s="154" t="n">
        <f aca="false">IFERROR(IF(OR(NOT(ISNUMBER('Price History'!L35)),NOT(ISNUMBER('Price History'!L34)),'Price History'!L34=0),"",'Price History'!L35/'Price History'!L34-1),"")</f>
        <v>0.0830572836713259</v>
      </c>
      <c r="M34" s="154" t="n">
        <f aca="false">IFERROR(IF(OR(NOT(ISNUMBER('Price History'!M35)),NOT(ISNUMBER('Price History'!M34)),'Price History'!M34=0),"",'Price History'!M35/'Price History'!M34-1),"")</f>
        <v>0.246289610910549</v>
      </c>
      <c r="N34" s="154" t="n">
        <f aca="false">IFERROR(IF(OR(NOT(ISNUMBER('Price History'!N35)),NOT(ISNUMBER('Price History'!N34)),'Price History'!N34=0),"",'Price History'!N35/'Price History'!N34-1),"")</f>
        <v>0.00811605965303852</v>
      </c>
      <c r="O34" s="154" t="n">
        <f aca="false">IFERROR(IF(OR(NOT(ISNUMBER('Price History'!O35)),NOT(ISNUMBER('Price History'!O34)),'Price History'!O34=0),"",'Price History'!O35/'Price History'!O34-1),"")</f>
        <v>0.0248080330773774</v>
      </c>
      <c r="P34" s="154" t="n">
        <f aca="false">IFERROR(IF(OR(NOT(ISNUMBER('Price History'!P35)),NOT(ISNUMBER('Price History'!P34)),'Price History'!P34=0),"",'Price History'!P35/'Price History'!P34-1),"")</f>
        <v>0.00912610619469012</v>
      </c>
      <c r="Q34" s="154" t="n">
        <f aca="false">IFERROR(IF(OR(NOT(ISNUMBER('Price History'!Q35)),NOT(ISNUMBER('Price History'!Q34)),'Price History'!Q34=0),"",'Price History'!Q35/'Price History'!Q34-1),"")</f>
        <v>0.0205761316872428</v>
      </c>
      <c r="R34" s="154" t="n">
        <f aca="false">IFERROR(IF(OR(NOT(ISNUMBER('Price History'!R35)),NOT(ISNUMBER('Price History'!R34)),'Price History'!R34=0),"",'Price History'!R35/'Price History'!R34-1),"")</f>
        <v>0.0358814352574104</v>
      </c>
      <c r="S34" s="154" t="n">
        <f aca="false">IFERROR(IF(OR(NOT(ISNUMBER('Price History'!S35)),NOT(ISNUMBER('Price History'!S34)),'Price History'!S34=0),"",'Price History'!S35/'Price History'!S34-1),"")</f>
        <v>0.0300598476605007</v>
      </c>
      <c r="T34" s="154" t="n">
        <f aca="false">IFERROR(IF(OR(NOT(ISNUMBER('Price History'!T35)),NOT(ISNUMBER('Price History'!T34)),'Price History'!T34=0),"",'Price History'!T35/'Price History'!T34-1),"")</f>
        <v>0.0123580494321975</v>
      </c>
      <c r="U34" s="154" t="n">
        <f aca="false">IFERROR(IF(OR(NOT(ISNUMBER('Price History'!U35)),NOT(ISNUMBER('Price History'!U34)),'Price History'!U34=0),"",'Price History'!U35/'Price History'!U34-1),"")</f>
        <v>0.010720411663808</v>
      </c>
      <c r="V34" s="155" t="n">
        <f aca="false">IFERROR(IF(OR(NOT(ISNUMBER('Price History'!V35)),NOT(ISNUMBER('Price History'!V34)),'Price History'!V34=0),"",'Price History'!V35/'Price History'!V34-1),"")</f>
        <v>0.0175637393767705</v>
      </c>
      <c r="W34" s="156" t="n">
        <f aca="false">IFERROR('Price History'!B3+(INDEX('Price History'!B:B,MATCH(9.99E+307,'Returns (Calc)'!$A:$A)+1)-'Price History'!B3)*(ROW()-3)/(MATCH(9.99E+307,'Returns (Calc)'!$A:$A)-3),"")</f>
        <v>471.75582278481</v>
      </c>
      <c r="X34" s="156" t="n">
        <f aca="false">IFERROR('Price History'!C3+(INDEX('Price History'!C:C,MATCH(9.99E+307,'Returns (Calc)'!$A:$A)+1)-'Price History'!C3)*(ROW()-3)/(MATCH(9.99E+307,'Returns (Calc)'!$A:$A)-3),"")</f>
        <v>77.8019620253165</v>
      </c>
      <c r="Y34" s="156" t="n">
        <f aca="false">IFERROR('Price History'!D3+(INDEX('Price History'!D:D,MATCH(9.99E+307,'Returns (Calc)'!$A:$A)+1)-'Price History'!D3)*(ROW()-3)/(MATCH(9.99E+307,'Returns (Calc)'!$A:$A)-3),"")</f>
        <v>834.189113924051</v>
      </c>
      <c r="Z34" s="156" t="n">
        <f aca="false">IFERROR('Price History'!E3+(INDEX('Price History'!E:E,MATCH(9.99E+307,'Returns (Calc)'!$A:$A)+1)-'Price History'!E3)*(ROW()-3)/(MATCH(9.99E+307,'Returns (Calc)'!$A:$A)-3),"")</f>
        <v>135.590759493671</v>
      </c>
      <c r="AA34" s="156" t="n">
        <f aca="false">IFERROR('Price History'!F3+(INDEX('Price History'!F:F,MATCH(9.99E+307,'Returns (Calc)'!$A:$A)+1)-'Price History'!F3)*(ROW()-3)/(MATCH(9.99E+307,'Returns (Calc)'!$A:$A)-3),"")</f>
        <v>86.2275949367089</v>
      </c>
      <c r="AB34" s="156" t="n">
        <f aca="false">IFERROR('Price History'!G3+(INDEX('Price History'!G:G,MATCH(9.99E+307,'Returns (Calc)'!$A:$A)+1)-'Price History'!G3)*(ROW()-3)/(MATCH(9.99E+307,'Returns (Calc)'!$A:$A)-3),"")</f>
        <v>76.2407594936709</v>
      </c>
      <c r="AC34" s="156" t="n">
        <f aca="false">IFERROR('Price History'!H3+(INDEX('Price History'!H:H,MATCH(9.99E+307,'Returns (Calc)'!$A:$A)+1)-'Price History'!H3)*(ROW()-3)/(MATCH(9.99E+307,'Returns (Calc)'!$A:$A)-3),"")</f>
        <v>266.446582278481</v>
      </c>
      <c r="AD34" s="156" t="n">
        <f aca="false">IFERROR('Price History'!I3+(INDEX('Price History'!I:I,MATCH(9.99E+307,'Returns (Calc)'!$A:$A)+1)-'Price History'!I3)*(ROW()-3)/(MATCH(9.99E+307,'Returns (Calc)'!$A:$A)-3),"")</f>
        <v>81.0837974683544</v>
      </c>
      <c r="AE34" s="156" t="n">
        <f aca="false">IFERROR('Price History'!J3+(INDEX('Price History'!J:J,MATCH(9.99E+307,'Returns (Calc)'!$A:$A)+1)-'Price History'!J3)*(ROW()-3)/(MATCH(9.99E+307,'Returns (Calc)'!$A:$A)-3),"")</f>
        <v>115.18917721519</v>
      </c>
      <c r="AF34" s="156" t="n">
        <f aca="false">IFERROR('Price History'!K3+(INDEX('Price History'!K:K,MATCH(9.99E+307,'Returns (Calc)'!$A:$A)+1)-'Price History'!K3)*(ROW()-3)/(MATCH(9.99E+307,'Returns (Calc)'!$A:$A)-3),"")</f>
        <v>49.3554430379747</v>
      </c>
      <c r="AG34" s="156" t="n">
        <f aca="false">IFERROR('Price History'!L3+(INDEX('Price History'!L:L,MATCH(9.99E+307,'Returns (Calc)'!$A:$A)+1)-'Price History'!L3)*(ROW()-3)/(MATCH(9.99E+307,'Returns (Calc)'!$A:$A)-3),"")</f>
        <v>161.686265822785</v>
      </c>
      <c r="AH34" s="156" t="n">
        <f aca="false">IFERROR('Price History'!M3+(INDEX('Price History'!M:M,MATCH(9.99E+307,'Returns (Calc)'!$A:$A)+1)-'Price History'!M3)*(ROW()-3)/(MATCH(9.99E+307,'Returns (Calc)'!$A:$A)-3),"")</f>
        <v>80.0387341772152</v>
      </c>
      <c r="AI34" s="156" t="n">
        <f aca="false">IFERROR('Price History'!N3+(INDEX('Price History'!N:N,MATCH(9.99E+307,'Returns (Calc)'!$A:$A)+1)-'Price History'!N3)*(ROW()-3)/(MATCH(9.99E+307,'Returns (Calc)'!$A:$A)-3),"")</f>
        <v>379.474240506329</v>
      </c>
      <c r="AJ34" s="156" t="n">
        <f aca="false">IFERROR('Price History'!O3+(INDEX('Price History'!O:O,MATCH(9.99E+307,'Returns (Calc)'!$A:$A)+1)-'Price History'!O3)*(ROW()-3)/(MATCH(9.99E+307,'Returns (Calc)'!$A:$A)-3),"")</f>
        <v>84.0841772151899</v>
      </c>
      <c r="AK34" s="156" t="n">
        <f aca="false">IFERROR('Price History'!Q3+(INDEX('Price History'!Q:Q,MATCH(9.99E+307,'Returns (Calc)'!$A:$A)+1)-'Price History'!Q3)*(ROW()-3)/(MATCH(9.99E+307,'Returns (Calc)'!$A:$A)-3),"")</f>
        <v>13.6203797468354</v>
      </c>
      <c r="AL34" s="156" t="n">
        <f aca="false">IFERROR('Price History'!R3+(INDEX('Price History'!R:R,MATCH(9.99E+307,'Returns (Calc)'!$A:$A)+1)-'Price History'!R3)*(ROW()-3)/(MATCH(9.99E+307,'Returns (Calc)'!$A:$A)-3),"")</f>
        <v>39.6911392405063</v>
      </c>
      <c r="AM34" s="156" t="n">
        <f aca="false">IFERROR('Price History'!S3+(INDEX('Price History'!S:S,MATCH(9.99E+307,'Returns (Calc)'!$A:$A)+1)-'Price History'!S3)*(ROW()-3)/(MATCH(9.99E+307,'Returns (Calc)'!$A:$A)-3),"")</f>
        <v>76.3869620253165</v>
      </c>
      <c r="AN34" s="156" t="n">
        <f aca="false">IFERROR('Price History'!T3+(INDEX('Price History'!T:T,MATCH(9.99E+307,'Returns (Calc)'!$A:$A)+1)-'Price History'!T3)*(ROW()-3)/(MATCH(9.99E+307,'Returns (Calc)'!$A:$A)-3),"")</f>
        <v>30.4550632911392</v>
      </c>
      <c r="AO34" s="157" t="n">
        <f aca="false">IFERROR('Price History'!V3+(INDEX('Price History'!V:V,MATCH(9.99E+307,'Returns (Calc)'!$A:$A)+1)-'Price History'!V3)*(ROW()-3)/(MATCH(9.99E+307,'Returns (Calc)'!$A:$A)-3),"")</f>
        <v>260.161202531646</v>
      </c>
      <c r="AP34" s="155" t="n">
        <f aca="false">IFERROR(IF(OR(NOT(ISNUMBER('Price History'!W35)),NOT(ISNUMBER('Price History'!W34)),'Price History'!W34=0),"",'Price History'!W35/'Price History'!W34-1),"")</f>
        <v>0.0123490922495622</v>
      </c>
      <c r="AQ34" s="155" t="str">
        <f aca="false">IFERROR(IF(OR(NOT(ISNUMBER('Price History'!X35)),NOT(ISNUMBER('Price History'!X34)),'Price History'!X34=0),"",'Price History'!X35/'Price History'!X34-1),"")</f>
        <v/>
      </c>
      <c r="AR34" s="155" t="n">
        <f aca="false">IFERROR(IF(OR(NOT(ISNUMBER('Price History'!Y35)),NOT(ISNUMBER('Price History'!Y34)),'Price History'!Y34=0),"",'Price History'!Y35/'Price History'!Y34-1),"")</f>
        <v>0.0149647887323943</v>
      </c>
      <c r="AS34" s="155" t="n">
        <f aca="false">IFERROR(IF(OR(NOT(ISNUMBER('Price History'!Z35)),NOT(ISNUMBER('Price History'!Z34)),'Price History'!Z34=0),"",'Price History'!Z35/'Price History'!Z34-1),"")</f>
        <v>0.0964960306597318</v>
      </c>
      <c r="AT34" s="155" t="n">
        <f aca="false">IFERROR(IF(OR(NOT(ISNUMBER('Price History'!AA35)),NOT(ISNUMBER('Price History'!AA34)),'Price History'!AA34=0),"",'Price History'!AA35/'Price History'!AA34-1),"")</f>
        <v>0.0111711711711711</v>
      </c>
      <c r="AU34" s="155" t="n">
        <f aca="false">IFERROR(IF(OR(NOT(ISNUMBER('Price History'!AB35)),NOT(ISNUMBER('Price History'!AB34)),'Price History'!AB34=0),"",'Price History'!AB35/'Price History'!AB34-1),"")</f>
        <v>0.0127533017441275</v>
      </c>
    </row>
    <row r="35" customFormat="false" ht="15" hidden="false" customHeight="true" outlineLevel="0" collapsed="false">
      <c r="A35" s="153" t="n">
        <f aca="false">IF('Price History'!A36="","",'Price History'!A36)</f>
        <v>45415</v>
      </c>
      <c r="B35" s="154" t="n">
        <f aca="false">IFERROR(IF(OR(NOT(ISNUMBER('Price History'!B36)),NOT(ISNUMBER('Price History'!B35)),'Price History'!B35=0),"",'Price History'!B36/'Price History'!B35-1),"")</f>
        <v>0.0180500879470642</v>
      </c>
      <c r="C35" s="154" t="n">
        <f aca="false">IFERROR(IF(OR(NOT(ISNUMBER('Price History'!C36)),NOT(ISNUMBER('Price History'!C35)),'Price History'!C35=0),"",'Price History'!C36/'Price History'!C35-1),"")</f>
        <v>0.0365669386521605</v>
      </c>
      <c r="D35" s="154" t="n">
        <f aca="false">IFERROR(IF(OR(NOT(ISNUMBER('Price History'!D36)),NOT(ISNUMBER('Price History'!D35)),'Price History'!D35=0),"",'Price History'!D36/'Price History'!D35-1),"")</f>
        <v>-0.0188660422324447</v>
      </c>
      <c r="E35" s="154" t="n">
        <f aca="false">IFERROR(IF(OR(NOT(ISNUMBER('Price History'!E36)),NOT(ISNUMBER('Price History'!E35)),'Price History'!E35=0),"",'Price History'!E36/'Price History'!E35-1),"")</f>
        <v>-0.0490591909804221</v>
      </c>
      <c r="F35" s="154" t="n">
        <f aca="false">IFERROR(IF(OR(NOT(ISNUMBER('Price History'!F36)),NOT(ISNUMBER('Price History'!F35)),'Price History'!F35=0),"",'Price History'!F36/'Price History'!F35-1),"")</f>
        <v>0.0201262825572217</v>
      </c>
      <c r="G35" s="154" t="n">
        <f aca="false">IFERROR(IF(OR(NOT(ISNUMBER('Price History'!G36)),NOT(ISNUMBER('Price History'!G35)),'Price History'!G35=0),"",'Price History'!G36/'Price History'!G35-1),"")</f>
        <v>-0.0137065358534122</v>
      </c>
      <c r="H35" s="154" t="n">
        <f aca="false">IFERROR(IF(OR(NOT(ISNUMBER('Price History'!H36)),NOT(ISNUMBER('Price History'!H35)),'Price History'!H35=0),"",'Price History'!H36/'Price History'!H35-1),"")</f>
        <v>-0.00122785476232246</v>
      </c>
      <c r="I35" s="154" t="n">
        <f aca="false">IFERROR(IF(OR(NOT(ISNUMBER('Price History'!I36)),NOT(ISNUMBER('Price History'!I35)),'Price History'!I35=0),"",'Price History'!I36/'Price History'!I35-1),"")</f>
        <v>0.0120013715853242</v>
      </c>
      <c r="J35" s="154" t="n">
        <f aca="false">IFERROR(IF(OR(NOT(ISNUMBER('Price History'!J36)),NOT(ISNUMBER('Price History'!J35)),'Price History'!J35=0),"",'Price History'!J36/'Price History'!J35-1),"")</f>
        <v>0.0175383651738177</v>
      </c>
      <c r="K35" s="154" t="n">
        <f aca="false">IFERROR(IF(OR(NOT(ISNUMBER('Price History'!K36)),NOT(ISNUMBER('Price History'!K35)),'Price History'!K35=0),"",'Price History'!K36/'Price History'!K35-1),"")</f>
        <v>0.0359680284191828</v>
      </c>
      <c r="L35" s="154" t="n">
        <f aca="false">IFERROR(IF(OR(NOT(ISNUMBER('Price History'!L36)),NOT(ISNUMBER('Price History'!L35)),'Price History'!L35=0),"",'Price History'!L36/'Price History'!L35-1),"")</f>
        <v>0.023573293547184</v>
      </c>
      <c r="M35" s="154" t="n">
        <f aca="false">IFERROR(IF(OR(NOT(ISNUMBER('Price History'!M36)),NOT(ISNUMBER('Price History'!M35)),'Price History'!M35=0),"",'Price History'!M36/'Price History'!M35-1),"")</f>
        <v>-0.0051496620534276</v>
      </c>
      <c r="N35" s="154" t="n">
        <f aca="false">IFERROR(IF(OR(NOT(ISNUMBER('Price History'!N36)),NOT(ISNUMBER('Price History'!N35)),'Price History'!N35=0),"",'Price History'!N36/'Price History'!N35-1),"")</f>
        <v>0.00905705947469038</v>
      </c>
      <c r="O35" s="154" t="n">
        <f aca="false">IFERROR(IF(OR(NOT(ISNUMBER('Price History'!O36)),NOT(ISNUMBER('Price History'!O35)),'Price History'!O35=0),"",'Price History'!O36/'Price History'!O35-1),"")</f>
        <v>0.00680115273775228</v>
      </c>
      <c r="P35" s="154" t="n">
        <f aca="false">IFERROR(IF(OR(NOT(ISNUMBER('Price History'!P36)),NOT(ISNUMBER('Price History'!P35)),'Price History'!P35=0),"",'Price History'!P36/'Price History'!P35-1),"")</f>
        <v>0.0122407965652691</v>
      </c>
      <c r="Q35" s="154" t="n">
        <f aca="false">IFERROR(IF(OR(NOT(ISNUMBER('Price History'!Q36)),NOT(ISNUMBER('Price History'!Q35)),'Price History'!Q35=0),"",'Price History'!Q36/'Price History'!Q35-1),"")</f>
        <v>0.00421554252199408</v>
      </c>
      <c r="R35" s="154" t="n">
        <f aca="false">IFERROR(IF(OR(NOT(ISNUMBER('Price History'!R36)),NOT(ISNUMBER('Price History'!R35)),'Price History'!R35=0),"",'Price History'!R36/'Price History'!R35-1),"")</f>
        <v>0.0100401606425702</v>
      </c>
      <c r="S35" s="154" t="n">
        <f aca="false">IFERROR(IF(OR(NOT(ISNUMBER('Price History'!S36)),NOT(ISNUMBER('Price History'!S35)),'Price History'!S35=0),"",'Price History'!S36/'Price History'!S35-1),"")</f>
        <v>0.00977155684669206</v>
      </c>
      <c r="T35" s="154" t="n">
        <f aca="false">IFERROR(IF(OR(NOT(ISNUMBER('Price History'!T36)),NOT(ISNUMBER('Price History'!T35)),'Price History'!T35=0),"",'Price History'!T36/'Price History'!T35-1),"")</f>
        <v>-0.0155064335202902</v>
      </c>
      <c r="U35" s="154" t="n">
        <f aca="false">IFERROR(IF(OR(NOT(ISNUMBER('Price History'!U36)),NOT(ISNUMBER('Price History'!U35)),'Price History'!U35=0),"",'Price History'!U36/'Price History'!U35-1),"")</f>
        <v>0.0063640220619432</v>
      </c>
      <c r="V35" s="155" t="n">
        <f aca="false">IFERROR(IF(OR(NOT(ISNUMBER('Price History'!V36)),NOT(ISNUMBER('Price History'!V35)),'Price History'!V35=0),"",'Price History'!V36/'Price History'!V35-1),"")</f>
        <v>-0.0219376391982181</v>
      </c>
      <c r="W35" s="156" t="n">
        <f aca="false">IFERROR('Price History'!B3+(INDEX('Price History'!B:B,MATCH(9.99E+307,'Returns (Calc)'!$A:$A)+1)-'Price History'!B3)*(ROW()-3)/(MATCH(9.99E+307,'Returns (Calc)'!$A:$A)-3),"")</f>
        <v>469.912784810127</v>
      </c>
      <c r="X35" s="156" t="n">
        <f aca="false">IFERROR('Price History'!C3+(INDEX('Price History'!C:C,MATCH(9.99E+307,'Returns (Calc)'!$A:$A)+1)-'Price History'!C3)*(ROW()-3)/(MATCH(9.99E+307,'Returns (Calc)'!$A:$A)-3),"")</f>
        <v>78.8220253164557</v>
      </c>
      <c r="Y35" s="156" t="n">
        <f aca="false">IFERROR('Price History'!D3+(INDEX('Price History'!D:D,MATCH(9.99E+307,'Returns (Calc)'!$A:$A)+1)-'Price History'!D3)*(ROW()-3)/(MATCH(9.99E+307,'Returns (Calc)'!$A:$A)-3),"")</f>
        <v>842.323924050633</v>
      </c>
      <c r="Z35" s="156" t="n">
        <f aca="false">IFERROR('Price History'!E3+(INDEX('Price History'!E:E,MATCH(9.99E+307,'Returns (Calc)'!$A:$A)+1)-'Price History'!E3)*(ROW()-3)/(MATCH(9.99E+307,'Returns (Calc)'!$A:$A)-3),"")</f>
        <v>137.319493670886</v>
      </c>
      <c r="AA35" s="156" t="n">
        <f aca="false">IFERROR('Price History'!F3+(INDEX('Price History'!F:F,MATCH(9.99E+307,'Returns (Calc)'!$A:$A)+1)-'Price History'!F3)*(ROW()-3)/(MATCH(9.99E+307,'Returns (Calc)'!$A:$A)-3),"")</f>
        <v>87.6749367088608</v>
      </c>
      <c r="AB35" s="156" t="n">
        <f aca="false">IFERROR('Price History'!G3+(INDEX('Price History'!G:G,MATCH(9.99E+307,'Returns (Calc)'!$A:$A)+1)-'Price History'!G3)*(ROW()-3)/(MATCH(9.99E+307,'Returns (Calc)'!$A:$A)-3),"")</f>
        <v>77.2694936708861</v>
      </c>
      <c r="AC35" s="156" t="n">
        <f aca="false">IFERROR('Price History'!H3+(INDEX('Price History'!H:H,MATCH(9.99E+307,'Returns (Calc)'!$A:$A)+1)-'Price History'!H3)*(ROW()-3)/(MATCH(9.99E+307,'Returns (Calc)'!$A:$A)-3),"")</f>
        <v>272.812278481013</v>
      </c>
      <c r="AD35" s="156" t="n">
        <f aca="false">IFERROR('Price History'!I3+(INDEX('Price History'!I:I,MATCH(9.99E+307,'Returns (Calc)'!$A:$A)+1)-'Price History'!I3)*(ROW()-3)/(MATCH(9.99E+307,'Returns (Calc)'!$A:$A)-3),"")</f>
        <v>82.2874683544304</v>
      </c>
      <c r="AE35" s="156" t="n">
        <f aca="false">IFERROR('Price History'!J3+(INDEX('Price History'!J:J,MATCH(9.99E+307,'Returns (Calc)'!$A:$A)+1)-'Price History'!J3)*(ROW()-3)/(MATCH(9.99E+307,'Returns (Calc)'!$A:$A)-3),"")</f>
        <v>115.297215189873</v>
      </c>
      <c r="AF35" s="156" t="n">
        <f aca="false">IFERROR('Price History'!K3+(INDEX('Price History'!K:K,MATCH(9.99E+307,'Returns (Calc)'!$A:$A)+1)-'Price History'!K3)*(ROW()-3)/(MATCH(9.99E+307,'Returns (Calc)'!$A:$A)-3),"")</f>
        <v>50.4530379746835</v>
      </c>
      <c r="AG35" s="156" t="n">
        <f aca="false">IFERROR('Price History'!L3+(INDEX('Price History'!L:L,MATCH(9.99E+307,'Returns (Calc)'!$A:$A)+1)-'Price History'!L3)*(ROW()-3)/(MATCH(9.99E+307,'Returns (Calc)'!$A:$A)-3),"")</f>
        <v>164.13582278481</v>
      </c>
      <c r="AH35" s="156" t="n">
        <f aca="false">IFERROR('Price History'!M3+(INDEX('Price History'!M:M,MATCH(9.99E+307,'Returns (Calc)'!$A:$A)+1)-'Price History'!M3)*(ROW()-3)/(MATCH(9.99E+307,'Returns (Calc)'!$A:$A)-3),"")</f>
        <v>81.3941772151899</v>
      </c>
      <c r="AI35" s="156" t="n">
        <f aca="false">IFERROR('Price History'!N3+(INDEX('Price History'!N:N,MATCH(9.99E+307,'Returns (Calc)'!$A:$A)+1)-'Price History'!N3)*(ROW()-3)/(MATCH(9.99E+307,'Returns (Calc)'!$A:$A)-3),"")</f>
        <v>380.460506329114</v>
      </c>
      <c r="AJ35" s="156" t="n">
        <f aca="false">IFERROR('Price History'!O3+(INDEX('Price History'!O:O,MATCH(9.99E+307,'Returns (Calc)'!$A:$A)+1)-'Price History'!O3)*(ROW()-3)/(MATCH(9.99E+307,'Returns (Calc)'!$A:$A)-3),"")</f>
        <v>84.3672151898734</v>
      </c>
      <c r="AK35" s="156" t="n">
        <f aca="false">IFERROR('Price History'!Q3+(INDEX('Price History'!Q:Q,MATCH(9.99E+307,'Returns (Calc)'!$A:$A)+1)-'Price History'!Q3)*(ROW()-3)/(MATCH(9.99E+307,'Returns (Calc)'!$A:$A)-3),"")</f>
        <v>14.059746835443</v>
      </c>
      <c r="AL35" s="156" t="n">
        <f aca="false">IFERROR('Price History'!R3+(INDEX('Price History'!R:R,MATCH(9.99E+307,'Returns (Calc)'!$A:$A)+1)-'Price History'!R3)*(ROW()-3)/(MATCH(9.99E+307,'Returns (Calc)'!$A:$A)-3),"")</f>
        <v>39.8592405063291</v>
      </c>
      <c r="AM35" s="156" t="n">
        <f aca="false">IFERROR('Price History'!S3+(INDEX('Price History'!S:S,MATCH(9.99E+307,'Returns (Calc)'!$A:$A)+1)-'Price History'!S3)*(ROW()-3)/(MATCH(9.99E+307,'Returns (Calc)'!$A:$A)-3),"")</f>
        <v>76.9920253164557</v>
      </c>
      <c r="AN35" s="156" t="n">
        <f aca="false">IFERROR('Price History'!T3+(INDEX('Price History'!T:T,MATCH(9.99E+307,'Returns (Calc)'!$A:$A)+1)-'Price History'!T3)*(ROW()-3)/(MATCH(9.99E+307,'Returns (Calc)'!$A:$A)-3),"")</f>
        <v>30.6232911392405</v>
      </c>
      <c r="AO35" s="157" t="n">
        <f aca="false">IFERROR('Price History'!V3+(INDEX('Price History'!V:V,MATCH(9.99E+307,'Returns (Calc)'!$A:$A)+1)-'Price History'!V3)*(ROW()-3)/(MATCH(9.99E+307,'Returns (Calc)'!$A:$A)-3),"")</f>
        <v>260.95253164557</v>
      </c>
      <c r="AP35" s="155" t="n">
        <f aca="false">IFERROR(IF(OR(NOT(ISNUMBER('Price History'!W36)),NOT(ISNUMBER('Price History'!W35)),'Price History'!W35=0),"",'Price History'!W36/'Price History'!W35-1),"")</f>
        <v>-0.0020937642239417</v>
      </c>
      <c r="AQ35" s="155" t="str">
        <f aca="false">IFERROR(IF(OR(NOT(ISNUMBER('Price History'!X36)),NOT(ISNUMBER('Price History'!X35)),'Price History'!X35=0),"",'Price History'!X36/'Price History'!X35-1),"")</f>
        <v/>
      </c>
      <c r="AR35" s="155" t="n">
        <f aca="false">IFERROR(IF(OR(NOT(ISNUMBER('Price History'!Y36)),NOT(ISNUMBER('Price History'!Y35)),'Price History'!Y35=0),"",'Price History'!Y36/'Price History'!Y35-1),"")</f>
        <v>0.0019514310494364</v>
      </c>
      <c r="AS35" s="155" t="n">
        <f aca="false">IFERROR(IF(OR(NOT(ISNUMBER('Price History'!Z36)),NOT(ISNUMBER('Price History'!Z35)),'Price History'!Z35=0),"",'Price History'!Z36/'Price History'!Z35-1),"")</f>
        <v>0.0108600674073149</v>
      </c>
      <c r="AT35" s="155" t="n">
        <f aca="false">IFERROR(IF(OR(NOT(ISNUMBER('Price History'!AA36)),NOT(ISNUMBER('Price History'!AA35)),'Price History'!AA35=0),"",'Price History'!AA36/'Price History'!AA35-1),"")</f>
        <v>0.0322523164647186</v>
      </c>
      <c r="AU35" s="155" t="n">
        <f aca="false">IFERROR(IF(OR(NOT(ISNUMBER('Price History'!AB36)),NOT(ISNUMBER('Price History'!AB35)),'Price History'!AB35=0),"",'Price History'!AB36/'Price History'!AB35-1),"")</f>
        <v>0.0126424767308744</v>
      </c>
    </row>
    <row r="36" customFormat="false" ht="15" hidden="false" customHeight="true" outlineLevel="0" collapsed="false">
      <c r="A36" s="153" t="n">
        <f aca="false">IF('Price History'!A37="","",'Price History'!A37)</f>
        <v>45422</v>
      </c>
      <c r="B36" s="154" t="n">
        <f aca="false">IFERROR(IF(OR(NOT(ISNUMBER('Price History'!B37)),NOT(ISNUMBER('Price History'!B36)),'Price History'!B36=0),"",'Price History'!B37/'Price History'!B36-1),"")</f>
        <v>-0.00800115183676819</v>
      </c>
      <c r="C36" s="154" t="n">
        <f aca="false">IFERROR(IF(OR(NOT(ISNUMBER('Price History'!C37)),NOT(ISNUMBER('Price History'!C36)),'Price History'!C36=0),"",'Price History'!C37/'Price History'!C36-1),"")</f>
        <v>0.144460641399417</v>
      </c>
      <c r="D36" s="154" t="n">
        <f aca="false">IFERROR(IF(OR(NOT(ISNUMBER('Price History'!D37)),NOT(ISNUMBER('Price History'!D36)),'Price History'!D36=0),"",'Price History'!D37/'Price History'!D36-1),"")</f>
        <v>0.031780642391513</v>
      </c>
      <c r="E36" s="154" t="n">
        <f aca="false">IFERROR(IF(OR(NOT(ISNUMBER('Price History'!E37)),NOT(ISNUMBER('Price History'!E36)),'Price History'!E36=0),"",'Price History'!E37/'Price History'!E36-1),"")</f>
        <v>0.0427781783225185</v>
      </c>
      <c r="F36" s="154" t="n">
        <f aca="false">IFERROR(IF(OR(NOT(ISNUMBER('Price History'!F37)),NOT(ISNUMBER('Price History'!F36)),'Price History'!F36=0),"",'Price History'!F37/'Price History'!F36-1),"")</f>
        <v>0.0340425531914894</v>
      </c>
      <c r="G36" s="154" t="n">
        <f aca="false">IFERROR(IF(OR(NOT(ISNUMBER('Price History'!G37)),NOT(ISNUMBER('Price History'!G36)),'Price History'!G36=0),"",'Price History'!G37/'Price History'!G36-1),"")</f>
        <v>0.031158572264482</v>
      </c>
      <c r="H36" s="154" t="n">
        <f aca="false">IFERROR(IF(OR(NOT(ISNUMBER('Price History'!H37)),NOT(ISNUMBER('Price History'!H36)),'Price History'!H36=0),"",'Price History'!H37/'Price History'!H36-1),"")</f>
        <v>0.0570776255707763</v>
      </c>
      <c r="I36" s="154" t="n">
        <f aca="false">IFERROR(IF(OR(NOT(ISNUMBER('Price History'!I37)),NOT(ISNUMBER('Price History'!I36)),'Price History'!I36=0),"",'Price History'!I37/'Price History'!I36-1),"")</f>
        <v>0.0121978766659137</v>
      </c>
      <c r="J36" s="154" t="n">
        <f aca="false">IFERROR(IF(OR(NOT(ISNUMBER('Price History'!J37)),NOT(ISNUMBER('Price History'!J36)),'Price History'!J36=0),"",'Price History'!J37/'Price History'!J36-1),"")</f>
        <v>0.0151841592284807</v>
      </c>
      <c r="K36" s="154" t="n">
        <f aca="false">IFERROR(IF(OR(NOT(ISNUMBER('Price History'!K37)),NOT(ISNUMBER('Price History'!K36)),'Price History'!K36=0),"",'Price History'!K37/'Price History'!K36-1),"")</f>
        <v>-0.11701671667381</v>
      </c>
      <c r="L36" s="154" t="n">
        <f aca="false">IFERROR(IF(OR(NOT(ISNUMBER('Price History'!L37)),NOT(ISNUMBER('Price History'!L36)),'Price History'!L36=0),"",'Price History'!L37/'Price History'!L36-1),"")</f>
        <v>0.0543692150717876</v>
      </c>
      <c r="M36" s="154" t="n">
        <f aca="false">IFERROR(IF(OR(NOT(ISNUMBER('Price History'!M37)),NOT(ISNUMBER('Price History'!M36)),'Price History'!M36=0),"",'Price History'!M37/'Price History'!M36-1),"")</f>
        <v>0.0257737517523995</v>
      </c>
      <c r="N36" s="154" t="n">
        <f aca="false">IFERROR(IF(OR(NOT(ISNUMBER('Price History'!N37)),NOT(ISNUMBER('Price History'!N36)),'Price History'!N36=0),"",'Price History'!N37/'Price History'!N36-1),"")</f>
        <v>0.0541039194175725</v>
      </c>
      <c r="O36" s="154" t="n">
        <f aca="false">IFERROR(IF(OR(NOT(ISNUMBER('Price History'!O37)),NOT(ISNUMBER('Price History'!O36)),'Price History'!O36=0),"",'Price History'!O37/'Price History'!O36-1),"")</f>
        <v>0.0172887565834667</v>
      </c>
      <c r="P36" s="154" t="n">
        <f aca="false">IFERROR(IF(OR(NOT(ISNUMBER('Price History'!P37)),NOT(ISNUMBER('Price History'!P36)),'Price History'!P36=0),"",'Price History'!P37/'Price History'!P36-1),"")</f>
        <v>0.0247270101976356</v>
      </c>
      <c r="Q36" s="154" t="n">
        <f aca="false">IFERROR(IF(OR(NOT(ISNUMBER('Price History'!Q37)),NOT(ISNUMBER('Price History'!Q36)),'Price History'!Q36=0),"",'Price History'!Q37/'Price History'!Q36-1),"")</f>
        <v>0.0155137798868408</v>
      </c>
      <c r="R36" s="154" t="n">
        <f aca="false">IFERROR(IF(OR(NOT(ISNUMBER('Price History'!R37)),NOT(ISNUMBER('Price History'!R36)),'Price History'!R36=0),"",'Price History'!R37/'Price History'!R36-1),"")</f>
        <v>0.0139165009940356</v>
      </c>
      <c r="S36" s="154" t="n">
        <f aca="false">IFERROR(IF(OR(NOT(ISNUMBER('Price History'!S37)),NOT(ISNUMBER('Price History'!S36)),'Price History'!S36=0),"",'Price History'!S37/'Price History'!S36-1),"")</f>
        <v>0.0222309402380019</v>
      </c>
      <c r="T36" s="154" t="n">
        <f aca="false">IFERROR(IF(OR(NOT(ISNUMBER('Price History'!T37)),NOT(ISNUMBER('Price History'!T36)),'Price History'!T36=0),"",'Price History'!T37/'Price History'!T36-1),"")</f>
        <v>0.0224530831099197</v>
      </c>
      <c r="U36" s="154" t="n">
        <f aca="false">IFERROR(IF(OR(NOT(ISNUMBER('Price History'!U37)),NOT(ISNUMBER('Price History'!U36)),'Price History'!U36=0),"",'Price History'!U37/'Price History'!U36-1),"")</f>
        <v>0.0168634064080946</v>
      </c>
      <c r="V36" s="155" t="n">
        <f aca="false">IFERROR(IF(OR(NOT(ISNUMBER('Price History'!V37)),NOT(ISNUMBER('Price History'!V36)),'Price History'!V36=0),"",'Price History'!V37/'Price History'!V36-1),"")</f>
        <v>0.045618429541918</v>
      </c>
      <c r="W36" s="156" t="n">
        <f aca="false">IFERROR('Price History'!B3+(INDEX('Price History'!B:B,MATCH(9.99E+307,'Returns (Calc)'!$A:$A)+1)-'Price History'!B3)*(ROW()-3)/(MATCH(9.99E+307,'Returns (Calc)'!$A:$A)-3),"")</f>
        <v>468.069746835443</v>
      </c>
      <c r="X36" s="156" t="n">
        <f aca="false">IFERROR('Price History'!C3+(INDEX('Price History'!C:C,MATCH(9.99E+307,'Returns (Calc)'!$A:$A)+1)-'Price History'!C3)*(ROW()-3)/(MATCH(9.99E+307,'Returns (Calc)'!$A:$A)-3),"")</f>
        <v>79.8420886075949</v>
      </c>
      <c r="Y36" s="156" t="n">
        <f aca="false">IFERROR('Price History'!D3+(INDEX('Price History'!D:D,MATCH(9.99E+307,'Returns (Calc)'!$A:$A)+1)-'Price History'!D3)*(ROW()-3)/(MATCH(9.99E+307,'Returns (Calc)'!$A:$A)-3),"")</f>
        <v>850.458734177215</v>
      </c>
      <c r="Z36" s="156" t="n">
        <f aca="false">IFERROR('Price History'!E3+(INDEX('Price History'!E:E,MATCH(9.99E+307,'Returns (Calc)'!$A:$A)+1)-'Price History'!E3)*(ROW()-3)/(MATCH(9.99E+307,'Returns (Calc)'!$A:$A)-3),"")</f>
        <v>139.048227848101</v>
      </c>
      <c r="AA36" s="156" t="n">
        <f aca="false">IFERROR('Price History'!F3+(INDEX('Price History'!F:F,MATCH(9.99E+307,'Returns (Calc)'!$A:$A)+1)-'Price History'!F3)*(ROW()-3)/(MATCH(9.99E+307,'Returns (Calc)'!$A:$A)-3),"")</f>
        <v>89.1222784810127</v>
      </c>
      <c r="AB36" s="156" t="n">
        <f aca="false">IFERROR('Price History'!G3+(INDEX('Price History'!G:G,MATCH(9.99E+307,'Returns (Calc)'!$A:$A)+1)-'Price History'!G3)*(ROW()-3)/(MATCH(9.99E+307,'Returns (Calc)'!$A:$A)-3),"")</f>
        <v>78.2982278481013</v>
      </c>
      <c r="AC36" s="156" t="n">
        <f aca="false">IFERROR('Price History'!H3+(INDEX('Price History'!H:H,MATCH(9.99E+307,'Returns (Calc)'!$A:$A)+1)-'Price History'!H3)*(ROW()-3)/(MATCH(9.99E+307,'Returns (Calc)'!$A:$A)-3),"")</f>
        <v>279.177974683544</v>
      </c>
      <c r="AD36" s="156" t="n">
        <f aca="false">IFERROR('Price History'!I3+(INDEX('Price History'!I:I,MATCH(9.99E+307,'Returns (Calc)'!$A:$A)+1)-'Price History'!I3)*(ROW()-3)/(MATCH(9.99E+307,'Returns (Calc)'!$A:$A)-3),"")</f>
        <v>83.4911392405063</v>
      </c>
      <c r="AE36" s="156" t="n">
        <f aca="false">IFERROR('Price History'!J3+(INDEX('Price History'!J:J,MATCH(9.99E+307,'Returns (Calc)'!$A:$A)+1)-'Price History'!J3)*(ROW()-3)/(MATCH(9.99E+307,'Returns (Calc)'!$A:$A)-3),"")</f>
        <v>115.405253164557</v>
      </c>
      <c r="AF36" s="156" t="n">
        <f aca="false">IFERROR('Price History'!K3+(INDEX('Price History'!K:K,MATCH(9.99E+307,'Returns (Calc)'!$A:$A)+1)-'Price History'!K3)*(ROW()-3)/(MATCH(9.99E+307,'Returns (Calc)'!$A:$A)-3),"")</f>
        <v>51.5506329113924</v>
      </c>
      <c r="AG36" s="156" t="n">
        <f aca="false">IFERROR('Price History'!L3+(INDEX('Price History'!L:L,MATCH(9.99E+307,'Returns (Calc)'!$A:$A)+1)-'Price History'!L3)*(ROW()-3)/(MATCH(9.99E+307,'Returns (Calc)'!$A:$A)-3),"")</f>
        <v>166.585379746835</v>
      </c>
      <c r="AH36" s="156" t="n">
        <f aca="false">IFERROR('Price History'!M3+(INDEX('Price History'!M:M,MATCH(9.99E+307,'Returns (Calc)'!$A:$A)+1)-'Price History'!M3)*(ROW()-3)/(MATCH(9.99E+307,'Returns (Calc)'!$A:$A)-3),"")</f>
        <v>82.7496202531646</v>
      </c>
      <c r="AI36" s="156" t="n">
        <f aca="false">IFERROR('Price History'!N3+(INDEX('Price History'!N:N,MATCH(9.99E+307,'Returns (Calc)'!$A:$A)+1)-'Price History'!N3)*(ROW()-3)/(MATCH(9.99E+307,'Returns (Calc)'!$A:$A)-3),"")</f>
        <v>381.446772151899</v>
      </c>
      <c r="AJ36" s="156" t="n">
        <f aca="false">IFERROR('Price History'!O3+(INDEX('Price History'!O:O,MATCH(9.99E+307,'Returns (Calc)'!$A:$A)+1)-'Price History'!O3)*(ROW()-3)/(MATCH(9.99E+307,'Returns (Calc)'!$A:$A)-3),"")</f>
        <v>84.650253164557</v>
      </c>
      <c r="AK36" s="156" t="n">
        <f aca="false">IFERROR('Price History'!Q3+(INDEX('Price History'!Q:Q,MATCH(9.99E+307,'Returns (Calc)'!$A:$A)+1)-'Price History'!Q3)*(ROW()-3)/(MATCH(9.99E+307,'Returns (Calc)'!$A:$A)-3),"")</f>
        <v>14.4991139240506</v>
      </c>
      <c r="AL36" s="156" t="n">
        <f aca="false">IFERROR('Price History'!R3+(INDEX('Price History'!R:R,MATCH(9.99E+307,'Returns (Calc)'!$A:$A)+1)-'Price History'!R3)*(ROW()-3)/(MATCH(9.99E+307,'Returns (Calc)'!$A:$A)-3),"")</f>
        <v>40.0273417721519</v>
      </c>
      <c r="AM36" s="156" t="n">
        <f aca="false">IFERROR('Price History'!S3+(INDEX('Price History'!S:S,MATCH(9.99E+307,'Returns (Calc)'!$A:$A)+1)-'Price History'!S3)*(ROW()-3)/(MATCH(9.99E+307,'Returns (Calc)'!$A:$A)-3),"")</f>
        <v>77.5970886075949</v>
      </c>
      <c r="AN36" s="156" t="n">
        <f aca="false">IFERROR('Price History'!T3+(INDEX('Price History'!T:T,MATCH(9.99E+307,'Returns (Calc)'!$A:$A)+1)-'Price History'!T3)*(ROW()-3)/(MATCH(9.99E+307,'Returns (Calc)'!$A:$A)-3),"")</f>
        <v>30.7915189873418</v>
      </c>
      <c r="AO36" s="157" t="n">
        <f aca="false">IFERROR('Price History'!V3+(INDEX('Price History'!V:V,MATCH(9.99E+307,'Returns (Calc)'!$A:$A)+1)-'Price History'!V3)*(ROW()-3)/(MATCH(9.99E+307,'Returns (Calc)'!$A:$A)-3),"")</f>
        <v>261.743860759494</v>
      </c>
      <c r="AP36" s="155" t="n">
        <f aca="false">IFERROR(IF(OR(NOT(ISNUMBER('Price History'!W37)),NOT(ISNUMBER('Price History'!W36)),'Price History'!W36=0),"",'Price History'!W37/'Price History'!W36-1),"")</f>
        <v>0.0234446268929027</v>
      </c>
      <c r="AQ36" s="155" t="str">
        <f aca="false">IFERROR(IF(OR(NOT(ISNUMBER('Price History'!X37)),NOT(ISNUMBER('Price History'!X36)),'Price History'!X36=0),"",'Price History'!X37/'Price History'!X36-1),"")</f>
        <v/>
      </c>
      <c r="AR36" s="155" t="n">
        <f aca="false">IFERROR(IF(OR(NOT(ISNUMBER('Price History'!Y37)),NOT(ISNUMBER('Price History'!Y36)),'Price History'!Y36=0),"",'Price History'!Y37/'Price History'!Y36-1),"")</f>
        <v>0.0186106903267691</v>
      </c>
      <c r="AS36" s="155" t="n">
        <f aca="false">IFERROR(IF(OR(NOT(ISNUMBER('Price History'!Z37)),NOT(ISNUMBER('Price History'!Z36)),'Price History'!Z36=0),"",'Price History'!Z37/'Price History'!Z36-1),"")</f>
        <v>-0.0044455421091627</v>
      </c>
      <c r="AT36" s="155" t="n">
        <f aca="false">IFERROR(IF(OR(NOT(ISNUMBER('Price History'!AA37)),NOT(ISNUMBER('Price History'!AA36)),'Price History'!AA36=0),"",'Price History'!AA37/'Price History'!AA36-1),"")</f>
        <v>0.0545485931296392</v>
      </c>
      <c r="AU36" s="155" t="n">
        <f aca="false">IFERROR(IF(OR(NOT(ISNUMBER('Price History'!AB37)),NOT(ISNUMBER('Price History'!AB36)),'Price History'!AB36=0),"",'Price History'!AB37/'Price History'!AB36-1),"")</f>
        <v>0.00162202015237156</v>
      </c>
    </row>
    <row r="37" customFormat="false" ht="15" hidden="false" customHeight="true" outlineLevel="0" collapsed="false">
      <c r="A37" s="153" t="n">
        <f aca="false">IF('Price History'!A38="","",'Price History'!A38)</f>
        <v>45429</v>
      </c>
      <c r="B37" s="154" t="n">
        <f aca="false">IFERROR(IF(OR(NOT(ISNUMBER('Price History'!B38)),NOT(ISNUMBER('Price History'!B37)),'Price History'!B37=0),"",'Price History'!B38/'Price History'!B37-1),"")</f>
        <v>0.00236372307118127</v>
      </c>
      <c r="C37" s="154" t="n">
        <f aca="false">IFERROR(IF(OR(NOT(ISNUMBER('Price History'!C38)),NOT(ISNUMBER('Price History'!C37)),'Price History'!C37=0),"",'Price History'!C38/'Price History'!C37-1),"")</f>
        <v>0.0185963571519552</v>
      </c>
      <c r="D37" s="154" t="n">
        <f aca="false">IFERROR(IF(OR(NOT(ISNUMBER('Price History'!D38)),NOT(ISNUMBER('Price History'!D37)),'Price History'!D37=0),"",'Price History'!D38/'Price History'!D37-1),"")</f>
        <v>-0.00571578739898826</v>
      </c>
      <c r="E37" s="154" t="n">
        <f aca="false">IFERROR(IF(OR(NOT(ISNUMBER('Price History'!E38)),NOT(ISNUMBER('Price History'!E37)),'Price History'!E37=0),"",'Price History'!E38/'Price History'!E37-1),"")</f>
        <v>0.0468617961127757</v>
      </c>
      <c r="F37" s="154" t="n">
        <f aca="false">IFERROR(IF(OR(NOT(ISNUMBER('Price History'!F38)),NOT(ISNUMBER('Price History'!F37)),'Price History'!F37=0),"",'Price History'!F38/'Price History'!F37-1),"")</f>
        <v>0.0784387080683378</v>
      </c>
      <c r="G37" s="154" t="n">
        <f aca="false">IFERROR(IF(OR(NOT(ISNUMBER('Price History'!G38)),NOT(ISNUMBER('Price History'!G37)),'Price History'!G37=0),"",'Price History'!G38/'Price History'!G37-1),"")</f>
        <v>0.0429848205419208</v>
      </c>
      <c r="H37" s="154" t="n">
        <f aca="false">IFERROR(IF(OR(NOT(ISNUMBER('Price History'!H38)),NOT(ISNUMBER('Price History'!H37)),'Price History'!H37=0),"",'Price History'!H38/'Price History'!H37-1),"")</f>
        <v>0.0333942515368002</v>
      </c>
      <c r="I37" s="154" t="n">
        <f aca="false">IFERROR(IF(OR(NOT(ISNUMBER('Price History'!I38)),NOT(ISNUMBER('Price History'!I37)),'Price History'!I37=0),"",'Price History'!I38/'Price History'!I37-1),"")</f>
        <v>0.029011381388083</v>
      </c>
      <c r="J37" s="154" t="n">
        <f aca="false">IFERROR(IF(OR(NOT(ISNUMBER('Price History'!J38)),NOT(ISNUMBER('Price History'!J37)),'Price History'!J37=0),"",'Price History'!J38/'Price History'!J37-1),"")</f>
        <v>0.0372915613946438</v>
      </c>
      <c r="K37" s="154" t="n">
        <f aca="false">IFERROR(IF(OR(NOT(ISNUMBER('Price History'!K38)),NOT(ISNUMBER('Price History'!K37)),'Price History'!K37=0),"",'Price History'!K38/'Price History'!K37-1),"")</f>
        <v>0.0563106796116506</v>
      </c>
      <c r="L37" s="154" t="n">
        <f aca="false">IFERROR(IF(OR(NOT(ISNUMBER('Price History'!L38)),NOT(ISNUMBER('Price History'!L37)),'Price History'!L37=0),"",'Price History'!L38/'Price History'!L37-1),"")</f>
        <v>0.0162438653487249</v>
      </c>
      <c r="M37" s="154" t="n">
        <f aca="false">IFERROR(IF(OR(NOT(ISNUMBER('Price History'!M38)),NOT(ISNUMBER('Price History'!M37)),'Price History'!M37=0),"",'Price History'!M38/'Price History'!M37-1),"")</f>
        <v>0.0147182506307821</v>
      </c>
      <c r="N37" s="154" t="n">
        <f aca="false">IFERROR(IF(OR(NOT(ISNUMBER('Price History'!N38)),NOT(ISNUMBER('Price History'!N37)),'Price History'!N37=0),"",'Price History'!N38/'Price History'!N37-1),"")</f>
        <v>0.0530535976157813</v>
      </c>
      <c r="O37" s="154" t="n">
        <f aca="false">IFERROR(IF(OR(NOT(ISNUMBER('Price History'!O38)),NOT(ISNUMBER('Price History'!O37)),'Price History'!O37=0),"",'Price History'!O38/'Price History'!O37-1),"")</f>
        <v>0.0110298255486776</v>
      </c>
      <c r="P37" s="154" t="n">
        <f aca="false">IFERROR(IF(OR(NOT(ISNUMBER('Price History'!P38)),NOT(ISNUMBER('Price History'!P37)),'Price History'!P37=0),"",'Price History'!P38/'Price History'!P37-1),"")</f>
        <v>0.0121532364597094</v>
      </c>
      <c r="Q37" s="154" t="n">
        <f aca="false">IFERROR(IF(OR(NOT(ISNUMBER('Price History'!Q38)),NOT(ISNUMBER('Price History'!Q37)),'Price History'!Q37=0),"",'Price History'!Q38/'Price History'!Q37-1),"")</f>
        <v>0.01078360891445</v>
      </c>
      <c r="R37" s="154" t="n">
        <f aca="false">IFERROR(IF(OR(NOT(ISNUMBER('Price History'!R38)),NOT(ISNUMBER('Price History'!R37)),'Price History'!R37=0),"",'Price History'!R38/'Price History'!R37-1),"")</f>
        <v>0.0120098039215686</v>
      </c>
      <c r="S37" s="154" t="n">
        <f aca="false">IFERROR(IF(OR(NOT(ISNUMBER('Price History'!S38)),NOT(ISNUMBER('Price History'!S37)),'Price History'!S37=0),"",'Price History'!S38/'Price History'!S37-1),"")</f>
        <v>0.0150953051042599</v>
      </c>
      <c r="T37" s="154" t="n">
        <f aca="false">IFERROR(IF(OR(NOT(ISNUMBER('Price History'!T38)),NOT(ISNUMBER('Price History'!T37)),'Price History'!T37=0),"",'Price History'!T38/'Price History'!T37-1),"")</f>
        <v>0.0095050803015404</v>
      </c>
      <c r="U37" s="154" t="n">
        <f aca="false">IFERROR(IF(OR(NOT(ISNUMBER('Price History'!U38)),NOT(ISNUMBER('Price History'!U37)),'Price History'!U37=0),"",'Price History'!U38/'Price History'!U37-1),"")</f>
        <v>0.00995024875621886</v>
      </c>
      <c r="V37" s="155" t="n">
        <f aca="false">IFERROR(IF(OR(NOT(ISNUMBER('Price History'!V38)),NOT(ISNUMBER('Price History'!V37)),'Price History'!V37=0),"",'Price History'!V38/'Price History'!V37-1),"")</f>
        <v>-0.000435555878189553</v>
      </c>
      <c r="W37" s="156" t="n">
        <f aca="false">IFERROR('Price History'!B3+(INDEX('Price History'!B:B,MATCH(9.99E+307,'Returns (Calc)'!$A:$A)+1)-'Price History'!B3)*(ROW()-3)/(MATCH(9.99E+307,'Returns (Calc)'!$A:$A)-3),"")</f>
        <v>466.226708860759</v>
      </c>
      <c r="X37" s="156" t="n">
        <f aca="false">IFERROR('Price History'!C3+(INDEX('Price History'!C:C,MATCH(9.99E+307,'Returns (Calc)'!$A:$A)+1)-'Price History'!C3)*(ROW()-3)/(MATCH(9.99E+307,'Returns (Calc)'!$A:$A)-3),"")</f>
        <v>80.8621518987342</v>
      </c>
      <c r="Y37" s="156" t="n">
        <f aca="false">IFERROR('Price History'!D3+(INDEX('Price History'!D:D,MATCH(9.99E+307,'Returns (Calc)'!$A:$A)+1)-'Price History'!D3)*(ROW()-3)/(MATCH(9.99E+307,'Returns (Calc)'!$A:$A)-3),"")</f>
        <v>858.593544303797</v>
      </c>
      <c r="Z37" s="156" t="n">
        <f aca="false">IFERROR('Price History'!E3+(INDEX('Price History'!E:E,MATCH(9.99E+307,'Returns (Calc)'!$A:$A)+1)-'Price History'!E3)*(ROW()-3)/(MATCH(9.99E+307,'Returns (Calc)'!$A:$A)-3),"")</f>
        <v>140.776962025316</v>
      </c>
      <c r="AA37" s="156" t="n">
        <f aca="false">IFERROR('Price History'!F3+(INDEX('Price History'!F:F,MATCH(9.99E+307,'Returns (Calc)'!$A:$A)+1)-'Price History'!F3)*(ROW()-3)/(MATCH(9.99E+307,'Returns (Calc)'!$A:$A)-3),"")</f>
        <v>90.5696202531646</v>
      </c>
      <c r="AB37" s="156" t="n">
        <f aca="false">IFERROR('Price History'!G3+(INDEX('Price History'!G:G,MATCH(9.99E+307,'Returns (Calc)'!$A:$A)+1)-'Price History'!G3)*(ROW()-3)/(MATCH(9.99E+307,'Returns (Calc)'!$A:$A)-3),"")</f>
        <v>79.3269620253165</v>
      </c>
      <c r="AC37" s="156" t="n">
        <f aca="false">IFERROR('Price History'!H3+(INDEX('Price History'!H:H,MATCH(9.99E+307,'Returns (Calc)'!$A:$A)+1)-'Price History'!H3)*(ROW()-3)/(MATCH(9.99E+307,'Returns (Calc)'!$A:$A)-3),"")</f>
        <v>285.543670886076</v>
      </c>
      <c r="AD37" s="156" t="n">
        <f aca="false">IFERROR('Price History'!I3+(INDEX('Price History'!I:I,MATCH(9.99E+307,'Returns (Calc)'!$A:$A)+1)-'Price History'!I3)*(ROW()-3)/(MATCH(9.99E+307,'Returns (Calc)'!$A:$A)-3),"")</f>
        <v>84.6948101265823</v>
      </c>
      <c r="AE37" s="156" t="n">
        <f aca="false">IFERROR('Price History'!J3+(INDEX('Price History'!J:J,MATCH(9.99E+307,'Returns (Calc)'!$A:$A)+1)-'Price History'!J3)*(ROW()-3)/(MATCH(9.99E+307,'Returns (Calc)'!$A:$A)-3),"")</f>
        <v>115.513291139241</v>
      </c>
      <c r="AF37" s="156" t="n">
        <f aca="false">IFERROR('Price History'!K3+(INDEX('Price History'!K:K,MATCH(9.99E+307,'Returns (Calc)'!$A:$A)+1)-'Price History'!K3)*(ROW()-3)/(MATCH(9.99E+307,'Returns (Calc)'!$A:$A)-3),"")</f>
        <v>52.6482278481013</v>
      </c>
      <c r="AG37" s="156" t="n">
        <f aca="false">IFERROR('Price History'!L3+(INDEX('Price History'!L:L,MATCH(9.99E+307,'Returns (Calc)'!$A:$A)+1)-'Price History'!L3)*(ROW()-3)/(MATCH(9.99E+307,'Returns (Calc)'!$A:$A)-3),"")</f>
        <v>169.034936708861</v>
      </c>
      <c r="AH37" s="156" t="n">
        <f aca="false">IFERROR('Price History'!M3+(INDEX('Price History'!M:M,MATCH(9.99E+307,'Returns (Calc)'!$A:$A)+1)-'Price History'!M3)*(ROW()-3)/(MATCH(9.99E+307,'Returns (Calc)'!$A:$A)-3),"")</f>
        <v>84.1050632911392</v>
      </c>
      <c r="AI37" s="156" t="n">
        <f aca="false">IFERROR('Price History'!N3+(INDEX('Price History'!N:N,MATCH(9.99E+307,'Returns (Calc)'!$A:$A)+1)-'Price History'!N3)*(ROW()-3)/(MATCH(9.99E+307,'Returns (Calc)'!$A:$A)-3),"")</f>
        <v>382.433037974684</v>
      </c>
      <c r="AJ37" s="156" t="n">
        <f aca="false">IFERROR('Price History'!O3+(INDEX('Price History'!O:O,MATCH(9.99E+307,'Returns (Calc)'!$A:$A)+1)-'Price History'!O3)*(ROW()-3)/(MATCH(9.99E+307,'Returns (Calc)'!$A:$A)-3),"")</f>
        <v>84.9332911392405</v>
      </c>
      <c r="AK37" s="156" t="n">
        <f aca="false">IFERROR('Price History'!Q3+(INDEX('Price History'!Q:Q,MATCH(9.99E+307,'Returns (Calc)'!$A:$A)+1)-'Price History'!Q3)*(ROW()-3)/(MATCH(9.99E+307,'Returns (Calc)'!$A:$A)-3),"")</f>
        <v>14.9384810126582</v>
      </c>
      <c r="AL37" s="156" t="n">
        <f aca="false">IFERROR('Price History'!R3+(INDEX('Price History'!R:R,MATCH(9.99E+307,'Returns (Calc)'!$A:$A)+1)-'Price History'!R3)*(ROW()-3)/(MATCH(9.99E+307,'Returns (Calc)'!$A:$A)-3),"")</f>
        <v>40.1954430379747</v>
      </c>
      <c r="AM37" s="156" t="n">
        <f aca="false">IFERROR('Price History'!S3+(INDEX('Price History'!S:S,MATCH(9.99E+307,'Returns (Calc)'!$A:$A)+1)-'Price History'!S3)*(ROW()-3)/(MATCH(9.99E+307,'Returns (Calc)'!$A:$A)-3),"")</f>
        <v>78.2021518987342</v>
      </c>
      <c r="AN37" s="156" t="n">
        <f aca="false">IFERROR('Price History'!T3+(INDEX('Price History'!T:T,MATCH(9.99E+307,'Returns (Calc)'!$A:$A)+1)-'Price History'!T3)*(ROW()-3)/(MATCH(9.99E+307,'Returns (Calc)'!$A:$A)-3),"")</f>
        <v>30.959746835443</v>
      </c>
      <c r="AO37" s="157" t="n">
        <f aca="false">IFERROR('Price History'!V3+(INDEX('Price History'!V:V,MATCH(9.99E+307,'Returns (Calc)'!$A:$A)+1)-'Price History'!V3)*(ROW()-3)/(MATCH(9.99E+307,'Returns (Calc)'!$A:$A)-3),"")</f>
        <v>262.535189873418</v>
      </c>
      <c r="AP37" s="155" t="n">
        <f aca="false">IFERROR(IF(OR(NOT(ISNUMBER('Price History'!W38)),NOT(ISNUMBER('Price History'!W37)),'Price History'!W37=0),"",'Price History'!W38/'Price History'!W37-1),"")</f>
        <v>0.0136375791068724</v>
      </c>
      <c r="AQ37" s="155" t="str">
        <f aca="false">IFERROR(IF(OR(NOT(ISNUMBER('Price History'!X38)),NOT(ISNUMBER('Price History'!X37)),'Price History'!X37=0),"",'Price History'!X38/'Price History'!X37-1),"")</f>
        <v/>
      </c>
      <c r="AR37" s="155" t="n">
        <f aca="false">IFERROR(IF(OR(NOT(ISNUMBER('Price History'!Y38)),NOT(ISNUMBER('Price History'!Y37)),'Price History'!Y37=0),"",'Price History'!Y38/'Price History'!Y37-1),"")</f>
        <v>0.00488633949437012</v>
      </c>
      <c r="AS37" s="155" t="n">
        <f aca="false">IFERROR(IF(OR(NOT(ISNUMBER('Price History'!Z38)),NOT(ISNUMBER('Price History'!Z37)),'Price History'!Z37=0),"",'Price History'!Z38/'Price History'!Z37-1),"")</f>
        <v>-0.0213346564128007</v>
      </c>
      <c r="AT37" s="155" t="n">
        <f aca="false">IFERROR(IF(OR(NOT(ISNUMBER('Price History'!AA38)),NOT(ISNUMBER('Price History'!AA37)),'Price History'!AA37=0),"",'Price History'!AA38/'Price History'!AA37-1),"")</f>
        <v>0.0166966770338843</v>
      </c>
      <c r="AU37" s="155" t="n">
        <f aca="false">IFERROR(IF(OR(NOT(ISNUMBER('Price History'!AB38)),NOT(ISNUMBER('Price History'!AB37)),'Price History'!AB37=0),"",'Price History'!AB38/'Price History'!AB37-1),"")</f>
        <v>0.0318480714496026</v>
      </c>
    </row>
    <row r="38" customFormat="false" ht="15" hidden="false" customHeight="true" outlineLevel="0" collapsed="false">
      <c r="A38" s="153" t="n">
        <f aca="false">IF('Price History'!A39="","",'Price History'!A39)</f>
        <v>45436</v>
      </c>
      <c r="B38" s="154" t="n">
        <f aca="false">IFERROR(IF(OR(NOT(ISNUMBER('Price History'!B39)),NOT(ISNUMBER('Price History'!B38)),'Price History'!B38=0),"",'Price History'!B39/'Price History'!B38-1),"")</f>
        <v>-0.0165484144550401</v>
      </c>
      <c r="C38" s="154" t="n">
        <f aca="false">IFERROR(IF(OR(NOT(ISNUMBER('Price History'!C39)),NOT(ISNUMBER('Price History'!C38)),'Price History'!C38=0),"",'Price History'!C39/'Price History'!C38-1),"")</f>
        <v>-0.0416406152307115</v>
      </c>
      <c r="D38" s="154" t="n">
        <f aca="false">IFERROR(IF(OR(NOT(ISNUMBER('Price History'!D39)),NOT(ISNUMBER('Price History'!D38)),'Price History'!D38=0),"",'Price History'!D39/'Price History'!D38-1),"")</f>
        <v>0.0337870578388617</v>
      </c>
      <c r="E38" s="154" t="n">
        <f aca="false">IFERROR(IF(OR(NOT(ISNUMBER('Price History'!E39)),NOT(ISNUMBER('Price History'!E38)),'Price History'!E38=0),"",'Price History'!E39/'Price History'!E38-1),"")</f>
        <v>0.00902619798928583</v>
      </c>
      <c r="F38" s="154" t="n">
        <f aca="false">IFERROR(IF(OR(NOT(ISNUMBER('Price History'!F39)),NOT(ISNUMBER('Price History'!F38)),'Price History'!F38=0),"",'Price History'!F39/'Price History'!F38-1),"")</f>
        <v>0.0160730804810361</v>
      </c>
      <c r="G38" s="154" t="n">
        <f aca="false">IFERROR(IF(OR(NOT(ISNUMBER('Price History'!G39)),NOT(ISNUMBER('Price History'!G38)),'Price History'!G38=0),"",'Price History'!G39/'Price History'!G38-1),"")</f>
        <v>0.0420293797606095</v>
      </c>
      <c r="H38" s="154" t="n">
        <f aca="false">IFERROR(IF(OR(NOT(ISNUMBER('Price History'!H39)),NOT(ISNUMBER('Price History'!H38)),'Price History'!H38=0),"",'Price History'!H39/'Price History'!H38-1),"")</f>
        <v>0.0335209003215433</v>
      </c>
      <c r="I38" s="154" t="n">
        <f aca="false">IFERROR(IF(OR(NOT(ISNUMBER('Price History'!I39)),NOT(ISNUMBER('Price History'!I38)),'Price History'!I38=0),"",'Price History'!I39/'Price History'!I38-1),"")</f>
        <v>0.151268705270007</v>
      </c>
      <c r="J38" s="154" t="n">
        <f aca="false">IFERROR(IF(OR(NOT(ISNUMBER('Price History'!J39)),NOT(ISNUMBER('Price History'!J38)),'Price History'!J38=0),"",'Price History'!J39/'Price History'!J38-1),"")</f>
        <v>-0.0606001558846454</v>
      </c>
      <c r="K38" s="154" t="n">
        <f aca="false">IFERROR(IF(OR(NOT(ISNUMBER('Price History'!K39)),NOT(ISNUMBER('Price History'!K38)),'Price History'!K38=0),"",'Price History'!K39/'Price History'!K38-1),"")</f>
        <v>-0.0344669117647058</v>
      </c>
      <c r="L38" s="154" t="n">
        <f aca="false">IFERROR(IF(OR(NOT(ISNUMBER('Price History'!L39)),NOT(ISNUMBER('Price History'!L38)),'Price History'!L38=0),"",'Price History'!L39/'Price History'!L38-1),"")</f>
        <v>0.054822473132907</v>
      </c>
      <c r="M38" s="154" t="n">
        <f aca="false">IFERROR(IF(OR(NOT(ISNUMBER('Price History'!M39)),NOT(ISNUMBER('Price History'!M38)),'Price History'!M38=0),"",'Price History'!M39/'Price History'!M38-1),"")</f>
        <v>0.0966639038541235</v>
      </c>
      <c r="N38" s="154" t="n">
        <f aca="false">IFERROR(IF(OR(NOT(ISNUMBER('Price History'!N39)),NOT(ISNUMBER('Price History'!N38)),'Price History'!N38=0),"",'Price History'!N39/'Price History'!N38-1),"")</f>
        <v>0.0263695784012039</v>
      </c>
      <c r="O38" s="154" t="n">
        <f aca="false">IFERROR(IF(OR(NOT(ISNUMBER('Price History'!O39)),NOT(ISNUMBER('Price History'!O38)),'Price History'!O38=0),"",'Price History'!O39/'Price History'!O38-1),"")</f>
        <v>-0.0148057441834576</v>
      </c>
      <c r="P38" s="154" t="n">
        <f aca="false">IFERROR(IF(OR(NOT(ISNUMBER('Price History'!P39)),NOT(ISNUMBER('Price History'!P38)),'Price History'!P38=0),"",'Price History'!P39/'Price History'!P38-1),"")</f>
        <v>-0.0204472287479336</v>
      </c>
      <c r="Q38" s="154" t="n">
        <f aca="false">IFERROR(IF(OR(NOT(ISNUMBER('Price History'!Q39)),NOT(ISNUMBER('Price History'!Q38)),'Price History'!Q38=0),"",'Price History'!Q39/'Price History'!Q38-1),"")</f>
        <v>0.00106685633001424</v>
      </c>
      <c r="R38" s="154" t="n">
        <f aca="false">IFERROR(IF(OR(NOT(ISNUMBER('Price History'!R39)),NOT(ISNUMBER('Price History'!R38)),'Price History'!R38=0),"",'Price History'!R39/'Price History'!R38-1),"")</f>
        <v>0.00460159844998787</v>
      </c>
      <c r="S38" s="154" t="n">
        <f aca="false">IFERROR(IF(OR(NOT(ISNUMBER('Price History'!S39)),NOT(ISNUMBER('Price History'!S38)),'Price History'!S38=0),"",'Price History'!S39/'Price History'!S38-1),"")</f>
        <v>0.019533711405167</v>
      </c>
      <c r="T38" s="154" t="n">
        <f aca="false">IFERROR(IF(OR(NOT(ISNUMBER('Price History'!T39)),NOT(ISNUMBER('Price History'!T38)),'Price History'!T38=0),"",'Price History'!T39/'Price History'!T38-1),"")</f>
        <v>-0.0172077922077922</v>
      </c>
      <c r="U38" s="154" t="n">
        <f aca="false">IFERROR(IF(OR(NOT(ISNUMBER('Price History'!U39)),NOT(ISNUMBER('Price History'!U38)),'Price History'!U38=0),"",'Price History'!U39/'Price History'!U38-1),"")</f>
        <v>-0.024630541871921</v>
      </c>
      <c r="V38" s="155" t="n">
        <f aca="false">IFERROR(IF(OR(NOT(ISNUMBER('Price History'!V39)),NOT(ISNUMBER('Price History'!V38)),'Price History'!V38=0),"",'Price History'!V39/'Price History'!V38-1),"")</f>
        <v>-0.0200443008097606</v>
      </c>
      <c r="W38" s="156" t="n">
        <f aca="false">IFERROR('Price History'!B3+(INDEX('Price History'!B:B,MATCH(9.99E+307,'Returns (Calc)'!$A:$A)+1)-'Price History'!B3)*(ROW()-3)/(MATCH(9.99E+307,'Returns (Calc)'!$A:$A)-3),"")</f>
        <v>464.383670886076</v>
      </c>
      <c r="X38" s="156" t="n">
        <f aca="false">IFERROR('Price History'!C3+(INDEX('Price History'!C:C,MATCH(9.99E+307,'Returns (Calc)'!$A:$A)+1)-'Price History'!C3)*(ROW()-3)/(MATCH(9.99E+307,'Returns (Calc)'!$A:$A)-3),"")</f>
        <v>81.8822151898734</v>
      </c>
      <c r="Y38" s="156" t="n">
        <f aca="false">IFERROR('Price History'!D3+(INDEX('Price History'!D:D,MATCH(9.99E+307,'Returns (Calc)'!$A:$A)+1)-'Price History'!D3)*(ROW()-3)/(MATCH(9.99E+307,'Returns (Calc)'!$A:$A)-3),"")</f>
        <v>866.72835443038</v>
      </c>
      <c r="Z38" s="156" t="n">
        <f aca="false">IFERROR('Price History'!E3+(INDEX('Price History'!E:E,MATCH(9.99E+307,'Returns (Calc)'!$A:$A)+1)-'Price History'!E3)*(ROW()-3)/(MATCH(9.99E+307,'Returns (Calc)'!$A:$A)-3),"")</f>
        <v>142.505696202532</v>
      </c>
      <c r="AA38" s="156" t="n">
        <f aca="false">IFERROR('Price History'!F3+(INDEX('Price History'!F:F,MATCH(9.99E+307,'Returns (Calc)'!$A:$A)+1)-'Price History'!F3)*(ROW()-3)/(MATCH(9.99E+307,'Returns (Calc)'!$A:$A)-3),"")</f>
        <v>92.0169620253165</v>
      </c>
      <c r="AB38" s="156" t="n">
        <f aca="false">IFERROR('Price History'!G3+(INDEX('Price History'!G:G,MATCH(9.99E+307,'Returns (Calc)'!$A:$A)+1)-'Price History'!G3)*(ROW()-3)/(MATCH(9.99E+307,'Returns (Calc)'!$A:$A)-3),"")</f>
        <v>80.3556962025317</v>
      </c>
      <c r="AC38" s="156" t="n">
        <f aca="false">IFERROR('Price History'!H3+(INDEX('Price History'!H:H,MATCH(9.99E+307,'Returns (Calc)'!$A:$A)+1)-'Price History'!H3)*(ROW()-3)/(MATCH(9.99E+307,'Returns (Calc)'!$A:$A)-3),"")</f>
        <v>291.909367088608</v>
      </c>
      <c r="AD38" s="156" t="n">
        <f aca="false">IFERROR('Price History'!I3+(INDEX('Price History'!I:I,MATCH(9.99E+307,'Returns (Calc)'!$A:$A)+1)-'Price History'!I3)*(ROW()-3)/(MATCH(9.99E+307,'Returns (Calc)'!$A:$A)-3),"")</f>
        <v>85.8984810126582</v>
      </c>
      <c r="AE38" s="156" t="n">
        <f aca="false">IFERROR('Price History'!J3+(INDEX('Price History'!J:J,MATCH(9.99E+307,'Returns (Calc)'!$A:$A)+1)-'Price History'!J3)*(ROW()-3)/(MATCH(9.99E+307,'Returns (Calc)'!$A:$A)-3),"")</f>
        <v>115.621329113924</v>
      </c>
      <c r="AF38" s="156" t="n">
        <f aca="false">IFERROR('Price History'!K3+(INDEX('Price History'!K:K,MATCH(9.99E+307,'Returns (Calc)'!$A:$A)+1)-'Price History'!K3)*(ROW()-3)/(MATCH(9.99E+307,'Returns (Calc)'!$A:$A)-3),"")</f>
        <v>53.7458227848101</v>
      </c>
      <c r="AG38" s="156" t="n">
        <f aca="false">IFERROR('Price History'!L3+(INDEX('Price History'!L:L,MATCH(9.99E+307,'Returns (Calc)'!$A:$A)+1)-'Price History'!L3)*(ROW()-3)/(MATCH(9.99E+307,'Returns (Calc)'!$A:$A)-3),"")</f>
        <v>171.484493670886</v>
      </c>
      <c r="AH38" s="156" t="n">
        <f aca="false">IFERROR('Price History'!M3+(INDEX('Price History'!M:M,MATCH(9.99E+307,'Returns (Calc)'!$A:$A)+1)-'Price History'!M3)*(ROW()-3)/(MATCH(9.99E+307,'Returns (Calc)'!$A:$A)-3),"")</f>
        <v>85.4605063291139</v>
      </c>
      <c r="AI38" s="156" t="n">
        <f aca="false">IFERROR('Price History'!N3+(INDEX('Price History'!N:N,MATCH(9.99E+307,'Returns (Calc)'!$A:$A)+1)-'Price History'!N3)*(ROW()-3)/(MATCH(9.99E+307,'Returns (Calc)'!$A:$A)-3),"")</f>
        <v>383.419303797468</v>
      </c>
      <c r="AJ38" s="156" t="n">
        <f aca="false">IFERROR('Price History'!O3+(INDEX('Price History'!O:O,MATCH(9.99E+307,'Returns (Calc)'!$A:$A)+1)-'Price History'!O3)*(ROW()-3)/(MATCH(9.99E+307,'Returns (Calc)'!$A:$A)-3),"")</f>
        <v>85.2163291139241</v>
      </c>
      <c r="AK38" s="156" t="n">
        <f aca="false">IFERROR('Price History'!Q3+(INDEX('Price History'!Q:Q,MATCH(9.99E+307,'Returns (Calc)'!$A:$A)+1)-'Price History'!Q3)*(ROW()-3)/(MATCH(9.99E+307,'Returns (Calc)'!$A:$A)-3),"")</f>
        <v>15.3778481012658</v>
      </c>
      <c r="AL38" s="156" t="n">
        <f aca="false">IFERROR('Price History'!R3+(INDEX('Price History'!R:R,MATCH(9.99E+307,'Returns (Calc)'!$A:$A)+1)-'Price History'!R3)*(ROW()-3)/(MATCH(9.99E+307,'Returns (Calc)'!$A:$A)-3),"")</f>
        <v>40.3635443037975</v>
      </c>
      <c r="AM38" s="156" t="n">
        <f aca="false">IFERROR('Price History'!S3+(INDEX('Price History'!S:S,MATCH(9.99E+307,'Returns (Calc)'!$A:$A)+1)-'Price History'!S3)*(ROW()-3)/(MATCH(9.99E+307,'Returns (Calc)'!$A:$A)-3),"")</f>
        <v>78.8072151898734</v>
      </c>
      <c r="AN38" s="156" t="n">
        <f aca="false">IFERROR('Price History'!T3+(INDEX('Price History'!T:T,MATCH(9.99E+307,'Returns (Calc)'!$A:$A)+1)-'Price History'!T3)*(ROW()-3)/(MATCH(9.99E+307,'Returns (Calc)'!$A:$A)-3),"")</f>
        <v>31.1279746835443</v>
      </c>
      <c r="AO38" s="157" t="n">
        <f aca="false">IFERROR('Price History'!V3+(INDEX('Price History'!V:V,MATCH(9.99E+307,'Returns (Calc)'!$A:$A)+1)-'Price History'!V3)*(ROW()-3)/(MATCH(9.99E+307,'Returns (Calc)'!$A:$A)-3),"")</f>
        <v>263.326518987342</v>
      </c>
      <c r="AP38" s="155" t="n">
        <f aca="false">IFERROR(IF(OR(NOT(ISNUMBER('Price History'!W39)),NOT(ISNUMBER('Price History'!W38)),'Price History'!W38=0),"",'Price History'!W39/'Price History'!W38-1),"")</f>
        <v>-0.0174991206472036</v>
      </c>
      <c r="AQ38" s="155" t="str">
        <f aca="false">IFERROR(IF(OR(NOT(ISNUMBER('Price History'!X39)),NOT(ISNUMBER('Price History'!X38)),'Price History'!X38=0),"",'Price History'!X39/'Price History'!X38-1),"")</f>
        <v/>
      </c>
      <c r="AR38" s="155" t="n">
        <f aca="false">IFERROR(IF(OR(NOT(ISNUMBER('Price History'!Y39)),NOT(ISNUMBER('Price History'!Y38)),'Price History'!Y38=0),"",'Price History'!Y39/'Price History'!Y38-1),"")</f>
        <v>-0.00803382663847774</v>
      </c>
      <c r="AS38" s="155" t="n">
        <f aca="false">IFERROR(IF(OR(NOT(ISNUMBER('Price History'!Z39)),NOT(ISNUMBER('Price History'!Z38)),'Price History'!Z38=0),"",'Price History'!Z39/'Price History'!Z38-1),"")</f>
        <v>0.0465145754119136</v>
      </c>
      <c r="AT38" s="155" t="n">
        <f aca="false">IFERROR(IF(OR(NOT(ISNUMBER('Price History'!AA39)),NOT(ISNUMBER('Price History'!AA38)),'Price History'!AA38=0),"",'Price History'!AA39/'Price History'!AA38-1),"")</f>
        <v>0.0413781999677991</v>
      </c>
      <c r="AU38" s="155" t="n">
        <f aca="false">IFERROR(IF(OR(NOT(ISNUMBER('Price History'!AB39)),NOT(ISNUMBER('Price History'!AB38)),'Price History'!AB38=0),"",'Price History'!AB39/'Price History'!AB38-1),"")</f>
        <v>-0.0303419413135494</v>
      </c>
    </row>
    <row r="39" customFormat="false" ht="15" hidden="false" customHeight="true" outlineLevel="0" collapsed="false">
      <c r="A39" s="153" t="n">
        <f aca="false">IF('Price History'!A40="","",'Price History'!A40)</f>
        <v>45443</v>
      </c>
      <c r="B39" s="154" t="n">
        <f aca="false">IFERROR(IF(OR(NOT(ISNUMBER('Price History'!B40)),NOT(ISNUMBER('Price History'!B39)),'Price History'!B39=0),"",'Price History'!B40/'Price History'!B39-1),"")</f>
        <v>-0.0645100225059421</v>
      </c>
      <c r="C39" s="154" t="n">
        <f aca="false">IFERROR(IF(OR(NOT(ISNUMBER('Price History'!C40)),NOT(ISNUMBER('Price History'!C39)),'Price History'!C39=0),"",'Price History'!C40/'Price History'!C39-1),"")</f>
        <v>-0.0290970772442589</v>
      </c>
      <c r="D39" s="154" t="n">
        <f aca="false">IFERROR(IF(OR(NOT(ISNUMBER('Price History'!D40)),NOT(ISNUMBER('Price History'!D39)),'Price History'!D39=0),"",'Price History'!D40/'Price History'!D39-1),"")</f>
        <v>0.00431438554627572</v>
      </c>
      <c r="E39" s="154" t="n">
        <f aca="false">IFERROR(IF(OR(NOT(ISNUMBER('Price History'!E40)),NOT(ISNUMBER('Price History'!E39)),'Price History'!E39=0),"",'Price History'!E40/'Price History'!E39-1),"")</f>
        <v>-0.0563636363636364</v>
      </c>
      <c r="F39" s="154" t="n">
        <f aca="false">IFERROR(IF(OR(NOT(ISNUMBER('Price History'!F40)),NOT(ISNUMBER('Price History'!F39)),'Price History'!F39=0),"",'Price History'!F40/'Price History'!F39-1),"")</f>
        <v>-0.107545237282349</v>
      </c>
      <c r="G39" s="154" t="n">
        <f aca="false">IFERROR(IF(OR(NOT(ISNUMBER('Price History'!G40)),NOT(ISNUMBER('Price History'!G39)),'Price History'!G39=0),"",'Price History'!G40/'Price History'!G39-1),"")</f>
        <v>-0.0250620023495628</v>
      </c>
      <c r="H39" s="154" t="n">
        <f aca="false">IFERROR(IF(OR(NOT(ISNUMBER('Price History'!H40)),NOT(ISNUMBER('Price History'!H39)),'Price History'!H39=0),"",'Price History'!H40/'Price History'!H39-1),"")</f>
        <v>-0.0346892743252703</v>
      </c>
      <c r="I39" s="154" t="n">
        <f aca="false">IFERROR(IF(OR(NOT(ISNUMBER('Price History'!I40)),NOT(ISNUMBER('Price History'!I39)),'Price History'!I39=0),"",'Price History'!I40/'Price History'!I39-1),"")</f>
        <v>0.0296693981350664</v>
      </c>
      <c r="J39" s="154" t="n">
        <f aca="false">IFERROR(IF(OR(NOT(ISNUMBER('Price History'!J40)),NOT(ISNUMBER('Price History'!J39)),'Price History'!J39=0),"",'Price History'!J40/'Price History'!J39-1),"")</f>
        <v>0.0548641360713544</v>
      </c>
      <c r="K39" s="154" t="n">
        <f aca="false">IFERROR(IF(OR(NOT(ISNUMBER('Price History'!K40)),NOT(ISNUMBER('Price History'!K39)),'Price History'!K39=0),"",'Price History'!K40/'Price History'!K39-1),"")</f>
        <v>0.031889576392194</v>
      </c>
      <c r="L39" s="154" t="n">
        <f aca="false">IFERROR(IF(OR(NOT(ISNUMBER('Price History'!L40)),NOT(ISNUMBER('Price History'!L39)),'Price History'!L39=0),"",'Price History'!L40/'Price History'!L39-1),"")</f>
        <v>-0.055971111684292</v>
      </c>
      <c r="M39" s="154" t="n">
        <f aca="false">IFERROR(IF(OR(NOT(ISNUMBER('Price History'!M40)),NOT(ISNUMBER('Price History'!M39)),'Price History'!M39=0),"",'Price History'!M40/'Price History'!M39-1),"")</f>
        <v>-0.0762399622106754</v>
      </c>
      <c r="N39" s="154" t="n">
        <f aca="false">IFERROR(IF(OR(NOT(ISNUMBER('Price History'!N40)),NOT(ISNUMBER('Price History'!N39)),'Price History'!N39=0),"",'Price History'!N40/'Price History'!N39-1),"")</f>
        <v>-0.00352336141809828</v>
      </c>
      <c r="O39" s="154" t="n">
        <f aca="false">IFERROR(IF(OR(NOT(ISNUMBER('Price History'!O40)),NOT(ISNUMBER('Price History'!O39)),'Price History'!O39=0),"",'Price History'!O40/'Price History'!O39-1),"")</f>
        <v>0.0107344632768362</v>
      </c>
      <c r="P39" s="154" t="n">
        <f aca="false">IFERROR(IF(OR(NOT(ISNUMBER('Price History'!P40)),NOT(ISNUMBER('Price History'!P39)),'Price History'!P39=0),"",'Price History'!P40/'Price History'!P39-1),"")</f>
        <v>0.0104814354236988</v>
      </c>
      <c r="Q39" s="154" t="n">
        <f aca="false">IFERROR(IF(OR(NOT(ISNUMBER('Price History'!Q40)),NOT(ISNUMBER('Price History'!Q39)),'Price History'!Q39=0),"",'Price History'!Q40/'Price History'!Q39-1),"")</f>
        <v>-0.00266429840142091</v>
      </c>
      <c r="R39" s="154" t="n">
        <f aca="false">IFERROR(IF(OR(NOT(ISNUMBER('Price History'!R40)),NOT(ISNUMBER('Price History'!R39)),'Price History'!R39=0),"",'Price History'!R40/'Price History'!R39-1),"")</f>
        <v>-0.00337512054001909</v>
      </c>
      <c r="S39" s="154" t="n">
        <f aca="false">IFERROR(IF(OR(NOT(ISNUMBER('Price History'!S40)),NOT(ISNUMBER('Price History'!S39)),'Price History'!S39=0),"",'Price History'!S40/'Price History'!S39-1),"")</f>
        <v>-0.0110012360939431</v>
      </c>
      <c r="T39" s="154" t="n">
        <f aca="false">IFERROR(IF(OR(NOT(ISNUMBER('Price History'!T40)),NOT(ISNUMBER('Price History'!T39)),'Price History'!T39=0),"",'Price History'!T40/'Price History'!T39-1),"")</f>
        <v>0.0115626032375289</v>
      </c>
      <c r="U39" s="154" t="n">
        <f aca="false">IFERROR(IF(OR(NOT(ISNUMBER('Price History'!U40)),NOT(ISNUMBER('Price History'!U39)),'Price History'!U39=0),"",'Price History'!U40/'Price History'!U39-1),"")</f>
        <v>0.00589225589225584</v>
      </c>
      <c r="V39" s="155" t="n">
        <f aca="false">IFERROR(IF(OR(NOT(ISNUMBER('Price History'!V40)),NOT(ISNUMBER('Price History'!V39)),'Price History'!V39=0),"",'Price History'!V40/'Price History'!V39-1),"")</f>
        <v>-0.00737392077667032</v>
      </c>
      <c r="W39" s="156" t="n">
        <f aca="false">IFERROR('Price History'!B3+(INDEX('Price History'!B:B,MATCH(9.99E+307,'Returns (Calc)'!$A:$A)+1)-'Price History'!B3)*(ROW()-3)/(MATCH(9.99E+307,'Returns (Calc)'!$A:$A)-3),"")</f>
        <v>462.540632911392</v>
      </c>
      <c r="X39" s="156" t="n">
        <f aca="false">IFERROR('Price History'!C3+(INDEX('Price History'!C:C,MATCH(9.99E+307,'Returns (Calc)'!$A:$A)+1)-'Price History'!C3)*(ROW()-3)/(MATCH(9.99E+307,'Returns (Calc)'!$A:$A)-3),"")</f>
        <v>82.9022784810127</v>
      </c>
      <c r="Y39" s="156" t="n">
        <f aca="false">IFERROR('Price History'!D3+(INDEX('Price History'!D:D,MATCH(9.99E+307,'Returns (Calc)'!$A:$A)+1)-'Price History'!D3)*(ROW()-3)/(MATCH(9.99E+307,'Returns (Calc)'!$A:$A)-3),"")</f>
        <v>874.863164556962</v>
      </c>
      <c r="Z39" s="156" t="n">
        <f aca="false">IFERROR('Price History'!E3+(INDEX('Price History'!E:E,MATCH(9.99E+307,'Returns (Calc)'!$A:$A)+1)-'Price History'!E3)*(ROW()-3)/(MATCH(9.99E+307,'Returns (Calc)'!$A:$A)-3),"")</f>
        <v>144.234430379747</v>
      </c>
      <c r="AA39" s="156" t="n">
        <f aca="false">IFERROR('Price History'!F3+(INDEX('Price History'!F:F,MATCH(9.99E+307,'Returns (Calc)'!$A:$A)+1)-'Price History'!F3)*(ROW()-3)/(MATCH(9.99E+307,'Returns (Calc)'!$A:$A)-3),"")</f>
        <v>93.4643037974684</v>
      </c>
      <c r="AB39" s="156" t="n">
        <f aca="false">IFERROR('Price History'!G3+(INDEX('Price History'!G:G,MATCH(9.99E+307,'Returns (Calc)'!$A:$A)+1)-'Price History'!G3)*(ROW()-3)/(MATCH(9.99E+307,'Returns (Calc)'!$A:$A)-3),"")</f>
        <v>81.3844303797468</v>
      </c>
      <c r="AC39" s="156" t="n">
        <f aca="false">IFERROR('Price History'!H3+(INDEX('Price History'!H:H,MATCH(9.99E+307,'Returns (Calc)'!$A:$A)+1)-'Price History'!H3)*(ROW()-3)/(MATCH(9.99E+307,'Returns (Calc)'!$A:$A)-3),"")</f>
        <v>298.275063291139</v>
      </c>
      <c r="AD39" s="156" t="n">
        <f aca="false">IFERROR('Price History'!I3+(INDEX('Price History'!I:I,MATCH(9.99E+307,'Returns (Calc)'!$A:$A)+1)-'Price History'!I3)*(ROW()-3)/(MATCH(9.99E+307,'Returns (Calc)'!$A:$A)-3),"")</f>
        <v>87.1021518987342</v>
      </c>
      <c r="AE39" s="156" t="n">
        <f aca="false">IFERROR('Price History'!J3+(INDEX('Price History'!J:J,MATCH(9.99E+307,'Returns (Calc)'!$A:$A)+1)-'Price History'!J3)*(ROW()-3)/(MATCH(9.99E+307,'Returns (Calc)'!$A:$A)-3),"")</f>
        <v>115.729367088608</v>
      </c>
      <c r="AF39" s="156" t="n">
        <f aca="false">IFERROR('Price History'!K3+(INDEX('Price History'!K:K,MATCH(9.99E+307,'Returns (Calc)'!$A:$A)+1)-'Price History'!K3)*(ROW()-3)/(MATCH(9.99E+307,'Returns (Calc)'!$A:$A)-3),"")</f>
        <v>54.843417721519</v>
      </c>
      <c r="AG39" s="156" t="n">
        <f aca="false">IFERROR('Price History'!L3+(INDEX('Price History'!L:L,MATCH(9.99E+307,'Returns (Calc)'!$A:$A)+1)-'Price History'!L3)*(ROW()-3)/(MATCH(9.99E+307,'Returns (Calc)'!$A:$A)-3),"")</f>
        <v>173.934050632911</v>
      </c>
      <c r="AH39" s="156" t="n">
        <f aca="false">IFERROR('Price History'!M3+(INDEX('Price History'!M:M,MATCH(9.99E+307,'Returns (Calc)'!$A:$A)+1)-'Price History'!M3)*(ROW()-3)/(MATCH(9.99E+307,'Returns (Calc)'!$A:$A)-3),"")</f>
        <v>86.8159493670886</v>
      </c>
      <c r="AI39" s="156" t="n">
        <f aca="false">IFERROR('Price History'!N3+(INDEX('Price History'!N:N,MATCH(9.99E+307,'Returns (Calc)'!$A:$A)+1)-'Price History'!N3)*(ROW()-3)/(MATCH(9.99E+307,'Returns (Calc)'!$A:$A)-3),"")</f>
        <v>384.405569620253</v>
      </c>
      <c r="AJ39" s="156" t="n">
        <f aca="false">IFERROR('Price History'!O3+(INDEX('Price History'!O:O,MATCH(9.99E+307,'Returns (Calc)'!$A:$A)+1)-'Price History'!O3)*(ROW()-3)/(MATCH(9.99E+307,'Returns (Calc)'!$A:$A)-3),"")</f>
        <v>85.4993670886076</v>
      </c>
      <c r="AK39" s="156" t="n">
        <f aca="false">IFERROR('Price History'!Q3+(INDEX('Price History'!Q:Q,MATCH(9.99E+307,'Returns (Calc)'!$A:$A)+1)-'Price History'!Q3)*(ROW()-3)/(MATCH(9.99E+307,'Returns (Calc)'!$A:$A)-3),"")</f>
        <v>15.8172151898734</v>
      </c>
      <c r="AL39" s="156" t="n">
        <f aca="false">IFERROR('Price History'!R3+(INDEX('Price History'!R:R,MATCH(9.99E+307,'Returns (Calc)'!$A:$A)+1)-'Price History'!R3)*(ROW()-3)/(MATCH(9.99E+307,'Returns (Calc)'!$A:$A)-3),"")</f>
        <v>40.5316455696203</v>
      </c>
      <c r="AM39" s="156" t="n">
        <f aca="false">IFERROR('Price History'!S3+(INDEX('Price History'!S:S,MATCH(9.99E+307,'Returns (Calc)'!$A:$A)+1)-'Price History'!S3)*(ROW()-3)/(MATCH(9.99E+307,'Returns (Calc)'!$A:$A)-3),"")</f>
        <v>79.4122784810127</v>
      </c>
      <c r="AN39" s="156" t="n">
        <f aca="false">IFERROR('Price History'!T3+(INDEX('Price History'!T:T,MATCH(9.99E+307,'Returns (Calc)'!$A:$A)+1)-'Price History'!T3)*(ROW()-3)/(MATCH(9.99E+307,'Returns (Calc)'!$A:$A)-3),"")</f>
        <v>31.2962025316456</v>
      </c>
      <c r="AO39" s="157" t="n">
        <f aca="false">IFERROR('Price History'!V3+(INDEX('Price History'!V:V,MATCH(9.99E+307,'Returns (Calc)'!$A:$A)+1)-'Price History'!V3)*(ROW()-3)/(MATCH(9.99E+307,'Returns (Calc)'!$A:$A)-3),"")</f>
        <v>264.117848101266</v>
      </c>
      <c r="AP39" s="155" t="n">
        <f aca="false">IFERROR(IF(OR(NOT(ISNUMBER('Price History'!W40)),NOT(ISNUMBER('Price History'!W39)),'Price History'!W39=0),"",'Price History'!W40/'Price History'!W39-1),"")</f>
        <v>0.00519108565291315</v>
      </c>
      <c r="AQ39" s="155" t="str">
        <f aca="false">IFERROR(IF(OR(NOT(ISNUMBER('Price History'!X40)),NOT(ISNUMBER('Price History'!X39)),'Price History'!X39=0),"",'Price History'!X40/'Price History'!X39-1),"")</f>
        <v/>
      </c>
      <c r="AR39" s="155" t="n">
        <f aca="false">IFERROR(IF(OR(NOT(ISNUMBER('Price History'!Y40)),NOT(ISNUMBER('Price History'!Y39)),'Price History'!Y39=0),"",'Price History'!Y40/'Price History'!Y39-1),"")</f>
        <v>-0.00170502983802212</v>
      </c>
      <c r="AS39" s="155" t="n">
        <f aca="false">IFERROR(IF(OR(NOT(ISNUMBER('Price History'!Z40)),NOT(ISNUMBER('Price History'!Z39)),'Price History'!Z39=0),"",'Price History'!Z40/'Price History'!Z39-1),"")</f>
        <v>-0.0130798110693956</v>
      </c>
      <c r="AT39" s="155" t="n">
        <f aca="false">IFERROR(IF(OR(NOT(ISNUMBER('Price History'!AA40)),NOT(ISNUMBER('Price History'!AA39)),'Price History'!AA39=0),"",'Price History'!AA40/'Price History'!AA39-1),"")</f>
        <v>-0.00803957946815104</v>
      </c>
      <c r="AU39" s="155" t="n">
        <f aca="false">IFERROR(IF(OR(NOT(ISNUMBER('Price History'!AB40)),NOT(ISNUMBER('Price History'!AB39)),'Price History'!AB39=0),"",'Price History'!AB40/'Price History'!AB39-1),"")</f>
        <v>-0.14537250478199</v>
      </c>
    </row>
    <row r="40" customFormat="false" ht="15" hidden="false" customHeight="true" outlineLevel="0" collapsed="false">
      <c r="A40" s="153" t="n">
        <f aca="false">IF('Price History'!A41="","",'Price History'!A41)</f>
        <v>45450</v>
      </c>
      <c r="B40" s="154" t="n">
        <f aca="false">IFERROR(IF(OR(NOT(ISNUMBER('Price History'!B41)),NOT(ISNUMBER('Price History'!B40)),'Price History'!B40=0),"",'Price History'!B41/'Price History'!B40-1),"")</f>
        <v>0.0464745031027971</v>
      </c>
      <c r="C40" s="154" t="n">
        <f aca="false">IFERROR(IF(OR(NOT(ISNUMBER('Price History'!C41)),NOT(ISNUMBER('Price History'!C40)),'Price History'!C40=0),"",'Price History'!C41/'Price History'!C40-1),"")</f>
        <v>-0.00282220131702715</v>
      </c>
      <c r="D40" s="154" t="n">
        <f aca="false">IFERROR(IF(OR(NOT(ISNUMBER('Price History'!D41)),NOT(ISNUMBER('Price History'!D40)),'Price History'!D40=0),"",'Price History'!D41/'Price History'!D40-1),"")</f>
        <v>0.0708868546941461</v>
      </c>
      <c r="E40" s="154" t="n">
        <f aca="false">IFERROR(IF(OR(NOT(ISNUMBER('Price History'!E41)),NOT(ISNUMBER('Price History'!E40)),'Price History'!E40=0),"",'Price History'!E41/'Price History'!E40-1),"")</f>
        <v>0.058805394990366</v>
      </c>
      <c r="F40" s="154" t="n">
        <f aca="false">IFERROR(IF(OR(NOT(ISNUMBER('Price History'!F41)),NOT(ISNUMBER('Price History'!F40)),'Price History'!F40=0),"",'Price History'!F41/'Price History'!F40-1),"")</f>
        <v>0.112981382300434</v>
      </c>
      <c r="G40" s="154" t="n">
        <f aca="false">IFERROR(IF(OR(NOT(ISNUMBER('Price History'!G41)),NOT(ISNUMBER('Price History'!G40)),'Price History'!G40=0),"",'Price History'!G41/'Price History'!G40-1),"")</f>
        <v>0.0123175793278887</v>
      </c>
      <c r="H40" s="154" t="n">
        <f aca="false">IFERROR(IF(OR(NOT(ISNUMBER('Price History'!H41)),NOT(ISNUMBER('Price History'!H40)),'Price History'!H40=0),"",'Price History'!H41/'Price History'!H40-1),"")</f>
        <v>0.0475384739344129</v>
      </c>
      <c r="I40" s="154" t="n">
        <f aca="false">IFERROR(IF(OR(NOT(ISNUMBER('Price History'!I41)),NOT(ISNUMBER('Price History'!I40)),'Price History'!I40=0),"",'Price History'!I41/'Price History'!I40-1),"")</f>
        <v>0.102634467618002</v>
      </c>
      <c r="J40" s="154" t="n">
        <f aca="false">IFERROR(IF(OR(NOT(ISNUMBER('Price History'!J41)),NOT(ISNUMBER('Price History'!J40)),'Price History'!J40=0),"",'Price History'!J41/'Price History'!J40-1),"")</f>
        <v>-0.00265460623340863</v>
      </c>
      <c r="K40" s="154" t="n">
        <f aca="false">IFERROR(IF(OR(NOT(ISNUMBER('Price History'!K41)),NOT(ISNUMBER('Price History'!K40)),'Price History'!K40=0),"",'Price History'!K41/'Price History'!K40-1),"")</f>
        <v>0.0751845018450184</v>
      </c>
      <c r="L40" s="154" t="n">
        <f aca="false">IFERROR(IF(OR(NOT(ISNUMBER('Price History'!L41)),NOT(ISNUMBER('Price History'!L40)),'Price History'!L40=0),"",'Price History'!L41/'Price History'!L40-1),"")</f>
        <v>0.0883879781420764</v>
      </c>
      <c r="M40" s="154" t="n">
        <f aca="false">IFERROR(IF(OR(NOT(ISNUMBER('Price History'!M41)),NOT(ISNUMBER('Price History'!M40)),'Price History'!M40=0),"",'Price History'!M41/'Price History'!M40-1),"")</f>
        <v>-0.105952137451422</v>
      </c>
      <c r="N40" s="154" t="n">
        <f aca="false">IFERROR(IF(OR(NOT(ISNUMBER('Price History'!N41)),NOT(ISNUMBER('Price History'!N40)),'Price History'!N40=0),"",'Price History'!N41/'Price History'!N40-1),"")</f>
        <v>0.0608336627574999</v>
      </c>
      <c r="O40" s="154" t="n">
        <f aca="false">IFERROR(IF(OR(NOT(ISNUMBER('Price History'!O41)),NOT(ISNUMBER('Price History'!O40)),'Price History'!O40=0),"",'Price History'!O41/'Price History'!O40-1),"")</f>
        <v>-0.0340972610396869</v>
      </c>
      <c r="P40" s="154" t="n">
        <f aca="false">IFERROR(IF(OR(NOT(ISNUMBER('Price History'!P41)),NOT(ISNUMBER('Price History'!P40)),'Price History'!P40=0),"",'Price History'!P41/'Price History'!P40-1),"")</f>
        <v>-0.0202180028129396</v>
      </c>
      <c r="Q40" s="154" t="n">
        <f aca="false">IFERROR(IF(OR(NOT(ISNUMBER('Price History'!Q41)),NOT(ISNUMBER('Price History'!Q40)),'Price History'!Q40=0),"",'Price History'!Q41/'Price History'!Q40-1),"")</f>
        <v>0.0110418521816564</v>
      </c>
      <c r="R40" s="154" t="n">
        <f aca="false">IFERROR(IF(OR(NOT(ISNUMBER('Price History'!R41)),NOT(ISNUMBER('Price History'!R40)),'Price History'!R40=0),"",'Price History'!R41/'Price History'!R40-1),"")</f>
        <v>0.0140299951620706</v>
      </c>
      <c r="S40" s="154" t="n">
        <f aca="false">IFERROR(IF(OR(NOT(ISNUMBER('Price History'!S41)),NOT(ISNUMBER('Price History'!S40)),'Price History'!S40=0),"",'Price History'!S41/'Price History'!S40-1),"")</f>
        <v>0.03037120359955</v>
      </c>
      <c r="T40" s="154" t="n">
        <f aca="false">IFERROR(IF(OR(NOT(ISNUMBER('Price History'!T41)),NOT(ISNUMBER('Price History'!T40)),'Price History'!T40=0),"",'Price History'!T41/'Price History'!T40-1),"")</f>
        <v>-0.0212279555845853</v>
      </c>
      <c r="U40" s="154" t="n">
        <f aca="false">IFERROR(IF(OR(NOT(ISNUMBER('Price History'!U41)),NOT(ISNUMBER('Price History'!U40)),'Price History'!U40=0),"",'Price History'!U41/'Price History'!U40-1),"")</f>
        <v>-0.00878661087866095</v>
      </c>
      <c r="V40" s="155" t="n">
        <f aca="false">IFERROR(IF(OR(NOT(ISNUMBER('Price History'!V41)),NOT(ISNUMBER('Price History'!V40)),'Price History'!V40=0),"",'Price History'!V41/'Price History'!V40-1),"")</f>
        <v>0.0227713901747051</v>
      </c>
      <c r="W40" s="156" t="n">
        <f aca="false">IFERROR('Price History'!B3+(INDEX('Price History'!B:B,MATCH(9.99E+307,'Returns (Calc)'!$A:$A)+1)-'Price History'!B3)*(ROW()-3)/(MATCH(9.99E+307,'Returns (Calc)'!$A:$A)-3),"")</f>
        <v>460.697594936709</v>
      </c>
      <c r="X40" s="156" t="n">
        <f aca="false">IFERROR('Price History'!C3+(INDEX('Price History'!C:C,MATCH(9.99E+307,'Returns (Calc)'!$A:$A)+1)-'Price History'!C3)*(ROW()-3)/(MATCH(9.99E+307,'Returns (Calc)'!$A:$A)-3),"")</f>
        <v>83.9223417721519</v>
      </c>
      <c r="Y40" s="156" t="n">
        <f aca="false">IFERROR('Price History'!D3+(INDEX('Price History'!D:D,MATCH(9.99E+307,'Returns (Calc)'!$A:$A)+1)-'Price History'!D3)*(ROW()-3)/(MATCH(9.99E+307,'Returns (Calc)'!$A:$A)-3),"")</f>
        <v>882.997974683544</v>
      </c>
      <c r="Z40" s="156" t="n">
        <f aca="false">IFERROR('Price History'!E3+(INDEX('Price History'!E:E,MATCH(9.99E+307,'Returns (Calc)'!$A:$A)+1)-'Price History'!E3)*(ROW()-3)/(MATCH(9.99E+307,'Returns (Calc)'!$A:$A)-3),"")</f>
        <v>145.963164556962</v>
      </c>
      <c r="AA40" s="156" t="n">
        <f aca="false">IFERROR('Price History'!F3+(INDEX('Price History'!F:F,MATCH(9.99E+307,'Returns (Calc)'!$A:$A)+1)-'Price History'!F3)*(ROW()-3)/(MATCH(9.99E+307,'Returns (Calc)'!$A:$A)-3),"")</f>
        <v>94.9116455696203</v>
      </c>
      <c r="AB40" s="156" t="n">
        <f aca="false">IFERROR('Price History'!G3+(INDEX('Price History'!G:G,MATCH(9.99E+307,'Returns (Calc)'!$A:$A)+1)-'Price History'!G3)*(ROW()-3)/(MATCH(9.99E+307,'Returns (Calc)'!$A:$A)-3),"")</f>
        <v>82.413164556962</v>
      </c>
      <c r="AC40" s="156" t="n">
        <f aca="false">IFERROR('Price History'!H3+(INDEX('Price History'!H:H,MATCH(9.99E+307,'Returns (Calc)'!$A:$A)+1)-'Price History'!H3)*(ROW()-3)/(MATCH(9.99E+307,'Returns (Calc)'!$A:$A)-3),"")</f>
        <v>304.640759493671</v>
      </c>
      <c r="AD40" s="156" t="n">
        <f aca="false">IFERROR('Price History'!I3+(INDEX('Price History'!I:I,MATCH(9.99E+307,'Returns (Calc)'!$A:$A)+1)-'Price History'!I3)*(ROW()-3)/(MATCH(9.99E+307,'Returns (Calc)'!$A:$A)-3),"")</f>
        <v>88.3058227848101</v>
      </c>
      <c r="AE40" s="156" t="n">
        <f aca="false">IFERROR('Price History'!J3+(INDEX('Price History'!J:J,MATCH(9.99E+307,'Returns (Calc)'!$A:$A)+1)-'Price History'!J3)*(ROW()-3)/(MATCH(9.99E+307,'Returns (Calc)'!$A:$A)-3),"")</f>
        <v>115.837405063291</v>
      </c>
      <c r="AF40" s="156" t="n">
        <f aca="false">IFERROR('Price History'!K3+(INDEX('Price History'!K:K,MATCH(9.99E+307,'Returns (Calc)'!$A:$A)+1)-'Price History'!K3)*(ROW()-3)/(MATCH(9.99E+307,'Returns (Calc)'!$A:$A)-3),"")</f>
        <v>55.9410126582279</v>
      </c>
      <c r="AG40" s="156" t="n">
        <f aca="false">IFERROR('Price History'!L3+(INDEX('Price History'!L:L,MATCH(9.99E+307,'Returns (Calc)'!$A:$A)+1)-'Price History'!L3)*(ROW()-3)/(MATCH(9.99E+307,'Returns (Calc)'!$A:$A)-3),"")</f>
        <v>176.383607594937</v>
      </c>
      <c r="AH40" s="156" t="n">
        <f aca="false">IFERROR('Price History'!M3+(INDEX('Price History'!M:M,MATCH(9.99E+307,'Returns (Calc)'!$A:$A)+1)-'Price History'!M3)*(ROW()-3)/(MATCH(9.99E+307,'Returns (Calc)'!$A:$A)-3),"")</f>
        <v>88.1713924050633</v>
      </c>
      <c r="AI40" s="156" t="n">
        <f aca="false">IFERROR('Price History'!N3+(INDEX('Price History'!N:N,MATCH(9.99E+307,'Returns (Calc)'!$A:$A)+1)-'Price History'!N3)*(ROW()-3)/(MATCH(9.99E+307,'Returns (Calc)'!$A:$A)-3),"")</f>
        <v>385.391835443038</v>
      </c>
      <c r="AJ40" s="156" t="n">
        <f aca="false">IFERROR('Price History'!O3+(INDEX('Price History'!O:O,MATCH(9.99E+307,'Returns (Calc)'!$A:$A)+1)-'Price History'!O3)*(ROW()-3)/(MATCH(9.99E+307,'Returns (Calc)'!$A:$A)-3),"")</f>
        <v>85.7824050632911</v>
      </c>
      <c r="AK40" s="156" t="n">
        <f aca="false">IFERROR('Price History'!Q3+(INDEX('Price History'!Q:Q,MATCH(9.99E+307,'Returns (Calc)'!$A:$A)+1)-'Price History'!Q3)*(ROW()-3)/(MATCH(9.99E+307,'Returns (Calc)'!$A:$A)-3),"")</f>
        <v>16.256582278481</v>
      </c>
      <c r="AL40" s="156" t="n">
        <f aca="false">IFERROR('Price History'!R3+(INDEX('Price History'!R:R,MATCH(9.99E+307,'Returns (Calc)'!$A:$A)+1)-'Price History'!R3)*(ROW()-3)/(MATCH(9.99E+307,'Returns (Calc)'!$A:$A)-3),"")</f>
        <v>40.699746835443</v>
      </c>
      <c r="AM40" s="156" t="n">
        <f aca="false">IFERROR('Price History'!S3+(INDEX('Price History'!S:S,MATCH(9.99E+307,'Returns (Calc)'!$A:$A)+1)-'Price History'!S3)*(ROW()-3)/(MATCH(9.99E+307,'Returns (Calc)'!$A:$A)-3),"")</f>
        <v>80.0173417721519</v>
      </c>
      <c r="AN40" s="156" t="n">
        <f aca="false">IFERROR('Price History'!T3+(INDEX('Price History'!T:T,MATCH(9.99E+307,'Returns (Calc)'!$A:$A)+1)-'Price History'!T3)*(ROW()-3)/(MATCH(9.99E+307,'Returns (Calc)'!$A:$A)-3),"")</f>
        <v>31.4644303797468</v>
      </c>
      <c r="AO40" s="157" t="n">
        <f aca="false">IFERROR('Price History'!V3+(INDEX('Price History'!V:V,MATCH(9.99E+307,'Returns (Calc)'!$A:$A)+1)-'Price History'!V3)*(ROW()-3)/(MATCH(9.99E+307,'Returns (Calc)'!$A:$A)-3),"")</f>
        <v>264.90917721519</v>
      </c>
      <c r="AP40" s="155" t="n">
        <f aca="false">IFERROR(IF(OR(NOT(ISNUMBER('Price History'!W41)),NOT(ISNUMBER('Price History'!W40)),'Price History'!W40=0),"",'Price History'!W41/'Price History'!W40-1),"")</f>
        <v>-0.00899296589796106</v>
      </c>
      <c r="AQ40" s="155" t="str">
        <f aca="false">IFERROR(IF(OR(NOT(ISNUMBER('Price History'!X41)),NOT(ISNUMBER('Price History'!X40)),'Price History'!X40=0),"",'Price History'!X41/'Price History'!X40-1),"")</f>
        <v/>
      </c>
      <c r="AR40" s="155" t="n">
        <f aca="false">IFERROR(IF(OR(NOT(ISNUMBER('Price History'!Y41)),NOT(ISNUMBER('Price History'!Y40)),'Price History'!Y40=0),"",'Price History'!Y41/'Price History'!Y40-1),"")</f>
        <v>0.000853970964987072</v>
      </c>
      <c r="AS40" s="155" t="n">
        <f aca="false">IFERROR(IF(OR(NOT(ISNUMBER('Price History'!Z41)),NOT(ISNUMBER('Price History'!Z40)),'Price History'!Z40=0),"",'Price History'!Z41/'Price History'!Z40-1),"")</f>
        <v>-0.0195115965149096</v>
      </c>
      <c r="AT40" s="155" t="n">
        <f aca="false">IFERROR(IF(OR(NOT(ISNUMBER('Price History'!AA41)),NOT(ISNUMBER('Price History'!AA40)),'Price History'!AA40=0),"",'Price History'!AA41/'Price History'!AA40-1),"")</f>
        <v>-0.000155860349127068</v>
      </c>
      <c r="AU40" s="155" t="n">
        <f aca="false">IFERROR(IF(OR(NOT(ISNUMBER('Price History'!AB41)),NOT(ISNUMBER('Price History'!AB40)),'Price History'!AB40=0),"",'Price History'!AB41/'Price History'!AB40-1),"")</f>
        <v>0.0510186513629842</v>
      </c>
    </row>
    <row r="41" customFormat="false" ht="15" hidden="false" customHeight="true" outlineLevel="0" collapsed="false">
      <c r="A41" s="153" t="n">
        <f aca="false">IF('Price History'!A42="","",'Price History'!A42)</f>
        <v>45457</v>
      </c>
      <c r="B41" s="154" t="n">
        <f aca="false">IFERROR(IF(OR(NOT(ISNUMBER('Price History'!B42)),NOT(ISNUMBER('Price History'!B41)),'Price History'!B41=0),"",'Price History'!B42/'Price History'!B41-1),"")</f>
        <v>0.128655222052725</v>
      </c>
      <c r="C41" s="154" t="n">
        <f aca="false">IFERROR(IF(OR(NOT(ISNUMBER('Price History'!C42)),NOT(ISNUMBER('Price History'!C41)),'Price History'!C41=0),"",'Price History'!C42/'Price History'!C41-1),"")</f>
        <v>0.106738544474394</v>
      </c>
      <c r="D41" s="154" t="n">
        <f aca="false">IFERROR(IF(OR(NOT(ISNUMBER('Price History'!D42)),NOT(ISNUMBER('Price History'!D41)),'Price History'!D41=0),"",'Price History'!D42/'Price History'!D41-1),"")</f>
        <v>-0.000505150554675149</v>
      </c>
      <c r="E41" s="154" t="n">
        <f aca="false">IFERROR(IF(OR(NOT(ISNUMBER('Price History'!E42)),NOT(ISNUMBER('Price History'!E41)),'Price History'!E41=0),"",'Price History'!E42/'Price History'!E41-1),"")</f>
        <v>0.233440093172223</v>
      </c>
      <c r="F41" s="154" t="n">
        <f aca="false">IFERROR(IF(OR(NOT(ISNUMBER('Price History'!F42)),NOT(ISNUMBER('Price History'!F41)),'Price History'!F41=0),"",'Price History'!F42/'Price History'!F41-1),"")</f>
        <v>0.104032997250229</v>
      </c>
      <c r="G41" s="154" t="n">
        <f aca="false">IFERROR(IF(OR(NOT(ISNUMBER('Price History'!G42)),NOT(ISNUMBER('Price History'!G41)),'Price History'!G41=0),"",'Price History'!G42/'Price History'!G41-1),"")</f>
        <v>0.0727417008332232</v>
      </c>
      <c r="H41" s="154" t="n">
        <f aca="false">IFERROR(IF(OR(NOT(ISNUMBER('Price History'!H42)),NOT(ISNUMBER('Price History'!H41)),'Price History'!H41=0),"",'Price History'!H42/'Price History'!H41-1),"")</f>
        <v>0.0795323436658719</v>
      </c>
      <c r="I41" s="154" t="n">
        <f aca="false">IFERROR(IF(OR(NOT(ISNUMBER('Price History'!I42)),NOT(ISNUMBER('Price History'!I41)),'Price History'!I41=0),"",'Price History'!I42/'Price History'!I41-1),"")</f>
        <v>0.0910900945744151</v>
      </c>
      <c r="J41" s="154" t="n">
        <f aca="false">IFERROR(IF(OR(NOT(ISNUMBER('Price History'!J42)),NOT(ISNUMBER('Price History'!J41)),'Price History'!J41=0),"",'Price History'!J42/'Price History'!J41-1),"")</f>
        <v>0.0189274447949528</v>
      </c>
      <c r="K41" s="154" t="n">
        <f aca="false">IFERROR(IF(OR(NOT(ISNUMBER('Price History'!K42)),NOT(ISNUMBER('Price History'!K41)),'Price History'!K41=0),"",'Price History'!K42/'Price History'!K41-1),"")</f>
        <v>0.0111540111540112</v>
      </c>
      <c r="L41" s="154" t="n">
        <f aca="false">IFERROR(IF(OR(NOT(ISNUMBER('Price History'!L42)),NOT(ISNUMBER('Price History'!L41)),'Price History'!L41=0),"",'Price History'!L42/'Price History'!L41-1),"")</f>
        <v>0.0526547006401406</v>
      </c>
      <c r="M41" s="154" t="n">
        <f aca="false">IFERROR(IF(OR(NOT(ISNUMBER('Price History'!M42)),NOT(ISNUMBER('Price History'!M41)),'Price History'!M41=0),"",'Price History'!M42/'Price History'!M41-1),"")</f>
        <v>0.0433539235872797</v>
      </c>
      <c r="N41" s="154" t="n">
        <f aca="false">IFERROR(IF(OR(NOT(ISNUMBER('Price History'!N42)),NOT(ISNUMBER('Price History'!N41)),'Price History'!N41=0),"",'Price History'!N42/'Price History'!N41-1),"")</f>
        <v>-0.00478221265319645</v>
      </c>
      <c r="O41" s="154" t="n">
        <f aca="false">IFERROR(IF(OR(NOT(ISNUMBER('Price History'!O42)),NOT(ISNUMBER('Price History'!O41)),'Price History'!O41=0),"",'Price History'!O42/'Price History'!O41-1),"")</f>
        <v>-0.0238425925925926</v>
      </c>
      <c r="P41" s="154" t="n">
        <f aca="false">IFERROR(IF(OR(NOT(ISNUMBER('Price History'!P42)),NOT(ISNUMBER('Price History'!P41)),'Price History'!P41=0),"",'Price History'!P42/'Price History'!P41-1),"")</f>
        <v>-0.0168670375022429</v>
      </c>
      <c r="Q41" s="154" t="n">
        <f aca="false">IFERROR(IF(OR(NOT(ISNUMBER('Price History'!Q42)),NOT(ISNUMBER('Price History'!Q41)),'Price History'!Q41=0),"",'Price History'!Q42/'Price History'!Q41-1),"")</f>
        <v>0.00915976748282543</v>
      </c>
      <c r="R41" s="154" t="n">
        <f aca="false">IFERROR(IF(OR(NOT(ISNUMBER('Price History'!R42)),NOT(ISNUMBER('Price History'!R41)),'Price History'!R41=0),"",'Price History'!R42/'Price History'!R41-1),"")</f>
        <v>0.0126431297709924</v>
      </c>
      <c r="S41" s="154" t="n">
        <f aca="false">IFERROR(IF(OR(NOT(ISNUMBER('Price History'!S42)),NOT(ISNUMBER('Price History'!S41)),'Price History'!S41=0),"",'Price History'!S42/'Price History'!S41-1),"")</f>
        <v>0.042212518195051</v>
      </c>
      <c r="T41" s="154" t="n">
        <f aca="false">IFERROR(IF(OR(NOT(ISNUMBER('Price History'!T42)),NOT(ISNUMBER('Price History'!T41)),'Price History'!T41=0),"",'Price History'!T42/'Price History'!T41-1),"")</f>
        <v>-0.00200200200200196</v>
      </c>
      <c r="U41" s="154" t="n">
        <f aca="false">IFERROR(IF(OR(NOT(ISNUMBER('Price History'!U42)),NOT(ISNUMBER('Price History'!U41)),'Price History'!U41=0),"",'Price History'!U42/'Price History'!U41-1),"")</f>
        <v>-0.0139299282397637</v>
      </c>
      <c r="V41" s="155" t="n">
        <f aca="false">IFERROR(IF(OR(NOT(ISNUMBER('Price History'!V42)),NOT(ISNUMBER('Price History'!V41)),'Price History'!V41=0),"",'Price History'!V42/'Price History'!V41-1),"")</f>
        <v>-0.0287247244324403</v>
      </c>
      <c r="W41" s="156" t="n">
        <f aca="false">IFERROR('Price History'!B3+(INDEX('Price History'!B:B,MATCH(9.99E+307,'Returns (Calc)'!$A:$A)+1)-'Price History'!B3)*(ROW()-3)/(MATCH(9.99E+307,'Returns (Calc)'!$A:$A)-3),"")</f>
        <v>458.854556962025</v>
      </c>
      <c r="X41" s="156" t="n">
        <f aca="false">IFERROR('Price History'!C3+(INDEX('Price History'!C:C,MATCH(9.99E+307,'Returns (Calc)'!$A:$A)+1)-'Price History'!C3)*(ROW()-3)/(MATCH(9.99E+307,'Returns (Calc)'!$A:$A)-3),"")</f>
        <v>84.9424050632911</v>
      </c>
      <c r="Y41" s="156" t="n">
        <f aca="false">IFERROR('Price History'!D3+(INDEX('Price History'!D:D,MATCH(9.99E+307,'Returns (Calc)'!$A:$A)+1)-'Price History'!D3)*(ROW()-3)/(MATCH(9.99E+307,'Returns (Calc)'!$A:$A)-3),"")</f>
        <v>891.132784810127</v>
      </c>
      <c r="Z41" s="156" t="n">
        <f aca="false">IFERROR('Price History'!E3+(INDEX('Price History'!E:E,MATCH(9.99E+307,'Returns (Calc)'!$A:$A)+1)-'Price History'!E3)*(ROW()-3)/(MATCH(9.99E+307,'Returns (Calc)'!$A:$A)-3),"")</f>
        <v>147.691898734177</v>
      </c>
      <c r="AA41" s="156" t="n">
        <f aca="false">IFERROR('Price History'!F3+(INDEX('Price History'!F:F,MATCH(9.99E+307,'Returns (Calc)'!$A:$A)+1)-'Price History'!F3)*(ROW()-3)/(MATCH(9.99E+307,'Returns (Calc)'!$A:$A)-3),"")</f>
        <v>96.3589873417722</v>
      </c>
      <c r="AB41" s="156" t="n">
        <f aca="false">IFERROR('Price History'!G3+(INDEX('Price History'!G:G,MATCH(9.99E+307,'Returns (Calc)'!$A:$A)+1)-'Price History'!G3)*(ROW()-3)/(MATCH(9.99E+307,'Returns (Calc)'!$A:$A)-3),"")</f>
        <v>83.4418987341772</v>
      </c>
      <c r="AC41" s="156" t="n">
        <f aca="false">IFERROR('Price History'!H3+(INDEX('Price History'!H:H,MATCH(9.99E+307,'Returns (Calc)'!$A:$A)+1)-'Price History'!H3)*(ROW()-3)/(MATCH(9.99E+307,'Returns (Calc)'!$A:$A)-3),"")</f>
        <v>311.006455696203</v>
      </c>
      <c r="AD41" s="156" t="n">
        <f aca="false">IFERROR('Price History'!I3+(INDEX('Price History'!I:I,MATCH(9.99E+307,'Returns (Calc)'!$A:$A)+1)-'Price History'!I3)*(ROW()-3)/(MATCH(9.99E+307,'Returns (Calc)'!$A:$A)-3),"")</f>
        <v>89.5094936708861</v>
      </c>
      <c r="AE41" s="156" t="n">
        <f aca="false">IFERROR('Price History'!J3+(INDEX('Price History'!J:J,MATCH(9.99E+307,'Returns (Calc)'!$A:$A)+1)-'Price History'!J3)*(ROW()-3)/(MATCH(9.99E+307,'Returns (Calc)'!$A:$A)-3),"")</f>
        <v>115.945443037975</v>
      </c>
      <c r="AF41" s="156" t="n">
        <f aca="false">IFERROR('Price History'!K3+(INDEX('Price History'!K:K,MATCH(9.99E+307,'Returns (Calc)'!$A:$A)+1)-'Price History'!K3)*(ROW()-3)/(MATCH(9.99E+307,'Returns (Calc)'!$A:$A)-3),"")</f>
        <v>57.0386075949367</v>
      </c>
      <c r="AG41" s="156" t="n">
        <f aca="false">IFERROR('Price History'!L3+(INDEX('Price History'!L:L,MATCH(9.99E+307,'Returns (Calc)'!$A:$A)+1)-'Price History'!L3)*(ROW()-3)/(MATCH(9.99E+307,'Returns (Calc)'!$A:$A)-3),"")</f>
        <v>178.833164556962</v>
      </c>
      <c r="AH41" s="156" t="n">
        <f aca="false">IFERROR('Price History'!M3+(INDEX('Price History'!M:M,MATCH(9.99E+307,'Returns (Calc)'!$A:$A)+1)-'Price History'!M3)*(ROW()-3)/(MATCH(9.99E+307,'Returns (Calc)'!$A:$A)-3),"")</f>
        <v>89.526835443038</v>
      </c>
      <c r="AI41" s="156" t="n">
        <f aca="false">IFERROR('Price History'!N3+(INDEX('Price History'!N:N,MATCH(9.99E+307,'Returns (Calc)'!$A:$A)+1)-'Price History'!N3)*(ROW()-3)/(MATCH(9.99E+307,'Returns (Calc)'!$A:$A)-3),"")</f>
        <v>386.378101265823</v>
      </c>
      <c r="AJ41" s="156" t="n">
        <f aca="false">IFERROR('Price History'!O3+(INDEX('Price History'!O:O,MATCH(9.99E+307,'Returns (Calc)'!$A:$A)+1)-'Price History'!O3)*(ROW()-3)/(MATCH(9.99E+307,'Returns (Calc)'!$A:$A)-3),"")</f>
        <v>86.0654430379747</v>
      </c>
      <c r="AK41" s="156" t="n">
        <f aca="false">IFERROR('Price History'!Q3+(INDEX('Price History'!Q:Q,MATCH(9.99E+307,'Returns (Calc)'!$A:$A)+1)-'Price History'!Q3)*(ROW()-3)/(MATCH(9.99E+307,'Returns (Calc)'!$A:$A)-3),"")</f>
        <v>16.6959493670886</v>
      </c>
      <c r="AL41" s="156" t="n">
        <f aca="false">IFERROR('Price History'!R3+(INDEX('Price History'!R:R,MATCH(9.99E+307,'Returns (Calc)'!$A:$A)+1)-'Price History'!R3)*(ROW()-3)/(MATCH(9.99E+307,'Returns (Calc)'!$A:$A)-3),"")</f>
        <v>40.8678481012658</v>
      </c>
      <c r="AM41" s="156" t="n">
        <f aca="false">IFERROR('Price History'!S3+(INDEX('Price History'!S:S,MATCH(9.99E+307,'Returns (Calc)'!$A:$A)+1)-'Price History'!S3)*(ROW()-3)/(MATCH(9.99E+307,'Returns (Calc)'!$A:$A)-3),"")</f>
        <v>80.6224050632911</v>
      </c>
      <c r="AN41" s="156" t="n">
        <f aca="false">IFERROR('Price History'!T3+(INDEX('Price History'!T:T,MATCH(9.99E+307,'Returns (Calc)'!$A:$A)+1)-'Price History'!T3)*(ROW()-3)/(MATCH(9.99E+307,'Returns (Calc)'!$A:$A)-3),"")</f>
        <v>31.6326582278481</v>
      </c>
      <c r="AO41" s="157" t="n">
        <f aca="false">IFERROR('Price History'!V3+(INDEX('Price History'!V:V,MATCH(9.99E+307,'Returns (Calc)'!$A:$A)+1)-'Price History'!V3)*(ROW()-3)/(MATCH(9.99E+307,'Returns (Calc)'!$A:$A)-3),"")</f>
        <v>265.700506329114</v>
      </c>
      <c r="AP41" s="155" t="n">
        <f aca="false">IFERROR(IF(OR(NOT(ISNUMBER('Price History'!W42)),NOT(ISNUMBER('Price History'!W41)),'Price History'!W41=0),"",'Price History'!W42/'Price History'!W41-1),"")</f>
        <v>-0.00422282120395323</v>
      </c>
      <c r="AQ41" s="155" t="str">
        <f aca="false">IFERROR(IF(OR(NOT(ISNUMBER('Price History'!X42)),NOT(ISNUMBER('Price History'!X41)),'Price History'!X41=0),"",'Price History'!X42/'Price History'!X41-1),"")</f>
        <v/>
      </c>
      <c r="AR41" s="155" t="n">
        <f aca="false">IFERROR(IF(OR(NOT(ISNUMBER('Price History'!Y42)),NOT(ISNUMBER('Price History'!Y41)),'Price History'!Y41=0),"",'Price History'!Y42/'Price History'!Y41-1),"")</f>
        <v>-0.00554607508532434</v>
      </c>
      <c r="AS41" s="155" t="n">
        <f aca="false">IFERROR(IF(OR(NOT(ISNUMBER('Price History'!Z42)),NOT(ISNUMBER('Price History'!Z41)),'Price History'!Z41=0),"",'Price History'!Z42/'Price History'!Z41-1),"")</f>
        <v>-0.03729662077597</v>
      </c>
      <c r="AT41" s="155" t="n">
        <f aca="false">IFERROR(IF(OR(NOT(ISNUMBER('Price History'!AA42)),NOT(ISNUMBER('Price History'!AA41)),'Price History'!AA41=0),"",'Price History'!AA42/'Price History'!AA41-1),"")</f>
        <v>0.0434918160561184</v>
      </c>
      <c r="AU41" s="155" t="n">
        <f aca="false">IFERROR(IF(OR(NOT(ISNUMBER('Price History'!AB42)),NOT(ISNUMBER('Price History'!AB41)),'Price History'!AB41=0),"",'Price History'!AB42/'Price History'!AB41-1),"")</f>
        <v>0.00851807360489243</v>
      </c>
    </row>
    <row r="42" customFormat="false" ht="15" hidden="false" customHeight="true" outlineLevel="0" collapsed="false">
      <c r="A42" s="153" t="n">
        <f aca="false">IF('Price History'!A43="","",'Price History'!A43)</f>
        <v>45464</v>
      </c>
      <c r="B42" s="154" t="n">
        <f aca="false">IFERROR(IF(OR(NOT(ISNUMBER('Price History'!B43)),NOT(ISNUMBER('Price History'!B42)),'Price History'!B42=0),"",'Price History'!B43/'Price History'!B42-1),"")</f>
        <v>0.0154765757362321</v>
      </c>
      <c r="C42" s="154" t="n">
        <f aca="false">IFERROR(IF(OR(NOT(ISNUMBER('Price History'!C43)),NOT(ISNUMBER('Price History'!C42)),'Price History'!C42=0),"",'Price History'!C43/'Price History'!C42-1),"")</f>
        <v>0.0270336093521675</v>
      </c>
      <c r="D42" s="154" t="n">
        <f aca="false">IFERROR(IF(OR(NOT(ISNUMBER('Price History'!D43)),NOT(ISNUMBER('Price History'!D42)),'Price History'!D42=0),"",'Price History'!D43/'Price History'!D42-1),"")</f>
        <v>0.00846307068745111</v>
      </c>
      <c r="E42" s="154" t="n">
        <f aca="false">IFERROR(IF(OR(NOT(ISNUMBER('Price History'!E43)),NOT(ISNUMBER('Price History'!E42)),'Price History'!E42=0),"",'Price History'!E43/'Price History'!E42-1),"")</f>
        <v>-0.0440247860725876</v>
      </c>
      <c r="F42" s="154" t="n">
        <f aca="false">IFERROR(IF(OR(NOT(ISNUMBER('Price History'!F43)),NOT(ISNUMBER('Price History'!F42)),'Price History'!F42=0),"",'Price History'!F43/'Price History'!F42-1),"")</f>
        <v>-0.0124533001245331</v>
      </c>
      <c r="G42" s="154" t="n">
        <f aca="false">IFERROR(IF(OR(NOT(ISNUMBER('Price History'!G43)),NOT(ISNUMBER('Price History'!G42)),'Price History'!G42=0),"",'Price History'!G43/'Price History'!G42-1),"")</f>
        <v>-0.010109727530514</v>
      </c>
      <c r="H42" s="154" t="n">
        <f aca="false">IFERROR(IF(OR(NOT(ISNUMBER('Price History'!H43)),NOT(ISNUMBER('Price History'!H42)),'Price History'!H42=0),"",'Price History'!H43/'Price History'!H42-1),"")</f>
        <v>-0.0128250801567509</v>
      </c>
      <c r="I42" s="154" t="n">
        <f aca="false">IFERROR(IF(OR(NOT(ISNUMBER('Price History'!I43)),NOT(ISNUMBER('Price History'!I42)),'Price History'!I42=0),"",'Price History'!I43/'Price History'!I42-1),"")</f>
        <v>-0.0402980535279807</v>
      </c>
      <c r="J42" s="154" t="n">
        <f aca="false">IFERROR(IF(OR(NOT(ISNUMBER('Price History'!J43)),NOT(ISNUMBER('Price History'!J42)),'Price History'!J42=0),"",'Price History'!J43/'Price History'!J42-1),"")</f>
        <v>-0.0173181114551084</v>
      </c>
      <c r="K42" s="154" t="n">
        <f aca="false">IFERROR(IF(OR(NOT(ISNUMBER('Price History'!K43)),NOT(ISNUMBER('Price History'!K42)),'Price History'!K42=0),"",'Price History'!K43/'Price History'!K42-1),"")</f>
        <v>0.0114552397114978</v>
      </c>
      <c r="L42" s="154" t="n">
        <f aca="false">IFERROR(IF(OR(NOT(ISNUMBER('Price History'!L43)),NOT(ISNUMBER('Price History'!L42)),'Price History'!L42=0),"",'Price History'!L43/'Price History'!L42-1),"")</f>
        <v>0.00840636737614031</v>
      </c>
      <c r="M42" s="154" t="n">
        <f aca="false">IFERROR(IF(OR(NOT(ISNUMBER('Price History'!M43)),NOT(ISNUMBER('Price History'!M42)),'Price History'!M42=0),"",'Price History'!M43/'Price History'!M42-1),"")</f>
        <v>-0.00909987939918866</v>
      </c>
      <c r="N42" s="154" t="n">
        <f aca="false">IFERROR(IF(OR(NOT(ISNUMBER('Price History'!N43)),NOT(ISNUMBER('Price History'!N42)),'Price History'!N42=0),"",'Price History'!N43/'Price History'!N42-1),"")</f>
        <v>-0.0250036402970483</v>
      </c>
      <c r="O42" s="154" t="n">
        <f aca="false">IFERROR(IF(OR(NOT(ISNUMBER('Price History'!O43)),NOT(ISNUMBER('Price History'!O42)),'Price History'!O42=0),"",'Price History'!O43/'Price History'!O42-1),"")</f>
        <v>0.0107896608963718</v>
      </c>
      <c r="P42" s="154" t="n">
        <f aca="false">IFERROR(IF(OR(NOT(ISNUMBER('Price History'!P43)),NOT(ISNUMBER('Price History'!P42)),'Price History'!P42=0),"",'Price History'!P43/'Price History'!P42-1),"")</f>
        <v>0.0137798868406644</v>
      </c>
      <c r="Q42" s="154" t="n">
        <f aca="false">IFERROR(IF(OR(NOT(ISNUMBER('Price History'!Q43)),NOT(ISNUMBER('Price History'!Q42)),'Price History'!Q42=0),"",'Price History'!Q43/'Price History'!Q42-1),"")</f>
        <v>0.00314190958282423</v>
      </c>
      <c r="R42" s="154" t="n">
        <f aca="false">IFERROR(IF(OR(NOT(ISNUMBER('Price History'!R43)),NOT(ISNUMBER('Price History'!R42)),'Price History'!R42=0),"",'Price History'!R43/'Price History'!R42-1),"")</f>
        <v>0.000942285041224844</v>
      </c>
      <c r="S42" s="154" t="n">
        <f aca="false">IFERROR(IF(OR(NOT(ISNUMBER('Price History'!S43)),NOT(ISNUMBER('Price History'!S42)),'Price History'!S42=0),"",'Price History'!S43/'Price History'!S42-1),"")</f>
        <v>-0.000814711359404141</v>
      </c>
      <c r="T42" s="154" t="n">
        <f aca="false">IFERROR(IF(OR(NOT(ISNUMBER('Price History'!T43)),NOT(ISNUMBER('Price History'!T42)),'Price History'!T42=0),"",'Price History'!T43/'Price History'!T42-1),"")</f>
        <v>0.0096957539284519</v>
      </c>
      <c r="U42" s="154" t="n">
        <f aca="false">IFERROR(IF(OR(NOT(ISNUMBER('Price History'!U43)),NOT(ISNUMBER('Price History'!U42)),'Price History'!U42=0),"",'Price History'!U43/'Price History'!U42-1),"")</f>
        <v>0.0171232876712331</v>
      </c>
      <c r="V42" s="155" t="n">
        <f aca="false">IFERROR(IF(OR(NOT(ISNUMBER('Price History'!V43)),NOT(ISNUMBER('Price History'!V42)),'Price History'!V42=0),"",'Price History'!V43/'Price History'!V42-1),"")</f>
        <v>0.0168351433617675</v>
      </c>
      <c r="W42" s="156" t="n">
        <f aca="false">IFERROR('Price History'!B3+(INDEX('Price History'!B:B,MATCH(9.99E+307,'Returns (Calc)'!$A:$A)+1)-'Price History'!B3)*(ROW()-3)/(MATCH(9.99E+307,'Returns (Calc)'!$A:$A)-3),"")</f>
        <v>457.011518987342</v>
      </c>
      <c r="X42" s="156" t="n">
        <f aca="false">IFERROR('Price History'!C3+(INDEX('Price History'!C:C,MATCH(9.99E+307,'Returns (Calc)'!$A:$A)+1)-'Price History'!C3)*(ROW()-3)/(MATCH(9.99E+307,'Returns (Calc)'!$A:$A)-3),"")</f>
        <v>85.9624683544304</v>
      </c>
      <c r="Y42" s="156" t="n">
        <f aca="false">IFERROR('Price History'!D3+(INDEX('Price History'!D:D,MATCH(9.99E+307,'Returns (Calc)'!$A:$A)+1)-'Price History'!D3)*(ROW()-3)/(MATCH(9.99E+307,'Returns (Calc)'!$A:$A)-3),"")</f>
        <v>899.267594936709</v>
      </c>
      <c r="Z42" s="156" t="n">
        <f aca="false">IFERROR('Price History'!E3+(INDEX('Price History'!E:E,MATCH(9.99E+307,'Returns (Calc)'!$A:$A)+1)-'Price History'!E3)*(ROW()-3)/(MATCH(9.99E+307,'Returns (Calc)'!$A:$A)-3),"")</f>
        <v>149.420632911392</v>
      </c>
      <c r="AA42" s="156" t="n">
        <f aca="false">IFERROR('Price History'!F3+(INDEX('Price History'!F:F,MATCH(9.99E+307,'Returns (Calc)'!$A:$A)+1)-'Price History'!F3)*(ROW()-3)/(MATCH(9.99E+307,'Returns (Calc)'!$A:$A)-3),"")</f>
        <v>97.8063291139241</v>
      </c>
      <c r="AB42" s="156" t="n">
        <f aca="false">IFERROR('Price History'!G3+(INDEX('Price History'!G:G,MATCH(9.99E+307,'Returns (Calc)'!$A:$A)+1)-'Price History'!G3)*(ROW()-3)/(MATCH(9.99E+307,'Returns (Calc)'!$A:$A)-3),"")</f>
        <v>84.4706329113924</v>
      </c>
      <c r="AC42" s="156" t="n">
        <f aca="false">IFERROR('Price History'!H3+(INDEX('Price History'!H:H,MATCH(9.99E+307,'Returns (Calc)'!$A:$A)+1)-'Price History'!H3)*(ROW()-3)/(MATCH(9.99E+307,'Returns (Calc)'!$A:$A)-3),"")</f>
        <v>317.372151898734</v>
      </c>
      <c r="AD42" s="156" t="n">
        <f aca="false">IFERROR('Price History'!I3+(INDEX('Price History'!I:I,MATCH(9.99E+307,'Returns (Calc)'!$A:$A)+1)-'Price History'!I3)*(ROW()-3)/(MATCH(9.99E+307,'Returns (Calc)'!$A:$A)-3),"")</f>
        <v>90.713164556962</v>
      </c>
      <c r="AE42" s="156" t="n">
        <f aca="false">IFERROR('Price History'!J3+(INDEX('Price History'!J:J,MATCH(9.99E+307,'Returns (Calc)'!$A:$A)+1)-'Price History'!J3)*(ROW()-3)/(MATCH(9.99E+307,'Returns (Calc)'!$A:$A)-3),"")</f>
        <v>116.053481012658</v>
      </c>
      <c r="AF42" s="156" t="n">
        <f aca="false">IFERROR('Price History'!K3+(INDEX('Price History'!K:K,MATCH(9.99E+307,'Returns (Calc)'!$A:$A)+1)-'Price History'!K3)*(ROW()-3)/(MATCH(9.99E+307,'Returns (Calc)'!$A:$A)-3),"")</f>
        <v>58.1362025316456</v>
      </c>
      <c r="AG42" s="156" t="n">
        <f aca="false">IFERROR('Price History'!L3+(INDEX('Price History'!L:L,MATCH(9.99E+307,'Returns (Calc)'!$A:$A)+1)-'Price History'!L3)*(ROW()-3)/(MATCH(9.99E+307,'Returns (Calc)'!$A:$A)-3),"")</f>
        <v>181.282721518987</v>
      </c>
      <c r="AH42" s="156" t="n">
        <f aca="false">IFERROR('Price History'!M3+(INDEX('Price History'!M:M,MATCH(9.99E+307,'Returns (Calc)'!$A:$A)+1)-'Price History'!M3)*(ROW()-3)/(MATCH(9.99E+307,'Returns (Calc)'!$A:$A)-3),"")</f>
        <v>90.8822784810127</v>
      </c>
      <c r="AI42" s="156" t="n">
        <f aca="false">IFERROR('Price History'!N3+(INDEX('Price History'!N:N,MATCH(9.99E+307,'Returns (Calc)'!$A:$A)+1)-'Price History'!N3)*(ROW()-3)/(MATCH(9.99E+307,'Returns (Calc)'!$A:$A)-3),"")</f>
        <v>387.364367088608</v>
      </c>
      <c r="AJ42" s="156" t="n">
        <f aca="false">IFERROR('Price History'!O3+(INDEX('Price History'!O:O,MATCH(9.99E+307,'Returns (Calc)'!$A:$A)+1)-'Price History'!O3)*(ROW()-3)/(MATCH(9.99E+307,'Returns (Calc)'!$A:$A)-3),"")</f>
        <v>86.3484810126582</v>
      </c>
      <c r="AK42" s="156" t="n">
        <f aca="false">IFERROR('Price History'!Q3+(INDEX('Price History'!Q:Q,MATCH(9.99E+307,'Returns (Calc)'!$A:$A)+1)-'Price History'!Q3)*(ROW()-3)/(MATCH(9.99E+307,'Returns (Calc)'!$A:$A)-3),"")</f>
        <v>17.1353164556962</v>
      </c>
      <c r="AL42" s="156" t="n">
        <f aca="false">IFERROR('Price History'!R3+(INDEX('Price History'!R:R,MATCH(9.99E+307,'Returns (Calc)'!$A:$A)+1)-'Price History'!R3)*(ROW()-3)/(MATCH(9.99E+307,'Returns (Calc)'!$A:$A)-3),"")</f>
        <v>41.0359493670886</v>
      </c>
      <c r="AM42" s="156" t="n">
        <f aca="false">IFERROR('Price History'!S3+(INDEX('Price History'!S:S,MATCH(9.99E+307,'Returns (Calc)'!$A:$A)+1)-'Price History'!S3)*(ROW()-3)/(MATCH(9.99E+307,'Returns (Calc)'!$A:$A)-3),"")</f>
        <v>81.2274683544304</v>
      </c>
      <c r="AN42" s="156" t="n">
        <f aca="false">IFERROR('Price History'!T3+(INDEX('Price History'!T:T,MATCH(9.99E+307,'Returns (Calc)'!$A:$A)+1)-'Price History'!T3)*(ROW()-3)/(MATCH(9.99E+307,'Returns (Calc)'!$A:$A)-3),"")</f>
        <v>31.8008860759494</v>
      </c>
      <c r="AO42" s="157" t="n">
        <f aca="false">IFERROR('Price History'!V3+(INDEX('Price History'!V:V,MATCH(9.99E+307,'Returns (Calc)'!$A:$A)+1)-'Price History'!V3)*(ROW()-3)/(MATCH(9.99E+307,'Returns (Calc)'!$A:$A)-3),"")</f>
        <v>266.491835443038</v>
      </c>
      <c r="AP42" s="155" t="n">
        <f aca="false">IFERROR(IF(OR(NOT(ISNUMBER('Price History'!W43)),NOT(ISNUMBER('Price History'!W42)),'Price History'!W42=0),"",'Price History'!W43/'Price History'!W42-1),"")</f>
        <v>0.0125417305783633</v>
      </c>
      <c r="AQ42" s="155" t="str">
        <f aca="false">IFERROR(IF(OR(NOT(ISNUMBER('Price History'!X43)),NOT(ISNUMBER('Price History'!X42)),'Price History'!X42=0),"",'Price History'!X43/'Price History'!X42-1),"")</f>
        <v/>
      </c>
      <c r="AR42" s="155" t="n">
        <f aca="false">IFERROR(IF(OR(NOT(ISNUMBER('Price History'!Y43)),NOT(ISNUMBER('Price History'!Y42)),'Price History'!Y42=0),"",'Price History'!Y43/'Price History'!Y42-1),"")</f>
        <v>0.00879450879450894</v>
      </c>
      <c r="AS42" s="155" t="n">
        <f aca="false">IFERROR(IF(OR(NOT(ISNUMBER('Price History'!Z43)),NOT(ISNUMBER('Price History'!Z42)),'Price History'!Z42=0),"",'Price History'!Z43/'Price History'!Z42-1),"")</f>
        <v>0.0536271450858035</v>
      </c>
      <c r="AT42" s="155" t="n">
        <f aca="false">IFERROR(IF(OR(NOT(ISNUMBER('Price History'!AA43)),NOT(ISNUMBER('Price History'!AA42)),'Price History'!AA42=0),"",'Price History'!AA43/'Price History'!AA42-1),"")</f>
        <v>0.0249477143710786</v>
      </c>
      <c r="AU42" s="155" t="n">
        <f aca="false">IFERROR(IF(OR(NOT(ISNUMBER('Price History'!AB43)),NOT(ISNUMBER('Price History'!AB42)),'Price History'!AB42=0),"",'Price History'!AB43/'Price History'!AB42-1),"")</f>
        <v>0.000974553329723848</v>
      </c>
    </row>
    <row r="43" customFormat="false" ht="15" hidden="false" customHeight="true" outlineLevel="0" collapsed="false">
      <c r="A43" s="153" t="n">
        <f aca="false">IF('Price History'!A44="","",'Price History'!A44)</f>
        <v>45471</v>
      </c>
      <c r="B43" s="154" t="n">
        <f aca="false">IFERROR(IF(OR(NOT(ISNUMBER('Price History'!B44)),NOT(ISNUMBER('Price History'!B43)),'Price History'!B43=0),"",'Price History'!B44/'Price History'!B43-1),"")</f>
        <v>0.0414292141571684</v>
      </c>
      <c r="C43" s="154" t="n">
        <f aca="false">IFERROR(IF(OR(NOT(ISNUMBER('Price History'!C44)),NOT(ISNUMBER('Price History'!C43)),'Price History'!C43=0),"",'Price History'!C44/'Price History'!C43-1),"")</f>
        <v>0.0388902063078018</v>
      </c>
      <c r="D43" s="154" t="n">
        <f aca="false">IFERROR(IF(OR(NOT(ISNUMBER('Price History'!D44)),NOT(ISNUMBER('Price History'!D43)),'Price History'!D43=0),"",'Price History'!D44/'Price History'!D43-1),"")</f>
        <v>-0.0133840393856314</v>
      </c>
      <c r="E43" s="154" t="n">
        <f aca="false">IFERROR(IF(OR(NOT(ISNUMBER('Price History'!E44)),NOT(ISNUMBER('Price History'!E43)),'Price History'!E43=0),"",'Price History'!E44/'Price History'!E43-1),"")</f>
        <v>-0.0289524044694117</v>
      </c>
      <c r="F43" s="154" t="n">
        <f aca="false">IFERROR(IF(OR(NOT(ISNUMBER('Price History'!F44)),NOT(ISNUMBER('Price History'!F43)),'Price History'!F43=0),"",'Price History'!F44/'Price History'!F43-1),"")</f>
        <v>0.00672551492223628</v>
      </c>
      <c r="G43" s="154" t="n">
        <f aca="false">IFERROR(IF(OR(NOT(ISNUMBER('Price History'!G44)),NOT(ISNUMBER('Price History'!G43)),'Price History'!G43=0),"",'Price History'!G44/'Price History'!G43-1),"")</f>
        <v>0.00983933241997748</v>
      </c>
      <c r="H43" s="154" t="n">
        <f aca="false">IFERROR(IF(OR(NOT(ISNUMBER('Price History'!H44)),NOT(ISNUMBER('Price History'!H43)),'Price History'!H43=0),"",'Price History'!H44/'Price History'!H43-1),"")</f>
        <v>-0.0574521833273187</v>
      </c>
      <c r="I43" s="154" t="n">
        <f aca="false">IFERROR(IF(OR(NOT(ISNUMBER('Price History'!I44)),NOT(ISNUMBER('Price History'!I43)),'Price History'!I43=0),"",'Price History'!I44/'Price History'!I43-1),"")</f>
        <v>-0.0239264775788306</v>
      </c>
      <c r="J43" s="154" t="n">
        <f aca="false">IFERROR(IF(OR(NOT(ISNUMBER('Price History'!J44)),NOT(ISNUMBER('Price History'!J43)),'Price History'!J43=0),"",'Price History'!J44/'Price History'!J43-1),"")</f>
        <v>0.0265826523579797</v>
      </c>
      <c r="K43" s="154" t="n">
        <f aca="false">IFERROR(IF(OR(NOT(ISNUMBER('Price History'!K44)),NOT(ISNUMBER('Price History'!K43)),'Price History'!K43=0),"",'Price History'!K44/'Price History'!K43-1),"")</f>
        <v>0.0625</v>
      </c>
      <c r="L43" s="154" t="n">
        <f aca="false">IFERROR(IF(OR(NOT(ISNUMBER('Price History'!L44)),NOT(ISNUMBER('Price History'!L43)),'Price History'!L43=0),"",'Price History'!L44/'Price History'!L43-1),"")</f>
        <v>-0.000827716684403401</v>
      </c>
      <c r="M43" s="154" t="n">
        <f aca="false">IFERROR(IF(OR(NOT(ISNUMBER('Price History'!M44)),NOT(ISNUMBER('Price History'!M43)),'Price History'!M43=0),"",'Price History'!M44/'Price History'!M43-1),"")</f>
        <v>-0.0447001549015268</v>
      </c>
      <c r="N43" s="154" t="n">
        <f aca="false">IFERROR(IF(OR(NOT(ISNUMBER('Price History'!N44)),NOT(ISNUMBER('Price History'!N43)),'Price History'!N43=0),"",'Price History'!N44/'Price History'!N43-1),"")</f>
        <v>2.13351539333218E-005</v>
      </c>
      <c r="O43" s="154" t="n">
        <f aca="false">IFERROR(IF(OR(NOT(ISNUMBER('Price History'!O44)),NOT(ISNUMBER('Price History'!O43)),'Price History'!O43=0),"",'Price History'!O44/'Price History'!O43-1),"")</f>
        <v>0.0166568914956011</v>
      </c>
      <c r="P43" s="154" t="n">
        <f aca="false">IFERROR(IF(OR(NOT(ISNUMBER('Price History'!P44)),NOT(ISNUMBER('Price History'!P43)),'Price History'!P43=0),"",'Price History'!P44/'Price History'!P43-1),"")</f>
        <v>0.00297056440723731</v>
      </c>
      <c r="Q43" s="154" t="n">
        <f aca="false">IFERROR(IF(OR(NOT(ISNUMBER('Price History'!Q44)),NOT(ISNUMBER('Price History'!Q43)),'Price History'!Q43=0),"",'Price History'!Q44/'Price History'!Q43-1),"")</f>
        <v>0.00417609187402124</v>
      </c>
      <c r="R43" s="154" t="n">
        <f aca="false">IFERROR(IF(OR(NOT(ISNUMBER('Price History'!R44)),NOT(ISNUMBER('Price History'!R43)),'Price History'!R43=0),"",'Price History'!R44/'Price History'!R43-1),"")</f>
        <v>0.00470698987997165</v>
      </c>
      <c r="S43" s="154" t="n">
        <f aca="false">IFERROR(IF(OR(NOT(ISNUMBER('Price History'!S44)),NOT(ISNUMBER('Price History'!S43)),'Price History'!S43=0),"",'Price History'!S44/'Price History'!S43-1),"")</f>
        <v>0.00186371578334321</v>
      </c>
      <c r="T43" s="154" t="n">
        <f aca="false">IFERROR(IF(OR(NOT(ISNUMBER('Price History'!T44)),NOT(ISNUMBER('Price History'!T43)),'Price History'!T43=0),"",'Price History'!T44/'Price History'!T43-1),"")</f>
        <v>-0.00662251655629131</v>
      </c>
      <c r="U43" s="154" t="n">
        <f aca="false">IFERROR(IF(OR(NOT(ISNUMBER('Price History'!U44)),NOT(ISNUMBER('Price History'!U43)),'Price History'!U43=0),"",'Price History'!U44/'Price History'!U43-1),"")</f>
        <v>0.00589225589225584</v>
      </c>
      <c r="V43" s="155" t="n">
        <f aca="false">IFERROR(IF(OR(NOT(ISNUMBER('Price History'!V44)),NOT(ISNUMBER('Price History'!V43)),'Price History'!V43=0),"",'Price History'!V44/'Price History'!V43-1),"")</f>
        <v>-0.0463431760227649</v>
      </c>
      <c r="W43" s="156" t="n">
        <f aca="false">IFERROR('Price History'!B3+(INDEX('Price History'!B:B,MATCH(9.99E+307,'Returns (Calc)'!$A:$A)+1)-'Price History'!B3)*(ROW()-3)/(MATCH(9.99E+307,'Returns (Calc)'!$A:$A)-3),"")</f>
        <v>455.168481012658</v>
      </c>
      <c r="X43" s="156" t="n">
        <f aca="false">IFERROR('Price History'!C3+(INDEX('Price History'!C:C,MATCH(9.99E+307,'Returns (Calc)'!$A:$A)+1)-'Price History'!C3)*(ROW()-3)/(MATCH(9.99E+307,'Returns (Calc)'!$A:$A)-3),"")</f>
        <v>86.9825316455696</v>
      </c>
      <c r="Y43" s="156" t="n">
        <f aca="false">IFERROR('Price History'!D3+(INDEX('Price History'!D:D,MATCH(9.99E+307,'Returns (Calc)'!$A:$A)+1)-'Price History'!D3)*(ROW()-3)/(MATCH(9.99E+307,'Returns (Calc)'!$A:$A)-3),"")</f>
        <v>907.402405063291</v>
      </c>
      <c r="Z43" s="156" t="n">
        <f aca="false">IFERROR('Price History'!E3+(INDEX('Price History'!E:E,MATCH(9.99E+307,'Returns (Calc)'!$A:$A)+1)-'Price History'!E3)*(ROW()-3)/(MATCH(9.99E+307,'Returns (Calc)'!$A:$A)-3),"")</f>
        <v>151.149367088608</v>
      </c>
      <c r="AA43" s="156" t="n">
        <f aca="false">IFERROR('Price History'!F3+(INDEX('Price History'!F:F,MATCH(9.99E+307,'Returns (Calc)'!$A:$A)+1)-'Price History'!F3)*(ROW()-3)/(MATCH(9.99E+307,'Returns (Calc)'!$A:$A)-3),"")</f>
        <v>99.253670886076</v>
      </c>
      <c r="AB43" s="156" t="n">
        <f aca="false">IFERROR('Price History'!G3+(INDEX('Price History'!G:G,MATCH(9.99E+307,'Returns (Calc)'!$A:$A)+1)-'Price History'!G3)*(ROW()-3)/(MATCH(9.99E+307,'Returns (Calc)'!$A:$A)-3),"")</f>
        <v>85.4993670886076</v>
      </c>
      <c r="AC43" s="156" t="n">
        <f aca="false">IFERROR('Price History'!H3+(INDEX('Price History'!H:H,MATCH(9.99E+307,'Returns (Calc)'!$A:$A)+1)-'Price History'!H3)*(ROW()-3)/(MATCH(9.99E+307,'Returns (Calc)'!$A:$A)-3),"")</f>
        <v>323.737848101266</v>
      </c>
      <c r="AD43" s="156" t="n">
        <f aca="false">IFERROR('Price History'!I3+(INDEX('Price History'!I:I,MATCH(9.99E+307,'Returns (Calc)'!$A:$A)+1)-'Price History'!I3)*(ROW()-3)/(MATCH(9.99E+307,'Returns (Calc)'!$A:$A)-3),"")</f>
        <v>91.916835443038</v>
      </c>
      <c r="AE43" s="156" t="n">
        <f aca="false">IFERROR('Price History'!J3+(INDEX('Price History'!J:J,MATCH(9.99E+307,'Returns (Calc)'!$A:$A)+1)-'Price History'!J3)*(ROW()-3)/(MATCH(9.99E+307,'Returns (Calc)'!$A:$A)-3),"")</f>
        <v>116.161518987342</v>
      </c>
      <c r="AF43" s="156" t="n">
        <f aca="false">IFERROR('Price History'!K3+(INDEX('Price History'!K:K,MATCH(9.99E+307,'Returns (Calc)'!$A:$A)+1)-'Price History'!K3)*(ROW()-3)/(MATCH(9.99E+307,'Returns (Calc)'!$A:$A)-3),"")</f>
        <v>59.2337974683544</v>
      </c>
      <c r="AG43" s="156" t="n">
        <f aca="false">IFERROR('Price History'!L3+(INDEX('Price History'!L:L,MATCH(9.99E+307,'Returns (Calc)'!$A:$A)+1)-'Price History'!L3)*(ROW()-3)/(MATCH(9.99E+307,'Returns (Calc)'!$A:$A)-3),"")</f>
        <v>183.732278481013</v>
      </c>
      <c r="AH43" s="156" t="n">
        <f aca="false">IFERROR('Price History'!M3+(INDEX('Price History'!M:M,MATCH(9.99E+307,'Returns (Calc)'!$A:$A)+1)-'Price History'!M3)*(ROW()-3)/(MATCH(9.99E+307,'Returns (Calc)'!$A:$A)-3),"")</f>
        <v>92.2377215189873</v>
      </c>
      <c r="AI43" s="156" t="n">
        <f aca="false">IFERROR('Price History'!N3+(INDEX('Price History'!N:N,MATCH(9.99E+307,'Returns (Calc)'!$A:$A)+1)-'Price History'!N3)*(ROW()-3)/(MATCH(9.99E+307,'Returns (Calc)'!$A:$A)-3),"")</f>
        <v>388.350632911392</v>
      </c>
      <c r="AJ43" s="156" t="n">
        <f aca="false">IFERROR('Price History'!O3+(INDEX('Price History'!O:O,MATCH(9.99E+307,'Returns (Calc)'!$A:$A)+1)-'Price History'!O3)*(ROW()-3)/(MATCH(9.99E+307,'Returns (Calc)'!$A:$A)-3),"")</f>
        <v>86.6315189873418</v>
      </c>
      <c r="AK43" s="156" t="n">
        <f aca="false">IFERROR('Price History'!Q3+(INDEX('Price History'!Q:Q,MATCH(9.99E+307,'Returns (Calc)'!$A:$A)+1)-'Price History'!Q3)*(ROW()-3)/(MATCH(9.99E+307,'Returns (Calc)'!$A:$A)-3),"")</f>
        <v>17.5746835443038</v>
      </c>
      <c r="AL43" s="156" t="n">
        <f aca="false">IFERROR('Price History'!R3+(INDEX('Price History'!R:R,MATCH(9.99E+307,'Returns (Calc)'!$A:$A)+1)-'Price History'!R3)*(ROW()-3)/(MATCH(9.99E+307,'Returns (Calc)'!$A:$A)-3),"")</f>
        <v>41.2040506329114</v>
      </c>
      <c r="AM43" s="156" t="n">
        <f aca="false">IFERROR('Price History'!S3+(INDEX('Price History'!S:S,MATCH(9.99E+307,'Returns (Calc)'!$A:$A)+1)-'Price History'!S3)*(ROW()-3)/(MATCH(9.99E+307,'Returns (Calc)'!$A:$A)-3),"")</f>
        <v>81.8325316455696</v>
      </c>
      <c r="AN43" s="156" t="n">
        <f aca="false">IFERROR('Price History'!T3+(INDEX('Price History'!T:T,MATCH(9.99E+307,'Returns (Calc)'!$A:$A)+1)-'Price History'!T3)*(ROW()-3)/(MATCH(9.99E+307,'Returns (Calc)'!$A:$A)-3),"")</f>
        <v>31.9691139240506</v>
      </c>
      <c r="AO43" s="157" t="n">
        <f aca="false">IFERROR('Price History'!V3+(INDEX('Price History'!V:V,MATCH(9.99E+307,'Returns (Calc)'!$A:$A)+1)-'Price History'!V3)*(ROW()-3)/(MATCH(9.99E+307,'Returns (Calc)'!$A:$A)-3),"")</f>
        <v>267.283164556962</v>
      </c>
      <c r="AP43" s="155" t="n">
        <f aca="false">IFERROR(IF(OR(NOT(ISNUMBER('Price History'!W44)),NOT(ISNUMBER('Price History'!W43)),'Price History'!W43=0),"",'Price History'!W44/'Price History'!W43-1),"")</f>
        <v>-0.0024059882373908</v>
      </c>
      <c r="AQ43" s="155" t="str">
        <f aca="false">IFERROR(IF(OR(NOT(ISNUMBER('Price History'!X44)),NOT(ISNUMBER('Price History'!X43)),'Price History'!X43=0),"",'Price History'!X44/'Price History'!X43-1),"")</f>
        <v/>
      </c>
      <c r="AR43" s="155" t="n">
        <f aca="false">IFERROR(IF(OR(NOT(ISNUMBER('Price History'!Y44)),NOT(ISNUMBER('Price History'!Y43)),'Price History'!Y43=0),"",'Price History'!Y44/'Price History'!Y43-1),"")</f>
        <v>-0.000212630236019473</v>
      </c>
      <c r="AS43" s="155" t="n">
        <f aca="false">IFERROR(IF(OR(NOT(ISNUMBER('Price History'!Z44)),NOT(ISNUMBER('Price History'!Z43)),'Price History'!Z43=0),"",'Price History'!Z44/'Price History'!Z43-1),"")</f>
        <v>-0.0320809426861621</v>
      </c>
      <c r="AT43" s="155" t="n">
        <f aca="false">IFERROR(IF(OR(NOT(ISNUMBER('Price History'!AA44)),NOT(ISNUMBER('Price History'!AA43)),'Price History'!AA43=0),"",'Price History'!AA44/'Price History'!AA43-1),"")</f>
        <v>-0.0163241509983968</v>
      </c>
      <c r="AU43" s="155" t="n">
        <f aca="false">IFERROR(IF(OR(NOT(ISNUMBER('Price History'!AB44)),NOT(ISNUMBER('Price History'!AB43)),'Price History'!AB43=0),"",'Price History'!AB44/'Price History'!AB43-1),"")</f>
        <v>-0.01011466897447</v>
      </c>
    </row>
    <row r="44" customFormat="false" ht="15" hidden="false" customHeight="true" outlineLevel="0" collapsed="false">
      <c r="A44" s="153" t="n">
        <f aca="false">IF('Price History'!A45="","",'Price History'!A45)</f>
        <v>45478</v>
      </c>
      <c r="B44" s="154" t="n">
        <f aca="false">IFERROR(IF(OR(NOT(ISNUMBER('Price History'!B45)),NOT(ISNUMBER('Price History'!B44)),'Price History'!B44=0),"",'Price History'!B45/'Price History'!B44-1),"")</f>
        <v>0.0410411491521765</v>
      </c>
      <c r="C44" s="154" t="n">
        <f aca="false">IFERROR(IF(OR(NOT(ISNUMBER('Price History'!C45)),NOT(ISNUMBER('Price History'!C44)),'Price History'!C44=0),"",'Price History'!C45/'Price History'!C44-1),"")</f>
        <v>0.0447386441451723</v>
      </c>
      <c r="D44" s="154" t="n">
        <f aca="false">IFERROR(IF(OR(NOT(ISNUMBER('Price History'!D45)),NOT(ISNUMBER('Price History'!D44)),'Price History'!D44=0),"",'Price History'!D45/'Price History'!D44-1),"")</f>
        <v>0.0505971056065178</v>
      </c>
      <c r="E44" s="154" t="n">
        <f aca="false">IFERROR(IF(OR(NOT(ISNUMBER('Price History'!E45)),NOT(ISNUMBER('Price History'!E44)),'Price History'!E44=0),"",'Price History'!E45/'Price History'!E44-1),"")</f>
        <v>0.0609027336300063</v>
      </c>
      <c r="F44" s="154" t="n">
        <f aca="false">IFERROR(IF(OR(NOT(ISNUMBER('Price History'!F45)),NOT(ISNUMBER('Price History'!F44)),'Price History'!F44=0),"",'Price History'!F45/'Price History'!F44-1),"")</f>
        <v>0.016910229645094</v>
      </c>
      <c r="G44" s="154" t="n">
        <f aca="false">IFERROR(IF(OR(NOT(ISNUMBER('Price History'!G45)),NOT(ISNUMBER('Price History'!G44)),'Price History'!G44=0),"",'Price History'!G45/'Price History'!G44-1),"")</f>
        <v>0.0372471632955105</v>
      </c>
      <c r="H44" s="154" t="n">
        <f aca="false">IFERROR(IF(OR(NOT(ISNUMBER('Price History'!H45)),NOT(ISNUMBER('Price History'!H44)),'Price History'!H44=0),"",'Price History'!H45/'Price History'!H44-1),"")</f>
        <v>0.000536028792403664</v>
      </c>
      <c r="I44" s="154" t="n">
        <f aca="false">IFERROR(IF(OR(NOT(ISNUMBER('Price History'!I45)),NOT(ISNUMBER('Price History'!I44)),'Price History'!I44=0),"",'Price History'!I45/'Price History'!I44-1),"")</f>
        <v>0.0185064935064936</v>
      </c>
      <c r="J44" s="154" t="n">
        <f aca="false">IFERROR(IF(OR(NOT(ISNUMBER('Price History'!J45)),NOT(ISNUMBER('Price History'!J44)),'Price History'!J44=0),"",'Price History'!J45/'Price History'!J44-1),"")</f>
        <v>0.0191809724753045</v>
      </c>
      <c r="K44" s="154" t="n">
        <f aca="false">IFERROR(IF(OR(NOT(ISNUMBER('Price History'!K45)),NOT(ISNUMBER('Price History'!K44)),'Price History'!K44=0),"",'Price History'!K45/'Price History'!K44-1),"")</f>
        <v>0.0750098697197001</v>
      </c>
      <c r="L44" s="154" t="n">
        <f aca="false">IFERROR(IF(OR(NOT(ISNUMBER('Price History'!L45)),NOT(ISNUMBER('Price History'!L44)),'Price History'!L44=0),"",'Price History'!L45/'Price History'!L44-1),"")</f>
        <v>0.0585798816568048</v>
      </c>
      <c r="M44" s="154" t="n">
        <f aca="false">IFERROR(IF(OR(NOT(ISNUMBER('Price History'!M45)),NOT(ISNUMBER('Price History'!M44)),'Price History'!M44=0),"",'Price History'!M45/'Price History'!M44-1),"")</f>
        <v>0.0601111883252259</v>
      </c>
      <c r="N44" s="154" t="n">
        <f aca="false">IFERROR(IF(OR(NOT(ISNUMBER('Price History'!N45)),NOT(ISNUMBER('Price History'!N44)),'Price History'!N44=0),"",'Price History'!N45/'Price History'!N44-1),"")</f>
        <v>0.0124807987711213</v>
      </c>
      <c r="O44" s="154" t="n">
        <f aca="false">IFERROR(IF(OR(NOT(ISNUMBER('Price History'!O45)),NOT(ISNUMBER('Price History'!O44)),'Price History'!O44=0),"",'Price History'!O45/'Price History'!O44-1),"")</f>
        <v>-0.0164993654090229</v>
      </c>
      <c r="P44" s="154" t="n">
        <f aca="false">IFERROR(IF(OR(NOT(ISNUMBER('Price History'!P45)),NOT(ISNUMBER('Price History'!P44)),'Price History'!P44=0),"",'Price History'!P45/'Price History'!P44-1),"")</f>
        <v>-0.00816729492012203</v>
      </c>
      <c r="Q44" s="154" t="n">
        <f aca="false">IFERROR(IF(OR(NOT(ISNUMBER('Price History'!Q45)),NOT(ISNUMBER('Price History'!Q44)),'Price History'!Q44=0),"",'Price History'!Q45/'Price History'!Q44-1),"")</f>
        <v>0.00710448795702656</v>
      </c>
      <c r="R44" s="154" t="n">
        <f aca="false">IFERROR(IF(OR(NOT(ISNUMBER('Price History'!R45)),NOT(ISNUMBER('Price History'!R44)),'Price History'!R44=0),"",'Price History'!R45/'Price History'!R44-1),"")</f>
        <v>0.0145233075661748</v>
      </c>
      <c r="S44" s="154" t="n">
        <f aca="false">IFERROR(IF(OR(NOT(ISNUMBER('Price History'!S45)),NOT(ISNUMBER('Price History'!S44)),'Price History'!S44=0),"",'Price History'!S45/'Price History'!S44-1),"")</f>
        <v>0.0310429019881409</v>
      </c>
      <c r="T44" s="154" t="n">
        <f aca="false">IFERROR(IF(OR(NOT(ISNUMBER('Price History'!T45)),NOT(ISNUMBER('Price History'!T44)),'Price History'!T44=0),"",'Price History'!T45/'Price History'!T44-1),"")</f>
        <v>-0.0196666666666666</v>
      </c>
      <c r="U44" s="154" t="n">
        <f aca="false">IFERROR(IF(OR(NOT(ISNUMBER('Price History'!U45)),NOT(ISNUMBER('Price History'!U44)),'Price History'!U44=0),"",'Price History'!U45/'Price History'!U44-1),"")</f>
        <v>-0.00920502092050202</v>
      </c>
      <c r="V44" s="155" t="n">
        <f aca="false">IFERROR(IF(OR(NOT(ISNUMBER('Price History'!V45)),NOT(ISNUMBER('Price History'!V44)),'Price History'!V44=0),"",'Price History'!V45/'Price History'!V44-1),"")</f>
        <v>0.0300716915326487</v>
      </c>
      <c r="W44" s="156" t="n">
        <f aca="false">IFERROR('Price History'!B3+(INDEX('Price History'!B:B,MATCH(9.99E+307,'Returns (Calc)'!$A:$A)+1)-'Price History'!B3)*(ROW()-3)/(MATCH(9.99E+307,'Returns (Calc)'!$A:$A)-3),"")</f>
        <v>453.325443037975</v>
      </c>
      <c r="X44" s="156" t="n">
        <f aca="false">IFERROR('Price History'!C3+(INDEX('Price History'!C:C,MATCH(9.99E+307,'Returns (Calc)'!$A:$A)+1)-'Price History'!C3)*(ROW()-3)/(MATCH(9.99E+307,'Returns (Calc)'!$A:$A)-3),"")</f>
        <v>88.0025949367089</v>
      </c>
      <c r="Y44" s="156" t="n">
        <f aca="false">IFERROR('Price History'!D3+(INDEX('Price History'!D:D,MATCH(9.99E+307,'Returns (Calc)'!$A:$A)+1)-'Price History'!D3)*(ROW()-3)/(MATCH(9.99E+307,'Returns (Calc)'!$A:$A)-3),"")</f>
        <v>915.537215189874</v>
      </c>
      <c r="Z44" s="156" t="n">
        <f aca="false">IFERROR('Price History'!E3+(INDEX('Price History'!E:E,MATCH(9.99E+307,'Returns (Calc)'!$A:$A)+1)-'Price History'!E3)*(ROW()-3)/(MATCH(9.99E+307,'Returns (Calc)'!$A:$A)-3),"")</f>
        <v>152.878101265823</v>
      </c>
      <c r="AA44" s="156" t="n">
        <f aca="false">IFERROR('Price History'!F3+(INDEX('Price History'!F:F,MATCH(9.99E+307,'Returns (Calc)'!$A:$A)+1)-'Price History'!F3)*(ROW()-3)/(MATCH(9.99E+307,'Returns (Calc)'!$A:$A)-3),"")</f>
        <v>100.701012658228</v>
      </c>
      <c r="AB44" s="156" t="n">
        <f aca="false">IFERROR('Price History'!G3+(INDEX('Price History'!G:G,MATCH(9.99E+307,'Returns (Calc)'!$A:$A)+1)-'Price History'!G3)*(ROW()-3)/(MATCH(9.99E+307,'Returns (Calc)'!$A:$A)-3),"")</f>
        <v>86.5281012658228</v>
      </c>
      <c r="AC44" s="156" t="n">
        <f aca="false">IFERROR('Price History'!H3+(INDEX('Price History'!H:H,MATCH(9.99E+307,'Returns (Calc)'!$A:$A)+1)-'Price History'!H3)*(ROW()-3)/(MATCH(9.99E+307,'Returns (Calc)'!$A:$A)-3),"")</f>
        <v>330.103544303798</v>
      </c>
      <c r="AD44" s="156" t="n">
        <f aca="false">IFERROR('Price History'!I3+(INDEX('Price History'!I:I,MATCH(9.99E+307,'Returns (Calc)'!$A:$A)+1)-'Price History'!I3)*(ROW()-3)/(MATCH(9.99E+307,'Returns (Calc)'!$A:$A)-3),"")</f>
        <v>93.1205063291139</v>
      </c>
      <c r="AE44" s="156" t="n">
        <f aca="false">IFERROR('Price History'!J3+(INDEX('Price History'!J:J,MATCH(9.99E+307,'Returns (Calc)'!$A:$A)+1)-'Price History'!J3)*(ROW()-3)/(MATCH(9.99E+307,'Returns (Calc)'!$A:$A)-3),"")</f>
        <v>116.269556962025</v>
      </c>
      <c r="AF44" s="156" t="n">
        <f aca="false">IFERROR('Price History'!K3+(INDEX('Price History'!K:K,MATCH(9.99E+307,'Returns (Calc)'!$A:$A)+1)-'Price History'!K3)*(ROW()-3)/(MATCH(9.99E+307,'Returns (Calc)'!$A:$A)-3),"")</f>
        <v>60.3313924050633</v>
      </c>
      <c r="AG44" s="156" t="n">
        <f aca="false">IFERROR('Price History'!L3+(INDEX('Price History'!L:L,MATCH(9.99E+307,'Returns (Calc)'!$A:$A)+1)-'Price History'!L3)*(ROW()-3)/(MATCH(9.99E+307,'Returns (Calc)'!$A:$A)-3),"")</f>
        <v>186.181835443038</v>
      </c>
      <c r="AH44" s="156" t="n">
        <f aca="false">IFERROR('Price History'!M3+(INDEX('Price History'!M:M,MATCH(9.99E+307,'Returns (Calc)'!$A:$A)+1)-'Price History'!M3)*(ROW()-3)/(MATCH(9.99E+307,'Returns (Calc)'!$A:$A)-3),"")</f>
        <v>93.593164556962</v>
      </c>
      <c r="AI44" s="156" t="n">
        <f aca="false">IFERROR('Price History'!N3+(INDEX('Price History'!N:N,MATCH(9.99E+307,'Returns (Calc)'!$A:$A)+1)-'Price History'!N3)*(ROW()-3)/(MATCH(9.99E+307,'Returns (Calc)'!$A:$A)-3),"")</f>
        <v>389.336898734177</v>
      </c>
      <c r="AJ44" s="156" t="n">
        <f aca="false">IFERROR('Price History'!O3+(INDEX('Price History'!O:O,MATCH(9.99E+307,'Returns (Calc)'!$A:$A)+1)-'Price History'!O3)*(ROW()-3)/(MATCH(9.99E+307,'Returns (Calc)'!$A:$A)-3),"")</f>
        <v>86.9145569620253</v>
      </c>
      <c r="AK44" s="156" t="n">
        <f aca="false">IFERROR('Price History'!Q3+(INDEX('Price History'!Q:Q,MATCH(9.99E+307,'Returns (Calc)'!$A:$A)+1)-'Price History'!Q3)*(ROW()-3)/(MATCH(9.99E+307,'Returns (Calc)'!$A:$A)-3),"")</f>
        <v>18.0140506329114</v>
      </c>
      <c r="AL44" s="156" t="n">
        <f aca="false">IFERROR('Price History'!R3+(INDEX('Price History'!R:R,MATCH(9.99E+307,'Returns (Calc)'!$A:$A)+1)-'Price History'!R3)*(ROW()-3)/(MATCH(9.99E+307,'Returns (Calc)'!$A:$A)-3),"")</f>
        <v>41.3721518987342</v>
      </c>
      <c r="AM44" s="156" t="n">
        <f aca="false">IFERROR('Price History'!S3+(INDEX('Price History'!S:S,MATCH(9.99E+307,'Returns (Calc)'!$A:$A)+1)-'Price History'!S3)*(ROW()-3)/(MATCH(9.99E+307,'Returns (Calc)'!$A:$A)-3),"")</f>
        <v>82.4375949367089</v>
      </c>
      <c r="AN44" s="156" t="n">
        <f aca="false">IFERROR('Price History'!T3+(INDEX('Price History'!T:T,MATCH(9.99E+307,'Returns (Calc)'!$A:$A)+1)-'Price History'!T3)*(ROW()-3)/(MATCH(9.99E+307,'Returns (Calc)'!$A:$A)-3),"")</f>
        <v>32.1373417721519</v>
      </c>
      <c r="AO44" s="157" t="n">
        <f aca="false">IFERROR('Price History'!V3+(INDEX('Price History'!V:V,MATCH(9.99E+307,'Returns (Calc)'!$A:$A)+1)-'Price History'!V3)*(ROW()-3)/(MATCH(9.99E+307,'Returns (Calc)'!$A:$A)-3),"")</f>
        <v>268.074493670886</v>
      </c>
      <c r="AP44" s="155" t="n">
        <f aca="false">IFERROR(IF(OR(NOT(ISNUMBER('Price History'!W45)),NOT(ISNUMBER('Price History'!W44)),'Price History'!W44=0),"",'Price History'!W45/'Price History'!W44-1),"")</f>
        <v>-0.000178651183564083</v>
      </c>
      <c r="AQ44" s="155" t="str">
        <f aca="false">IFERROR(IF(OR(NOT(ISNUMBER('Price History'!X45)),NOT(ISNUMBER('Price History'!X44)),'Price History'!X44=0),"",'Price History'!X45/'Price History'!X44-1),"")</f>
        <v/>
      </c>
      <c r="AR44" s="155" t="n">
        <f aca="false">IFERROR(IF(OR(NOT(ISNUMBER('Price History'!Y45)),NOT(ISNUMBER('Price History'!Y44)),'Price History'!Y44=0),"",'Price History'!Y45/'Price History'!Y44-1),"")</f>
        <v>0.000425350914504463</v>
      </c>
      <c r="AS44" s="155" t="n">
        <f aca="false">IFERROR(IF(OR(NOT(ISNUMBER('Price History'!Z45)),NOT(ISNUMBER('Price History'!Z44)),'Price History'!Z44=0),"",'Price History'!Z45/'Price History'!Z44-1),"")</f>
        <v>0.00962457772961955</v>
      </c>
      <c r="AT44" s="155" t="n">
        <f aca="false">IFERROR(IF(OR(NOT(ISNUMBER('Price History'!AA45)),NOT(ISNUMBER('Price History'!AA44)),'Price History'!AA44=0),"",'Price History'!AA45/'Price History'!AA44-1),"")</f>
        <v>0.0234108756852867</v>
      </c>
      <c r="AU44" s="155" t="n">
        <f aca="false">IFERROR(IF(OR(NOT(ISNUMBER('Price History'!AB45)),NOT(ISNUMBER('Price History'!AB44)),'Price History'!AB44=0),"",'Price History'!AB45/'Price History'!AB44-1),"")</f>
        <v>0.00245888202830447</v>
      </c>
    </row>
    <row r="45" customFormat="false" ht="15" hidden="false" customHeight="true" outlineLevel="0" collapsed="false">
      <c r="A45" s="153" t="n">
        <f aca="false">IF('Price History'!A46="","",'Price History'!A46)</f>
        <v>45485</v>
      </c>
      <c r="B45" s="154" t="n">
        <f aca="false">IFERROR(IF(OR(NOT(ISNUMBER('Price History'!B46)),NOT(ISNUMBER('Price History'!B45)),'Price History'!B45=0),"",'Price History'!B46/'Price History'!B45-1),"")</f>
        <v>-0.0333540823736903</v>
      </c>
      <c r="C45" s="154" t="n">
        <f aca="false">IFERROR(IF(OR(NOT(ISNUMBER('Price History'!C46)),NOT(ISNUMBER('Price History'!C45)),'Price History'!C45=0),"",'Price History'!C46/'Price History'!C45-1),"")</f>
        <v>-0.0116888791785013</v>
      </c>
      <c r="D45" s="154" t="n">
        <f aca="false">IFERROR(IF(OR(NOT(ISNUMBER('Price History'!D46)),NOT(ISNUMBER('Price History'!D45)),'Price History'!D45=0),"",'Price History'!D46/'Price History'!D45-1),"")</f>
        <v>0.0100397227936786</v>
      </c>
      <c r="E45" s="154" t="n">
        <f aca="false">IFERROR(IF(OR(NOT(ISNUMBER('Price History'!E46)),NOT(ISNUMBER('Price History'!E45)),'Price History'!E45=0),"",'Price History'!E46/'Price History'!E45-1),"")</f>
        <v>-0.00155800575263654</v>
      </c>
      <c r="F45" s="154" t="n">
        <f aca="false">IFERROR(IF(OR(NOT(ISNUMBER('Price History'!F46)),NOT(ISNUMBER('Price History'!F45)),'Price History'!F45=0),"",'Price History'!F46/'Price History'!F45-1),"")</f>
        <v>-0.0471155820160132</v>
      </c>
      <c r="G45" s="154" t="n">
        <f aca="false">IFERROR(IF(OR(NOT(ISNUMBER('Price History'!G46)),NOT(ISNUMBER('Price History'!G45)),'Price History'!G45=0),"",'Price History'!G46/'Price History'!G45-1),"")</f>
        <v>0.00285374554102269</v>
      </c>
      <c r="H45" s="154" t="n">
        <f aca="false">IFERROR(IF(OR(NOT(ISNUMBER('Price History'!H46)),NOT(ISNUMBER('Price History'!H45)),'Price History'!H45=0),"",'Price History'!H46/'Price History'!H45-1),"")</f>
        <v>0.0157661105158426</v>
      </c>
      <c r="I45" s="154" t="n">
        <f aca="false">IFERROR(IF(OR(NOT(ISNUMBER('Price History'!I46)),NOT(ISNUMBER('Price History'!I45)),'Price History'!I45=0),"",'Price History'!I46/'Price History'!I45-1),"")</f>
        <v>0.0270959515460631</v>
      </c>
      <c r="J45" s="154" t="n">
        <f aca="false">IFERROR(IF(OR(NOT(ISNUMBER('Price History'!J46)),NOT(ISNUMBER('Price History'!J45)),'Price History'!J45=0),"",'Price History'!J46/'Price History'!J45-1),"")</f>
        <v>0.0496847652206645</v>
      </c>
      <c r="K45" s="154" t="n">
        <f aca="false">IFERROR(IF(OR(NOT(ISNUMBER('Price History'!K46)),NOT(ISNUMBER('Price History'!K45)),'Price History'!K45=0),"",'Price History'!K46/'Price History'!K45-1),"")</f>
        <v>0.0308483290488433</v>
      </c>
      <c r="L45" s="154" t="n">
        <f aca="false">IFERROR(IF(OR(NOT(ISNUMBER('Price History'!L46)),NOT(ISNUMBER('Price History'!L45)),'Price History'!L45=0),"",'Price History'!L46/'Price History'!L45-1),"")</f>
        <v>0.0182224706539966</v>
      </c>
      <c r="M45" s="154" t="n">
        <f aca="false">IFERROR(IF(OR(NOT(ISNUMBER('Price History'!M46)),NOT(ISNUMBER('Price History'!M45)),'Price History'!M45=0),"",'Price History'!M46/'Price History'!M45-1),"")</f>
        <v>-0.0229432972795804</v>
      </c>
      <c r="N45" s="154" t="n">
        <f aca="false">IFERROR(IF(OR(NOT(ISNUMBER('Price History'!N46)),NOT(ISNUMBER('Price History'!N45)),'Price History'!N45=0),"",'Price History'!N46/'Price History'!N45-1),"")</f>
        <v>0.0298586088459027</v>
      </c>
      <c r="O45" s="154" t="n">
        <f aca="false">IFERROR(IF(OR(NOT(ISNUMBER('Price History'!O46)),NOT(ISNUMBER('Price History'!O45)),'Price History'!O45=0),"",'Price History'!O46/'Price History'!O45-1),"")</f>
        <v>0.0557250117315815</v>
      </c>
      <c r="P45" s="154" t="n">
        <f aca="false">IFERROR(IF(OR(NOT(ISNUMBER('Price History'!P46)),NOT(ISNUMBER('Price History'!P45)),'Price History'!P45=0),"",'Price History'!P46/'Price History'!P45-1),"")</f>
        <v>0.0420776400325762</v>
      </c>
      <c r="Q45" s="154" t="n">
        <f aca="false">IFERROR(IF(OR(NOT(ISNUMBER('Price History'!Q46)),NOT(ISNUMBER('Price History'!Q45)),'Price History'!Q45=0),"",'Price History'!Q46/'Price History'!Q45-1),"")</f>
        <v>0.00344115622849284</v>
      </c>
      <c r="R45" s="154" t="n">
        <f aca="false">IFERROR(IF(OR(NOT(ISNUMBER('Price History'!R46)),NOT(ISNUMBER('Price History'!R45)),'Price History'!R45=0),"",'Price History'!R46/'Price History'!R45-1),"")</f>
        <v>-0.000692680674209245</v>
      </c>
      <c r="S45" s="154" t="n">
        <f aca="false">IFERROR(IF(OR(NOT(ISNUMBER('Price History'!S46)),NOT(ISNUMBER('Price History'!S45)),'Price History'!S45=0),"",'Price History'!S46/'Price History'!S45-1),"")</f>
        <v>-0.00202976995940463</v>
      </c>
      <c r="T45" s="154" t="n">
        <f aca="false">IFERROR(IF(OR(NOT(ISNUMBER('Price History'!T46)),NOT(ISNUMBER('Price History'!T45)),'Price History'!T45=0),"",'Price History'!T46/'Price History'!T45-1),"")</f>
        <v>0.0384223053383204</v>
      </c>
      <c r="U45" s="154" t="n">
        <f aca="false">IFERROR(IF(OR(NOT(ISNUMBER('Price History'!U46)),NOT(ISNUMBER('Price History'!U45)),'Price History'!U45=0),"",'Price History'!U46/'Price History'!U45-1),"")</f>
        <v>0.0337837837837838</v>
      </c>
      <c r="V45" s="155" t="n">
        <f aca="false">IFERROR(IF(OR(NOT(ISNUMBER('Price History'!V46)),NOT(ISNUMBER('Price History'!V45)),'Price History'!V45=0),"",'Price History'!V46/'Price History'!V45-1),"")</f>
        <v>-0.0170798690794177</v>
      </c>
      <c r="W45" s="156" t="n">
        <f aca="false">IFERROR('Price History'!B3+(INDEX('Price History'!B:B,MATCH(9.99E+307,'Returns (Calc)'!$A:$A)+1)-'Price History'!B3)*(ROW()-3)/(MATCH(9.99E+307,'Returns (Calc)'!$A:$A)-3),"")</f>
        <v>451.482405063291</v>
      </c>
      <c r="X45" s="156" t="n">
        <f aca="false">IFERROR('Price History'!C3+(INDEX('Price History'!C:C,MATCH(9.99E+307,'Returns (Calc)'!$A:$A)+1)-'Price History'!C3)*(ROW()-3)/(MATCH(9.99E+307,'Returns (Calc)'!$A:$A)-3),"")</f>
        <v>89.0226582278481</v>
      </c>
      <c r="Y45" s="156" t="n">
        <f aca="false">IFERROR('Price History'!D3+(INDEX('Price History'!D:D,MATCH(9.99E+307,'Returns (Calc)'!$A:$A)+1)-'Price History'!D3)*(ROW()-3)/(MATCH(9.99E+307,'Returns (Calc)'!$A:$A)-3),"")</f>
        <v>923.672025316456</v>
      </c>
      <c r="Z45" s="156" t="n">
        <f aca="false">IFERROR('Price History'!E3+(INDEX('Price History'!E:E,MATCH(9.99E+307,'Returns (Calc)'!$A:$A)+1)-'Price History'!E3)*(ROW()-3)/(MATCH(9.99E+307,'Returns (Calc)'!$A:$A)-3),"")</f>
        <v>154.606835443038</v>
      </c>
      <c r="AA45" s="156" t="n">
        <f aca="false">IFERROR('Price History'!F3+(INDEX('Price History'!F:F,MATCH(9.99E+307,'Returns (Calc)'!$A:$A)+1)-'Price History'!F3)*(ROW()-3)/(MATCH(9.99E+307,'Returns (Calc)'!$A:$A)-3),"")</f>
        <v>102.14835443038</v>
      </c>
      <c r="AB45" s="156" t="n">
        <f aca="false">IFERROR('Price History'!G3+(INDEX('Price History'!G:G,MATCH(9.99E+307,'Returns (Calc)'!$A:$A)+1)-'Price History'!G3)*(ROW()-3)/(MATCH(9.99E+307,'Returns (Calc)'!$A:$A)-3),"")</f>
        <v>87.556835443038</v>
      </c>
      <c r="AC45" s="156" t="n">
        <f aca="false">IFERROR('Price History'!H3+(INDEX('Price History'!H:H,MATCH(9.99E+307,'Returns (Calc)'!$A:$A)+1)-'Price History'!H3)*(ROW()-3)/(MATCH(9.99E+307,'Returns (Calc)'!$A:$A)-3),"")</f>
        <v>336.469240506329</v>
      </c>
      <c r="AD45" s="156" t="n">
        <f aca="false">IFERROR('Price History'!I3+(INDEX('Price History'!I:I,MATCH(9.99E+307,'Returns (Calc)'!$A:$A)+1)-'Price History'!I3)*(ROW()-3)/(MATCH(9.99E+307,'Returns (Calc)'!$A:$A)-3),"")</f>
        <v>94.3241772151899</v>
      </c>
      <c r="AE45" s="156" t="n">
        <f aca="false">IFERROR('Price History'!J3+(INDEX('Price History'!J:J,MATCH(9.99E+307,'Returns (Calc)'!$A:$A)+1)-'Price History'!J3)*(ROW()-3)/(MATCH(9.99E+307,'Returns (Calc)'!$A:$A)-3),"")</f>
        <v>116.377594936709</v>
      </c>
      <c r="AF45" s="156" t="n">
        <f aca="false">IFERROR('Price History'!K3+(INDEX('Price History'!K:K,MATCH(9.99E+307,'Returns (Calc)'!$A:$A)+1)-'Price History'!K3)*(ROW()-3)/(MATCH(9.99E+307,'Returns (Calc)'!$A:$A)-3),"")</f>
        <v>61.4289873417722</v>
      </c>
      <c r="AG45" s="156" t="n">
        <f aca="false">IFERROR('Price History'!L3+(INDEX('Price History'!L:L,MATCH(9.99E+307,'Returns (Calc)'!$A:$A)+1)-'Price History'!L3)*(ROW()-3)/(MATCH(9.99E+307,'Returns (Calc)'!$A:$A)-3),"")</f>
        <v>188.631392405063</v>
      </c>
      <c r="AH45" s="156" t="n">
        <f aca="false">IFERROR('Price History'!M3+(INDEX('Price History'!M:M,MATCH(9.99E+307,'Returns (Calc)'!$A:$A)+1)-'Price History'!M3)*(ROW()-3)/(MATCH(9.99E+307,'Returns (Calc)'!$A:$A)-3),"")</f>
        <v>94.9486075949367</v>
      </c>
      <c r="AI45" s="156" t="n">
        <f aca="false">IFERROR('Price History'!N3+(INDEX('Price History'!N:N,MATCH(9.99E+307,'Returns (Calc)'!$A:$A)+1)-'Price History'!N3)*(ROW()-3)/(MATCH(9.99E+307,'Returns (Calc)'!$A:$A)-3),"")</f>
        <v>390.323164556962</v>
      </c>
      <c r="AJ45" s="156" t="n">
        <f aca="false">IFERROR('Price History'!O3+(INDEX('Price History'!O:O,MATCH(9.99E+307,'Returns (Calc)'!$A:$A)+1)-'Price History'!O3)*(ROW()-3)/(MATCH(9.99E+307,'Returns (Calc)'!$A:$A)-3),"")</f>
        <v>87.1975949367089</v>
      </c>
      <c r="AK45" s="156" t="n">
        <f aca="false">IFERROR('Price History'!Q3+(INDEX('Price History'!Q:Q,MATCH(9.99E+307,'Returns (Calc)'!$A:$A)+1)-'Price History'!Q3)*(ROW()-3)/(MATCH(9.99E+307,'Returns (Calc)'!$A:$A)-3),"")</f>
        <v>18.453417721519</v>
      </c>
      <c r="AL45" s="156" t="n">
        <f aca="false">IFERROR('Price History'!R3+(INDEX('Price History'!R:R,MATCH(9.99E+307,'Returns (Calc)'!$A:$A)+1)-'Price History'!R3)*(ROW()-3)/(MATCH(9.99E+307,'Returns (Calc)'!$A:$A)-3),"")</f>
        <v>41.540253164557</v>
      </c>
      <c r="AM45" s="156" t="n">
        <f aca="false">IFERROR('Price History'!S3+(INDEX('Price History'!S:S,MATCH(9.99E+307,'Returns (Calc)'!$A:$A)+1)-'Price History'!S3)*(ROW()-3)/(MATCH(9.99E+307,'Returns (Calc)'!$A:$A)-3),"")</f>
        <v>83.0426582278481</v>
      </c>
      <c r="AN45" s="156" t="n">
        <f aca="false">IFERROR('Price History'!T3+(INDEX('Price History'!T:T,MATCH(9.99E+307,'Returns (Calc)'!$A:$A)+1)-'Price History'!T3)*(ROW()-3)/(MATCH(9.99E+307,'Returns (Calc)'!$A:$A)-3),"")</f>
        <v>32.3055696202532</v>
      </c>
      <c r="AO45" s="157" t="n">
        <f aca="false">IFERROR('Price History'!V3+(INDEX('Price History'!V:V,MATCH(9.99E+307,'Returns (Calc)'!$A:$A)+1)-'Price History'!V3)*(ROW()-3)/(MATCH(9.99E+307,'Returns (Calc)'!$A:$A)-3),"")</f>
        <v>268.86582278481</v>
      </c>
      <c r="AP45" s="155" t="n">
        <f aca="false">IFERROR(IF(OR(NOT(ISNUMBER('Price History'!W46)),NOT(ISNUMBER('Price History'!W45)),'Price History'!W45=0),"",'Price History'!W46/'Price History'!W45-1),"")</f>
        <v>0.0244795854551951</v>
      </c>
      <c r="AQ45" s="155" t="str">
        <f aca="false">IFERROR(IF(OR(NOT(ISNUMBER('Price History'!X46)),NOT(ISNUMBER('Price History'!X45)),'Price History'!X45=0),"",'Price History'!X46/'Price History'!X45-1),"")</f>
        <v/>
      </c>
      <c r="AR45" s="155" t="n">
        <f aca="false">IFERROR(IF(OR(NOT(ISNUMBER('Price History'!Y46)),NOT(ISNUMBER('Price History'!Y45)),'Price History'!Y45=0),"",'Price History'!Y46/'Price History'!Y45-1),"")</f>
        <v>0.00935374149659851</v>
      </c>
      <c r="AS45" s="155" t="n">
        <f aca="false">IFERROR(IF(OR(NOT(ISNUMBER('Price History'!Z46)),NOT(ISNUMBER('Price History'!Z45)),'Price History'!Z45=0),"",'Price History'!Z46/'Price History'!Z45-1),"")</f>
        <v>-0.00763888888888897</v>
      </c>
      <c r="AT45" s="155" t="n">
        <f aca="false">IFERROR(IF(OR(NOT(ISNUMBER('Price History'!AA46)),NOT(ISNUMBER('Price History'!AA45)),'Price History'!AA45=0),"",'Price History'!AA46/'Price History'!AA45-1),"")</f>
        <v>-0.0624004632981032</v>
      </c>
      <c r="AU45" s="155" t="n">
        <f aca="false">IFERROR(IF(OR(NOT(ISNUMBER('Price History'!AB46)),NOT(ISNUMBER('Price History'!AB45)),'Price History'!AB45=0),"",'Price History'!AB46/'Price History'!AB45-1),"")</f>
        <v>0.0243104763981248</v>
      </c>
    </row>
    <row r="46" customFormat="false" ht="15" hidden="false" customHeight="true" outlineLevel="0" collapsed="false">
      <c r="A46" s="153" t="n">
        <f aca="false">IF('Price History'!A47="","",'Price History'!A47)</f>
        <v>45492</v>
      </c>
      <c r="B46" s="154" t="n">
        <f aca="false">IFERROR(IF(OR(NOT(ISNUMBER('Price History'!B47)),NOT(ISNUMBER('Price History'!B46)),'Price History'!B46=0),"",'Price History'!B47/'Price History'!B46-1),"")</f>
        <v>-0.0143994276003935</v>
      </c>
      <c r="C46" s="154" t="n">
        <f aca="false">IFERROR(IF(OR(NOT(ISNUMBER('Price History'!C47)),NOT(ISNUMBER('Price History'!C46)),'Price History'!C46=0),"",'Price History'!C47/'Price History'!C46-1),"")</f>
        <v>-0.0865480269702664</v>
      </c>
      <c r="D46" s="154" t="n">
        <f aca="false">IFERROR(IF(OR(NOT(ISNUMBER('Price History'!D47)),NOT(ISNUMBER('Price History'!D46)),'Price History'!D46=0),"",'Price History'!D47/'Price History'!D46-1),"")</f>
        <v>-0.174976534634879</v>
      </c>
      <c r="E46" s="154" t="n">
        <f aca="false">IFERROR(IF(OR(NOT(ISNUMBER('Price History'!E47)),NOT(ISNUMBER('Price History'!E46)),'Price History'!E46=0),"",'Price History'!E47/'Price History'!E46-1),"")</f>
        <v>-0.0747809386628257</v>
      </c>
      <c r="F46" s="154" t="n">
        <f aca="false">IFERROR(IF(OR(NOT(ISNUMBER('Price History'!F47)),NOT(ISNUMBER('Price History'!F46)),'Price History'!F46=0),"",'Price History'!F47/'Price History'!F46-1),"")</f>
        <v>-0.178713777873532</v>
      </c>
      <c r="G46" s="154" t="n">
        <f aca="false">IFERROR(IF(OR(NOT(ISNUMBER('Price History'!G47)),NOT(ISNUMBER('Price History'!G46)),'Price History'!G46=0),"",'Price History'!G47/'Price History'!G46-1),"")</f>
        <v>-0.110979369219825</v>
      </c>
      <c r="H46" s="154" t="n">
        <f aca="false">IFERROR(IF(OR(NOT(ISNUMBER('Price History'!H47)),NOT(ISNUMBER('Price History'!H46)),'Price History'!H46=0),"",'Price History'!H47/'Price History'!H46-1),"")</f>
        <v>-0.144439421338156</v>
      </c>
      <c r="I46" s="154" t="n">
        <f aca="false">IFERROR(IF(OR(NOT(ISNUMBER('Price History'!I47)),NOT(ISNUMBER('Price History'!I46)),'Price History'!I46=0),"",'Price History'!I47/'Price History'!I46-1),"")</f>
        <v>-0.0875232774674115</v>
      </c>
      <c r="J46" s="154" t="n">
        <f aca="false">IFERROR(IF(OR(NOT(ISNUMBER('Price History'!J47)),NOT(ISNUMBER('Price History'!J46)),'Price History'!J46=0),"",'Price History'!J47/'Price History'!J46-1),"")</f>
        <v>0.0300313760645452</v>
      </c>
      <c r="K46" s="154" t="n">
        <f aca="false">IFERROR(IF(OR(NOT(ISNUMBER('Price History'!K47)),NOT(ISNUMBER('Price History'!K46)),'Price History'!K46=0),"",'Price History'!K47/'Price History'!K46-1),"")</f>
        <v>0.0181688635553972</v>
      </c>
      <c r="L46" s="154" t="n">
        <f aca="false">IFERROR(IF(OR(NOT(ISNUMBER('Price History'!L47)),NOT(ISNUMBER('Price History'!L46)),'Price History'!L46=0),"",'Price History'!L47/'Price History'!L46-1),"")</f>
        <v>-0.115173473869126</v>
      </c>
      <c r="M46" s="154" t="n">
        <f aca="false">IFERROR(IF(OR(NOT(ISNUMBER('Price History'!M47)),NOT(ISNUMBER('Price History'!M46)),'Price History'!M46=0),"",'Price History'!M47/'Price History'!M46-1),"")</f>
        <v>-0.0486413955048642</v>
      </c>
      <c r="N46" s="154" t="n">
        <f aca="false">IFERROR(IF(OR(NOT(ISNUMBER('Price History'!N47)),NOT(ISNUMBER('Price History'!N46)),'Price History'!N46=0),"",'Price History'!N47/'Price History'!N46-1),"")</f>
        <v>0.00579039980357643</v>
      </c>
      <c r="O46" s="154" t="n">
        <f aca="false">IFERROR(IF(OR(NOT(ISNUMBER('Price History'!O47)),NOT(ISNUMBER('Price History'!O46)),'Price History'!O46=0),"",'Price History'!O47/'Price History'!O46-1),"")</f>
        <v>0.0264473830425604</v>
      </c>
      <c r="P46" s="154" t="n">
        <f aca="false">IFERROR(IF(OR(NOT(ISNUMBER('Price History'!P47)),NOT(ISNUMBER('Price History'!P46)),'Price History'!P46=0),"",'Price History'!P47/'Price History'!P46-1),"")</f>
        <v>0.0141542202153526</v>
      </c>
      <c r="Q46" s="154" t="n">
        <f aca="false">IFERROR(IF(OR(NOT(ISNUMBER('Price History'!Q47)),NOT(ISNUMBER('Price History'!Q46)),'Price History'!Q46=0),"",'Price History'!Q47/'Price History'!Q46-1),"")</f>
        <v>-0.00668724279835387</v>
      </c>
      <c r="R46" s="154" t="n">
        <f aca="false">IFERROR(IF(OR(NOT(ISNUMBER('Price History'!R47)),NOT(ISNUMBER('Price History'!R46)),'Price History'!R46=0),"",'Price History'!R47/'Price History'!R46-1),"")</f>
        <v>-0.0295748613678374</v>
      </c>
      <c r="S46" s="154" t="n">
        <f aca="false">IFERROR(IF(OR(NOT(ISNUMBER('Price History'!S47)),NOT(ISNUMBER('Price History'!S46)),'Price History'!S46=0),"",'Price History'!S47/'Price History'!S46-1),"")</f>
        <v>-0.0404519774011299</v>
      </c>
      <c r="T46" s="154" t="n">
        <f aca="false">IFERROR(IF(OR(NOT(ISNUMBER('Price History'!T47)),NOT(ISNUMBER('Price History'!T46)),'Price History'!T46=0),"",'Price History'!T47/'Price History'!T46-1),"")</f>
        <v>0.0150622134905043</v>
      </c>
      <c r="U46" s="154" t="n">
        <f aca="false">IFERROR(IF(OR(NOT(ISNUMBER('Price History'!U47)),NOT(ISNUMBER('Price History'!U46)),'Price History'!U46=0),"",'Price History'!U47/'Price History'!U46-1),"")</f>
        <v>0.0183823529411764</v>
      </c>
      <c r="V46" s="155" t="n">
        <f aca="false">IFERROR(IF(OR(NOT(ISNUMBER('Price History'!V47)),NOT(ISNUMBER('Price History'!V46)),'Price History'!V46=0),"",'Price History'!V47/'Price History'!V46-1),"")</f>
        <v>-0.00107168829180526</v>
      </c>
      <c r="W46" s="156" t="n">
        <f aca="false">IFERROR('Price History'!B3+(INDEX('Price History'!B:B,MATCH(9.99E+307,'Returns (Calc)'!$A:$A)+1)-'Price History'!B3)*(ROW()-3)/(MATCH(9.99E+307,'Returns (Calc)'!$A:$A)-3),"")</f>
        <v>449.639367088608</v>
      </c>
      <c r="X46" s="156" t="n">
        <f aca="false">IFERROR('Price History'!C3+(INDEX('Price History'!C:C,MATCH(9.99E+307,'Returns (Calc)'!$A:$A)+1)-'Price History'!C3)*(ROW()-3)/(MATCH(9.99E+307,'Returns (Calc)'!$A:$A)-3),"")</f>
        <v>90.0427215189873</v>
      </c>
      <c r="Y46" s="156" t="n">
        <f aca="false">IFERROR('Price History'!D3+(INDEX('Price History'!D:D,MATCH(9.99E+307,'Returns (Calc)'!$A:$A)+1)-'Price History'!D3)*(ROW()-3)/(MATCH(9.99E+307,'Returns (Calc)'!$A:$A)-3),"")</f>
        <v>931.806835443038</v>
      </c>
      <c r="Z46" s="156" t="n">
        <f aca="false">IFERROR('Price History'!E3+(INDEX('Price History'!E:E,MATCH(9.99E+307,'Returns (Calc)'!$A:$A)+1)-'Price History'!E3)*(ROW()-3)/(MATCH(9.99E+307,'Returns (Calc)'!$A:$A)-3),"")</f>
        <v>156.335569620253</v>
      </c>
      <c r="AA46" s="156" t="n">
        <f aca="false">IFERROR('Price History'!F3+(INDEX('Price History'!F:F,MATCH(9.99E+307,'Returns (Calc)'!$A:$A)+1)-'Price History'!F3)*(ROW()-3)/(MATCH(9.99E+307,'Returns (Calc)'!$A:$A)-3),"")</f>
        <v>103.595696202532</v>
      </c>
      <c r="AB46" s="156" t="n">
        <f aca="false">IFERROR('Price History'!G3+(INDEX('Price History'!G:G,MATCH(9.99E+307,'Returns (Calc)'!$A:$A)+1)-'Price History'!G3)*(ROW()-3)/(MATCH(9.99E+307,'Returns (Calc)'!$A:$A)-3),"")</f>
        <v>88.5855696202532</v>
      </c>
      <c r="AC46" s="156" t="n">
        <f aca="false">IFERROR('Price History'!H3+(INDEX('Price History'!H:H,MATCH(9.99E+307,'Returns (Calc)'!$A:$A)+1)-'Price History'!H3)*(ROW()-3)/(MATCH(9.99E+307,'Returns (Calc)'!$A:$A)-3),"")</f>
        <v>342.834936708861</v>
      </c>
      <c r="AD46" s="156" t="n">
        <f aca="false">IFERROR('Price History'!I3+(INDEX('Price History'!I:I,MATCH(9.99E+307,'Returns (Calc)'!$A:$A)+1)-'Price History'!I3)*(ROW()-3)/(MATCH(9.99E+307,'Returns (Calc)'!$A:$A)-3),"")</f>
        <v>95.5278481012658</v>
      </c>
      <c r="AE46" s="156" t="n">
        <f aca="false">IFERROR('Price History'!J3+(INDEX('Price History'!J:J,MATCH(9.99E+307,'Returns (Calc)'!$A:$A)+1)-'Price History'!J3)*(ROW()-3)/(MATCH(9.99E+307,'Returns (Calc)'!$A:$A)-3),"")</f>
        <v>116.485632911392</v>
      </c>
      <c r="AF46" s="156" t="n">
        <f aca="false">IFERROR('Price History'!K3+(INDEX('Price History'!K:K,MATCH(9.99E+307,'Returns (Calc)'!$A:$A)+1)-'Price History'!K3)*(ROW()-3)/(MATCH(9.99E+307,'Returns (Calc)'!$A:$A)-3),"")</f>
        <v>62.526582278481</v>
      </c>
      <c r="AG46" s="156" t="n">
        <f aca="false">IFERROR('Price History'!L3+(INDEX('Price History'!L:L,MATCH(9.99E+307,'Returns (Calc)'!$A:$A)+1)-'Price History'!L3)*(ROW()-3)/(MATCH(9.99E+307,'Returns (Calc)'!$A:$A)-3),"")</f>
        <v>191.080949367089</v>
      </c>
      <c r="AH46" s="156" t="n">
        <f aca="false">IFERROR('Price History'!M3+(INDEX('Price History'!M:M,MATCH(9.99E+307,'Returns (Calc)'!$A:$A)+1)-'Price History'!M3)*(ROW()-3)/(MATCH(9.99E+307,'Returns (Calc)'!$A:$A)-3),"")</f>
        <v>96.3040506329114</v>
      </c>
      <c r="AI46" s="156" t="n">
        <f aca="false">IFERROR('Price History'!N3+(INDEX('Price History'!N:N,MATCH(9.99E+307,'Returns (Calc)'!$A:$A)+1)-'Price History'!N3)*(ROW()-3)/(MATCH(9.99E+307,'Returns (Calc)'!$A:$A)-3),"")</f>
        <v>391.309430379747</v>
      </c>
      <c r="AJ46" s="156" t="n">
        <f aca="false">IFERROR('Price History'!O3+(INDEX('Price History'!O:O,MATCH(9.99E+307,'Returns (Calc)'!$A:$A)+1)-'Price History'!O3)*(ROW()-3)/(MATCH(9.99E+307,'Returns (Calc)'!$A:$A)-3),"")</f>
        <v>87.4806329113924</v>
      </c>
      <c r="AK46" s="156" t="n">
        <f aca="false">IFERROR('Price History'!Q3+(INDEX('Price History'!Q:Q,MATCH(9.99E+307,'Returns (Calc)'!$A:$A)+1)-'Price History'!Q3)*(ROW()-3)/(MATCH(9.99E+307,'Returns (Calc)'!$A:$A)-3),"")</f>
        <v>18.8927848101266</v>
      </c>
      <c r="AL46" s="156" t="n">
        <f aca="false">IFERROR('Price History'!R3+(INDEX('Price History'!R:R,MATCH(9.99E+307,'Returns (Calc)'!$A:$A)+1)-'Price History'!R3)*(ROW()-3)/(MATCH(9.99E+307,'Returns (Calc)'!$A:$A)-3),"")</f>
        <v>41.7083544303797</v>
      </c>
      <c r="AM46" s="156" t="n">
        <f aca="false">IFERROR('Price History'!S3+(INDEX('Price History'!S:S,MATCH(9.99E+307,'Returns (Calc)'!$A:$A)+1)-'Price History'!S3)*(ROW()-3)/(MATCH(9.99E+307,'Returns (Calc)'!$A:$A)-3),"")</f>
        <v>83.6477215189873</v>
      </c>
      <c r="AN46" s="156" t="n">
        <f aca="false">IFERROR('Price History'!T3+(INDEX('Price History'!T:T,MATCH(9.99E+307,'Returns (Calc)'!$A:$A)+1)-'Price History'!T3)*(ROW()-3)/(MATCH(9.99E+307,'Returns (Calc)'!$A:$A)-3),"")</f>
        <v>32.4737974683544</v>
      </c>
      <c r="AO46" s="157" t="n">
        <f aca="false">IFERROR('Price History'!V3+(INDEX('Price History'!V:V,MATCH(9.99E+307,'Returns (Calc)'!$A:$A)+1)-'Price History'!V3)*(ROW()-3)/(MATCH(9.99E+307,'Returns (Calc)'!$A:$A)-3),"")</f>
        <v>269.657151898734</v>
      </c>
      <c r="AP46" s="155" t="n">
        <f aca="false">IFERROR(IF(OR(NOT(ISNUMBER('Price History'!W47)),NOT(ISNUMBER('Price History'!W46)),'Price History'!W46=0),"",'Price History'!W47/'Price History'!W46-1),"")</f>
        <v>0.00784860905206242</v>
      </c>
      <c r="AQ46" s="155" t="str">
        <f aca="false">IFERROR(IF(OR(NOT(ISNUMBER('Price History'!X47)),NOT(ISNUMBER('Price History'!X46)),'Price History'!X46=0),"",'Price History'!X47/'Price History'!X46-1),"")</f>
        <v/>
      </c>
      <c r="AR46" s="155" t="n">
        <f aca="false">IFERROR(IF(OR(NOT(ISNUMBER('Price History'!Y47)),NOT(ISNUMBER('Price History'!Y46)),'Price History'!Y46=0),"",'Price History'!Y47/'Price History'!Y46-1),"")</f>
        <v>-0.00231676495366473</v>
      </c>
      <c r="AS46" s="155" t="n">
        <f aca="false">IFERROR(IF(OR(NOT(ISNUMBER('Price History'!Z47)),NOT(ISNUMBER('Price History'!Z46)),'Price History'!Z46=0),"",'Price History'!Z47/'Price History'!Z46-1),"")</f>
        <v>0.000763407341433986</v>
      </c>
      <c r="AT46" s="155" t="n">
        <f aca="false">IFERROR(IF(OR(NOT(ISNUMBER('Price History'!AA47)),NOT(ISNUMBER('Price History'!AA46)),'Price History'!AA46=0),"",'Price History'!AA47/'Price History'!AA46-1),"")</f>
        <v>-0.0220815318097592</v>
      </c>
      <c r="AU46" s="155" t="n">
        <f aca="false">IFERROR(IF(OR(NOT(ISNUMBER('Price History'!AB47)),NOT(ISNUMBER('Price History'!AB46)),'Price History'!AB46=0),"",'Price History'!AB47/'Price History'!AB46-1),"")</f>
        <v>-0.024851000425713</v>
      </c>
    </row>
    <row r="47" customFormat="false" ht="15" hidden="false" customHeight="true" outlineLevel="0" collapsed="false">
      <c r="A47" s="153" t="n">
        <f aca="false">IF('Price History'!A48="","",'Price History'!A48)</f>
        <v>45499</v>
      </c>
      <c r="B47" s="154" t="n">
        <f aca="false">IFERROR(IF(OR(NOT(ISNUMBER('Price History'!B48)),NOT(ISNUMBER('Price History'!B47)),'Price History'!B47=0),"",'Price History'!B48/'Price History'!B47-1),"")</f>
        <v>-0.0155353901996369</v>
      </c>
      <c r="C47" s="154" t="n">
        <f aca="false">IFERROR(IF(OR(NOT(ISNUMBER('Price History'!C48)),NOT(ISNUMBER('Price History'!C47)),'Price History'!C47=0),"",'Price History'!C48/'Price History'!C47-1),"")</f>
        <v>-0.0343659244917716</v>
      </c>
      <c r="D47" s="154" t="n">
        <f aca="false">IFERROR(IF(OR(NOT(ISNUMBER('Price History'!D48)),NOT(ISNUMBER('Price History'!D47)),'Price History'!D47=0),"",'Price History'!D48/'Price History'!D47-1),"")</f>
        <v>-0.00779312384809672</v>
      </c>
      <c r="E47" s="154" t="n">
        <f aca="false">IFERROR(IF(OR(NOT(ISNUMBER('Price History'!E48)),NOT(ISNUMBER('Price History'!E47)),'Price History'!E47=0),"",'Price History'!E48/'Price History'!E47-1),"")</f>
        <v>-0.0363258951738453</v>
      </c>
      <c r="F47" s="154" t="n">
        <f aca="false">IFERROR(IF(OR(NOT(ISNUMBER('Price History'!F48)),NOT(ISNUMBER('Price History'!F47)),'Price History'!F47=0),"",'Price History'!F48/'Price History'!F47-1),"")</f>
        <v>-0.160020986358867</v>
      </c>
      <c r="G47" s="154" t="n">
        <f aca="false">IFERROR(IF(OR(NOT(ISNUMBER('Price History'!G48)),NOT(ISNUMBER('Price History'!G47)),'Price History'!G47=0),"",'Price History'!G48/'Price History'!G47-1),"")</f>
        <v>0.0326753801013604</v>
      </c>
      <c r="H47" s="154" t="n">
        <f aca="false">IFERROR(IF(OR(NOT(ISNUMBER('Price History'!H48)),NOT(ISNUMBER('Price History'!H47)),'Price History'!H47=0),"",'Price History'!H48/'Price History'!H47-1),"")</f>
        <v>-0.0424482606781154</v>
      </c>
      <c r="I47" s="154" t="n">
        <f aca="false">IFERROR(IF(OR(NOT(ISNUMBER('Price History'!I48)),NOT(ISNUMBER('Price History'!I47)),'Price History'!I47=0),"",'Price History'!I48/'Price History'!I47-1),"")</f>
        <v>-0.0412414965986394</v>
      </c>
      <c r="J47" s="154" t="n">
        <f aca="false">IFERROR(IF(OR(NOT(ISNUMBER('Price History'!J48)),NOT(ISNUMBER('Price History'!J47)),'Price History'!J47=0),"",'Price History'!J48/'Price History'!J47-1),"")</f>
        <v>-0.00870322019147085</v>
      </c>
      <c r="K47" s="154" t="n">
        <f aca="false">IFERROR(IF(OR(NOT(ISNUMBER('Price History'!K48)),NOT(ISNUMBER('Price History'!K47)),'Price History'!K47=0),"",'Price History'!K48/'Price History'!K47-1),"")</f>
        <v>-0.0489853044086773</v>
      </c>
      <c r="L47" s="154" t="n">
        <f aca="false">IFERROR(IF(OR(NOT(ISNUMBER('Price History'!L48)),NOT(ISNUMBER('Price History'!L47)),'Price History'!L47=0),"",'Price History'!L48/'Price History'!L47-1),"")</f>
        <v>-0.0230797865740167</v>
      </c>
      <c r="M47" s="154" t="n">
        <f aca="false">IFERROR(IF(OR(NOT(ISNUMBER('Price History'!M48)),NOT(ISNUMBER('Price History'!M47)),'Price History'!M47=0),"",'Price History'!M48/'Price History'!M47-1),"")</f>
        <v>-0.0960272684532205</v>
      </c>
      <c r="N47" s="154" t="n">
        <f aca="false">IFERROR(IF(OR(NOT(ISNUMBER('Price History'!N48)),NOT(ISNUMBER('Price History'!N47)),'Price History'!N47=0),"",'Price History'!N48/'Price History'!N47-1),"")</f>
        <v>0.0075065606119169</v>
      </c>
      <c r="O47" s="154" t="n">
        <f aca="false">IFERROR(IF(OR(NOT(ISNUMBER('Price History'!O48)),NOT(ISNUMBER('Price History'!O47)),'Price History'!O47=0),"",'Price History'!O48/'Price History'!O47-1),"")</f>
        <v>0.0362671863159034</v>
      </c>
      <c r="P47" s="154" t="n">
        <f aca="false">IFERROR(IF(OR(NOT(ISNUMBER('Price History'!P48)),NOT(ISNUMBER('Price History'!P47)),'Price History'!P47=0),"",'Price History'!P48/'Price History'!P47-1),"")</f>
        <v>0.0211490709821047</v>
      </c>
      <c r="Q47" s="154" t="n">
        <f aca="false">IFERROR(IF(OR(NOT(ISNUMBER('Price History'!Q48)),NOT(ISNUMBER('Price History'!Q47)),'Price History'!Q47=0),"",'Price History'!Q48/'Price History'!Q47-1),"")</f>
        <v>-0.00414293112377007</v>
      </c>
      <c r="R47" s="154" t="n">
        <f aca="false">IFERROR(IF(OR(NOT(ISNUMBER('Price History'!R48)),NOT(ISNUMBER('Price History'!R47)),'Price History'!R47=0),"",'Price History'!R48/'Price History'!R47-1),"")</f>
        <v>-0.0226190476190477</v>
      </c>
      <c r="S47" s="154" t="n">
        <f aca="false">IFERROR(IF(OR(NOT(ISNUMBER('Price History'!S48)),NOT(ISNUMBER('Price History'!S47)),'Price History'!S47=0),"",'Price History'!S48/'Price History'!S47-1),"")</f>
        <v>-0.0188412623645785</v>
      </c>
      <c r="T47" s="154" t="n">
        <f aca="false">IFERROR(IF(OR(NOT(ISNUMBER('Price History'!T48)),NOT(ISNUMBER('Price History'!T47)),'Price History'!T47=0),"",'Price History'!T48/'Price History'!T47-1),"")</f>
        <v>0.0180645161290323</v>
      </c>
      <c r="U47" s="154" t="n">
        <f aca="false">IFERROR(IF(OR(NOT(ISNUMBER('Price History'!U48)),NOT(ISNUMBER('Price History'!U47)),'Price History'!U47=0),"",'Price History'!U48/'Price History'!U47-1),"")</f>
        <v>0.0168471720818293</v>
      </c>
      <c r="V47" s="155" t="n">
        <f aca="false">IFERROR(IF(OR(NOT(ISNUMBER('Price History'!V48)),NOT(ISNUMBER('Price History'!V47)),'Price History'!V47=0),"",'Price History'!V48/'Price History'!V47-1),"")</f>
        <v>-0.0226062301237595</v>
      </c>
      <c r="W47" s="156" t="n">
        <f aca="false">IFERROR('Price History'!B3+(INDEX('Price History'!B:B,MATCH(9.99E+307,'Returns (Calc)'!$A:$A)+1)-'Price History'!B3)*(ROW()-3)/(MATCH(9.99E+307,'Returns (Calc)'!$A:$A)-3),"")</f>
        <v>447.796329113924</v>
      </c>
      <c r="X47" s="156" t="n">
        <f aca="false">IFERROR('Price History'!C3+(INDEX('Price History'!C:C,MATCH(9.99E+307,'Returns (Calc)'!$A:$A)+1)-'Price History'!C3)*(ROW()-3)/(MATCH(9.99E+307,'Returns (Calc)'!$A:$A)-3),"")</f>
        <v>91.0627848101266</v>
      </c>
      <c r="Y47" s="156" t="n">
        <f aca="false">IFERROR('Price History'!D3+(INDEX('Price History'!D:D,MATCH(9.99E+307,'Returns (Calc)'!$A:$A)+1)-'Price History'!D3)*(ROW()-3)/(MATCH(9.99E+307,'Returns (Calc)'!$A:$A)-3),"")</f>
        <v>939.94164556962</v>
      </c>
      <c r="Z47" s="156" t="n">
        <f aca="false">IFERROR('Price History'!E3+(INDEX('Price History'!E:E,MATCH(9.99E+307,'Returns (Calc)'!$A:$A)+1)-'Price History'!E3)*(ROW()-3)/(MATCH(9.99E+307,'Returns (Calc)'!$A:$A)-3),"")</f>
        <v>158.064303797468</v>
      </c>
      <c r="AA47" s="156" t="n">
        <f aca="false">IFERROR('Price History'!F3+(INDEX('Price History'!F:F,MATCH(9.99E+307,'Returns (Calc)'!$A:$A)+1)-'Price History'!F3)*(ROW()-3)/(MATCH(9.99E+307,'Returns (Calc)'!$A:$A)-3),"")</f>
        <v>105.043037974684</v>
      </c>
      <c r="AB47" s="156" t="n">
        <f aca="false">IFERROR('Price History'!G3+(INDEX('Price History'!G:G,MATCH(9.99E+307,'Returns (Calc)'!$A:$A)+1)-'Price History'!G3)*(ROW()-3)/(MATCH(9.99E+307,'Returns (Calc)'!$A:$A)-3),"")</f>
        <v>89.6143037974684</v>
      </c>
      <c r="AC47" s="156" t="n">
        <f aca="false">IFERROR('Price History'!H3+(INDEX('Price History'!H:H,MATCH(9.99E+307,'Returns (Calc)'!$A:$A)+1)-'Price History'!H3)*(ROW()-3)/(MATCH(9.99E+307,'Returns (Calc)'!$A:$A)-3),"")</f>
        <v>349.200632911392</v>
      </c>
      <c r="AD47" s="156" t="n">
        <f aca="false">IFERROR('Price History'!I3+(INDEX('Price History'!I:I,MATCH(9.99E+307,'Returns (Calc)'!$A:$A)+1)-'Price History'!I3)*(ROW()-3)/(MATCH(9.99E+307,'Returns (Calc)'!$A:$A)-3),"")</f>
        <v>96.7315189873418</v>
      </c>
      <c r="AE47" s="156" t="n">
        <f aca="false">IFERROR('Price History'!J3+(INDEX('Price History'!J:J,MATCH(9.99E+307,'Returns (Calc)'!$A:$A)+1)-'Price History'!J3)*(ROW()-3)/(MATCH(9.99E+307,'Returns (Calc)'!$A:$A)-3),"")</f>
        <v>116.593670886076</v>
      </c>
      <c r="AF47" s="156" t="n">
        <f aca="false">IFERROR('Price History'!K3+(INDEX('Price History'!K:K,MATCH(9.99E+307,'Returns (Calc)'!$A:$A)+1)-'Price History'!K3)*(ROW()-3)/(MATCH(9.99E+307,'Returns (Calc)'!$A:$A)-3),"")</f>
        <v>63.6241772151899</v>
      </c>
      <c r="AG47" s="156" t="n">
        <f aca="false">IFERROR('Price History'!L3+(INDEX('Price History'!L:L,MATCH(9.99E+307,'Returns (Calc)'!$A:$A)+1)-'Price History'!L3)*(ROW()-3)/(MATCH(9.99E+307,'Returns (Calc)'!$A:$A)-3),"")</f>
        <v>193.530506329114</v>
      </c>
      <c r="AH47" s="156" t="n">
        <f aca="false">IFERROR('Price History'!M3+(INDEX('Price History'!M:M,MATCH(9.99E+307,'Returns (Calc)'!$A:$A)+1)-'Price History'!M3)*(ROW()-3)/(MATCH(9.99E+307,'Returns (Calc)'!$A:$A)-3),"")</f>
        <v>97.6594936708861</v>
      </c>
      <c r="AI47" s="156" t="n">
        <f aca="false">IFERROR('Price History'!N3+(INDEX('Price History'!N:N,MATCH(9.99E+307,'Returns (Calc)'!$A:$A)+1)-'Price History'!N3)*(ROW()-3)/(MATCH(9.99E+307,'Returns (Calc)'!$A:$A)-3),"")</f>
        <v>392.295696202532</v>
      </c>
      <c r="AJ47" s="156" t="n">
        <f aca="false">IFERROR('Price History'!O3+(INDEX('Price History'!O:O,MATCH(9.99E+307,'Returns (Calc)'!$A:$A)+1)-'Price History'!O3)*(ROW()-3)/(MATCH(9.99E+307,'Returns (Calc)'!$A:$A)-3),"")</f>
        <v>87.7636708860759</v>
      </c>
      <c r="AK47" s="156" t="n">
        <f aca="false">IFERROR('Price History'!Q3+(INDEX('Price History'!Q:Q,MATCH(9.99E+307,'Returns (Calc)'!$A:$A)+1)-'Price History'!Q3)*(ROW()-3)/(MATCH(9.99E+307,'Returns (Calc)'!$A:$A)-3),"")</f>
        <v>19.3321518987342</v>
      </c>
      <c r="AL47" s="156" t="n">
        <f aca="false">IFERROR('Price History'!R3+(INDEX('Price History'!R:R,MATCH(9.99E+307,'Returns (Calc)'!$A:$A)+1)-'Price History'!R3)*(ROW()-3)/(MATCH(9.99E+307,'Returns (Calc)'!$A:$A)-3),"")</f>
        <v>41.8764556962025</v>
      </c>
      <c r="AM47" s="156" t="n">
        <f aca="false">IFERROR('Price History'!S3+(INDEX('Price History'!S:S,MATCH(9.99E+307,'Returns (Calc)'!$A:$A)+1)-'Price History'!S3)*(ROW()-3)/(MATCH(9.99E+307,'Returns (Calc)'!$A:$A)-3),"")</f>
        <v>84.2527848101266</v>
      </c>
      <c r="AN47" s="156" t="n">
        <f aca="false">IFERROR('Price History'!T3+(INDEX('Price History'!T:T,MATCH(9.99E+307,'Returns (Calc)'!$A:$A)+1)-'Price History'!T3)*(ROW()-3)/(MATCH(9.99E+307,'Returns (Calc)'!$A:$A)-3),"")</f>
        <v>32.6420253164557</v>
      </c>
      <c r="AO47" s="157" t="n">
        <f aca="false">IFERROR('Price History'!V3+(INDEX('Price History'!V:V,MATCH(9.99E+307,'Returns (Calc)'!$A:$A)+1)-'Price History'!V3)*(ROW()-3)/(MATCH(9.99E+307,'Returns (Calc)'!$A:$A)-3),"")</f>
        <v>270.448481012658</v>
      </c>
      <c r="AP47" s="155" t="n">
        <f aca="false">IFERROR(IF(OR(NOT(ISNUMBER('Price History'!W48)),NOT(ISNUMBER('Price History'!W47)),'Price History'!W47=0),"",'Price History'!W48/'Price History'!W47-1),"")</f>
        <v>0.00891234749502456</v>
      </c>
      <c r="AQ47" s="155" t="str">
        <f aca="false">IFERROR(IF(OR(NOT(ISNUMBER('Price History'!X48)),NOT(ISNUMBER('Price History'!X47)),'Price History'!X47=0),"",'Price History'!X48/'Price History'!X47-1),"")</f>
        <v/>
      </c>
      <c r="AR47" s="155" t="n">
        <f aca="false">IFERROR(IF(OR(NOT(ISNUMBER('Price History'!Y48)),NOT(ISNUMBER('Price History'!Y47)),'Price History'!Y47=0),"",'Price History'!Y48/'Price History'!Y47-1),"")</f>
        <v>0.00337766518893812</v>
      </c>
      <c r="AS47" s="155" t="n">
        <f aca="false">IFERROR(IF(OR(NOT(ISNUMBER('Price History'!Z48)),NOT(ISNUMBER('Price History'!Z47)),'Price History'!Z47=0),"",'Price History'!Z48/'Price History'!Z47-1),"")</f>
        <v>0.0671285995804463</v>
      </c>
      <c r="AT47" s="155" t="n">
        <f aca="false">IFERROR(IF(OR(NOT(ISNUMBER('Price History'!AA48)),NOT(ISNUMBER('Price History'!AA47)),'Price History'!AA47=0),"",'Price History'!AA48/'Price History'!AA47-1),"")</f>
        <v>-0.00300015790304753</v>
      </c>
      <c r="AU47" s="155" t="n">
        <f aca="false">IFERROR(IF(OR(NOT(ISNUMBER('Price History'!AB48)),NOT(ISNUMBER('Price History'!AB47)),'Price History'!AB47=0),"",'Price History'!AB48/'Price History'!AB47-1),"")</f>
        <v>0.0500954979536152</v>
      </c>
    </row>
    <row r="48" customFormat="false" ht="15" hidden="false" customHeight="true" outlineLevel="0" collapsed="false">
      <c r="A48" s="153" t="n">
        <f aca="false">IF('Price History'!A49="","",'Price History'!A49)</f>
        <v>45506</v>
      </c>
      <c r="B48" s="154" t="n">
        <f aca="false">IFERROR(IF(OR(NOT(ISNUMBER('Price History'!B49)),NOT(ISNUMBER('Price History'!B48)),'Price History'!B48=0),"",'Price History'!B49/'Price History'!B48-1),"")</f>
        <v>-0.0299941007300348</v>
      </c>
      <c r="C48" s="154" t="n">
        <f aca="false">IFERROR(IF(OR(NOT(ISNUMBER('Price History'!C49)),NOT(ISNUMBER('Price History'!C48)),'Price History'!C48=0),"",'Price History'!C49/'Price History'!C48-1),"")</f>
        <v>0.000375939849624141</v>
      </c>
      <c r="D48" s="154" t="n">
        <f aca="false">IFERROR(IF(OR(NOT(ISNUMBER('Price History'!D49)),NOT(ISNUMBER('Price History'!D48)),'Price History'!D48=0),"",'Price History'!D49/'Price History'!D48-1),"")</f>
        <v>-0.0872805659706695</v>
      </c>
      <c r="E48" s="154" t="n">
        <f aca="false">IFERROR(IF(OR(NOT(ISNUMBER('Price History'!E49)),NOT(ISNUMBER('Price History'!E48)),'Price History'!E48=0),"",'Price History'!E49/'Price History'!E48-1),"")</f>
        <v>-0.0514943457189015</v>
      </c>
      <c r="F48" s="154" t="n">
        <f aca="false">IFERROR(IF(OR(NOT(ISNUMBER('Price History'!F49)),NOT(ISNUMBER('Price History'!F48)),'Price History'!F48=0),"",'Price History'!F49/'Price History'!F48-1),"")</f>
        <v>-0.149437851342911</v>
      </c>
      <c r="G48" s="154" t="n">
        <f aca="false">IFERROR(IF(OR(NOT(ISNUMBER('Price History'!G49)),NOT(ISNUMBER('Price History'!G48)),'Price History'!G48=0),"",'Price History'!G49/'Price History'!G48-1),"")</f>
        <v>-0.115846571096474</v>
      </c>
      <c r="H48" s="154" t="n">
        <f aca="false">IFERROR(IF(OR(NOT(ISNUMBER('Price History'!H49)),NOT(ISNUMBER('Price History'!H48)),'Price History'!H48=0),"",'Price History'!H49/'Price History'!H48-1),"")</f>
        <v>-0.152763726662375</v>
      </c>
      <c r="I48" s="154" t="n">
        <f aca="false">IFERROR(IF(OR(NOT(ISNUMBER('Price History'!I49)),NOT(ISNUMBER('Price History'!I48)),'Price History'!I48=0),"",'Price History'!I49/'Price History'!I48-1),"")</f>
        <v>-0.0512638580931264</v>
      </c>
      <c r="J48" s="154" t="n">
        <f aca="false">IFERROR(IF(OR(NOT(ISNUMBER('Price History'!J49)),NOT(ISNUMBER('Price History'!J48)),'Price History'!J48=0),"",'Price History'!J49/'Price History'!J48-1),"")</f>
        <v>0.0106233538191396</v>
      </c>
      <c r="K48" s="154" t="n">
        <f aca="false">IFERROR(IF(OR(NOT(ISNUMBER('Price History'!K49)),NOT(ISNUMBER('Price History'!K48)),'Price History'!K48=0),"",'Price History'!K49/'Price History'!K48-1),"")</f>
        <v>-0.0897718910963945</v>
      </c>
      <c r="L48" s="154" t="n">
        <f aca="false">IFERROR(IF(OR(NOT(ISNUMBER('Price History'!L49)),NOT(ISNUMBER('Price History'!L48)),'Price History'!L48=0),"",'Price History'!L49/'Price History'!L48-1),"")</f>
        <v>-0.0746221262542868</v>
      </c>
      <c r="M48" s="154" t="n">
        <f aca="false">IFERROR(IF(OR(NOT(ISNUMBER('Price History'!M49)),NOT(ISNUMBER('Price History'!M48)),'Price History'!M48=0),"",'Price History'!M49/'Price History'!M48-1),"")</f>
        <v>-0.099336887270836</v>
      </c>
      <c r="N48" s="154" t="n">
        <f aca="false">IFERROR(IF(OR(NOT(ISNUMBER('Price History'!N49)),NOT(ISNUMBER('Price History'!N48)),'Price History'!N48=0),"",'Price History'!N49/'Price History'!N48-1),"")</f>
        <v>-0.00161531316884067</v>
      </c>
      <c r="O48" s="154" t="n">
        <f aca="false">IFERROR(IF(OR(NOT(ISNUMBER('Price History'!O49)),NOT(ISNUMBER('Price History'!O48)),'Price History'!O48=0),"",'Price History'!O49/'Price History'!O48-1),"")</f>
        <v>-0.0714584203928124</v>
      </c>
      <c r="P48" s="154" t="n">
        <f aca="false">IFERROR(IF(OR(NOT(ISNUMBER('Price History'!P49)),NOT(ISNUMBER('Price History'!P48)),'Price History'!P48=0),"",'Price History'!P49/'Price History'!P48-1),"")</f>
        <v>-0.0144222706691263</v>
      </c>
      <c r="Q48" s="154" t="n">
        <f aca="false">IFERROR(IF(OR(NOT(ISNUMBER('Price History'!Q49)),NOT(ISNUMBER('Price History'!Q48)),'Price History'!Q48=0),"",'Price History'!Q49/'Price History'!Q48-1),"")</f>
        <v>-0.0107470965505286</v>
      </c>
      <c r="R48" s="154" t="n">
        <f aca="false">IFERROR(IF(OR(NOT(ISNUMBER('Price History'!R49)),NOT(ISNUMBER('Price History'!R48)),'Price History'!R48=0),"",'Price History'!R49/'Price History'!R48-1),"")</f>
        <v>-0.0265529841656516</v>
      </c>
      <c r="S48" s="154" t="n">
        <f aca="false">IFERROR(IF(OR(NOT(ISNUMBER('Price History'!S49)),NOT(ISNUMBER('Price History'!S48)),'Price History'!S48=0),"",'Price History'!S49/'Price History'!S48-1),"")</f>
        <v>-0.0297647623619778</v>
      </c>
      <c r="T48" s="154" t="n">
        <f aca="false">IFERROR(IF(OR(NOT(ISNUMBER('Price History'!T49)),NOT(ISNUMBER('Price History'!T48)),'Price History'!T48=0),"",'Price History'!T49/'Price History'!T48-1),"")</f>
        <v>-0.0288339670468948</v>
      </c>
      <c r="U48" s="154" t="n">
        <f aca="false">IFERROR(IF(OR(NOT(ISNUMBER('Price History'!U49)),NOT(ISNUMBER('Price History'!U48)),'Price History'!U48=0),"",'Price History'!U49/'Price History'!U48-1),"")</f>
        <v>-0.0201183431952663</v>
      </c>
      <c r="V48" s="155" t="n">
        <f aca="false">IFERROR(IF(OR(NOT(ISNUMBER('Price History'!V49)),NOT(ISNUMBER('Price History'!V48)),'Price History'!V48=0),"",'Price History'!V49/'Price History'!V48-1),"")</f>
        <v>0.0274804970794622</v>
      </c>
      <c r="W48" s="156" t="n">
        <f aca="false">IFERROR('Price History'!B3+(INDEX('Price History'!B:B,MATCH(9.99E+307,'Returns (Calc)'!$A:$A)+1)-'Price History'!B3)*(ROW()-3)/(MATCH(9.99E+307,'Returns (Calc)'!$A:$A)-3),"")</f>
        <v>445.953291139241</v>
      </c>
      <c r="X48" s="156" t="n">
        <f aca="false">IFERROR('Price History'!C3+(INDEX('Price History'!C:C,MATCH(9.99E+307,'Returns (Calc)'!$A:$A)+1)-'Price History'!C3)*(ROW()-3)/(MATCH(9.99E+307,'Returns (Calc)'!$A:$A)-3),"")</f>
        <v>92.0828481012658</v>
      </c>
      <c r="Y48" s="156" t="n">
        <f aca="false">IFERROR('Price History'!D3+(INDEX('Price History'!D:D,MATCH(9.99E+307,'Returns (Calc)'!$A:$A)+1)-'Price History'!D3)*(ROW()-3)/(MATCH(9.99E+307,'Returns (Calc)'!$A:$A)-3),"")</f>
        <v>948.076455696203</v>
      </c>
      <c r="Z48" s="156" t="n">
        <f aca="false">IFERROR('Price History'!E3+(INDEX('Price History'!E:E,MATCH(9.99E+307,'Returns (Calc)'!$A:$A)+1)-'Price History'!E3)*(ROW()-3)/(MATCH(9.99E+307,'Returns (Calc)'!$A:$A)-3),"")</f>
        <v>159.793037974684</v>
      </c>
      <c r="AA48" s="156" t="n">
        <f aca="false">IFERROR('Price History'!F3+(INDEX('Price History'!F:F,MATCH(9.99E+307,'Returns (Calc)'!$A:$A)+1)-'Price History'!F3)*(ROW()-3)/(MATCH(9.99E+307,'Returns (Calc)'!$A:$A)-3),"")</f>
        <v>106.490379746835</v>
      </c>
      <c r="AB48" s="156" t="n">
        <f aca="false">IFERROR('Price History'!G3+(INDEX('Price History'!G:G,MATCH(9.99E+307,'Returns (Calc)'!$A:$A)+1)-'Price History'!G3)*(ROW()-3)/(MATCH(9.99E+307,'Returns (Calc)'!$A:$A)-3),"")</f>
        <v>90.6430379746836</v>
      </c>
      <c r="AC48" s="156" t="n">
        <f aca="false">IFERROR('Price History'!H3+(INDEX('Price History'!H:H,MATCH(9.99E+307,'Returns (Calc)'!$A:$A)+1)-'Price History'!H3)*(ROW()-3)/(MATCH(9.99E+307,'Returns (Calc)'!$A:$A)-3),"")</f>
        <v>355.566329113924</v>
      </c>
      <c r="AD48" s="156" t="n">
        <f aca="false">IFERROR('Price History'!I3+(INDEX('Price History'!I:I,MATCH(9.99E+307,'Returns (Calc)'!$A:$A)+1)-'Price History'!I3)*(ROW()-3)/(MATCH(9.99E+307,'Returns (Calc)'!$A:$A)-3),"")</f>
        <v>97.9351898734177</v>
      </c>
      <c r="AE48" s="156" t="n">
        <f aca="false">IFERROR('Price History'!J3+(INDEX('Price History'!J:J,MATCH(9.99E+307,'Returns (Calc)'!$A:$A)+1)-'Price History'!J3)*(ROW()-3)/(MATCH(9.99E+307,'Returns (Calc)'!$A:$A)-3),"")</f>
        <v>116.70170886076</v>
      </c>
      <c r="AF48" s="156" t="n">
        <f aca="false">IFERROR('Price History'!K3+(INDEX('Price History'!K:K,MATCH(9.99E+307,'Returns (Calc)'!$A:$A)+1)-'Price History'!K3)*(ROW()-3)/(MATCH(9.99E+307,'Returns (Calc)'!$A:$A)-3),"")</f>
        <v>64.7217721518987</v>
      </c>
      <c r="AG48" s="156" t="n">
        <f aca="false">IFERROR('Price History'!L3+(INDEX('Price History'!L:L,MATCH(9.99E+307,'Returns (Calc)'!$A:$A)+1)-'Price History'!L3)*(ROW()-3)/(MATCH(9.99E+307,'Returns (Calc)'!$A:$A)-3),"")</f>
        <v>195.980063291139</v>
      </c>
      <c r="AH48" s="156" t="n">
        <f aca="false">IFERROR('Price History'!M3+(INDEX('Price History'!M:M,MATCH(9.99E+307,'Returns (Calc)'!$A:$A)+1)-'Price History'!M3)*(ROW()-3)/(MATCH(9.99E+307,'Returns (Calc)'!$A:$A)-3),"")</f>
        <v>99.0149367088608</v>
      </c>
      <c r="AI48" s="156" t="n">
        <f aca="false">IFERROR('Price History'!N3+(INDEX('Price History'!N:N,MATCH(9.99E+307,'Returns (Calc)'!$A:$A)+1)-'Price History'!N3)*(ROW()-3)/(MATCH(9.99E+307,'Returns (Calc)'!$A:$A)-3),"")</f>
        <v>393.281962025316</v>
      </c>
      <c r="AJ48" s="156" t="n">
        <f aca="false">IFERROR('Price History'!O3+(INDEX('Price History'!O:O,MATCH(9.99E+307,'Returns (Calc)'!$A:$A)+1)-'Price History'!O3)*(ROW()-3)/(MATCH(9.99E+307,'Returns (Calc)'!$A:$A)-3),"")</f>
        <v>88.0467088607595</v>
      </c>
      <c r="AK48" s="156" t="n">
        <f aca="false">IFERROR('Price History'!Q3+(INDEX('Price History'!Q:Q,MATCH(9.99E+307,'Returns (Calc)'!$A:$A)+1)-'Price History'!Q3)*(ROW()-3)/(MATCH(9.99E+307,'Returns (Calc)'!$A:$A)-3),"")</f>
        <v>19.7715189873418</v>
      </c>
      <c r="AL48" s="156" t="n">
        <f aca="false">IFERROR('Price History'!R3+(INDEX('Price History'!R:R,MATCH(9.99E+307,'Returns (Calc)'!$A:$A)+1)-'Price History'!R3)*(ROW()-3)/(MATCH(9.99E+307,'Returns (Calc)'!$A:$A)-3),"")</f>
        <v>42.0445569620253</v>
      </c>
      <c r="AM48" s="156" t="n">
        <f aca="false">IFERROR('Price History'!S3+(INDEX('Price History'!S:S,MATCH(9.99E+307,'Returns (Calc)'!$A:$A)+1)-'Price History'!S3)*(ROW()-3)/(MATCH(9.99E+307,'Returns (Calc)'!$A:$A)-3),"")</f>
        <v>84.8578481012658</v>
      </c>
      <c r="AN48" s="156" t="n">
        <f aca="false">IFERROR('Price History'!T3+(INDEX('Price History'!T:T,MATCH(9.99E+307,'Returns (Calc)'!$A:$A)+1)-'Price History'!T3)*(ROW()-3)/(MATCH(9.99E+307,'Returns (Calc)'!$A:$A)-3),"")</f>
        <v>32.810253164557</v>
      </c>
      <c r="AO48" s="157" t="n">
        <f aca="false">IFERROR('Price History'!V3+(INDEX('Price History'!V:V,MATCH(9.99E+307,'Returns (Calc)'!$A:$A)+1)-'Price History'!V3)*(ROW()-3)/(MATCH(9.99E+307,'Returns (Calc)'!$A:$A)-3),"")</f>
        <v>271.239810126582</v>
      </c>
      <c r="AP48" s="155" t="n">
        <f aca="false">IFERROR(IF(OR(NOT(ISNUMBER('Price History'!W49)),NOT(ISNUMBER('Price History'!W48)),'Price History'!W48=0),"",'Price History'!W49/'Price History'!W48-1),"")</f>
        <v>-0.0235849056603774</v>
      </c>
      <c r="AQ48" s="155" t="str">
        <f aca="false">IFERROR(IF(OR(NOT(ISNUMBER('Price History'!X49)),NOT(ISNUMBER('Price History'!X48)),'Price History'!X48=0),"",'Price History'!X49/'Price History'!X48-1),"")</f>
        <v/>
      </c>
      <c r="AR48" s="155" t="n">
        <f aca="false">IFERROR(IF(OR(NOT(ISNUMBER('Price History'!Y49)),NOT(ISNUMBER('Price History'!Y48)),'Price History'!Y48=0),"",'Price History'!Y49/'Price History'!Y48-1),"")</f>
        <v>-0.00547022932884489</v>
      </c>
      <c r="AS48" s="155" t="n">
        <f aca="false">IFERROR(IF(OR(NOT(ISNUMBER('Price History'!Z49)),NOT(ISNUMBER('Price History'!Z48)),'Price History'!Z48=0),"",'Price History'!Z49/'Price History'!Z48-1),"")</f>
        <v>-0.0561148507773873</v>
      </c>
      <c r="AT48" s="155" t="n">
        <f aca="false">IFERROR(IF(OR(NOT(ISNUMBER('Price History'!AA49)),NOT(ISNUMBER('Price History'!AA48)),'Price History'!AA48=0),"",'Price History'!AA49/'Price History'!AA48-1),"")</f>
        <v>-0.0281913208742477</v>
      </c>
      <c r="AU48" s="155" t="n">
        <f aca="false">IFERROR(IF(OR(NOT(ISNUMBER('Price History'!AB49)),NOT(ISNUMBER('Price History'!AB48)),'Price History'!AB48=0),"",'Price History'!AB49/'Price History'!AB48-1),"")</f>
        <v>-0.0378839058358885</v>
      </c>
    </row>
    <row r="49" customFormat="false" ht="15" hidden="false" customHeight="true" outlineLevel="0" collapsed="false">
      <c r="A49" s="153" t="n">
        <f aca="false">IF('Price History'!A50="","",'Price History'!A50)</f>
        <v>45513</v>
      </c>
      <c r="B49" s="154" t="n">
        <f aca="false">IFERROR(IF(OR(NOT(ISNUMBER('Price History'!B50)),NOT(ISNUMBER('Price History'!B49)),'Price History'!B49=0),"",'Price History'!B50/'Price History'!B49-1),"")</f>
        <v>0.0192523328962122</v>
      </c>
      <c r="C49" s="154" t="n">
        <f aca="false">IFERROR(IF(OR(NOT(ISNUMBER('Price History'!C50)),NOT(ISNUMBER('Price History'!C49)),'Price History'!C49=0),"",'Price History'!C50/'Price History'!C49-1),"")</f>
        <v>0.0516096705499187</v>
      </c>
      <c r="D49" s="154" t="n">
        <f aca="false">IFERROR(IF(OR(NOT(ISNUMBER('Price History'!D50)),NOT(ISNUMBER('Price History'!D49)),'Price History'!D49=0),"",'Price History'!D50/'Price History'!D49-1),"")</f>
        <v>0.0632529742088668</v>
      </c>
      <c r="E49" s="154" t="n">
        <f aca="false">IFERROR(IF(OR(NOT(ISNUMBER('Price History'!E50)),NOT(ISNUMBER('Price History'!E49)),'Price History'!E49=0),"",'Price History'!E50/'Price History'!E49-1),"")</f>
        <v>0.0308707685756866</v>
      </c>
      <c r="F49" s="154" t="n">
        <f aca="false">IFERROR(IF(OR(NOT(ISNUMBER('Price History'!F50)),NOT(ISNUMBER('Price History'!F49)),'Price History'!F49=0),"",'Price History'!F50/'Price History'!F49-1),"")</f>
        <v>0.105562695061502</v>
      </c>
      <c r="G49" s="154" t="n">
        <f aca="false">IFERROR(IF(OR(NOT(ISNUMBER('Price History'!G50)),NOT(ISNUMBER('Price History'!G49)),'Price History'!G49=0),"",'Price History'!G50/'Price History'!G49-1),"")</f>
        <v>0.072597137014315</v>
      </c>
      <c r="H49" s="154" t="n">
        <f aca="false">IFERROR(IF(OR(NOT(ISNUMBER('Price History'!H50)),NOT(ISNUMBER('Price History'!H49)),'Price History'!H49=0),"",'Price History'!H50/'Price History'!H49-1),"")</f>
        <v>0.00412505427702992</v>
      </c>
      <c r="I49" s="154" t="n">
        <f aca="false">IFERROR(IF(OR(NOT(ISNUMBER('Price History'!I50)),NOT(ISNUMBER('Price History'!I49)),'Price History'!I49=0),"",'Price History'!I50/'Price History'!I49-1),"")</f>
        <v>-0.0234645227633916</v>
      </c>
      <c r="J49" s="154" t="n">
        <f aca="false">IFERROR(IF(OR(NOT(ISNUMBER('Price History'!J50)),NOT(ISNUMBER('Price History'!J49)),'Price History'!J49=0),"",'Price History'!J50/'Price History'!J49-1),"")</f>
        <v>-0.0167665711058986</v>
      </c>
      <c r="K49" s="154" t="n">
        <f aca="false">IFERROR(IF(OR(NOT(ISNUMBER('Price History'!K50)),NOT(ISNUMBER('Price History'!K49)),'Price History'!K49=0),"",'Price History'!K50/'Price History'!K49-1),"")</f>
        <v>0.21301535974131</v>
      </c>
      <c r="L49" s="154" t="n">
        <f aca="false">IFERROR(IF(OR(NOT(ISNUMBER('Price History'!L50)),NOT(ISNUMBER('Price History'!L49)),'Price History'!L49=0),"",'Price History'!L50/'Price History'!L49-1),"")</f>
        <v>0.115160249811269</v>
      </c>
      <c r="M49" s="154" t="n">
        <f aca="false">IFERROR(IF(OR(NOT(ISNUMBER('Price History'!M50)),NOT(ISNUMBER('Price History'!M49)),'Price History'!M49=0),"",'Price History'!M50/'Price History'!M49-1),"")</f>
        <v>0.0288725277898081</v>
      </c>
      <c r="N49" s="154" t="n">
        <f aca="false">IFERROR(IF(OR(NOT(ISNUMBER('Price History'!N50)),NOT(ISNUMBER('Price History'!N49)),'Price History'!N49=0),"",'Price History'!N50/'Price History'!N49-1),"")</f>
        <v>-0.0526028394612305</v>
      </c>
      <c r="O49" s="154" t="n">
        <f aca="false">IFERROR(IF(OR(NOT(ISNUMBER('Price History'!O50)),NOT(ISNUMBER('Price History'!O49)),'Price History'!O49=0),"",'Price History'!O50/'Price History'!O49-1),"")</f>
        <v>-0.0176642664266425</v>
      </c>
      <c r="P49" s="154" t="n">
        <f aca="false">IFERROR(IF(OR(NOT(ISNUMBER('Price History'!P50)),NOT(ISNUMBER('Price History'!P49)),'Price History'!P49=0),"",'Price History'!P50/'Price History'!P49-1),"")</f>
        <v>-0.0101242130338609</v>
      </c>
      <c r="Q49" s="154" t="n">
        <f aca="false">IFERROR(IF(OR(NOT(ISNUMBER('Price History'!Q50)),NOT(ISNUMBER('Price History'!Q49)),'Price History'!Q49=0),"",'Price History'!Q50/'Price History'!Q49-1),"")</f>
        <v>0.000700893639390188</v>
      </c>
      <c r="R49" s="154" t="n">
        <f aca="false">IFERROR(IF(OR(NOT(ISNUMBER('Price History'!R50)),NOT(ISNUMBER('Price History'!R49)),'Price History'!R49=0),"",'Price History'!R50/'Price History'!R49-1),"")</f>
        <v>0.00275275275275266</v>
      </c>
      <c r="S49" s="154" t="n">
        <f aca="false">IFERROR(IF(OR(NOT(ISNUMBER('Price History'!S50)),NOT(ISNUMBER('Price History'!S49)),'Price History'!S49=0),"",'Price History'!S50/'Price History'!S49-1),"")</f>
        <v>0.0173181593270657</v>
      </c>
      <c r="T49" s="154" t="n">
        <f aca="false">IFERROR(IF(OR(NOT(ISNUMBER('Price History'!T50)),NOT(ISNUMBER('Price History'!T49)),'Price History'!T49=0),"",'Price History'!T50/'Price History'!T49-1),"")</f>
        <v>-0.000978792822185937</v>
      </c>
      <c r="U49" s="154" t="n">
        <f aca="false">IFERROR(IF(OR(NOT(ISNUMBER('Price History'!U50)),NOT(ISNUMBER('Price History'!U49)),'Price History'!U49=0),"",'Price History'!U50/'Price History'!U49-1),"")</f>
        <v>-0.00805152979066015</v>
      </c>
      <c r="V49" s="155" t="n">
        <f aca="false">IFERROR(IF(OR(NOT(ISNUMBER('Price History'!V50)),NOT(ISNUMBER('Price History'!V49)),'Price History'!V49=0),"",'Price History'!V50/'Price History'!V49-1),"")</f>
        <v>-0.0236550934757727</v>
      </c>
      <c r="W49" s="156" t="n">
        <f aca="false">IFERROR('Price History'!B3+(INDEX('Price History'!B:B,MATCH(9.99E+307,'Returns (Calc)'!$A:$A)+1)-'Price History'!B3)*(ROW()-3)/(MATCH(9.99E+307,'Returns (Calc)'!$A:$A)-3),"")</f>
        <v>444.110253164557</v>
      </c>
      <c r="X49" s="156" t="n">
        <f aca="false">IFERROR('Price History'!C3+(INDEX('Price History'!C:C,MATCH(9.99E+307,'Returns (Calc)'!$A:$A)+1)-'Price History'!C3)*(ROW()-3)/(MATCH(9.99E+307,'Returns (Calc)'!$A:$A)-3),"")</f>
        <v>93.1029113924051</v>
      </c>
      <c r="Y49" s="156" t="n">
        <f aca="false">IFERROR('Price History'!D3+(INDEX('Price History'!D:D,MATCH(9.99E+307,'Returns (Calc)'!$A:$A)+1)-'Price History'!D3)*(ROW()-3)/(MATCH(9.99E+307,'Returns (Calc)'!$A:$A)-3),"")</f>
        <v>956.211265822785</v>
      </c>
      <c r="Z49" s="156" t="n">
        <f aca="false">IFERROR('Price History'!E3+(INDEX('Price History'!E:E,MATCH(9.99E+307,'Returns (Calc)'!$A:$A)+1)-'Price History'!E3)*(ROW()-3)/(MATCH(9.99E+307,'Returns (Calc)'!$A:$A)-3),"")</f>
        <v>161.521772151899</v>
      </c>
      <c r="AA49" s="156" t="n">
        <f aca="false">IFERROR('Price History'!F3+(INDEX('Price History'!F:F,MATCH(9.99E+307,'Returns (Calc)'!$A:$A)+1)-'Price History'!F3)*(ROW()-3)/(MATCH(9.99E+307,'Returns (Calc)'!$A:$A)-3),"")</f>
        <v>107.937721518987</v>
      </c>
      <c r="AB49" s="156" t="n">
        <f aca="false">IFERROR('Price History'!G3+(INDEX('Price History'!G:G,MATCH(9.99E+307,'Returns (Calc)'!$A:$A)+1)-'Price History'!G3)*(ROW()-3)/(MATCH(9.99E+307,'Returns (Calc)'!$A:$A)-3),"")</f>
        <v>91.6717721518987</v>
      </c>
      <c r="AC49" s="156" t="n">
        <f aca="false">IFERROR('Price History'!H3+(INDEX('Price History'!H:H,MATCH(9.99E+307,'Returns (Calc)'!$A:$A)+1)-'Price History'!H3)*(ROW()-3)/(MATCH(9.99E+307,'Returns (Calc)'!$A:$A)-3),"")</f>
        <v>361.932025316456</v>
      </c>
      <c r="AD49" s="156" t="n">
        <f aca="false">IFERROR('Price History'!I3+(INDEX('Price History'!I:I,MATCH(9.99E+307,'Returns (Calc)'!$A:$A)+1)-'Price History'!I3)*(ROW()-3)/(MATCH(9.99E+307,'Returns (Calc)'!$A:$A)-3),"")</f>
        <v>99.1388607594937</v>
      </c>
      <c r="AE49" s="156" t="n">
        <f aca="false">IFERROR('Price History'!J3+(INDEX('Price History'!J:J,MATCH(9.99E+307,'Returns (Calc)'!$A:$A)+1)-'Price History'!J3)*(ROW()-3)/(MATCH(9.99E+307,'Returns (Calc)'!$A:$A)-3),"")</f>
        <v>116.809746835443</v>
      </c>
      <c r="AF49" s="156" t="n">
        <f aca="false">IFERROR('Price History'!K3+(INDEX('Price History'!K:K,MATCH(9.99E+307,'Returns (Calc)'!$A:$A)+1)-'Price History'!K3)*(ROW()-3)/(MATCH(9.99E+307,'Returns (Calc)'!$A:$A)-3),"")</f>
        <v>65.8193670886076</v>
      </c>
      <c r="AG49" s="156" t="n">
        <f aca="false">IFERROR('Price History'!L3+(INDEX('Price History'!L:L,MATCH(9.99E+307,'Returns (Calc)'!$A:$A)+1)-'Price History'!L3)*(ROW()-3)/(MATCH(9.99E+307,'Returns (Calc)'!$A:$A)-3),"")</f>
        <v>198.429620253165</v>
      </c>
      <c r="AH49" s="156" t="n">
        <f aca="false">IFERROR('Price History'!M3+(INDEX('Price History'!M:M,MATCH(9.99E+307,'Returns (Calc)'!$A:$A)+1)-'Price History'!M3)*(ROW()-3)/(MATCH(9.99E+307,'Returns (Calc)'!$A:$A)-3),"")</f>
        <v>100.370379746835</v>
      </c>
      <c r="AI49" s="156" t="n">
        <f aca="false">IFERROR('Price History'!N3+(INDEX('Price History'!N:N,MATCH(9.99E+307,'Returns (Calc)'!$A:$A)+1)-'Price History'!N3)*(ROW()-3)/(MATCH(9.99E+307,'Returns (Calc)'!$A:$A)-3),"")</f>
        <v>394.268227848101</v>
      </c>
      <c r="AJ49" s="156" t="n">
        <f aca="false">IFERROR('Price History'!O3+(INDEX('Price History'!O:O,MATCH(9.99E+307,'Returns (Calc)'!$A:$A)+1)-'Price History'!O3)*(ROW()-3)/(MATCH(9.99E+307,'Returns (Calc)'!$A:$A)-3),"")</f>
        <v>88.3297468354431</v>
      </c>
      <c r="AK49" s="156" t="n">
        <f aca="false">IFERROR('Price History'!Q3+(INDEX('Price History'!Q:Q,MATCH(9.99E+307,'Returns (Calc)'!$A:$A)+1)-'Price History'!Q3)*(ROW()-3)/(MATCH(9.99E+307,'Returns (Calc)'!$A:$A)-3),"")</f>
        <v>20.2108860759494</v>
      </c>
      <c r="AL49" s="156" t="n">
        <f aca="false">IFERROR('Price History'!R3+(INDEX('Price History'!R:R,MATCH(9.99E+307,'Returns (Calc)'!$A:$A)+1)-'Price History'!R3)*(ROW()-3)/(MATCH(9.99E+307,'Returns (Calc)'!$A:$A)-3),"")</f>
        <v>42.2126582278481</v>
      </c>
      <c r="AM49" s="156" t="n">
        <f aca="false">IFERROR('Price History'!S3+(INDEX('Price History'!S:S,MATCH(9.99E+307,'Returns (Calc)'!$A:$A)+1)-'Price History'!S3)*(ROW()-3)/(MATCH(9.99E+307,'Returns (Calc)'!$A:$A)-3),"")</f>
        <v>85.4629113924051</v>
      </c>
      <c r="AN49" s="156" t="n">
        <f aca="false">IFERROR('Price History'!T3+(INDEX('Price History'!T:T,MATCH(9.99E+307,'Returns (Calc)'!$A:$A)+1)-'Price History'!T3)*(ROW()-3)/(MATCH(9.99E+307,'Returns (Calc)'!$A:$A)-3),"")</f>
        <v>32.9784810126582</v>
      </c>
      <c r="AO49" s="157" t="n">
        <f aca="false">IFERROR('Price History'!V3+(INDEX('Price History'!V:V,MATCH(9.99E+307,'Returns (Calc)'!$A:$A)+1)-'Price History'!V3)*(ROW()-3)/(MATCH(9.99E+307,'Returns (Calc)'!$A:$A)-3),"")</f>
        <v>272.031139240506</v>
      </c>
      <c r="AP49" s="155" t="n">
        <f aca="false">IFERROR(IF(OR(NOT(ISNUMBER('Price History'!W50)),NOT(ISNUMBER('Price History'!W49)),'Price History'!W49=0),"",'Price History'!W50/'Price History'!W49-1),"")</f>
        <v>-0.00210803689064554</v>
      </c>
      <c r="AQ49" s="155" t="str">
        <f aca="false">IFERROR(IF(OR(NOT(ISNUMBER('Price History'!X50)),NOT(ISNUMBER('Price History'!X49)),'Price History'!X49=0),"",'Price History'!X50/'Price History'!X49-1),"")</f>
        <v/>
      </c>
      <c r="AR49" s="155" t="n">
        <f aca="false">IFERROR(IF(OR(NOT(ISNUMBER('Price History'!Y50)),NOT(ISNUMBER('Price History'!Y49)),'Price History'!Y49=0),"",'Price History'!Y50/'Price History'!Y49-1),"")</f>
        <v>0.000634651999153579</v>
      </c>
      <c r="AS49" s="155" t="n">
        <f aca="false">IFERROR(IF(OR(NOT(ISNUMBER('Price History'!Z50)),NOT(ISNUMBER('Price History'!Z49)),'Price History'!Z49=0),"",'Price History'!Z50/'Price History'!Z49-1),"")</f>
        <v>0.0427264121173872</v>
      </c>
      <c r="AT49" s="155" t="n">
        <f aca="false">IFERROR(IF(OR(NOT(ISNUMBER('Price History'!AA50)),NOT(ISNUMBER('Price History'!AA49)),'Price History'!AA49=0),"",'Price History'!AA50/'Price History'!AA49-1),"")</f>
        <v>0.0330834419817472</v>
      </c>
      <c r="AU49" s="155" t="n">
        <f aca="false">IFERROR(IF(OR(NOT(ISNUMBER('Price History'!AB50)),NOT(ISNUMBER('Price History'!AB49)),'Price History'!AB49=0),"",'Price History'!AB50/'Price History'!AB49-1),"")</f>
        <v>0.00923625364588965</v>
      </c>
    </row>
    <row r="50" customFormat="false" ht="15" hidden="false" customHeight="true" outlineLevel="0" collapsed="false">
      <c r="A50" s="153" t="n">
        <f aca="false">IF('Price History'!A51="","",'Price History'!A51)</f>
        <v>45520</v>
      </c>
      <c r="B50" s="154" t="n">
        <f aca="false">IFERROR(IF(OR(NOT(ISNUMBER('Price History'!B51)),NOT(ISNUMBER('Price History'!B50)),'Price History'!B50=0),"",'Price History'!B51/'Price History'!B50-1),"")</f>
        <v>0.0319970165951895</v>
      </c>
      <c r="C50" s="154" t="n">
        <f aca="false">IFERROR(IF(OR(NOT(ISNUMBER('Price History'!C51)),NOT(ISNUMBER('Price History'!C50)),'Price History'!C50=0),"",'Price History'!C51/'Price History'!C50-1),"")</f>
        <v>0.0538415723645027</v>
      </c>
      <c r="D50" s="154" t="n">
        <f aca="false">IFERROR(IF(OR(NOT(ISNUMBER('Price History'!D51)),NOT(ISNUMBER('Price History'!D50)),'Price History'!D50=0),"",'Price History'!D51/'Price History'!D50-1),"")</f>
        <v>0.0675362729807647</v>
      </c>
      <c r="E50" s="154" t="n">
        <f aca="false">IFERROR(IF(OR(NOT(ISNUMBER('Price History'!E51)),NOT(ISNUMBER('Price History'!E50)),'Price History'!E50=0),"",'Price History'!E51/'Price History'!E50-1),"")</f>
        <v>0.117788792509982</v>
      </c>
      <c r="F50" s="154" t="n">
        <f aca="false">IFERROR(IF(OR(NOT(ISNUMBER('Price History'!F51)),NOT(ISNUMBER('Price History'!F50)),'Price History'!F50=0),"",'Price History'!F51/'Price History'!F50-1),"")</f>
        <v>0.0900033211557623</v>
      </c>
      <c r="G50" s="154" t="n">
        <f aca="false">IFERROR(IF(OR(NOT(ISNUMBER('Price History'!G51)),NOT(ISNUMBER('Price History'!G50)),'Price History'!G50=0),"",'Price History'!G51/'Price History'!G50-1),"")</f>
        <v>0.0995505924009259</v>
      </c>
      <c r="H50" s="154" t="n">
        <f aca="false">IFERROR(IF(OR(NOT(ISNUMBER('Price History'!H51)),NOT(ISNUMBER('Price History'!H50)),'Price History'!H50=0),"",'Price History'!H51/'Price History'!H50-1),"")</f>
        <v>0.160216216216216</v>
      </c>
      <c r="I50" s="154" t="n">
        <f aca="false">IFERROR(IF(OR(NOT(ISNUMBER('Price History'!I51)),NOT(ISNUMBER('Price History'!I50)),'Price History'!I50=0),"",'Price History'!I51/'Price History'!I50-1),"")</f>
        <v>0.189354776948114</v>
      </c>
      <c r="J50" s="154" t="n">
        <f aca="false">IFERROR(IF(OR(NOT(ISNUMBER('Price History'!J51)),NOT(ISNUMBER('Price History'!J50)),'Price History'!J50=0),"",'Price History'!J51/'Price History'!J50-1),"")</f>
        <v>0.00777522530482422</v>
      </c>
      <c r="K50" s="154" t="n">
        <f aca="false">IFERROR(IF(OR(NOT(ISNUMBER('Price History'!K51)),NOT(ISNUMBER('Price History'!K50)),'Price History'!K50=0),"",'Price History'!K51/'Price History'!K50-1),"")</f>
        <v>0.0689770076641119</v>
      </c>
      <c r="L50" s="154" t="n">
        <f aca="false">IFERROR(IF(OR(NOT(ISNUMBER('Price History'!L51)),NOT(ISNUMBER('Price History'!L50)),'Price History'!L50=0),"",'Price History'!L51/'Price History'!L50-1),"")</f>
        <v>0.0444335036002215</v>
      </c>
      <c r="M50" s="154" t="n">
        <f aca="false">IFERROR(IF(OR(NOT(ISNUMBER('Price History'!M51)),NOT(ISNUMBER('Price History'!M50)),'Price History'!M50=0),"",'Price History'!M51/'Price History'!M50-1),"")</f>
        <v>0.111407324259857</v>
      </c>
      <c r="N50" s="154" t="n">
        <f aca="false">IFERROR(IF(OR(NOT(ISNUMBER('Price History'!N51)),NOT(ISNUMBER('Price History'!N50)),'Price History'!N50=0),"",'Price History'!N51/'Price History'!N50-1),"")</f>
        <v>0.0190415199060732</v>
      </c>
      <c r="O50" s="154" t="n">
        <f aca="false">IFERROR(IF(OR(NOT(ISNUMBER('Price History'!O51)),NOT(ISNUMBER('Price History'!O50)),'Price History'!O50=0),"",'Price History'!O51/'Price History'!O50-1),"")</f>
        <v>0.0286336043981217</v>
      </c>
      <c r="P50" s="154" t="n">
        <f aca="false">IFERROR(IF(OR(NOT(ISNUMBER('Price History'!P51)),NOT(ISNUMBER('Price History'!P50)),'Price History'!P50=0),"",'Price History'!P51/'Price History'!P50-1),"")</f>
        <v>0.0256123764503653</v>
      </c>
      <c r="Q50" s="154" t="n">
        <f aca="false">IFERROR(IF(OR(NOT(ISNUMBER('Price History'!Q51)),NOT(ISNUMBER('Price History'!Q50)),'Price History'!Q50=0),"",'Price History'!Q51/'Price History'!Q50-1),"")</f>
        <v>0.0260900017510068</v>
      </c>
      <c r="R50" s="154" t="n">
        <f aca="false">IFERROR(IF(OR(NOT(ISNUMBER('Price History'!R51)),NOT(ISNUMBER('Price History'!R50)),'Price History'!R50=0),"",'Price History'!R51/'Price History'!R50-1),"")</f>
        <v>0.0421761916645869</v>
      </c>
      <c r="S50" s="154" t="n">
        <f aca="false">IFERROR(IF(OR(NOT(ISNUMBER('Price History'!S51)),NOT(ISNUMBER('Price History'!S50)),'Price History'!S50=0),"",'Price History'!S51/'Price History'!S50-1),"")</f>
        <v>0.0570282101167317</v>
      </c>
      <c r="T50" s="154" t="n">
        <f aca="false">IFERROR(IF(OR(NOT(ISNUMBER('Price History'!T51)),NOT(ISNUMBER('Price History'!T50)),'Price History'!T50=0),"",'Price History'!T51/'Price History'!T50-1),"")</f>
        <v>0.0163291966035271</v>
      </c>
      <c r="U50" s="154" t="n">
        <f aca="false">IFERROR(IF(OR(NOT(ISNUMBER('Price History'!U51)),NOT(ISNUMBER('Price History'!U50)),'Price History'!U50=0),"",'Price History'!U51/'Price History'!U50-1),"")</f>
        <v>0.0227272727272727</v>
      </c>
      <c r="V50" s="155" t="n">
        <f aca="false">IFERROR(IF(OR(NOT(ISNUMBER('Price History'!V51)),NOT(ISNUMBER('Price History'!V50)),'Price History'!V50=0),"",'Price History'!V51/'Price History'!V50-1),"")</f>
        <v>0.0293474013286441</v>
      </c>
      <c r="W50" s="156" t="n">
        <f aca="false">IFERROR('Price History'!B3+(INDEX('Price History'!B:B,MATCH(9.99E+307,'Returns (Calc)'!$A:$A)+1)-'Price History'!B3)*(ROW()-3)/(MATCH(9.99E+307,'Returns (Calc)'!$A:$A)-3),"")</f>
        <v>442.267215189873</v>
      </c>
      <c r="X50" s="156" t="n">
        <f aca="false">IFERROR('Price History'!C3+(INDEX('Price History'!C:C,MATCH(9.99E+307,'Returns (Calc)'!$A:$A)+1)-'Price History'!C3)*(ROW()-3)/(MATCH(9.99E+307,'Returns (Calc)'!$A:$A)-3),"")</f>
        <v>94.1229746835443</v>
      </c>
      <c r="Y50" s="156" t="n">
        <f aca="false">IFERROR('Price History'!D3+(INDEX('Price History'!D:D,MATCH(9.99E+307,'Returns (Calc)'!$A:$A)+1)-'Price History'!D3)*(ROW()-3)/(MATCH(9.99E+307,'Returns (Calc)'!$A:$A)-3),"")</f>
        <v>964.346075949367</v>
      </c>
      <c r="Z50" s="156" t="n">
        <f aca="false">IFERROR('Price History'!E3+(INDEX('Price History'!E:E,MATCH(9.99E+307,'Returns (Calc)'!$A:$A)+1)-'Price History'!E3)*(ROW()-3)/(MATCH(9.99E+307,'Returns (Calc)'!$A:$A)-3),"")</f>
        <v>163.250506329114</v>
      </c>
      <c r="AA50" s="156" t="n">
        <f aca="false">IFERROR('Price History'!F3+(INDEX('Price History'!F:F,MATCH(9.99E+307,'Returns (Calc)'!$A:$A)+1)-'Price History'!F3)*(ROW()-3)/(MATCH(9.99E+307,'Returns (Calc)'!$A:$A)-3),"")</f>
        <v>109.385063291139</v>
      </c>
      <c r="AB50" s="156" t="n">
        <f aca="false">IFERROR('Price History'!G3+(INDEX('Price History'!G:G,MATCH(9.99E+307,'Returns (Calc)'!$A:$A)+1)-'Price History'!G3)*(ROW()-3)/(MATCH(9.99E+307,'Returns (Calc)'!$A:$A)-3),"")</f>
        <v>92.7005063291139</v>
      </c>
      <c r="AC50" s="156" t="n">
        <f aca="false">IFERROR('Price History'!H3+(INDEX('Price History'!H:H,MATCH(9.99E+307,'Returns (Calc)'!$A:$A)+1)-'Price History'!H3)*(ROW()-3)/(MATCH(9.99E+307,'Returns (Calc)'!$A:$A)-3),"")</f>
        <v>368.297721518987</v>
      </c>
      <c r="AD50" s="156" t="n">
        <f aca="false">IFERROR('Price History'!I3+(INDEX('Price History'!I:I,MATCH(9.99E+307,'Returns (Calc)'!$A:$A)+1)-'Price History'!I3)*(ROW()-3)/(MATCH(9.99E+307,'Returns (Calc)'!$A:$A)-3),"")</f>
        <v>100.34253164557</v>
      </c>
      <c r="AE50" s="156" t="n">
        <f aca="false">IFERROR('Price History'!J3+(INDEX('Price History'!J:J,MATCH(9.99E+307,'Returns (Calc)'!$A:$A)+1)-'Price History'!J3)*(ROW()-3)/(MATCH(9.99E+307,'Returns (Calc)'!$A:$A)-3),"")</f>
        <v>116.917784810127</v>
      </c>
      <c r="AF50" s="156" t="n">
        <f aca="false">IFERROR('Price History'!K3+(INDEX('Price History'!K:K,MATCH(9.99E+307,'Returns (Calc)'!$A:$A)+1)-'Price History'!K3)*(ROW()-3)/(MATCH(9.99E+307,'Returns (Calc)'!$A:$A)-3),"")</f>
        <v>66.9169620253165</v>
      </c>
      <c r="AG50" s="156" t="n">
        <f aca="false">IFERROR('Price History'!L3+(INDEX('Price History'!L:L,MATCH(9.99E+307,'Returns (Calc)'!$A:$A)+1)-'Price History'!L3)*(ROW()-3)/(MATCH(9.99E+307,'Returns (Calc)'!$A:$A)-3),"")</f>
        <v>200.87917721519</v>
      </c>
      <c r="AH50" s="156" t="n">
        <f aca="false">IFERROR('Price History'!M3+(INDEX('Price History'!M:M,MATCH(9.99E+307,'Returns (Calc)'!$A:$A)+1)-'Price History'!M3)*(ROW()-3)/(MATCH(9.99E+307,'Returns (Calc)'!$A:$A)-3),"")</f>
        <v>101.72582278481</v>
      </c>
      <c r="AI50" s="156" t="n">
        <f aca="false">IFERROR('Price History'!N3+(INDEX('Price History'!N:N,MATCH(9.99E+307,'Returns (Calc)'!$A:$A)+1)-'Price History'!N3)*(ROW()-3)/(MATCH(9.99E+307,'Returns (Calc)'!$A:$A)-3),"")</f>
        <v>395.254493670886</v>
      </c>
      <c r="AJ50" s="156" t="n">
        <f aca="false">IFERROR('Price History'!O3+(INDEX('Price History'!O:O,MATCH(9.99E+307,'Returns (Calc)'!$A:$A)+1)-'Price History'!O3)*(ROW()-3)/(MATCH(9.99E+307,'Returns (Calc)'!$A:$A)-3),"")</f>
        <v>88.6127848101266</v>
      </c>
      <c r="AK50" s="156" t="n">
        <f aca="false">IFERROR('Price History'!Q3+(INDEX('Price History'!Q:Q,MATCH(9.99E+307,'Returns (Calc)'!$A:$A)+1)-'Price History'!Q3)*(ROW()-3)/(MATCH(9.99E+307,'Returns (Calc)'!$A:$A)-3),"")</f>
        <v>20.650253164557</v>
      </c>
      <c r="AL50" s="156" t="n">
        <f aca="false">IFERROR('Price History'!R3+(INDEX('Price History'!R:R,MATCH(9.99E+307,'Returns (Calc)'!$A:$A)+1)-'Price History'!R3)*(ROW()-3)/(MATCH(9.99E+307,'Returns (Calc)'!$A:$A)-3),"")</f>
        <v>42.3807594936709</v>
      </c>
      <c r="AM50" s="156" t="n">
        <f aca="false">IFERROR('Price History'!S3+(INDEX('Price History'!S:S,MATCH(9.99E+307,'Returns (Calc)'!$A:$A)+1)-'Price History'!S3)*(ROW()-3)/(MATCH(9.99E+307,'Returns (Calc)'!$A:$A)-3),"")</f>
        <v>86.0679746835443</v>
      </c>
      <c r="AN50" s="156" t="n">
        <f aca="false">IFERROR('Price History'!T3+(INDEX('Price History'!T:T,MATCH(9.99E+307,'Returns (Calc)'!$A:$A)+1)-'Price History'!T3)*(ROW()-3)/(MATCH(9.99E+307,'Returns (Calc)'!$A:$A)-3),"")</f>
        <v>33.1467088607595</v>
      </c>
      <c r="AO50" s="157" t="n">
        <f aca="false">IFERROR('Price History'!V3+(INDEX('Price History'!V:V,MATCH(9.99E+307,'Returns (Calc)'!$A:$A)+1)-'Price History'!V3)*(ROW()-3)/(MATCH(9.99E+307,'Returns (Calc)'!$A:$A)-3),"")</f>
        <v>272.82246835443</v>
      </c>
      <c r="AP50" s="155" t="n">
        <f aca="false">IFERROR(IF(OR(NOT(ISNUMBER('Price History'!W51)),NOT(ISNUMBER('Price History'!W50)),'Price History'!W50=0),"",'Price History'!W51/'Price History'!W50-1),"")</f>
        <v>0.0279904937945603</v>
      </c>
      <c r="AQ50" s="155" t="str">
        <f aca="false">IFERROR(IF(OR(NOT(ISNUMBER('Price History'!X51)),NOT(ISNUMBER('Price History'!X50)),'Price History'!X50=0),"",'Price History'!X51/'Price History'!X50-1),"")</f>
        <v/>
      </c>
      <c r="AR50" s="155" t="n">
        <f aca="false">IFERROR(IF(OR(NOT(ISNUMBER('Price History'!Y51)),NOT(ISNUMBER('Price History'!Y50)),'Price History'!Y50=0),"",'Price History'!Y51/'Price History'!Y50-1),"")</f>
        <v>0.0213530655391121</v>
      </c>
      <c r="AS50" s="155" t="n">
        <f aca="false">IFERROR(IF(OR(NOT(ISNUMBER('Price History'!Z51)),NOT(ISNUMBER('Price History'!Z50)),'Price History'!Z50=0),"",'Price History'!Z51/'Price History'!Z50-1),"")</f>
        <v>0.0136787313884517</v>
      </c>
      <c r="AT50" s="155" t="n">
        <f aca="false">IFERROR(IF(OR(NOT(ISNUMBER('Price History'!AA51)),NOT(ISNUMBER('Price History'!AA50)),'Price History'!AA50=0),"",'Price History'!AA51/'Price History'!AA50-1),"")</f>
        <v>0.0634169427354472</v>
      </c>
      <c r="AU50" s="155" t="n">
        <f aca="false">IFERROR(IF(OR(NOT(ISNUMBER('Price History'!AB51)),NOT(ISNUMBER('Price History'!AB50)),'Price History'!AB50=0),"",'Price History'!AB51/'Price History'!AB50-1),"")</f>
        <v>0.0302381589510303</v>
      </c>
    </row>
    <row r="51" customFormat="false" ht="15" hidden="false" customHeight="true" outlineLevel="0" collapsed="false">
      <c r="A51" s="153" t="n">
        <f aca="false">IF('Price History'!A52="","",'Price History'!A52)</f>
        <v>45527</v>
      </c>
      <c r="B51" s="154" t="n">
        <f aca="false">IFERROR(IF(OR(NOT(ISNUMBER('Price History'!B52)),NOT(ISNUMBER('Price History'!B51)),'Price History'!B51=0),"",'Price History'!B52/'Price History'!B51-1),"")</f>
        <v>0.00874498608752194</v>
      </c>
      <c r="C51" s="154" t="n">
        <f aca="false">IFERROR(IF(OR(NOT(ISNUMBER('Price History'!C52)),NOT(ISNUMBER('Price History'!C51)),'Price History'!C51=0),"",'Price History'!C52/'Price History'!C51-1),"")</f>
        <v>0.00350401265965861</v>
      </c>
      <c r="D51" s="154" t="n">
        <f aca="false">IFERROR(IF(OR(NOT(ISNUMBER('Price History'!D52)),NOT(ISNUMBER('Price History'!D51)),'Price History'!D51=0),"",'Price History'!D52/'Price History'!D51-1),"")</f>
        <v>-0.0124180981051887</v>
      </c>
      <c r="E51" s="154" t="n">
        <f aca="false">IFERROR(IF(OR(NOT(ISNUMBER('Price History'!E52)),NOT(ISNUMBER('Price History'!E51)),'Price History'!E51=0),"",'Price History'!E52/'Price History'!E51-1),"")</f>
        <v>0.00381843936687809</v>
      </c>
      <c r="F51" s="154" t="n">
        <f aca="false">IFERROR(IF(OR(NOT(ISNUMBER('Price History'!F52)),NOT(ISNUMBER('Price History'!F51)),'Price History'!F51=0),"",'Price History'!F52/'Price History'!F51-1),"")</f>
        <v>0.0342778793418648</v>
      </c>
      <c r="G51" s="154" t="n">
        <f aca="false">IFERROR(IF(OR(NOT(ISNUMBER('Price History'!G52)),NOT(ISNUMBER('Price History'!G51)),'Price History'!G51=0),"",'Price History'!G52/'Price History'!G51-1),"")</f>
        <v>-0.00210552390388907</v>
      </c>
      <c r="H51" s="154" t="n">
        <f aca="false">IFERROR(IF(OR(NOT(ISNUMBER('Price History'!H52)),NOT(ISNUMBER('Price History'!H51)),'Price History'!H51=0),"",'Price History'!H52/'Price History'!H51-1),"")</f>
        <v>-0.0476146105106224</v>
      </c>
      <c r="I51" s="154" t="n">
        <f aca="false">IFERROR(IF(OR(NOT(ISNUMBER('Price History'!I52)),NOT(ISNUMBER('Price History'!I51)),'Price History'!I51=0),"",'Price History'!I52/'Price History'!I51-1),"")</f>
        <v>0.0383934320669672</v>
      </c>
      <c r="J51" s="154" t="n">
        <f aca="false">IFERROR(IF(OR(NOT(ISNUMBER('Price History'!J52)),NOT(ISNUMBER('Price History'!J51)),'Price History'!J51=0),"",'Price History'!J52/'Price History'!J51-1),"")</f>
        <v>0.0489216201998948</v>
      </c>
      <c r="K51" s="154" t="n">
        <f aca="false">IFERROR(IF(OR(NOT(ISNUMBER('Price History'!K52)),NOT(ISNUMBER('Price History'!K51)),'Price History'!K51=0),"",'Price History'!K52/'Price History'!K51-1),"")</f>
        <v>-0.00935162094763087</v>
      </c>
      <c r="L51" s="154" t="n">
        <f aca="false">IFERROR(IF(OR(NOT(ISNUMBER('Price History'!L52)),NOT(ISNUMBER('Price History'!L51)),'Price History'!L51=0),"",'Price History'!L52/'Price History'!L51-1),"")</f>
        <v>-0.0186789228684227</v>
      </c>
      <c r="M51" s="154" t="n">
        <f aca="false">IFERROR(IF(OR(NOT(ISNUMBER('Price History'!M52)),NOT(ISNUMBER('Price History'!M51)),'Price History'!M51=0),"",'Price History'!M52/'Price History'!M51-1),"")</f>
        <v>-0.0109834616841307</v>
      </c>
      <c r="N51" s="154" t="n">
        <f aca="false">IFERROR(IF(OR(NOT(ISNUMBER('Price History'!N52)),NOT(ISNUMBER('Price History'!N51)),'Price History'!N51=0),"",'Price History'!N52/'Price History'!N51-1),"")</f>
        <v>0.00810691916123751</v>
      </c>
      <c r="O51" s="154" t="n">
        <f aca="false">IFERROR(IF(OR(NOT(ISNUMBER('Price History'!O52)),NOT(ISNUMBER('Price History'!O51)),'Price History'!O51=0),"",'Price History'!O52/'Price History'!O51-1),"")</f>
        <v>0.0310655828972275</v>
      </c>
      <c r="P51" s="154" t="n">
        <f aca="false">IFERROR(IF(OR(NOT(ISNUMBER('Price History'!P52)),NOT(ISNUMBER('Price History'!P51)),'Price History'!P51=0),"",'Price History'!P52/'Price History'!P51-1),"")</f>
        <v>0.0207827034274701</v>
      </c>
      <c r="Q51" s="154" t="n">
        <f aca="false">IFERROR(IF(OR(NOT(ISNUMBER('Price History'!Q52)),NOT(ISNUMBER('Price History'!Q51)),'Price History'!Q51=0),"",'Price History'!Q52/'Price History'!Q51-1),"")</f>
        <v>0.00887372013651877</v>
      </c>
      <c r="R51" s="154" t="n">
        <f aca="false">IFERROR(IF(OR(NOT(ISNUMBER('Price History'!R52)),NOT(ISNUMBER('Price History'!R51)),'Price History'!R51=0),"",'Price History'!R52/'Price History'!R51-1),"")</f>
        <v>0.00838122605363978</v>
      </c>
      <c r="S51" s="154" t="n">
        <f aca="false">IFERROR(IF(OR(NOT(ISNUMBER('Price History'!S52)),NOT(ISNUMBER('Price History'!S51)),'Price History'!S51=0),"",'Price History'!S52/'Price History'!S51-1),"")</f>
        <v>0.0138042102841365</v>
      </c>
      <c r="T51" s="154" t="n">
        <f aca="false">IFERROR(IF(OR(NOT(ISNUMBER('Price History'!T52)),NOT(ISNUMBER('Price History'!T51)),'Price History'!T51=0),"",'Price History'!T52/'Price History'!T51-1),"")</f>
        <v>0.0327763496143958</v>
      </c>
      <c r="U51" s="154" t="n">
        <f aca="false">IFERROR(IF(OR(NOT(ISNUMBER('Price History'!U52)),NOT(ISNUMBER('Price History'!U51)),'Price History'!U51=0),"",'Price History'!U52/'Price History'!U51-1),"")</f>
        <v>0.0186507936507938</v>
      </c>
      <c r="V51" s="155" t="n">
        <f aca="false">IFERROR(IF(OR(NOT(ISNUMBER('Price History'!V52)),NOT(ISNUMBER('Price History'!V51)),'Price History'!V51=0),"",'Price History'!V52/'Price History'!V51-1),"")</f>
        <v>0.000227781785050007</v>
      </c>
      <c r="W51" s="156" t="n">
        <f aca="false">IFERROR('Price History'!B3+(INDEX('Price History'!B:B,MATCH(9.99E+307,'Returns (Calc)'!$A:$A)+1)-'Price History'!B3)*(ROW()-3)/(MATCH(9.99E+307,'Returns (Calc)'!$A:$A)-3),"")</f>
        <v>440.42417721519</v>
      </c>
      <c r="X51" s="156" t="n">
        <f aca="false">IFERROR('Price History'!C3+(INDEX('Price History'!C:C,MATCH(9.99E+307,'Returns (Calc)'!$A:$A)+1)-'Price History'!C3)*(ROW()-3)/(MATCH(9.99E+307,'Returns (Calc)'!$A:$A)-3),"")</f>
        <v>95.1430379746836</v>
      </c>
      <c r="Y51" s="156" t="n">
        <f aca="false">IFERROR('Price History'!D3+(INDEX('Price History'!D:D,MATCH(9.99E+307,'Returns (Calc)'!$A:$A)+1)-'Price History'!D3)*(ROW()-3)/(MATCH(9.99E+307,'Returns (Calc)'!$A:$A)-3),"")</f>
        <v>972.480886075949</v>
      </c>
      <c r="Z51" s="156" t="n">
        <f aca="false">IFERROR('Price History'!E3+(INDEX('Price History'!E:E,MATCH(9.99E+307,'Returns (Calc)'!$A:$A)+1)-'Price History'!E3)*(ROW()-3)/(MATCH(9.99E+307,'Returns (Calc)'!$A:$A)-3),"")</f>
        <v>164.979240506329</v>
      </c>
      <c r="AA51" s="156" t="n">
        <f aca="false">IFERROR('Price History'!F3+(INDEX('Price History'!F:F,MATCH(9.99E+307,'Returns (Calc)'!$A:$A)+1)-'Price History'!F3)*(ROW()-3)/(MATCH(9.99E+307,'Returns (Calc)'!$A:$A)-3),"")</f>
        <v>110.832405063291</v>
      </c>
      <c r="AB51" s="156" t="n">
        <f aca="false">IFERROR('Price History'!G3+(INDEX('Price History'!G:G,MATCH(9.99E+307,'Returns (Calc)'!$A:$A)+1)-'Price History'!G3)*(ROW()-3)/(MATCH(9.99E+307,'Returns (Calc)'!$A:$A)-3),"")</f>
        <v>93.7292405063291</v>
      </c>
      <c r="AC51" s="156" t="n">
        <f aca="false">IFERROR('Price History'!H3+(INDEX('Price History'!H:H,MATCH(9.99E+307,'Returns (Calc)'!$A:$A)+1)-'Price History'!H3)*(ROW()-3)/(MATCH(9.99E+307,'Returns (Calc)'!$A:$A)-3),"")</f>
        <v>374.663417721519</v>
      </c>
      <c r="AD51" s="156" t="n">
        <f aca="false">IFERROR('Price History'!I3+(INDEX('Price History'!I:I,MATCH(9.99E+307,'Returns (Calc)'!$A:$A)+1)-'Price History'!I3)*(ROW()-3)/(MATCH(9.99E+307,'Returns (Calc)'!$A:$A)-3),"")</f>
        <v>101.546202531646</v>
      </c>
      <c r="AE51" s="156" t="n">
        <f aca="false">IFERROR('Price History'!J3+(INDEX('Price History'!J:J,MATCH(9.99E+307,'Returns (Calc)'!$A:$A)+1)-'Price History'!J3)*(ROW()-3)/(MATCH(9.99E+307,'Returns (Calc)'!$A:$A)-3),"")</f>
        <v>117.02582278481</v>
      </c>
      <c r="AF51" s="156" t="n">
        <f aca="false">IFERROR('Price History'!K3+(INDEX('Price History'!K:K,MATCH(9.99E+307,'Returns (Calc)'!$A:$A)+1)-'Price History'!K3)*(ROW()-3)/(MATCH(9.99E+307,'Returns (Calc)'!$A:$A)-3),"")</f>
        <v>68.0145569620253</v>
      </c>
      <c r="AG51" s="156" t="n">
        <f aca="false">IFERROR('Price History'!L3+(INDEX('Price History'!L:L,MATCH(9.99E+307,'Returns (Calc)'!$A:$A)+1)-'Price History'!L3)*(ROW()-3)/(MATCH(9.99E+307,'Returns (Calc)'!$A:$A)-3),"")</f>
        <v>203.328734177215</v>
      </c>
      <c r="AH51" s="156" t="n">
        <f aca="false">IFERROR('Price History'!M3+(INDEX('Price History'!M:M,MATCH(9.99E+307,'Returns (Calc)'!$A:$A)+1)-'Price History'!M3)*(ROW()-3)/(MATCH(9.99E+307,'Returns (Calc)'!$A:$A)-3),"")</f>
        <v>103.081265822785</v>
      </c>
      <c r="AI51" s="156" t="n">
        <f aca="false">IFERROR('Price History'!N3+(INDEX('Price History'!N:N,MATCH(9.99E+307,'Returns (Calc)'!$A:$A)+1)-'Price History'!N3)*(ROW()-3)/(MATCH(9.99E+307,'Returns (Calc)'!$A:$A)-3),"")</f>
        <v>396.240759493671</v>
      </c>
      <c r="AJ51" s="156" t="n">
        <f aca="false">IFERROR('Price History'!O3+(INDEX('Price History'!O:O,MATCH(9.99E+307,'Returns (Calc)'!$A:$A)+1)-'Price History'!O3)*(ROW()-3)/(MATCH(9.99E+307,'Returns (Calc)'!$A:$A)-3),"")</f>
        <v>88.8958227848101</v>
      </c>
      <c r="AK51" s="156" t="n">
        <f aca="false">IFERROR('Price History'!Q3+(INDEX('Price History'!Q:Q,MATCH(9.99E+307,'Returns (Calc)'!$A:$A)+1)-'Price History'!Q3)*(ROW()-3)/(MATCH(9.99E+307,'Returns (Calc)'!$A:$A)-3),"")</f>
        <v>21.0896202531646</v>
      </c>
      <c r="AL51" s="156" t="n">
        <f aca="false">IFERROR('Price History'!R3+(INDEX('Price History'!R:R,MATCH(9.99E+307,'Returns (Calc)'!$A:$A)+1)-'Price History'!R3)*(ROW()-3)/(MATCH(9.99E+307,'Returns (Calc)'!$A:$A)-3),"")</f>
        <v>42.5488607594937</v>
      </c>
      <c r="AM51" s="156" t="n">
        <f aca="false">IFERROR('Price History'!S3+(INDEX('Price History'!S:S,MATCH(9.99E+307,'Returns (Calc)'!$A:$A)+1)-'Price History'!S3)*(ROW()-3)/(MATCH(9.99E+307,'Returns (Calc)'!$A:$A)-3),"")</f>
        <v>86.6730379746835</v>
      </c>
      <c r="AN51" s="156" t="n">
        <f aca="false">IFERROR('Price History'!T3+(INDEX('Price History'!T:T,MATCH(9.99E+307,'Returns (Calc)'!$A:$A)+1)-'Price History'!T3)*(ROW()-3)/(MATCH(9.99E+307,'Returns (Calc)'!$A:$A)-3),"")</f>
        <v>33.3149367088608</v>
      </c>
      <c r="AO51" s="157" t="n">
        <f aca="false">IFERROR('Price History'!V3+(INDEX('Price History'!V:V,MATCH(9.99E+307,'Returns (Calc)'!$A:$A)+1)-'Price History'!V3)*(ROW()-3)/(MATCH(9.99E+307,'Returns (Calc)'!$A:$A)-3),"")</f>
        <v>273.613797468354</v>
      </c>
      <c r="AP51" s="155" t="n">
        <f aca="false">IFERROR(IF(OR(NOT(ISNUMBER('Price History'!W52)),NOT(ISNUMBER('Price History'!W51)),'Price History'!W51=0),"",'Price History'!W52/'Price History'!W51-1),"")</f>
        <v>0.0165253874475553</v>
      </c>
      <c r="AQ51" s="155" t="str">
        <f aca="false">IFERROR(IF(OR(NOT(ISNUMBER('Price History'!X52)),NOT(ISNUMBER('Price History'!X51)),'Price History'!X51=0),"",'Price History'!X52/'Price History'!X51-1),"")</f>
        <v/>
      </c>
      <c r="AR51" s="155" t="n">
        <f aca="false">IFERROR(IF(OR(NOT(ISNUMBER('Price History'!Y52)),NOT(ISNUMBER('Price History'!Y51)),'Price History'!Y51=0),"",'Price History'!Y52/'Price History'!Y51-1),"")</f>
        <v>0.00869385220451235</v>
      </c>
      <c r="AS51" s="155" t="n">
        <f aca="false">IFERROR(IF(OR(NOT(ISNUMBER('Price History'!Z52)),NOT(ISNUMBER('Price History'!Z51)),'Price History'!Z51=0),"",'Price History'!Z52/'Price History'!Z51-1),"")</f>
        <v>0.0106281347026511</v>
      </c>
      <c r="AT51" s="155" t="n">
        <f aca="false">IFERROR(IF(OR(NOT(ISNUMBER('Price History'!AA52)),NOT(ISNUMBER('Price History'!AA51)),'Price History'!AA51=0),"",'Price History'!AA52/'Price History'!AA51-1),"")</f>
        <v>0.0186915887850467</v>
      </c>
      <c r="AU51" s="155" t="n">
        <f aca="false">IFERROR(IF(OR(NOT(ISNUMBER('Price History'!AB52)),NOT(ISNUMBER('Price History'!AB51)),'Price History'!AB51=0),"",'Price History'!AB52/'Price History'!AB51-1),"")</f>
        <v>0.035064935064935</v>
      </c>
    </row>
    <row r="52" customFormat="false" ht="15" hidden="false" customHeight="true" outlineLevel="0" collapsed="false">
      <c r="A52" s="153" t="n">
        <f aca="false">IF('Price History'!A53="","",'Price History'!A53)</f>
        <v>45534</v>
      </c>
      <c r="B52" s="154" t="n">
        <f aca="false">IFERROR(IF(OR(NOT(ISNUMBER('Price History'!B53)),NOT(ISNUMBER('Price History'!B52)),'Price History'!B52=0),"",'Price History'!B53/'Price History'!B52-1),"")</f>
        <v>0.0288554540569586</v>
      </c>
      <c r="C52" s="154" t="n">
        <f aca="false">IFERROR(IF(OR(NOT(ISNUMBER('Price History'!C53)),NOT(ISNUMBER('Price History'!C52)),'Price History'!C52=0),"",'Price History'!C53/'Price History'!C52-1),"")</f>
        <v>-0.00484343320567704</v>
      </c>
      <c r="D52" s="154" t="n">
        <f aca="false">IFERROR(IF(OR(NOT(ISNUMBER('Price History'!D53)),NOT(ISNUMBER('Price History'!D52)),'Price History'!D52=0),"",'Price History'!D53/'Price History'!D52-1),"")</f>
        <v>-0.00373192872352335</v>
      </c>
      <c r="E52" s="154" t="n">
        <f aca="false">IFERROR(IF(OR(NOT(ISNUMBER('Price History'!E53)),NOT(ISNUMBER('Price History'!E52)),'Price History'!E52=0),"",'Price History'!E53/'Price History'!E52-1),"")</f>
        <v>-0.0212896496717589</v>
      </c>
      <c r="F52" s="154" t="n">
        <f aca="false">IFERROR(IF(OR(NOT(ISNUMBER('Price History'!F53)),NOT(ISNUMBER('Price History'!F52)),'Price History'!F52=0),"",'Price History'!F53/'Price History'!F52-1),"")</f>
        <v>0.0210634850493445</v>
      </c>
      <c r="G52" s="154" t="n">
        <f aca="false">IFERROR(IF(OR(NOT(ISNUMBER('Price History'!G53)),NOT(ISNUMBER('Price History'!G52)),'Price History'!G52=0),"",'Price History'!G53/'Price History'!G52-1),"")</f>
        <v>0.00186173513714794</v>
      </c>
      <c r="H52" s="154" t="n">
        <f aca="false">IFERROR(IF(OR(NOT(ISNUMBER('Price History'!H53)),NOT(ISNUMBER('Price History'!H52)),'Price History'!H52=0),"",'Price History'!H53/'Price History'!H52-1),"")</f>
        <v>-0.0642794247138244</v>
      </c>
      <c r="I52" s="154" t="n">
        <f aca="false">IFERROR(IF(OR(NOT(ISNUMBER('Price History'!I53)),NOT(ISNUMBER('Price History'!I52)),'Price History'!I52=0),"",'Price History'!I53/'Price History'!I52-1),"")</f>
        <v>-0.0772808309433376</v>
      </c>
      <c r="J52" s="154" t="n">
        <f aca="false">IFERROR(IF(OR(NOT(ISNUMBER('Price History'!J53)),NOT(ISNUMBER('Price History'!J52)),'Price History'!J52=0),"",'Price History'!J53/'Price History'!J52-1),"")</f>
        <v>-0.00810765630224009</v>
      </c>
      <c r="K52" s="154" t="n">
        <f aca="false">IFERROR(IF(OR(NOT(ISNUMBER('Price History'!K53)),NOT(ISNUMBER('Price History'!K52)),'Price History'!K52=0),"",'Price History'!K53/'Price History'!K52-1),"")</f>
        <v>-0.0094398993077407</v>
      </c>
      <c r="L52" s="154" t="n">
        <f aca="false">IFERROR(IF(OR(NOT(ISNUMBER('Price History'!L53)),NOT(ISNUMBER('Price History'!L52)),'Price History'!L52=0),"",'Price History'!L53/'Price History'!L52-1),"")</f>
        <v>0.00246187102197659</v>
      </c>
      <c r="M52" s="154" t="n">
        <f aca="false">IFERROR(IF(OR(NOT(ISNUMBER('Price History'!M53)),NOT(ISNUMBER('Price History'!M52)),'Price History'!M52=0),"",'Price History'!M53/'Price History'!M52-1),"")</f>
        <v>0.0570589737043656</v>
      </c>
      <c r="N52" s="154" t="n">
        <f aca="false">IFERROR(IF(OR(NOT(ISNUMBER('Price History'!N53)),NOT(ISNUMBER('Price History'!N52)),'Price History'!N52=0),"",'Price History'!N53/'Price History'!N52-1),"")</f>
        <v>0.0304421910065664</v>
      </c>
      <c r="O52" s="154" t="n">
        <f aca="false">IFERROR(IF(OR(NOT(ISNUMBER('Price History'!O53)),NOT(ISNUMBER('Price History'!O52)),'Price History'!O52=0),"",'Price History'!O53/'Price History'!O52-1),"")</f>
        <v>0.000539956803455866</v>
      </c>
      <c r="P52" s="154" t="n">
        <f aca="false">IFERROR(IF(OR(NOT(ISNUMBER('Price History'!P53)),NOT(ISNUMBER('Price History'!P52)),'Price History'!P52=0),"",'Price History'!P53/'Price History'!P52-1),"")</f>
        <v>0.0137098760364502</v>
      </c>
      <c r="Q52" s="154" t="n">
        <f aca="false">IFERROR(IF(OR(NOT(ISNUMBER('Price History'!Q53)),NOT(ISNUMBER('Price History'!Q52)),'Price History'!Q52=0),"",'Price History'!Q53/'Price History'!Q52-1),"")</f>
        <v>0.00355209742895801</v>
      </c>
      <c r="R52" s="154" t="n">
        <f aca="false">IFERROR(IF(OR(NOT(ISNUMBER('Price History'!R53)),NOT(ISNUMBER('Price History'!R52)),'Price History'!R52=0),"",'Price History'!R53/'Price History'!R52-1),"")</f>
        <v>0.00332462597957739</v>
      </c>
      <c r="S52" s="154" t="n">
        <f aca="false">IFERROR(IF(OR(NOT(ISNUMBER('Price History'!S53)),NOT(ISNUMBER('Price History'!S52)),'Price History'!S52=0),"",'Price History'!S53/'Price History'!S52-1),"")</f>
        <v>-0.00397140587768063</v>
      </c>
      <c r="T52" s="154" t="n">
        <f aca="false">IFERROR(IF(OR(NOT(ISNUMBER('Price History'!T53)),NOT(ISNUMBER('Price History'!T52)),'Price History'!T52=0),"",'Price History'!T53/'Price History'!T52-1),"")</f>
        <v>0.00311138767890484</v>
      </c>
      <c r="U52" s="154" t="n">
        <f aca="false">IFERROR(IF(OR(NOT(ISNUMBER('Price History'!U53)),NOT(ISNUMBER('Price History'!U52)),'Price History'!U52=0),"",'Price History'!U53/'Price History'!U52-1),"")</f>
        <v>0.0124659135177247</v>
      </c>
      <c r="V52" s="155" t="n">
        <f aca="false">IFERROR(IF(OR(NOT(ISNUMBER('Price History'!V53)),NOT(ISNUMBER('Price History'!V52)),'Price History'!V52=0),"",'Price History'!V53/'Price History'!V52-1),"")</f>
        <v>0.0334003871408508</v>
      </c>
      <c r="W52" s="156" t="n">
        <f aca="false">IFERROR('Price History'!B3+(INDEX('Price History'!B:B,MATCH(9.99E+307,'Returns (Calc)'!$A:$A)+1)-'Price History'!B3)*(ROW()-3)/(MATCH(9.99E+307,'Returns (Calc)'!$A:$A)-3),"")</f>
        <v>438.581139240506</v>
      </c>
      <c r="X52" s="156" t="n">
        <f aca="false">IFERROR('Price History'!C3+(INDEX('Price History'!C:C,MATCH(9.99E+307,'Returns (Calc)'!$A:$A)+1)-'Price History'!C3)*(ROW()-3)/(MATCH(9.99E+307,'Returns (Calc)'!$A:$A)-3),"")</f>
        <v>96.1631012658228</v>
      </c>
      <c r="Y52" s="156" t="n">
        <f aca="false">IFERROR('Price History'!D3+(INDEX('Price History'!D:D,MATCH(9.99E+307,'Returns (Calc)'!$A:$A)+1)-'Price History'!D3)*(ROW()-3)/(MATCH(9.99E+307,'Returns (Calc)'!$A:$A)-3),"")</f>
        <v>980.615696202532</v>
      </c>
      <c r="Z52" s="156" t="n">
        <f aca="false">IFERROR('Price History'!E3+(INDEX('Price History'!E:E,MATCH(9.99E+307,'Returns (Calc)'!$A:$A)+1)-'Price History'!E3)*(ROW()-3)/(MATCH(9.99E+307,'Returns (Calc)'!$A:$A)-3),"")</f>
        <v>166.707974683544</v>
      </c>
      <c r="AA52" s="156" t="n">
        <f aca="false">IFERROR('Price History'!F3+(INDEX('Price History'!F:F,MATCH(9.99E+307,'Returns (Calc)'!$A:$A)+1)-'Price History'!F3)*(ROW()-3)/(MATCH(9.99E+307,'Returns (Calc)'!$A:$A)-3),"")</f>
        <v>112.279746835443</v>
      </c>
      <c r="AB52" s="156" t="n">
        <f aca="false">IFERROR('Price History'!G3+(INDEX('Price History'!G:G,MATCH(9.99E+307,'Returns (Calc)'!$A:$A)+1)-'Price History'!G3)*(ROW()-3)/(MATCH(9.99E+307,'Returns (Calc)'!$A:$A)-3),"")</f>
        <v>94.7579746835443</v>
      </c>
      <c r="AC52" s="156" t="n">
        <f aca="false">IFERROR('Price History'!H3+(INDEX('Price History'!H:H,MATCH(9.99E+307,'Returns (Calc)'!$A:$A)+1)-'Price History'!H3)*(ROW()-3)/(MATCH(9.99E+307,'Returns (Calc)'!$A:$A)-3),"")</f>
        <v>381.029113924051</v>
      </c>
      <c r="AD52" s="156" t="n">
        <f aca="false">IFERROR('Price History'!I3+(INDEX('Price History'!I:I,MATCH(9.99E+307,'Returns (Calc)'!$A:$A)+1)-'Price History'!I3)*(ROW()-3)/(MATCH(9.99E+307,'Returns (Calc)'!$A:$A)-3),"")</f>
        <v>102.749873417722</v>
      </c>
      <c r="AE52" s="156" t="n">
        <f aca="false">IFERROR('Price History'!J3+(INDEX('Price History'!J:J,MATCH(9.99E+307,'Returns (Calc)'!$A:$A)+1)-'Price History'!J3)*(ROW()-3)/(MATCH(9.99E+307,'Returns (Calc)'!$A:$A)-3),"")</f>
        <v>117.133860759494</v>
      </c>
      <c r="AF52" s="156" t="n">
        <f aca="false">IFERROR('Price History'!K3+(INDEX('Price History'!K:K,MATCH(9.99E+307,'Returns (Calc)'!$A:$A)+1)-'Price History'!K3)*(ROW()-3)/(MATCH(9.99E+307,'Returns (Calc)'!$A:$A)-3),"")</f>
        <v>69.1121518987342</v>
      </c>
      <c r="AG52" s="156" t="n">
        <f aca="false">IFERROR('Price History'!L3+(INDEX('Price History'!L:L,MATCH(9.99E+307,'Returns (Calc)'!$A:$A)+1)-'Price History'!L3)*(ROW()-3)/(MATCH(9.99E+307,'Returns (Calc)'!$A:$A)-3),"")</f>
        <v>205.77829113924</v>
      </c>
      <c r="AH52" s="156" t="n">
        <f aca="false">IFERROR('Price History'!M3+(INDEX('Price History'!M:M,MATCH(9.99E+307,'Returns (Calc)'!$A:$A)+1)-'Price History'!M3)*(ROW()-3)/(MATCH(9.99E+307,'Returns (Calc)'!$A:$A)-3),"")</f>
        <v>104.43670886076</v>
      </c>
      <c r="AI52" s="156" t="n">
        <f aca="false">IFERROR('Price History'!N3+(INDEX('Price History'!N:N,MATCH(9.99E+307,'Returns (Calc)'!$A:$A)+1)-'Price History'!N3)*(ROW()-3)/(MATCH(9.99E+307,'Returns (Calc)'!$A:$A)-3),"")</f>
        <v>397.227025316456</v>
      </c>
      <c r="AJ52" s="156" t="n">
        <f aca="false">IFERROR('Price History'!O3+(INDEX('Price History'!O:O,MATCH(9.99E+307,'Returns (Calc)'!$A:$A)+1)-'Price History'!O3)*(ROW()-3)/(MATCH(9.99E+307,'Returns (Calc)'!$A:$A)-3),"")</f>
        <v>89.1788607594937</v>
      </c>
      <c r="AK52" s="156" t="n">
        <f aca="false">IFERROR('Price History'!Q3+(INDEX('Price History'!Q:Q,MATCH(9.99E+307,'Returns (Calc)'!$A:$A)+1)-'Price History'!Q3)*(ROW()-3)/(MATCH(9.99E+307,'Returns (Calc)'!$A:$A)-3),"")</f>
        <v>21.5289873417722</v>
      </c>
      <c r="AL52" s="156" t="n">
        <f aca="false">IFERROR('Price History'!R3+(INDEX('Price History'!R:R,MATCH(9.99E+307,'Returns (Calc)'!$A:$A)+1)-'Price History'!R3)*(ROW()-3)/(MATCH(9.99E+307,'Returns (Calc)'!$A:$A)-3),"")</f>
        <v>42.7169620253165</v>
      </c>
      <c r="AM52" s="156" t="n">
        <f aca="false">IFERROR('Price History'!S3+(INDEX('Price History'!S:S,MATCH(9.99E+307,'Returns (Calc)'!$A:$A)+1)-'Price History'!S3)*(ROW()-3)/(MATCH(9.99E+307,'Returns (Calc)'!$A:$A)-3),"")</f>
        <v>87.2781012658228</v>
      </c>
      <c r="AN52" s="156" t="n">
        <f aca="false">IFERROR('Price History'!T3+(INDEX('Price History'!T:T,MATCH(9.99E+307,'Returns (Calc)'!$A:$A)+1)-'Price History'!T3)*(ROW()-3)/(MATCH(9.99E+307,'Returns (Calc)'!$A:$A)-3),"")</f>
        <v>33.483164556962</v>
      </c>
      <c r="AO52" s="157" t="n">
        <f aca="false">IFERROR('Price History'!V3+(INDEX('Price History'!V:V,MATCH(9.99E+307,'Returns (Calc)'!$A:$A)+1)-'Price History'!V3)*(ROW()-3)/(MATCH(9.99E+307,'Returns (Calc)'!$A:$A)-3),"")</f>
        <v>274.405126582279</v>
      </c>
      <c r="AP52" s="155" t="n">
        <f aca="false">IFERROR(IF(OR(NOT(ISNUMBER('Price History'!W53)),NOT(ISNUMBER('Price History'!W52)),'Price History'!W52=0),"",'Price History'!W53/'Price History'!W52-1),"")</f>
        <v>0.0126347708894878</v>
      </c>
      <c r="AQ52" s="155" t="str">
        <f aca="false">IFERROR(IF(OR(NOT(ISNUMBER('Price History'!X53)),NOT(ISNUMBER('Price History'!X52)),'Price History'!X52=0),"",'Price History'!X53/'Price History'!X52-1),"")</f>
        <v/>
      </c>
      <c r="AR52" s="155" t="n">
        <f aca="false">IFERROR(IF(OR(NOT(ISNUMBER('Price History'!Y53)),NOT(ISNUMBER('Price History'!Y52)),'Price History'!Y52=0),"",'Price History'!Y53/'Price History'!Y52-1),"")</f>
        <v>0.0123127436897188</v>
      </c>
      <c r="AS52" s="155" t="n">
        <f aca="false">IFERROR(IF(OR(NOT(ISNUMBER('Price History'!Z53)),NOT(ISNUMBER('Price History'!Z52)),'Price History'!Z52=0),"",'Price History'!Z53/'Price History'!Z52-1),"")</f>
        <v>0.0198511166253104</v>
      </c>
      <c r="AT52" s="155" t="n">
        <f aca="false">IFERROR(IF(OR(NOT(ISNUMBER('Price History'!AA53)),NOT(ISNUMBER('Price History'!AA52)),'Price History'!AA52=0),"",'Price History'!AA53/'Price History'!AA52-1),"")</f>
        <v>0.0214067278287462</v>
      </c>
      <c r="AU52" s="155" t="n">
        <f aca="false">IFERROR(IF(OR(NOT(ISNUMBER('Price History'!AB53)),NOT(ISNUMBER('Price History'!AB52)),'Price History'!AB52=0),"",'Price History'!AB53/'Price History'!AB52-1),"")</f>
        <v>0.0862735257214555</v>
      </c>
    </row>
    <row r="53" customFormat="false" ht="15" hidden="false" customHeight="true" outlineLevel="0" collapsed="false">
      <c r="A53" s="153" t="n">
        <f aca="false">IF('Price History'!A54="","",'Price History'!A54)</f>
        <v>45541</v>
      </c>
      <c r="B53" s="154" t="n">
        <f aca="false">IFERROR(IF(OR(NOT(ISNUMBER('Price History'!B54)),NOT(ISNUMBER('Price History'!B53)),'Price History'!B53=0),"",'Price History'!B54/'Price History'!B53-1),"")</f>
        <v>-0.0191500844344632</v>
      </c>
      <c r="C53" s="154" t="n">
        <f aca="false">IFERROR(IF(OR(NOT(ISNUMBER('Price History'!C54)),NOT(ISNUMBER('Price History'!C53)),'Price History'!C53=0),"",'Price History'!C54/'Price History'!C53-1),"")</f>
        <v>-0.110582908885116</v>
      </c>
      <c r="D53" s="154" t="n">
        <f aca="false">IFERROR(IF(OR(NOT(ISNUMBER('Price History'!D54)),NOT(ISNUMBER('Price History'!D53)),'Price History'!D53=0),"",'Price History'!D54/'Price History'!D53-1),"")</f>
        <v>-0.167148497699585</v>
      </c>
      <c r="E53" s="154" t="n">
        <f aca="false">IFERROR(IF(OR(NOT(ISNUMBER('Price History'!E54)),NOT(ISNUMBER('Price History'!E53)),'Price History'!E53=0),"",'Price History'!E54/'Price History'!E53-1),"")</f>
        <v>-0.158538114343029</v>
      </c>
      <c r="F53" s="154" t="n">
        <f aca="false">IFERROR(IF(OR(NOT(ISNUMBER('Price History'!F54)),NOT(ISNUMBER('Price History'!F53)),'Price History'!F53=0),"",'Price History'!F54/'Price History'!F53-1),"")</f>
        <v>-0.11136757068667</v>
      </c>
      <c r="G53" s="154" t="n">
        <f aca="false">IFERROR(IF(OR(NOT(ISNUMBER('Price History'!G54)),NOT(ISNUMBER('Price History'!G53)),'Price History'!G53=0),"",'Price History'!G54/'Price History'!G53-1),"")</f>
        <v>-0.142343904856293</v>
      </c>
      <c r="H53" s="154" t="n">
        <f aca="false">IFERROR(IF(OR(NOT(ISNUMBER('Price History'!H54)),NOT(ISNUMBER('Price History'!H53)),'Price History'!H53=0),"",'Price History'!H54/'Price History'!H53-1),"")</f>
        <v>-0.102467586783772</v>
      </c>
      <c r="I53" s="154" t="n">
        <f aca="false">IFERROR(IF(OR(NOT(ISNUMBER('Price History'!I54)),NOT(ISNUMBER('Price History'!I53)),'Price History'!I53=0),"",'Price History'!I54/'Price History'!I53-1),"")</f>
        <v>-0.138524865591398</v>
      </c>
      <c r="J53" s="154" t="n">
        <f aca="false">IFERROR(IF(OR(NOT(ISNUMBER('Price History'!J54)),NOT(ISNUMBER('Price History'!J53)),'Price History'!J53=0),"",'Price History'!J54/'Price History'!J53-1),"")</f>
        <v>-0.00455043397657373</v>
      </c>
      <c r="K53" s="154" t="n">
        <f aca="false">IFERROR(IF(OR(NOT(ISNUMBER('Price History'!K54)),NOT(ISNUMBER('Price History'!K53)),'Price History'!K53=0),"",'Price History'!K54/'Price History'!K53-1),"")</f>
        <v>-0.0365311308767472</v>
      </c>
      <c r="L53" s="154" t="n">
        <f aca="false">IFERROR(IF(OR(NOT(ISNUMBER('Price History'!L54)),NOT(ISNUMBER('Price History'!L53)),'Price History'!L53=0),"",'Price History'!L54/'Price History'!L53-1),"")</f>
        <v>-0.0866726564839773</v>
      </c>
      <c r="M53" s="154" t="n">
        <f aca="false">IFERROR(IF(OR(NOT(ISNUMBER('Price History'!M54)),NOT(ISNUMBER('Price History'!M53)),'Price History'!M53=0),"",'Price History'!M54/'Price History'!M53-1),"")</f>
        <v>-0.135611641106147</v>
      </c>
      <c r="N53" s="154" t="n">
        <f aca="false">IFERROR(IF(OR(NOT(ISNUMBER('Price History'!N54)),NOT(ISNUMBER('Price History'!N53)),'Price History'!N53=0),"",'Price History'!N54/'Price History'!N53-1),"")</f>
        <v>-0.0562423118030208</v>
      </c>
      <c r="O53" s="154" t="n">
        <f aca="false">IFERROR(IF(OR(NOT(ISNUMBER('Price History'!O54)),NOT(ISNUMBER('Price History'!O53)),'Price History'!O53=0),"",'Price History'!O54/'Price History'!O53-1),"")</f>
        <v>-0.0566648677819752</v>
      </c>
      <c r="P53" s="154" t="n">
        <f aca="false">IFERROR(IF(OR(NOT(ISNUMBER('Price History'!P54)),NOT(ISNUMBER('Price History'!P53)),'Price History'!P53=0),"",'Price History'!P54/'Price History'!P53-1),"")</f>
        <v>-0.0213799805636541</v>
      </c>
      <c r="Q53" s="154" t="n">
        <f aca="false">IFERROR(IF(OR(NOT(ISNUMBER('Price History'!Q54)),NOT(ISNUMBER('Price History'!Q53)),'Price History'!Q53=0),"",'Price History'!Q54/'Price History'!Q53-1),"")</f>
        <v>-0.0269678071801787</v>
      </c>
      <c r="R53" s="154" t="n">
        <f aca="false">IFERROR(IF(OR(NOT(ISNUMBER('Price History'!R54)),NOT(ISNUMBER('Price History'!R53)),'Price History'!R53=0),"",'Price History'!R54/'Price History'!R53-1),"")</f>
        <v>-0.0402366863905326</v>
      </c>
      <c r="S53" s="154" t="n">
        <f aca="false">IFERROR(IF(OR(NOT(ISNUMBER('Price History'!S54)),NOT(ISNUMBER('Price History'!S53)),'Price History'!S53=0),"",'Price History'!S54/'Price History'!S53-1),"")</f>
        <v>-0.0598086124401914</v>
      </c>
      <c r="T53" s="154" t="n">
        <f aca="false">IFERROR(IF(OR(NOT(ISNUMBER('Price History'!T54)),NOT(ISNUMBER('Price History'!T53)),'Price History'!T53=0),"",'Price History'!T54/'Price History'!T53-1),"")</f>
        <v>-0.0412531017369727</v>
      </c>
      <c r="U53" s="154" t="n">
        <f aca="false">IFERROR(IF(OR(NOT(ISNUMBER('Price History'!U54)),NOT(ISNUMBER('Price History'!U53)),'Price History'!U53=0),"",'Price History'!U54/'Price History'!U53-1),"")</f>
        <v>-0.0300115429011157</v>
      </c>
      <c r="V53" s="155" t="n">
        <f aca="false">IFERROR(IF(OR(NOT(ISNUMBER('Price History'!V54)),NOT(ISNUMBER('Price History'!V53)),'Price History'!V53=0),"",'Price History'!V54/'Price History'!V53-1),"")</f>
        <v>0.0108348330701145</v>
      </c>
      <c r="W53" s="156" t="n">
        <f aca="false">IFERROR('Price History'!B3+(INDEX('Price History'!B:B,MATCH(9.99E+307,'Returns (Calc)'!$A:$A)+1)-'Price History'!B3)*(ROW()-3)/(MATCH(9.99E+307,'Returns (Calc)'!$A:$A)-3),"")</f>
        <v>436.738101265823</v>
      </c>
      <c r="X53" s="156" t="n">
        <f aca="false">IFERROR('Price History'!C3+(INDEX('Price History'!C:C,MATCH(9.99E+307,'Returns (Calc)'!$A:$A)+1)-'Price History'!C3)*(ROW()-3)/(MATCH(9.99E+307,'Returns (Calc)'!$A:$A)-3),"")</f>
        <v>97.183164556962</v>
      </c>
      <c r="Y53" s="156" t="n">
        <f aca="false">IFERROR('Price History'!D3+(INDEX('Price History'!D:D,MATCH(9.99E+307,'Returns (Calc)'!$A:$A)+1)-'Price History'!D3)*(ROW()-3)/(MATCH(9.99E+307,'Returns (Calc)'!$A:$A)-3),"")</f>
        <v>988.750506329114</v>
      </c>
      <c r="Z53" s="156" t="n">
        <f aca="false">IFERROR('Price History'!E3+(INDEX('Price History'!E:E,MATCH(9.99E+307,'Returns (Calc)'!$A:$A)+1)-'Price History'!E3)*(ROW()-3)/(MATCH(9.99E+307,'Returns (Calc)'!$A:$A)-3),"")</f>
        <v>168.43670886076</v>
      </c>
      <c r="AA53" s="156" t="n">
        <f aca="false">IFERROR('Price History'!F3+(INDEX('Price History'!F:F,MATCH(9.99E+307,'Returns (Calc)'!$A:$A)+1)-'Price History'!F3)*(ROW()-3)/(MATCH(9.99E+307,'Returns (Calc)'!$A:$A)-3),"")</f>
        <v>113.727088607595</v>
      </c>
      <c r="AB53" s="156" t="n">
        <f aca="false">IFERROR('Price History'!G3+(INDEX('Price History'!G:G,MATCH(9.99E+307,'Returns (Calc)'!$A:$A)+1)-'Price History'!G3)*(ROW()-3)/(MATCH(9.99E+307,'Returns (Calc)'!$A:$A)-3),"")</f>
        <v>95.7867088607595</v>
      </c>
      <c r="AC53" s="156" t="n">
        <f aca="false">IFERROR('Price History'!H3+(INDEX('Price History'!H:H,MATCH(9.99E+307,'Returns (Calc)'!$A:$A)+1)-'Price History'!H3)*(ROW()-3)/(MATCH(9.99E+307,'Returns (Calc)'!$A:$A)-3),"")</f>
        <v>387.394810126582</v>
      </c>
      <c r="AD53" s="156" t="n">
        <f aca="false">IFERROR('Price History'!I3+(INDEX('Price History'!I:I,MATCH(9.99E+307,'Returns (Calc)'!$A:$A)+1)-'Price History'!I3)*(ROW()-3)/(MATCH(9.99E+307,'Returns (Calc)'!$A:$A)-3),"")</f>
        <v>103.953544303797</v>
      </c>
      <c r="AE53" s="156" t="n">
        <f aca="false">IFERROR('Price History'!J3+(INDEX('Price History'!J:J,MATCH(9.99E+307,'Returns (Calc)'!$A:$A)+1)-'Price History'!J3)*(ROW()-3)/(MATCH(9.99E+307,'Returns (Calc)'!$A:$A)-3),"")</f>
        <v>117.241898734177</v>
      </c>
      <c r="AF53" s="156" t="n">
        <f aca="false">IFERROR('Price History'!K3+(INDEX('Price History'!K:K,MATCH(9.99E+307,'Returns (Calc)'!$A:$A)+1)-'Price History'!K3)*(ROW()-3)/(MATCH(9.99E+307,'Returns (Calc)'!$A:$A)-3),"")</f>
        <v>70.209746835443</v>
      </c>
      <c r="AG53" s="156" t="n">
        <f aca="false">IFERROR('Price History'!L3+(INDEX('Price History'!L:L,MATCH(9.99E+307,'Returns (Calc)'!$A:$A)+1)-'Price History'!L3)*(ROW()-3)/(MATCH(9.99E+307,'Returns (Calc)'!$A:$A)-3),"")</f>
        <v>208.227848101266</v>
      </c>
      <c r="AH53" s="156" t="n">
        <f aca="false">IFERROR('Price History'!M3+(INDEX('Price History'!M:M,MATCH(9.99E+307,'Returns (Calc)'!$A:$A)+1)-'Price History'!M3)*(ROW()-3)/(MATCH(9.99E+307,'Returns (Calc)'!$A:$A)-3),"")</f>
        <v>105.792151898734</v>
      </c>
      <c r="AI53" s="156" t="n">
        <f aca="false">IFERROR('Price History'!N3+(INDEX('Price History'!N:N,MATCH(9.99E+307,'Returns (Calc)'!$A:$A)+1)-'Price History'!N3)*(ROW()-3)/(MATCH(9.99E+307,'Returns (Calc)'!$A:$A)-3),"")</f>
        <v>398.213291139241</v>
      </c>
      <c r="AJ53" s="156" t="n">
        <f aca="false">IFERROR('Price History'!O3+(INDEX('Price History'!O:O,MATCH(9.99E+307,'Returns (Calc)'!$A:$A)+1)-'Price History'!O3)*(ROW()-3)/(MATCH(9.99E+307,'Returns (Calc)'!$A:$A)-3),"")</f>
        <v>89.4618987341772</v>
      </c>
      <c r="AK53" s="156" t="n">
        <f aca="false">IFERROR('Price History'!Q3+(INDEX('Price History'!Q:Q,MATCH(9.99E+307,'Returns (Calc)'!$A:$A)+1)-'Price History'!Q3)*(ROW()-3)/(MATCH(9.99E+307,'Returns (Calc)'!$A:$A)-3),"")</f>
        <v>21.9683544303797</v>
      </c>
      <c r="AL53" s="156" t="n">
        <f aca="false">IFERROR('Price History'!R3+(INDEX('Price History'!R:R,MATCH(9.99E+307,'Returns (Calc)'!$A:$A)+1)-'Price History'!R3)*(ROW()-3)/(MATCH(9.99E+307,'Returns (Calc)'!$A:$A)-3),"")</f>
        <v>42.8850632911392</v>
      </c>
      <c r="AM53" s="156" t="n">
        <f aca="false">IFERROR('Price History'!S3+(INDEX('Price History'!S:S,MATCH(9.99E+307,'Returns (Calc)'!$A:$A)+1)-'Price History'!S3)*(ROW()-3)/(MATCH(9.99E+307,'Returns (Calc)'!$A:$A)-3),"")</f>
        <v>87.883164556962</v>
      </c>
      <c r="AN53" s="156" t="n">
        <f aca="false">IFERROR('Price History'!T3+(INDEX('Price History'!T:T,MATCH(9.99E+307,'Returns (Calc)'!$A:$A)+1)-'Price History'!T3)*(ROW()-3)/(MATCH(9.99E+307,'Returns (Calc)'!$A:$A)-3),"")</f>
        <v>33.6513924050633</v>
      </c>
      <c r="AO53" s="157" t="n">
        <f aca="false">IFERROR('Price History'!V3+(INDEX('Price History'!V:V,MATCH(9.99E+307,'Returns (Calc)'!$A:$A)+1)-'Price History'!V3)*(ROW()-3)/(MATCH(9.99E+307,'Returns (Calc)'!$A:$A)-3),"")</f>
        <v>275.196455696203</v>
      </c>
      <c r="AP53" s="155" t="n">
        <f aca="false">IFERROR(IF(OR(NOT(ISNUMBER('Price History'!W54)),NOT(ISNUMBER('Price History'!W53)),'Price History'!W53=0),"",'Price History'!W54/'Price History'!W53-1),"")</f>
        <v>-0.0336050573947762</v>
      </c>
      <c r="AQ53" s="155" t="str">
        <f aca="false">IFERROR(IF(OR(NOT(ISNUMBER('Price History'!X54)),NOT(ISNUMBER('Price History'!X53)),'Price History'!X53=0),"",'Price History'!X54/'Price History'!X53-1),"")</f>
        <v/>
      </c>
      <c r="AR53" s="155" t="n">
        <f aca="false">IFERROR(IF(OR(NOT(ISNUMBER('Price History'!Y54)),NOT(ISNUMBER('Price History'!Y53)),'Price History'!Y53=0),"",'Price History'!Y54/'Price History'!Y53-1),"")</f>
        <v>-0.0154064463815122</v>
      </c>
      <c r="AS53" s="155" t="n">
        <f aca="false">IFERROR(IF(OR(NOT(ISNUMBER('Price History'!Z54)),NOT(ISNUMBER('Price History'!Z53)),'Price History'!Z53=0),"",'Price History'!Z54/'Price History'!Z53-1),"")</f>
        <v>-0.0766423357664234</v>
      </c>
      <c r="AT53" s="155" t="n">
        <f aca="false">IFERROR(IF(OR(NOT(ISNUMBER('Price History'!AA54)),NOT(ISNUMBER('Price History'!AA53)),'Price History'!AA53=0),"",'Price History'!AA54/'Price History'!AA53-1),"")</f>
        <v>-0.050755631593955</v>
      </c>
      <c r="AU53" s="155" t="n">
        <f aca="false">IFERROR(IF(OR(NOT(ISNUMBER('Price History'!AB54)),NOT(ISNUMBER('Price History'!AB53)),'Price History'!AB53=0),"",'Price History'!AB54/'Price History'!AB53-1),"")</f>
        <v>-0.00254111994086126</v>
      </c>
    </row>
    <row r="54" customFormat="false" ht="15" hidden="false" customHeight="true" outlineLevel="0" collapsed="false">
      <c r="A54" s="153" t="n">
        <f aca="false">IF('Price History'!A55="","",'Price History'!A55)</f>
        <v>45548</v>
      </c>
      <c r="B54" s="154" t="n">
        <f aca="false">IFERROR(IF(OR(NOT(ISNUMBER('Price History'!B55)),NOT(ISNUMBER('Price History'!B54)),'Price History'!B54=0),"",'Price History'!B55/'Price History'!B54-1),"")</f>
        <v>-0.0471060151577004</v>
      </c>
      <c r="C54" s="154" t="n">
        <f aca="false">IFERROR(IF(OR(NOT(ISNUMBER('Price History'!C55)),NOT(ISNUMBER('Price History'!C54)),'Price History'!C54=0),"",'Price History'!C55/'Price History'!C54-1),"")</f>
        <v>0.14456604734029</v>
      </c>
      <c r="D54" s="154" t="n">
        <f aca="false">IFERROR(IF(OR(NOT(ISNUMBER('Price History'!D55)),NOT(ISNUMBER('Price History'!D54)),'Price History'!D54=0),"",'Price History'!D55/'Price History'!D54-1),"")</f>
        <v>0.0844431238012913</v>
      </c>
      <c r="E54" s="154" t="n">
        <f aca="false">IFERROR(IF(OR(NOT(ISNUMBER('Price History'!E55)),NOT(ISNUMBER('Price History'!E54)),'Price History'!E54=0),"",'Price History'!E55/'Price History'!E54-1),"")</f>
        <v>0.224018475750578</v>
      </c>
      <c r="F54" s="154" t="n">
        <f aca="false">IFERROR(IF(OR(NOT(ISNUMBER('Price History'!F55)),NOT(ISNUMBER('Price History'!F54)),'Price History'!F54=0),"",'Price History'!F55/'Price History'!F54-1),"")</f>
        <v>0.0516233766233767</v>
      </c>
      <c r="G54" s="154" t="n">
        <f aca="false">IFERROR(IF(OR(NOT(ISNUMBER('Price History'!G55)),NOT(ISNUMBER('Price History'!G54)),'Price History'!G54=0),"",'Price History'!G55/'Price History'!G54-1),"")</f>
        <v>0.0693341037122635</v>
      </c>
      <c r="H54" s="154" t="n">
        <f aca="false">IFERROR(IF(OR(NOT(ISNUMBER('Price History'!H55)),NOT(ISNUMBER('Price History'!H54)),'Price History'!H54=0),"",'Price History'!H55/'Price History'!H54-1),"")</f>
        <v>0.0560344827586208</v>
      </c>
      <c r="I54" s="154" t="n">
        <f aca="false">IFERROR(IF(OR(NOT(ISNUMBER('Price History'!I55)),NOT(ISNUMBER('Price History'!I54)),'Price History'!I54=0),"",'Price History'!I55/'Price History'!I54-1),"")</f>
        <v>0.158264261335934</v>
      </c>
      <c r="J54" s="154" t="n">
        <f aca="false">IFERROR(IF(OR(NOT(ISNUMBER('Price History'!J55)),NOT(ISNUMBER('Price History'!J54)),'Price History'!J54=0),"",'Price History'!J55/'Price History'!J54-1),"")</f>
        <v>0.0215863878777618</v>
      </c>
      <c r="K54" s="154" t="n">
        <f aca="false">IFERROR(IF(OR(NOT(ISNUMBER('Price History'!K55)),NOT(ISNUMBER('Price History'!K54)),'Price History'!K54=0),"",'Price History'!K55/'Price History'!K54-1),"")</f>
        <v>0.173425651170458</v>
      </c>
      <c r="L54" s="154" t="n">
        <f aca="false">IFERROR(IF(OR(NOT(ISNUMBER('Price History'!L55)),NOT(ISNUMBER('Price History'!L54)),'Price History'!L54=0),"",'Price History'!L55/'Price History'!L54-1),"")</f>
        <v>0.104013641133264</v>
      </c>
      <c r="M54" s="154" t="n">
        <f aca="false">IFERROR(IF(OR(NOT(ISNUMBER('Price History'!M55)),NOT(ISNUMBER('Price History'!M54)),'Price History'!M54=0),"",'Price History'!M55/'Price History'!M54-1),"")</f>
        <v>0.194886839899413</v>
      </c>
      <c r="N54" s="154" t="n">
        <f aca="false">IFERROR(IF(OR(NOT(ISNUMBER('Price History'!N55)),NOT(ISNUMBER('Price History'!N54)),'Price History'!N54=0),"",'Price History'!N55/'Price History'!N54-1),"")</f>
        <v>0.0371153846153847</v>
      </c>
      <c r="O54" s="154" t="n">
        <f aca="false">IFERROR(IF(OR(NOT(ISNUMBER('Price History'!O55)),NOT(ISNUMBER('Price History'!O54)),'Price History'!O54=0),"",'Price History'!O55/'Price History'!O54-1),"")</f>
        <v>0.0288329519450801</v>
      </c>
      <c r="P54" s="154" t="n">
        <f aca="false">IFERROR(IF(OR(NOT(ISNUMBER('Price History'!P55)),NOT(ISNUMBER('Price History'!P54)),'Price History'!P54=0),"",'Price History'!P55/'Price History'!P54-1),"")</f>
        <v>0.0185369083085072</v>
      </c>
      <c r="Q54" s="154" t="n">
        <f aca="false">IFERROR(IF(OR(NOT(ISNUMBER('Price History'!Q55)),NOT(ISNUMBER('Price History'!Q54)),'Price History'!Q54=0),"",'Price History'!Q55/'Price History'!Q54-1),"")</f>
        <v>0.0259830244240429</v>
      </c>
      <c r="R54" s="154" t="n">
        <f aca="false">IFERROR(IF(OR(NOT(ISNUMBER('Price History'!R55)),NOT(ISNUMBER('Price History'!R54)),'Price History'!R54=0),"",'Price History'!R55/'Price History'!R54-1),"")</f>
        <v>0.0463625154130705</v>
      </c>
      <c r="S54" s="154" t="n">
        <f aca="false">IFERROR(IF(OR(NOT(ISNUMBER('Price History'!S55)),NOT(ISNUMBER('Price History'!S54)),'Price History'!S54=0),"",'Price History'!S55/'Price History'!S54-1),"")</f>
        <v>0.0615533745304737</v>
      </c>
      <c r="T54" s="154" t="n">
        <f aca="false">IFERROR(IF(OR(NOT(ISNUMBER('Price History'!T55)),NOT(ISNUMBER('Price History'!T54)),'Price History'!T54=0),"",'Price History'!T55/'Price History'!T54-1),"")</f>
        <v>0.025558071821417</v>
      </c>
      <c r="U54" s="154" t="n">
        <f aca="false">IFERROR(IF(OR(NOT(ISNUMBER('Price History'!U55)),NOT(ISNUMBER('Price History'!U54)),'Price History'!U54=0),"",'Price History'!U55/'Price History'!U54-1),"")</f>
        <v>0.0166600555335183</v>
      </c>
      <c r="V54" s="155" t="n">
        <f aca="false">IFERROR(IF(OR(NOT(ISNUMBER('Price History'!V55)),NOT(ISNUMBER('Price History'!V54)),'Price History'!V54=0),"",'Price History'!V55/'Price History'!V54-1),"")</f>
        <v>0.028558971005014</v>
      </c>
      <c r="W54" s="156" t="n">
        <f aca="false">IFERROR('Price History'!B3+(INDEX('Price History'!B:B,MATCH(9.99E+307,'Returns (Calc)'!$A:$A)+1)-'Price History'!B3)*(ROW()-3)/(MATCH(9.99E+307,'Returns (Calc)'!$A:$A)-3),"")</f>
        <v>434.895063291139</v>
      </c>
      <c r="X54" s="156" t="n">
        <f aca="false">IFERROR('Price History'!C3+(INDEX('Price History'!C:C,MATCH(9.99E+307,'Returns (Calc)'!$A:$A)+1)-'Price History'!C3)*(ROW()-3)/(MATCH(9.99E+307,'Returns (Calc)'!$A:$A)-3),"")</f>
        <v>98.2032278481013</v>
      </c>
      <c r="Y54" s="156" t="n">
        <f aca="false">IFERROR('Price History'!D3+(INDEX('Price History'!D:D,MATCH(9.99E+307,'Returns (Calc)'!$A:$A)+1)-'Price History'!D3)*(ROW()-3)/(MATCH(9.99E+307,'Returns (Calc)'!$A:$A)-3),"")</f>
        <v>996.885316455696</v>
      </c>
      <c r="Z54" s="156" t="n">
        <f aca="false">IFERROR('Price History'!E3+(INDEX('Price History'!E:E,MATCH(9.99E+307,'Returns (Calc)'!$A:$A)+1)-'Price History'!E3)*(ROW()-3)/(MATCH(9.99E+307,'Returns (Calc)'!$A:$A)-3),"")</f>
        <v>170.165443037975</v>
      </c>
      <c r="AA54" s="156" t="n">
        <f aca="false">IFERROR('Price History'!F3+(INDEX('Price History'!F:F,MATCH(9.99E+307,'Returns (Calc)'!$A:$A)+1)-'Price History'!F3)*(ROW()-3)/(MATCH(9.99E+307,'Returns (Calc)'!$A:$A)-3),"")</f>
        <v>115.174430379747</v>
      </c>
      <c r="AB54" s="156" t="n">
        <f aca="false">IFERROR('Price History'!G3+(INDEX('Price History'!G:G,MATCH(9.99E+307,'Returns (Calc)'!$A:$A)+1)-'Price History'!G3)*(ROW()-3)/(MATCH(9.99E+307,'Returns (Calc)'!$A:$A)-3),"")</f>
        <v>96.8154430379747</v>
      </c>
      <c r="AC54" s="156" t="n">
        <f aca="false">IFERROR('Price History'!H3+(INDEX('Price History'!H:H,MATCH(9.99E+307,'Returns (Calc)'!$A:$A)+1)-'Price History'!H3)*(ROW()-3)/(MATCH(9.99E+307,'Returns (Calc)'!$A:$A)-3),"")</f>
        <v>393.760506329114</v>
      </c>
      <c r="AD54" s="156" t="n">
        <f aca="false">IFERROR('Price History'!I3+(INDEX('Price History'!I:I,MATCH(9.99E+307,'Returns (Calc)'!$A:$A)+1)-'Price History'!I3)*(ROW()-3)/(MATCH(9.99E+307,'Returns (Calc)'!$A:$A)-3),"")</f>
        <v>105.157215189873</v>
      </c>
      <c r="AE54" s="156" t="n">
        <f aca="false">IFERROR('Price History'!J3+(INDEX('Price History'!J:J,MATCH(9.99E+307,'Returns (Calc)'!$A:$A)+1)-'Price History'!J3)*(ROW()-3)/(MATCH(9.99E+307,'Returns (Calc)'!$A:$A)-3),"")</f>
        <v>117.349936708861</v>
      </c>
      <c r="AF54" s="156" t="n">
        <f aca="false">IFERROR('Price History'!K3+(INDEX('Price History'!K:K,MATCH(9.99E+307,'Returns (Calc)'!$A:$A)+1)-'Price History'!K3)*(ROW()-3)/(MATCH(9.99E+307,'Returns (Calc)'!$A:$A)-3),"")</f>
        <v>71.3073417721519</v>
      </c>
      <c r="AG54" s="156" t="n">
        <f aca="false">IFERROR('Price History'!L3+(INDEX('Price History'!L:L,MATCH(9.99E+307,'Returns (Calc)'!$A:$A)+1)-'Price History'!L3)*(ROW()-3)/(MATCH(9.99E+307,'Returns (Calc)'!$A:$A)-3),"")</f>
        <v>210.677405063291</v>
      </c>
      <c r="AH54" s="156" t="n">
        <f aca="false">IFERROR('Price History'!M3+(INDEX('Price History'!M:M,MATCH(9.99E+307,'Returns (Calc)'!$A:$A)+1)-'Price History'!M3)*(ROW()-3)/(MATCH(9.99E+307,'Returns (Calc)'!$A:$A)-3),"")</f>
        <v>107.147594936709</v>
      </c>
      <c r="AI54" s="156" t="n">
        <f aca="false">IFERROR('Price History'!N3+(INDEX('Price History'!N:N,MATCH(9.99E+307,'Returns (Calc)'!$A:$A)+1)-'Price History'!N3)*(ROW()-3)/(MATCH(9.99E+307,'Returns (Calc)'!$A:$A)-3),"")</f>
        <v>399.199556962025</v>
      </c>
      <c r="AJ54" s="156" t="n">
        <f aca="false">IFERROR('Price History'!O3+(INDEX('Price History'!O:O,MATCH(9.99E+307,'Returns (Calc)'!$A:$A)+1)-'Price History'!O3)*(ROW()-3)/(MATCH(9.99E+307,'Returns (Calc)'!$A:$A)-3),"")</f>
        <v>89.7449367088608</v>
      </c>
      <c r="AK54" s="156" t="n">
        <f aca="false">IFERROR('Price History'!Q3+(INDEX('Price History'!Q:Q,MATCH(9.99E+307,'Returns (Calc)'!$A:$A)+1)-'Price History'!Q3)*(ROW()-3)/(MATCH(9.99E+307,'Returns (Calc)'!$A:$A)-3),"")</f>
        <v>22.4077215189873</v>
      </c>
      <c r="AL54" s="156" t="n">
        <f aca="false">IFERROR('Price History'!R3+(INDEX('Price History'!R:R,MATCH(9.99E+307,'Returns (Calc)'!$A:$A)+1)-'Price History'!R3)*(ROW()-3)/(MATCH(9.99E+307,'Returns (Calc)'!$A:$A)-3),"")</f>
        <v>43.053164556962</v>
      </c>
      <c r="AM54" s="156" t="n">
        <f aca="false">IFERROR('Price History'!S3+(INDEX('Price History'!S:S,MATCH(9.99E+307,'Returns (Calc)'!$A:$A)+1)-'Price History'!S3)*(ROW()-3)/(MATCH(9.99E+307,'Returns (Calc)'!$A:$A)-3),"")</f>
        <v>88.4882278481013</v>
      </c>
      <c r="AN54" s="156" t="n">
        <f aca="false">IFERROR('Price History'!T3+(INDEX('Price History'!T:T,MATCH(9.99E+307,'Returns (Calc)'!$A:$A)+1)-'Price History'!T3)*(ROW()-3)/(MATCH(9.99E+307,'Returns (Calc)'!$A:$A)-3),"")</f>
        <v>33.8196202531646</v>
      </c>
      <c r="AO54" s="157" t="n">
        <f aca="false">IFERROR('Price History'!V3+(INDEX('Price History'!V:V,MATCH(9.99E+307,'Returns (Calc)'!$A:$A)+1)-'Price History'!V3)*(ROW()-3)/(MATCH(9.99E+307,'Returns (Calc)'!$A:$A)-3),"")</f>
        <v>275.987784810127</v>
      </c>
      <c r="AP54" s="155" t="n">
        <f aca="false">IFERROR(IF(OR(NOT(ISNUMBER('Price History'!W55)),NOT(ISNUMBER('Price History'!W54)),'Price History'!W54=0),"",'Price History'!W55/'Price History'!W54-1),"")</f>
        <v>0.0239283869857116</v>
      </c>
      <c r="AQ54" s="155" t="str">
        <f aca="false">IFERROR(IF(OR(NOT(ISNUMBER('Price History'!X55)),NOT(ISNUMBER('Price History'!X54)),'Price History'!X54=0),"",'Price History'!X55/'Price History'!X54-1),"")</f>
        <v/>
      </c>
      <c r="AR54" s="155" t="n">
        <f aca="false">IFERROR(IF(OR(NOT(ISNUMBER('Price History'!Y55)),NOT(ISNUMBER('Price History'!Y54)),'Price History'!Y54=0),"",'Price History'!Y55/'Price History'!Y54-1),"")</f>
        <v>0.0226477249330863</v>
      </c>
      <c r="AS54" s="155" t="n">
        <f aca="false">IFERROR(IF(OR(NOT(ISNUMBER('Price History'!Z55)),NOT(ISNUMBER('Price History'!Z54)),'Price History'!Z54=0),"",'Price History'!Z55/'Price History'!Z54-1),"")</f>
        <v>0.105715540498149</v>
      </c>
      <c r="AT54" s="155" t="n">
        <f aca="false">IFERROR(IF(OR(NOT(ISNUMBER('Price History'!AA55)),NOT(ISNUMBER('Price History'!AA54)),'Price History'!AA54=0),"",'Price History'!AA55/'Price History'!AA54-1),"")</f>
        <v>0.0470111144487833</v>
      </c>
      <c r="AU54" s="155" t="n">
        <f aca="false">IFERROR(IF(OR(NOT(ISNUMBER('Price History'!AB55)),NOT(ISNUMBER('Price History'!AB54)),'Price History'!AB54=0),"",'Price History'!AB55/'Price History'!AB54-1),"")</f>
        <v>0.00954189633609714</v>
      </c>
    </row>
    <row r="55" customFormat="false" ht="15" hidden="false" customHeight="true" outlineLevel="0" collapsed="false">
      <c r="A55" s="153" t="n">
        <f aca="false">IF('Price History'!A56="","",'Price History'!A56)</f>
        <v>45555</v>
      </c>
      <c r="B55" s="154" t="n">
        <f aca="false">IFERROR(IF(OR(NOT(ISNUMBER('Price History'!B56)),NOT(ISNUMBER('Price History'!B55)),'Price History'!B55=0),"",'Price History'!B56/'Price History'!B55-1),"")</f>
        <v>-0.0271387859258294</v>
      </c>
      <c r="C55" s="154" t="n">
        <f aca="false">IFERROR(IF(OR(NOT(ISNUMBER('Price History'!C56)),NOT(ISNUMBER('Price History'!C55)),'Price History'!C55=0),"",'Price History'!C56/'Price History'!C55-1),"")</f>
        <v>0.0686012897487214</v>
      </c>
      <c r="D55" s="154" t="n">
        <f aca="false">IFERROR(IF(OR(NOT(ISNUMBER('Price History'!D56)),NOT(ISNUMBER('Price History'!D55)),'Price History'!D55=0),"",'Price History'!D56/'Price History'!D55-1),"")</f>
        <v>-0.0258189064640678</v>
      </c>
      <c r="E55" s="154" t="n">
        <f aca="false">IFERROR(IF(OR(NOT(ISNUMBER('Price History'!E56)),NOT(ISNUMBER('Price History'!E55)),'Price History'!E55=0),"",'Price History'!E56/'Price History'!E55-1),"")</f>
        <v>0.0236762020693853</v>
      </c>
      <c r="F55" s="154" t="n">
        <f aca="false">IFERROR(IF(OR(NOT(ISNUMBER('Price History'!F56)),NOT(ISNUMBER('Price History'!F55)),'Price History'!F55=0),"",'Price History'!F56/'Price History'!F55-1),"")</f>
        <v>0.157147267675208</v>
      </c>
      <c r="G55" s="154" t="n">
        <f aca="false">IFERROR(IF(OR(NOT(ISNUMBER('Price History'!G56)),NOT(ISNUMBER('Price History'!G55)),'Price History'!G55=0),"",'Price History'!G56/'Price History'!G55-1),"")</f>
        <v>0.00986086721599366</v>
      </c>
      <c r="H55" s="154" t="n">
        <f aca="false">IFERROR(IF(OR(NOT(ISNUMBER('Price History'!H56)),NOT(ISNUMBER('Price History'!H55)),'Price History'!H55=0),"",'Price History'!H56/'Price History'!H55-1),"")</f>
        <v>-0.00353006067291795</v>
      </c>
      <c r="I55" s="154" t="n">
        <f aca="false">IFERROR(IF(OR(NOT(ISNUMBER('Price History'!I56)),NOT(ISNUMBER('Price History'!I55)),'Price History'!I55=0),"",'Price History'!I56/'Price History'!I55-1),"")</f>
        <v>-0.0260144805522815</v>
      </c>
      <c r="J55" s="154" t="n">
        <f aca="false">IFERROR(IF(OR(NOT(ISNUMBER('Price History'!J56)),NOT(ISNUMBER('Price History'!J55)),'Price History'!J55=0),"",'Price History'!J56/'Price History'!J55-1),"")</f>
        <v>-0.0275107722903547</v>
      </c>
      <c r="K55" s="154" t="n">
        <f aca="false">IFERROR(IF(OR(NOT(ISNUMBER('Price History'!K56)),NOT(ISNUMBER('Price History'!K55)),'Price History'!K55=0),"",'Price History'!K56/'Price History'!K55-1),"")</f>
        <v>0.0452374262433268</v>
      </c>
      <c r="L55" s="154" t="n">
        <f aca="false">IFERROR(IF(OR(NOT(ISNUMBER('Price History'!L56)),NOT(ISNUMBER('Price History'!L55)),'Price History'!L55=0),"",'Price History'!L56/'Price History'!L55-1),"")</f>
        <v>0.00920755613639046</v>
      </c>
      <c r="M55" s="154" t="n">
        <f aca="false">IFERROR(IF(OR(NOT(ISNUMBER('Price History'!M56)),NOT(ISNUMBER('Price History'!M55)),'Price History'!M55=0),"",'Price History'!M56/'Price History'!M55-1),"")</f>
        <v>0.102654039518298</v>
      </c>
      <c r="N55" s="154" t="n">
        <f aca="false">IFERROR(IF(OR(NOT(ISNUMBER('Price History'!N56)),NOT(ISNUMBER('Price History'!N55)),'Price History'!N55=0),"",'Price History'!N56/'Price History'!N55-1),"")</f>
        <v>-0.0421328059006531</v>
      </c>
      <c r="O55" s="154" t="n">
        <f aca="false">IFERROR(IF(OR(NOT(ISNUMBER('Price History'!O56)),NOT(ISNUMBER('Price History'!O55)),'Price History'!O55=0),"",'Price History'!O56/'Price History'!O55-1),"")</f>
        <v>0.0302491103202847</v>
      </c>
      <c r="P55" s="154" t="n">
        <f aca="false">IFERROR(IF(OR(NOT(ISNUMBER('Price History'!P56)),NOT(ISNUMBER('Price History'!P55)),'Price History'!P55=0),"",'Price History'!P56/'Price History'!P55-1),"")</f>
        <v>0.0121059473513161</v>
      </c>
      <c r="Q55" s="154" t="n">
        <f aca="false">IFERROR(IF(OR(NOT(ISNUMBER('Price History'!Q56)),NOT(ISNUMBER('Price History'!Q55)),'Price History'!Q55=0),"",'Price History'!Q56/'Price History'!Q55-1),"")</f>
        <v>0.00827283471213924</v>
      </c>
      <c r="R55" s="154" t="n">
        <f aca="false">IFERROR(IF(OR(NOT(ISNUMBER('Price History'!R56)),NOT(ISNUMBER('Price History'!R55)),'Price History'!R55=0),"",'Price History'!R56/'Price History'!R55-1),"")</f>
        <v>0.0124911619137402</v>
      </c>
      <c r="S55" s="154" t="n">
        <f aca="false">IFERROR(IF(OR(NOT(ISNUMBER('Price History'!S56)),NOT(ISNUMBER('Price History'!S55)),'Price History'!S55=0),"",'Price History'!S56/'Price History'!S55-1),"")</f>
        <v>0.0162081954114828</v>
      </c>
      <c r="T55" s="154" t="n">
        <f aca="false">IFERROR(IF(OR(NOT(ISNUMBER('Price History'!T56)),NOT(ISNUMBER('Price History'!T55)),'Price History'!T55=0),"",'Price History'!T56/'Price History'!T55-1),"")</f>
        <v>0.0173501577287067</v>
      </c>
      <c r="U55" s="154" t="n">
        <f aca="false">IFERROR(IF(OR(NOT(ISNUMBER('Price History'!U56)),NOT(ISNUMBER('Price History'!U55)),'Price History'!U55=0),"",'Price History'!U56/'Price History'!U55-1),"")</f>
        <v>0.0132657042528288</v>
      </c>
      <c r="V55" s="155" t="n">
        <f aca="false">IFERROR(IF(OR(NOT(ISNUMBER('Price History'!V56)),NOT(ISNUMBER('Price History'!V55)),'Price History'!V55=0),"",'Price History'!V56/'Price History'!V55-1),"")</f>
        <v>-0.00897272855729814</v>
      </c>
      <c r="W55" s="156" t="n">
        <f aca="false">IFERROR('Price History'!B3+(INDEX('Price History'!B:B,MATCH(9.99E+307,'Returns (Calc)'!$A:$A)+1)-'Price History'!B3)*(ROW()-3)/(MATCH(9.99E+307,'Returns (Calc)'!$A:$A)-3),"")</f>
        <v>433.052025316456</v>
      </c>
      <c r="X55" s="156" t="n">
        <f aca="false">IFERROR('Price History'!C3+(INDEX('Price History'!C:C,MATCH(9.99E+307,'Returns (Calc)'!$A:$A)+1)-'Price History'!C3)*(ROW()-3)/(MATCH(9.99E+307,'Returns (Calc)'!$A:$A)-3),"")</f>
        <v>99.2232911392405</v>
      </c>
      <c r="Y55" s="156" t="n">
        <f aca="false">IFERROR('Price History'!D3+(INDEX('Price History'!D:D,MATCH(9.99E+307,'Returns (Calc)'!$A:$A)+1)-'Price History'!D3)*(ROW()-3)/(MATCH(9.99E+307,'Returns (Calc)'!$A:$A)-3),"")</f>
        <v>1005.02012658228</v>
      </c>
      <c r="Z55" s="156" t="n">
        <f aca="false">IFERROR('Price History'!E3+(INDEX('Price History'!E:E,MATCH(9.99E+307,'Returns (Calc)'!$A:$A)+1)-'Price History'!E3)*(ROW()-3)/(MATCH(9.99E+307,'Returns (Calc)'!$A:$A)-3),"")</f>
        <v>171.89417721519</v>
      </c>
      <c r="AA55" s="156" t="n">
        <f aca="false">IFERROR('Price History'!F3+(INDEX('Price History'!F:F,MATCH(9.99E+307,'Returns (Calc)'!$A:$A)+1)-'Price History'!F3)*(ROW()-3)/(MATCH(9.99E+307,'Returns (Calc)'!$A:$A)-3),"")</f>
        <v>116.621772151899</v>
      </c>
      <c r="AB55" s="156" t="n">
        <f aca="false">IFERROR('Price History'!G3+(INDEX('Price History'!G:G,MATCH(9.99E+307,'Returns (Calc)'!$A:$A)+1)-'Price History'!G3)*(ROW()-3)/(MATCH(9.99E+307,'Returns (Calc)'!$A:$A)-3),"")</f>
        <v>97.8441772151899</v>
      </c>
      <c r="AC55" s="156" t="n">
        <f aca="false">IFERROR('Price History'!H3+(INDEX('Price History'!H:H,MATCH(9.99E+307,'Returns (Calc)'!$A:$A)+1)-'Price History'!H3)*(ROW()-3)/(MATCH(9.99E+307,'Returns (Calc)'!$A:$A)-3),"")</f>
        <v>400.126202531646</v>
      </c>
      <c r="AD55" s="156" t="n">
        <f aca="false">IFERROR('Price History'!I3+(INDEX('Price History'!I:I,MATCH(9.99E+307,'Returns (Calc)'!$A:$A)+1)-'Price History'!I3)*(ROW()-3)/(MATCH(9.99E+307,'Returns (Calc)'!$A:$A)-3),"")</f>
        <v>106.360886075949</v>
      </c>
      <c r="AE55" s="156" t="n">
        <f aca="false">IFERROR('Price History'!J3+(INDEX('Price History'!J:J,MATCH(9.99E+307,'Returns (Calc)'!$A:$A)+1)-'Price History'!J3)*(ROW()-3)/(MATCH(9.99E+307,'Returns (Calc)'!$A:$A)-3),"")</f>
        <v>117.457974683544</v>
      </c>
      <c r="AF55" s="156" t="n">
        <f aca="false">IFERROR('Price History'!K3+(INDEX('Price History'!K:K,MATCH(9.99E+307,'Returns (Calc)'!$A:$A)+1)-'Price History'!K3)*(ROW()-3)/(MATCH(9.99E+307,'Returns (Calc)'!$A:$A)-3),"")</f>
        <v>72.4049367088608</v>
      </c>
      <c r="AG55" s="156" t="n">
        <f aca="false">IFERROR('Price History'!L3+(INDEX('Price History'!L:L,MATCH(9.99E+307,'Returns (Calc)'!$A:$A)+1)-'Price History'!L3)*(ROW()-3)/(MATCH(9.99E+307,'Returns (Calc)'!$A:$A)-3),"")</f>
        <v>213.126962025316</v>
      </c>
      <c r="AH55" s="156" t="n">
        <f aca="false">IFERROR('Price History'!M3+(INDEX('Price History'!M:M,MATCH(9.99E+307,'Returns (Calc)'!$A:$A)+1)-'Price History'!M3)*(ROW()-3)/(MATCH(9.99E+307,'Returns (Calc)'!$A:$A)-3),"")</f>
        <v>108.503037974684</v>
      </c>
      <c r="AI55" s="156" t="n">
        <f aca="false">IFERROR('Price History'!N3+(INDEX('Price History'!N:N,MATCH(9.99E+307,'Returns (Calc)'!$A:$A)+1)-'Price History'!N3)*(ROW()-3)/(MATCH(9.99E+307,'Returns (Calc)'!$A:$A)-3),"")</f>
        <v>400.18582278481</v>
      </c>
      <c r="AJ55" s="156" t="n">
        <f aca="false">IFERROR('Price History'!O3+(INDEX('Price History'!O:O,MATCH(9.99E+307,'Returns (Calc)'!$A:$A)+1)-'Price History'!O3)*(ROW()-3)/(MATCH(9.99E+307,'Returns (Calc)'!$A:$A)-3),"")</f>
        <v>90.0279746835443</v>
      </c>
      <c r="AK55" s="156" t="n">
        <f aca="false">IFERROR('Price History'!Q3+(INDEX('Price History'!Q:Q,MATCH(9.99E+307,'Returns (Calc)'!$A:$A)+1)-'Price History'!Q3)*(ROW()-3)/(MATCH(9.99E+307,'Returns (Calc)'!$A:$A)-3),"")</f>
        <v>22.8470886075949</v>
      </c>
      <c r="AL55" s="156" t="n">
        <f aca="false">IFERROR('Price History'!R3+(INDEX('Price History'!R:R,MATCH(9.99E+307,'Returns (Calc)'!$A:$A)+1)-'Price History'!R3)*(ROW()-3)/(MATCH(9.99E+307,'Returns (Calc)'!$A:$A)-3),"")</f>
        <v>43.2212658227848</v>
      </c>
      <c r="AM55" s="156" t="n">
        <f aca="false">IFERROR('Price History'!S3+(INDEX('Price History'!S:S,MATCH(9.99E+307,'Returns (Calc)'!$A:$A)+1)-'Price History'!S3)*(ROW()-3)/(MATCH(9.99E+307,'Returns (Calc)'!$A:$A)-3),"")</f>
        <v>89.0932911392405</v>
      </c>
      <c r="AN55" s="156" t="n">
        <f aca="false">IFERROR('Price History'!T3+(INDEX('Price History'!T:T,MATCH(9.99E+307,'Returns (Calc)'!$A:$A)+1)-'Price History'!T3)*(ROW()-3)/(MATCH(9.99E+307,'Returns (Calc)'!$A:$A)-3),"")</f>
        <v>33.9878481012658</v>
      </c>
      <c r="AO55" s="157" t="n">
        <f aca="false">IFERROR('Price History'!V3+(INDEX('Price History'!V:V,MATCH(9.99E+307,'Returns (Calc)'!$A:$A)+1)-'Price History'!V3)*(ROW()-3)/(MATCH(9.99E+307,'Returns (Calc)'!$A:$A)-3),"")</f>
        <v>276.779113924051</v>
      </c>
      <c r="AP55" s="155" t="n">
        <f aca="false">IFERROR(IF(OR(NOT(ISNUMBER('Price History'!W56)),NOT(ISNUMBER('Price History'!W55)),'Price History'!W55=0),"",'Price History'!W56/'Price History'!W55-1),"")</f>
        <v>0.0145427034297243</v>
      </c>
      <c r="AQ55" s="155" t="str">
        <f aca="false">IFERROR(IF(OR(NOT(ISNUMBER('Price History'!X56)),NOT(ISNUMBER('Price History'!X55)),'Price History'!X55=0),"",'Price History'!X56/'Price History'!X55-1),"")</f>
        <v/>
      </c>
      <c r="AR55" s="155" t="n">
        <f aca="false">IFERROR(IF(OR(NOT(ISNUMBER('Price History'!Y56)),NOT(ISNUMBER('Price History'!Y55)),'Price History'!Y55=0),"",'Price History'!Y56/'Price History'!Y55-1),"")</f>
        <v>0.0054358767867928</v>
      </c>
      <c r="AS55" s="155" t="n">
        <f aca="false">IFERROR(IF(OR(NOT(ISNUMBER('Price History'!Z56)),NOT(ISNUMBER('Price History'!Z55)),'Price History'!Z55=0),"",'Price History'!Z56/'Price History'!Z55-1),"")</f>
        <v>0.0513504312301407</v>
      </c>
      <c r="AT55" s="155" t="n">
        <f aca="false">IFERROR(IF(OR(NOT(ISNUMBER('Price History'!AA56)),NOT(ISNUMBER('Price History'!AA55)),'Price History'!AA55=0),"",'Price History'!AA56/'Price History'!AA55-1),"")</f>
        <v>0.00559460622579255</v>
      </c>
      <c r="AU55" s="155" t="n">
        <f aca="false">IFERROR(IF(OR(NOT(ISNUMBER('Price History'!AB56)),NOT(ISNUMBER('Price History'!AB55)),'Price History'!AB55=0),"",'Price History'!AB56/'Price History'!AB55-1),"")</f>
        <v>-0.0140857994952971</v>
      </c>
    </row>
    <row r="56" customFormat="false" ht="15" hidden="false" customHeight="true" outlineLevel="0" collapsed="false">
      <c r="A56" s="153" t="n">
        <f aca="false">IF('Price History'!A57="","",'Price History'!A57)</f>
        <v>45562</v>
      </c>
      <c r="B56" s="154" t="n">
        <f aca="false">IFERROR(IF(OR(NOT(ISNUMBER('Price History'!B57)),NOT(ISNUMBER('Price History'!B56)),'Price History'!B56=0),"",'Price History'!B57/'Price History'!B56-1),"")</f>
        <v>-0.0130576297147232</v>
      </c>
      <c r="C56" s="154" t="n">
        <f aca="false">IFERROR(IF(OR(NOT(ISNUMBER('Price History'!C57)),NOT(ISNUMBER('Price History'!C56)),'Price History'!C56=0),"",'Price History'!C57/'Price History'!C56-1),"")</f>
        <v>-0.0108209343460619</v>
      </c>
      <c r="D56" s="154" t="n">
        <f aca="false">IFERROR(IF(OR(NOT(ISNUMBER('Price History'!D57)),NOT(ISNUMBER('Price History'!D56)),'Price History'!D56=0),"",'Price History'!D57/'Price History'!D56-1),"")</f>
        <v>0.0581714972448444</v>
      </c>
      <c r="E56" s="154" t="n">
        <f aca="false">IFERROR(IF(OR(NOT(ISNUMBER('Price History'!E57)),NOT(ISNUMBER('Price History'!E56)),'Price History'!E56=0),"",'Price History'!E57/'Price History'!E56-1),"")</f>
        <v>0.00927522444854034</v>
      </c>
      <c r="F56" s="154" t="n">
        <f aca="false">IFERROR(IF(OR(NOT(ISNUMBER('Price History'!F57)),NOT(ISNUMBER('Price History'!F56)),'Price History'!F56=0),"",'Price History'!F57/'Price History'!F56-1),"")</f>
        <v>-0.0466915688367129</v>
      </c>
      <c r="G56" s="154" t="n">
        <f aca="false">IFERROR(IF(OR(NOT(ISNUMBER('Price History'!G57)),NOT(ISNUMBER('Price History'!G56)),'Price History'!G56=0),"",'Price History'!G57/'Price History'!G56-1),"")</f>
        <v>0.0310326377742107</v>
      </c>
      <c r="H56" s="154" t="n">
        <f aca="false">IFERROR(IF(OR(NOT(ISNUMBER('Price History'!H57)),NOT(ISNUMBER('Price History'!H56)),'Price History'!H56=0),"",'Price History'!H57/'Price History'!H56-1),"")</f>
        <v>0.182663566921289</v>
      </c>
      <c r="I56" s="154" t="n">
        <f aca="false">IFERROR(IF(OR(NOT(ISNUMBER('Price History'!I57)),NOT(ISNUMBER('Price History'!I56)),'Price History'!I56=0),"",'Price History'!I57/'Price History'!I56-1),"")</f>
        <v>0.0465900250669893</v>
      </c>
      <c r="J56" s="154" t="n">
        <f aca="false">IFERROR(IF(OR(NOT(ISNUMBER('Price History'!J57)),NOT(ISNUMBER('Price History'!J56)),'Price History'!J56=0),"",'Price History'!J57/'Price History'!J56-1),"")</f>
        <v>0.000937286980231766</v>
      </c>
      <c r="K56" s="154" t="n">
        <f aca="false">IFERROR(IF(OR(NOT(ISNUMBER('Price History'!K57)),NOT(ISNUMBER('Price History'!K56)),'Price History'!K56=0),"",'Price History'!K57/'Price History'!K56-1),"")</f>
        <v>-0.00967741935483868</v>
      </c>
      <c r="L56" s="154" t="n">
        <f aca="false">IFERROR(IF(OR(NOT(ISNUMBER('Price History'!L57)),NOT(ISNUMBER('Price History'!L56)),'Price History'!L56=0),"",'Price History'!L57/'Price History'!L56-1),"")</f>
        <v>0.0223085525928544</v>
      </c>
      <c r="M56" s="154" t="n">
        <f aca="false">IFERROR(IF(OR(NOT(ISNUMBER('Price History'!M57)),NOT(ISNUMBER('Price History'!M56)),'Price History'!M56=0),"",'Price History'!M57/'Price History'!M56-1),"")</f>
        <v>0.0409288516594211</v>
      </c>
      <c r="N56" s="154" t="n">
        <f aca="false">IFERROR(IF(OR(NOT(ISNUMBER('Price History'!N57)),NOT(ISNUMBER('Price History'!N56)),'Price History'!N56=0),"",'Price History'!N57/'Price History'!N56-1),"")</f>
        <v>-0.00438785167340627</v>
      </c>
      <c r="O56" s="154" t="n">
        <f aca="false">IFERROR(IF(OR(NOT(ISNUMBER('Price History'!O57)),NOT(ISNUMBER('Price History'!O56)),'Price History'!O56=0),"",'Price History'!O57/'Price History'!O56-1),"")</f>
        <v>0.000431778929188331</v>
      </c>
      <c r="P56" s="154" t="n">
        <f aca="false">IFERROR(IF(OR(NOT(ISNUMBER('Price History'!P57)),NOT(ISNUMBER('Price History'!P56)),'Price History'!P56=0),"",'Price History'!P57/'Price History'!P56-1),"")</f>
        <v>0.00770651039576142</v>
      </c>
      <c r="Q56" s="154" t="n">
        <f aca="false">IFERROR(IF(OR(NOT(ISNUMBER('Price History'!Q57)),NOT(ISNUMBER('Price History'!Q56)),'Price History'!Q56=0),"",'Price History'!Q57/'Price History'!Q56-1),"")</f>
        <v>0.0068653717347622</v>
      </c>
      <c r="R56" s="154" t="n">
        <f aca="false">IFERROR(IF(OR(NOT(ISNUMBER('Price History'!R57)),NOT(ISNUMBER('Price History'!R56)),'Price History'!R56=0),"",'Price History'!R57/'Price History'!R56-1),"")</f>
        <v>0.00698324022346353</v>
      </c>
      <c r="S56" s="154" t="n">
        <f aca="false">IFERROR(IF(OR(NOT(ISNUMBER('Price History'!S57)),NOT(ISNUMBER('Price History'!S56)),'Price History'!S56=0),"",'Price History'!S57/'Price History'!S56-1),"")</f>
        <v>-0.00134786027181855</v>
      </c>
      <c r="T56" s="154" t="n">
        <f aca="false">IFERROR(IF(OR(NOT(ISNUMBER('Price History'!T57)),NOT(ISNUMBER('Price History'!T56)),'Price History'!T56=0),"",'Price History'!T57/'Price History'!T56-1),"")</f>
        <v>0.00217054263565886</v>
      </c>
      <c r="U56" s="154" t="n">
        <f aca="false">IFERROR(IF(OR(NOT(ISNUMBER('Price History'!U57)),NOT(ISNUMBER('Price History'!U56)),'Price History'!U56=0),"",'Price History'!U57/'Price History'!U56-1),"")</f>
        <v>0.00616095494801705</v>
      </c>
      <c r="V56" s="155" t="n">
        <f aca="false">IFERROR(IF(OR(NOT(ISNUMBER('Price History'!V57)),NOT(ISNUMBER('Price History'!V56)),'Price History'!V56=0),"",'Price History'!V57/'Price History'!V56-1),"")</f>
        <v>-0.0337206815427391</v>
      </c>
      <c r="W56" s="156" t="n">
        <f aca="false">IFERROR('Price History'!B3+(INDEX('Price History'!B:B,MATCH(9.99E+307,'Returns (Calc)'!$A:$A)+1)-'Price History'!B3)*(ROW()-3)/(MATCH(9.99E+307,'Returns (Calc)'!$A:$A)-3),"")</f>
        <v>431.208987341772</v>
      </c>
      <c r="X56" s="156" t="n">
        <f aca="false">IFERROR('Price History'!C3+(INDEX('Price History'!C:C,MATCH(9.99E+307,'Returns (Calc)'!$A:$A)+1)-'Price History'!C3)*(ROW()-3)/(MATCH(9.99E+307,'Returns (Calc)'!$A:$A)-3),"")</f>
        <v>100.24335443038</v>
      </c>
      <c r="Y56" s="156" t="n">
        <f aca="false">IFERROR('Price History'!D3+(INDEX('Price History'!D:D,MATCH(9.99E+307,'Returns (Calc)'!$A:$A)+1)-'Price History'!D3)*(ROW()-3)/(MATCH(9.99E+307,'Returns (Calc)'!$A:$A)-3),"")</f>
        <v>1013.15493670886</v>
      </c>
      <c r="Z56" s="156" t="n">
        <f aca="false">IFERROR('Price History'!E3+(INDEX('Price History'!E:E,MATCH(9.99E+307,'Returns (Calc)'!$A:$A)+1)-'Price History'!E3)*(ROW()-3)/(MATCH(9.99E+307,'Returns (Calc)'!$A:$A)-3),"")</f>
        <v>173.622911392405</v>
      </c>
      <c r="AA56" s="156" t="n">
        <f aca="false">IFERROR('Price History'!F3+(INDEX('Price History'!F:F,MATCH(9.99E+307,'Returns (Calc)'!$A:$A)+1)-'Price History'!F3)*(ROW()-3)/(MATCH(9.99E+307,'Returns (Calc)'!$A:$A)-3),"")</f>
        <v>118.069113924051</v>
      </c>
      <c r="AB56" s="156" t="n">
        <f aca="false">IFERROR('Price History'!G3+(INDEX('Price History'!G:G,MATCH(9.99E+307,'Returns (Calc)'!$A:$A)+1)-'Price History'!G3)*(ROW()-3)/(MATCH(9.99E+307,'Returns (Calc)'!$A:$A)-3),"")</f>
        <v>98.8729113924051</v>
      </c>
      <c r="AC56" s="156" t="n">
        <f aca="false">IFERROR('Price History'!H3+(INDEX('Price History'!H:H,MATCH(9.99E+307,'Returns (Calc)'!$A:$A)+1)-'Price History'!H3)*(ROW()-3)/(MATCH(9.99E+307,'Returns (Calc)'!$A:$A)-3),"")</f>
        <v>406.491898734177</v>
      </c>
      <c r="AD56" s="156" t="n">
        <f aca="false">IFERROR('Price History'!I3+(INDEX('Price History'!I:I,MATCH(9.99E+307,'Returns (Calc)'!$A:$A)+1)-'Price History'!I3)*(ROW()-3)/(MATCH(9.99E+307,'Returns (Calc)'!$A:$A)-3),"")</f>
        <v>107.564556962025</v>
      </c>
      <c r="AE56" s="156" t="n">
        <f aca="false">IFERROR('Price History'!J3+(INDEX('Price History'!J:J,MATCH(9.99E+307,'Returns (Calc)'!$A:$A)+1)-'Price History'!J3)*(ROW()-3)/(MATCH(9.99E+307,'Returns (Calc)'!$A:$A)-3),"")</f>
        <v>117.566012658228</v>
      </c>
      <c r="AF56" s="156" t="n">
        <f aca="false">IFERROR('Price History'!K3+(INDEX('Price History'!K:K,MATCH(9.99E+307,'Returns (Calc)'!$A:$A)+1)-'Price History'!K3)*(ROW()-3)/(MATCH(9.99E+307,'Returns (Calc)'!$A:$A)-3),"")</f>
        <v>73.5025316455696</v>
      </c>
      <c r="AG56" s="156" t="n">
        <f aca="false">IFERROR('Price History'!L3+(INDEX('Price History'!L:L,MATCH(9.99E+307,'Returns (Calc)'!$A:$A)+1)-'Price History'!L3)*(ROW()-3)/(MATCH(9.99E+307,'Returns (Calc)'!$A:$A)-3),"")</f>
        <v>215.576518987342</v>
      </c>
      <c r="AH56" s="156" t="n">
        <f aca="false">IFERROR('Price History'!M3+(INDEX('Price History'!M:M,MATCH(9.99E+307,'Returns (Calc)'!$A:$A)+1)-'Price History'!M3)*(ROW()-3)/(MATCH(9.99E+307,'Returns (Calc)'!$A:$A)-3),"")</f>
        <v>109.858481012658</v>
      </c>
      <c r="AI56" s="156" t="n">
        <f aca="false">IFERROR('Price History'!N3+(INDEX('Price History'!N:N,MATCH(9.99E+307,'Returns (Calc)'!$A:$A)+1)-'Price History'!N3)*(ROW()-3)/(MATCH(9.99E+307,'Returns (Calc)'!$A:$A)-3),"")</f>
        <v>401.172088607595</v>
      </c>
      <c r="AJ56" s="156" t="n">
        <f aca="false">IFERROR('Price History'!O3+(INDEX('Price History'!O:O,MATCH(9.99E+307,'Returns (Calc)'!$A:$A)+1)-'Price History'!O3)*(ROW()-3)/(MATCH(9.99E+307,'Returns (Calc)'!$A:$A)-3),"")</f>
        <v>90.3110126582279</v>
      </c>
      <c r="AK56" s="156" t="n">
        <f aca="false">IFERROR('Price History'!Q3+(INDEX('Price History'!Q:Q,MATCH(9.99E+307,'Returns (Calc)'!$A:$A)+1)-'Price History'!Q3)*(ROW()-3)/(MATCH(9.99E+307,'Returns (Calc)'!$A:$A)-3),"")</f>
        <v>23.2864556962025</v>
      </c>
      <c r="AL56" s="156" t="n">
        <f aca="false">IFERROR('Price History'!R3+(INDEX('Price History'!R:R,MATCH(9.99E+307,'Returns (Calc)'!$A:$A)+1)-'Price History'!R3)*(ROW()-3)/(MATCH(9.99E+307,'Returns (Calc)'!$A:$A)-3),"")</f>
        <v>43.3893670886076</v>
      </c>
      <c r="AM56" s="156" t="n">
        <f aca="false">IFERROR('Price History'!S3+(INDEX('Price History'!S:S,MATCH(9.99E+307,'Returns (Calc)'!$A:$A)+1)-'Price History'!S3)*(ROW()-3)/(MATCH(9.99E+307,'Returns (Calc)'!$A:$A)-3),"")</f>
        <v>89.6983544303797</v>
      </c>
      <c r="AN56" s="156" t="n">
        <f aca="false">IFERROR('Price History'!T3+(INDEX('Price History'!T:T,MATCH(9.99E+307,'Returns (Calc)'!$A:$A)+1)-'Price History'!T3)*(ROW()-3)/(MATCH(9.99E+307,'Returns (Calc)'!$A:$A)-3),"")</f>
        <v>34.1560759493671</v>
      </c>
      <c r="AO56" s="157" t="n">
        <f aca="false">IFERROR('Price History'!V3+(INDEX('Price History'!V:V,MATCH(9.99E+307,'Returns (Calc)'!$A:$A)+1)-'Price History'!V3)*(ROW()-3)/(MATCH(9.99E+307,'Returns (Calc)'!$A:$A)-3),"")</f>
        <v>277.570443037975</v>
      </c>
      <c r="AP56" s="155" t="n">
        <f aca="false">IFERROR(IF(OR(NOT(ISNUMBER('Price History'!W57)),NOT(ISNUMBER('Price History'!W56)),'Price History'!W56=0),"",'Price History'!W57/'Price History'!W56-1),"")</f>
        <v>0.00596569724086504</v>
      </c>
      <c r="AQ56" s="155" t="str">
        <f aca="false">IFERROR(IF(OR(NOT(ISNUMBER('Price History'!X57)),NOT(ISNUMBER('Price History'!X56)),'Price History'!X56=0),"",'Price History'!X57/'Price History'!X56-1),"")</f>
        <v/>
      </c>
      <c r="AR56" s="155" t="n">
        <f aca="false">IFERROR(IF(OR(NOT(ISNUMBER('Price History'!Y57)),NOT(ISNUMBER('Price History'!Y56)),'Price History'!Y56=0),"",'Price History'!Y57/'Price History'!Y56-1),"")</f>
        <v>0.00440528634361237</v>
      </c>
      <c r="AS56" s="155" t="n">
        <f aca="false">IFERROR(IF(OR(NOT(ISNUMBER('Price History'!Z57)),NOT(ISNUMBER('Price History'!Z56)),'Price History'!Z56=0),"",'Price History'!Z57/'Price History'!Z56-1),"")</f>
        <v>-0.00949862377894106</v>
      </c>
      <c r="AT56" s="155" t="n">
        <f aca="false">IFERROR(IF(OR(NOT(ISNUMBER('Price History'!AA57)),NOT(ISNUMBER('Price History'!AA56)),'Price History'!AA56=0),"",'Price History'!AA57/'Price History'!AA56-1),"")</f>
        <v>0.00912981455064199</v>
      </c>
      <c r="AU56" s="155" t="n">
        <f aca="false">IFERROR(IF(OR(NOT(ISNUMBER('Price History'!AB57)),NOT(ISNUMBER('Price History'!AB56)),'Price History'!AB56=0),"",'Price History'!AB57/'Price History'!AB56-1),"")</f>
        <v>-0.0187546537602383</v>
      </c>
    </row>
    <row r="57" customFormat="false" ht="15" hidden="false" customHeight="true" outlineLevel="0" collapsed="false">
      <c r="A57" s="153" t="n">
        <f aca="false">IF('Price History'!A58="","",'Price History'!A58)</f>
        <v>45569</v>
      </c>
      <c r="B57" s="154" t="n">
        <f aca="false">IFERROR(IF(OR(NOT(ISNUMBER('Price History'!B58)),NOT(ISNUMBER('Price History'!B57)),'Price History'!B57=0),"",'Price History'!B58/'Price History'!B57-1),"")</f>
        <v>-0.0160239000543183</v>
      </c>
      <c r="C57" s="154" t="n">
        <f aca="false">IFERROR(IF(OR(NOT(ISNUMBER('Price History'!C58)),NOT(ISNUMBER('Price History'!C57)),'Price History'!C57=0),"",'Price History'!C58/'Price History'!C57-1),"")</f>
        <v>0.0412327758493742</v>
      </c>
      <c r="D57" s="154" t="n">
        <f aca="false">IFERROR(IF(OR(NOT(ISNUMBER('Price History'!D58)),NOT(ISNUMBER('Price History'!D57)),'Price History'!D57=0),"",'Price History'!D58/'Price History'!D57-1),"")</f>
        <v>-0.0101489724165428</v>
      </c>
      <c r="E57" s="154" t="n">
        <f aca="false">IFERROR(IF(OR(NOT(ISNUMBER('Price History'!E58)),NOT(ISNUMBER('Price History'!E57)),'Price History'!E57=0),"",'Price History'!E58/'Price History'!E57-1),"")</f>
        <v>0.0228571428571429</v>
      </c>
      <c r="F57" s="154" t="n">
        <f aca="false">IFERROR(IF(OR(NOT(ISNUMBER('Price History'!F58)),NOT(ISNUMBER('Price History'!F57)),'Price History'!F57=0),"",'Price History'!F58/'Price History'!F57-1),"")</f>
        <v>0.0223901483347329</v>
      </c>
      <c r="G57" s="154" t="n">
        <f aca="false">IFERROR(IF(OR(NOT(ISNUMBER('Price History'!G58)),NOT(ISNUMBER('Price History'!G57)),'Price History'!G57=0),"",'Price History'!G58/'Price History'!G57-1),"")</f>
        <v>0.0063570316554229</v>
      </c>
      <c r="H57" s="154" t="n">
        <f aca="false">IFERROR(IF(OR(NOT(ISNUMBER('Price History'!H58)),NOT(ISNUMBER('Price History'!H57)),'Price History'!H57=0),"",'Price History'!H58/'Price History'!H57-1),"")</f>
        <v>-0.0488626790227464</v>
      </c>
      <c r="I57" s="154" t="n">
        <f aca="false">IFERROR(IF(OR(NOT(ISNUMBER('Price History'!I58)),NOT(ISNUMBER('Price History'!I57)),'Price History'!I57=0),"",'Price History'!I58/'Price History'!I57-1),"")</f>
        <v>0.0289890981169476</v>
      </c>
      <c r="J57" s="154" t="n">
        <f aca="false">IFERROR(IF(OR(NOT(ISNUMBER('Price History'!J58)),NOT(ISNUMBER('Price History'!J57)),'Price History'!J57=0),"",'Price History'!J58/'Price History'!J57-1),"")</f>
        <v>-0.0251979228739252</v>
      </c>
      <c r="K57" s="154" t="n">
        <f aca="false">IFERROR(IF(OR(NOT(ISNUMBER('Price History'!K58)),NOT(ISNUMBER('Price History'!K57)),'Price History'!K57=0),"",'Price History'!K58/'Price History'!K57-1),"")</f>
        <v>0.0860477741585233</v>
      </c>
      <c r="L57" s="154" t="n">
        <f aca="false">IFERROR(IF(OR(NOT(ISNUMBER('Price History'!L58)),NOT(ISNUMBER('Price History'!L57)),'Price History'!L57=0),"",'Price History'!L58/'Price History'!L57-1),"")</f>
        <v>0.0179640718562875</v>
      </c>
      <c r="M57" s="154" t="n">
        <f aca="false">IFERROR(IF(OR(NOT(ISNUMBER('Price History'!M58)),NOT(ISNUMBER('Price History'!M57)),'Price History'!M57=0),"",'Price History'!M58/'Price History'!M57-1),"")</f>
        <v>0.0690638687990222</v>
      </c>
      <c r="N57" s="154" t="n">
        <f aca="false">IFERROR(IF(OR(NOT(ISNUMBER('Price History'!N58)),NOT(ISNUMBER('Price History'!N57)),'Price History'!N57=0),"",'Price History'!N58/'Price History'!N57-1),"")</f>
        <v>-0.0163541306602143</v>
      </c>
      <c r="O57" s="154" t="n">
        <f aca="false">IFERROR(IF(OR(NOT(ISNUMBER('Price History'!O58)),NOT(ISNUMBER('Price History'!O57)),'Price History'!O57=0),"",'Price History'!O58/'Price History'!O57-1),"")</f>
        <v>0.00280535174794982</v>
      </c>
      <c r="P57" s="154" t="n">
        <f aca="false">IFERROR(IF(OR(NOT(ISNUMBER('Price History'!P58)),NOT(ISNUMBER('Price History'!P57)),'Price History'!P57=0),"",'Price History'!P58/'Price History'!P57-1),"")</f>
        <v>-0.00398311160678722</v>
      </c>
      <c r="Q57" s="154" t="n">
        <f aca="false">IFERROR(IF(OR(NOT(ISNUMBER('Price History'!Q58)),NOT(ISNUMBER('Price History'!Q57)),'Price History'!Q57=0),"",'Price History'!Q58/'Price History'!Q57-1),"")</f>
        <v>0.00133045069017124</v>
      </c>
      <c r="R57" s="154" t="n">
        <f aca="false">IFERROR(IF(OR(NOT(ISNUMBER('Price History'!R58)),NOT(ISNUMBER('Price History'!R57)),'Price History'!R57=0),"",'Price History'!R58/'Price History'!R57-1),"")</f>
        <v>0.00231160425335175</v>
      </c>
      <c r="S57" s="154" t="n">
        <f aca="false">IFERROR(IF(OR(NOT(ISNUMBER('Price History'!S58)),NOT(ISNUMBER('Price History'!S57)),'Price History'!S57=0),"",'Price History'!S58/'Price History'!S57-1),"")</f>
        <v>0.014958947250028</v>
      </c>
      <c r="T57" s="154" t="n">
        <f aca="false">IFERROR(IF(OR(NOT(ISNUMBER('Price History'!T58)),NOT(ISNUMBER('Price History'!T57)),'Price History'!T57=0),"",'Price History'!T58/'Price History'!T57-1),"")</f>
        <v>0.0185643564356437</v>
      </c>
      <c r="U57" s="154" t="n">
        <f aca="false">IFERROR(IF(OR(NOT(ISNUMBER('Price History'!U58)),NOT(ISNUMBER('Price History'!U57)),'Price History'!U57=0),"",'Price History'!U58/'Price History'!U57-1),"")</f>
        <v>0.00497512437810954</v>
      </c>
      <c r="V57" s="155" t="n">
        <f aca="false">IFERROR(IF(OR(NOT(ISNUMBER('Price History'!V58)),NOT(ISNUMBER('Price History'!V57)),'Price History'!V57=0),"",'Price History'!V58/'Price History'!V57-1),"")</f>
        <v>0.010033938320791</v>
      </c>
      <c r="W57" s="156" t="n">
        <f aca="false">IFERROR('Price History'!B3+(INDEX('Price History'!B:B,MATCH(9.99E+307,'Returns (Calc)'!$A:$A)+1)-'Price History'!B3)*(ROW()-3)/(MATCH(9.99E+307,'Returns (Calc)'!$A:$A)-3),"")</f>
        <v>429.365949367089</v>
      </c>
      <c r="X57" s="156" t="n">
        <f aca="false">IFERROR('Price History'!C3+(INDEX('Price History'!C:C,MATCH(9.99E+307,'Returns (Calc)'!$A:$A)+1)-'Price History'!C3)*(ROW()-3)/(MATCH(9.99E+307,'Returns (Calc)'!$A:$A)-3),"")</f>
        <v>101.263417721519</v>
      </c>
      <c r="Y57" s="156" t="n">
        <f aca="false">IFERROR('Price History'!D3+(INDEX('Price History'!D:D,MATCH(9.99E+307,'Returns (Calc)'!$A:$A)+1)-'Price History'!D3)*(ROW()-3)/(MATCH(9.99E+307,'Returns (Calc)'!$A:$A)-3),"")</f>
        <v>1021.28974683544</v>
      </c>
      <c r="Z57" s="156" t="n">
        <f aca="false">IFERROR('Price History'!E3+(INDEX('Price History'!E:E,MATCH(9.99E+307,'Returns (Calc)'!$A:$A)+1)-'Price History'!E3)*(ROW()-3)/(MATCH(9.99E+307,'Returns (Calc)'!$A:$A)-3),"")</f>
        <v>175.35164556962</v>
      </c>
      <c r="AA57" s="156" t="n">
        <f aca="false">IFERROR('Price History'!F3+(INDEX('Price History'!F:F,MATCH(9.99E+307,'Returns (Calc)'!$A:$A)+1)-'Price History'!F3)*(ROW()-3)/(MATCH(9.99E+307,'Returns (Calc)'!$A:$A)-3),"")</f>
        <v>119.516455696203</v>
      </c>
      <c r="AB57" s="156" t="n">
        <f aca="false">IFERROR('Price History'!G3+(INDEX('Price History'!G:G,MATCH(9.99E+307,'Returns (Calc)'!$A:$A)+1)-'Price History'!G3)*(ROW()-3)/(MATCH(9.99E+307,'Returns (Calc)'!$A:$A)-3),"")</f>
        <v>99.9016455696203</v>
      </c>
      <c r="AC57" s="156" t="n">
        <f aca="false">IFERROR('Price History'!H3+(INDEX('Price History'!H:H,MATCH(9.99E+307,'Returns (Calc)'!$A:$A)+1)-'Price History'!H3)*(ROW()-3)/(MATCH(9.99E+307,'Returns (Calc)'!$A:$A)-3),"")</f>
        <v>412.857594936709</v>
      </c>
      <c r="AD57" s="156" t="n">
        <f aca="false">IFERROR('Price History'!I3+(INDEX('Price History'!I:I,MATCH(9.99E+307,'Returns (Calc)'!$A:$A)+1)-'Price History'!I3)*(ROW()-3)/(MATCH(9.99E+307,'Returns (Calc)'!$A:$A)-3),"")</f>
        <v>108.768227848101</v>
      </c>
      <c r="AE57" s="156" t="n">
        <f aca="false">IFERROR('Price History'!J3+(INDEX('Price History'!J:J,MATCH(9.99E+307,'Returns (Calc)'!$A:$A)+1)-'Price History'!J3)*(ROW()-3)/(MATCH(9.99E+307,'Returns (Calc)'!$A:$A)-3),"")</f>
        <v>117.674050632911</v>
      </c>
      <c r="AF57" s="156" t="n">
        <f aca="false">IFERROR('Price History'!K3+(INDEX('Price History'!K:K,MATCH(9.99E+307,'Returns (Calc)'!$A:$A)+1)-'Price History'!K3)*(ROW()-3)/(MATCH(9.99E+307,'Returns (Calc)'!$A:$A)-3),"")</f>
        <v>74.6001265822785</v>
      </c>
      <c r="AG57" s="156" t="n">
        <f aca="false">IFERROR('Price History'!L3+(INDEX('Price History'!L:L,MATCH(9.99E+307,'Returns (Calc)'!$A:$A)+1)-'Price History'!L3)*(ROW()-3)/(MATCH(9.99E+307,'Returns (Calc)'!$A:$A)-3),"")</f>
        <v>218.026075949367</v>
      </c>
      <c r="AH57" s="156" t="n">
        <f aca="false">IFERROR('Price History'!M3+(INDEX('Price History'!M:M,MATCH(9.99E+307,'Returns (Calc)'!$A:$A)+1)-'Price History'!M3)*(ROW()-3)/(MATCH(9.99E+307,'Returns (Calc)'!$A:$A)-3),"")</f>
        <v>111.213924050633</v>
      </c>
      <c r="AI57" s="156" t="n">
        <f aca="false">IFERROR('Price History'!N3+(INDEX('Price History'!N:N,MATCH(9.99E+307,'Returns (Calc)'!$A:$A)+1)-'Price History'!N3)*(ROW()-3)/(MATCH(9.99E+307,'Returns (Calc)'!$A:$A)-3),"")</f>
        <v>402.15835443038</v>
      </c>
      <c r="AJ57" s="156" t="n">
        <f aca="false">IFERROR('Price History'!O3+(INDEX('Price History'!O:O,MATCH(9.99E+307,'Returns (Calc)'!$A:$A)+1)-'Price History'!O3)*(ROW()-3)/(MATCH(9.99E+307,'Returns (Calc)'!$A:$A)-3),"")</f>
        <v>90.5940506329114</v>
      </c>
      <c r="AK57" s="156" t="n">
        <f aca="false">IFERROR('Price History'!Q3+(INDEX('Price History'!Q:Q,MATCH(9.99E+307,'Returns (Calc)'!$A:$A)+1)-'Price History'!Q3)*(ROW()-3)/(MATCH(9.99E+307,'Returns (Calc)'!$A:$A)-3),"")</f>
        <v>23.7258227848101</v>
      </c>
      <c r="AL57" s="156" t="n">
        <f aca="false">IFERROR('Price History'!R3+(INDEX('Price History'!R:R,MATCH(9.99E+307,'Returns (Calc)'!$A:$A)+1)-'Price History'!R3)*(ROW()-3)/(MATCH(9.99E+307,'Returns (Calc)'!$A:$A)-3),"")</f>
        <v>43.5574683544304</v>
      </c>
      <c r="AM57" s="156" t="n">
        <f aca="false">IFERROR('Price History'!S3+(INDEX('Price History'!S:S,MATCH(9.99E+307,'Returns (Calc)'!$A:$A)+1)-'Price History'!S3)*(ROW()-3)/(MATCH(9.99E+307,'Returns (Calc)'!$A:$A)-3),"")</f>
        <v>90.303417721519</v>
      </c>
      <c r="AN57" s="156" t="n">
        <f aca="false">IFERROR('Price History'!T3+(INDEX('Price History'!T:T,MATCH(9.99E+307,'Returns (Calc)'!$A:$A)+1)-'Price History'!T3)*(ROW()-3)/(MATCH(9.99E+307,'Returns (Calc)'!$A:$A)-3),"")</f>
        <v>34.3243037974684</v>
      </c>
      <c r="AO57" s="157" t="n">
        <f aca="false">IFERROR('Price History'!V3+(INDEX('Price History'!V:V,MATCH(9.99E+307,'Returns (Calc)'!$A:$A)+1)-'Price History'!V3)*(ROW()-3)/(MATCH(9.99E+307,'Returns (Calc)'!$A:$A)-3),"")</f>
        <v>278.361772151899</v>
      </c>
      <c r="AP57" s="155" t="n">
        <f aca="false">IFERROR(IF(OR(NOT(ISNUMBER('Price History'!W58)),NOT(ISNUMBER('Price History'!W57)),'Price History'!W57=0),"",'Price History'!W58/'Price History'!W57-1),"")</f>
        <v>0.00716580182851501</v>
      </c>
      <c r="AQ57" s="155" t="str">
        <f aca="false">IFERROR(IF(OR(NOT(ISNUMBER('Price History'!X58)),NOT(ISNUMBER('Price History'!X57)),'Price History'!X57=0),"",'Price History'!X58/'Price History'!X57-1),"")</f>
        <v/>
      </c>
      <c r="AR57" s="155" t="n">
        <f aca="false">IFERROR(IF(OR(NOT(ISNUMBER('Price History'!Y58)),NOT(ISNUMBER('Price History'!Y57)),'Price History'!Y57=0),"",'Price History'!Y58/'Price History'!Y57-1),"")</f>
        <v>0.00219298245614041</v>
      </c>
      <c r="AS57" s="155" t="n">
        <f aca="false">IFERROR(IF(OR(NOT(ISNUMBER('Price History'!Z58)),NOT(ISNUMBER('Price History'!Z57)),'Price History'!Z57=0),"",'Price History'!Z58/'Price History'!Z57-1),"")</f>
        <v>0.00920830381953897</v>
      </c>
      <c r="AT57" s="155" t="n">
        <f aca="false">IFERROR(IF(OR(NOT(ISNUMBER('Price History'!AA58)),NOT(ISNUMBER('Price History'!AA57)),'Price History'!AA57=0),"",'Price History'!AA58/'Price History'!AA57-1),"")</f>
        <v>0.0173876166242579</v>
      </c>
      <c r="AU57" s="155" t="n">
        <f aca="false">IFERROR(IF(OR(NOT(ISNUMBER('Price History'!AB58)),NOT(ISNUMBER('Price History'!AB57)),'Price History'!AB57=0),"",'Price History'!AB58/'Price History'!AB57-1),"")</f>
        <v>-0.0293099359734409</v>
      </c>
    </row>
    <row r="58" customFormat="false" ht="15" hidden="false" customHeight="true" outlineLevel="0" collapsed="false">
      <c r="A58" s="153" t="n">
        <f aca="false">IF('Price History'!A59="","",'Price History'!A59)</f>
        <v>45576</v>
      </c>
      <c r="B58" s="154" t="n">
        <f aca="false">IFERROR(IF(OR(NOT(ISNUMBER('Price History'!B59)),NOT(ISNUMBER('Price History'!B58)),'Price History'!B58=0),"",'Price History'!B59/'Price History'!B58-1),"")</f>
        <v>-0.0232640668743346</v>
      </c>
      <c r="C58" s="154" t="n">
        <f aca="false">IFERROR(IF(OR(NOT(ISNUMBER('Price History'!C59)),NOT(ISNUMBER('Price History'!C58)),'Price History'!C58=0),"",'Price History'!C59/'Price History'!C58-1),"")</f>
        <v>0.0529346398626125</v>
      </c>
      <c r="D58" s="154" t="n">
        <f aca="false">IFERROR(IF(OR(NOT(ISNUMBER('Price History'!D59)),NOT(ISNUMBER('Price History'!D58)),'Price History'!D58=0),"",'Price History'!D59/'Price History'!D58-1),"")</f>
        <v>0.00922772712292663</v>
      </c>
      <c r="E58" s="154" t="n">
        <f aca="false">IFERROR(IF(OR(NOT(ISNUMBER('Price History'!E59)),NOT(ISNUMBER('Price History'!E58)),'Price History'!E58=0),"",'Price History'!E59/'Price History'!E58-1),"")</f>
        <v>0.0274146172896388</v>
      </c>
      <c r="F58" s="154" t="n">
        <f aca="false">IFERROR(IF(OR(NOT(ISNUMBER('Price History'!F59)),NOT(ISNUMBER('Price History'!F58)),'Price History'!F58=0),"",'Price History'!F59/'Price History'!F58-1),"")</f>
        <v>0.0956747878456064</v>
      </c>
      <c r="G58" s="154" t="n">
        <f aca="false">IFERROR(IF(OR(NOT(ISNUMBER('Price History'!G59)),NOT(ISNUMBER('Price History'!G58)),'Price History'!G58=0),"",'Price History'!G59/'Price History'!G58-1),"")</f>
        <v>0.0207554466933095</v>
      </c>
      <c r="H58" s="154" t="n">
        <f aca="false">IFERROR(IF(OR(NOT(ISNUMBER('Price History'!H59)),NOT(ISNUMBER('Price History'!H58)),'Price History'!H58=0),"",'Price History'!H59/'Price History'!H58-1),"")</f>
        <v>0.0468457828953843</v>
      </c>
      <c r="I58" s="154" t="n">
        <f aca="false">IFERROR(IF(OR(NOT(ISNUMBER('Price History'!I59)),NOT(ISNUMBER('Price History'!I58)),'Price History'!I58=0),"",'Price History'!I59/'Price History'!I58-1),"")</f>
        <v>0.0790593145517295</v>
      </c>
      <c r="J58" s="154" t="n">
        <f aca="false">IFERROR(IF(OR(NOT(ISNUMBER('Price History'!J59)),NOT(ISNUMBER('Price History'!J58)),'Price History'!J58=0),"",'Price History'!J59/'Price History'!J58-1),"")</f>
        <v>-0.0178150379879487</v>
      </c>
      <c r="K58" s="154" t="n">
        <f aca="false">IFERROR(IF(OR(NOT(ISNUMBER('Price History'!K59)),NOT(ISNUMBER('Price History'!K58)),'Price History'!K58=0),"",'Price History'!K59/'Price History'!K58-1),"")</f>
        <v>0.0874781304673831</v>
      </c>
      <c r="L58" s="154" t="n">
        <f aca="false">IFERROR(IF(OR(NOT(ISNUMBER('Price History'!L59)),NOT(ISNUMBER('Price History'!L58)),'Price History'!L58=0),"",'Price History'!L59/'Price History'!L58-1),"")</f>
        <v>0.0532239819004525</v>
      </c>
      <c r="M58" s="154" t="n">
        <f aca="false">IFERROR(IF(OR(NOT(ISNUMBER('Price History'!M59)),NOT(ISNUMBER('Price History'!M58)),'Price History'!M58=0),"",'Price History'!M59/'Price History'!M58-1),"")</f>
        <v>0.0630776560266793</v>
      </c>
      <c r="N58" s="154" t="n">
        <f aca="false">IFERROR(IF(OR(NOT(ISNUMBER('Price History'!N59)),NOT(ISNUMBER('Price History'!N58)),'Price History'!N58=0),"",'Price History'!N59/'Price History'!N58-1),"")</f>
        <v>0.0579824734796073</v>
      </c>
      <c r="O58" s="154" t="n">
        <f aca="false">IFERROR(IF(OR(NOT(ISNUMBER('Price History'!O59)),NOT(ISNUMBER('Price History'!O58)),'Price History'!O58=0),"",'Price History'!O59/'Price History'!O58-1),"")</f>
        <v>0.0119431891542932</v>
      </c>
      <c r="P58" s="154" t="n">
        <f aca="false">IFERROR(IF(OR(NOT(ISNUMBER('Price History'!P59)),NOT(ISNUMBER('Price History'!P58)),'Price History'!P58=0),"",'Price History'!P59/'Price History'!P58-1),"")</f>
        <v>0.000559865632248302</v>
      </c>
      <c r="Q58" s="154" t="n">
        <f aca="false">IFERROR(IF(OR(NOT(ISNUMBER('Price History'!Q59)),NOT(ISNUMBER('Price History'!Q58)),'Price History'!Q58=0),"",'Price History'!Q59/'Price History'!Q58-1),"")</f>
        <v>0.00813818302607539</v>
      </c>
      <c r="R58" s="154" t="n">
        <f aca="false">IFERROR(IF(OR(NOT(ISNUMBER('Price History'!R59)),NOT(ISNUMBER('Price History'!R58)),'Price History'!R58=0),"",'Price History'!R59/'Price History'!R58-1),"")</f>
        <v>0.00899446494464939</v>
      </c>
      <c r="S58" s="154" t="n">
        <f aca="false">IFERROR(IF(OR(NOT(ISNUMBER('Price History'!S59)),NOT(ISNUMBER('Price History'!S58)),'Price History'!S58=0),"",'Price History'!S59/'Price History'!S58-1),"")</f>
        <v>0.0216090425531916</v>
      </c>
      <c r="T58" s="154" t="n">
        <f aca="false">IFERROR(IF(OR(NOT(ISNUMBER('Price History'!T59)),NOT(ISNUMBER('Price History'!T58)),'Price History'!T58=0),"",'Price History'!T59/'Price History'!T58-1),"")</f>
        <v>0.00425273390036463</v>
      </c>
      <c r="U58" s="154" t="n">
        <f aca="false">IFERROR(IF(OR(NOT(ISNUMBER('Price History'!U59)),NOT(ISNUMBER('Price History'!U58)),'Price History'!U58=0),"",'Price History'!U59/'Price History'!U58-1),"")</f>
        <v>0.0114242193450114</v>
      </c>
      <c r="V58" s="155" t="n">
        <f aca="false">IFERROR(IF(OR(NOT(ISNUMBER('Price History'!V59)),NOT(ISNUMBER('Price History'!V58)),'Price History'!V58=0),"",'Price History'!V59/'Price History'!V58-1),"")</f>
        <v>-0.000328707085463953</v>
      </c>
      <c r="W58" s="156" t="n">
        <f aca="false">IFERROR('Price History'!B3+(INDEX('Price History'!B:B,MATCH(9.99E+307,'Returns (Calc)'!$A:$A)+1)-'Price History'!B3)*(ROW()-3)/(MATCH(9.99E+307,'Returns (Calc)'!$A:$A)-3),"")</f>
        <v>427.522911392405</v>
      </c>
      <c r="X58" s="156" t="n">
        <f aca="false">IFERROR('Price History'!C3+(INDEX('Price History'!C:C,MATCH(9.99E+307,'Returns (Calc)'!$A:$A)+1)-'Price History'!C3)*(ROW()-3)/(MATCH(9.99E+307,'Returns (Calc)'!$A:$A)-3),"")</f>
        <v>102.283481012658</v>
      </c>
      <c r="Y58" s="156" t="n">
        <f aca="false">IFERROR('Price History'!D3+(INDEX('Price History'!D:D,MATCH(9.99E+307,'Returns (Calc)'!$A:$A)+1)-'Price History'!D3)*(ROW()-3)/(MATCH(9.99E+307,'Returns (Calc)'!$A:$A)-3),"")</f>
        <v>1029.42455696203</v>
      </c>
      <c r="Z58" s="156" t="n">
        <f aca="false">IFERROR('Price History'!E3+(INDEX('Price History'!E:E,MATCH(9.99E+307,'Returns (Calc)'!$A:$A)+1)-'Price History'!E3)*(ROW()-3)/(MATCH(9.99E+307,'Returns (Calc)'!$A:$A)-3),"")</f>
        <v>177.080379746835</v>
      </c>
      <c r="AA58" s="156" t="n">
        <f aca="false">IFERROR('Price History'!F3+(INDEX('Price History'!F:F,MATCH(9.99E+307,'Returns (Calc)'!$A:$A)+1)-'Price History'!F3)*(ROW()-3)/(MATCH(9.99E+307,'Returns (Calc)'!$A:$A)-3),"")</f>
        <v>120.963797468354</v>
      </c>
      <c r="AB58" s="156" t="n">
        <f aca="false">IFERROR('Price History'!G3+(INDEX('Price History'!G:G,MATCH(9.99E+307,'Returns (Calc)'!$A:$A)+1)-'Price History'!G3)*(ROW()-3)/(MATCH(9.99E+307,'Returns (Calc)'!$A:$A)-3),"")</f>
        <v>100.930379746835</v>
      </c>
      <c r="AC58" s="156" t="n">
        <f aca="false">IFERROR('Price History'!H3+(INDEX('Price History'!H:H,MATCH(9.99E+307,'Returns (Calc)'!$A:$A)+1)-'Price History'!H3)*(ROW()-3)/(MATCH(9.99E+307,'Returns (Calc)'!$A:$A)-3),"")</f>
        <v>419.223291139241</v>
      </c>
      <c r="AD58" s="156" t="n">
        <f aca="false">IFERROR('Price History'!I3+(INDEX('Price History'!I:I,MATCH(9.99E+307,'Returns (Calc)'!$A:$A)+1)-'Price History'!I3)*(ROW()-3)/(MATCH(9.99E+307,'Returns (Calc)'!$A:$A)-3),"")</f>
        <v>109.971898734177</v>
      </c>
      <c r="AE58" s="156" t="n">
        <f aca="false">IFERROR('Price History'!J3+(INDEX('Price History'!J:J,MATCH(9.99E+307,'Returns (Calc)'!$A:$A)+1)-'Price History'!J3)*(ROW()-3)/(MATCH(9.99E+307,'Returns (Calc)'!$A:$A)-3),"")</f>
        <v>117.782088607595</v>
      </c>
      <c r="AF58" s="156" t="n">
        <f aca="false">IFERROR('Price History'!K3+(INDEX('Price History'!K:K,MATCH(9.99E+307,'Returns (Calc)'!$A:$A)+1)-'Price History'!K3)*(ROW()-3)/(MATCH(9.99E+307,'Returns (Calc)'!$A:$A)-3),"")</f>
        <v>75.6977215189873</v>
      </c>
      <c r="AG58" s="156" t="n">
        <f aca="false">IFERROR('Price History'!L3+(INDEX('Price History'!L:L,MATCH(9.99E+307,'Returns (Calc)'!$A:$A)+1)-'Price History'!L3)*(ROW()-3)/(MATCH(9.99E+307,'Returns (Calc)'!$A:$A)-3),"")</f>
        <v>220.475632911392</v>
      </c>
      <c r="AH58" s="156" t="n">
        <f aca="false">IFERROR('Price History'!M3+(INDEX('Price History'!M:M,MATCH(9.99E+307,'Returns (Calc)'!$A:$A)+1)-'Price History'!M3)*(ROW()-3)/(MATCH(9.99E+307,'Returns (Calc)'!$A:$A)-3),"")</f>
        <v>112.569367088608</v>
      </c>
      <c r="AI58" s="156" t="n">
        <f aca="false">IFERROR('Price History'!N3+(INDEX('Price History'!N:N,MATCH(9.99E+307,'Returns (Calc)'!$A:$A)+1)-'Price History'!N3)*(ROW()-3)/(MATCH(9.99E+307,'Returns (Calc)'!$A:$A)-3),"")</f>
        <v>403.144620253165</v>
      </c>
      <c r="AJ58" s="156" t="n">
        <f aca="false">IFERROR('Price History'!O3+(INDEX('Price History'!O:O,MATCH(9.99E+307,'Returns (Calc)'!$A:$A)+1)-'Price History'!O3)*(ROW()-3)/(MATCH(9.99E+307,'Returns (Calc)'!$A:$A)-3),"")</f>
        <v>90.8770886075949</v>
      </c>
      <c r="AK58" s="156" t="n">
        <f aca="false">IFERROR('Price History'!Q3+(INDEX('Price History'!Q:Q,MATCH(9.99E+307,'Returns (Calc)'!$A:$A)+1)-'Price History'!Q3)*(ROW()-3)/(MATCH(9.99E+307,'Returns (Calc)'!$A:$A)-3),"")</f>
        <v>24.1651898734177</v>
      </c>
      <c r="AL58" s="156" t="n">
        <f aca="false">IFERROR('Price History'!R3+(INDEX('Price History'!R:R,MATCH(9.99E+307,'Returns (Calc)'!$A:$A)+1)-'Price History'!R3)*(ROW()-3)/(MATCH(9.99E+307,'Returns (Calc)'!$A:$A)-3),"")</f>
        <v>43.7255696202532</v>
      </c>
      <c r="AM58" s="156" t="n">
        <f aca="false">IFERROR('Price History'!S3+(INDEX('Price History'!S:S,MATCH(9.99E+307,'Returns (Calc)'!$A:$A)+1)-'Price History'!S3)*(ROW()-3)/(MATCH(9.99E+307,'Returns (Calc)'!$A:$A)-3),"")</f>
        <v>90.9084810126582</v>
      </c>
      <c r="AN58" s="156" t="n">
        <f aca="false">IFERROR('Price History'!T3+(INDEX('Price History'!T:T,MATCH(9.99E+307,'Returns (Calc)'!$A:$A)+1)-'Price History'!T3)*(ROW()-3)/(MATCH(9.99E+307,'Returns (Calc)'!$A:$A)-3),"")</f>
        <v>34.4925316455696</v>
      </c>
      <c r="AO58" s="157" t="n">
        <f aca="false">IFERROR('Price History'!V3+(INDEX('Price History'!V:V,MATCH(9.99E+307,'Returns (Calc)'!$A:$A)+1)-'Price History'!V3)*(ROW()-3)/(MATCH(9.99E+307,'Returns (Calc)'!$A:$A)-3),"")</f>
        <v>279.153101265823</v>
      </c>
      <c r="AP58" s="155" t="n">
        <f aca="false">IFERROR(IF(OR(NOT(ISNUMBER('Price History'!W59)),NOT(ISNUMBER('Price History'!W58)),'Price History'!W58=0),"",'Price History'!W59/'Price History'!W58-1),"")</f>
        <v>0.011122015047432</v>
      </c>
      <c r="AQ58" s="155" t="str">
        <f aca="false">IFERROR(IF(OR(NOT(ISNUMBER('Price History'!X59)),NOT(ISNUMBER('Price History'!X58)),'Price History'!X58=0),"",'Price History'!X59/'Price History'!X58-1),"")</f>
        <v/>
      </c>
      <c r="AR58" s="155" t="n">
        <f aca="false">IFERROR(IF(OR(NOT(ISNUMBER('Price History'!Y59)),NOT(ISNUMBER('Price History'!Y58)),'Price History'!Y58=0),"",'Price History'!Y59/'Price History'!Y58-1),"")</f>
        <v>0.00537099661826135</v>
      </c>
      <c r="AS58" s="155" t="n">
        <f aca="false">IFERROR(IF(OR(NOT(ISNUMBER('Price History'!Z59)),NOT(ISNUMBER('Price History'!Z58)),'Price History'!Z58=0),"",'Price History'!Z59/'Price History'!Z58-1),"")</f>
        <v>0.0218118993629197</v>
      </c>
      <c r="AT58" s="155" t="n">
        <f aca="false">IFERROR(IF(OR(NOT(ISNUMBER('Price History'!AA59)),NOT(ISNUMBER('Price History'!AA58)),'Price History'!AA58=0),"",'Price History'!AA59/'Price History'!AA58-1),"")</f>
        <v>0.00430735028484097</v>
      </c>
      <c r="AU58" s="155" t="n">
        <f aca="false">IFERROR(IF(OR(NOT(ISNUMBER('Price History'!AB59)),NOT(ISNUMBER('Price History'!AB58)),'Price History'!AB58=0),"",'Price History'!AB59/'Price History'!AB58-1),"")</f>
        <v>0.0324913275028094</v>
      </c>
    </row>
    <row r="59" customFormat="false" ht="15" hidden="false" customHeight="true" outlineLevel="0" collapsed="false">
      <c r="A59" s="153" t="n">
        <f aca="false">IF('Price History'!A60="","",'Price History'!A60)</f>
        <v>45583</v>
      </c>
      <c r="B59" s="154" t="n">
        <f aca="false">IFERROR(IF(OR(NOT(ISNUMBER('Price History'!B60)),NOT(ISNUMBER('Price History'!B59)),'Price History'!B59=0),"",'Price History'!B60/'Price History'!B59-1),"")</f>
        <v>-0.0010496144685318</v>
      </c>
      <c r="C59" s="154" t="n">
        <f aca="false">IFERROR(IF(OR(NOT(ISNUMBER('Price History'!C60)),NOT(ISNUMBER('Price History'!C59)),'Price History'!C59=0),"",'Price History'!C60/'Price History'!C59-1),"")</f>
        <v>-0.0357862419648853</v>
      </c>
      <c r="D59" s="154" t="n">
        <f aca="false">IFERROR(IF(OR(NOT(ISNUMBER('Price History'!D60)),NOT(ISNUMBER('Price History'!D59)),'Price History'!D59=0),"",'Price History'!D60/'Price History'!D59-1),"")</f>
        <v>-0.139678047482554</v>
      </c>
      <c r="E59" s="154" t="n">
        <f aca="false">IFERROR(IF(OR(NOT(ISNUMBER('Price History'!E60)),NOT(ISNUMBER('Price History'!E59)),'Price History'!E59=0),"",'Price History'!E60/'Price History'!E59-1),"")</f>
        <v>-0.00874488480295965</v>
      </c>
      <c r="F59" s="154" t="n">
        <f aca="false">IFERROR(IF(OR(NOT(ISNUMBER('Price History'!F60)),NOT(ISNUMBER('Price History'!F59)),'Price History'!F59=0),"",'Price History'!F60/'Price History'!F59-1),"")</f>
        <v>-0.0313554028732042</v>
      </c>
      <c r="G59" s="154" t="n">
        <f aca="false">IFERROR(IF(OR(NOT(ISNUMBER('Price History'!G60)),NOT(ISNUMBER('Price History'!G59)),'Price History'!G59=0),"",'Price History'!G60/'Price History'!G59-1),"")</f>
        <v>-0.155847436221268</v>
      </c>
      <c r="H59" s="154" t="n">
        <f aca="false">IFERROR(IF(OR(NOT(ISNUMBER('Price History'!H60)),NOT(ISNUMBER('Price History'!H59)),'Price History'!H59=0),"",'Price History'!H60/'Price History'!H59-1),"")</f>
        <v>0.0395788286170913</v>
      </c>
      <c r="I59" s="154" t="n">
        <f aca="false">IFERROR(IF(OR(NOT(ISNUMBER('Price History'!I60)),NOT(ISNUMBER('Price History'!I59)),'Price History'!I59=0),"",'Price History'!I60/'Price History'!I59-1),"")</f>
        <v>0.0237280571258554</v>
      </c>
      <c r="J59" s="154" t="n">
        <f aca="false">IFERROR(IF(OR(NOT(ISNUMBER('Price History'!J60)),NOT(ISNUMBER('Price History'!J59)),'Price History'!J59=0),"",'Price History'!J60/'Price History'!J59-1),"")</f>
        <v>0.0187605583711212</v>
      </c>
      <c r="K59" s="154" t="n">
        <f aca="false">IFERROR(IF(OR(NOT(ISNUMBER('Price History'!K60)),NOT(ISNUMBER('Price History'!K59)),'Price History'!K59=0),"",'Price History'!K60/'Price History'!K59-1),"")</f>
        <v>-0.01241094001379</v>
      </c>
      <c r="L59" s="154" t="n">
        <f aca="false">IFERROR(IF(OR(NOT(ISNUMBER('Price History'!L60)),NOT(ISNUMBER('Price History'!L59)),'Price History'!L59=0),"",'Price History'!L60/'Price History'!L59-1),"")</f>
        <v>0.0522528328231566</v>
      </c>
      <c r="M59" s="154" t="n">
        <f aca="false">IFERROR(IF(OR(NOT(ISNUMBER('Price History'!M60)),NOT(ISNUMBER('Price History'!M59)),'Price History'!M59=0),"",'Price History'!M60/'Price History'!M59-1),"")</f>
        <v>0.00367482298108812</v>
      </c>
      <c r="N59" s="154" t="n">
        <f aca="false">IFERROR(IF(OR(NOT(ISNUMBER('Price History'!N60)),NOT(ISNUMBER('Price History'!N59)),'Price History'!N59=0),"",'Price History'!N60/'Price History'!N59-1),"")</f>
        <v>0.0026779597683253</v>
      </c>
      <c r="O59" s="154" t="n">
        <f aca="false">IFERROR(IF(OR(NOT(ISNUMBER('Price History'!O60)),NOT(ISNUMBER('Price History'!O59)),'Price History'!O59=0),"",'Price History'!O60/'Price History'!O59-1),"")</f>
        <v>0.0125465178096758</v>
      </c>
      <c r="P59" s="154" t="n">
        <f aca="false">IFERROR(IF(OR(NOT(ISNUMBER('Price History'!P60)),NOT(ISNUMBER('Price History'!P59)),'Price History'!P59=0),"",'Price History'!P60/'Price History'!P59-1),"")</f>
        <v>0.0193445243804957</v>
      </c>
      <c r="Q59" s="154" t="n">
        <f aca="false">IFERROR(IF(OR(NOT(ISNUMBER('Price History'!Q60)),NOT(ISNUMBER('Price History'!Q59)),'Price History'!Q59=0),"",'Price History'!Q60/'Price History'!Q59-1),"")</f>
        <v>0.00823723228995066</v>
      </c>
      <c r="R59" s="154" t="n">
        <f aca="false">IFERROR(IF(OR(NOT(ISNUMBER('Price History'!R60)),NOT(ISNUMBER('Price History'!R59)),'Price History'!R59=0),"",'Price History'!R60/'Price History'!R59-1),"")</f>
        <v>0.00754285714285707</v>
      </c>
      <c r="S59" s="154" t="n">
        <f aca="false">IFERROR(IF(OR(NOT(ISNUMBER('Price History'!S60)),NOT(ISNUMBER('Price History'!S59)),'Price History'!S59=0),"",'Price History'!S60/'Price History'!S59-1),"")</f>
        <v>0.00433886538670136</v>
      </c>
      <c r="T59" s="154" t="n">
        <f aca="false">IFERROR(IF(OR(NOT(ISNUMBER('Price History'!T60)),NOT(ISNUMBER('Price History'!T59)),'Price History'!T59=0),"",'Price History'!T60/'Price History'!T59-1),"")</f>
        <v>-0.00483968542044777</v>
      </c>
      <c r="U59" s="154" t="n">
        <f aca="false">IFERROR(IF(OR(NOT(ISNUMBER('Price History'!U60)),NOT(ISNUMBER('Price History'!U59)),'Price History'!U59=0),"",'Price History'!U60/'Price History'!U59-1),"")</f>
        <v>0.0094126506024097</v>
      </c>
      <c r="V59" s="155" t="n">
        <f aca="false">IFERROR(IF(OR(NOT(ISNUMBER('Price History'!V60)),NOT(ISNUMBER('Price History'!V59)),'Price History'!V59=0),"",'Price History'!V60/'Price History'!V59-1),"")</f>
        <v>0.0459975886887583</v>
      </c>
      <c r="W59" s="156" t="n">
        <f aca="false">IFERROR('Price History'!B3+(INDEX('Price History'!B:B,MATCH(9.99E+307,'Returns (Calc)'!$A:$A)+1)-'Price History'!B3)*(ROW()-3)/(MATCH(9.99E+307,'Returns (Calc)'!$A:$A)-3),"")</f>
        <v>425.679873417722</v>
      </c>
      <c r="X59" s="156" t="n">
        <f aca="false">IFERROR('Price History'!C3+(INDEX('Price History'!C:C,MATCH(9.99E+307,'Returns (Calc)'!$A:$A)+1)-'Price History'!C3)*(ROW()-3)/(MATCH(9.99E+307,'Returns (Calc)'!$A:$A)-3),"")</f>
        <v>103.303544303797</v>
      </c>
      <c r="Y59" s="156" t="n">
        <f aca="false">IFERROR('Price History'!D3+(INDEX('Price History'!D:D,MATCH(9.99E+307,'Returns (Calc)'!$A:$A)+1)-'Price History'!D3)*(ROW()-3)/(MATCH(9.99E+307,'Returns (Calc)'!$A:$A)-3),"")</f>
        <v>1037.55936708861</v>
      </c>
      <c r="Z59" s="156" t="n">
        <f aca="false">IFERROR('Price History'!E3+(INDEX('Price History'!E:E,MATCH(9.99E+307,'Returns (Calc)'!$A:$A)+1)-'Price History'!E3)*(ROW()-3)/(MATCH(9.99E+307,'Returns (Calc)'!$A:$A)-3),"")</f>
        <v>178.809113924051</v>
      </c>
      <c r="AA59" s="156" t="n">
        <f aca="false">IFERROR('Price History'!F3+(INDEX('Price History'!F:F,MATCH(9.99E+307,'Returns (Calc)'!$A:$A)+1)-'Price History'!F3)*(ROW()-3)/(MATCH(9.99E+307,'Returns (Calc)'!$A:$A)-3),"")</f>
        <v>122.411139240506</v>
      </c>
      <c r="AB59" s="156" t="n">
        <f aca="false">IFERROR('Price History'!G3+(INDEX('Price History'!G:G,MATCH(9.99E+307,'Returns (Calc)'!$A:$A)+1)-'Price History'!G3)*(ROW()-3)/(MATCH(9.99E+307,'Returns (Calc)'!$A:$A)-3),"")</f>
        <v>101.959113924051</v>
      </c>
      <c r="AC59" s="156" t="n">
        <f aca="false">IFERROR('Price History'!H3+(INDEX('Price History'!H:H,MATCH(9.99E+307,'Returns (Calc)'!$A:$A)+1)-'Price History'!H3)*(ROW()-3)/(MATCH(9.99E+307,'Returns (Calc)'!$A:$A)-3),"")</f>
        <v>425.588987341772</v>
      </c>
      <c r="AD59" s="156" t="n">
        <f aca="false">IFERROR('Price History'!I3+(INDEX('Price History'!I:I,MATCH(9.99E+307,'Returns (Calc)'!$A:$A)+1)-'Price History'!I3)*(ROW()-3)/(MATCH(9.99E+307,'Returns (Calc)'!$A:$A)-3),"")</f>
        <v>111.175569620253</v>
      </c>
      <c r="AE59" s="156" t="n">
        <f aca="false">IFERROR('Price History'!J3+(INDEX('Price History'!J:J,MATCH(9.99E+307,'Returns (Calc)'!$A:$A)+1)-'Price History'!J3)*(ROW()-3)/(MATCH(9.99E+307,'Returns (Calc)'!$A:$A)-3),"")</f>
        <v>117.890126582278</v>
      </c>
      <c r="AF59" s="156" t="n">
        <f aca="false">IFERROR('Price History'!K3+(INDEX('Price History'!K:K,MATCH(9.99E+307,'Returns (Calc)'!$A:$A)+1)-'Price History'!K3)*(ROW()-3)/(MATCH(9.99E+307,'Returns (Calc)'!$A:$A)-3),"")</f>
        <v>76.7953164556962</v>
      </c>
      <c r="AG59" s="156" t="n">
        <f aca="false">IFERROR('Price History'!L3+(INDEX('Price History'!L:L,MATCH(9.99E+307,'Returns (Calc)'!$A:$A)+1)-'Price History'!L3)*(ROW()-3)/(MATCH(9.99E+307,'Returns (Calc)'!$A:$A)-3),"")</f>
        <v>222.925189873418</v>
      </c>
      <c r="AH59" s="156" t="n">
        <f aca="false">IFERROR('Price History'!M3+(INDEX('Price History'!M:M,MATCH(9.99E+307,'Returns (Calc)'!$A:$A)+1)-'Price History'!M3)*(ROW()-3)/(MATCH(9.99E+307,'Returns (Calc)'!$A:$A)-3),"")</f>
        <v>113.924810126582</v>
      </c>
      <c r="AI59" s="156" t="n">
        <f aca="false">IFERROR('Price History'!N3+(INDEX('Price History'!N:N,MATCH(9.99E+307,'Returns (Calc)'!$A:$A)+1)-'Price History'!N3)*(ROW()-3)/(MATCH(9.99E+307,'Returns (Calc)'!$A:$A)-3),"")</f>
        <v>404.130886075949</v>
      </c>
      <c r="AJ59" s="156" t="n">
        <f aca="false">IFERROR('Price History'!O3+(INDEX('Price History'!O:O,MATCH(9.99E+307,'Returns (Calc)'!$A:$A)+1)-'Price History'!O3)*(ROW()-3)/(MATCH(9.99E+307,'Returns (Calc)'!$A:$A)-3),"")</f>
        <v>91.1601265822785</v>
      </c>
      <c r="AK59" s="156" t="n">
        <f aca="false">IFERROR('Price History'!Q3+(INDEX('Price History'!Q:Q,MATCH(9.99E+307,'Returns (Calc)'!$A:$A)+1)-'Price History'!Q3)*(ROW()-3)/(MATCH(9.99E+307,'Returns (Calc)'!$A:$A)-3),"")</f>
        <v>24.6045569620253</v>
      </c>
      <c r="AL59" s="156" t="n">
        <f aca="false">IFERROR('Price History'!R3+(INDEX('Price History'!R:R,MATCH(9.99E+307,'Returns (Calc)'!$A:$A)+1)-'Price History'!R3)*(ROW()-3)/(MATCH(9.99E+307,'Returns (Calc)'!$A:$A)-3),"")</f>
        <v>43.8936708860759</v>
      </c>
      <c r="AM59" s="156" t="n">
        <f aca="false">IFERROR('Price History'!S3+(INDEX('Price History'!S:S,MATCH(9.99E+307,'Returns (Calc)'!$A:$A)+1)-'Price History'!S3)*(ROW()-3)/(MATCH(9.99E+307,'Returns (Calc)'!$A:$A)-3),"")</f>
        <v>91.5135443037975</v>
      </c>
      <c r="AN59" s="156" t="n">
        <f aca="false">IFERROR('Price History'!T3+(INDEX('Price History'!T:T,MATCH(9.99E+307,'Returns (Calc)'!$A:$A)+1)-'Price History'!T3)*(ROW()-3)/(MATCH(9.99E+307,'Returns (Calc)'!$A:$A)-3),"")</f>
        <v>34.6607594936709</v>
      </c>
      <c r="AO59" s="157" t="n">
        <f aca="false">IFERROR('Price History'!V3+(INDEX('Price History'!V:V,MATCH(9.99E+307,'Returns (Calc)'!$A:$A)+1)-'Price History'!V3)*(ROW()-3)/(MATCH(9.99E+307,'Returns (Calc)'!$A:$A)-3),"")</f>
        <v>279.944430379747</v>
      </c>
      <c r="AP59" s="155" t="n">
        <f aca="false">IFERROR(IF(OR(NOT(ISNUMBER('Price History'!W60)),NOT(ISNUMBER('Price History'!W59)),'Price History'!W59=0),"",'Price History'!W60/'Price History'!W59-1),"")</f>
        <v>0.0101099967648011</v>
      </c>
      <c r="AQ59" s="155" t="str">
        <f aca="false">IFERROR(IF(OR(NOT(ISNUMBER('Price History'!X60)),NOT(ISNUMBER('Price History'!X59)),'Price History'!X59=0),"",'Price History'!X60/'Price History'!X59-1),"")</f>
        <v/>
      </c>
      <c r="AR59" s="155" t="n">
        <f aca="false">IFERROR(IF(OR(NOT(ISNUMBER('Price History'!Y60)),NOT(ISNUMBER('Price History'!Y59)),'Price History'!Y59=0),"",'Price History'!Y60/'Price History'!Y59-1),"")</f>
        <v>0.00732093391373168</v>
      </c>
      <c r="AS59" s="155" t="n">
        <f aca="false">IFERROR(IF(OR(NOT(ISNUMBER('Price History'!Z60)),NOT(ISNUMBER('Price History'!Z59)),'Price History'!Z59=0),"",'Price History'!Z60/'Price History'!Z59-1),"")</f>
        <v>0.00755574342174792</v>
      </c>
      <c r="AT59" s="155" t="n">
        <f aca="false">IFERROR(IF(OR(NOT(ISNUMBER('Price History'!AA60)),NOT(ISNUMBER('Price History'!AA59)),'Price History'!AA59=0),"",'Price History'!AA60/'Price History'!AA59-1),"")</f>
        <v>0.0568622025456558</v>
      </c>
      <c r="AU59" s="155" t="n">
        <f aca="false">IFERROR(IF(OR(NOT(ISNUMBER('Price History'!AB60)),NOT(ISNUMBER('Price History'!AB59)),'Price History'!AB59=0),"",'Price History'!AB60/'Price History'!AB59-1),"")</f>
        <v>0.0473215975771342</v>
      </c>
    </row>
    <row r="60" customFormat="false" ht="15" hidden="false" customHeight="true" outlineLevel="0" collapsed="false">
      <c r="A60" s="153" t="n">
        <f aca="false">IF('Price History'!A61="","",'Price History'!A61)</f>
        <v>45590</v>
      </c>
      <c r="B60" s="154" t="n">
        <f aca="false">IFERROR(IF(OR(NOT(ISNUMBER('Price History'!B61)),NOT(ISNUMBER('Price History'!B60)),'Price History'!B60=0),"",'Price History'!B61/'Price History'!B60-1),"")</f>
        <v>-0.0225904223075368</v>
      </c>
      <c r="C60" s="154" t="n">
        <f aca="false">IFERROR(IF(OR(NOT(ISNUMBER('Price History'!C61)),NOT(ISNUMBER('Price History'!C60)),'Price History'!C60=0),"",'Price History'!C61/'Price History'!C60-1),"")</f>
        <v>-0.0197014925373135</v>
      </c>
      <c r="D60" s="154" t="n">
        <f aca="false">IFERROR(IF(OR(NOT(ISNUMBER('Price History'!D61)),NOT(ISNUMBER('Price History'!D60)),'Price History'!D60=0),"",'Price History'!D61/'Price History'!D60-1),"")</f>
        <v>-0.0159839176764979</v>
      </c>
      <c r="E60" s="154" t="n">
        <f aca="false">IFERROR(IF(OR(NOT(ISNUMBER('Price History'!E61)),NOT(ISNUMBER('Price History'!E60)),'Price History'!E60=0),"",'Price History'!E61/'Price History'!E60-1),"")</f>
        <v>-0.0382853588192049</v>
      </c>
      <c r="F60" s="154" t="n">
        <f aca="false">IFERROR(IF(OR(NOT(ISNUMBER('Price History'!F61)),NOT(ISNUMBER('Price History'!F60)),'Price History'!F60=0),"",'Price History'!F61/'Price History'!F60-1),"")</f>
        <v>-0.0308228011348981</v>
      </c>
      <c r="G60" s="154" t="n">
        <f aca="false">IFERROR(IF(OR(NOT(ISNUMBER('Price History'!G61)),NOT(ISNUMBER('Price History'!G60)),'Price History'!G60=0),"",'Price History'!G61/'Price History'!G60-1),"")</f>
        <v>-0.00792938360263318</v>
      </c>
      <c r="H60" s="154" t="n">
        <f aca="false">IFERROR(IF(OR(NOT(ISNUMBER('Price History'!H61)),NOT(ISNUMBER('Price History'!H60)),'Price History'!H60=0),"",'Price History'!H61/'Price History'!H60-1),"")</f>
        <v>-0.0291191897268945</v>
      </c>
      <c r="I60" s="154" t="n">
        <f aca="false">IFERROR(IF(OR(NOT(ISNUMBER('Price History'!I61)),NOT(ISNUMBER('Price History'!I60)),'Price History'!I60=0),"",'Price History'!I61/'Price History'!I60-1),"")</f>
        <v>0.0256484778028045</v>
      </c>
      <c r="J60" s="154" t="n">
        <f aca="false">IFERROR(IF(OR(NOT(ISNUMBER('Price History'!J61)),NOT(ISNUMBER('Price History'!J60)),'Price History'!J60=0),"",'Price History'!J61/'Price History'!J60-1),"")</f>
        <v>-0.0404957235119567</v>
      </c>
      <c r="K60" s="154" t="n">
        <f aca="false">IFERROR(IF(OR(NOT(ISNUMBER('Price History'!K61)),NOT(ISNUMBER('Price History'!K60)),'Price History'!K60=0),"",'Price History'!K61/'Price History'!K60-1),"")</f>
        <v>0.0439841750058181</v>
      </c>
      <c r="L60" s="154" t="n">
        <f aca="false">IFERROR(IF(OR(NOT(ISNUMBER('Price History'!L61)),NOT(ISNUMBER('Price History'!L60)),'Price History'!L60=0),"",'Price History'!L61/'Price History'!L60-1),"")</f>
        <v>0.0132693681739309</v>
      </c>
      <c r="M60" s="154" t="n">
        <f aca="false">IFERROR(IF(OR(NOT(ISNUMBER('Price History'!M61)),NOT(ISNUMBER('Price History'!M60)),'Price History'!M60=0),"",'Price History'!M61/'Price History'!M60-1),"")</f>
        <v>-0.00071441328808719</v>
      </c>
      <c r="N60" s="154" t="n">
        <f aca="false">IFERROR(IF(OR(NOT(ISNUMBER('Price History'!N61)),NOT(ISNUMBER('Price History'!N60)),'Price History'!N60=0),"",'Price History'!N61/'Price History'!N60-1),"")</f>
        <v>-0.0109730848861284</v>
      </c>
      <c r="O60" s="154" t="n">
        <f aca="false">IFERROR(IF(OR(NOT(ISNUMBER('Price History'!O61)),NOT(ISNUMBER('Price History'!O60)),'Price History'!O60=0),"",'Price History'!O61/'Price History'!O60-1),"")</f>
        <v>-0.0332878294655046</v>
      </c>
      <c r="P60" s="154" t="n">
        <f aca="false">IFERROR(IF(OR(NOT(ISNUMBER('Price History'!P61)),NOT(ISNUMBER('Price History'!P60)),'Price History'!P60=0),"",'Price History'!P61/'Price History'!P60-1),"")</f>
        <v>-0.0236041405269761</v>
      </c>
      <c r="Q60" s="154" t="n">
        <f aca="false">IFERROR(IF(OR(NOT(ISNUMBER('Price History'!Q61)),NOT(ISNUMBER('Price History'!Q60)),'Price History'!Q60=0),"",'Price History'!Q61/'Price History'!Q60-1),"")</f>
        <v>-0.00277777777777777</v>
      </c>
      <c r="R60" s="154" t="n">
        <f aca="false">IFERROR(IF(OR(NOT(ISNUMBER('Price History'!R61)),NOT(ISNUMBER('Price History'!R60)),'Price History'!R60=0),"",'Price History'!R61/'Price History'!R60-1),"")</f>
        <v>0.00226860254083494</v>
      </c>
      <c r="S60" s="154" t="n">
        <f aca="false">IFERROR(IF(OR(NOT(ISNUMBER('Price History'!S61)),NOT(ISNUMBER('Price History'!S60)),'Price History'!S60=0),"",'Price History'!S61/'Price History'!S60-1),"")</f>
        <v>-0.0146884112755157</v>
      </c>
      <c r="T60" s="154" t="n">
        <f aca="false">IFERROR(IF(OR(NOT(ISNUMBER('Price History'!T61)),NOT(ISNUMBER('Price History'!T60)),'Price History'!T60=0),"",'Price History'!T61/'Price History'!T60-1),"")</f>
        <v>-0.0191489361702126</v>
      </c>
      <c r="U60" s="154" t="n">
        <f aca="false">IFERROR(IF(OR(NOT(ISNUMBER('Price History'!U61)),NOT(ISNUMBER('Price History'!U60)),'Price History'!U60=0),"",'Price History'!U61/'Price History'!U60-1),"")</f>
        <v>-0.0231256993659081</v>
      </c>
      <c r="V60" s="155" t="n">
        <f aca="false">IFERROR(IF(OR(NOT(ISNUMBER('Price History'!V61)),NOT(ISNUMBER('Price History'!V60)),'Price History'!V60=0),"",'Price History'!V61/'Price History'!V60-1),"")</f>
        <v>-0.030562347188264</v>
      </c>
      <c r="W60" s="156" t="n">
        <f aca="false">IFERROR('Price History'!B3+(INDEX('Price History'!B:B,MATCH(9.99E+307,'Returns (Calc)'!$A:$A)+1)-'Price History'!B3)*(ROW()-3)/(MATCH(9.99E+307,'Returns (Calc)'!$A:$A)-3),"")</f>
        <v>423.836835443038</v>
      </c>
      <c r="X60" s="156" t="n">
        <f aca="false">IFERROR('Price History'!C3+(INDEX('Price History'!C:C,MATCH(9.99E+307,'Returns (Calc)'!$A:$A)+1)-'Price History'!C3)*(ROW()-3)/(MATCH(9.99E+307,'Returns (Calc)'!$A:$A)-3),"")</f>
        <v>104.323607594937</v>
      </c>
      <c r="Y60" s="156" t="n">
        <f aca="false">IFERROR('Price History'!D3+(INDEX('Price History'!D:D,MATCH(9.99E+307,'Returns (Calc)'!$A:$A)+1)-'Price History'!D3)*(ROW()-3)/(MATCH(9.99E+307,'Returns (Calc)'!$A:$A)-3),"")</f>
        <v>1045.69417721519</v>
      </c>
      <c r="Z60" s="156" t="n">
        <f aca="false">IFERROR('Price History'!E3+(INDEX('Price History'!E:E,MATCH(9.99E+307,'Returns (Calc)'!$A:$A)+1)-'Price History'!E3)*(ROW()-3)/(MATCH(9.99E+307,'Returns (Calc)'!$A:$A)-3),"")</f>
        <v>180.537848101266</v>
      </c>
      <c r="AA60" s="156" t="n">
        <f aca="false">IFERROR('Price History'!F3+(INDEX('Price History'!F:F,MATCH(9.99E+307,'Returns (Calc)'!$A:$A)+1)-'Price History'!F3)*(ROW()-3)/(MATCH(9.99E+307,'Returns (Calc)'!$A:$A)-3),"")</f>
        <v>123.858481012658</v>
      </c>
      <c r="AB60" s="156" t="n">
        <f aca="false">IFERROR('Price History'!G3+(INDEX('Price History'!G:G,MATCH(9.99E+307,'Returns (Calc)'!$A:$A)+1)-'Price History'!G3)*(ROW()-3)/(MATCH(9.99E+307,'Returns (Calc)'!$A:$A)-3),"")</f>
        <v>102.987848101266</v>
      </c>
      <c r="AC60" s="156" t="n">
        <f aca="false">IFERROR('Price History'!H3+(INDEX('Price History'!H:H,MATCH(9.99E+307,'Returns (Calc)'!$A:$A)+1)-'Price History'!H3)*(ROW()-3)/(MATCH(9.99E+307,'Returns (Calc)'!$A:$A)-3),"")</f>
        <v>431.954683544304</v>
      </c>
      <c r="AD60" s="156" t="n">
        <f aca="false">IFERROR('Price History'!I3+(INDEX('Price History'!I:I,MATCH(9.99E+307,'Returns (Calc)'!$A:$A)+1)-'Price History'!I3)*(ROW()-3)/(MATCH(9.99E+307,'Returns (Calc)'!$A:$A)-3),"")</f>
        <v>112.379240506329</v>
      </c>
      <c r="AE60" s="156" t="n">
        <f aca="false">IFERROR('Price History'!J3+(INDEX('Price History'!J:J,MATCH(9.99E+307,'Returns (Calc)'!$A:$A)+1)-'Price History'!J3)*(ROW()-3)/(MATCH(9.99E+307,'Returns (Calc)'!$A:$A)-3),"")</f>
        <v>117.998164556962</v>
      </c>
      <c r="AF60" s="156" t="n">
        <f aca="false">IFERROR('Price History'!K3+(INDEX('Price History'!K:K,MATCH(9.99E+307,'Returns (Calc)'!$A:$A)+1)-'Price History'!K3)*(ROW()-3)/(MATCH(9.99E+307,'Returns (Calc)'!$A:$A)-3),"")</f>
        <v>77.8929113924051</v>
      </c>
      <c r="AG60" s="156" t="n">
        <f aca="false">IFERROR('Price History'!L3+(INDEX('Price History'!L:L,MATCH(9.99E+307,'Returns (Calc)'!$A:$A)+1)-'Price History'!L3)*(ROW()-3)/(MATCH(9.99E+307,'Returns (Calc)'!$A:$A)-3),"")</f>
        <v>225.374746835443</v>
      </c>
      <c r="AH60" s="156" t="n">
        <f aca="false">IFERROR('Price History'!M3+(INDEX('Price History'!M:M,MATCH(9.99E+307,'Returns (Calc)'!$A:$A)+1)-'Price History'!M3)*(ROW()-3)/(MATCH(9.99E+307,'Returns (Calc)'!$A:$A)-3),"")</f>
        <v>115.280253164557</v>
      </c>
      <c r="AI60" s="156" t="n">
        <f aca="false">IFERROR('Price History'!N3+(INDEX('Price History'!N:N,MATCH(9.99E+307,'Returns (Calc)'!$A:$A)+1)-'Price History'!N3)*(ROW()-3)/(MATCH(9.99E+307,'Returns (Calc)'!$A:$A)-3),"")</f>
        <v>405.117151898734</v>
      </c>
      <c r="AJ60" s="156" t="n">
        <f aca="false">IFERROR('Price History'!O3+(INDEX('Price History'!O:O,MATCH(9.99E+307,'Returns (Calc)'!$A:$A)+1)-'Price History'!O3)*(ROW()-3)/(MATCH(9.99E+307,'Returns (Calc)'!$A:$A)-3),"")</f>
        <v>91.443164556962</v>
      </c>
      <c r="AK60" s="156" t="n">
        <f aca="false">IFERROR('Price History'!Q3+(INDEX('Price History'!Q:Q,MATCH(9.99E+307,'Returns (Calc)'!$A:$A)+1)-'Price History'!Q3)*(ROW()-3)/(MATCH(9.99E+307,'Returns (Calc)'!$A:$A)-3),"")</f>
        <v>25.0439240506329</v>
      </c>
      <c r="AL60" s="156" t="n">
        <f aca="false">IFERROR('Price History'!R3+(INDEX('Price History'!R:R,MATCH(9.99E+307,'Returns (Calc)'!$A:$A)+1)-'Price History'!R3)*(ROW()-3)/(MATCH(9.99E+307,'Returns (Calc)'!$A:$A)-3),"")</f>
        <v>44.0617721518987</v>
      </c>
      <c r="AM60" s="156" t="n">
        <f aca="false">IFERROR('Price History'!S3+(INDEX('Price History'!S:S,MATCH(9.99E+307,'Returns (Calc)'!$A:$A)+1)-'Price History'!S3)*(ROW()-3)/(MATCH(9.99E+307,'Returns (Calc)'!$A:$A)-3),"")</f>
        <v>92.1186075949367</v>
      </c>
      <c r="AN60" s="156" t="n">
        <f aca="false">IFERROR('Price History'!T3+(INDEX('Price History'!T:T,MATCH(9.99E+307,'Returns (Calc)'!$A:$A)+1)-'Price History'!T3)*(ROW()-3)/(MATCH(9.99E+307,'Returns (Calc)'!$A:$A)-3),"")</f>
        <v>34.8289873417722</v>
      </c>
      <c r="AO60" s="157" t="n">
        <f aca="false">IFERROR('Price History'!V3+(INDEX('Price History'!V:V,MATCH(9.99E+307,'Returns (Calc)'!$A:$A)+1)-'Price History'!V3)*(ROW()-3)/(MATCH(9.99E+307,'Returns (Calc)'!$A:$A)-3),"")</f>
        <v>280.735759493671</v>
      </c>
      <c r="AP60" s="155" t="n">
        <f aca="false">IFERROR(IF(OR(NOT(ISNUMBER('Price History'!W61)),NOT(ISNUMBER('Price History'!W60)),'Price History'!W60=0),"",'Price History'!W61/'Price History'!W60-1),"")</f>
        <v>-0.0228200816718712</v>
      </c>
      <c r="AQ60" s="155" t="str">
        <f aca="false">IFERROR(IF(OR(NOT(ISNUMBER('Price History'!X61)),NOT(ISNUMBER('Price History'!X60)),'Price History'!X60=0),"",'Price History'!X61/'Price History'!X60-1),"")</f>
        <v/>
      </c>
      <c r="AR60" s="155" t="n">
        <f aca="false">IFERROR(IF(OR(NOT(ISNUMBER('Price History'!Y61)),NOT(ISNUMBER('Price History'!Y60)),'Price History'!Y60=0),"",'Price History'!Y61/'Price History'!Y60-1),"")</f>
        <v>-0.0111962286387741</v>
      </c>
      <c r="AS60" s="155" t="n">
        <f aca="false">IFERROR(IF(OR(NOT(ISNUMBER('Price History'!Z61)),NOT(ISNUMBER('Price History'!Z60)),'Price History'!Z60=0),"",'Price History'!Z61/'Price History'!Z60-1),"")</f>
        <v>-0.0701137972625728</v>
      </c>
      <c r="AT60" s="155" t="n">
        <f aca="false">IFERROR(IF(OR(NOT(ISNUMBER('Price History'!AA61)),NOT(ISNUMBER('Price History'!AA60)),'Price History'!AA60=0),"",'Price History'!AA61/'Price History'!AA60-1),"")</f>
        <v>-0.0120434611860192</v>
      </c>
      <c r="AU60" s="155" t="n">
        <f aca="false">IFERROR(IF(OR(NOT(ISNUMBER('Price History'!AB61)),NOT(ISNUMBER('Price History'!AB60)),'Price History'!AB60=0),"",'Price History'!AB61/'Price History'!AB60-1),"")</f>
        <v>-0.0410717513103199</v>
      </c>
    </row>
    <row r="61" customFormat="false" ht="15" hidden="false" customHeight="true" outlineLevel="0" collapsed="false">
      <c r="A61" s="153" t="n">
        <f aca="false">IF('Price History'!A62="","",'Price History'!A62)</f>
        <v>45597</v>
      </c>
      <c r="B61" s="154" t="n">
        <f aca="false">IFERROR(IF(OR(NOT(ISNUMBER('Price History'!B62)),NOT(ISNUMBER('Price History'!B61)),'Price History'!B61=0),"",'Price History'!B62/'Price History'!B61-1),"")</f>
        <v>-0.00190192673447454</v>
      </c>
      <c r="C61" s="154" t="n">
        <f aca="false">IFERROR(IF(OR(NOT(ISNUMBER('Price History'!C62)),NOT(ISNUMBER('Price History'!C61)),'Price History'!C61=0),"",'Price History'!C62/'Price History'!C61-1),"")</f>
        <v>0.000203004466098333</v>
      </c>
      <c r="D61" s="154" t="n">
        <f aca="false">IFERROR(IF(OR(NOT(ISNUMBER('Price History'!D62)),NOT(ISNUMBER('Price History'!D61)),'Price History'!D61=0),"",'Price History'!D62/'Price History'!D61-1),"")</f>
        <v>-0.0497449890709603</v>
      </c>
      <c r="E61" s="154" t="n">
        <f aca="false">IFERROR(IF(OR(NOT(ISNUMBER('Price History'!E62)),NOT(ISNUMBER('Price History'!E61)),'Price History'!E61=0),"",'Price History'!E62/'Price History'!E61-1),"")</f>
        <v>-0.0236387157473833</v>
      </c>
      <c r="F61" s="154" t="n">
        <f aca="false">IFERROR(IF(OR(NOT(ISNUMBER('Price History'!F62)),NOT(ISNUMBER('Price History'!F61)),'Price History'!F61=0),"",'Price History'!F62/'Price History'!F61-1),"")</f>
        <v>0.00838323353293413</v>
      </c>
      <c r="G61" s="154" t="n">
        <f aca="false">IFERROR(IF(OR(NOT(ISNUMBER('Price History'!G62)),NOT(ISNUMBER('Price History'!G61)),'Price History'!G61=0),"",'Price History'!G62/'Price History'!G61-1),"")</f>
        <v>-0.00557985220931989</v>
      </c>
      <c r="H61" s="154" t="n">
        <f aca="false">IFERROR(IF(OR(NOT(ISNUMBER('Price History'!H62)),NOT(ISNUMBER('Price History'!H61)),'Price History'!H61=0),"",'Price History'!H62/'Price History'!H61-1),"")</f>
        <v>-0.0758196721311476</v>
      </c>
      <c r="I61" s="154" t="n">
        <f aca="false">IFERROR(IF(OR(NOT(ISNUMBER('Price History'!I62)),NOT(ISNUMBER('Price History'!I61)),'Price History'!I61=0),"",'Price History'!I62/'Price History'!I61-1),"")</f>
        <v>-0.0433550580901105</v>
      </c>
      <c r="J61" s="154" t="n">
        <f aca="false">IFERROR(IF(OR(NOT(ISNUMBER('Price History'!J62)),NOT(ISNUMBER('Price History'!J61)),'Price History'!J61=0),"",'Price History'!J62/'Price History'!J61-1),"")</f>
        <v>-0.0352010187374933</v>
      </c>
      <c r="K61" s="154" t="n">
        <f aca="false">IFERROR(IF(OR(NOT(ISNUMBER('Price History'!K62)),NOT(ISNUMBER('Price History'!K61)),'Price History'!K61=0),"",'Price History'!K62/'Price History'!K61-1),"")</f>
        <v>-0.0655372269282211</v>
      </c>
      <c r="L61" s="154" t="n">
        <f aca="false">IFERROR(IF(OR(NOT(ISNUMBER('Price History'!L62)),NOT(ISNUMBER('Price History'!L61)),'Price History'!L61=0),"",'Price History'!L62/'Price History'!L61-1),"")</f>
        <v>-0.0515765085121385</v>
      </c>
      <c r="M61" s="154" t="n">
        <f aca="false">IFERROR(IF(OR(NOT(ISNUMBER('Price History'!M62)),NOT(ISNUMBER('Price History'!M61)),'Price History'!M61=0),"",'Price History'!M62/'Price History'!M61-1),"")</f>
        <v>-0.0470062555853441</v>
      </c>
      <c r="N61" s="154" t="n">
        <f aca="false">IFERROR(IF(OR(NOT(ISNUMBER('Price History'!N62)),NOT(ISNUMBER('Price History'!N61)),'Price History'!N61=0),"",'Price History'!N62/'Price History'!N61-1),"")</f>
        <v>-0.0137743353569185</v>
      </c>
      <c r="O61" s="154" t="n">
        <f aca="false">IFERROR(IF(OR(NOT(ISNUMBER('Price History'!O62)),NOT(ISNUMBER('Price History'!O61)),'Price History'!O61=0),"",'Price History'!O62/'Price History'!O61-1),"")</f>
        <v>-0.00238974581794482</v>
      </c>
      <c r="P61" s="154" t="n">
        <f aca="false">IFERROR(IF(OR(NOT(ISNUMBER('Price History'!P62)),NOT(ISNUMBER('Price History'!P61)),'Price History'!P61=0),"",'Price History'!P62/'Price History'!P61-1),"")</f>
        <v>-0.000963778009798411</v>
      </c>
      <c r="Q61" s="154" t="n">
        <f aca="false">IFERROR(IF(OR(NOT(ISNUMBER('Price History'!Q62)),NOT(ISNUMBER('Price History'!Q61)),'Price History'!Q61=0),"",'Price History'!Q62/'Price History'!Q61-1),"")</f>
        <v>-0.00884810748812059</v>
      </c>
      <c r="R61" s="154" t="n">
        <f aca="false">IFERROR(IF(OR(NOT(ISNUMBER('Price History'!R62)),NOT(ISNUMBER('Price History'!R61)),'Price History'!R61=0),"",'Price History'!R62/'Price History'!R61-1),"")</f>
        <v>-0.00837483023992747</v>
      </c>
      <c r="S61" s="154" t="n">
        <f aca="false">IFERROR(IF(OR(NOT(ISNUMBER('Price History'!S62)),NOT(ISNUMBER('Price History'!S61)),'Price History'!S61=0),"",'Price History'!S62/'Price History'!S61-1),"")</f>
        <v>-0.0137016332346815</v>
      </c>
      <c r="T61" s="154" t="n">
        <f aca="false">IFERROR(IF(OR(NOT(ISNUMBER('Price History'!T62)),NOT(ISNUMBER('Price History'!T61)),'Price History'!T61=0),"",'Price History'!T62/'Price History'!T61-1),"")</f>
        <v>0.000619770684846532</v>
      </c>
      <c r="U61" s="154" t="n">
        <f aca="false">IFERROR(IF(OR(NOT(ISNUMBER('Price History'!U62)),NOT(ISNUMBER('Price History'!U61)),'Price History'!U61=0),"",'Price History'!U62/'Price History'!U61-1),"")</f>
        <v>-0.00152730049637273</v>
      </c>
      <c r="V61" s="155" t="n">
        <f aca="false">IFERROR(IF(OR(NOT(ISNUMBER('Price History'!V62)),NOT(ISNUMBER('Price History'!V61)),'Price History'!V61=0),"",'Price History'!V62/'Price History'!V61-1),"")</f>
        <v>0.0319582057286976</v>
      </c>
      <c r="W61" s="156" t="n">
        <f aca="false">IFERROR('Price History'!B3+(INDEX('Price History'!B:B,MATCH(9.99E+307,'Returns (Calc)'!$A:$A)+1)-'Price History'!B3)*(ROW()-3)/(MATCH(9.99E+307,'Returns (Calc)'!$A:$A)-3),"")</f>
        <v>421.993797468354</v>
      </c>
      <c r="X61" s="156" t="n">
        <f aca="false">IFERROR('Price History'!C3+(INDEX('Price History'!C:C,MATCH(9.99E+307,'Returns (Calc)'!$A:$A)+1)-'Price History'!C3)*(ROW()-3)/(MATCH(9.99E+307,'Returns (Calc)'!$A:$A)-3),"")</f>
        <v>105.343670886076</v>
      </c>
      <c r="Y61" s="156" t="n">
        <f aca="false">IFERROR('Price History'!D3+(INDEX('Price History'!D:D,MATCH(9.99E+307,'Returns (Calc)'!$A:$A)+1)-'Price History'!D3)*(ROW()-3)/(MATCH(9.99E+307,'Returns (Calc)'!$A:$A)-3),"")</f>
        <v>1053.82898734177</v>
      </c>
      <c r="Z61" s="156" t="n">
        <f aca="false">IFERROR('Price History'!E3+(INDEX('Price History'!E:E,MATCH(9.99E+307,'Returns (Calc)'!$A:$A)+1)-'Price History'!E3)*(ROW()-3)/(MATCH(9.99E+307,'Returns (Calc)'!$A:$A)-3),"")</f>
        <v>182.266582278481</v>
      </c>
      <c r="AA61" s="156" t="n">
        <f aca="false">IFERROR('Price History'!F3+(INDEX('Price History'!F:F,MATCH(9.99E+307,'Returns (Calc)'!$A:$A)+1)-'Price History'!F3)*(ROW()-3)/(MATCH(9.99E+307,'Returns (Calc)'!$A:$A)-3),"")</f>
        <v>125.30582278481</v>
      </c>
      <c r="AB61" s="156" t="n">
        <f aca="false">IFERROR('Price History'!G3+(INDEX('Price History'!G:G,MATCH(9.99E+307,'Returns (Calc)'!$A:$A)+1)-'Price History'!G3)*(ROW()-3)/(MATCH(9.99E+307,'Returns (Calc)'!$A:$A)-3),"")</f>
        <v>104.016582278481</v>
      </c>
      <c r="AC61" s="156" t="n">
        <f aca="false">IFERROR('Price History'!H3+(INDEX('Price History'!H:H,MATCH(9.99E+307,'Returns (Calc)'!$A:$A)+1)-'Price History'!H3)*(ROW()-3)/(MATCH(9.99E+307,'Returns (Calc)'!$A:$A)-3),"")</f>
        <v>438.320379746836</v>
      </c>
      <c r="AD61" s="156" t="n">
        <f aca="false">IFERROR('Price History'!I3+(INDEX('Price History'!I:I,MATCH(9.99E+307,'Returns (Calc)'!$A:$A)+1)-'Price History'!I3)*(ROW()-3)/(MATCH(9.99E+307,'Returns (Calc)'!$A:$A)-3),"")</f>
        <v>113.582911392405</v>
      </c>
      <c r="AE61" s="156" t="n">
        <f aca="false">IFERROR('Price History'!J3+(INDEX('Price History'!J:J,MATCH(9.99E+307,'Returns (Calc)'!$A:$A)+1)-'Price History'!J3)*(ROW()-3)/(MATCH(9.99E+307,'Returns (Calc)'!$A:$A)-3),"")</f>
        <v>118.106202531646</v>
      </c>
      <c r="AF61" s="156" t="n">
        <f aca="false">IFERROR('Price History'!K3+(INDEX('Price History'!K:K,MATCH(9.99E+307,'Returns (Calc)'!$A:$A)+1)-'Price History'!K3)*(ROW()-3)/(MATCH(9.99E+307,'Returns (Calc)'!$A:$A)-3),"")</f>
        <v>78.9905063291139</v>
      </c>
      <c r="AG61" s="156" t="n">
        <f aca="false">IFERROR('Price History'!L3+(INDEX('Price History'!L:L,MATCH(9.99E+307,'Returns (Calc)'!$A:$A)+1)-'Price History'!L3)*(ROW()-3)/(MATCH(9.99E+307,'Returns (Calc)'!$A:$A)-3),"")</f>
        <v>227.824303797468</v>
      </c>
      <c r="AH61" s="156" t="n">
        <f aca="false">IFERROR('Price History'!M3+(INDEX('Price History'!M:M,MATCH(9.99E+307,'Returns (Calc)'!$A:$A)+1)-'Price History'!M3)*(ROW()-3)/(MATCH(9.99E+307,'Returns (Calc)'!$A:$A)-3),"")</f>
        <v>116.635696202532</v>
      </c>
      <c r="AI61" s="156" t="n">
        <f aca="false">IFERROR('Price History'!N3+(INDEX('Price History'!N:N,MATCH(9.99E+307,'Returns (Calc)'!$A:$A)+1)-'Price History'!N3)*(ROW()-3)/(MATCH(9.99E+307,'Returns (Calc)'!$A:$A)-3),"")</f>
        <v>406.103417721519</v>
      </c>
      <c r="AJ61" s="156" t="n">
        <f aca="false">IFERROR('Price History'!O3+(INDEX('Price History'!O:O,MATCH(9.99E+307,'Returns (Calc)'!$A:$A)+1)-'Price History'!O3)*(ROW()-3)/(MATCH(9.99E+307,'Returns (Calc)'!$A:$A)-3),"")</f>
        <v>91.7262025316456</v>
      </c>
      <c r="AK61" s="156" t="n">
        <f aca="false">IFERROR('Price History'!Q3+(INDEX('Price History'!Q:Q,MATCH(9.99E+307,'Returns (Calc)'!$A:$A)+1)-'Price History'!Q3)*(ROW()-3)/(MATCH(9.99E+307,'Returns (Calc)'!$A:$A)-3),"")</f>
        <v>25.4832911392405</v>
      </c>
      <c r="AL61" s="156" t="n">
        <f aca="false">IFERROR('Price History'!R3+(INDEX('Price History'!R:R,MATCH(9.99E+307,'Returns (Calc)'!$A:$A)+1)-'Price History'!R3)*(ROW()-3)/(MATCH(9.99E+307,'Returns (Calc)'!$A:$A)-3),"")</f>
        <v>44.2298734177215</v>
      </c>
      <c r="AM61" s="156" t="n">
        <f aca="false">IFERROR('Price History'!S3+(INDEX('Price History'!S:S,MATCH(9.99E+307,'Returns (Calc)'!$A:$A)+1)-'Price History'!S3)*(ROW()-3)/(MATCH(9.99E+307,'Returns (Calc)'!$A:$A)-3),"")</f>
        <v>92.723670886076</v>
      </c>
      <c r="AN61" s="156" t="n">
        <f aca="false">IFERROR('Price History'!T3+(INDEX('Price History'!T:T,MATCH(9.99E+307,'Returns (Calc)'!$A:$A)+1)-'Price History'!T3)*(ROW()-3)/(MATCH(9.99E+307,'Returns (Calc)'!$A:$A)-3),"")</f>
        <v>34.9972151898734</v>
      </c>
      <c r="AO61" s="157" t="n">
        <f aca="false">IFERROR('Price History'!V3+(INDEX('Price History'!V:V,MATCH(9.99E+307,'Returns (Calc)'!$A:$A)+1)-'Price History'!V3)*(ROW()-3)/(MATCH(9.99E+307,'Returns (Calc)'!$A:$A)-3),"")</f>
        <v>281.527088607595</v>
      </c>
      <c r="AP61" s="155" t="n">
        <f aca="false">IFERROR(IF(OR(NOT(ISNUMBER('Price History'!W62)),NOT(ISNUMBER('Price History'!W61)),'Price History'!W61=0),"",'Price History'!W62/'Price History'!W61-1),"")</f>
        <v>-0.00696492953130123</v>
      </c>
      <c r="AQ61" s="155" t="str">
        <f aca="false">IFERROR(IF(OR(NOT(ISNUMBER('Price History'!X62)),NOT(ISNUMBER('Price History'!X61)),'Price History'!X61=0),"",'Price History'!X62/'Price History'!X61-1),"")</f>
        <v/>
      </c>
      <c r="AR61" s="155" t="n">
        <f aca="false">IFERROR(IF(OR(NOT(ISNUMBER('Price History'!Y62)),NOT(ISNUMBER('Price History'!Y61)),'Price History'!Y61=0),"",'Price History'!Y62/'Price History'!Y61-1),"")</f>
        <v>-0.00655542312276536</v>
      </c>
      <c r="AS61" s="155" t="n">
        <f aca="false">IFERROR(IF(OR(NOT(ISNUMBER('Price History'!Z62)),NOT(ISNUMBER('Price History'!Z61)),'Price History'!Z61=0),"",'Price History'!Z62/'Price History'!Z61-1),"")</f>
        <v>-0.0413376945635009</v>
      </c>
      <c r="AT61" s="155" t="n">
        <f aca="false">IFERROR(IF(OR(NOT(ISNUMBER('Price History'!AA62)),NOT(ISNUMBER('Price History'!AA61)),'Price History'!AA61=0),"",'Price History'!AA62/'Price History'!AA61-1),"")</f>
        <v>0.00185504173843909</v>
      </c>
      <c r="AU61" s="155" t="n">
        <f aca="false">IFERROR(IF(OR(NOT(ISNUMBER('Price History'!AB62)),NOT(ISNUMBER('Price History'!AB61)),'Price History'!AB61=0),"",'Price History'!AB62/'Price History'!AB61-1),"")</f>
        <v>0.00259152805918106</v>
      </c>
    </row>
    <row r="62" customFormat="false" ht="15" hidden="false" customHeight="true" outlineLevel="0" collapsed="false">
      <c r="A62" s="153" t="n">
        <f aca="false">IF('Price History'!A63="","",'Price History'!A63)</f>
        <v>45604</v>
      </c>
      <c r="B62" s="154" t="n">
        <f aca="false">IFERROR(IF(OR(NOT(ISNUMBER('Price History'!B63)),NOT(ISNUMBER('Price History'!B62)),'Price History'!B62=0),"",'Price History'!B63/'Price History'!B62-1),"")</f>
        <v>0.0246064623032312</v>
      </c>
      <c r="C62" s="154" t="n">
        <f aca="false">IFERROR(IF(OR(NOT(ISNUMBER('Price History'!C63)),NOT(ISNUMBER('Price History'!C62)),'Price History'!C62=0),"",'Price History'!C63/'Price History'!C62-1),"")</f>
        <v>0.0159326161964684</v>
      </c>
      <c r="D62" s="154" t="n">
        <f aca="false">IFERROR(IF(OR(NOT(ISNUMBER('Price History'!D63)),NOT(ISNUMBER('Price History'!D62)),'Price History'!D62=0),"",'Price History'!D63/'Price History'!D62-1),"")</f>
        <v>-0.00780275125911445</v>
      </c>
      <c r="E62" s="154" t="n">
        <f aca="false">IFERROR(IF(OR(NOT(ISNUMBER('Price History'!E63)),NOT(ISNUMBER('Price History'!E62)),'Price History'!E62=0),"",'Price History'!E63/'Price History'!E62-1),"")</f>
        <v>0.0871476752589737</v>
      </c>
      <c r="F62" s="154" t="n">
        <f aca="false">IFERROR(IF(OR(NOT(ISNUMBER('Price History'!F63)),NOT(ISNUMBER('Price History'!F62)),'Price History'!F62=0),"",'Price History'!F63/'Price History'!F62-1),"")</f>
        <v>0.0888097123251519</v>
      </c>
      <c r="G62" s="154" t="n">
        <f aca="false">IFERROR(IF(OR(NOT(ISNUMBER('Price History'!G63)),NOT(ISNUMBER('Price History'!G62)),'Price History'!G62=0),"",'Price History'!G63/'Price History'!G62-1),"")</f>
        <v>0.02699423718532</v>
      </c>
      <c r="H62" s="154" t="n">
        <f aca="false">IFERROR(IF(OR(NOT(ISNUMBER('Price History'!H63)),NOT(ISNUMBER('Price History'!H62)),'Price History'!H62=0),"",'Price History'!H63/'Price History'!H62-1),"")</f>
        <v>0.122052005644023</v>
      </c>
      <c r="I62" s="154" t="n">
        <f aca="false">IFERROR(IF(OR(NOT(ISNUMBER('Price History'!I63)),NOT(ISNUMBER('Price History'!I62)),'Price History'!I62=0),"",'Price History'!I63/'Price History'!I62-1),"")</f>
        <v>0.0902695497630333</v>
      </c>
      <c r="J62" s="154" t="n">
        <f aca="false">IFERROR(IF(OR(NOT(ISNUMBER('Price History'!J63)),NOT(ISNUMBER('Price History'!J62)),'Price History'!J62=0),"",'Price History'!J63/'Price History'!J62-1),"")</f>
        <v>0.0214009616291129</v>
      </c>
      <c r="K62" s="154" t="n">
        <f aca="false">IFERROR(IF(OR(NOT(ISNUMBER('Price History'!K63)),NOT(ISNUMBER('Price History'!K62)),'Price History'!K62=0),"",'Price History'!K63/'Price History'!K62-1),"")</f>
        <v>0.392891221374046</v>
      </c>
      <c r="L62" s="154" t="n">
        <f aca="false">IFERROR(IF(OR(NOT(ISNUMBER('Price History'!L63)),NOT(ISNUMBER('Price History'!L62)),'Price History'!L62=0),"",'Price History'!L63/'Price History'!L62-1),"")</f>
        <v>0.0427509293680297</v>
      </c>
      <c r="M62" s="154" t="n">
        <f aca="false">IFERROR(IF(OR(NOT(ISNUMBER('Price History'!M63)),NOT(ISNUMBER('Price History'!M62)),'Price History'!M62=0),"",'Price History'!M63/'Price History'!M62-1),"")</f>
        <v>0.17638784696174</v>
      </c>
      <c r="N62" s="154" t="n">
        <f aca="false">IFERROR(IF(OR(NOT(ISNUMBER('Price History'!N63)),NOT(ISNUMBER('Price History'!N62)),'Price History'!N62=0),"",'Price History'!N63/'Price History'!N62-1),"")</f>
        <v>0.0968330786211582</v>
      </c>
      <c r="O62" s="154" t="n">
        <f aca="false">IFERROR(IF(OR(NOT(ISNUMBER('Price History'!O63)),NOT(ISNUMBER('Price History'!O62)),'Price History'!O62=0),"",'Price History'!O63/'Price History'!O62-1),"")</f>
        <v>0.0886324041811846</v>
      </c>
      <c r="P62" s="154" t="n">
        <f aca="false">IFERROR(IF(OR(NOT(ISNUMBER('Price History'!P63)),NOT(ISNUMBER('Price History'!P62)),'Price History'!P62=0),"",'Price History'!P63/'Price History'!P62-1),"")</f>
        <v>0.0347294798617253</v>
      </c>
      <c r="Q62" s="154" t="n">
        <f aca="false">IFERROR(IF(OR(NOT(ISNUMBER('Price History'!Q63)),NOT(ISNUMBER('Price History'!Q62)),'Price History'!Q62=0),"",'Price History'!Q63/'Price History'!Q62-1),"")</f>
        <v>0.0243015374442057</v>
      </c>
      <c r="R62" s="154" t="n">
        <f aca="false">IFERROR(IF(OR(NOT(ISNUMBER('Price History'!R63)),NOT(ISNUMBER('Price History'!R62)),'Price History'!R62=0),"",'Price History'!R63/'Price History'!R62-1),"")</f>
        <v>0.0385756676557862</v>
      </c>
      <c r="S62" s="154" t="n">
        <f aca="false">IFERROR(IF(OR(NOT(ISNUMBER('Price History'!S63)),NOT(ISNUMBER('Price History'!S62)),'Price History'!S62=0),"",'Price History'!S63/'Price History'!S62-1),"")</f>
        <v>0.0597910646810402</v>
      </c>
      <c r="T62" s="154" t="n">
        <f aca="false">IFERROR(IF(OR(NOT(ISNUMBER('Price History'!T63)),NOT(ISNUMBER('Price History'!T62)),'Price History'!T62=0),"",'Price History'!T63/'Price History'!T62-1),"")</f>
        <v>0.0774233508826263</v>
      </c>
      <c r="U62" s="154" t="n">
        <f aca="false">IFERROR(IF(OR(NOT(ISNUMBER('Price History'!U63)),NOT(ISNUMBER('Price History'!U62)),'Price History'!U62=0),"",'Price History'!U63/'Price History'!U62-1),"")</f>
        <v>0.0347992351816444</v>
      </c>
      <c r="V62" s="155" t="n">
        <f aca="false">IFERROR(IF(OR(NOT(ISNUMBER('Price History'!V63)),NOT(ISNUMBER('Price History'!V62)),'Price History'!V62=0),"",'Price History'!V63/'Price History'!V62-1),"")</f>
        <v>0.0589344319530758</v>
      </c>
      <c r="W62" s="156" t="n">
        <f aca="false">IFERROR('Price History'!B3+(INDEX('Price History'!B:B,MATCH(9.99E+307,'Returns (Calc)'!$A:$A)+1)-'Price History'!B3)*(ROW()-3)/(MATCH(9.99E+307,'Returns (Calc)'!$A:$A)-3),"")</f>
        <v>420.150759493671</v>
      </c>
      <c r="X62" s="156" t="n">
        <f aca="false">IFERROR('Price History'!C3+(INDEX('Price History'!C:C,MATCH(9.99E+307,'Returns (Calc)'!$A:$A)+1)-'Price History'!C3)*(ROW()-3)/(MATCH(9.99E+307,'Returns (Calc)'!$A:$A)-3),"")</f>
        <v>106.363734177215</v>
      </c>
      <c r="Y62" s="156" t="n">
        <f aca="false">IFERROR('Price History'!D3+(INDEX('Price History'!D:D,MATCH(9.99E+307,'Returns (Calc)'!$A:$A)+1)-'Price History'!D3)*(ROW()-3)/(MATCH(9.99E+307,'Returns (Calc)'!$A:$A)-3),"")</f>
        <v>1061.96379746835</v>
      </c>
      <c r="Z62" s="156" t="n">
        <f aca="false">IFERROR('Price History'!E3+(INDEX('Price History'!E:E,MATCH(9.99E+307,'Returns (Calc)'!$A:$A)+1)-'Price History'!E3)*(ROW()-3)/(MATCH(9.99E+307,'Returns (Calc)'!$A:$A)-3),"")</f>
        <v>183.995316455696</v>
      </c>
      <c r="AA62" s="156" t="n">
        <f aca="false">IFERROR('Price History'!F3+(INDEX('Price History'!F:F,MATCH(9.99E+307,'Returns (Calc)'!$A:$A)+1)-'Price History'!F3)*(ROW()-3)/(MATCH(9.99E+307,'Returns (Calc)'!$A:$A)-3),"")</f>
        <v>126.753164556962</v>
      </c>
      <c r="AB62" s="156" t="n">
        <f aca="false">IFERROR('Price History'!G3+(INDEX('Price History'!G:G,MATCH(9.99E+307,'Returns (Calc)'!$A:$A)+1)-'Price History'!G3)*(ROW()-3)/(MATCH(9.99E+307,'Returns (Calc)'!$A:$A)-3),"")</f>
        <v>105.045316455696</v>
      </c>
      <c r="AC62" s="156" t="n">
        <f aca="false">IFERROR('Price History'!H3+(INDEX('Price History'!H:H,MATCH(9.99E+307,'Returns (Calc)'!$A:$A)+1)-'Price History'!H3)*(ROW()-3)/(MATCH(9.99E+307,'Returns (Calc)'!$A:$A)-3),"")</f>
        <v>444.686075949367</v>
      </c>
      <c r="AD62" s="156" t="n">
        <f aca="false">IFERROR('Price History'!I3+(INDEX('Price History'!I:I,MATCH(9.99E+307,'Returns (Calc)'!$A:$A)+1)-'Price History'!I3)*(ROW()-3)/(MATCH(9.99E+307,'Returns (Calc)'!$A:$A)-3),"")</f>
        <v>114.786582278481</v>
      </c>
      <c r="AE62" s="156" t="n">
        <f aca="false">IFERROR('Price History'!J3+(INDEX('Price History'!J:J,MATCH(9.99E+307,'Returns (Calc)'!$A:$A)+1)-'Price History'!J3)*(ROW()-3)/(MATCH(9.99E+307,'Returns (Calc)'!$A:$A)-3),"")</f>
        <v>118.214240506329</v>
      </c>
      <c r="AF62" s="156" t="n">
        <f aca="false">IFERROR('Price History'!K3+(INDEX('Price History'!K:K,MATCH(9.99E+307,'Returns (Calc)'!$A:$A)+1)-'Price History'!K3)*(ROW()-3)/(MATCH(9.99E+307,'Returns (Calc)'!$A:$A)-3),"")</f>
        <v>80.0881012658228</v>
      </c>
      <c r="AG62" s="156" t="n">
        <f aca="false">IFERROR('Price History'!L3+(INDEX('Price History'!L:L,MATCH(9.99E+307,'Returns (Calc)'!$A:$A)+1)-'Price History'!L3)*(ROW()-3)/(MATCH(9.99E+307,'Returns (Calc)'!$A:$A)-3),"")</f>
        <v>230.273860759494</v>
      </c>
      <c r="AH62" s="156" t="n">
        <f aca="false">IFERROR('Price History'!M3+(INDEX('Price History'!M:M,MATCH(9.99E+307,'Returns (Calc)'!$A:$A)+1)-'Price History'!M3)*(ROW()-3)/(MATCH(9.99E+307,'Returns (Calc)'!$A:$A)-3),"")</f>
        <v>117.991139240506</v>
      </c>
      <c r="AI62" s="156" t="n">
        <f aca="false">IFERROR('Price History'!N3+(INDEX('Price History'!N:N,MATCH(9.99E+307,'Returns (Calc)'!$A:$A)+1)-'Price History'!N3)*(ROW()-3)/(MATCH(9.99E+307,'Returns (Calc)'!$A:$A)-3),"")</f>
        <v>407.089683544304</v>
      </c>
      <c r="AJ62" s="156" t="n">
        <f aca="false">IFERROR('Price History'!O3+(INDEX('Price History'!O:O,MATCH(9.99E+307,'Returns (Calc)'!$A:$A)+1)-'Price History'!O3)*(ROW()-3)/(MATCH(9.99E+307,'Returns (Calc)'!$A:$A)-3),"")</f>
        <v>92.0092405063291</v>
      </c>
      <c r="AK62" s="156" t="n">
        <f aca="false">IFERROR('Price History'!Q3+(INDEX('Price History'!Q:Q,MATCH(9.99E+307,'Returns (Calc)'!$A:$A)+1)-'Price History'!Q3)*(ROW()-3)/(MATCH(9.99E+307,'Returns (Calc)'!$A:$A)-3),"")</f>
        <v>25.9226582278481</v>
      </c>
      <c r="AL62" s="156" t="n">
        <f aca="false">IFERROR('Price History'!R3+(INDEX('Price History'!R:R,MATCH(9.99E+307,'Returns (Calc)'!$A:$A)+1)-'Price History'!R3)*(ROW()-3)/(MATCH(9.99E+307,'Returns (Calc)'!$A:$A)-3),"")</f>
        <v>44.3979746835443</v>
      </c>
      <c r="AM62" s="156" t="n">
        <f aca="false">IFERROR('Price History'!S3+(INDEX('Price History'!S:S,MATCH(9.99E+307,'Returns (Calc)'!$A:$A)+1)-'Price History'!S3)*(ROW()-3)/(MATCH(9.99E+307,'Returns (Calc)'!$A:$A)-3),"")</f>
        <v>93.3287341772152</v>
      </c>
      <c r="AN62" s="156" t="n">
        <f aca="false">IFERROR('Price History'!T3+(INDEX('Price History'!T:T,MATCH(9.99E+307,'Returns (Calc)'!$A:$A)+1)-'Price History'!T3)*(ROW()-3)/(MATCH(9.99E+307,'Returns (Calc)'!$A:$A)-3),"")</f>
        <v>35.1654430379747</v>
      </c>
      <c r="AO62" s="157" t="n">
        <f aca="false">IFERROR('Price History'!V3+(INDEX('Price History'!V:V,MATCH(9.99E+307,'Returns (Calc)'!$A:$A)+1)-'Price History'!V3)*(ROW()-3)/(MATCH(9.99E+307,'Returns (Calc)'!$A:$A)-3),"")</f>
        <v>282.318417721519</v>
      </c>
      <c r="AP62" s="155" t="n">
        <f aca="false">IFERROR(IF(OR(NOT(ISNUMBER('Price History'!W63)),NOT(ISNUMBER('Price History'!W62)),'Price History'!W62=0),"",'Price History'!W63/'Price History'!W62-1),"")</f>
        <v>0.0389471078471821</v>
      </c>
      <c r="AQ62" s="155" t="str">
        <f aca="false">IFERROR(IF(OR(NOT(ISNUMBER('Price History'!X63)),NOT(ISNUMBER('Price History'!X62)),'Price History'!X62=0),"",'Price History'!X63/'Price History'!X62-1),"")</f>
        <v/>
      </c>
      <c r="AR62" s="155" t="n">
        <f aca="false">IFERROR(IF(OR(NOT(ISNUMBER('Price History'!Y63)),NOT(ISNUMBER('Price History'!Y62)),'Price History'!Y62=0),"",'Price History'!Y63/'Price History'!Y62-1),"")</f>
        <v>0.0267946410717856</v>
      </c>
      <c r="AS62" s="155" t="n">
        <f aca="false">IFERROR(IF(OR(NOT(ISNUMBER('Price History'!Z63)),NOT(ISNUMBER('Price History'!Z62)),'Price History'!Z62=0),"",'Price History'!Z63/'Price History'!Z62-1),"")</f>
        <v>0.0763574327901642</v>
      </c>
      <c r="AT62" s="155" t="n">
        <f aca="false">IFERROR(IF(OR(NOT(ISNUMBER('Price History'!AA63)),NOT(ISNUMBER('Price History'!AA62)),'Price History'!AA62=0),"",'Price History'!AA63/'Price History'!AA62-1),"")</f>
        <v>0.0514482211347704</v>
      </c>
      <c r="AU62" s="155" t="n">
        <f aca="false">IFERROR(IF(OR(NOT(ISNUMBER('Price History'!AB63)),NOT(ISNUMBER('Price History'!AB62)),'Price History'!AB62=0),"",'Price History'!AB63/'Price History'!AB62-1),"")</f>
        <v>0.104427107810884</v>
      </c>
    </row>
    <row r="63" customFormat="false" ht="15" hidden="false" customHeight="true" outlineLevel="0" collapsed="false">
      <c r="A63" s="153" t="n">
        <f aca="false">IF('Price History'!A64="","",'Price History'!A64)</f>
        <v>45611</v>
      </c>
      <c r="B63" s="154" t="n">
        <f aca="false">IFERROR(IF(OR(NOT(ISNUMBER('Price History'!B64)),NOT(ISNUMBER('Price History'!B63)),'Price History'!B63=0),"",'Price History'!B64/'Price History'!B63-1),"")</f>
        <v>0.0175669119430744</v>
      </c>
      <c r="C63" s="154" t="n">
        <f aca="false">IFERROR(IF(OR(NOT(ISNUMBER('Price History'!C64)),NOT(ISNUMBER('Price History'!C63)),'Price History'!C63=0),"",'Price History'!C64/'Price History'!C63-1),"")</f>
        <v>-0.0650284686844471</v>
      </c>
      <c r="D63" s="154" t="n">
        <f aca="false">IFERROR(IF(OR(NOT(ISNUMBER('Price History'!D64)),NOT(ISNUMBER('Price History'!D63)),'Price History'!D63=0),"",'Price History'!D64/'Price History'!D63-1),"")</f>
        <v>-0.0161827989575126</v>
      </c>
      <c r="E63" s="154" t="n">
        <f aca="false">IFERROR(IF(OR(NOT(ISNUMBER('Price History'!E64)),NOT(ISNUMBER('Price History'!E63)),'Price History'!E63=0),"",'Price History'!E64/'Price History'!E63-1),"")</f>
        <v>-0.102376599634369</v>
      </c>
      <c r="F63" s="154" t="n">
        <f aca="false">IFERROR(IF(OR(NOT(ISNUMBER('Price History'!F64)),NOT(ISNUMBER('Price History'!F63)),'Price History'!F63=0),"",'Price History'!F64/'Price History'!F63-1),"")</f>
        <v>0.020361168343231</v>
      </c>
      <c r="G63" s="154" t="n">
        <f aca="false">IFERROR(IF(OR(NOT(ISNUMBER('Price History'!G64)),NOT(ISNUMBER('Price History'!G63)),'Price History'!G63=0),"",'Price History'!G64/'Price History'!G63-1),"")</f>
        <v>-0.106172474896633</v>
      </c>
      <c r="H63" s="154" t="n">
        <f aca="false">IFERROR(IF(OR(NOT(ISNUMBER('Price History'!H64)),NOT(ISNUMBER('Price History'!H63)),'Price History'!H63=0),"",'Price History'!H64/'Price History'!H63-1),"")</f>
        <v>-0.139046079223929</v>
      </c>
      <c r="I63" s="154" t="n">
        <f aca="false">IFERROR(IF(OR(NOT(ISNUMBER('Price History'!I64)),NOT(ISNUMBER('Price History'!I63)),'Price History'!I63=0),"",'Price History'!I64/'Price History'!I63-1),"")</f>
        <v>-0.038239489234531</v>
      </c>
      <c r="J63" s="154" t="n">
        <f aca="false">IFERROR(IF(OR(NOT(ISNUMBER('Price History'!J64)),NOT(ISNUMBER('Price History'!J63)),'Price History'!J63=0),"",'Price History'!J64/'Price History'!J63-1),"")</f>
        <v>-0.0207679527413698</v>
      </c>
      <c r="K63" s="154" t="n">
        <f aca="false">IFERROR(IF(OR(NOT(ISNUMBER('Price History'!K64)),NOT(ISNUMBER('Price History'!K63)),'Price History'!K63=0),"",'Price History'!K64/'Price History'!K63-1),"")</f>
        <v>0.126391505394759</v>
      </c>
      <c r="L63" s="154" t="n">
        <f aca="false">IFERROR(IF(OR(NOT(ISNUMBER('Price History'!L64)),NOT(ISNUMBER('Price History'!L63)),'Price History'!L63=0),"",'Price History'!L64/'Price History'!L63-1),"")</f>
        <v>-0.0754774637127578</v>
      </c>
      <c r="M63" s="154" t="n">
        <f aca="false">IFERROR(IF(OR(NOT(ISNUMBER('Price History'!M64)),NOT(ISNUMBER('Price History'!M63)),'Price History'!M63=0),"",'Price History'!M64/'Price History'!M63-1),"")</f>
        <v>-0.0388202471104026</v>
      </c>
      <c r="N63" s="154" t="n">
        <f aca="false">IFERROR(IF(OR(NOT(ISNUMBER('Price History'!N64)),NOT(ISNUMBER('Price History'!N63)),'Price History'!N63=0),"",'Price History'!N64/'Price History'!N63-1),"")</f>
        <v>-0.0987730773696637</v>
      </c>
      <c r="O63" s="154" t="n">
        <f aca="false">IFERROR(IF(OR(NOT(ISNUMBER('Price History'!O64)),NOT(ISNUMBER('Price History'!O63)),'Price History'!O63=0),"",'Price History'!O64/'Price History'!O63-1),"")</f>
        <v>-0.0194038807761552</v>
      </c>
      <c r="P63" s="154" t="n">
        <f aca="false">IFERROR(IF(OR(NOT(ISNUMBER('Price History'!P64)),NOT(ISNUMBER('Price History'!P63)),'Price History'!P63=0),"",'Price History'!P64/'Price History'!P63-1),"")</f>
        <v>0.00124310465387301</v>
      </c>
      <c r="Q63" s="154" t="n">
        <f aca="false">IFERROR(IF(OR(NOT(ISNUMBER('Price History'!Q64)),NOT(ISNUMBER('Price History'!Q63)),'Price History'!Q63=0),"",'Price History'!Q64/'Price History'!Q63-1),"")</f>
        <v>-0.00952227243382831</v>
      </c>
      <c r="R63" s="154" t="n">
        <f aca="false">IFERROR(IF(OR(NOT(ISNUMBER('Price History'!R64)),NOT(ISNUMBER('Price History'!R63)),'Price History'!R63=0),"",'Price History'!R64/'Price History'!R63-1),"")</f>
        <v>-0.0164835164835165</v>
      </c>
      <c r="S63" s="154" t="n">
        <f aca="false">IFERROR(IF(OR(NOT(ISNUMBER('Price History'!S64)),NOT(ISNUMBER('Price History'!S63)),'Price History'!S63=0),"",'Price History'!S64/'Price History'!S63-1),"")</f>
        <v>-0.0308305369127516</v>
      </c>
      <c r="T63" s="154" t="n">
        <f aca="false">IFERROR(IF(OR(NOT(ISNUMBER('Price History'!T64)),NOT(ISNUMBER('Price History'!T63)),'Price History'!T63=0),"",'Price History'!T64/'Price History'!T63-1),"")</f>
        <v>-0.0152342627191722</v>
      </c>
      <c r="U63" s="154" t="n">
        <f aca="false">IFERROR(IF(OR(NOT(ISNUMBER('Price History'!U64)),NOT(ISNUMBER('Price History'!U63)),'Price History'!U63=0),"",'Price History'!U64/'Price History'!U63-1),"")</f>
        <v>-0.0155210643015521</v>
      </c>
      <c r="V63" s="155" t="n">
        <f aca="false">IFERROR(IF(OR(NOT(ISNUMBER('Price History'!V64)),NOT(ISNUMBER('Price History'!V63)),'Price History'!V63=0),"",'Price History'!V64/'Price History'!V63-1),"")</f>
        <v>0.00764919221892524</v>
      </c>
      <c r="W63" s="156" t="n">
        <f aca="false">IFERROR('Price History'!B3+(INDEX('Price History'!B:B,MATCH(9.99E+307,'Returns (Calc)'!$A:$A)+1)-'Price History'!B3)*(ROW()-3)/(MATCH(9.99E+307,'Returns (Calc)'!$A:$A)-3),"")</f>
        <v>418.307721518987</v>
      </c>
      <c r="X63" s="156" t="n">
        <f aca="false">IFERROR('Price History'!C3+(INDEX('Price History'!C:C,MATCH(9.99E+307,'Returns (Calc)'!$A:$A)+1)-'Price History'!C3)*(ROW()-3)/(MATCH(9.99E+307,'Returns (Calc)'!$A:$A)-3),"")</f>
        <v>107.383797468354</v>
      </c>
      <c r="Y63" s="156" t="n">
        <f aca="false">IFERROR('Price History'!D3+(INDEX('Price History'!D:D,MATCH(9.99E+307,'Returns (Calc)'!$A:$A)+1)-'Price History'!D3)*(ROW()-3)/(MATCH(9.99E+307,'Returns (Calc)'!$A:$A)-3),"")</f>
        <v>1070.09860759494</v>
      </c>
      <c r="Z63" s="156" t="n">
        <f aca="false">IFERROR('Price History'!E3+(INDEX('Price History'!E:E,MATCH(9.99E+307,'Returns (Calc)'!$A:$A)+1)-'Price History'!E3)*(ROW()-3)/(MATCH(9.99E+307,'Returns (Calc)'!$A:$A)-3),"")</f>
        <v>185.724050632911</v>
      </c>
      <c r="AA63" s="156" t="n">
        <f aca="false">IFERROR('Price History'!F3+(INDEX('Price History'!F:F,MATCH(9.99E+307,'Returns (Calc)'!$A:$A)+1)-'Price History'!F3)*(ROW()-3)/(MATCH(9.99E+307,'Returns (Calc)'!$A:$A)-3),"")</f>
        <v>128.200506329114</v>
      </c>
      <c r="AB63" s="156" t="n">
        <f aca="false">IFERROR('Price History'!G3+(INDEX('Price History'!G:G,MATCH(9.99E+307,'Returns (Calc)'!$A:$A)+1)-'Price History'!G3)*(ROW()-3)/(MATCH(9.99E+307,'Returns (Calc)'!$A:$A)-3),"")</f>
        <v>106.074050632911</v>
      </c>
      <c r="AC63" s="156" t="n">
        <f aca="false">IFERROR('Price History'!H3+(INDEX('Price History'!H:H,MATCH(9.99E+307,'Returns (Calc)'!$A:$A)+1)-'Price History'!H3)*(ROW()-3)/(MATCH(9.99E+307,'Returns (Calc)'!$A:$A)-3),"")</f>
        <v>451.051772151899</v>
      </c>
      <c r="AD63" s="156" t="n">
        <f aca="false">IFERROR('Price History'!I3+(INDEX('Price History'!I:I,MATCH(9.99E+307,'Returns (Calc)'!$A:$A)+1)-'Price History'!I3)*(ROW()-3)/(MATCH(9.99E+307,'Returns (Calc)'!$A:$A)-3),"")</f>
        <v>115.990253164557</v>
      </c>
      <c r="AE63" s="156" t="n">
        <f aca="false">IFERROR('Price History'!J3+(INDEX('Price History'!J:J,MATCH(9.99E+307,'Returns (Calc)'!$A:$A)+1)-'Price History'!J3)*(ROW()-3)/(MATCH(9.99E+307,'Returns (Calc)'!$A:$A)-3),"")</f>
        <v>118.322278481013</v>
      </c>
      <c r="AF63" s="156" t="n">
        <f aca="false">IFERROR('Price History'!K3+(INDEX('Price History'!K:K,MATCH(9.99E+307,'Returns (Calc)'!$A:$A)+1)-'Price History'!K3)*(ROW()-3)/(MATCH(9.99E+307,'Returns (Calc)'!$A:$A)-3),"")</f>
        <v>81.1856962025316</v>
      </c>
      <c r="AG63" s="156" t="n">
        <f aca="false">IFERROR('Price History'!L3+(INDEX('Price History'!L:L,MATCH(9.99E+307,'Returns (Calc)'!$A:$A)+1)-'Price History'!L3)*(ROW()-3)/(MATCH(9.99E+307,'Returns (Calc)'!$A:$A)-3),"")</f>
        <v>232.723417721519</v>
      </c>
      <c r="AH63" s="156" t="n">
        <f aca="false">IFERROR('Price History'!M3+(INDEX('Price History'!M:M,MATCH(9.99E+307,'Returns (Calc)'!$A:$A)+1)-'Price History'!M3)*(ROW()-3)/(MATCH(9.99E+307,'Returns (Calc)'!$A:$A)-3),"")</f>
        <v>119.346582278481</v>
      </c>
      <c r="AI63" s="156" t="n">
        <f aca="false">IFERROR('Price History'!N3+(INDEX('Price History'!N:N,MATCH(9.99E+307,'Returns (Calc)'!$A:$A)+1)-'Price History'!N3)*(ROW()-3)/(MATCH(9.99E+307,'Returns (Calc)'!$A:$A)-3),"")</f>
        <v>408.075949367089</v>
      </c>
      <c r="AJ63" s="156" t="n">
        <f aca="false">IFERROR('Price History'!O3+(INDEX('Price History'!O:O,MATCH(9.99E+307,'Returns (Calc)'!$A:$A)+1)-'Price History'!O3)*(ROW()-3)/(MATCH(9.99E+307,'Returns (Calc)'!$A:$A)-3),"")</f>
        <v>92.2922784810127</v>
      </c>
      <c r="AK63" s="156" t="n">
        <f aca="false">IFERROR('Price History'!Q3+(INDEX('Price History'!Q:Q,MATCH(9.99E+307,'Returns (Calc)'!$A:$A)+1)-'Price History'!Q3)*(ROW()-3)/(MATCH(9.99E+307,'Returns (Calc)'!$A:$A)-3),"")</f>
        <v>26.3620253164557</v>
      </c>
      <c r="AL63" s="156" t="n">
        <f aca="false">IFERROR('Price History'!R3+(INDEX('Price History'!R:R,MATCH(9.99E+307,'Returns (Calc)'!$A:$A)+1)-'Price History'!R3)*(ROW()-3)/(MATCH(9.99E+307,'Returns (Calc)'!$A:$A)-3),"")</f>
        <v>44.5660759493671</v>
      </c>
      <c r="AM63" s="156" t="n">
        <f aca="false">IFERROR('Price History'!S3+(INDEX('Price History'!S:S,MATCH(9.99E+307,'Returns (Calc)'!$A:$A)+1)-'Price History'!S3)*(ROW()-3)/(MATCH(9.99E+307,'Returns (Calc)'!$A:$A)-3),"")</f>
        <v>93.9337974683544</v>
      </c>
      <c r="AN63" s="156" t="n">
        <f aca="false">IFERROR('Price History'!T3+(INDEX('Price History'!T:T,MATCH(9.99E+307,'Returns (Calc)'!$A:$A)+1)-'Price History'!T3)*(ROW()-3)/(MATCH(9.99E+307,'Returns (Calc)'!$A:$A)-3),"")</f>
        <v>35.333670886076</v>
      </c>
      <c r="AO63" s="157" t="n">
        <f aca="false">IFERROR('Price History'!V3+(INDEX('Price History'!V:V,MATCH(9.99E+307,'Returns (Calc)'!$A:$A)+1)-'Price History'!V3)*(ROW()-3)/(MATCH(9.99E+307,'Returns (Calc)'!$A:$A)-3),"")</f>
        <v>283.109746835443</v>
      </c>
      <c r="AP63" s="155" t="n">
        <f aca="false">IFERROR(IF(OR(NOT(ISNUMBER('Price History'!W64)),NOT(ISNUMBER('Price History'!W63)),'Price History'!W63=0),"",'Price History'!W64/'Price History'!W63-1),"")</f>
        <v>-0.0135811293781272</v>
      </c>
      <c r="AQ63" s="155" t="str">
        <f aca="false">IFERROR(IF(OR(NOT(ISNUMBER('Price History'!X64)),NOT(ISNUMBER('Price History'!X63)),'Price History'!X63=0),"",'Price History'!X64/'Price History'!X63-1),"")</f>
        <v/>
      </c>
      <c r="AR63" s="155" t="n">
        <f aca="false">IFERROR(IF(OR(NOT(ISNUMBER('Price History'!Y64)),NOT(ISNUMBER('Price History'!Y63)),'Price History'!Y63=0),"",'Price History'!Y64/'Price History'!Y63-1),"")</f>
        <v>-0.0126582278481012</v>
      </c>
      <c r="AS63" s="155" t="n">
        <f aca="false">IFERROR(IF(OR(NOT(ISNUMBER('Price History'!Z64)),NOT(ISNUMBER('Price History'!Z63)),'Price History'!Z63=0),"",'Price History'!Z64/'Price History'!Z63-1),"")</f>
        <v>-0.0426299393343171</v>
      </c>
      <c r="AT63" s="155" t="n">
        <f aca="false">IFERROR(IF(OR(NOT(ISNUMBER('Price History'!AA64)),NOT(ISNUMBER('Price History'!AA63)),'Price History'!AA63=0),"",'Price History'!AA64/'Price History'!AA63-1),"")</f>
        <v>0.0364779874213836</v>
      </c>
      <c r="AU63" s="155" t="n">
        <f aca="false">IFERROR(IF(OR(NOT(ISNUMBER('Price History'!AB64)),NOT(ISNUMBER('Price History'!AB63)),'Price History'!AB63=0),"",'Price History'!AB64/'Price History'!AB63-1),"")</f>
        <v>-0.0920851063829786</v>
      </c>
    </row>
    <row r="64" customFormat="false" ht="15" hidden="false" customHeight="true" outlineLevel="0" collapsed="false">
      <c r="A64" s="153" t="n">
        <f aca="false">IF('Price History'!A65="","",'Price History'!A65)</f>
        <v>45618</v>
      </c>
      <c r="B64" s="154" t="n">
        <f aca="false">IFERROR(IF(OR(NOT(ISNUMBER('Price History'!B65)),NOT(ISNUMBER('Price History'!B64)),'Price History'!B64=0),"",'Price History'!B65/'Price History'!B64-1),"")</f>
        <v>0.0174424379680951</v>
      </c>
      <c r="C64" s="154" t="n">
        <f aca="false">IFERROR(IF(OR(NOT(ISNUMBER('Price History'!C65)),NOT(ISNUMBER('Price History'!C64)),'Price History'!C64=0),"",'Price History'!C65/'Price History'!C64-1),"")</f>
        <v>0.0856837606837608</v>
      </c>
      <c r="D64" s="154" t="n">
        <f aca="false">IFERROR(IF(OR(NOT(ISNUMBER('Price History'!D65)),NOT(ISNUMBER('Price History'!D64)),'Price History'!D64=0),"",'Price History'!D65/'Price History'!D64-1),"")</f>
        <v>0.0216239526860524</v>
      </c>
      <c r="E64" s="154" t="n">
        <f aca="false">IFERROR(IF(OR(NOT(ISNUMBER('Price History'!E65)),NOT(ISNUMBER('Price History'!E64)),'Price History'!E64=0),"",'Price History'!E65/'Price History'!E64-1),"")</f>
        <v>-0.00370301795963712</v>
      </c>
      <c r="F64" s="154" t="n">
        <f aca="false">IFERROR(IF(OR(NOT(ISNUMBER('Price History'!F65)),NOT(ISNUMBER('Price History'!F64)),'Price History'!F64=0),"",'Price History'!F65/'Price History'!F64-1),"")</f>
        <v>0.10547570970424</v>
      </c>
      <c r="G64" s="154" t="n">
        <f aca="false">IFERROR(IF(OR(NOT(ISNUMBER('Price History'!G65)),NOT(ISNUMBER('Price History'!G64)),'Price History'!G64=0),"",'Price History'!G65/'Price History'!G64-1),"")</f>
        <v>0.0437799438295059</v>
      </c>
      <c r="H64" s="154" t="n">
        <f aca="false">IFERROR(IF(OR(NOT(ISNUMBER('Price History'!H65)),NOT(ISNUMBER('Price History'!H64)),'Price History'!H64=0),"",'Price History'!H65/'Price History'!H64-1),"")</f>
        <v>0.0653103808033386</v>
      </c>
      <c r="I64" s="154" t="n">
        <f aca="false">IFERROR(IF(OR(NOT(ISNUMBER('Price History'!I65)),NOT(ISNUMBER('Price History'!I64)),'Price History'!I64=0),"",'Price History'!I65/'Price History'!I64-1),"")</f>
        <v>-0.000211864406779672</v>
      </c>
      <c r="J64" s="154" t="n">
        <f aca="false">IFERROR(IF(OR(NOT(ISNUMBER('Price History'!J65)),NOT(ISNUMBER('Price History'!J64)),'Price History'!J64=0),"",'Price History'!J65/'Price History'!J64-1),"")</f>
        <v>0.0209256291827693</v>
      </c>
      <c r="K64" s="154" t="n">
        <f aca="false">IFERROR(IF(OR(NOT(ISNUMBER('Price History'!K65)),NOT(ISNUMBER('Price History'!K64)),'Price History'!K64=0),"",'Price History'!K65/'Price History'!K64-1),"")</f>
        <v>-0.0215903907556637</v>
      </c>
      <c r="L64" s="154" t="n">
        <f aca="false">IFERROR(IF(OR(NOT(ISNUMBER('Price History'!L65)),NOT(ISNUMBER('Price History'!L64)),'Price History'!L64=0),"",'Price History'!L65/'Price History'!L64-1),"")</f>
        <v>0.0218696634165152</v>
      </c>
      <c r="M64" s="154" t="n">
        <f aca="false">IFERROR(IF(OR(NOT(ISNUMBER('Price History'!M65)),NOT(ISNUMBER('Price History'!M64)),'Price History'!M64=0),"",'Price History'!M65/'Price History'!M64-1),"")</f>
        <v>0.159479183944269</v>
      </c>
      <c r="N64" s="154" t="n">
        <f aca="false">IFERROR(IF(OR(NOT(ISNUMBER('Price History'!N65)),NOT(ISNUMBER('Price History'!N64)),'Price History'!N64=0),"",'Price History'!N65/'Price History'!N64-1),"")</f>
        <v>-0.0316298045952329</v>
      </c>
      <c r="O64" s="154" t="n">
        <f aca="false">IFERROR(IF(OR(NOT(ISNUMBER('Price History'!O65)),NOT(ISNUMBER('Price History'!O64)),'Price History'!O64=0),"",'Price History'!O65/'Price History'!O64-1),"")</f>
        <v>0.036515707874337</v>
      </c>
      <c r="P64" s="154" t="n">
        <f aca="false">IFERROR(IF(OR(NOT(ISNUMBER('Price History'!P65)),NOT(ISNUMBER('Price History'!P64)),'Price History'!P64=0),"",'Price History'!P65/'Price History'!P64-1),"")</f>
        <v>0.0271591526344379</v>
      </c>
      <c r="Q64" s="154" t="n">
        <f aca="false">IFERROR(IF(OR(NOT(ISNUMBER('Price History'!Q65)),NOT(ISNUMBER('Price History'!Q64)),'Price History'!Q64=0),"",'Price History'!Q65/'Price History'!Q64-1),"")</f>
        <v>0.00749551898321665</v>
      </c>
      <c r="R64" s="154" t="n">
        <f aca="false">IFERROR(IF(OR(NOT(ISNUMBER('Price History'!R65)),NOT(ISNUMBER('Price History'!R64)),'Price History'!R64=0),"",'Price History'!R65/'Price History'!R64-1),"")</f>
        <v>0.0172067039106145</v>
      </c>
      <c r="S64" s="154" t="n">
        <f aca="false">IFERROR(IF(OR(NOT(ISNUMBER('Price History'!S65)),NOT(ISNUMBER('Price History'!S64)),'Price History'!S64=0),"",'Price History'!S65/'Price History'!S64-1),"")</f>
        <v>0.0178532785111447</v>
      </c>
      <c r="T64" s="154" t="n">
        <f aca="false">IFERROR(IF(OR(NOT(ISNUMBER('Price History'!T65)),NOT(ISNUMBER('Price History'!T64)),'Price History'!T64=0),"",'Price History'!T65/'Price History'!T64-1),"")</f>
        <v>0.0385288966725044</v>
      </c>
      <c r="U64" s="154" t="n">
        <f aca="false">IFERROR(IF(OR(NOT(ISNUMBER('Price History'!U65)),NOT(ISNUMBER('Price History'!U64)),'Price History'!U64=0),"",'Price History'!U65/'Price History'!U64-1),"")</f>
        <v>0.0251501501501501</v>
      </c>
      <c r="V64" s="155" t="n">
        <f aca="false">IFERROR(IF(OR(NOT(ISNUMBER('Price History'!V65)),NOT(ISNUMBER('Price History'!V64)),'Price History'!V64=0),"",'Price History'!V65/'Price History'!V64-1),"")</f>
        <v>0.000916170407695649</v>
      </c>
      <c r="W64" s="156" t="n">
        <f aca="false">IFERROR('Price History'!B3+(INDEX('Price History'!B:B,MATCH(9.99E+307,'Returns (Calc)'!$A:$A)+1)-'Price History'!B3)*(ROW()-3)/(MATCH(9.99E+307,'Returns (Calc)'!$A:$A)-3),"")</f>
        <v>416.464683544304</v>
      </c>
      <c r="X64" s="156" t="n">
        <f aca="false">IFERROR('Price History'!C3+(INDEX('Price History'!C:C,MATCH(9.99E+307,'Returns (Calc)'!$A:$A)+1)-'Price History'!C3)*(ROW()-3)/(MATCH(9.99E+307,'Returns (Calc)'!$A:$A)-3),"")</f>
        <v>108.403860759494</v>
      </c>
      <c r="Y64" s="156" t="n">
        <f aca="false">IFERROR('Price History'!D3+(INDEX('Price History'!D:D,MATCH(9.99E+307,'Returns (Calc)'!$A:$A)+1)-'Price History'!D3)*(ROW()-3)/(MATCH(9.99E+307,'Returns (Calc)'!$A:$A)-3),"")</f>
        <v>1078.23341772152</v>
      </c>
      <c r="Z64" s="156" t="n">
        <f aca="false">IFERROR('Price History'!E3+(INDEX('Price History'!E:E,MATCH(9.99E+307,'Returns (Calc)'!$A:$A)+1)-'Price History'!E3)*(ROW()-3)/(MATCH(9.99E+307,'Returns (Calc)'!$A:$A)-3),"")</f>
        <v>187.452784810127</v>
      </c>
      <c r="AA64" s="156" t="n">
        <f aca="false">IFERROR('Price History'!F3+(INDEX('Price History'!F:F,MATCH(9.99E+307,'Returns (Calc)'!$A:$A)+1)-'Price History'!F3)*(ROW()-3)/(MATCH(9.99E+307,'Returns (Calc)'!$A:$A)-3),"")</f>
        <v>129.647848101266</v>
      </c>
      <c r="AB64" s="156" t="n">
        <f aca="false">IFERROR('Price History'!G3+(INDEX('Price History'!G:G,MATCH(9.99E+307,'Returns (Calc)'!$A:$A)+1)-'Price History'!G3)*(ROW()-3)/(MATCH(9.99E+307,'Returns (Calc)'!$A:$A)-3),"")</f>
        <v>107.102784810127</v>
      </c>
      <c r="AC64" s="156" t="n">
        <f aca="false">IFERROR('Price History'!H3+(INDEX('Price History'!H:H,MATCH(9.99E+307,'Returns (Calc)'!$A:$A)+1)-'Price History'!H3)*(ROW()-3)/(MATCH(9.99E+307,'Returns (Calc)'!$A:$A)-3),"")</f>
        <v>457.41746835443</v>
      </c>
      <c r="AD64" s="156" t="n">
        <f aca="false">IFERROR('Price History'!I3+(INDEX('Price History'!I:I,MATCH(9.99E+307,'Returns (Calc)'!$A:$A)+1)-'Price History'!I3)*(ROW()-3)/(MATCH(9.99E+307,'Returns (Calc)'!$A:$A)-3),"")</f>
        <v>117.193924050633</v>
      </c>
      <c r="AE64" s="156" t="n">
        <f aca="false">IFERROR('Price History'!J3+(INDEX('Price History'!J:J,MATCH(9.99E+307,'Returns (Calc)'!$A:$A)+1)-'Price History'!J3)*(ROW()-3)/(MATCH(9.99E+307,'Returns (Calc)'!$A:$A)-3),"")</f>
        <v>118.430316455696</v>
      </c>
      <c r="AF64" s="156" t="n">
        <f aca="false">IFERROR('Price History'!K3+(INDEX('Price History'!K:K,MATCH(9.99E+307,'Returns (Calc)'!$A:$A)+1)-'Price History'!K3)*(ROW()-3)/(MATCH(9.99E+307,'Returns (Calc)'!$A:$A)-3),"")</f>
        <v>82.2832911392405</v>
      </c>
      <c r="AG64" s="156" t="n">
        <f aca="false">IFERROR('Price History'!L3+(INDEX('Price History'!L:L,MATCH(9.99E+307,'Returns (Calc)'!$A:$A)+1)-'Price History'!L3)*(ROW()-3)/(MATCH(9.99E+307,'Returns (Calc)'!$A:$A)-3),"")</f>
        <v>235.172974683544</v>
      </c>
      <c r="AH64" s="156" t="n">
        <f aca="false">IFERROR('Price History'!M3+(INDEX('Price History'!M:M,MATCH(9.99E+307,'Returns (Calc)'!$A:$A)+1)-'Price History'!M3)*(ROW()-3)/(MATCH(9.99E+307,'Returns (Calc)'!$A:$A)-3),"")</f>
        <v>120.702025316456</v>
      </c>
      <c r="AI64" s="156" t="n">
        <f aca="false">IFERROR('Price History'!N3+(INDEX('Price History'!N:N,MATCH(9.99E+307,'Returns (Calc)'!$A:$A)+1)-'Price History'!N3)*(ROW()-3)/(MATCH(9.99E+307,'Returns (Calc)'!$A:$A)-3),"")</f>
        <v>409.062215189873</v>
      </c>
      <c r="AJ64" s="156" t="n">
        <f aca="false">IFERROR('Price History'!O3+(INDEX('Price History'!O:O,MATCH(9.99E+307,'Returns (Calc)'!$A:$A)+1)-'Price History'!O3)*(ROW()-3)/(MATCH(9.99E+307,'Returns (Calc)'!$A:$A)-3),"")</f>
        <v>92.5753164556962</v>
      </c>
      <c r="AK64" s="156" t="n">
        <f aca="false">IFERROR('Price History'!Q3+(INDEX('Price History'!Q:Q,MATCH(9.99E+307,'Returns (Calc)'!$A:$A)+1)-'Price History'!Q3)*(ROW()-3)/(MATCH(9.99E+307,'Returns (Calc)'!$A:$A)-3),"")</f>
        <v>26.8013924050633</v>
      </c>
      <c r="AL64" s="156" t="n">
        <f aca="false">IFERROR('Price History'!R3+(INDEX('Price History'!R:R,MATCH(9.99E+307,'Returns (Calc)'!$A:$A)+1)-'Price History'!R3)*(ROW()-3)/(MATCH(9.99E+307,'Returns (Calc)'!$A:$A)-3),"")</f>
        <v>44.7341772151899</v>
      </c>
      <c r="AM64" s="156" t="n">
        <f aca="false">IFERROR('Price History'!S3+(INDEX('Price History'!S:S,MATCH(9.99E+307,'Returns (Calc)'!$A:$A)+1)-'Price History'!S3)*(ROW()-3)/(MATCH(9.99E+307,'Returns (Calc)'!$A:$A)-3),"")</f>
        <v>94.5388607594937</v>
      </c>
      <c r="AN64" s="156" t="n">
        <f aca="false">IFERROR('Price History'!T3+(INDEX('Price History'!T:T,MATCH(9.99E+307,'Returns (Calc)'!$A:$A)+1)-'Price History'!T3)*(ROW()-3)/(MATCH(9.99E+307,'Returns (Calc)'!$A:$A)-3),"")</f>
        <v>35.5018987341772</v>
      </c>
      <c r="AO64" s="157" t="n">
        <f aca="false">IFERROR('Price History'!V3+(INDEX('Price History'!V:V,MATCH(9.99E+307,'Returns (Calc)'!$A:$A)+1)-'Price History'!V3)*(ROW()-3)/(MATCH(9.99E+307,'Returns (Calc)'!$A:$A)-3),"")</f>
        <v>283.901075949367</v>
      </c>
      <c r="AP64" s="155" t="n">
        <f aca="false">IFERROR(IF(OR(NOT(ISNUMBER('Price History'!W65)),NOT(ISNUMBER('Price History'!W64)),'Price History'!W64=0),"",'Price History'!W65/'Price History'!W64-1),"")</f>
        <v>0.0223832528180354</v>
      </c>
      <c r="AQ64" s="155" t="str">
        <f aca="false">IFERROR(IF(OR(NOT(ISNUMBER('Price History'!X65)),NOT(ISNUMBER('Price History'!X64)),'Price History'!X64=0),"",'Price History'!X65/'Price History'!X64-1),"")</f>
        <v/>
      </c>
      <c r="AR64" s="155" t="n">
        <f aca="false">IFERROR(IF(OR(NOT(ISNUMBER('Price History'!Y65)),NOT(ISNUMBER('Price History'!Y64)),'Price History'!Y64=0),"",'Price History'!Y65/'Price History'!Y64-1),"")</f>
        <v>0.0149901380670612</v>
      </c>
      <c r="AS64" s="155" t="n">
        <f aca="false">IFERROR(IF(OR(NOT(ISNUMBER('Price History'!Z65)),NOT(ISNUMBER('Price History'!Z64)),'Price History'!Z64=0),"",'Price History'!Z65/'Price History'!Z64-1),"")</f>
        <v>0.023862533538848</v>
      </c>
      <c r="AT64" s="155" t="n">
        <f aca="false">IFERROR(IF(OR(NOT(ISNUMBER('Price History'!AA65)),NOT(ISNUMBER('Price History'!AA64)),'Price History'!AA64=0),"",'Price History'!AA65/'Price History'!AA64-1),"")</f>
        <v>0.0895631067961165</v>
      </c>
      <c r="AU64" s="155" t="n">
        <f aca="false">IFERROR(IF(OR(NOT(ISNUMBER('Price History'!AB65)),NOT(ISNUMBER('Price History'!AB64)),'Price History'!AB64=0),"",'Price History'!AB65/'Price History'!AB64-1),"")</f>
        <v>0.0150918635170603</v>
      </c>
    </row>
    <row r="65" customFormat="false" ht="15" hidden="false" customHeight="true" outlineLevel="0" collapsed="false">
      <c r="A65" s="153" t="n">
        <f aca="false">IF('Price History'!A66="","",'Price History'!A66)</f>
        <v>45625</v>
      </c>
      <c r="B65" s="154" t="n">
        <f aca="false">IFERROR(IF(OR(NOT(ISNUMBER('Price History'!B66)),NOT(ISNUMBER('Price History'!B65)),'Price History'!B65=0),"",'Price History'!B66/'Price History'!B65-1),"")</f>
        <v>0.00738065020013656</v>
      </c>
      <c r="C65" s="154" t="n">
        <f aca="false">IFERROR(IF(OR(NOT(ISNUMBER('Price History'!C66)),NOT(ISNUMBER('Price History'!C65)),'Price History'!C65=0),"",'Price History'!C66/'Price History'!C65-1),"")</f>
        <v>-0.00157449320999814</v>
      </c>
      <c r="D65" s="154" t="n">
        <f aca="false">IFERROR(IF(OR(NOT(ISNUMBER('Price History'!D66)),NOT(ISNUMBER('Price History'!D65)),'Price History'!D65=0),"",'Price History'!D66/'Price History'!D65-1),"")</f>
        <v>0.020412470602424</v>
      </c>
      <c r="E65" s="154" t="n">
        <f aca="false">IFERROR(IF(OR(NOT(ISNUMBER('Price History'!E66)),NOT(ISNUMBER('Price History'!E65)),'Price History'!E65=0),"",'Price History'!E66/'Price History'!E65-1),"")</f>
        <v>-0.0130706807904356</v>
      </c>
      <c r="F65" s="154" t="n">
        <f aca="false">IFERROR(IF(OR(NOT(ISNUMBER('Price History'!F66)),NOT(ISNUMBER('Price History'!F65)),'Price History'!F65=0),"",'Price History'!F66/'Price History'!F65-1),"")</f>
        <v>-0.070699473514559</v>
      </c>
      <c r="G65" s="154" t="n">
        <f aca="false">IFERROR(IF(OR(NOT(ISNUMBER('Price History'!G66)),NOT(ISNUMBER('Price History'!G65)),'Price History'!G65=0),"",'Price History'!G66/'Price History'!G65-1),"")</f>
        <v>0.0117125672681229</v>
      </c>
      <c r="H65" s="154" t="n">
        <f aca="false">IFERROR(IF(OR(NOT(ISNUMBER('Price History'!H66)),NOT(ISNUMBER('Price History'!H65)),'Price History'!H65=0),"",'Price History'!H66/'Price History'!H65-1),"")</f>
        <v>-0.0456370580746254</v>
      </c>
      <c r="I65" s="154" t="n">
        <f aca="false">IFERROR(IF(OR(NOT(ISNUMBER('Price History'!I66)),NOT(ISNUMBER('Price History'!I65)),'Price History'!I65=0),"",'Price History'!I66/'Price History'!I65-1),"")</f>
        <v>-0.0260648442466624</v>
      </c>
      <c r="J65" s="154" t="n">
        <f aca="false">IFERROR(IF(OR(NOT(ISNUMBER('Price History'!J66)),NOT(ISNUMBER('Price History'!J65)),'Price History'!J65=0),"",'Price History'!J66/'Price History'!J65-1),"")</f>
        <v>0.00849413719878123</v>
      </c>
      <c r="K65" s="154" t="n">
        <f aca="false">IFERROR(IF(OR(NOT(ISNUMBER('Price History'!K66)),NOT(ISNUMBER('Price History'!K65)),'Price History'!K65=0),"",'Price History'!K66/'Price History'!K65-1),"")</f>
        <v>0.0424242424242425</v>
      </c>
      <c r="L65" s="154" t="n">
        <f aca="false">IFERROR(IF(OR(NOT(ISNUMBER('Price History'!L66)),NOT(ISNUMBER('Price History'!L65)),'Price History'!L65=0),"",'Price History'!L66/'Price History'!L65-1),"")</f>
        <v>-0.0285175202156334</v>
      </c>
      <c r="M65" s="154" t="n">
        <f aca="false">IFERROR(IF(OR(NOT(ISNUMBER('Price History'!M66)),NOT(ISNUMBER('Price History'!M65)),'Price History'!M65=0),"",'Price History'!M66/'Price History'!M65-1),"")</f>
        <v>-0.0895501037121808</v>
      </c>
      <c r="N65" s="154" t="n">
        <f aca="false">IFERROR(IF(OR(NOT(ISNUMBER('Price History'!N66)),NOT(ISNUMBER('Price History'!N65)),'Price History'!N65=0),"",'Price History'!N66/'Price History'!N65-1),"")</f>
        <v>0.0380513116171806</v>
      </c>
      <c r="O65" s="154" t="n">
        <f aca="false">IFERROR(IF(OR(NOT(ISNUMBER('Price History'!O66)),NOT(ISNUMBER('Price History'!O65)),'Price History'!O65=0),"",'Price History'!O66/'Price History'!O65-1),"")</f>
        <v>0.00679000196811641</v>
      </c>
      <c r="P65" s="154" t="n">
        <f aca="false">IFERROR(IF(OR(NOT(ISNUMBER('Price History'!P66)),NOT(ISNUMBER('Price History'!P65)),'Price History'!P65=0),"",'Price History'!P66/'Price History'!P65-1),"")</f>
        <v>0.00936768149882905</v>
      </c>
      <c r="Q65" s="154" t="n">
        <f aca="false">IFERROR(IF(OR(NOT(ISNUMBER('Price History'!Q66)),NOT(ISNUMBER('Price History'!Q65)),'Price History'!Q65=0),"",'Price History'!Q66/'Price History'!Q65-1),"")</f>
        <v>0.00614588387514159</v>
      </c>
      <c r="R65" s="154" t="n">
        <f aca="false">IFERROR(IF(OR(NOT(ISNUMBER('Price History'!R66)),NOT(ISNUMBER('Price History'!R65)),'Price History'!R65=0),"",'Price History'!R66/'Price History'!R65-1),"")</f>
        <v>0.00922671353251303</v>
      </c>
      <c r="S65" s="154" t="n">
        <f aca="false">IFERROR(IF(OR(NOT(ISNUMBER('Price History'!S66)),NOT(ISNUMBER('Price History'!S65)),'Price History'!S65=0),"",'Price History'!S66/'Price History'!S65-1),"")</f>
        <v>0.0130753694057617</v>
      </c>
      <c r="T65" s="154" t="n">
        <f aca="false">IFERROR(IF(OR(NOT(ISNUMBER('Price History'!T66)),NOT(ISNUMBER('Price History'!T65)),'Price History'!T65=0),"",'Price History'!T66/'Price History'!T65-1),"")</f>
        <v>0.00196739741427776</v>
      </c>
      <c r="U65" s="154" t="n">
        <f aca="false">IFERROR(IF(OR(NOT(ISNUMBER('Price History'!U66)),NOT(ISNUMBER('Price History'!U65)),'Price History'!U65=0),"",'Price History'!U66/'Price History'!U65-1),"")</f>
        <v>0.00622482607103625</v>
      </c>
      <c r="V65" s="155" t="n">
        <f aca="false">IFERROR(IF(OR(NOT(ISNUMBER('Price History'!V66)),NOT(ISNUMBER('Price History'!V65)),'Price History'!V65=0),"",'Price History'!V66/'Price History'!V65-1),"")</f>
        <v>0.0166394246485782</v>
      </c>
      <c r="W65" s="156" t="n">
        <f aca="false">IFERROR('Price History'!B3+(INDEX('Price History'!B:B,MATCH(9.99E+307,'Returns (Calc)'!$A:$A)+1)-'Price History'!B3)*(ROW()-3)/(MATCH(9.99E+307,'Returns (Calc)'!$A:$A)-3),"")</f>
        <v>414.62164556962</v>
      </c>
      <c r="X65" s="156" t="n">
        <f aca="false">IFERROR('Price History'!C3+(INDEX('Price History'!C:C,MATCH(9.99E+307,'Returns (Calc)'!$A:$A)+1)-'Price History'!C3)*(ROW()-3)/(MATCH(9.99E+307,'Returns (Calc)'!$A:$A)-3),"")</f>
        <v>109.423924050633</v>
      </c>
      <c r="Y65" s="156" t="n">
        <f aca="false">IFERROR('Price History'!D3+(INDEX('Price History'!D:D,MATCH(9.99E+307,'Returns (Calc)'!$A:$A)+1)-'Price History'!D3)*(ROW()-3)/(MATCH(9.99E+307,'Returns (Calc)'!$A:$A)-3),"")</f>
        <v>1086.3682278481</v>
      </c>
      <c r="Z65" s="156" t="n">
        <f aca="false">IFERROR('Price History'!E3+(INDEX('Price History'!E:E,MATCH(9.99E+307,'Returns (Calc)'!$A:$A)+1)-'Price History'!E3)*(ROW()-3)/(MATCH(9.99E+307,'Returns (Calc)'!$A:$A)-3),"")</f>
        <v>189.181518987342</v>
      </c>
      <c r="AA65" s="156" t="n">
        <f aca="false">IFERROR('Price History'!F3+(INDEX('Price History'!F:F,MATCH(9.99E+307,'Returns (Calc)'!$A:$A)+1)-'Price History'!F3)*(ROW()-3)/(MATCH(9.99E+307,'Returns (Calc)'!$A:$A)-3),"")</f>
        <v>131.095189873418</v>
      </c>
      <c r="AB65" s="156" t="n">
        <f aca="false">IFERROR('Price History'!G3+(INDEX('Price History'!G:G,MATCH(9.99E+307,'Returns (Calc)'!$A:$A)+1)-'Price History'!G3)*(ROW()-3)/(MATCH(9.99E+307,'Returns (Calc)'!$A:$A)-3),"")</f>
        <v>108.131518987342</v>
      </c>
      <c r="AC65" s="156" t="n">
        <f aca="false">IFERROR('Price History'!H3+(INDEX('Price History'!H:H,MATCH(9.99E+307,'Returns (Calc)'!$A:$A)+1)-'Price History'!H3)*(ROW()-3)/(MATCH(9.99E+307,'Returns (Calc)'!$A:$A)-3),"")</f>
        <v>463.783164556962</v>
      </c>
      <c r="AD65" s="156" t="n">
        <f aca="false">IFERROR('Price History'!I3+(INDEX('Price History'!I:I,MATCH(9.99E+307,'Returns (Calc)'!$A:$A)+1)-'Price History'!I3)*(ROW()-3)/(MATCH(9.99E+307,'Returns (Calc)'!$A:$A)-3),"")</f>
        <v>118.397594936709</v>
      </c>
      <c r="AE65" s="156" t="n">
        <f aca="false">IFERROR('Price History'!J3+(INDEX('Price History'!J:J,MATCH(9.99E+307,'Returns (Calc)'!$A:$A)+1)-'Price History'!J3)*(ROW()-3)/(MATCH(9.99E+307,'Returns (Calc)'!$A:$A)-3),"")</f>
        <v>118.53835443038</v>
      </c>
      <c r="AF65" s="156" t="n">
        <f aca="false">IFERROR('Price History'!K3+(INDEX('Price History'!K:K,MATCH(9.99E+307,'Returns (Calc)'!$A:$A)+1)-'Price History'!K3)*(ROW()-3)/(MATCH(9.99E+307,'Returns (Calc)'!$A:$A)-3),"")</f>
        <v>83.3808860759494</v>
      </c>
      <c r="AG65" s="156" t="n">
        <f aca="false">IFERROR('Price History'!L3+(INDEX('Price History'!L:L,MATCH(9.99E+307,'Returns (Calc)'!$A:$A)+1)-'Price History'!L3)*(ROW()-3)/(MATCH(9.99E+307,'Returns (Calc)'!$A:$A)-3),"")</f>
        <v>237.62253164557</v>
      </c>
      <c r="AH65" s="156" t="n">
        <f aca="false">IFERROR('Price History'!M3+(INDEX('Price History'!M:M,MATCH(9.99E+307,'Returns (Calc)'!$A:$A)+1)-'Price History'!M3)*(ROW()-3)/(MATCH(9.99E+307,'Returns (Calc)'!$A:$A)-3),"")</f>
        <v>122.05746835443</v>
      </c>
      <c r="AI65" s="156" t="n">
        <f aca="false">IFERROR('Price History'!N3+(INDEX('Price History'!N:N,MATCH(9.99E+307,'Returns (Calc)'!$A:$A)+1)-'Price History'!N3)*(ROW()-3)/(MATCH(9.99E+307,'Returns (Calc)'!$A:$A)-3),"")</f>
        <v>410.048481012658</v>
      </c>
      <c r="AJ65" s="156" t="n">
        <f aca="false">IFERROR('Price History'!O3+(INDEX('Price History'!O:O,MATCH(9.99E+307,'Returns (Calc)'!$A:$A)+1)-'Price History'!O3)*(ROW()-3)/(MATCH(9.99E+307,'Returns (Calc)'!$A:$A)-3),"")</f>
        <v>92.8583544303798</v>
      </c>
      <c r="AK65" s="156" t="n">
        <f aca="false">IFERROR('Price History'!Q3+(INDEX('Price History'!Q:Q,MATCH(9.99E+307,'Returns (Calc)'!$A:$A)+1)-'Price History'!Q3)*(ROW()-3)/(MATCH(9.99E+307,'Returns (Calc)'!$A:$A)-3),"")</f>
        <v>27.2407594936709</v>
      </c>
      <c r="AL65" s="156" t="n">
        <f aca="false">IFERROR('Price History'!R3+(INDEX('Price History'!R:R,MATCH(9.99E+307,'Returns (Calc)'!$A:$A)+1)-'Price History'!R3)*(ROW()-3)/(MATCH(9.99E+307,'Returns (Calc)'!$A:$A)-3),"")</f>
        <v>44.9022784810127</v>
      </c>
      <c r="AM65" s="156" t="n">
        <f aca="false">IFERROR('Price History'!S3+(INDEX('Price History'!S:S,MATCH(9.99E+307,'Returns (Calc)'!$A:$A)+1)-'Price History'!S3)*(ROW()-3)/(MATCH(9.99E+307,'Returns (Calc)'!$A:$A)-3),"")</f>
        <v>95.1439240506329</v>
      </c>
      <c r="AN65" s="156" t="n">
        <f aca="false">IFERROR('Price History'!T3+(INDEX('Price History'!T:T,MATCH(9.99E+307,'Returns (Calc)'!$A:$A)+1)-'Price History'!T3)*(ROW()-3)/(MATCH(9.99E+307,'Returns (Calc)'!$A:$A)-3),"")</f>
        <v>35.6701265822785</v>
      </c>
      <c r="AO65" s="157" t="n">
        <f aca="false">IFERROR('Price History'!V3+(INDEX('Price History'!V:V,MATCH(9.99E+307,'Returns (Calc)'!$A:$A)+1)-'Price History'!V3)*(ROW()-3)/(MATCH(9.99E+307,'Returns (Calc)'!$A:$A)-3),"")</f>
        <v>284.692405063291</v>
      </c>
      <c r="AP65" s="155" t="n">
        <f aca="false">IFERROR(IF(OR(NOT(ISNUMBER('Price History'!W66)),NOT(ISNUMBER('Price History'!W65)),'Price History'!W65=0),"",'Price History'!W66/'Price History'!W65-1),"")</f>
        <v>0.00834777130256725</v>
      </c>
      <c r="AQ65" s="155" t="str">
        <f aca="false">IFERROR(IF(OR(NOT(ISNUMBER('Price History'!X66)),NOT(ISNUMBER('Price History'!X65)),'Price History'!X65=0),"",'Price History'!X66/'Price History'!X65-1),"")</f>
        <v/>
      </c>
      <c r="AR65" s="155" t="n">
        <f aca="false">IFERROR(IF(OR(NOT(ISNUMBER('Price History'!Y66)),NOT(ISNUMBER('Price History'!Y65)),'Price History'!Y65=0),"",'Price History'!Y66/'Price History'!Y65-1),"")</f>
        <v>0.0110765643218034</v>
      </c>
      <c r="AS65" s="155" t="n">
        <f aca="false">IFERROR(IF(OR(NOT(ISNUMBER('Price History'!Z66)),NOT(ISNUMBER('Price History'!Z65)),'Price History'!Z65=0),"",'Price History'!Z66/'Price History'!Z65-1),"")</f>
        <v>0.00557568999163638</v>
      </c>
      <c r="AT65" s="155" t="n">
        <f aca="false">IFERROR(IF(OR(NOT(ISNUMBER('Price History'!AA66)),NOT(ISNUMBER('Price History'!AA65)),'Price History'!AA65=0),"",'Price History'!AA66/'Price History'!AA65-1),"")</f>
        <v>-0.0122521719759411</v>
      </c>
      <c r="AU65" s="155" t="n">
        <f aca="false">IFERROR(IF(OR(NOT(ISNUMBER('Price History'!AB66)),NOT(ISNUMBER('Price History'!AB65)),'Price History'!AB65=0),"",'Price History'!AB66/'Price History'!AB65-1),"")</f>
        <v>0.0520361990950224</v>
      </c>
    </row>
    <row r="66" customFormat="false" ht="15" hidden="false" customHeight="true" outlineLevel="0" collapsed="false">
      <c r="A66" s="153" t="n">
        <f aca="false">IF('Price History'!A67="","",'Price History'!A67)</f>
        <v>45632</v>
      </c>
      <c r="B66" s="154" t="n">
        <f aca="false">IFERROR(IF(OR(NOT(ISNUMBER('Price History'!B67)),NOT(ISNUMBER('Price History'!B66)),'Price History'!B66=0),"",'Price History'!B67/'Price History'!B66-1),"")</f>
        <v>0.0717733025798075</v>
      </c>
      <c r="C66" s="154" t="n">
        <f aca="false">IFERROR(IF(OR(NOT(ISNUMBER('Price History'!C67)),NOT(ISNUMBER('Price History'!C66)),'Price History'!C66=0),"",'Price History'!C67/'Price History'!C66-1),"")</f>
        <v>0.0669229252907551</v>
      </c>
      <c r="D66" s="154" t="n">
        <f aca="false">IFERROR(IF(OR(NOT(ISNUMBER('Price History'!D67)),NOT(ISNUMBER('Price History'!D66)),'Price History'!D66=0),"",'Price History'!D67/'Price History'!D66-1),"")</f>
        <v>0.0325768992110629</v>
      </c>
      <c r="E66" s="154" t="n">
        <f aca="false">IFERROR(IF(OR(NOT(ISNUMBER('Price History'!E67)),NOT(ISNUMBER('Price History'!E66)),'Price History'!E66=0),"",'Price History'!E67/'Price History'!E66-1),"")</f>
        <v>0.107644991212654</v>
      </c>
      <c r="F66" s="154" t="n">
        <f aca="false">IFERROR(IF(OR(NOT(ISNUMBER('Price History'!F67)),NOT(ISNUMBER('Price History'!F66)),'Price History'!F66=0),"",'Price History'!F67/'Price History'!F66-1),"")</f>
        <v>0.0568851890391953</v>
      </c>
      <c r="G66" s="154" t="n">
        <f aca="false">IFERROR(IF(OR(NOT(ISNUMBER('Price History'!G67)),NOT(ISNUMBER('Price History'!G66)),'Price History'!G66=0),"",'Price History'!G67/'Price History'!G66-1),"")</f>
        <v>0.0020337922403002</v>
      </c>
      <c r="H66" s="154" t="n">
        <f aca="false">IFERROR(IF(OR(NOT(ISNUMBER('Price History'!H67)),NOT(ISNUMBER('Price History'!H66)),'Price History'!H66=0),"",'Price History'!H67/'Price History'!H66-1),"")</f>
        <v>0.0328373524884555</v>
      </c>
      <c r="I66" s="154" t="n">
        <f aca="false">IFERROR(IF(OR(NOT(ISNUMBER('Price History'!I67)),NOT(ISNUMBER('Price History'!I66)),'Price History'!I66=0),"",'Price History'!I67/'Price History'!I66-1),"")</f>
        <v>0.0303887438352191</v>
      </c>
      <c r="J66" s="154" t="n">
        <f aca="false">IFERROR(IF(OR(NOT(ISNUMBER('Price History'!J67)),NOT(ISNUMBER('Price History'!J66)),'Price History'!J66=0),"",'Price History'!J67/'Price History'!J66-1),"")</f>
        <v>-0.0409228234001647</v>
      </c>
      <c r="K66" s="154" t="n">
        <f aca="false">IFERROR(IF(OR(NOT(ISNUMBER('Price History'!K67)),NOT(ISNUMBER('Price History'!K66)),'Price History'!K66=0),"",'Price History'!K67/'Price History'!K66-1),"")</f>
        <v>0.13804412641622</v>
      </c>
      <c r="L66" s="154" t="n">
        <f aca="false">IFERROR(IF(OR(NOT(ISNUMBER('Price History'!L67)),NOT(ISNUMBER('Price History'!L66)),'Price History'!L66=0),"",'Price History'!L67/'Price History'!L66-1),"")</f>
        <v>0.0994395427556738</v>
      </c>
      <c r="M66" s="154" t="n">
        <f aca="false">IFERROR(IF(OR(NOT(ISNUMBER('Price History'!M67)),NOT(ISNUMBER('Price History'!M66)),'Price History'!M66=0),"",'Price History'!M67/'Price History'!M66-1),"")</f>
        <v>0.0493361615209365</v>
      </c>
      <c r="N66" s="154" t="n">
        <f aca="false">IFERROR(IF(OR(NOT(ISNUMBER('Price History'!N67)),NOT(ISNUMBER('Price History'!N66)),'Price History'!N66=0),"",'Price History'!N67/'Price History'!N66-1),"")</f>
        <v>-0.0128810373186935</v>
      </c>
      <c r="O66" s="154" t="n">
        <f aca="false">IFERROR(IF(OR(NOT(ISNUMBER('Price History'!O67)),NOT(ISNUMBER('Price History'!O66)),'Price History'!O66=0),"",'Price History'!O67/'Price History'!O66-1),"")</f>
        <v>-0.0208190792688886</v>
      </c>
      <c r="P66" s="154" t="n">
        <f aca="false">IFERROR(IF(OR(NOT(ISNUMBER('Price History'!P67)),NOT(ISNUMBER('Price History'!P66)),'Price History'!P66=0),"",'Price History'!P67/'Price History'!P66-1),"")</f>
        <v>-0.0252975076715817</v>
      </c>
      <c r="Q66" s="154" t="n">
        <f aca="false">IFERROR(IF(OR(NOT(ISNUMBER('Price History'!Q67)),NOT(ISNUMBER('Price History'!Q66)),'Price History'!Q66=0),"",'Price History'!Q67/'Price History'!Q66-1),"")</f>
        <v>0.00369715479826382</v>
      </c>
      <c r="R66" s="154" t="n">
        <f aca="false">IFERROR(IF(OR(NOT(ISNUMBER('Price History'!R67)),NOT(ISNUMBER('Price History'!R66)),'Price History'!R66=0),"",'Price History'!R67/'Price History'!R66-1),"")</f>
        <v>0.0185023944275142</v>
      </c>
      <c r="S66" s="154" t="n">
        <f aca="false">IFERROR(IF(OR(NOT(ISNUMBER('Price History'!S67)),NOT(ISNUMBER('Price History'!S66)),'Price History'!S66=0),"",'Price History'!S67/'Price History'!S66-1),"")</f>
        <v>0.0193074501573978</v>
      </c>
      <c r="T66" s="154" t="n">
        <f aca="false">IFERROR(IF(OR(NOT(ISNUMBER('Price History'!T67)),NOT(ISNUMBER('Price History'!T66)),'Price History'!T66=0),"",'Price History'!T67/'Price History'!T66-1),"")</f>
        <v>-0.000841514726507731</v>
      </c>
      <c r="U66" s="154" t="n">
        <f aca="false">IFERROR(IF(OR(NOT(ISNUMBER('Price History'!U67)),NOT(ISNUMBER('Price History'!U66)),'Price History'!U66=0),"",'Price History'!U67/'Price History'!U66-1),"")</f>
        <v>-0.0240174672489083</v>
      </c>
      <c r="V66" s="155" t="n">
        <f aca="false">IFERROR(IF(OR(NOT(ISNUMBER('Price History'!V67)),NOT(ISNUMBER('Price History'!V66)),'Price History'!V66=0),"",'Price History'!V67/'Price History'!V66-1),"")</f>
        <v>-0.0129264606578989</v>
      </c>
      <c r="W66" s="156" t="n">
        <f aca="false">IFERROR('Price History'!B3+(INDEX('Price History'!B:B,MATCH(9.99E+307,'Returns (Calc)'!$A:$A)+1)-'Price History'!B3)*(ROW()-3)/(MATCH(9.99E+307,'Returns (Calc)'!$A:$A)-3),"")</f>
        <v>412.778607594937</v>
      </c>
      <c r="X66" s="156" t="n">
        <f aca="false">IFERROR('Price History'!C3+(INDEX('Price History'!C:C,MATCH(9.99E+307,'Returns (Calc)'!$A:$A)+1)-'Price History'!C3)*(ROW()-3)/(MATCH(9.99E+307,'Returns (Calc)'!$A:$A)-3),"")</f>
        <v>110.443987341772</v>
      </c>
      <c r="Y66" s="156" t="n">
        <f aca="false">IFERROR('Price History'!D3+(INDEX('Price History'!D:D,MATCH(9.99E+307,'Returns (Calc)'!$A:$A)+1)-'Price History'!D3)*(ROW()-3)/(MATCH(9.99E+307,'Returns (Calc)'!$A:$A)-3),"")</f>
        <v>1094.50303797468</v>
      </c>
      <c r="Z66" s="156" t="n">
        <f aca="false">IFERROR('Price History'!E3+(INDEX('Price History'!E:E,MATCH(9.99E+307,'Returns (Calc)'!$A:$A)+1)-'Price History'!E3)*(ROW()-3)/(MATCH(9.99E+307,'Returns (Calc)'!$A:$A)-3),"")</f>
        <v>190.910253164557</v>
      </c>
      <c r="AA66" s="156" t="n">
        <f aca="false">IFERROR('Price History'!F3+(INDEX('Price History'!F:F,MATCH(9.99E+307,'Returns (Calc)'!$A:$A)+1)-'Price History'!F3)*(ROW()-3)/(MATCH(9.99E+307,'Returns (Calc)'!$A:$A)-3),"")</f>
        <v>132.54253164557</v>
      </c>
      <c r="AB66" s="156" t="n">
        <f aca="false">IFERROR('Price History'!G3+(INDEX('Price History'!G:G,MATCH(9.99E+307,'Returns (Calc)'!$A:$A)+1)-'Price History'!G3)*(ROW()-3)/(MATCH(9.99E+307,'Returns (Calc)'!$A:$A)-3),"")</f>
        <v>109.160253164557</v>
      </c>
      <c r="AC66" s="156" t="n">
        <f aca="false">IFERROR('Price History'!H3+(INDEX('Price History'!H:H,MATCH(9.99E+307,'Returns (Calc)'!$A:$A)+1)-'Price History'!H3)*(ROW()-3)/(MATCH(9.99E+307,'Returns (Calc)'!$A:$A)-3),"")</f>
        <v>470.148860759494</v>
      </c>
      <c r="AD66" s="156" t="n">
        <f aca="false">IFERROR('Price History'!I3+(INDEX('Price History'!I:I,MATCH(9.99E+307,'Returns (Calc)'!$A:$A)+1)-'Price History'!I3)*(ROW()-3)/(MATCH(9.99E+307,'Returns (Calc)'!$A:$A)-3),"")</f>
        <v>119.601265822785</v>
      </c>
      <c r="AE66" s="156" t="n">
        <f aca="false">IFERROR('Price History'!J3+(INDEX('Price History'!J:J,MATCH(9.99E+307,'Returns (Calc)'!$A:$A)+1)-'Price History'!J3)*(ROW()-3)/(MATCH(9.99E+307,'Returns (Calc)'!$A:$A)-3),"")</f>
        <v>118.646392405063</v>
      </c>
      <c r="AF66" s="156" t="n">
        <f aca="false">IFERROR('Price History'!K3+(INDEX('Price History'!K:K,MATCH(9.99E+307,'Returns (Calc)'!$A:$A)+1)-'Price History'!K3)*(ROW()-3)/(MATCH(9.99E+307,'Returns (Calc)'!$A:$A)-3),"")</f>
        <v>84.4784810126582</v>
      </c>
      <c r="AG66" s="156" t="n">
        <f aca="false">IFERROR('Price History'!L3+(INDEX('Price History'!L:L,MATCH(9.99E+307,'Returns (Calc)'!$A:$A)+1)-'Price History'!L3)*(ROW()-3)/(MATCH(9.99E+307,'Returns (Calc)'!$A:$A)-3),"")</f>
        <v>240.072088607595</v>
      </c>
      <c r="AH66" s="156" t="n">
        <f aca="false">IFERROR('Price History'!M3+(INDEX('Price History'!M:M,MATCH(9.99E+307,'Returns (Calc)'!$A:$A)+1)-'Price History'!M3)*(ROW()-3)/(MATCH(9.99E+307,'Returns (Calc)'!$A:$A)-3),"")</f>
        <v>123.412911392405</v>
      </c>
      <c r="AI66" s="156" t="n">
        <f aca="false">IFERROR('Price History'!N3+(INDEX('Price History'!N:N,MATCH(9.99E+307,'Returns (Calc)'!$A:$A)+1)-'Price History'!N3)*(ROW()-3)/(MATCH(9.99E+307,'Returns (Calc)'!$A:$A)-3),"")</f>
        <v>411.034746835443</v>
      </c>
      <c r="AJ66" s="156" t="n">
        <f aca="false">IFERROR('Price History'!O3+(INDEX('Price History'!O:O,MATCH(9.99E+307,'Returns (Calc)'!$A:$A)+1)-'Price History'!O3)*(ROW()-3)/(MATCH(9.99E+307,'Returns (Calc)'!$A:$A)-3),"")</f>
        <v>93.1413924050633</v>
      </c>
      <c r="AK66" s="156" t="n">
        <f aca="false">IFERROR('Price History'!Q3+(INDEX('Price History'!Q:Q,MATCH(9.99E+307,'Returns (Calc)'!$A:$A)+1)-'Price History'!Q3)*(ROW()-3)/(MATCH(9.99E+307,'Returns (Calc)'!$A:$A)-3),"")</f>
        <v>27.6801265822785</v>
      </c>
      <c r="AL66" s="156" t="n">
        <f aca="false">IFERROR('Price History'!R3+(INDEX('Price History'!R:R,MATCH(9.99E+307,'Returns (Calc)'!$A:$A)+1)-'Price History'!R3)*(ROW()-3)/(MATCH(9.99E+307,'Returns (Calc)'!$A:$A)-3),"")</f>
        <v>45.0703797468354</v>
      </c>
      <c r="AM66" s="156" t="n">
        <f aca="false">IFERROR('Price History'!S3+(INDEX('Price History'!S:S,MATCH(9.99E+307,'Returns (Calc)'!$A:$A)+1)-'Price History'!S3)*(ROW()-3)/(MATCH(9.99E+307,'Returns (Calc)'!$A:$A)-3),"")</f>
        <v>95.7489873417722</v>
      </c>
      <c r="AN66" s="156" t="n">
        <f aca="false">IFERROR('Price History'!T3+(INDEX('Price History'!T:T,MATCH(9.99E+307,'Returns (Calc)'!$A:$A)+1)-'Price History'!T3)*(ROW()-3)/(MATCH(9.99E+307,'Returns (Calc)'!$A:$A)-3),"")</f>
        <v>35.8383544303797</v>
      </c>
      <c r="AO66" s="157" t="n">
        <f aca="false">IFERROR('Price History'!V3+(INDEX('Price History'!V:V,MATCH(9.99E+307,'Returns (Calc)'!$A:$A)+1)-'Price History'!V3)*(ROW()-3)/(MATCH(9.99E+307,'Returns (Calc)'!$A:$A)-3),"")</f>
        <v>285.483734177215</v>
      </c>
      <c r="AP66" s="155" t="n">
        <f aca="false">IFERROR(IF(OR(NOT(ISNUMBER('Price History'!W67)),NOT(ISNUMBER('Price History'!W66)),'Price History'!W66=0),"",'Price History'!W67/'Price History'!W66-1),"")</f>
        <v>-0.0143705092158699</v>
      </c>
      <c r="AQ66" s="155" t="str">
        <f aca="false">IFERROR(IF(OR(NOT(ISNUMBER('Price History'!X67)),NOT(ISNUMBER('Price History'!X66)),'Price History'!X66=0),"",'Price History'!X67/'Price History'!X66-1),"")</f>
        <v/>
      </c>
      <c r="AR66" s="155" t="n">
        <f aca="false">IFERROR(IF(OR(NOT(ISNUMBER('Price History'!Y67)),NOT(ISNUMBER('Price History'!Y66)),'Price History'!Y66=0),"",'Price History'!Y67/'Price History'!Y66-1),"")</f>
        <v>-0.0084566596194503</v>
      </c>
      <c r="AS66" s="155" t="n">
        <f aca="false">IFERROR(IF(OR(NOT(ISNUMBER('Price History'!Z67)),NOT(ISNUMBER('Price History'!Z66)),'Price History'!Z66=0),"",'Price History'!Z67/'Price History'!Z66-1),"")</f>
        <v>-0.0361519268089824</v>
      </c>
      <c r="AT66" s="155" t="n">
        <f aca="false">IFERROR(IF(OR(NOT(ISNUMBER('Price History'!AA67)),NOT(ISNUMBER('Price History'!AA66)),'Price History'!AA66=0),"",'Price History'!AA67/'Price History'!AA66-1),"")</f>
        <v>0.0540144339197113</v>
      </c>
      <c r="AU66" s="155" t="n">
        <f aca="false">IFERROR(IF(OR(NOT(ISNUMBER('Price History'!AB67)),NOT(ISNUMBER('Price History'!AB66)),'Price History'!AB66=0),"",'Price History'!AB67/'Price History'!AB66-1),"")</f>
        <v>0.0991880623217027</v>
      </c>
    </row>
    <row r="67" customFormat="false" ht="15" hidden="false" customHeight="true" outlineLevel="0" collapsed="false">
      <c r="A67" s="153" t="n">
        <f aca="false">IF('Price History'!A68="","",'Price History'!A68)</f>
        <v>45639</v>
      </c>
      <c r="B67" s="154" t="n">
        <f aca="false">IFERROR(IF(OR(NOT(ISNUMBER('Price History'!B68)),NOT(ISNUMBER('Price History'!B67)),'Price History'!B67=0),"",'Price History'!B68/'Price History'!B67-1),"")</f>
        <v>-0.157823350694445</v>
      </c>
      <c r="C67" s="154" t="n">
        <f aca="false">IFERROR(IF(OR(NOT(ISNUMBER('Price History'!C68)),NOT(ISNUMBER('Price History'!C67)),'Price History'!C67=0),"",'Price History'!C68/'Price History'!C67-1),"")</f>
        <v>0.0380600461893765</v>
      </c>
      <c r="D67" s="154" t="n">
        <f aca="false">IFERROR(IF(OR(NOT(ISNUMBER('Price History'!D68)),NOT(ISNUMBER('Price History'!D67)),'Price History'!D67=0),"",'Price History'!D68/'Price History'!D67-1),"")</f>
        <v>0.0135496702007412</v>
      </c>
      <c r="E67" s="154" t="n">
        <f aca="false">IFERROR(IF(OR(NOT(ISNUMBER('Price History'!E68)),NOT(ISNUMBER('Price History'!E67)),'Price History'!E67=0),"",'Price History'!E68/'Price History'!E67-1),"")</f>
        <v>0.252167507225024</v>
      </c>
      <c r="F67" s="154" t="n">
        <f aca="false">IFERROR(IF(OR(NOT(ISNUMBER('Price History'!F68)),NOT(ISNUMBER('Price History'!F67)),'Price History'!F67=0),"",'Price History'!F68/'Price History'!F67-1),"")</f>
        <v>0.00645443605732421</v>
      </c>
      <c r="G67" s="154" t="n">
        <f aca="false">IFERROR(IF(OR(NOT(ISNUMBER('Price History'!G68)),NOT(ISNUMBER('Price History'!G67)),'Price History'!G67=0),"",'Price History'!G68/'Price History'!G67-1),"")</f>
        <v>0.00827478532396575</v>
      </c>
      <c r="H67" s="154" t="n">
        <f aca="false">IFERROR(IF(OR(NOT(ISNUMBER('Price History'!H68)),NOT(ISNUMBER('Price History'!H67)),'Price History'!H67=0),"",'Price History'!H68/'Price History'!H67-1),"")</f>
        <v>0.0131147540983605</v>
      </c>
      <c r="I67" s="154" t="n">
        <f aca="false">IFERROR(IF(OR(NOT(ISNUMBER('Price History'!I68)),NOT(ISNUMBER('Price History'!I67)),'Price History'!I67=0),"",'Price History'!I68/'Price History'!I67-1),"")</f>
        <v>-0.0575068628141057</v>
      </c>
      <c r="J67" s="154" t="n">
        <f aca="false">IFERROR(IF(OR(NOT(ISNUMBER('Price History'!J68)),NOT(ISNUMBER('Price History'!J67)),'Price History'!J67=0),"",'Price History'!J68/'Price History'!J67-1),"")</f>
        <v>-0.00773195876288657</v>
      </c>
      <c r="K67" s="154" t="n">
        <f aca="false">IFERROR(IF(OR(NOT(ISNUMBER('Price History'!K68)),NOT(ISNUMBER('Price History'!K67)),'Price History'!K67=0),"",'Price History'!K68/'Price History'!K67-1),"")</f>
        <v>-0.00353680901231346</v>
      </c>
      <c r="L67" s="154" t="n">
        <f aca="false">IFERROR(IF(OR(NOT(ISNUMBER('Price History'!L68)),NOT(ISNUMBER('Price History'!L67)),'Price History'!L67=0),"",'Price History'!L68/'Price History'!L67-1),"")</f>
        <v>-0.00686418008378331</v>
      </c>
      <c r="M67" s="154" t="n">
        <f aca="false">IFERROR(IF(OR(NOT(ISNUMBER('Price History'!M68)),NOT(ISNUMBER('Price History'!M67)),'Price History'!M67=0),"",'Price History'!M68/'Price History'!M67-1),"")</f>
        <v>-0.060342891367822</v>
      </c>
      <c r="N67" s="154" t="n">
        <f aca="false">IFERROR(IF(OR(NOT(ISNUMBER('Price History'!N68)),NOT(ISNUMBER('Price History'!N67)),'Price History'!N67=0),"",'Price History'!N68/'Price History'!N67-1),"")</f>
        <v>0.00352737502705036</v>
      </c>
      <c r="O67" s="154" t="n">
        <f aca="false">IFERROR(IF(OR(NOT(ISNUMBER('Price History'!O68)),NOT(ISNUMBER('Price History'!O67)),'Price History'!O67=0),"",'Price History'!O68/'Price History'!O67-1),"")</f>
        <v>-0.0123777201038132</v>
      </c>
      <c r="P67" s="154" t="n">
        <f aca="false">IFERROR(IF(OR(NOT(ISNUMBER('Price History'!P68)),NOT(ISNUMBER('Price History'!P67)),'Price History'!P67=0),"",'Price History'!P68/'Price History'!P67-1),"")</f>
        <v>-0.0201950395454196</v>
      </c>
      <c r="Q67" s="154" t="n">
        <f aca="false">IFERROR(IF(OR(NOT(ISNUMBER('Price History'!Q68)),NOT(ISNUMBER('Price History'!Q67)),'Price History'!Q67=0),"",'Price History'!Q68/'Price History'!Q67-1),"")</f>
        <v>-0.00176169122357461</v>
      </c>
      <c r="R67" s="154" t="n">
        <f aca="false">IFERROR(IF(OR(NOT(ISNUMBER('Price History'!R68)),NOT(ISNUMBER('Price History'!R67)),'Price History'!R67=0),"",'Price History'!R68/'Price History'!R67-1),"")</f>
        <v>0.00384697584954052</v>
      </c>
      <c r="S67" s="154" t="n">
        <f aca="false">IFERROR(IF(OR(NOT(ISNUMBER('Price History'!S68)),NOT(ISNUMBER('Price History'!S67)),'Price History'!S67=0),"",'Price History'!S68/'Price History'!S67-1),"")</f>
        <v>-0.00936792258595842</v>
      </c>
      <c r="T67" s="154" t="n">
        <f aca="false">IFERROR(IF(OR(NOT(ISNUMBER('Price History'!T68)),NOT(ISNUMBER('Price History'!T67)),'Price History'!T67=0),"",'Price History'!T68/'Price History'!T67-1),"")</f>
        <v>-0.0415496911847276</v>
      </c>
      <c r="U67" s="154" t="n">
        <f aca="false">IFERROR(IF(OR(NOT(ISNUMBER('Price History'!U68)),NOT(ISNUMBER('Price History'!U67)),'Price History'!U67=0),"",'Price History'!U68/'Price History'!U67-1),"")</f>
        <v>-0.0149142431021625</v>
      </c>
      <c r="V67" s="155" t="n">
        <f aca="false">IFERROR(IF(OR(NOT(ISNUMBER('Price History'!V68)),NOT(ISNUMBER('Price History'!V67)),'Price History'!V67=0),"",'Price History'!V68/'Price History'!V67-1),"")</f>
        <v>0.0119881421637291</v>
      </c>
      <c r="W67" s="156" t="n">
        <f aca="false">IFERROR('Price History'!B3+(INDEX('Price History'!B:B,MATCH(9.99E+307,'Returns (Calc)'!$A:$A)+1)-'Price History'!B3)*(ROW()-3)/(MATCH(9.99E+307,'Returns (Calc)'!$A:$A)-3),"")</f>
        <v>410.935569620253</v>
      </c>
      <c r="X67" s="156" t="n">
        <f aca="false">IFERROR('Price History'!C3+(INDEX('Price History'!C:C,MATCH(9.99E+307,'Returns (Calc)'!$A:$A)+1)-'Price History'!C3)*(ROW()-3)/(MATCH(9.99E+307,'Returns (Calc)'!$A:$A)-3),"")</f>
        <v>111.464050632911</v>
      </c>
      <c r="Y67" s="156" t="n">
        <f aca="false">IFERROR('Price History'!D3+(INDEX('Price History'!D:D,MATCH(9.99E+307,'Returns (Calc)'!$A:$A)+1)-'Price History'!D3)*(ROW()-3)/(MATCH(9.99E+307,'Returns (Calc)'!$A:$A)-3),"")</f>
        <v>1102.63784810127</v>
      </c>
      <c r="Z67" s="156" t="n">
        <f aca="false">IFERROR('Price History'!E3+(INDEX('Price History'!E:E,MATCH(9.99E+307,'Returns (Calc)'!$A:$A)+1)-'Price History'!E3)*(ROW()-3)/(MATCH(9.99E+307,'Returns (Calc)'!$A:$A)-3),"")</f>
        <v>192.638987341772</v>
      </c>
      <c r="AA67" s="156" t="n">
        <f aca="false">IFERROR('Price History'!F3+(INDEX('Price History'!F:F,MATCH(9.99E+307,'Returns (Calc)'!$A:$A)+1)-'Price History'!F3)*(ROW()-3)/(MATCH(9.99E+307,'Returns (Calc)'!$A:$A)-3),"")</f>
        <v>133.989873417722</v>
      </c>
      <c r="AB67" s="156" t="n">
        <f aca="false">IFERROR('Price History'!G3+(INDEX('Price History'!G:G,MATCH(9.99E+307,'Returns (Calc)'!$A:$A)+1)-'Price History'!G3)*(ROW()-3)/(MATCH(9.99E+307,'Returns (Calc)'!$A:$A)-3),"")</f>
        <v>110.188987341772</v>
      </c>
      <c r="AC67" s="156" t="n">
        <f aca="false">IFERROR('Price History'!H3+(INDEX('Price History'!H:H,MATCH(9.99E+307,'Returns (Calc)'!$A:$A)+1)-'Price History'!H3)*(ROW()-3)/(MATCH(9.99E+307,'Returns (Calc)'!$A:$A)-3),"")</f>
        <v>476.514556962025</v>
      </c>
      <c r="AD67" s="156" t="n">
        <f aca="false">IFERROR('Price History'!I3+(INDEX('Price History'!I:I,MATCH(9.99E+307,'Returns (Calc)'!$A:$A)+1)-'Price History'!I3)*(ROW()-3)/(MATCH(9.99E+307,'Returns (Calc)'!$A:$A)-3),"")</f>
        <v>120.804936708861</v>
      </c>
      <c r="AE67" s="156" t="n">
        <f aca="false">IFERROR('Price History'!J3+(INDEX('Price History'!J:J,MATCH(9.99E+307,'Returns (Calc)'!$A:$A)+1)-'Price History'!J3)*(ROW()-3)/(MATCH(9.99E+307,'Returns (Calc)'!$A:$A)-3),"")</f>
        <v>118.754430379747</v>
      </c>
      <c r="AF67" s="156" t="n">
        <f aca="false">IFERROR('Price History'!K3+(INDEX('Price History'!K:K,MATCH(9.99E+307,'Returns (Calc)'!$A:$A)+1)-'Price History'!K3)*(ROW()-3)/(MATCH(9.99E+307,'Returns (Calc)'!$A:$A)-3),"")</f>
        <v>85.5760759493671</v>
      </c>
      <c r="AG67" s="156" t="n">
        <f aca="false">IFERROR('Price History'!L3+(INDEX('Price History'!L:L,MATCH(9.99E+307,'Returns (Calc)'!$A:$A)+1)-'Price History'!L3)*(ROW()-3)/(MATCH(9.99E+307,'Returns (Calc)'!$A:$A)-3),"")</f>
        <v>242.52164556962</v>
      </c>
      <c r="AH67" s="156" t="n">
        <f aca="false">IFERROR('Price History'!M3+(INDEX('Price History'!M:M,MATCH(9.99E+307,'Returns (Calc)'!$A:$A)+1)-'Price History'!M3)*(ROW()-3)/(MATCH(9.99E+307,'Returns (Calc)'!$A:$A)-3),"")</f>
        <v>124.76835443038</v>
      </c>
      <c r="AI67" s="156" t="n">
        <f aca="false">IFERROR('Price History'!N3+(INDEX('Price History'!N:N,MATCH(9.99E+307,'Returns (Calc)'!$A:$A)+1)-'Price History'!N3)*(ROW()-3)/(MATCH(9.99E+307,'Returns (Calc)'!$A:$A)-3),"")</f>
        <v>412.021012658228</v>
      </c>
      <c r="AJ67" s="156" t="n">
        <f aca="false">IFERROR('Price History'!O3+(INDEX('Price History'!O:O,MATCH(9.99E+307,'Returns (Calc)'!$A:$A)+1)-'Price History'!O3)*(ROW()-3)/(MATCH(9.99E+307,'Returns (Calc)'!$A:$A)-3),"")</f>
        <v>93.4244303797468</v>
      </c>
      <c r="AK67" s="156" t="n">
        <f aca="false">IFERROR('Price History'!Q3+(INDEX('Price History'!Q:Q,MATCH(9.99E+307,'Returns (Calc)'!$A:$A)+1)-'Price History'!Q3)*(ROW()-3)/(MATCH(9.99E+307,'Returns (Calc)'!$A:$A)-3),"")</f>
        <v>28.1194936708861</v>
      </c>
      <c r="AL67" s="156" t="n">
        <f aca="false">IFERROR('Price History'!R3+(INDEX('Price History'!R:R,MATCH(9.99E+307,'Returns (Calc)'!$A:$A)+1)-'Price History'!R3)*(ROW()-3)/(MATCH(9.99E+307,'Returns (Calc)'!$A:$A)-3),"")</f>
        <v>45.2384810126582</v>
      </c>
      <c r="AM67" s="156" t="n">
        <f aca="false">IFERROR('Price History'!S3+(INDEX('Price History'!S:S,MATCH(9.99E+307,'Returns (Calc)'!$A:$A)+1)-'Price History'!S3)*(ROW()-3)/(MATCH(9.99E+307,'Returns (Calc)'!$A:$A)-3),"")</f>
        <v>96.3540506329114</v>
      </c>
      <c r="AN67" s="156" t="n">
        <f aca="false">IFERROR('Price History'!T3+(INDEX('Price History'!T:T,MATCH(9.99E+307,'Returns (Calc)'!$A:$A)+1)-'Price History'!T3)*(ROW()-3)/(MATCH(9.99E+307,'Returns (Calc)'!$A:$A)-3),"")</f>
        <v>36.006582278481</v>
      </c>
      <c r="AO67" s="157" t="n">
        <f aca="false">IFERROR('Price History'!V3+(INDEX('Price History'!V:V,MATCH(9.99E+307,'Returns (Calc)'!$A:$A)+1)-'Price History'!V3)*(ROW()-3)/(MATCH(9.99E+307,'Returns (Calc)'!$A:$A)-3),"")</f>
        <v>286.275063291139</v>
      </c>
      <c r="AP67" s="155" t="n">
        <f aca="false">IFERROR(IF(OR(NOT(ISNUMBER('Price History'!W68)),NOT(ISNUMBER('Price History'!W67)),'Price History'!W67=0),"",'Price History'!W68/'Price History'!W67-1),"")</f>
        <v>-0.00705229793977813</v>
      </c>
      <c r="AQ67" s="155" t="str">
        <f aca="false">IFERROR(IF(OR(NOT(ISNUMBER('Price History'!X68)),NOT(ISNUMBER('Price History'!X67)),'Price History'!X67=0),"",'Price History'!X68/'Price History'!X67-1),"")</f>
        <v/>
      </c>
      <c r="AR67" s="155" t="n">
        <f aca="false">IFERROR(IF(OR(NOT(ISNUMBER('Price History'!Y68)),NOT(ISNUMBER('Price History'!Y67)),'Price History'!Y67=0),"",'Price History'!Y68/'Price History'!Y67-1),"")</f>
        <v>-0.00814111261872463</v>
      </c>
      <c r="AS67" s="155" t="n">
        <f aca="false">IFERROR(IF(OR(NOT(ISNUMBER('Price History'!Z68)),NOT(ISNUMBER('Price History'!Z67)),'Price History'!Z67=0),"",'Price History'!Z68/'Price History'!Z67-1),"")</f>
        <v>-0.0544785134901915</v>
      </c>
      <c r="AT67" s="155" t="n">
        <f aca="false">IFERROR(IF(OR(NOT(ISNUMBER('Price History'!AA68)),NOT(ISNUMBER('Price History'!AA67)),'Price History'!AA67=0),"",'Price History'!AA68/'Price History'!AA67-1),"")</f>
        <v>-0.0169038194072965</v>
      </c>
      <c r="AU67" s="155" t="n">
        <f aca="false">IFERROR(IF(OR(NOT(ISNUMBER('Price History'!AB68)),NOT(ISNUMBER('Price History'!AB67)),'Price History'!AB67=0),"",'Price History'!AB68/'Price History'!AB67-1),"")</f>
        <v>-0.0865242563385905</v>
      </c>
    </row>
    <row r="68" customFormat="false" ht="15" hidden="false" customHeight="true" outlineLevel="0" collapsed="false">
      <c r="A68" s="153" t="n">
        <f aca="false">IF('Price History'!A69="","",'Price History'!A69)</f>
        <v>45646</v>
      </c>
      <c r="B68" s="154" t="n">
        <f aca="false">IFERROR(IF(OR(NOT(ISNUMBER('Price History'!B69)),NOT(ISNUMBER('Price History'!B68)),'Price History'!B68=0),"",'Price History'!B69/'Price History'!B68-1),"")</f>
        <v>-0.0397689450063347</v>
      </c>
      <c r="C68" s="154" t="n">
        <f aca="false">IFERROR(IF(OR(NOT(ISNUMBER('Price History'!C69)),NOT(ISNUMBER('Price History'!C68)),'Price History'!C68=0),"",'Price History'!C69/'Price History'!C68-1),"")</f>
        <v>0.00391563584586629</v>
      </c>
      <c r="D68" s="154" t="n">
        <f aca="false">IFERROR(IF(OR(NOT(ISNUMBER('Price History'!D69)),NOT(ISNUMBER('Price History'!D68)),'Price History'!D68=0),"",'Price History'!D69/'Price History'!D68-1),"")</f>
        <v>-0.0179564640447218</v>
      </c>
      <c r="E68" s="154" t="n">
        <f aca="false">IFERROR(IF(OR(NOT(ISNUMBER('Price History'!E69)),NOT(ISNUMBER('Price History'!E68)),'Price History'!E68=0),"",'Price History'!E69/'Price History'!E68-1),"")</f>
        <v>-0.0178304747250758</v>
      </c>
      <c r="F68" s="154" t="n">
        <f aca="false">IFERROR(IF(OR(NOT(ISNUMBER('Price History'!F69)),NOT(ISNUMBER('Price History'!F68)),'Price History'!F68=0),"",'Price History'!F69/'Price History'!F68-1),"")</f>
        <v>-0.0155434782608697</v>
      </c>
      <c r="G68" s="154" t="n">
        <f aca="false">IFERROR(IF(OR(NOT(ISNUMBER('Price History'!G69)),NOT(ISNUMBER('Price History'!G68)),'Price History'!G68=0),"",'Price History'!G69/'Price History'!G68-1),"")</f>
        <v>-0.0373180551254257</v>
      </c>
      <c r="H68" s="154" t="n">
        <f aca="false">IFERROR(IF(OR(NOT(ISNUMBER('Price History'!H69)),NOT(ISNUMBER('Price History'!H68)),'Price History'!H68=0),"",'Price History'!H69/'Price History'!H68-1),"")</f>
        <v>-0.120721780915956</v>
      </c>
      <c r="I68" s="154" t="n">
        <f aca="false">IFERROR(IF(OR(NOT(ISNUMBER('Price History'!I69)),NOT(ISNUMBER('Price History'!I68)),'Price History'!I68=0),"",'Price History'!I69/'Price History'!I68-1),"")</f>
        <v>0.00336071695294993</v>
      </c>
      <c r="J68" s="154" t="n">
        <f aca="false">IFERROR(IF(OR(NOT(ISNUMBER('Price History'!J69)),NOT(ISNUMBER('Price History'!J68)),'Price History'!J68=0),"",'Price History'!J69/'Price History'!J68-1),"")</f>
        <v>-0.0622414622414622</v>
      </c>
      <c r="K68" s="154" t="n">
        <f aca="false">IFERROR(IF(OR(NOT(ISNUMBER('Price History'!K69)),NOT(ISNUMBER('Price History'!K68)),'Price History'!K68=0),"",'Price History'!K69/'Price History'!K68-1),"")</f>
        <v>0.0588931247535165</v>
      </c>
      <c r="L68" s="154" t="n">
        <f aca="false">IFERROR(IF(OR(NOT(ISNUMBER('Price History'!L69)),NOT(ISNUMBER('Price History'!L68)),'Price History'!L68=0),"",'Price History'!L69/'Price History'!L68-1),"")</f>
        <v>-0.0188036794226764</v>
      </c>
      <c r="M68" s="154" t="n">
        <f aca="false">IFERROR(IF(OR(NOT(ISNUMBER('Price History'!M69)),NOT(ISNUMBER('Price History'!M68)),'Price History'!M68=0),"",'Price History'!M69/'Price History'!M68-1),"")</f>
        <v>-0.0455740578439965</v>
      </c>
      <c r="N68" s="154" t="n">
        <f aca="false">IFERROR(IF(OR(NOT(ISNUMBER('Price History'!N69)),NOT(ISNUMBER('Price History'!N68)),'Price History'!N68=0),"",'Price History'!N69/'Price History'!N68-1),"")</f>
        <v>-0.14331615379639</v>
      </c>
      <c r="O68" s="154" t="n">
        <f aca="false">IFERROR(IF(OR(NOT(ISNUMBER('Price History'!O69)),NOT(ISNUMBER('Price History'!O68)),'Price History'!O68=0),"",'Price History'!O69/'Price History'!O68-1),"")</f>
        <v>-0.0538710329492622</v>
      </c>
      <c r="P68" s="154" t="n">
        <f aca="false">IFERROR(IF(OR(NOT(ISNUMBER('Price History'!P69)),NOT(ISNUMBER('Price History'!P68)),'Price History'!P68=0),"",'Price History'!P69/'Price History'!P68-1),"")</f>
        <v>-0.0315830721003135</v>
      </c>
      <c r="Q68" s="154" t="n">
        <f aca="false">IFERROR(IF(OR(NOT(ISNUMBER('Price History'!Q69)),NOT(ISNUMBER('Price History'!Q68)),'Price History'!Q68=0),"",'Price History'!Q69/'Price History'!Q68-1),"")</f>
        <v>-0.0121931654099149</v>
      </c>
      <c r="R68" s="154" t="n">
        <f aca="false">IFERROR(IF(OR(NOT(ISNUMBER('Price History'!R69)),NOT(ISNUMBER('Price History'!R68)),'Price History'!R68=0),"",'Price History'!R69/'Price History'!R68-1),"")</f>
        <v>-0.0110708963167979</v>
      </c>
      <c r="S68" s="154" t="n">
        <f aca="false">IFERROR(IF(OR(NOT(ISNUMBER('Price History'!S69)),NOT(ISNUMBER('Price History'!S68)),'Price History'!S68=0),"",'Price History'!S69/'Price History'!S68-1),"")</f>
        <v>-0.0224462225917075</v>
      </c>
      <c r="T68" s="154" t="n">
        <f aca="false">IFERROR(IF(OR(NOT(ISNUMBER('Price History'!T69)),NOT(ISNUMBER('Price History'!T68)),'Price History'!T68=0),"",'Price History'!T69/'Price History'!T68-1),"")</f>
        <v>-0.0304628002343292</v>
      </c>
      <c r="U68" s="154" t="n">
        <f aca="false">IFERROR(IF(OR(NOT(ISNUMBER('Price History'!U69)),NOT(ISNUMBER('Price History'!U68)),'Price History'!U68=0),"",'Price History'!U69/'Price History'!U68-1),"")</f>
        <v>-0.0299015897047692</v>
      </c>
      <c r="V68" s="155" t="n">
        <f aca="false">IFERROR(IF(OR(NOT(ISNUMBER('Price History'!V69)),NOT(ISNUMBER('Price History'!V68)),'Price History'!V68=0),"",'Price History'!V69/'Price History'!V68-1),"")</f>
        <v>0.00946402704007721</v>
      </c>
      <c r="W68" s="156" t="n">
        <f aca="false">IFERROR('Price History'!B3+(INDEX('Price History'!B:B,MATCH(9.99E+307,'Returns (Calc)'!$A:$A)+1)-'Price History'!B3)*(ROW()-3)/(MATCH(9.99E+307,'Returns (Calc)'!$A:$A)-3),"")</f>
        <v>409.09253164557</v>
      </c>
      <c r="X68" s="156" t="n">
        <f aca="false">IFERROR('Price History'!C3+(INDEX('Price History'!C:C,MATCH(9.99E+307,'Returns (Calc)'!$A:$A)+1)-'Price History'!C3)*(ROW()-3)/(MATCH(9.99E+307,'Returns (Calc)'!$A:$A)-3),"")</f>
        <v>112.484113924051</v>
      </c>
      <c r="Y68" s="156" t="n">
        <f aca="false">IFERROR('Price History'!D3+(INDEX('Price History'!D:D,MATCH(9.99E+307,'Returns (Calc)'!$A:$A)+1)-'Price History'!D3)*(ROW()-3)/(MATCH(9.99E+307,'Returns (Calc)'!$A:$A)-3),"")</f>
        <v>1110.77265822785</v>
      </c>
      <c r="Z68" s="156" t="n">
        <f aca="false">IFERROR('Price History'!E3+(INDEX('Price History'!E:E,MATCH(9.99E+307,'Returns (Calc)'!$A:$A)+1)-'Price History'!E3)*(ROW()-3)/(MATCH(9.99E+307,'Returns (Calc)'!$A:$A)-3),"")</f>
        <v>194.367721518987</v>
      </c>
      <c r="AA68" s="156" t="n">
        <f aca="false">IFERROR('Price History'!F3+(INDEX('Price History'!F:F,MATCH(9.99E+307,'Returns (Calc)'!$A:$A)+1)-'Price History'!F3)*(ROW()-3)/(MATCH(9.99E+307,'Returns (Calc)'!$A:$A)-3),"")</f>
        <v>135.437215189873</v>
      </c>
      <c r="AB68" s="156" t="n">
        <f aca="false">IFERROR('Price History'!G3+(INDEX('Price History'!G:G,MATCH(9.99E+307,'Returns (Calc)'!$A:$A)+1)-'Price History'!G3)*(ROW()-3)/(MATCH(9.99E+307,'Returns (Calc)'!$A:$A)-3),"")</f>
        <v>111.217721518987</v>
      </c>
      <c r="AC68" s="156" t="n">
        <f aca="false">IFERROR('Price History'!H3+(INDEX('Price History'!H:H,MATCH(9.99E+307,'Returns (Calc)'!$A:$A)+1)-'Price History'!H3)*(ROW()-3)/(MATCH(9.99E+307,'Returns (Calc)'!$A:$A)-3),"")</f>
        <v>482.880253164557</v>
      </c>
      <c r="AD68" s="156" t="n">
        <f aca="false">IFERROR('Price History'!I3+(INDEX('Price History'!I:I,MATCH(9.99E+307,'Returns (Calc)'!$A:$A)+1)-'Price History'!I3)*(ROW()-3)/(MATCH(9.99E+307,'Returns (Calc)'!$A:$A)-3),"")</f>
        <v>122.008607594937</v>
      </c>
      <c r="AE68" s="156" t="n">
        <f aca="false">IFERROR('Price History'!J3+(INDEX('Price History'!J:J,MATCH(9.99E+307,'Returns (Calc)'!$A:$A)+1)-'Price History'!J3)*(ROW()-3)/(MATCH(9.99E+307,'Returns (Calc)'!$A:$A)-3),"")</f>
        <v>118.86246835443</v>
      </c>
      <c r="AF68" s="156" t="n">
        <f aca="false">IFERROR('Price History'!K3+(INDEX('Price History'!K:K,MATCH(9.99E+307,'Returns (Calc)'!$A:$A)+1)-'Price History'!K3)*(ROW()-3)/(MATCH(9.99E+307,'Returns (Calc)'!$A:$A)-3),"")</f>
        <v>86.6736708860759</v>
      </c>
      <c r="AG68" s="156" t="n">
        <f aca="false">IFERROR('Price History'!L3+(INDEX('Price History'!L:L,MATCH(9.99E+307,'Returns (Calc)'!$A:$A)+1)-'Price History'!L3)*(ROW()-3)/(MATCH(9.99E+307,'Returns (Calc)'!$A:$A)-3),"")</f>
        <v>244.971202531646</v>
      </c>
      <c r="AH68" s="156" t="n">
        <f aca="false">IFERROR('Price History'!M3+(INDEX('Price History'!M:M,MATCH(9.99E+307,'Returns (Calc)'!$A:$A)+1)-'Price History'!M3)*(ROW()-3)/(MATCH(9.99E+307,'Returns (Calc)'!$A:$A)-3),"")</f>
        <v>126.123797468354</v>
      </c>
      <c r="AI68" s="156" t="n">
        <f aca="false">IFERROR('Price History'!N3+(INDEX('Price History'!N:N,MATCH(9.99E+307,'Returns (Calc)'!$A:$A)+1)-'Price History'!N3)*(ROW()-3)/(MATCH(9.99E+307,'Returns (Calc)'!$A:$A)-3),"")</f>
        <v>413.007278481013</v>
      </c>
      <c r="AJ68" s="156" t="n">
        <f aca="false">IFERROR('Price History'!O3+(INDEX('Price History'!O:O,MATCH(9.99E+307,'Returns (Calc)'!$A:$A)+1)-'Price History'!O3)*(ROW()-3)/(MATCH(9.99E+307,'Returns (Calc)'!$A:$A)-3),"")</f>
        <v>93.7074683544304</v>
      </c>
      <c r="AK68" s="156" t="n">
        <f aca="false">IFERROR('Price History'!Q3+(INDEX('Price History'!Q:Q,MATCH(9.99E+307,'Returns (Calc)'!$A:$A)+1)-'Price History'!Q3)*(ROW()-3)/(MATCH(9.99E+307,'Returns (Calc)'!$A:$A)-3),"")</f>
        <v>28.5588607594937</v>
      </c>
      <c r="AL68" s="156" t="n">
        <f aca="false">IFERROR('Price History'!R3+(INDEX('Price History'!R:R,MATCH(9.99E+307,'Returns (Calc)'!$A:$A)+1)-'Price History'!R3)*(ROW()-3)/(MATCH(9.99E+307,'Returns (Calc)'!$A:$A)-3),"")</f>
        <v>45.406582278481</v>
      </c>
      <c r="AM68" s="156" t="n">
        <f aca="false">IFERROR('Price History'!S3+(INDEX('Price History'!S:S,MATCH(9.99E+307,'Returns (Calc)'!$A:$A)+1)-'Price History'!S3)*(ROW()-3)/(MATCH(9.99E+307,'Returns (Calc)'!$A:$A)-3),"")</f>
        <v>96.9591139240506</v>
      </c>
      <c r="AN68" s="156" t="n">
        <f aca="false">IFERROR('Price History'!T3+(INDEX('Price History'!T:T,MATCH(9.99E+307,'Returns (Calc)'!$A:$A)+1)-'Price History'!T3)*(ROW()-3)/(MATCH(9.99E+307,'Returns (Calc)'!$A:$A)-3),"")</f>
        <v>36.1748101265823</v>
      </c>
      <c r="AO68" s="157" t="n">
        <f aca="false">IFERROR('Price History'!V3+(INDEX('Price History'!V:V,MATCH(9.99E+307,'Returns (Calc)'!$A:$A)+1)-'Price History'!V3)*(ROW()-3)/(MATCH(9.99E+307,'Returns (Calc)'!$A:$A)-3),"")</f>
        <v>287.066392405063</v>
      </c>
      <c r="AP68" s="155" t="n">
        <f aca="false">IFERROR(IF(OR(NOT(ISNUMBER('Price History'!W69)),NOT(ISNUMBER('Price History'!W68)),'Price History'!W68=0),"",'Price History'!W69/'Price History'!W68-1),"")</f>
        <v>-0.028569148511691</v>
      </c>
      <c r="AQ68" s="155" t="str">
        <f aca="false">IFERROR(IF(OR(NOT(ISNUMBER('Price History'!X69)),NOT(ISNUMBER('Price History'!X68)),'Price History'!X68=0),"",'Price History'!X69/'Price History'!X68-1),"")</f>
        <v/>
      </c>
      <c r="AR68" s="155" t="n">
        <f aca="false">IFERROR(IF(OR(NOT(ISNUMBER('Price History'!Y69)),NOT(ISNUMBER('Price History'!Y68)),'Price History'!Y68=0),"",'Price History'!Y69/'Price History'!Y68-1),"")</f>
        <v>-0.0205198358413133</v>
      </c>
      <c r="AS68" s="155" t="n">
        <f aca="false">IFERROR(IF(OR(NOT(ISNUMBER('Price History'!Z69)),NOT(ISNUMBER('Price History'!Z68)),'Price History'!Z68=0),"",'Price History'!Z69/'Price History'!Z68-1),"")</f>
        <v>0.0141761985884643</v>
      </c>
      <c r="AT68" s="155" t="n">
        <f aca="false">IFERROR(IF(OR(NOT(ISNUMBER('Price History'!AA69)),NOT(ISNUMBER('Price History'!AA68)),'Price History'!AA68=0),"",'Price History'!AA69/'Price History'!AA68-1),"")</f>
        <v>-0.0107737512242898</v>
      </c>
      <c r="AU68" s="155" t="n">
        <f aca="false">IFERROR(IF(OR(NOT(ISNUMBER('Price History'!AB69)),NOT(ISNUMBER('Price History'!AB68)),'Price History'!AB68=0),"",'Price History'!AB69/'Price History'!AB68-1),"")</f>
        <v>-0.0202377830229915</v>
      </c>
    </row>
    <row r="69" customFormat="false" ht="15" hidden="false" customHeight="true" outlineLevel="0" collapsed="false">
      <c r="A69" s="153" t="n">
        <f aca="false">IF('Price History'!A70="","",'Price History'!A70)</f>
        <v>45653</v>
      </c>
      <c r="B69" s="154" t="n">
        <f aca="false">IFERROR(IF(OR(NOT(ISNUMBER('Price History'!B70)),NOT(ISNUMBER('Price History'!B69)),'Price History'!B69=0),"",'Price History'!B70/'Price History'!B69-1),"")</f>
        <v>-0.00154303732361294</v>
      </c>
      <c r="C69" s="154" t="n">
        <f aca="false">IFERROR(IF(OR(NOT(ISNUMBER('Price History'!C70)),NOT(ISNUMBER('Price History'!C69)),'Price History'!C69=0),"",'Price History'!C70/'Price History'!C69-1),"")</f>
        <v>0.00195018172147865</v>
      </c>
      <c r="D69" s="154" t="n">
        <f aca="false">IFERROR(IF(OR(NOT(ISNUMBER('Price History'!D70)),NOT(ISNUMBER('Price History'!D69)),'Price History'!D69=0),"",'Price History'!D70/'Price History'!D69-1),"")</f>
        <v>0.0112123738607941</v>
      </c>
      <c r="E69" s="154" t="n">
        <f aca="false">IFERROR(IF(OR(NOT(ISNUMBER('Price History'!E70)),NOT(ISNUMBER('Price History'!E69)),'Price History'!E69=0),"",'Price History'!E70/'Price History'!E69-1),"")</f>
        <v>0.097866654379579</v>
      </c>
      <c r="F69" s="154" t="n">
        <f aca="false">IFERROR(IF(OR(NOT(ISNUMBER('Price History'!F70)),NOT(ISNUMBER('Price History'!F69)),'Price History'!F69=0),"",'Price History'!F70/'Price History'!F69-1),"")</f>
        <v>-0.0200949541790879</v>
      </c>
      <c r="G69" s="154" t="n">
        <f aca="false">IFERROR(IF(OR(NOT(ISNUMBER('Price History'!G70)),NOT(ISNUMBER('Price History'!G69)),'Price History'!G69=0),"",'Price History'!G70/'Price History'!G69-1),"")</f>
        <v>0.0246099404857649</v>
      </c>
      <c r="H69" s="154" t="n">
        <f aca="false">IFERROR(IF(OR(NOT(ISNUMBER('Price History'!H70)),NOT(ISNUMBER('Price History'!H69)),'Price History'!H69=0),"",'Price History'!H70/'Price History'!H69-1),"")</f>
        <v>-0.0165068034798125</v>
      </c>
      <c r="I69" s="154" t="n">
        <f aca="false">IFERROR(IF(OR(NOT(ISNUMBER('Price History'!I70)),NOT(ISNUMBER('Price History'!I69)),'Price History'!I69=0),"",'Price History'!I70/'Price History'!I69-1),"")</f>
        <v>0.0171194640863417</v>
      </c>
      <c r="J69" s="154" t="n">
        <f aca="false">IFERROR(IF(OR(NOT(ISNUMBER('Price History'!J70)),NOT(ISNUMBER('Price History'!J69)),'Price History'!J69=0),"",'Price History'!J70/'Price History'!J69-1),"")</f>
        <v>0.0185679113664341</v>
      </c>
      <c r="K69" s="154" t="n">
        <f aca="false">IFERROR(IF(OR(NOT(ISNUMBER('Price History'!K70)),NOT(ISNUMBER('Price History'!K69)),'Price History'!K69=0),"",'Price History'!K70/'Price History'!K69-1),"")</f>
        <v>-0.0182495344506518</v>
      </c>
      <c r="L69" s="154" t="n">
        <f aca="false">IFERROR(IF(OR(NOT(ISNUMBER('Price History'!L70)),NOT(ISNUMBER('Price History'!L69)),'Price History'!L69=0),"",'Price History'!L70/'Price History'!L69-1),"")</f>
        <v>0.0224270989796447</v>
      </c>
      <c r="M69" s="154" t="n">
        <f aca="false">IFERROR(IF(OR(NOT(ISNUMBER('Price History'!M70)),NOT(ISNUMBER('Price History'!M69)),'Price History'!M69=0),"",'Price History'!M70/'Price History'!M69-1),"")</f>
        <v>-0.0410718757826196</v>
      </c>
      <c r="N69" s="154" t="n">
        <f aca="false">IFERROR(IF(OR(NOT(ISNUMBER('Price History'!N70)),NOT(ISNUMBER('Price History'!N69)),'Price History'!N69=0),"",'Price History'!N70/'Price History'!N69-1),"")</f>
        <v>0.0289223953482518</v>
      </c>
      <c r="O69" s="154" t="n">
        <f aca="false">IFERROR(IF(OR(NOT(ISNUMBER('Price History'!O70)),NOT(ISNUMBER('Price History'!O69)),'Price History'!O69=0),"",'Price History'!O70/'Price History'!O69-1),"")</f>
        <v>0.00395256916996045</v>
      </c>
      <c r="P69" s="154" t="n">
        <f aca="false">IFERROR(IF(OR(NOT(ISNUMBER('Price History'!P70)),NOT(ISNUMBER('Price History'!P69)),'Price History'!P69=0),"",'Price History'!P70/'Price History'!P69-1),"")</f>
        <v>0.00453184429877807</v>
      </c>
      <c r="Q69" s="154" t="n">
        <f aca="false">IFERROR(IF(OR(NOT(ISNUMBER('Price History'!Q70)),NOT(ISNUMBER('Price History'!Q69)),'Price History'!Q69=0),"",'Price History'!Q70/'Price History'!Q69-1),"")</f>
        <v>0.00649667045639113</v>
      </c>
      <c r="R69" s="154" t="n">
        <f aca="false">IFERROR(IF(OR(NOT(ISNUMBER('Price History'!R70)),NOT(ISNUMBER('Price History'!R69)),'Price History'!R69=0),"",'Price History'!R70/'Price History'!R69-1),"")</f>
        <v>0.00925726587728737</v>
      </c>
      <c r="S69" s="154" t="n">
        <f aca="false">IFERROR(IF(OR(NOT(ISNUMBER('Price History'!S70)),NOT(ISNUMBER('Price History'!S69)),'Price History'!S69=0),"",'Price History'!S70/'Price History'!S69-1),"")</f>
        <v>0.0126501541405337</v>
      </c>
      <c r="T69" s="154" t="n">
        <f aca="false">IFERROR(IF(OR(NOT(ISNUMBER('Price History'!T70)),NOT(ISNUMBER('Price History'!T69)),'Price History'!T69=0),"",'Price History'!T70/'Price History'!T69-1),"")</f>
        <v>0.00936555891238666</v>
      </c>
      <c r="U69" s="154" t="n">
        <f aca="false">IFERROR(IF(OR(NOT(ISNUMBER('Price History'!U70)),NOT(ISNUMBER('Price History'!U69)),'Price History'!U69=0),"",'Price History'!U70/'Price History'!U69-1),"")</f>
        <v>0.00663285212641451</v>
      </c>
      <c r="V69" s="155" t="n">
        <f aca="false">IFERROR(IF(OR(NOT(ISNUMBER('Price History'!V70)),NOT(ISNUMBER('Price History'!V69)),'Price History'!V69=0),"",'Price History'!V70/'Price History'!V69-1),"")</f>
        <v>0.00296565579259545</v>
      </c>
      <c r="W69" s="156" t="n">
        <f aca="false">IFERROR('Price History'!B3+(INDEX('Price History'!B:B,MATCH(9.99E+307,'Returns (Calc)'!$A:$A)+1)-'Price History'!B3)*(ROW()-3)/(MATCH(9.99E+307,'Returns (Calc)'!$A:$A)-3),"")</f>
        <v>407.249493670886</v>
      </c>
      <c r="X69" s="156" t="n">
        <f aca="false">IFERROR('Price History'!C3+(INDEX('Price History'!C:C,MATCH(9.99E+307,'Returns (Calc)'!$A:$A)+1)-'Price History'!C3)*(ROW()-3)/(MATCH(9.99E+307,'Returns (Calc)'!$A:$A)-3),"")</f>
        <v>113.50417721519</v>
      </c>
      <c r="Y69" s="156" t="n">
        <f aca="false">IFERROR('Price History'!D3+(INDEX('Price History'!D:D,MATCH(9.99E+307,'Returns (Calc)'!$A:$A)+1)-'Price History'!D3)*(ROW()-3)/(MATCH(9.99E+307,'Returns (Calc)'!$A:$A)-3),"")</f>
        <v>1118.90746835443</v>
      </c>
      <c r="Z69" s="156" t="n">
        <f aca="false">IFERROR('Price History'!E3+(INDEX('Price History'!E:E,MATCH(9.99E+307,'Returns (Calc)'!$A:$A)+1)-'Price History'!E3)*(ROW()-3)/(MATCH(9.99E+307,'Returns (Calc)'!$A:$A)-3),"")</f>
        <v>196.096455696203</v>
      </c>
      <c r="AA69" s="156" t="n">
        <f aca="false">IFERROR('Price History'!F3+(INDEX('Price History'!F:F,MATCH(9.99E+307,'Returns (Calc)'!$A:$A)+1)-'Price History'!F3)*(ROW()-3)/(MATCH(9.99E+307,'Returns (Calc)'!$A:$A)-3),"")</f>
        <v>136.884556962025</v>
      </c>
      <c r="AB69" s="156" t="n">
        <f aca="false">IFERROR('Price History'!G3+(INDEX('Price History'!G:G,MATCH(9.99E+307,'Returns (Calc)'!$A:$A)+1)-'Price History'!G3)*(ROW()-3)/(MATCH(9.99E+307,'Returns (Calc)'!$A:$A)-3),"")</f>
        <v>112.246455696203</v>
      </c>
      <c r="AC69" s="156" t="n">
        <f aca="false">IFERROR('Price History'!H3+(INDEX('Price History'!H:H,MATCH(9.99E+307,'Returns (Calc)'!$A:$A)+1)-'Price History'!H3)*(ROW()-3)/(MATCH(9.99E+307,'Returns (Calc)'!$A:$A)-3),"")</f>
        <v>489.245949367089</v>
      </c>
      <c r="AD69" s="156" t="n">
        <f aca="false">IFERROR('Price History'!I3+(INDEX('Price History'!I:I,MATCH(9.99E+307,'Returns (Calc)'!$A:$A)+1)-'Price History'!I3)*(ROW()-3)/(MATCH(9.99E+307,'Returns (Calc)'!$A:$A)-3),"")</f>
        <v>123.212278481013</v>
      </c>
      <c r="AE69" s="156" t="n">
        <f aca="false">IFERROR('Price History'!J3+(INDEX('Price History'!J:J,MATCH(9.99E+307,'Returns (Calc)'!$A:$A)+1)-'Price History'!J3)*(ROW()-3)/(MATCH(9.99E+307,'Returns (Calc)'!$A:$A)-3),"")</f>
        <v>118.970506329114</v>
      </c>
      <c r="AF69" s="156" t="n">
        <f aca="false">IFERROR('Price History'!K3+(INDEX('Price History'!K:K,MATCH(9.99E+307,'Returns (Calc)'!$A:$A)+1)-'Price History'!K3)*(ROW()-3)/(MATCH(9.99E+307,'Returns (Calc)'!$A:$A)-3),"")</f>
        <v>87.7712658227848</v>
      </c>
      <c r="AG69" s="156" t="n">
        <f aca="false">IFERROR('Price History'!L3+(INDEX('Price History'!L:L,MATCH(9.99E+307,'Returns (Calc)'!$A:$A)+1)-'Price History'!L3)*(ROW()-3)/(MATCH(9.99E+307,'Returns (Calc)'!$A:$A)-3),"")</f>
        <v>247.420759493671</v>
      </c>
      <c r="AH69" s="156" t="n">
        <f aca="false">IFERROR('Price History'!M3+(INDEX('Price History'!M:M,MATCH(9.99E+307,'Returns (Calc)'!$A:$A)+1)-'Price History'!M3)*(ROW()-3)/(MATCH(9.99E+307,'Returns (Calc)'!$A:$A)-3),"")</f>
        <v>127.479240506329</v>
      </c>
      <c r="AI69" s="156" t="n">
        <f aca="false">IFERROR('Price History'!N3+(INDEX('Price History'!N:N,MATCH(9.99E+307,'Returns (Calc)'!$A:$A)+1)-'Price History'!N3)*(ROW()-3)/(MATCH(9.99E+307,'Returns (Calc)'!$A:$A)-3),"")</f>
        <v>413.993544303798</v>
      </c>
      <c r="AJ69" s="156" t="n">
        <f aca="false">IFERROR('Price History'!O3+(INDEX('Price History'!O:O,MATCH(9.99E+307,'Returns (Calc)'!$A:$A)+1)-'Price History'!O3)*(ROW()-3)/(MATCH(9.99E+307,'Returns (Calc)'!$A:$A)-3),"")</f>
        <v>93.9905063291139</v>
      </c>
      <c r="AK69" s="156" t="n">
        <f aca="false">IFERROR('Price History'!Q3+(INDEX('Price History'!Q:Q,MATCH(9.99E+307,'Returns (Calc)'!$A:$A)+1)-'Price History'!Q3)*(ROW()-3)/(MATCH(9.99E+307,'Returns (Calc)'!$A:$A)-3),"")</f>
        <v>28.9982278481013</v>
      </c>
      <c r="AL69" s="156" t="n">
        <f aca="false">IFERROR('Price History'!R3+(INDEX('Price History'!R:R,MATCH(9.99E+307,'Returns (Calc)'!$A:$A)+1)-'Price History'!R3)*(ROW()-3)/(MATCH(9.99E+307,'Returns (Calc)'!$A:$A)-3),"")</f>
        <v>45.5746835443038</v>
      </c>
      <c r="AM69" s="156" t="n">
        <f aca="false">IFERROR('Price History'!S3+(INDEX('Price History'!S:S,MATCH(9.99E+307,'Returns (Calc)'!$A:$A)+1)-'Price History'!S3)*(ROW()-3)/(MATCH(9.99E+307,'Returns (Calc)'!$A:$A)-3),"")</f>
        <v>97.5641772151899</v>
      </c>
      <c r="AN69" s="156" t="n">
        <f aca="false">IFERROR('Price History'!T3+(INDEX('Price History'!T:T,MATCH(9.99E+307,'Returns (Calc)'!$A:$A)+1)-'Price History'!T3)*(ROW()-3)/(MATCH(9.99E+307,'Returns (Calc)'!$A:$A)-3),"")</f>
        <v>36.3430379746835</v>
      </c>
      <c r="AO69" s="157" t="n">
        <f aca="false">IFERROR('Price History'!V3+(INDEX('Price History'!V:V,MATCH(9.99E+307,'Returns (Calc)'!$A:$A)+1)-'Price History'!V3)*(ROW()-3)/(MATCH(9.99E+307,'Returns (Calc)'!$A:$A)-3),"")</f>
        <v>287.857721518987</v>
      </c>
      <c r="AP69" s="155" t="n">
        <f aca="false">IFERROR(IF(OR(NOT(ISNUMBER('Price History'!W70)),NOT(ISNUMBER('Price History'!W69)),'Price History'!W69=0),"",'Price History'!W70/'Price History'!W69-1),"")</f>
        <v>0.0119116076562886</v>
      </c>
      <c r="AQ69" s="155" t="str">
        <f aca="false">IFERROR(IF(OR(NOT(ISNUMBER('Price History'!X70)),NOT(ISNUMBER('Price History'!X69)),'Price History'!X69=0),"",'Price History'!X70/'Price History'!X69-1),"")</f>
        <v/>
      </c>
      <c r="AR69" s="155" t="n">
        <f aca="false">IFERROR(IF(OR(NOT(ISNUMBER('Price History'!Y70)),NOT(ISNUMBER('Price History'!Y69)),'Price History'!Y69=0),"",'Price History'!Y70/'Price History'!Y69-1),"")</f>
        <v>0.00438946528332007</v>
      </c>
      <c r="AS69" s="155" t="n">
        <f aca="false">IFERROR(IF(OR(NOT(ISNUMBER('Price History'!Z70)),NOT(ISNUMBER('Price History'!Z69)),'Price History'!Z69=0),"",'Price History'!Z70/'Price History'!Z69-1),"")</f>
        <v>0.0118183454316396</v>
      </c>
      <c r="AT69" s="155" t="n">
        <f aca="false">IFERROR(IF(OR(NOT(ISNUMBER('Price History'!AA70)),NOT(ISNUMBER('Price History'!AA69)),'Price History'!AA69=0),"",'Price History'!AA70/'Price History'!AA69-1),"")</f>
        <v>-0.00165016501650173</v>
      </c>
      <c r="AU69" s="155" t="n">
        <f aca="false">IFERROR(IF(OR(NOT(ISNUMBER('Price History'!AB70)),NOT(ISNUMBER('Price History'!AB69)),'Price History'!AB69=0),"",'Price History'!AB70/'Price History'!AB69-1),"")</f>
        <v>-0.0452375641311622</v>
      </c>
    </row>
    <row r="70" customFormat="false" ht="15" hidden="false" customHeight="true" outlineLevel="0" collapsed="false">
      <c r="A70" s="153" t="n">
        <f aca="false">IF('Price History'!A71="","",'Price History'!A71)</f>
        <v>45660</v>
      </c>
      <c r="B70" s="154" t="n">
        <f aca="false">IFERROR(IF(OR(NOT(ISNUMBER('Price History'!B71)),NOT(ISNUMBER('Price History'!B70)),'Price History'!B70=0),"",'Price History'!B71/'Price History'!B70-1),"")</f>
        <v>-0.0356342949292242</v>
      </c>
      <c r="C70" s="154" t="n">
        <f aca="false">IFERROR(IF(OR(NOT(ISNUMBER('Price History'!C71)),NOT(ISNUMBER('Price History'!C70)),'Price History'!C70=0),"",'Price History'!C71/'Price History'!C70-1),"")</f>
        <v>0.0191984428912679</v>
      </c>
      <c r="D70" s="154" t="n">
        <f aca="false">IFERROR(IF(OR(NOT(ISNUMBER('Price History'!D71)),NOT(ISNUMBER('Price History'!D70)),'Price History'!D70=0),"",'Price History'!D71/'Price History'!D70-1),"")</f>
        <v>0.0010803741506269</v>
      </c>
      <c r="E70" s="154" t="n">
        <f aca="false">IFERROR(IF(OR(NOT(ISNUMBER('Price History'!E71)),NOT(ISNUMBER('Price History'!E70)),'Price History'!E70=0),"",'Price History'!E71/'Price History'!E70-1),"")</f>
        <v>-0.038066059512318</v>
      </c>
      <c r="F70" s="154" t="n">
        <f aca="false">IFERROR(IF(OR(NOT(ISNUMBER('Price History'!F71)),NOT(ISNUMBER('Price History'!F70)),'Price History'!F70=0),"",'Price History'!F71/'Price History'!F70-1),"")</f>
        <v>0.0112676056338028</v>
      </c>
      <c r="G70" s="154" t="n">
        <f aca="false">IFERROR(IF(OR(NOT(ISNUMBER('Price History'!G71)),NOT(ISNUMBER('Price History'!G70)),'Price History'!G70=0),"",'Price History'!G71/'Price History'!G70-1),"")</f>
        <v>0.0188383045525904</v>
      </c>
      <c r="H70" s="154" t="n">
        <f aca="false">IFERROR(IF(OR(NOT(ISNUMBER('Price History'!H71)),NOT(ISNUMBER('Price History'!H70)),'Price History'!H70=0),"",'Price History'!H71/'Price History'!H70-1),"")</f>
        <v>0.0153095940122476</v>
      </c>
      <c r="I70" s="154" t="n">
        <f aca="false">IFERROR(IF(OR(NOT(ISNUMBER('Price History'!I71)),NOT(ISNUMBER('Price History'!I70)),'Price History'!I70=0),"",'Price History'!I71/'Price History'!I70-1),"")</f>
        <v>0.0544456641053788</v>
      </c>
      <c r="J70" s="154" t="n">
        <f aca="false">IFERROR(IF(OR(NOT(ISNUMBER('Price History'!J71)),NOT(ISNUMBER('Price History'!J70)),'Price History'!J70=0),"",'Price History'!J71/'Price History'!J70-1),"")</f>
        <v>0.00372645785074011</v>
      </c>
      <c r="K70" s="154" t="n">
        <f aca="false">IFERROR(IF(OR(NOT(ISNUMBER('Price History'!K71)),NOT(ISNUMBER('Price History'!K70)),'Price History'!K70=0),"",'Price History'!K71/'Price History'!K70-1),"")</f>
        <v>0.0102427921092565</v>
      </c>
      <c r="L70" s="154" t="n">
        <f aca="false">IFERROR(IF(OR(NOT(ISNUMBER('Price History'!L71)),NOT(ISNUMBER('Price History'!L70)),'Price History'!L70=0),"",'Price History'!L71/'Price History'!L70-1),"")</f>
        <v>0.0345997973657548</v>
      </c>
      <c r="M70" s="154" t="n">
        <f aca="false">IFERROR(IF(OR(NOT(ISNUMBER('Price History'!M71)),NOT(ISNUMBER('Price History'!M70)),'Price History'!M70=0),"",'Price History'!M71/'Price History'!M70-1),"")</f>
        <v>0.0916688430399582</v>
      </c>
      <c r="N70" s="154" t="n">
        <f aca="false">IFERROR(IF(OR(NOT(ISNUMBER('Price History'!N71)),NOT(ISNUMBER('Price History'!N70)),'Price History'!N70=0),"",'Price History'!N71/'Price History'!N70-1),"")</f>
        <v>-0.0040365984930032</v>
      </c>
      <c r="O70" s="154" t="n">
        <f aca="false">IFERROR(IF(OR(NOT(ISNUMBER('Price History'!O71)),NOT(ISNUMBER('Price History'!O70)),'Price History'!O70=0),"",'Price History'!O71/'Price History'!O70-1),"")</f>
        <v>0.00787401574803148</v>
      </c>
      <c r="P70" s="154" t="n">
        <f aca="false">IFERROR(IF(OR(NOT(ISNUMBER('Price History'!P71)),NOT(ISNUMBER('Price History'!P70)),'Price History'!P70=0),"",'Price History'!P71/'Price History'!P70-1),"")</f>
        <v>-0.000563924917425185</v>
      </c>
      <c r="Q70" s="154" t="n">
        <f aca="false">IFERROR(IF(OR(NOT(ISNUMBER('Price History'!Q71)),NOT(ISNUMBER('Price History'!Q70)),'Price History'!Q70=0),"",'Price History'!Q71/'Price History'!Q70-1),"")</f>
        <v>-0.00403421010166205</v>
      </c>
      <c r="R70" s="154" t="n">
        <f aca="false">IFERROR(IF(OR(NOT(ISNUMBER('Price History'!R71)),NOT(ISNUMBER('Price History'!R70)),'Price History'!R70=0),"",'Price History'!R71/'Price History'!R70-1),"")</f>
        <v>-0.0034129692832765</v>
      </c>
      <c r="S70" s="154" t="n">
        <f aca="false">IFERROR(IF(OR(NOT(ISNUMBER('Price History'!S71)),NOT(ISNUMBER('Price History'!S70)),'Price History'!S70=0),"",'Price History'!S71/'Price History'!S70-1),"")</f>
        <v>0.00304429981104337</v>
      </c>
      <c r="T70" s="154" t="n">
        <f aca="false">IFERROR(IF(OR(NOT(ISNUMBER('Price History'!T71)),NOT(ISNUMBER('Price History'!T70)),'Price History'!T70=0),"",'Price History'!T71/'Price History'!T70-1),"")</f>
        <v>0.00748278958395687</v>
      </c>
      <c r="U70" s="154" t="n">
        <f aca="false">IFERROR(IF(OR(NOT(ISNUMBER('Price History'!U71)),NOT(ISNUMBER('Price History'!U70)),'Price History'!U70=0),"",'Price History'!U71/'Price History'!U70-1),"")</f>
        <v>-0.00116279069767444</v>
      </c>
      <c r="V70" s="155" t="n">
        <f aca="false">IFERROR(IF(OR(NOT(ISNUMBER('Price History'!V71)),NOT(ISNUMBER('Price History'!V70)),'Price History'!V70=0),"",'Price History'!V71/'Price History'!V70-1),"")</f>
        <v>-0.0117639577769298</v>
      </c>
      <c r="W70" s="156" t="n">
        <f aca="false">IFERROR('Price History'!B3+(INDEX('Price History'!B:B,MATCH(9.99E+307,'Returns (Calc)'!$A:$A)+1)-'Price History'!B3)*(ROW()-3)/(MATCH(9.99E+307,'Returns (Calc)'!$A:$A)-3),"")</f>
        <v>405.406455696203</v>
      </c>
      <c r="X70" s="156" t="n">
        <f aca="false">IFERROR('Price History'!C3+(INDEX('Price History'!C:C,MATCH(9.99E+307,'Returns (Calc)'!$A:$A)+1)-'Price History'!C3)*(ROW()-3)/(MATCH(9.99E+307,'Returns (Calc)'!$A:$A)-3),"")</f>
        <v>114.524240506329</v>
      </c>
      <c r="Y70" s="156" t="n">
        <f aca="false">IFERROR('Price History'!D3+(INDEX('Price History'!D:D,MATCH(9.99E+307,'Returns (Calc)'!$A:$A)+1)-'Price History'!D3)*(ROW()-3)/(MATCH(9.99E+307,'Returns (Calc)'!$A:$A)-3),"")</f>
        <v>1127.04227848101</v>
      </c>
      <c r="Z70" s="156" t="n">
        <f aca="false">IFERROR('Price History'!E3+(INDEX('Price History'!E:E,MATCH(9.99E+307,'Returns (Calc)'!$A:$A)+1)-'Price History'!E3)*(ROW()-3)/(MATCH(9.99E+307,'Returns (Calc)'!$A:$A)-3),"")</f>
        <v>197.825189873418</v>
      </c>
      <c r="AA70" s="156" t="n">
        <f aca="false">IFERROR('Price History'!F3+(INDEX('Price History'!F:F,MATCH(9.99E+307,'Returns (Calc)'!$A:$A)+1)-'Price History'!F3)*(ROW()-3)/(MATCH(9.99E+307,'Returns (Calc)'!$A:$A)-3),"")</f>
        <v>138.331898734177</v>
      </c>
      <c r="AB70" s="156" t="n">
        <f aca="false">IFERROR('Price History'!G3+(INDEX('Price History'!G:G,MATCH(9.99E+307,'Returns (Calc)'!$A:$A)+1)-'Price History'!G3)*(ROW()-3)/(MATCH(9.99E+307,'Returns (Calc)'!$A:$A)-3),"")</f>
        <v>113.275189873418</v>
      </c>
      <c r="AC70" s="156" t="n">
        <f aca="false">IFERROR('Price History'!H3+(INDEX('Price History'!H:H,MATCH(9.99E+307,'Returns (Calc)'!$A:$A)+1)-'Price History'!H3)*(ROW()-3)/(MATCH(9.99E+307,'Returns (Calc)'!$A:$A)-3),"")</f>
        <v>495.61164556962</v>
      </c>
      <c r="AD70" s="156" t="n">
        <f aca="false">IFERROR('Price History'!I3+(INDEX('Price History'!I:I,MATCH(9.99E+307,'Returns (Calc)'!$A:$A)+1)-'Price History'!I3)*(ROW()-3)/(MATCH(9.99E+307,'Returns (Calc)'!$A:$A)-3),"")</f>
        <v>124.415949367089</v>
      </c>
      <c r="AE70" s="156" t="n">
        <f aca="false">IFERROR('Price History'!J3+(INDEX('Price History'!J:J,MATCH(9.99E+307,'Returns (Calc)'!$A:$A)+1)-'Price History'!J3)*(ROW()-3)/(MATCH(9.99E+307,'Returns (Calc)'!$A:$A)-3),"")</f>
        <v>119.078544303797</v>
      </c>
      <c r="AF70" s="156" t="n">
        <f aca="false">IFERROR('Price History'!K3+(INDEX('Price History'!K:K,MATCH(9.99E+307,'Returns (Calc)'!$A:$A)+1)-'Price History'!K3)*(ROW()-3)/(MATCH(9.99E+307,'Returns (Calc)'!$A:$A)-3),"")</f>
        <v>88.8688607594937</v>
      </c>
      <c r="AG70" s="156" t="n">
        <f aca="false">IFERROR('Price History'!L3+(INDEX('Price History'!L:L,MATCH(9.99E+307,'Returns (Calc)'!$A:$A)+1)-'Price History'!L3)*(ROW()-3)/(MATCH(9.99E+307,'Returns (Calc)'!$A:$A)-3),"")</f>
        <v>249.870316455696</v>
      </c>
      <c r="AH70" s="156" t="n">
        <f aca="false">IFERROR('Price History'!M3+(INDEX('Price History'!M:M,MATCH(9.99E+307,'Returns (Calc)'!$A:$A)+1)-'Price History'!M3)*(ROW()-3)/(MATCH(9.99E+307,'Returns (Calc)'!$A:$A)-3),"")</f>
        <v>128.834683544304</v>
      </c>
      <c r="AI70" s="156" t="n">
        <f aca="false">IFERROR('Price History'!N3+(INDEX('Price History'!N:N,MATCH(9.99E+307,'Returns (Calc)'!$A:$A)+1)-'Price History'!N3)*(ROW()-3)/(MATCH(9.99E+307,'Returns (Calc)'!$A:$A)-3),"")</f>
        <v>414.979810126582</v>
      </c>
      <c r="AJ70" s="156" t="n">
        <f aca="false">IFERROR('Price History'!O3+(INDEX('Price History'!O:O,MATCH(9.99E+307,'Returns (Calc)'!$A:$A)+1)-'Price History'!O3)*(ROW()-3)/(MATCH(9.99E+307,'Returns (Calc)'!$A:$A)-3),"")</f>
        <v>94.2735443037975</v>
      </c>
      <c r="AK70" s="156" t="n">
        <f aca="false">IFERROR('Price History'!Q3+(INDEX('Price History'!Q:Q,MATCH(9.99E+307,'Returns (Calc)'!$A:$A)+1)-'Price History'!Q3)*(ROW()-3)/(MATCH(9.99E+307,'Returns (Calc)'!$A:$A)-3),"")</f>
        <v>29.4375949367089</v>
      </c>
      <c r="AL70" s="156" t="n">
        <f aca="false">IFERROR('Price History'!R3+(INDEX('Price History'!R:R,MATCH(9.99E+307,'Returns (Calc)'!$A:$A)+1)-'Price History'!R3)*(ROW()-3)/(MATCH(9.99E+307,'Returns (Calc)'!$A:$A)-3),"")</f>
        <v>45.7427848101266</v>
      </c>
      <c r="AM70" s="156" t="n">
        <f aca="false">IFERROR('Price History'!S3+(INDEX('Price History'!S:S,MATCH(9.99E+307,'Returns (Calc)'!$A:$A)+1)-'Price History'!S3)*(ROW()-3)/(MATCH(9.99E+307,'Returns (Calc)'!$A:$A)-3),"")</f>
        <v>98.1692405063291</v>
      </c>
      <c r="AN70" s="156" t="n">
        <f aca="false">IFERROR('Price History'!T3+(INDEX('Price History'!T:T,MATCH(9.99E+307,'Returns (Calc)'!$A:$A)+1)-'Price History'!T3)*(ROW()-3)/(MATCH(9.99E+307,'Returns (Calc)'!$A:$A)-3),"")</f>
        <v>36.5112658227848</v>
      </c>
      <c r="AO70" s="157" t="n">
        <f aca="false">IFERROR('Price History'!V3+(INDEX('Price History'!V:V,MATCH(9.99E+307,'Returns (Calc)'!$A:$A)+1)-'Price History'!V3)*(ROW()-3)/(MATCH(9.99E+307,'Returns (Calc)'!$A:$A)-3),"")</f>
        <v>288.649050632911</v>
      </c>
      <c r="AP70" s="155" t="n">
        <f aca="false">IFERROR(IF(OR(NOT(ISNUMBER('Price History'!W71)),NOT(ISNUMBER('Price History'!W70)),'Price History'!W70=0),"",'Price History'!W71/'Price History'!W70-1),"")</f>
        <v>-0.00170482221139801</v>
      </c>
      <c r="AQ70" s="155" t="str">
        <f aca="false">IFERROR(IF(OR(NOT(ISNUMBER('Price History'!X71)),NOT(ISNUMBER('Price History'!X70)),'Price History'!X70=0),"",'Price History'!X71/'Price History'!X70-1),"")</f>
        <v/>
      </c>
      <c r="AR70" s="155" t="n">
        <f aca="false">IFERROR(IF(OR(NOT(ISNUMBER('Price History'!Y71)),NOT(ISNUMBER('Price History'!Y70)),'Price History'!Y70=0),"",'Price History'!Y71/'Price History'!Y70-1),"")</f>
        <v>-0.00139054429876839</v>
      </c>
      <c r="AS70" s="155" t="n">
        <f aca="false">IFERROR(IF(OR(NOT(ISNUMBER('Price History'!Z71)),NOT(ISNUMBER('Price History'!Z70)),'Price History'!Z70=0),"",'Price History'!Z71/'Price History'!Z70-1),"")</f>
        <v>0.0110281038776237</v>
      </c>
      <c r="AT70" s="155" t="n">
        <f aca="false">IFERROR(IF(OR(NOT(ISNUMBER('Price History'!AA71)),NOT(ISNUMBER('Price History'!AA70)),'Price History'!AA70=0),"",'Price History'!AA71/'Price History'!AA70-1),"")</f>
        <v>-0.0290909090909091</v>
      </c>
      <c r="AU70" s="155" t="n">
        <f aca="false">IFERROR(IF(OR(NOT(ISNUMBER('Price History'!AB71)),NOT(ISNUMBER('Price History'!AB70)),'Price History'!AB70=0),"",'Price History'!AB71/'Price History'!AB70-1),"")</f>
        <v>-0.00457922526984711</v>
      </c>
    </row>
    <row r="71" customFormat="false" ht="15" hidden="false" customHeight="true" outlineLevel="0" collapsed="false">
      <c r="A71" s="153" t="n">
        <f aca="false">IF('Price History'!A72="","",'Price History'!A72)</f>
        <v>45667</v>
      </c>
      <c r="B71" s="154" t="n">
        <f aca="false">IFERROR(IF(OR(NOT(ISNUMBER('Price History'!B72)),NOT(ISNUMBER('Price History'!B71)),'Price History'!B71=0),"",'Price History'!B72/'Price History'!B71-1),"")</f>
        <v>-0.0572496922683884</v>
      </c>
      <c r="C71" s="154" t="n">
        <f aca="false">IFERROR(IF(OR(NOT(ISNUMBER('Price History'!C72)),NOT(ISNUMBER('Price History'!C71)),'Price History'!C71=0),"",'Price History'!C72/'Price History'!C71-1),"")</f>
        <v>-0.00746527777777772</v>
      </c>
      <c r="D71" s="154" t="n">
        <f aca="false">IFERROR(IF(OR(NOT(ISNUMBER('Price History'!D72)),NOT(ISNUMBER('Price History'!D71)),'Price History'!D71=0),"",'Price History'!D72/'Price History'!D71-1),"")</f>
        <v>0.0345062622475931</v>
      </c>
      <c r="E71" s="154" t="n">
        <f aca="false">IFERROR(IF(OR(NOT(ISNUMBER('Price History'!E72)),NOT(ISNUMBER('Price History'!E71)),'Price History'!E71=0),"",'Price History'!E72/'Price History'!E71-1),"")</f>
        <v>-0.0354275741710296</v>
      </c>
      <c r="F71" s="154" t="n">
        <f aca="false">IFERROR(IF(OR(NOT(ISNUMBER('Price History'!F72)),NOT(ISNUMBER('Price History'!F71)),'Price History'!F71=0),"",'Price History'!F72/'Price History'!F71-1),"")</f>
        <v>-0.0283008356545962</v>
      </c>
      <c r="G71" s="154" t="n">
        <f aca="false">IFERROR(IF(OR(NOT(ISNUMBER('Price History'!G72)),NOT(ISNUMBER('Price History'!G71)),'Price History'!G71=0),"",'Price History'!G72/'Price History'!G71-1),"")</f>
        <v>0.0397534668721109</v>
      </c>
      <c r="H71" s="154" t="n">
        <f aca="false">IFERROR(IF(OR(NOT(ISNUMBER('Price History'!H72)),NOT(ISNUMBER('Price History'!H71)),'Price History'!H71=0),"",'Price History'!H72/'Price History'!H71-1),"")</f>
        <v>0.105327823076064</v>
      </c>
      <c r="I71" s="154" t="n">
        <f aca="false">IFERROR(IF(OR(NOT(ISNUMBER('Price History'!I72)),NOT(ISNUMBER('Price History'!I71)),'Price History'!I71=0),"",'Price History'!I72/'Price History'!I71-1),"")</f>
        <v>-0.0591991116663196</v>
      </c>
      <c r="J71" s="154" t="n">
        <f aca="false">IFERROR(IF(OR(NOT(ISNUMBER('Price History'!J72)),NOT(ISNUMBER('Price History'!J71)),'Price History'!J71=0),"",'Price History'!J72/'Price History'!J71-1),"")</f>
        <v>-0.0192655027092113</v>
      </c>
      <c r="K71" s="154" t="n">
        <f aca="false">IFERROR(IF(OR(NOT(ISNUMBER('Price History'!K72)),NOT(ISNUMBER('Price History'!K71)),'Price History'!K71=0),"",'Price History'!K72/'Price History'!K71-1),"")</f>
        <v>-0.1580923770184</v>
      </c>
      <c r="L71" s="154" t="n">
        <f aca="false">IFERROR(IF(OR(NOT(ISNUMBER('Price History'!L72)),NOT(ISNUMBER('Price History'!L71)),'Price History'!L71=0),"",'Price History'!L72/'Price History'!L71-1),"")</f>
        <v>-0.00112618126621944</v>
      </c>
      <c r="M71" s="154" t="n">
        <f aca="false">IFERROR(IF(OR(NOT(ISNUMBER('Price History'!M72)),NOT(ISNUMBER('Price History'!M71)),'Price History'!M71=0),"",'Price History'!M72/'Price History'!M71-1),"")</f>
        <v>0.0259968102073365</v>
      </c>
      <c r="N71" s="154" t="n">
        <f aca="false">IFERROR(IF(OR(NOT(ISNUMBER('Price History'!N72)),NOT(ISNUMBER('Price History'!N71)),'Price History'!N71=0),"",'Price History'!N72/'Price History'!N71-1),"")</f>
        <v>0.00601802952518971</v>
      </c>
      <c r="O71" s="154" t="n">
        <f aca="false">IFERROR(IF(OR(NOT(ISNUMBER('Price History'!O72)),NOT(ISNUMBER('Price History'!O71)),'Price History'!O71=0),"",'Price History'!O72/'Price History'!O71-1),"")</f>
        <v>-0.0262880067567567</v>
      </c>
      <c r="P71" s="154" t="n">
        <f aca="false">IFERROR(IF(OR(NOT(ISNUMBER('Price History'!P72)),NOT(ISNUMBER('Price History'!P71)),'Price History'!P71=0),"",'Price History'!P72/'Price History'!P71-1),"")</f>
        <v>-0.0249879090762535</v>
      </c>
      <c r="Q71" s="154" t="n">
        <f aca="false">IFERROR(IF(OR(NOT(ISNUMBER('Price History'!Q72)),NOT(ISNUMBER('Price History'!Q71)),'Price History'!Q71=0),"",'Price History'!Q72/'Price History'!Q71-1),"")</f>
        <v>-0.0121516526247569</v>
      </c>
      <c r="R71" s="154" t="n">
        <f aca="false">IFERROR(IF(OR(NOT(ISNUMBER('Price History'!R72)),NOT(ISNUMBER('Price History'!R71)),'Price History'!R71=0),"",'Price History'!R72/'Price History'!R71-1),"")</f>
        <v>-0.019263698630137</v>
      </c>
      <c r="S71" s="154" t="n">
        <f aca="false">IFERROR(IF(OR(NOT(ISNUMBER('Price History'!S72)),NOT(ISNUMBER('Price History'!S71)),'Price History'!S71=0),"",'Price History'!S72/'Price History'!S71-1),"")</f>
        <v>-0.0135007849293562</v>
      </c>
      <c r="T71" s="154" t="n">
        <f aca="false">IFERROR(IF(OR(NOT(ISNUMBER('Price History'!T72)),NOT(ISNUMBER('Price History'!T71)),'Price History'!T71=0),"",'Price History'!T72/'Price History'!T71-1),"")</f>
        <v>0</v>
      </c>
      <c r="U71" s="154" t="n">
        <f aca="false">IFERROR(IF(OR(NOT(ISNUMBER('Price History'!U72)),NOT(ISNUMBER('Price History'!U71)),'Price History'!U71=0),"",'Price History'!U72/'Price History'!U71-1),"")</f>
        <v>-0.0155219247186651</v>
      </c>
      <c r="V71" s="155" t="n">
        <f aca="false">IFERROR(IF(OR(NOT(ISNUMBER('Price History'!V72)),NOT(ISNUMBER('Price History'!V71)),'Price History'!V71=0),"",'Price History'!V72/'Price History'!V71-1),"")</f>
        <v>-0.0228428029084357</v>
      </c>
      <c r="W71" s="156" t="n">
        <f aca="false">IFERROR('Price History'!B3+(INDEX('Price History'!B:B,MATCH(9.99E+307,'Returns (Calc)'!$A:$A)+1)-'Price History'!B3)*(ROW()-3)/(MATCH(9.99E+307,'Returns (Calc)'!$A:$A)-3),"")</f>
        <v>403.563417721519</v>
      </c>
      <c r="X71" s="156" t="n">
        <f aca="false">IFERROR('Price History'!C3+(INDEX('Price History'!C:C,MATCH(9.99E+307,'Returns (Calc)'!$A:$A)+1)-'Price History'!C3)*(ROW()-3)/(MATCH(9.99E+307,'Returns (Calc)'!$A:$A)-3),"")</f>
        <v>115.544303797468</v>
      </c>
      <c r="Y71" s="156" t="n">
        <f aca="false">IFERROR('Price History'!D3+(INDEX('Price History'!D:D,MATCH(9.99E+307,'Returns (Calc)'!$A:$A)+1)-'Price History'!D3)*(ROW()-3)/(MATCH(9.99E+307,'Returns (Calc)'!$A:$A)-3),"")</f>
        <v>1135.1770886076</v>
      </c>
      <c r="Z71" s="156" t="n">
        <f aca="false">IFERROR('Price History'!E3+(INDEX('Price History'!E:E,MATCH(9.99E+307,'Returns (Calc)'!$A:$A)+1)-'Price History'!E3)*(ROW()-3)/(MATCH(9.99E+307,'Returns (Calc)'!$A:$A)-3),"")</f>
        <v>199.553924050633</v>
      </c>
      <c r="AA71" s="156" t="n">
        <f aca="false">IFERROR('Price History'!F3+(INDEX('Price History'!F:F,MATCH(9.99E+307,'Returns (Calc)'!$A:$A)+1)-'Price History'!F3)*(ROW()-3)/(MATCH(9.99E+307,'Returns (Calc)'!$A:$A)-3),"")</f>
        <v>139.779240506329</v>
      </c>
      <c r="AB71" s="156" t="n">
        <f aca="false">IFERROR('Price History'!G3+(INDEX('Price History'!G:G,MATCH(9.99E+307,'Returns (Calc)'!$A:$A)+1)-'Price History'!G3)*(ROW()-3)/(MATCH(9.99E+307,'Returns (Calc)'!$A:$A)-3),"")</f>
        <v>114.303924050633</v>
      </c>
      <c r="AC71" s="156" t="n">
        <f aca="false">IFERROR('Price History'!H3+(INDEX('Price History'!H:H,MATCH(9.99E+307,'Returns (Calc)'!$A:$A)+1)-'Price History'!H3)*(ROW()-3)/(MATCH(9.99E+307,'Returns (Calc)'!$A:$A)-3),"")</f>
        <v>501.977341772152</v>
      </c>
      <c r="AD71" s="156" t="n">
        <f aca="false">IFERROR('Price History'!I3+(INDEX('Price History'!I:I,MATCH(9.99E+307,'Returns (Calc)'!$A:$A)+1)-'Price History'!I3)*(ROW()-3)/(MATCH(9.99E+307,'Returns (Calc)'!$A:$A)-3),"")</f>
        <v>125.619620253165</v>
      </c>
      <c r="AE71" s="156" t="n">
        <f aca="false">IFERROR('Price History'!J3+(INDEX('Price History'!J:J,MATCH(9.99E+307,'Returns (Calc)'!$A:$A)+1)-'Price History'!J3)*(ROW()-3)/(MATCH(9.99E+307,'Returns (Calc)'!$A:$A)-3),"")</f>
        <v>119.186582278481</v>
      </c>
      <c r="AF71" s="156" t="n">
        <f aca="false">IFERROR('Price History'!K3+(INDEX('Price History'!K:K,MATCH(9.99E+307,'Returns (Calc)'!$A:$A)+1)-'Price History'!K3)*(ROW()-3)/(MATCH(9.99E+307,'Returns (Calc)'!$A:$A)-3),"")</f>
        <v>89.9664556962025</v>
      </c>
      <c r="AG71" s="156" t="n">
        <f aca="false">IFERROR('Price History'!L3+(INDEX('Price History'!L:L,MATCH(9.99E+307,'Returns (Calc)'!$A:$A)+1)-'Price History'!L3)*(ROW()-3)/(MATCH(9.99E+307,'Returns (Calc)'!$A:$A)-3),"")</f>
        <v>252.319873417722</v>
      </c>
      <c r="AH71" s="156" t="n">
        <f aca="false">IFERROR('Price History'!M3+(INDEX('Price History'!M:M,MATCH(9.99E+307,'Returns (Calc)'!$A:$A)+1)-'Price History'!M3)*(ROW()-3)/(MATCH(9.99E+307,'Returns (Calc)'!$A:$A)-3),"")</f>
        <v>130.190126582278</v>
      </c>
      <c r="AI71" s="156" t="n">
        <f aca="false">IFERROR('Price History'!N3+(INDEX('Price History'!N:N,MATCH(9.99E+307,'Returns (Calc)'!$A:$A)+1)-'Price History'!N3)*(ROW()-3)/(MATCH(9.99E+307,'Returns (Calc)'!$A:$A)-3),"")</f>
        <v>415.966075949367</v>
      </c>
      <c r="AJ71" s="156" t="n">
        <f aca="false">IFERROR('Price History'!O3+(INDEX('Price History'!O:O,MATCH(9.99E+307,'Returns (Calc)'!$A:$A)+1)-'Price History'!O3)*(ROW()-3)/(MATCH(9.99E+307,'Returns (Calc)'!$A:$A)-3),"")</f>
        <v>94.556582278481</v>
      </c>
      <c r="AK71" s="156" t="n">
        <f aca="false">IFERROR('Price History'!Q3+(INDEX('Price History'!Q:Q,MATCH(9.99E+307,'Returns (Calc)'!$A:$A)+1)-'Price History'!Q3)*(ROW()-3)/(MATCH(9.99E+307,'Returns (Calc)'!$A:$A)-3),"")</f>
        <v>29.8769620253165</v>
      </c>
      <c r="AL71" s="156" t="n">
        <f aca="false">IFERROR('Price History'!R3+(INDEX('Price History'!R:R,MATCH(9.99E+307,'Returns (Calc)'!$A:$A)+1)-'Price History'!R3)*(ROW()-3)/(MATCH(9.99E+307,'Returns (Calc)'!$A:$A)-3),"")</f>
        <v>45.9108860759494</v>
      </c>
      <c r="AM71" s="156" t="n">
        <f aca="false">IFERROR('Price History'!S3+(INDEX('Price History'!S:S,MATCH(9.99E+307,'Returns (Calc)'!$A:$A)+1)-'Price History'!S3)*(ROW()-3)/(MATCH(9.99E+307,'Returns (Calc)'!$A:$A)-3),"")</f>
        <v>98.7743037974684</v>
      </c>
      <c r="AN71" s="156" t="n">
        <f aca="false">IFERROR('Price History'!T3+(INDEX('Price History'!T:T,MATCH(9.99E+307,'Returns (Calc)'!$A:$A)+1)-'Price History'!T3)*(ROW()-3)/(MATCH(9.99E+307,'Returns (Calc)'!$A:$A)-3),"")</f>
        <v>36.6794936708861</v>
      </c>
      <c r="AO71" s="157" t="n">
        <f aca="false">IFERROR('Price History'!V3+(INDEX('Price History'!V:V,MATCH(9.99E+307,'Returns (Calc)'!$A:$A)+1)-'Price History'!V3)*(ROW()-3)/(MATCH(9.99E+307,'Returns (Calc)'!$A:$A)-3),"")</f>
        <v>289.440379746835</v>
      </c>
      <c r="AP71" s="155" t="n">
        <f aca="false">IFERROR(IF(OR(NOT(ISNUMBER('Price History'!W72)),NOT(ISNUMBER('Price History'!W71)),'Price History'!W71=0),"",'Price History'!W72/'Price History'!W71-1),"")</f>
        <v>-0.0179718630560298</v>
      </c>
      <c r="AQ71" s="155" t="str">
        <f aca="false">IFERROR(IF(OR(NOT(ISNUMBER('Price History'!X72)),NOT(ISNUMBER('Price History'!X71)),'Price History'!X71=0),"",'Price History'!X72/'Price History'!X71-1),"")</f>
        <v/>
      </c>
      <c r="AR71" s="155" t="n">
        <f aca="false">IFERROR(IF(OR(NOT(ISNUMBER('Price History'!Y72)),NOT(ISNUMBER('Price History'!Y71)),'Price History'!Y71=0),"",'Price History'!Y72/'Price History'!Y71-1),"")</f>
        <v>-0.0159140640541079</v>
      </c>
      <c r="AS71" s="155" t="n">
        <f aca="false">IFERROR(IF(OR(NOT(ISNUMBER('Price History'!Z72)),NOT(ISNUMBER('Price History'!Z71)),'Price History'!Z71=0),"",'Price History'!Z72/'Price History'!Z71-1),"")</f>
        <v>-0.00152474783016665</v>
      </c>
      <c r="AT71" s="155" t="n">
        <f aca="false">IFERROR(IF(OR(NOT(ISNUMBER('Price History'!AA72)),NOT(ISNUMBER('Price History'!AA71)),'Price History'!AA71=0),"",'Price History'!AA72/'Price History'!AA71-1),"")</f>
        <v>-0.0492566110543639</v>
      </c>
      <c r="AU71" s="155" t="n">
        <f aca="false">IFERROR(IF(OR(NOT(ISNUMBER('Price History'!AB72)),NOT(ISNUMBER('Price History'!AB71)),'Price History'!AB71=0),"",'Price History'!AB72/'Price History'!AB71-1),"")</f>
        <v>0.0221565037788105</v>
      </c>
    </row>
    <row r="72" customFormat="false" ht="15" hidden="false" customHeight="true" outlineLevel="0" collapsed="false">
      <c r="A72" s="153" t="n">
        <f aca="false">IF('Price History'!A73="","",'Price History'!A73)</f>
        <v>45674</v>
      </c>
      <c r="B72" s="154" t="n">
        <f aca="false">IFERROR(IF(OR(NOT(ISNUMBER('Price History'!B73)),NOT(ISNUMBER('Price History'!B72)),'Price History'!B72=0),"",'Price History'!B73/'Price History'!B72-1),"")</f>
        <v>0.0592973985021679</v>
      </c>
      <c r="C72" s="154" t="n">
        <f aca="false">IFERROR(IF(OR(NOT(ISNUMBER('Price History'!C73)),NOT(ISNUMBER('Price History'!C72)),'Price History'!C72=0),"",'Price History'!C73/'Price History'!C72-1),"")</f>
        <v>0.0490641945076089</v>
      </c>
      <c r="D72" s="154" t="n">
        <f aca="false">IFERROR(IF(OR(NOT(ISNUMBER('Price History'!D73)),NOT(ISNUMBER('Price History'!D72)),'Price History'!D72=0),"",'Price History'!D73/'Price History'!D72-1),"")</f>
        <v>0.0234310657222863</v>
      </c>
      <c r="E72" s="154" t="n">
        <f aca="false">IFERROR(IF(OR(NOT(ISNUMBER('Price History'!E73)),NOT(ISNUMBER('Price History'!E72)),'Price History'!E72=0),"",'Price History'!E73/'Price History'!E72-1),"")</f>
        <v>0.0585308485616067</v>
      </c>
      <c r="F72" s="154" t="n">
        <f aca="false">IFERROR(IF(OR(NOT(ISNUMBER('Price History'!F73)),NOT(ISNUMBER('Price History'!F72)),'Price History'!F72=0),"",'Price History'!F73/'Price History'!F72-1),"")</f>
        <v>0.0233918128654971</v>
      </c>
      <c r="G72" s="154" t="n">
        <f aca="false">IFERROR(IF(OR(NOT(ISNUMBER('Price History'!G73)),NOT(ISNUMBER('Price History'!G72)),'Price History'!G72=0),"",'Price History'!G73/'Price History'!G72-1),"")</f>
        <v>0.108921161825726</v>
      </c>
      <c r="H72" s="154" t="n">
        <f aca="false">IFERROR(IF(OR(NOT(ISNUMBER('Price History'!H73)),NOT(ISNUMBER('Price History'!H72)),'Price History'!H72=0),"",'Price History'!H73/'Price History'!H72-1),"")</f>
        <v>0.0644704931285369</v>
      </c>
      <c r="I72" s="154" t="n">
        <f aca="false">IFERROR(IF(OR(NOT(ISNUMBER('Price History'!I73)),NOT(ISNUMBER('Price History'!I72)),'Price History'!I72=0),"",'Price History'!I73/'Price History'!I72-1),"")</f>
        <v>0.0132044850988491</v>
      </c>
      <c r="J72" s="154" t="n">
        <f aca="false">IFERROR(IF(OR(NOT(ISNUMBER('Price History'!J73)),NOT(ISNUMBER('Price History'!J72)),'Price History'!J72=0),"",'Price History'!J73/'Price History'!J72-1),"")</f>
        <v>0.0567833026396563</v>
      </c>
      <c r="K72" s="154" t="n">
        <f aca="false">IFERROR(IF(OR(NOT(ISNUMBER('Price History'!K73)),NOT(ISNUMBER('Price History'!K72)),'Price History'!K72=0),"",'Price History'!K73/'Price History'!K72-1),"")</f>
        <v>0.0670532262860539</v>
      </c>
      <c r="L72" s="154" t="n">
        <f aca="false">IFERROR(IF(OR(NOT(ISNUMBER('Price History'!L73)),NOT(ISNUMBER('Price History'!L72)),'Price History'!L72=0),"",'Price History'!L73/'Price History'!L72-1),"")</f>
        <v>0.0149999999999999</v>
      </c>
      <c r="M72" s="154" t="n">
        <f aca="false">IFERROR(IF(OR(NOT(ISNUMBER('Price History'!M73)),NOT(ISNUMBER('Price History'!M72)),'Price History'!M72=0),"",'Price History'!M73/'Price History'!M72-1),"")</f>
        <v>0.0538628944504898</v>
      </c>
      <c r="N72" s="154" t="n">
        <f aca="false">IFERROR(IF(OR(NOT(ISNUMBER('Price History'!N73)),NOT(ISNUMBER('Price History'!N72)),'Price History'!N72=0),"",'Price History'!N73/'Price History'!N72-1),"")</f>
        <v>0.0303740599667937</v>
      </c>
      <c r="O72" s="154" t="n">
        <f aca="false">IFERROR(IF(OR(NOT(ISNUMBER('Price History'!O73)),NOT(ISNUMBER('Price History'!O72)),'Price History'!O72=0),"",'Price History'!O73/'Price History'!O72-1),"")</f>
        <v>0.0488994904044235</v>
      </c>
      <c r="P72" s="154" t="n">
        <f aca="false">IFERROR(IF(OR(NOT(ISNUMBER('Price History'!P73)),NOT(ISNUMBER('Price History'!P72)),'Price History'!P72=0),"",'Price History'!P73/'Price History'!P72-1),"")</f>
        <v>0.0483630952380953</v>
      </c>
      <c r="Q72" s="154" t="n">
        <f aca="false">IFERROR(IF(OR(NOT(ISNUMBER('Price History'!Q73)),NOT(ISNUMBER('Price History'!Q72)),'Price History'!Q72=0),"",'Price History'!Q73/'Price History'!Q72-1),"")</f>
        <v>0.0172215843857635</v>
      </c>
      <c r="R72" s="154" t="n">
        <f aca="false">IFERROR(IF(OR(NOT(ISNUMBER('Price History'!R73)),NOT(ISNUMBER('Price History'!R72)),'Price History'!R72=0),"",'Price History'!R73/'Price History'!R72-1),"")</f>
        <v>0.0231340026189437</v>
      </c>
      <c r="S72" s="154" t="n">
        <f aca="false">IFERROR(IF(OR(NOT(ISNUMBER('Price History'!S73)),NOT(ISNUMBER('Price History'!S72)),'Price History'!S72=0),"",'Price History'!S73/'Price History'!S72-1),"")</f>
        <v>0.0321451304901337</v>
      </c>
      <c r="T72" s="154" t="n">
        <f aca="false">IFERROR(IF(OR(NOT(ISNUMBER('Price History'!T73)),NOT(ISNUMBER('Price History'!T72)),'Price History'!T72=0),"",'Price History'!T73/'Price History'!T72-1),"")</f>
        <v>0.0386215092097446</v>
      </c>
      <c r="U72" s="154" t="n">
        <f aca="false">IFERROR(IF(OR(NOT(ISNUMBER('Price History'!U73)),NOT(ISNUMBER('Price History'!U72)),'Price History'!U72=0),"",'Price History'!U73/'Price History'!U72-1),"")</f>
        <v>0.0362633031139139</v>
      </c>
      <c r="V72" s="155" t="n">
        <f aca="false">IFERROR(IF(OR(NOT(ISNUMBER('Price History'!V73)),NOT(ISNUMBER('Price History'!V72)),'Price History'!V72=0),"",'Price History'!V73/'Price History'!V72-1),"")</f>
        <v>0.0386869485052022</v>
      </c>
      <c r="W72" s="156" t="n">
        <f aca="false">IFERROR('Price History'!B3+(INDEX('Price History'!B:B,MATCH(9.99E+307,'Returns (Calc)'!$A:$A)+1)-'Price History'!B3)*(ROW()-3)/(MATCH(9.99E+307,'Returns (Calc)'!$A:$A)-3),"")</f>
        <v>401.720379746835</v>
      </c>
      <c r="X72" s="156" t="n">
        <f aca="false">IFERROR('Price History'!C3+(INDEX('Price History'!C:C,MATCH(9.99E+307,'Returns (Calc)'!$A:$A)+1)-'Price History'!C3)*(ROW()-3)/(MATCH(9.99E+307,'Returns (Calc)'!$A:$A)-3),"")</f>
        <v>116.564367088608</v>
      </c>
      <c r="Y72" s="156" t="n">
        <f aca="false">IFERROR('Price History'!D3+(INDEX('Price History'!D:D,MATCH(9.99E+307,'Returns (Calc)'!$A:$A)+1)-'Price History'!D3)*(ROW()-3)/(MATCH(9.99E+307,'Returns (Calc)'!$A:$A)-3),"")</f>
        <v>1143.31189873418</v>
      </c>
      <c r="Z72" s="156" t="n">
        <f aca="false">IFERROR('Price History'!E3+(INDEX('Price History'!E:E,MATCH(9.99E+307,'Returns (Calc)'!$A:$A)+1)-'Price History'!E3)*(ROW()-3)/(MATCH(9.99E+307,'Returns (Calc)'!$A:$A)-3),"")</f>
        <v>201.282658227848</v>
      </c>
      <c r="AA72" s="156" t="n">
        <f aca="false">IFERROR('Price History'!F3+(INDEX('Price History'!F:F,MATCH(9.99E+307,'Returns (Calc)'!$A:$A)+1)-'Price History'!F3)*(ROW()-3)/(MATCH(9.99E+307,'Returns (Calc)'!$A:$A)-3),"")</f>
        <v>141.226582278481</v>
      </c>
      <c r="AB72" s="156" t="n">
        <f aca="false">IFERROR('Price History'!G3+(INDEX('Price History'!G:G,MATCH(9.99E+307,'Returns (Calc)'!$A:$A)+1)-'Price History'!G3)*(ROW()-3)/(MATCH(9.99E+307,'Returns (Calc)'!$A:$A)-3),"")</f>
        <v>115.332658227848</v>
      </c>
      <c r="AC72" s="156" t="n">
        <f aca="false">IFERROR('Price History'!H3+(INDEX('Price History'!H:H,MATCH(9.99E+307,'Returns (Calc)'!$A:$A)+1)-'Price History'!H3)*(ROW()-3)/(MATCH(9.99E+307,'Returns (Calc)'!$A:$A)-3),"")</f>
        <v>508.343037974684</v>
      </c>
      <c r="AD72" s="156" t="n">
        <f aca="false">IFERROR('Price History'!I3+(INDEX('Price History'!I:I,MATCH(9.99E+307,'Returns (Calc)'!$A:$A)+1)-'Price History'!I3)*(ROW()-3)/(MATCH(9.99E+307,'Returns (Calc)'!$A:$A)-3),"")</f>
        <v>126.823291139241</v>
      </c>
      <c r="AE72" s="156" t="n">
        <f aca="false">IFERROR('Price History'!J3+(INDEX('Price History'!J:J,MATCH(9.99E+307,'Returns (Calc)'!$A:$A)+1)-'Price History'!J3)*(ROW()-3)/(MATCH(9.99E+307,'Returns (Calc)'!$A:$A)-3),"")</f>
        <v>119.294620253165</v>
      </c>
      <c r="AF72" s="156" t="n">
        <f aca="false">IFERROR('Price History'!K3+(INDEX('Price History'!K:K,MATCH(9.99E+307,'Returns (Calc)'!$A:$A)+1)-'Price History'!K3)*(ROW()-3)/(MATCH(9.99E+307,'Returns (Calc)'!$A:$A)-3),"")</f>
        <v>91.0640506329114</v>
      </c>
      <c r="AG72" s="156" t="n">
        <f aca="false">IFERROR('Price History'!L3+(INDEX('Price History'!L:L,MATCH(9.99E+307,'Returns (Calc)'!$A:$A)+1)-'Price History'!L3)*(ROW()-3)/(MATCH(9.99E+307,'Returns (Calc)'!$A:$A)-3),"")</f>
        <v>254.769430379747</v>
      </c>
      <c r="AH72" s="156" t="n">
        <f aca="false">IFERROR('Price History'!M3+(INDEX('Price History'!M:M,MATCH(9.99E+307,'Returns (Calc)'!$A:$A)+1)-'Price History'!M3)*(ROW()-3)/(MATCH(9.99E+307,'Returns (Calc)'!$A:$A)-3),"")</f>
        <v>131.545569620253</v>
      </c>
      <c r="AI72" s="156" t="n">
        <f aca="false">IFERROR('Price History'!N3+(INDEX('Price History'!N:N,MATCH(9.99E+307,'Returns (Calc)'!$A:$A)+1)-'Price History'!N3)*(ROW()-3)/(MATCH(9.99E+307,'Returns (Calc)'!$A:$A)-3),"")</f>
        <v>416.952341772152</v>
      </c>
      <c r="AJ72" s="156" t="n">
        <f aca="false">IFERROR('Price History'!O3+(INDEX('Price History'!O:O,MATCH(9.99E+307,'Returns (Calc)'!$A:$A)+1)-'Price History'!O3)*(ROW()-3)/(MATCH(9.99E+307,'Returns (Calc)'!$A:$A)-3),"")</f>
        <v>94.8396202531646</v>
      </c>
      <c r="AK72" s="156" t="n">
        <f aca="false">IFERROR('Price History'!Q3+(INDEX('Price History'!Q:Q,MATCH(9.99E+307,'Returns (Calc)'!$A:$A)+1)-'Price History'!Q3)*(ROW()-3)/(MATCH(9.99E+307,'Returns (Calc)'!$A:$A)-3),"")</f>
        <v>30.3163291139241</v>
      </c>
      <c r="AL72" s="156" t="n">
        <f aca="false">IFERROR('Price History'!R3+(INDEX('Price History'!R:R,MATCH(9.99E+307,'Returns (Calc)'!$A:$A)+1)-'Price History'!R3)*(ROW()-3)/(MATCH(9.99E+307,'Returns (Calc)'!$A:$A)-3),"")</f>
        <v>46.0789873417722</v>
      </c>
      <c r="AM72" s="156" t="n">
        <f aca="false">IFERROR('Price History'!S3+(INDEX('Price History'!S:S,MATCH(9.99E+307,'Returns (Calc)'!$A:$A)+1)-'Price History'!S3)*(ROW()-3)/(MATCH(9.99E+307,'Returns (Calc)'!$A:$A)-3),"")</f>
        <v>99.3793670886076</v>
      </c>
      <c r="AN72" s="156" t="n">
        <f aca="false">IFERROR('Price History'!T3+(INDEX('Price History'!T:T,MATCH(9.99E+307,'Returns (Calc)'!$A:$A)+1)-'Price History'!T3)*(ROW()-3)/(MATCH(9.99E+307,'Returns (Calc)'!$A:$A)-3),"")</f>
        <v>36.8477215189873</v>
      </c>
      <c r="AO72" s="157" t="n">
        <f aca="false">IFERROR('Price History'!V3+(INDEX('Price History'!V:V,MATCH(9.99E+307,'Returns (Calc)'!$A:$A)+1)-'Price History'!V3)*(ROW()-3)/(MATCH(9.99E+307,'Returns (Calc)'!$A:$A)-3),"")</f>
        <v>290.23170886076</v>
      </c>
      <c r="AP72" s="155" t="n">
        <f aca="false">IFERROR(IF(OR(NOT(ISNUMBER('Price History'!W73)),NOT(ISNUMBER('Price History'!W72)),'Price History'!W72=0),"",'Price History'!W73/'Price History'!W72-1),"")</f>
        <v>0.0442199403776085</v>
      </c>
      <c r="AQ72" s="155" t="str">
        <f aca="false">IFERROR(IF(OR(NOT(ISNUMBER('Price History'!X73)),NOT(ISNUMBER('Price History'!X72)),'Price History'!X72=0),"",'Price History'!X73/'Price History'!X72-1),"")</f>
        <v/>
      </c>
      <c r="AR72" s="155" t="n">
        <f aca="false">IFERROR(IF(OR(NOT(ISNUMBER('Price History'!Y73)),NOT(ISNUMBER('Price History'!Y72)),'Price History'!Y72=0),"",'Price History'!Y73/'Price History'!Y72-1),"")</f>
        <v>0.0252678390944006</v>
      </c>
      <c r="AS72" s="155" t="n">
        <f aca="false">IFERROR(IF(OR(NOT(ISNUMBER('Price History'!Z73)),NOT(ISNUMBER('Price History'!Z72)),'Price History'!Z72=0),"",'Price History'!Z73/'Price History'!Z72-1),"")</f>
        <v>0.0649594737460355</v>
      </c>
      <c r="AT72" s="155" t="n">
        <f aca="false">IFERROR(IF(OR(NOT(ISNUMBER('Price History'!AA73)),NOT(ISNUMBER('Price History'!AA72)),'Price History'!AA72=0),"",'Price History'!AA73/'Price History'!AA72-1),"")</f>
        <v>0.0243523934582788</v>
      </c>
      <c r="AU72" s="155" t="n">
        <f aca="false">IFERROR(IF(OR(NOT(ISNUMBER('Price History'!AB73)),NOT(ISNUMBER('Price History'!AB72)),'Price History'!AB72=0),"",'Price History'!AB73/'Price History'!AB72-1),"")</f>
        <v>-0.00532721010332948</v>
      </c>
    </row>
    <row r="73" customFormat="false" ht="15" hidden="false" customHeight="true" outlineLevel="0" collapsed="false">
      <c r="A73" s="153" t="n">
        <f aca="false">IF('Price History'!A74="","",'Price History'!A74)</f>
        <v>45681</v>
      </c>
      <c r="B73" s="154" t="n">
        <f aca="false">IFERROR(IF(OR(NOT(ISNUMBER('Price History'!B74)),NOT(ISNUMBER('Price History'!B73)),'Price History'!B73=0),"",'Price History'!B74/'Price History'!B73-1),"")</f>
        <v>0.0125351752366334</v>
      </c>
      <c r="C73" s="154" t="n">
        <f aca="false">IFERROR(IF(OR(NOT(ISNUMBER('Price History'!C74)),NOT(ISNUMBER('Price History'!C73)),'Price History'!C73=0),"",'Price History'!C74/'Price History'!C73-1),"")</f>
        <v>0.0768653605669027</v>
      </c>
      <c r="D73" s="154" t="n">
        <f aca="false">IFERROR(IF(OR(NOT(ISNUMBER('Price History'!D74)),NOT(ISNUMBER('Price History'!D73)),'Price History'!D73=0),"",'Price History'!D74/'Price History'!D73-1),"")</f>
        <v>-0.0318405558014459</v>
      </c>
      <c r="E73" s="154" t="n">
        <f aca="false">IFERROR(IF(OR(NOT(ISNUMBER('Price History'!E74)),NOT(ISNUMBER('Price History'!E73)),'Price History'!E73=0),"",'Price History'!E74/'Price History'!E73-1),"")</f>
        <v>0.0305956755832835</v>
      </c>
      <c r="F73" s="154" t="n">
        <f aca="false">IFERROR(IF(OR(NOT(ISNUMBER('Price History'!F74)),NOT(ISNUMBER('Price History'!F73)),'Price History'!F73=0),"",'Price History'!F74/'Price History'!F73-1),"")</f>
        <v>0.0501960784313726</v>
      </c>
      <c r="G73" s="154" t="n">
        <f aca="false">IFERROR(IF(OR(NOT(ISNUMBER('Price History'!G74)),NOT(ISNUMBER('Price History'!G73)),'Price History'!G73=0),"",'Price History'!G74/'Price History'!G73-1),"")</f>
        <v>-0.0101563544033142</v>
      </c>
      <c r="H73" s="154" t="n">
        <f aca="false">IFERROR(IF(OR(NOT(ISNUMBER('Price History'!H74)),NOT(ISNUMBER('Price History'!H73)),'Price History'!H73=0),"",'Price History'!H74/'Price History'!H73-1),"")</f>
        <v>-0.0242073286500855</v>
      </c>
      <c r="I73" s="154" t="n">
        <f aca="false">IFERROR(IF(OR(NOT(ISNUMBER('Price History'!I74)),NOT(ISNUMBER('Price History'!I73)),'Price History'!I73=0),"",'Price History'!I74/'Price History'!I73-1),"")</f>
        <v>0.0356752821259556</v>
      </c>
      <c r="J73" s="154" t="n">
        <f aca="false">IFERROR(IF(OR(NOT(ISNUMBER('Price History'!J74)),NOT(ISNUMBER('Price History'!J73)),'Price History'!J73=0),"",'Price History'!J74/'Price History'!J73-1),"")</f>
        <v>0.0863587956239713</v>
      </c>
      <c r="K73" s="154" t="n">
        <f aca="false">IFERROR(IF(OR(NOT(ISNUMBER('Price History'!K74)),NOT(ISNUMBER('Price History'!K73)),'Price History'!K73=0),"",'Price History'!K74/'Price History'!K73-1),"")</f>
        <v>0.100459802145743</v>
      </c>
      <c r="L73" s="154" t="n">
        <f aca="false">IFERROR(IF(OR(NOT(ISNUMBER('Price History'!L74)),NOT(ISNUMBER('Price History'!L73)),'Price History'!L73=0),"",'Price History'!L74/'Price History'!L73-1),"")</f>
        <v>0.0490679030232784</v>
      </c>
      <c r="M73" s="154" t="n">
        <f aca="false">IFERROR(IF(OR(NOT(ISNUMBER('Price History'!M74)),NOT(ISNUMBER('Price History'!M73)),'Price History'!M73=0),"",'Price History'!M74/'Price History'!M73-1),"")</f>
        <v>0.0768493251714728</v>
      </c>
      <c r="N73" s="154" t="n">
        <f aca="false">IFERROR(IF(OR(NOT(ISNUMBER('Price History'!N74)),NOT(ISNUMBER('Price History'!N73)),'Price History'!N73=0),"",'Price History'!N74/'Price History'!N73-1),"")</f>
        <v>0.0417535545023697</v>
      </c>
      <c r="O73" s="154" t="n">
        <f aca="false">IFERROR(IF(OR(NOT(ISNUMBER('Price History'!O74)),NOT(ISNUMBER('Price History'!O73)),'Price History'!O73=0),"",'Price History'!O74/'Price History'!O73-1),"")</f>
        <v>0.0050651230101304</v>
      </c>
      <c r="P73" s="154" t="n">
        <f aca="false">IFERROR(IF(OR(NOT(ISNUMBER('Price History'!P74)),NOT(ISNUMBER('Price History'!P73)),'Price History'!P73=0),"",'Price History'!P74/'Price History'!P73-1),"")</f>
        <v>0.00220802775806317</v>
      </c>
      <c r="Q73" s="154" t="n">
        <f aca="false">IFERROR(IF(OR(NOT(ISNUMBER('Price History'!Q74)),NOT(ISNUMBER('Price History'!Q73)),'Price History'!Q73=0),"",'Price History'!Q74/'Price History'!Q73-1),"")</f>
        <v>0.0103192518542405</v>
      </c>
      <c r="R73" s="154" t="n">
        <f aca="false">IFERROR(IF(OR(NOT(ISNUMBER('Price History'!R74)),NOT(ISNUMBER('Price History'!R73)),'Price History'!R73=0),"",'Price History'!R74/'Price History'!R73-1),"")</f>
        <v>0.0138651877133105</v>
      </c>
      <c r="S73" s="154" t="n">
        <f aca="false">IFERROR(IF(OR(NOT(ISNUMBER('Price History'!S74)),NOT(ISNUMBER('Price History'!S73)),'Price History'!S73=0),"",'Price History'!S74/'Price History'!S73-1),"")</f>
        <v>0.0271353684859699</v>
      </c>
      <c r="T73" s="154" t="n">
        <f aca="false">IFERROR(IF(OR(NOT(ISNUMBER('Price History'!T74)),NOT(ISNUMBER('Price History'!T73)),'Price History'!T73=0),"",'Price History'!T74/'Price History'!T73-1),"")</f>
        <v>0.00257437070938193</v>
      </c>
      <c r="U73" s="154" t="n">
        <f aca="false">IFERROR(IF(OR(NOT(ISNUMBER('Price History'!U74)),NOT(ISNUMBER('Price History'!U73)),'Price History'!U73=0),"",'Price History'!U74/'Price History'!U73-1),"")</f>
        <v>0.00266260935717</v>
      </c>
      <c r="V73" s="155" t="n">
        <f aca="false">IFERROR(IF(OR(NOT(ISNUMBER('Price History'!V74)),NOT(ISNUMBER('Price History'!V73)),'Price History'!V73=0),"",'Price History'!V74/'Price History'!V73-1),"")</f>
        <v>0.0330934795701652</v>
      </c>
      <c r="W73" s="156" t="n">
        <f aca="false">IFERROR('Price History'!B3+(INDEX('Price History'!B:B,MATCH(9.99E+307,'Returns (Calc)'!$A:$A)+1)-'Price History'!B3)*(ROW()-3)/(MATCH(9.99E+307,'Returns (Calc)'!$A:$A)-3),"")</f>
        <v>399.877341772152</v>
      </c>
      <c r="X73" s="156" t="n">
        <f aca="false">IFERROR('Price History'!C3+(INDEX('Price History'!C:C,MATCH(9.99E+307,'Returns (Calc)'!$A:$A)+1)-'Price History'!C3)*(ROW()-3)/(MATCH(9.99E+307,'Returns (Calc)'!$A:$A)-3),"")</f>
        <v>117.584430379747</v>
      </c>
      <c r="Y73" s="156" t="n">
        <f aca="false">IFERROR('Price History'!D3+(INDEX('Price History'!D:D,MATCH(9.99E+307,'Returns (Calc)'!$A:$A)+1)-'Price History'!D3)*(ROW()-3)/(MATCH(9.99E+307,'Returns (Calc)'!$A:$A)-3),"")</f>
        <v>1151.44670886076</v>
      </c>
      <c r="Z73" s="156" t="n">
        <f aca="false">IFERROR('Price History'!E3+(INDEX('Price History'!E:E,MATCH(9.99E+307,'Returns (Calc)'!$A:$A)+1)-'Price History'!E3)*(ROW()-3)/(MATCH(9.99E+307,'Returns (Calc)'!$A:$A)-3),"")</f>
        <v>203.011392405063</v>
      </c>
      <c r="AA73" s="156" t="n">
        <f aca="false">IFERROR('Price History'!F3+(INDEX('Price History'!F:F,MATCH(9.99E+307,'Returns (Calc)'!$A:$A)+1)-'Price History'!F3)*(ROW()-3)/(MATCH(9.99E+307,'Returns (Calc)'!$A:$A)-3),"")</f>
        <v>142.673924050633</v>
      </c>
      <c r="AB73" s="156" t="n">
        <f aca="false">IFERROR('Price History'!G3+(INDEX('Price History'!G:G,MATCH(9.99E+307,'Returns (Calc)'!$A:$A)+1)-'Price History'!G3)*(ROW()-3)/(MATCH(9.99E+307,'Returns (Calc)'!$A:$A)-3),"")</f>
        <v>116.361392405063</v>
      </c>
      <c r="AC73" s="156" t="n">
        <f aca="false">IFERROR('Price History'!H3+(INDEX('Price History'!H:H,MATCH(9.99E+307,'Returns (Calc)'!$A:$A)+1)-'Price History'!H3)*(ROW()-3)/(MATCH(9.99E+307,'Returns (Calc)'!$A:$A)-3),"")</f>
        <v>514.708734177215</v>
      </c>
      <c r="AD73" s="156" t="n">
        <f aca="false">IFERROR('Price History'!I3+(INDEX('Price History'!I:I,MATCH(9.99E+307,'Returns (Calc)'!$A:$A)+1)-'Price History'!I3)*(ROW()-3)/(MATCH(9.99E+307,'Returns (Calc)'!$A:$A)-3),"")</f>
        <v>128.026962025316</v>
      </c>
      <c r="AE73" s="156" t="n">
        <f aca="false">IFERROR('Price History'!J3+(INDEX('Price History'!J:J,MATCH(9.99E+307,'Returns (Calc)'!$A:$A)+1)-'Price History'!J3)*(ROW()-3)/(MATCH(9.99E+307,'Returns (Calc)'!$A:$A)-3),"")</f>
        <v>119.402658227848</v>
      </c>
      <c r="AF73" s="156" t="n">
        <f aca="false">IFERROR('Price History'!K3+(INDEX('Price History'!K:K,MATCH(9.99E+307,'Returns (Calc)'!$A:$A)+1)-'Price History'!K3)*(ROW()-3)/(MATCH(9.99E+307,'Returns (Calc)'!$A:$A)-3),"")</f>
        <v>92.1616455696203</v>
      </c>
      <c r="AG73" s="156" t="n">
        <f aca="false">IFERROR('Price History'!L3+(INDEX('Price History'!L:L,MATCH(9.99E+307,'Returns (Calc)'!$A:$A)+1)-'Price History'!L3)*(ROW()-3)/(MATCH(9.99E+307,'Returns (Calc)'!$A:$A)-3),"")</f>
        <v>257.218987341772</v>
      </c>
      <c r="AH73" s="156" t="n">
        <f aca="false">IFERROR('Price History'!M3+(INDEX('Price History'!M:M,MATCH(9.99E+307,'Returns (Calc)'!$A:$A)+1)-'Price History'!M3)*(ROW()-3)/(MATCH(9.99E+307,'Returns (Calc)'!$A:$A)-3),"")</f>
        <v>132.901012658228</v>
      </c>
      <c r="AI73" s="156" t="n">
        <f aca="false">IFERROR('Price History'!N3+(INDEX('Price History'!N:N,MATCH(9.99E+307,'Returns (Calc)'!$A:$A)+1)-'Price History'!N3)*(ROW()-3)/(MATCH(9.99E+307,'Returns (Calc)'!$A:$A)-3),"")</f>
        <v>417.938607594937</v>
      </c>
      <c r="AJ73" s="156" t="n">
        <f aca="false">IFERROR('Price History'!O3+(INDEX('Price History'!O:O,MATCH(9.99E+307,'Returns (Calc)'!$A:$A)+1)-'Price History'!O3)*(ROW()-3)/(MATCH(9.99E+307,'Returns (Calc)'!$A:$A)-3),"")</f>
        <v>95.1226582278481</v>
      </c>
      <c r="AK73" s="156" t="n">
        <f aca="false">IFERROR('Price History'!Q3+(INDEX('Price History'!Q:Q,MATCH(9.99E+307,'Returns (Calc)'!$A:$A)+1)-'Price History'!Q3)*(ROW()-3)/(MATCH(9.99E+307,'Returns (Calc)'!$A:$A)-3),"")</f>
        <v>30.7556962025317</v>
      </c>
      <c r="AL73" s="156" t="n">
        <f aca="false">IFERROR('Price History'!R3+(INDEX('Price History'!R:R,MATCH(9.99E+307,'Returns (Calc)'!$A:$A)+1)-'Price History'!R3)*(ROW()-3)/(MATCH(9.99E+307,'Returns (Calc)'!$A:$A)-3),"")</f>
        <v>46.2470886075949</v>
      </c>
      <c r="AM73" s="156" t="n">
        <f aca="false">IFERROR('Price History'!S3+(INDEX('Price History'!S:S,MATCH(9.99E+307,'Returns (Calc)'!$A:$A)+1)-'Price History'!S3)*(ROW()-3)/(MATCH(9.99E+307,'Returns (Calc)'!$A:$A)-3),"")</f>
        <v>99.9844303797468</v>
      </c>
      <c r="AN73" s="156" t="n">
        <f aca="false">IFERROR('Price History'!T3+(INDEX('Price History'!T:T,MATCH(9.99E+307,'Returns (Calc)'!$A:$A)+1)-'Price History'!T3)*(ROW()-3)/(MATCH(9.99E+307,'Returns (Calc)'!$A:$A)-3),"")</f>
        <v>37.0159493670886</v>
      </c>
      <c r="AO73" s="157" t="n">
        <f aca="false">IFERROR('Price History'!V3+(INDEX('Price History'!V:V,MATCH(9.99E+307,'Returns (Calc)'!$A:$A)+1)-'Price History'!V3)*(ROW()-3)/(MATCH(9.99E+307,'Returns (Calc)'!$A:$A)-3),"")</f>
        <v>291.023037974684</v>
      </c>
      <c r="AP73" s="155" t="n">
        <f aca="false">IFERROR(IF(OR(NOT(ISNUMBER('Price History'!W74)),NOT(ISNUMBER('Price History'!W73)),'Price History'!W73=0),"",'Price History'!W74/'Price History'!W73-1),"")</f>
        <v>0.0103885804916732</v>
      </c>
      <c r="AQ73" s="155" t="str">
        <f aca="false">IFERROR(IF(OR(NOT(ISNUMBER('Price History'!X74)),NOT(ISNUMBER('Price History'!X73)),'Price History'!X73=0),"",'Price History'!X74/'Price History'!X73-1),"")</f>
        <v/>
      </c>
      <c r="AR73" s="155" t="n">
        <f aca="false">IFERROR(IF(OR(NOT(ISNUMBER('Price History'!Y74)),NOT(ISNUMBER('Price History'!Y73)),'Price History'!Y73=0),"",'Price History'!Y74/'Price History'!Y73-1),"")</f>
        <v>0.0102523659305995</v>
      </c>
      <c r="AS73" s="155" t="n">
        <f aca="false">IFERROR(IF(OR(NOT(ISNUMBER('Price History'!Z74)),NOT(ISNUMBER('Price History'!Z73)),'Price History'!Z73=0),"",'Price History'!Z74/'Price History'!Z73-1),"")</f>
        <v>0.076053386278403</v>
      </c>
      <c r="AT73" s="155" t="n">
        <f aca="false">IFERROR(IF(OR(NOT(ISNUMBER('Price History'!AA74)),NOT(ISNUMBER('Price History'!AA73)),'Price History'!AA73=0),"",'Price History'!AA74/'Price History'!AA73-1),"")</f>
        <v>0.13926115837315</v>
      </c>
      <c r="AU73" s="155" t="n">
        <f aca="false">IFERROR(IF(OR(NOT(ISNUMBER('Price History'!AB74)),NOT(ISNUMBER('Price History'!AB73)),'Price History'!AB73=0),"",'Price History'!AB74/'Price History'!AB73-1),"")</f>
        <v>0.0314418948243225</v>
      </c>
    </row>
    <row r="74" customFormat="false" ht="15" hidden="false" customHeight="true" outlineLevel="0" collapsed="false">
      <c r="A74" s="153" t="n">
        <f aca="false">IF('Price History'!A75="","",'Price History'!A75)</f>
        <v>45688</v>
      </c>
      <c r="B74" s="154" t="n">
        <f aca="false">IFERROR(IF(OR(NOT(ISNUMBER('Price History'!B75)),NOT(ISNUMBER('Price History'!B74)),'Price History'!B74=0),"",'Price History'!B75/'Price History'!B74-1),"")</f>
        <v>0.00475446736184471</v>
      </c>
      <c r="C74" s="154" t="n">
        <f aca="false">IFERROR(IF(OR(NOT(ISNUMBER('Price History'!C75)),NOT(ISNUMBER('Price History'!C74)),'Price History'!C74=0),"",'Price History'!C75/'Price History'!C74-1),"")</f>
        <v>-0.107919795618177</v>
      </c>
      <c r="D74" s="154" t="n">
        <f aca="false">IFERROR(IF(OR(NOT(ISNUMBER('Price History'!D75)),NOT(ISNUMBER('Price History'!D74)),'Price History'!D74=0),"",'Price History'!D75/'Price History'!D74-1),"")</f>
        <v>0.00964189235990842</v>
      </c>
      <c r="E74" s="154" t="n">
        <f aca="false">IFERROR(IF(OR(NOT(ISNUMBER('Price History'!E75)),NOT(ISNUMBER('Price History'!E74)),'Price History'!E74=0),"",'Price History'!E75/'Price History'!E74-1),"")</f>
        <v>-0.0957376233518534</v>
      </c>
      <c r="F74" s="154" t="n">
        <f aca="false">IFERROR(IF(OR(NOT(ISNUMBER('Price History'!F75)),NOT(ISNUMBER('Price History'!F74)),'Price History'!F74=0),"",'Price History'!F75/'Price History'!F74-1),"")</f>
        <v>0.0617731782780326</v>
      </c>
      <c r="G74" s="154" t="n">
        <f aca="false">IFERROR(IF(OR(NOT(ISNUMBER('Price History'!G75)),NOT(ISNUMBER('Price History'!G74)),'Price History'!G74=0),"",'Price History'!G75/'Price History'!G74-1),"")</f>
        <v>-0.0153908464965571</v>
      </c>
      <c r="H74" s="154" t="n">
        <f aca="false">IFERROR(IF(OR(NOT(ISNUMBER('Price History'!H75)),NOT(ISNUMBER('Price History'!H74)),'Price History'!H74=0),"",'Price History'!H75/'Price History'!H74-1),"")</f>
        <v>-0.115770016538574</v>
      </c>
      <c r="I74" s="154" t="n">
        <f aca="false">IFERROR(IF(OR(NOT(ISNUMBER('Price History'!I75)),NOT(ISNUMBER('Price History'!I74)),'Price History'!I74=0),"",'Price History'!I75/'Price History'!I74-1),"")</f>
        <v>-0.158101933216169</v>
      </c>
      <c r="J74" s="154" t="n">
        <f aca="false">IFERROR(IF(OR(NOT(ISNUMBER('Price History'!J75)),NOT(ISNUMBER('Price History'!J74)),'Price History'!J74=0),"",'Price History'!J75/'Price History'!J74-1),"")</f>
        <v>0.00267355850637219</v>
      </c>
      <c r="K74" s="154" t="n">
        <f aca="false">IFERROR(IF(OR(NOT(ISNUMBER('Price History'!K75)),NOT(ISNUMBER('Price History'!K74)),'Price History'!K74=0),"",'Price History'!K75/'Price History'!K74-1),"")</f>
        <v>0.0444416307926057</v>
      </c>
      <c r="L74" s="154" t="n">
        <f aca="false">IFERROR(IF(OR(NOT(ISNUMBER('Price History'!L75)),NOT(ISNUMBER('Price History'!L74)),'Price History'!L74=0),"",'Price History'!L75/'Price History'!L74-1),"")</f>
        <v>-0.0565785839241322</v>
      </c>
      <c r="M74" s="154" t="n">
        <f aca="false">IFERROR(IF(OR(NOT(ISNUMBER('Price History'!M75)),NOT(ISNUMBER('Price History'!M74)),'Price History'!M74=0),"",'Price History'!M75/'Price History'!M74-1),"")</f>
        <v>-0.200260256146839</v>
      </c>
      <c r="N74" s="154" t="n">
        <f aca="false">IFERROR(IF(OR(NOT(ISNUMBER('Price History'!N75)),NOT(ISNUMBER('Price History'!N74)),'Price History'!N74=0),"",'Price History'!N75/'Price History'!N74-1),"")</f>
        <v>0.0501797006505618</v>
      </c>
      <c r="O74" s="154" t="n">
        <f aca="false">IFERROR(IF(OR(NOT(ISNUMBER('Price History'!O75)),NOT(ISNUMBER('Price History'!O74)),'Price History'!O74=0),"",'Price History'!O75/'Price History'!O74-1),"")</f>
        <v>-0.0151187904967602</v>
      </c>
      <c r="P74" s="154" t="n">
        <f aca="false">IFERROR(IF(OR(NOT(ISNUMBER('Price History'!P75)),NOT(ISNUMBER('Price History'!P74)),'Price History'!P74=0),"",'Price History'!P75/'Price History'!P74-1),"")</f>
        <v>-0.0025965850971752</v>
      </c>
      <c r="Q74" s="154" t="n">
        <f aca="false">IFERROR(IF(OR(NOT(ISNUMBER('Price History'!Q75)),NOT(ISNUMBER('Price History'!Q74)),'Price History'!Q74=0),"",'Price History'!Q75/'Price History'!Q74-1),"")</f>
        <v>-0.00861793807851896</v>
      </c>
      <c r="R74" s="154" t="n">
        <f aca="false">IFERROR(IF(OR(NOT(ISNUMBER('Price History'!R75)),NOT(ISNUMBER('Price History'!R74)),'Price History'!R74=0),"",'Price History'!R75/'Price History'!R74-1),"")</f>
        <v>-0.0103092783505155</v>
      </c>
      <c r="S74" s="154" t="n">
        <f aca="false">IFERROR(IF(OR(NOT(ISNUMBER('Price History'!S75)),NOT(ISNUMBER('Price History'!S74)),'Price History'!S74=0),"",'Price History'!S75/'Price History'!S74-1),"")</f>
        <v>-0.0127088962273593</v>
      </c>
      <c r="T74" s="154" t="n">
        <f aca="false">IFERROR(IF(OR(NOT(ISNUMBER('Price History'!T75)),NOT(ISNUMBER('Price History'!T74)),'Price History'!T74=0),"",'Price History'!T75/'Price History'!T74-1),"")</f>
        <v>-0.0102710413694722</v>
      </c>
      <c r="U74" s="154" t="n">
        <f aca="false">IFERROR(IF(OR(NOT(ISNUMBER('Price History'!U75)),NOT(ISNUMBER('Price History'!U74)),'Price History'!U74=0),"",'Price History'!U75/'Price History'!U74-1),"")</f>
        <v>-0.00834597875569043</v>
      </c>
      <c r="V74" s="155" t="n">
        <f aca="false">IFERROR(IF(OR(NOT(ISNUMBER('Price History'!V75)),NOT(ISNUMBER('Price History'!V74)),'Price History'!V74=0),"",'Price History'!V75/'Price History'!V74-1),"")</f>
        <v>0.0351323985149274</v>
      </c>
      <c r="W74" s="156" t="n">
        <f aca="false">IFERROR('Price History'!B3+(INDEX('Price History'!B:B,MATCH(9.99E+307,'Returns (Calc)'!$A:$A)+1)-'Price History'!B3)*(ROW()-3)/(MATCH(9.99E+307,'Returns (Calc)'!$A:$A)-3),"")</f>
        <v>398.034303797468</v>
      </c>
      <c r="X74" s="156" t="n">
        <f aca="false">IFERROR('Price History'!C3+(INDEX('Price History'!C:C,MATCH(9.99E+307,'Returns (Calc)'!$A:$A)+1)-'Price History'!C3)*(ROW()-3)/(MATCH(9.99E+307,'Returns (Calc)'!$A:$A)-3),"")</f>
        <v>118.604493670886</v>
      </c>
      <c r="Y74" s="156" t="n">
        <f aca="false">IFERROR('Price History'!D3+(INDEX('Price History'!D:D,MATCH(9.99E+307,'Returns (Calc)'!$A:$A)+1)-'Price History'!D3)*(ROW()-3)/(MATCH(9.99E+307,'Returns (Calc)'!$A:$A)-3),"")</f>
        <v>1159.58151898734</v>
      </c>
      <c r="Z74" s="156" t="n">
        <f aca="false">IFERROR('Price History'!E3+(INDEX('Price History'!E:E,MATCH(9.99E+307,'Returns (Calc)'!$A:$A)+1)-'Price History'!E3)*(ROW()-3)/(MATCH(9.99E+307,'Returns (Calc)'!$A:$A)-3),"")</f>
        <v>204.740126582279</v>
      </c>
      <c r="AA74" s="156" t="n">
        <f aca="false">IFERROR('Price History'!F3+(INDEX('Price History'!F:F,MATCH(9.99E+307,'Returns (Calc)'!$A:$A)+1)-'Price History'!F3)*(ROW()-3)/(MATCH(9.99E+307,'Returns (Calc)'!$A:$A)-3),"")</f>
        <v>144.121265822785</v>
      </c>
      <c r="AB74" s="156" t="n">
        <f aca="false">IFERROR('Price History'!G3+(INDEX('Price History'!G:G,MATCH(9.99E+307,'Returns (Calc)'!$A:$A)+1)-'Price History'!G3)*(ROW()-3)/(MATCH(9.99E+307,'Returns (Calc)'!$A:$A)-3),"")</f>
        <v>117.390126582278</v>
      </c>
      <c r="AC74" s="156" t="n">
        <f aca="false">IFERROR('Price History'!H3+(INDEX('Price History'!H:H,MATCH(9.99E+307,'Returns (Calc)'!$A:$A)+1)-'Price History'!H3)*(ROW()-3)/(MATCH(9.99E+307,'Returns (Calc)'!$A:$A)-3),"")</f>
        <v>521.074430379747</v>
      </c>
      <c r="AD74" s="156" t="n">
        <f aca="false">IFERROR('Price History'!I3+(INDEX('Price History'!I:I,MATCH(9.99E+307,'Returns (Calc)'!$A:$A)+1)-'Price History'!I3)*(ROW()-3)/(MATCH(9.99E+307,'Returns (Calc)'!$A:$A)-3),"")</f>
        <v>129.230632911392</v>
      </c>
      <c r="AE74" s="156" t="n">
        <f aca="false">IFERROR('Price History'!J3+(INDEX('Price History'!J:J,MATCH(9.99E+307,'Returns (Calc)'!$A:$A)+1)-'Price History'!J3)*(ROW()-3)/(MATCH(9.99E+307,'Returns (Calc)'!$A:$A)-3),"")</f>
        <v>119.510696202532</v>
      </c>
      <c r="AF74" s="156" t="n">
        <f aca="false">IFERROR('Price History'!K3+(INDEX('Price History'!K:K,MATCH(9.99E+307,'Returns (Calc)'!$A:$A)+1)-'Price History'!K3)*(ROW()-3)/(MATCH(9.99E+307,'Returns (Calc)'!$A:$A)-3),"")</f>
        <v>93.2592405063291</v>
      </c>
      <c r="AG74" s="156" t="n">
        <f aca="false">IFERROR('Price History'!L3+(INDEX('Price History'!L:L,MATCH(9.99E+307,'Returns (Calc)'!$A:$A)+1)-'Price History'!L3)*(ROW()-3)/(MATCH(9.99E+307,'Returns (Calc)'!$A:$A)-3),"")</f>
        <v>259.668544303798</v>
      </c>
      <c r="AH74" s="156" t="n">
        <f aca="false">IFERROR('Price History'!M3+(INDEX('Price History'!M:M,MATCH(9.99E+307,'Returns (Calc)'!$A:$A)+1)-'Price History'!M3)*(ROW()-3)/(MATCH(9.99E+307,'Returns (Calc)'!$A:$A)-3),"")</f>
        <v>134.256455696203</v>
      </c>
      <c r="AI74" s="156" t="n">
        <f aca="false">IFERROR('Price History'!N3+(INDEX('Price History'!N:N,MATCH(9.99E+307,'Returns (Calc)'!$A:$A)+1)-'Price History'!N3)*(ROW()-3)/(MATCH(9.99E+307,'Returns (Calc)'!$A:$A)-3),"")</f>
        <v>418.924873417722</v>
      </c>
      <c r="AJ74" s="156" t="n">
        <f aca="false">IFERROR('Price History'!O3+(INDEX('Price History'!O:O,MATCH(9.99E+307,'Returns (Calc)'!$A:$A)+1)-'Price History'!O3)*(ROW()-3)/(MATCH(9.99E+307,'Returns (Calc)'!$A:$A)-3),"")</f>
        <v>95.4056962025316</v>
      </c>
      <c r="AK74" s="156" t="n">
        <f aca="false">IFERROR('Price History'!Q3+(INDEX('Price History'!Q:Q,MATCH(9.99E+307,'Returns (Calc)'!$A:$A)+1)-'Price History'!Q3)*(ROW()-3)/(MATCH(9.99E+307,'Returns (Calc)'!$A:$A)-3),"")</f>
        <v>31.1950632911392</v>
      </c>
      <c r="AL74" s="156" t="n">
        <f aca="false">IFERROR('Price History'!R3+(INDEX('Price History'!R:R,MATCH(9.99E+307,'Returns (Calc)'!$A:$A)+1)-'Price History'!R3)*(ROW()-3)/(MATCH(9.99E+307,'Returns (Calc)'!$A:$A)-3),"")</f>
        <v>46.4151898734177</v>
      </c>
      <c r="AM74" s="156" t="n">
        <f aca="false">IFERROR('Price History'!S3+(INDEX('Price History'!S:S,MATCH(9.99E+307,'Returns (Calc)'!$A:$A)+1)-'Price History'!S3)*(ROW()-3)/(MATCH(9.99E+307,'Returns (Calc)'!$A:$A)-3),"")</f>
        <v>100.589493670886</v>
      </c>
      <c r="AN74" s="156" t="n">
        <f aca="false">IFERROR('Price History'!T3+(INDEX('Price History'!T:T,MATCH(9.99E+307,'Returns (Calc)'!$A:$A)+1)-'Price History'!T3)*(ROW()-3)/(MATCH(9.99E+307,'Returns (Calc)'!$A:$A)-3),"")</f>
        <v>37.1841772151899</v>
      </c>
      <c r="AO74" s="157" t="n">
        <f aca="false">IFERROR('Price History'!V3+(INDEX('Price History'!V:V,MATCH(9.99E+307,'Returns (Calc)'!$A:$A)+1)-'Price History'!V3)*(ROW()-3)/(MATCH(9.99E+307,'Returns (Calc)'!$A:$A)-3),"")</f>
        <v>291.814367088608</v>
      </c>
      <c r="AP74" s="155" t="n">
        <f aca="false">IFERROR(IF(OR(NOT(ISNUMBER('Price History'!W75)),NOT(ISNUMBER('Price History'!W74)),'Price History'!W74=0),"",'Price History'!W75/'Price History'!W74-1),"")</f>
        <v>-0.00525861392355387</v>
      </c>
      <c r="AQ74" s="155" t="str">
        <f aca="false">IFERROR(IF(OR(NOT(ISNUMBER('Price History'!X75)),NOT(ISNUMBER('Price History'!X74)),'Price History'!X74=0),"",'Price History'!X75/'Price History'!X74-1),"")</f>
        <v/>
      </c>
      <c r="AR74" s="155" t="n">
        <f aca="false">IFERROR(IF(OR(NOT(ISNUMBER('Price History'!Y75)),NOT(ISNUMBER('Price History'!Y74)),'Price History'!Y74=0),"",'Price History'!Y75/'Price History'!Y74-1),"")</f>
        <v>-0.0021467603434816</v>
      </c>
      <c r="AS74" s="155" t="n">
        <f aca="false">IFERROR(IF(OR(NOT(ISNUMBER('Price History'!Z75)),NOT(ISNUMBER('Price History'!Z74)),'Price History'!Z74=0),"",'Price History'!Z75/'Price History'!Z74-1),"")</f>
        <v>0.0346471221362308</v>
      </c>
      <c r="AT74" s="155" t="n">
        <f aca="false">IFERROR(IF(OR(NOT(ISNUMBER('Price History'!AA75)),NOT(ISNUMBER('Price History'!AA74)),'Price History'!AA74=0),"",'Price History'!AA75/'Price History'!AA74-1),"")</f>
        <v>-0.000818330605564577</v>
      </c>
      <c r="AU74" s="155" t="n">
        <f aca="false">IFERROR(IF(OR(NOT(ISNUMBER('Price History'!AB75)),NOT(ISNUMBER('Price History'!AB74)),'Price History'!AB74=0),"",'Price History'!AB75/'Price History'!AB74-1),"")</f>
        <v>0.044136078782453</v>
      </c>
    </row>
    <row r="75" customFormat="false" ht="15" hidden="false" customHeight="true" outlineLevel="0" collapsed="false">
      <c r="A75" s="153" t="n">
        <f aca="false">IF('Price History'!A76="","",'Price History'!A76)</f>
        <v>45695</v>
      </c>
      <c r="B75" s="154" t="n">
        <f aca="false">IFERROR(IF(OR(NOT(ISNUMBER('Price History'!B76)),NOT(ISNUMBER('Price History'!B75)),'Price History'!B75=0),"",'Price History'!B76/'Price History'!B75-1),"")</f>
        <v>-0.0100125728654703</v>
      </c>
      <c r="C75" s="154" t="n">
        <f aca="false">IFERROR(IF(OR(NOT(ISNUMBER('Price History'!C76)),NOT(ISNUMBER('Price History'!C75)),'Price History'!C75=0),"",'Price History'!C76/'Price History'!C75-1),"")</f>
        <v>0.028117677688102</v>
      </c>
      <c r="D75" s="154" t="n">
        <f aca="false">IFERROR(IF(OR(NOT(ISNUMBER('Price History'!D76)),NOT(ISNUMBER('Price History'!D75)),'Price History'!D75=0),"",'Price History'!D76/'Price History'!D75-1),"")</f>
        <v>-0.015696820844939</v>
      </c>
      <c r="E75" s="154" t="n">
        <f aca="false">IFERROR(IF(OR(NOT(ISNUMBER('Price History'!E76)),NOT(ISNUMBER('Price History'!E75)),'Price History'!E75=0),"",'Price History'!E76/'Price History'!E75-1),"")</f>
        <v>0.0162318308955018</v>
      </c>
      <c r="F75" s="154" t="n">
        <f aca="false">IFERROR(IF(OR(NOT(ISNUMBER('Price History'!F76)),NOT(ISNUMBER('Price History'!F75)),'Price History'!F75=0),"",'Price History'!F76/'Price History'!F75-1),"")</f>
        <v>0.0590836012861737</v>
      </c>
      <c r="G75" s="154" t="n">
        <f aca="false">IFERROR(IF(OR(NOT(ISNUMBER('Price History'!G76)),NOT(ISNUMBER('Price History'!G75)),'Price History'!G75=0),"",'Price History'!G76/'Price History'!G75-1),"")</f>
        <v>0.0127519539284244</v>
      </c>
      <c r="H75" s="154" t="n">
        <f aca="false">IFERROR(IF(OR(NOT(ISNUMBER('Price History'!H76)),NOT(ISNUMBER('Price History'!H75)),'Price History'!H75=0),"",'Price History'!H76/'Price History'!H75-1),"")</f>
        <v>0.011662449114314</v>
      </c>
      <c r="I75" s="154" t="n">
        <f aca="false">IFERROR(IF(OR(NOT(ISNUMBER('Price History'!I76)),NOT(ISNUMBER('Price History'!I75)),'Price History'!I75=0),"",'Price History'!I76/'Price History'!I75-1),"")</f>
        <v>0.0813293253173013</v>
      </c>
      <c r="J75" s="154" t="n">
        <f aca="false">IFERROR(IF(OR(NOT(ISNUMBER('Price History'!J76)),NOT(ISNUMBER('Price History'!J75)),'Price History'!J75=0),"",'Price History'!J76/'Price History'!J75-1),"")</f>
        <v>-0.0159096969158298</v>
      </c>
      <c r="K75" s="154" t="n">
        <f aca="false">IFERROR(IF(OR(NOT(ISNUMBER('Price History'!K76)),NOT(ISNUMBER('Price History'!K75)),'Price History'!K75=0),"",'Price History'!K76/'Price History'!K75-1),"")</f>
        <v>0.343799248393745</v>
      </c>
      <c r="L75" s="154" t="n">
        <f aca="false">IFERROR(IF(OR(NOT(ISNUMBER('Price History'!L76)),NOT(ISNUMBER('Price History'!L75)),'Price History'!L75=0),"",'Price History'!L76/'Price History'!L75-1),"")</f>
        <v>-0.0153223051773778</v>
      </c>
      <c r="M75" s="154" t="n">
        <f aca="false">IFERROR(IF(OR(NOT(ISNUMBER('Price History'!M76)),NOT(ISNUMBER('Price History'!M75)),'Price History'!M75=0),"",'Price History'!M76/'Price History'!M75-1),"")</f>
        <v>0.0372527190202965</v>
      </c>
      <c r="N75" s="154" t="n">
        <f aca="false">IFERROR(IF(OR(NOT(ISNUMBER('Price History'!N76)),NOT(ISNUMBER('Price History'!N75)),'Price History'!N75=0),"",'Price History'!N76/'Price History'!N75-1),"")</f>
        <v>0.0165482585340495</v>
      </c>
      <c r="O75" s="154" t="n">
        <f aca="false">IFERROR(IF(OR(NOT(ISNUMBER('Price History'!O76)),NOT(ISNUMBER('Price History'!O75)),'Price History'!O75=0),"",'Price History'!O76/'Price History'!O75-1),"")</f>
        <v>-0.0115914786967418</v>
      </c>
      <c r="P75" s="154" t="n">
        <f aca="false">IFERROR(IF(OR(NOT(ISNUMBER('Price History'!P76)),NOT(ISNUMBER('Price History'!P75)),'Price History'!P75=0),"",'Price History'!P76/'Price History'!P75-1),"")</f>
        <v>-0.00481224360997157</v>
      </c>
      <c r="Q75" s="154" t="n">
        <f aca="false">IFERROR(IF(OR(NOT(ISNUMBER('Price History'!Q76)),NOT(ISNUMBER('Price History'!Q75)),'Price History'!Q75=0),"",'Price History'!Q76/'Price History'!Q75-1),"")</f>
        <v>-0.000643915003219586</v>
      </c>
      <c r="R75" s="154" t="n">
        <f aca="false">IFERROR(IF(OR(NOT(ISNUMBER('Price History'!R76)),NOT(ISNUMBER('Price History'!R75)),'Price History'!R75=0),"",'Price History'!R76/'Price History'!R75-1),"")</f>
        <v>0.00255102040816313</v>
      </c>
      <c r="S75" s="154" t="n">
        <f aca="false">IFERROR(IF(OR(NOT(ISNUMBER('Price History'!S76)),NOT(ISNUMBER('Price History'!S75)),'Price History'!S75=0),"",'Price History'!S76/'Price History'!S75-1),"")</f>
        <v>0.0198662071761606</v>
      </c>
      <c r="T75" s="154" t="n">
        <f aca="false">IFERROR(IF(OR(NOT(ISNUMBER('Price History'!T76)),NOT(ISNUMBER('Price History'!T75)),'Price History'!T75=0),"",'Price History'!T76/'Price History'!T75-1),"")</f>
        <v>-0.0074949553185355</v>
      </c>
      <c r="U75" s="154" t="n">
        <f aca="false">IFERROR(IF(OR(NOT(ISNUMBER('Price History'!U76)),NOT(ISNUMBER('Price History'!U75)),'Price History'!U75=0),"",'Price History'!U76/'Price History'!U75-1),"")</f>
        <v>-0.009946442234124</v>
      </c>
      <c r="V75" s="155" t="n">
        <f aca="false">IFERROR(IF(OR(NOT(ISNUMBER('Price History'!V76)),NOT(ISNUMBER('Price History'!V75)),'Price History'!V75=0),"",'Price History'!V76/'Price History'!V75-1),"")</f>
        <v>0.0182001422812426</v>
      </c>
      <c r="W75" s="156" t="n">
        <f aca="false">IFERROR('Price History'!B3+(INDEX('Price History'!B:B,MATCH(9.99E+307,'Returns (Calc)'!$A:$A)+1)-'Price History'!B3)*(ROW()-3)/(MATCH(9.99E+307,'Returns (Calc)'!$A:$A)-3),"")</f>
        <v>396.191265822785</v>
      </c>
      <c r="X75" s="156" t="n">
        <f aca="false">IFERROR('Price History'!C3+(INDEX('Price History'!C:C,MATCH(9.99E+307,'Returns (Calc)'!$A:$A)+1)-'Price History'!C3)*(ROW()-3)/(MATCH(9.99E+307,'Returns (Calc)'!$A:$A)-3),"")</f>
        <v>119.624556962025</v>
      </c>
      <c r="Y75" s="156" t="n">
        <f aca="false">IFERROR('Price History'!D3+(INDEX('Price History'!D:D,MATCH(9.99E+307,'Returns (Calc)'!$A:$A)+1)-'Price History'!D3)*(ROW()-3)/(MATCH(9.99E+307,'Returns (Calc)'!$A:$A)-3),"")</f>
        <v>1167.71632911392</v>
      </c>
      <c r="Z75" s="156" t="n">
        <f aca="false">IFERROR('Price History'!E3+(INDEX('Price History'!E:E,MATCH(9.99E+307,'Returns (Calc)'!$A:$A)+1)-'Price History'!E3)*(ROW()-3)/(MATCH(9.99E+307,'Returns (Calc)'!$A:$A)-3),"")</f>
        <v>206.468860759494</v>
      </c>
      <c r="AA75" s="156" t="n">
        <f aca="false">IFERROR('Price History'!F3+(INDEX('Price History'!F:F,MATCH(9.99E+307,'Returns (Calc)'!$A:$A)+1)-'Price History'!F3)*(ROW()-3)/(MATCH(9.99E+307,'Returns (Calc)'!$A:$A)-3),"")</f>
        <v>145.568607594937</v>
      </c>
      <c r="AB75" s="156" t="n">
        <f aca="false">IFERROR('Price History'!G3+(INDEX('Price History'!G:G,MATCH(9.99E+307,'Returns (Calc)'!$A:$A)+1)-'Price History'!G3)*(ROW()-3)/(MATCH(9.99E+307,'Returns (Calc)'!$A:$A)-3),"")</f>
        <v>118.418860759494</v>
      </c>
      <c r="AC75" s="156" t="n">
        <f aca="false">IFERROR('Price History'!H3+(INDEX('Price History'!H:H,MATCH(9.99E+307,'Returns (Calc)'!$A:$A)+1)-'Price History'!H3)*(ROW()-3)/(MATCH(9.99E+307,'Returns (Calc)'!$A:$A)-3),"")</f>
        <v>527.440126582279</v>
      </c>
      <c r="AD75" s="156" t="n">
        <f aca="false">IFERROR('Price History'!I3+(INDEX('Price History'!I:I,MATCH(9.99E+307,'Returns (Calc)'!$A:$A)+1)-'Price History'!I3)*(ROW()-3)/(MATCH(9.99E+307,'Returns (Calc)'!$A:$A)-3),"")</f>
        <v>130.434303797468</v>
      </c>
      <c r="AE75" s="156" t="n">
        <f aca="false">IFERROR('Price History'!J3+(INDEX('Price History'!J:J,MATCH(9.99E+307,'Returns (Calc)'!$A:$A)+1)-'Price History'!J3)*(ROW()-3)/(MATCH(9.99E+307,'Returns (Calc)'!$A:$A)-3),"")</f>
        <v>119.618734177215</v>
      </c>
      <c r="AF75" s="156" t="n">
        <f aca="false">IFERROR('Price History'!K3+(INDEX('Price History'!K:K,MATCH(9.99E+307,'Returns (Calc)'!$A:$A)+1)-'Price History'!K3)*(ROW()-3)/(MATCH(9.99E+307,'Returns (Calc)'!$A:$A)-3),"")</f>
        <v>94.356835443038</v>
      </c>
      <c r="AG75" s="156" t="n">
        <f aca="false">IFERROR('Price History'!L3+(INDEX('Price History'!L:L,MATCH(9.99E+307,'Returns (Calc)'!$A:$A)+1)-'Price History'!L3)*(ROW()-3)/(MATCH(9.99E+307,'Returns (Calc)'!$A:$A)-3),"")</f>
        <v>262.118101265823</v>
      </c>
      <c r="AH75" s="156" t="n">
        <f aca="false">IFERROR('Price History'!M3+(INDEX('Price History'!M:M,MATCH(9.99E+307,'Returns (Calc)'!$A:$A)+1)-'Price History'!M3)*(ROW()-3)/(MATCH(9.99E+307,'Returns (Calc)'!$A:$A)-3),"")</f>
        <v>135.611898734177</v>
      </c>
      <c r="AI75" s="156" t="n">
        <f aca="false">IFERROR('Price History'!N3+(INDEX('Price History'!N:N,MATCH(9.99E+307,'Returns (Calc)'!$A:$A)+1)-'Price History'!N3)*(ROW()-3)/(MATCH(9.99E+307,'Returns (Calc)'!$A:$A)-3),"")</f>
        <v>419.911139240506</v>
      </c>
      <c r="AJ75" s="156" t="n">
        <f aca="false">IFERROR('Price History'!O3+(INDEX('Price History'!O:O,MATCH(9.99E+307,'Returns (Calc)'!$A:$A)+1)-'Price History'!O3)*(ROW()-3)/(MATCH(9.99E+307,'Returns (Calc)'!$A:$A)-3),"")</f>
        <v>95.6887341772152</v>
      </c>
      <c r="AK75" s="156" t="n">
        <f aca="false">IFERROR('Price History'!Q3+(INDEX('Price History'!Q:Q,MATCH(9.99E+307,'Returns (Calc)'!$A:$A)+1)-'Price History'!Q3)*(ROW()-3)/(MATCH(9.99E+307,'Returns (Calc)'!$A:$A)-3),"")</f>
        <v>31.6344303797468</v>
      </c>
      <c r="AL75" s="156" t="n">
        <f aca="false">IFERROR('Price History'!R3+(INDEX('Price History'!R:R,MATCH(9.99E+307,'Returns (Calc)'!$A:$A)+1)-'Price History'!R3)*(ROW()-3)/(MATCH(9.99E+307,'Returns (Calc)'!$A:$A)-3),"")</f>
        <v>46.5832911392405</v>
      </c>
      <c r="AM75" s="156" t="n">
        <f aca="false">IFERROR('Price History'!S3+(INDEX('Price History'!S:S,MATCH(9.99E+307,'Returns (Calc)'!$A:$A)+1)-'Price History'!S3)*(ROW()-3)/(MATCH(9.99E+307,'Returns (Calc)'!$A:$A)-3),"")</f>
        <v>101.194556962025</v>
      </c>
      <c r="AN75" s="156" t="n">
        <f aca="false">IFERROR('Price History'!T3+(INDEX('Price History'!T:T,MATCH(9.99E+307,'Returns (Calc)'!$A:$A)+1)-'Price History'!T3)*(ROW()-3)/(MATCH(9.99E+307,'Returns (Calc)'!$A:$A)-3),"")</f>
        <v>37.3524050632911</v>
      </c>
      <c r="AO75" s="157" t="n">
        <f aca="false">IFERROR('Price History'!V3+(INDEX('Price History'!V:V,MATCH(9.99E+307,'Returns (Calc)'!$A:$A)+1)-'Price History'!V3)*(ROW()-3)/(MATCH(9.99E+307,'Returns (Calc)'!$A:$A)-3),"")</f>
        <v>292.605696202532</v>
      </c>
      <c r="AP75" s="155" t="n">
        <f aca="false">IFERROR(IF(OR(NOT(ISNUMBER('Price History'!W76)),NOT(ISNUMBER('Price History'!W75)),'Price History'!W75=0),"",'Price History'!W76/'Price History'!W75-1),"")</f>
        <v>-0.000315606753984454</v>
      </c>
      <c r="AQ75" s="155" t="str">
        <f aca="false">IFERROR(IF(OR(NOT(ISNUMBER('Price History'!X76)),NOT(ISNUMBER('Price History'!X75)),'Price History'!X75=0),"",'Price History'!X76/'Price History'!X75-1),"")</f>
        <v/>
      </c>
      <c r="AR75" s="155" t="n">
        <f aca="false">IFERROR(IF(OR(NOT(ISNUMBER('Price History'!Y76)),NOT(ISNUMBER('Price History'!Y75)),'Price History'!Y75=0),"",'Price History'!Y76/'Price History'!Y75-1),"")</f>
        <v>0.00234695873264212</v>
      </c>
      <c r="AS75" s="155" t="n">
        <f aca="false">IFERROR(IF(OR(NOT(ISNUMBER('Price History'!Z76)),NOT(ISNUMBER('Price History'!Z75)),'Price History'!Z75=0),"",'Price History'!Z76/'Price History'!Z75-1),"")</f>
        <v>0.00842126120770792</v>
      </c>
      <c r="AT75" s="155" t="n">
        <f aca="false">IFERROR(IF(OR(NOT(ISNUMBER('Price History'!AA76)),NOT(ISNUMBER('Price History'!AA75)),'Price History'!AA75=0),"",'Price History'!AA76/'Price History'!AA75-1),"")</f>
        <v>0.0379811629811628</v>
      </c>
      <c r="AU75" s="155" t="n">
        <f aca="false">IFERROR(IF(OR(NOT(ISNUMBER('Price History'!AB76)),NOT(ISNUMBER('Price History'!AB75)),'Price History'!AB75=0),"",'Price History'!AB76/'Price History'!AB75-1),"")</f>
        <v>0.0168910228929091</v>
      </c>
    </row>
    <row r="76" customFormat="false" ht="15" hidden="false" customHeight="true" outlineLevel="0" collapsed="false">
      <c r="A76" s="153" t="n">
        <f aca="false">IF('Price History'!A77="","",'Price History'!A77)</f>
        <v>45702</v>
      </c>
      <c r="B76" s="154" t="n">
        <f aca="false">IFERROR(IF(OR(NOT(ISNUMBER('Price History'!B77)),NOT(ISNUMBER('Price History'!B76)),'Price History'!B76=0),"",'Price History'!B77/'Price History'!B76-1),"")</f>
        <v>0.0625533978340684</v>
      </c>
      <c r="C76" s="154" t="n">
        <f aca="false">IFERROR(IF(OR(NOT(ISNUMBER('Price History'!C77)),NOT(ISNUMBER('Price History'!C76)),'Price History'!C76=0),"",'Price History'!C77/'Price History'!C76-1),"")</f>
        <v>-0.0979150839875074</v>
      </c>
      <c r="D76" s="154" t="n">
        <f aca="false">IFERROR(IF(OR(NOT(ISNUMBER('Price History'!D77)),NOT(ISNUMBER('Price History'!D76)),'Price History'!D76=0),"",'Price History'!D77/'Price History'!D76-1),"")</f>
        <v>0.0349470984289837</v>
      </c>
      <c r="E76" s="154" t="n">
        <f aca="false">IFERROR(IF(OR(NOT(ISNUMBER('Price History'!E77)),NOT(ISNUMBER('Price History'!E76)),'Price History'!E76=0),"",'Price History'!E77/'Price History'!E76-1),"")</f>
        <v>0.0363669178360331</v>
      </c>
      <c r="F76" s="154" t="n">
        <f aca="false">IFERROR(IF(OR(NOT(ISNUMBER('Price History'!F77)),NOT(ISNUMBER('Price History'!F76)),'Price History'!F76=0),"",'Price History'!F77/'Price History'!F76-1),"")</f>
        <v>0.0714421252371917</v>
      </c>
      <c r="G76" s="154" t="n">
        <f aca="false">IFERROR(IF(OR(NOT(ISNUMBER('Price History'!G77)),NOT(ISNUMBER('Price History'!G76)),'Price History'!G76=0),"",'Price History'!G77/'Price History'!G76-1),"")</f>
        <v>0.00406173842404556</v>
      </c>
      <c r="H76" s="154" t="n">
        <f aca="false">IFERROR(IF(OR(NOT(ISNUMBER('Price History'!H77)),NOT(ISNUMBER('Price History'!H76)),'Price History'!H76=0),"",'Price History'!H77/'Price History'!H76-1),"")</f>
        <v>0.0781946710168571</v>
      </c>
      <c r="I76" s="154" t="n">
        <f aca="false">IFERROR(IF(OR(NOT(ISNUMBER('Price History'!I77)),NOT(ISNUMBER('Price History'!I76)),'Price History'!I76=0),"",'Price History'!I77/'Price History'!I76-1),"")</f>
        <v>0.0694208494208495</v>
      </c>
      <c r="J76" s="154" t="n">
        <f aca="false">IFERROR(IF(OR(NOT(ISNUMBER('Price History'!J77)),NOT(ISNUMBER('Price History'!J76)),'Price History'!J76=0),"",'Price History'!J77/'Price History'!J76-1),"")</f>
        <v>0.0298049132947977</v>
      </c>
      <c r="K76" s="154" t="n">
        <f aca="false">IFERROR(IF(OR(NOT(ISNUMBER('Price History'!K77)),NOT(ISNUMBER('Price History'!K76)),'Price History'!K76=0),"",'Price History'!K77/'Price History'!K76-1),"")</f>
        <v>0.0749661705006766</v>
      </c>
      <c r="L76" s="154" t="n">
        <f aca="false">IFERROR(IF(OR(NOT(ISNUMBER('Price History'!L77)),NOT(ISNUMBER('Price History'!L76)),'Price History'!L76=0),"",'Price History'!L77/'Price History'!L76-1),"")</f>
        <v>-0.0107537539025719</v>
      </c>
      <c r="M76" s="154" t="n">
        <f aca="false">IFERROR(IF(OR(NOT(ISNUMBER('Price History'!M77)),NOT(ISNUMBER('Price History'!M76)),'Price History'!M76=0),"",'Price History'!M77/'Price History'!M76-1),"")</f>
        <v>-0.109808454425363</v>
      </c>
      <c r="N76" s="154" t="n">
        <f aca="false">IFERROR(IF(OR(NOT(ISNUMBER('Price History'!N77)),NOT(ISNUMBER('Price History'!N76)),'Price History'!N76=0),"",'Price History'!N77/'Price History'!N76-1),"")</f>
        <v>-0.0219892610585528</v>
      </c>
      <c r="O76" s="154" t="n">
        <f aca="false">IFERROR(IF(OR(NOT(ISNUMBER('Price History'!O77)),NOT(ISNUMBER('Price History'!O76)),'Price History'!O76=0),"",'Price History'!O77/'Price History'!O76-1),"")</f>
        <v>0.00306391970417308</v>
      </c>
      <c r="P76" s="154" t="n">
        <f aca="false">IFERROR(IF(OR(NOT(ISNUMBER('Price History'!P77)),NOT(ISNUMBER('Price History'!P76)),'Price History'!P76=0),"",'Price History'!P77/'Price History'!P76-1),"")</f>
        <v>0.0119698771304002</v>
      </c>
      <c r="Q76" s="154" t="n">
        <f aca="false">IFERROR(IF(OR(NOT(ISNUMBER('Price History'!Q77)),NOT(ISNUMBER('Price History'!Q76)),'Price History'!Q76=0),"",'Price History'!Q77/'Price History'!Q76-1),"")</f>
        <v>0.0104703608247423</v>
      </c>
      <c r="R76" s="154" t="n">
        <f aca="false">IFERROR(IF(OR(NOT(ISNUMBER('Price History'!R77)),NOT(ISNUMBER('Price History'!R76)),'Price History'!R76=0),"",'Price History'!R77/'Price History'!R76-1),"")</f>
        <v>0.0192960135708229</v>
      </c>
      <c r="S76" s="154" t="n">
        <f aca="false">IFERROR(IF(OR(NOT(ISNUMBER('Price History'!S77)),NOT(ISNUMBER('Price History'!S76)),'Price History'!S76=0),"",'Price History'!S77/'Price History'!S76-1),"")</f>
        <v>0.0101371496720333</v>
      </c>
      <c r="T76" s="154" t="n">
        <f aca="false">IFERROR(IF(OR(NOT(ISNUMBER('Price History'!T77)),NOT(ISNUMBER('Price History'!T76)),'Price History'!T76=0),"",'Price History'!T77/'Price History'!T76-1),"")</f>
        <v>0.01161777519605</v>
      </c>
      <c r="U76" s="154" t="n">
        <f aca="false">IFERROR(IF(OR(NOT(ISNUMBER('Price History'!U77)),NOT(ISNUMBER('Price History'!U76)),'Price History'!U76=0),"",'Price History'!U77/'Price History'!U76-1),"")</f>
        <v>0.00850077279752703</v>
      </c>
      <c r="V76" s="155" t="n">
        <f aca="false">IFERROR(IF(OR(NOT(ISNUMBER('Price History'!V77)),NOT(ISNUMBER('Price History'!V76)),'Price History'!V76=0),"",'Price History'!V77/'Price History'!V76-1),"")</f>
        <v>0.0183697234352256</v>
      </c>
      <c r="W76" s="156" t="n">
        <f aca="false">IFERROR('Price History'!B3+(INDEX('Price History'!B:B,MATCH(9.99E+307,'Returns (Calc)'!$A:$A)+1)-'Price History'!B3)*(ROW()-3)/(MATCH(9.99E+307,'Returns (Calc)'!$A:$A)-3),"")</f>
        <v>394.348227848101</v>
      </c>
      <c r="X76" s="156" t="n">
        <f aca="false">IFERROR('Price History'!C3+(INDEX('Price History'!C:C,MATCH(9.99E+307,'Returns (Calc)'!$A:$A)+1)-'Price History'!C3)*(ROW()-3)/(MATCH(9.99E+307,'Returns (Calc)'!$A:$A)-3),"")</f>
        <v>120.644620253165</v>
      </c>
      <c r="Y76" s="156" t="n">
        <f aca="false">IFERROR('Price History'!D3+(INDEX('Price History'!D:D,MATCH(9.99E+307,'Returns (Calc)'!$A:$A)+1)-'Price History'!D3)*(ROW()-3)/(MATCH(9.99E+307,'Returns (Calc)'!$A:$A)-3),"")</f>
        <v>1175.85113924051</v>
      </c>
      <c r="Z76" s="156" t="n">
        <f aca="false">IFERROR('Price History'!E3+(INDEX('Price History'!E:E,MATCH(9.99E+307,'Returns (Calc)'!$A:$A)+1)-'Price History'!E3)*(ROW()-3)/(MATCH(9.99E+307,'Returns (Calc)'!$A:$A)-3),"")</f>
        <v>208.197594936709</v>
      </c>
      <c r="AA76" s="156" t="n">
        <f aca="false">IFERROR('Price History'!F3+(INDEX('Price History'!F:F,MATCH(9.99E+307,'Returns (Calc)'!$A:$A)+1)-'Price History'!F3)*(ROW()-3)/(MATCH(9.99E+307,'Returns (Calc)'!$A:$A)-3),"")</f>
        <v>147.015949367089</v>
      </c>
      <c r="AB76" s="156" t="n">
        <f aca="false">IFERROR('Price History'!G3+(INDEX('Price History'!G:G,MATCH(9.99E+307,'Returns (Calc)'!$A:$A)+1)-'Price History'!G3)*(ROW()-3)/(MATCH(9.99E+307,'Returns (Calc)'!$A:$A)-3),"")</f>
        <v>119.447594936709</v>
      </c>
      <c r="AC76" s="156" t="n">
        <f aca="false">IFERROR('Price History'!H3+(INDEX('Price History'!H:H,MATCH(9.99E+307,'Returns (Calc)'!$A:$A)+1)-'Price History'!H3)*(ROW()-3)/(MATCH(9.99E+307,'Returns (Calc)'!$A:$A)-3),"")</f>
        <v>533.80582278481</v>
      </c>
      <c r="AD76" s="156" t="n">
        <f aca="false">IFERROR('Price History'!I3+(INDEX('Price History'!I:I,MATCH(9.99E+307,'Returns (Calc)'!$A:$A)+1)-'Price History'!I3)*(ROW()-3)/(MATCH(9.99E+307,'Returns (Calc)'!$A:$A)-3),"")</f>
        <v>131.637974683544</v>
      </c>
      <c r="AE76" s="156" t="n">
        <f aca="false">IFERROR('Price History'!J3+(INDEX('Price History'!J:J,MATCH(9.99E+307,'Returns (Calc)'!$A:$A)+1)-'Price History'!J3)*(ROW()-3)/(MATCH(9.99E+307,'Returns (Calc)'!$A:$A)-3),"")</f>
        <v>119.726772151899</v>
      </c>
      <c r="AF76" s="156" t="n">
        <f aca="false">IFERROR('Price History'!K3+(INDEX('Price History'!K:K,MATCH(9.99E+307,'Returns (Calc)'!$A:$A)+1)-'Price History'!K3)*(ROW()-3)/(MATCH(9.99E+307,'Returns (Calc)'!$A:$A)-3),"")</f>
        <v>95.4544303797468</v>
      </c>
      <c r="AG76" s="156" t="n">
        <f aca="false">IFERROR('Price History'!L3+(INDEX('Price History'!L:L,MATCH(9.99E+307,'Returns (Calc)'!$A:$A)+1)-'Price History'!L3)*(ROW()-3)/(MATCH(9.99E+307,'Returns (Calc)'!$A:$A)-3),"")</f>
        <v>264.567658227848</v>
      </c>
      <c r="AH76" s="156" t="n">
        <f aca="false">IFERROR('Price History'!M3+(INDEX('Price History'!M:M,MATCH(9.99E+307,'Returns (Calc)'!$A:$A)+1)-'Price History'!M3)*(ROW()-3)/(MATCH(9.99E+307,'Returns (Calc)'!$A:$A)-3),"")</f>
        <v>136.967341772152</v>
      </c>
      <c r="AI76" s="156" t="n">
        <f aca="false">IFERROR('Price History'!N3+(INDEX('Price History'!N:N,MATCH(9.99E+307,'Returns (Calc)'!$A:$A)+1)-'Price History'!N3)*(ROW()-3)/(MATCH(9.99E+307,'Returns (Calc)'!$A:$A)-3),"")</f>
        <v>420.897405063291</v>
      </c>
      <c r="AJ76" s="156" t="n">
        <f aca="false">IFERROR('Price History'!O3+(INDEX('Price History'!O:O,MATCH(9.99E+307,'Returns (Calc)'!$A:$A)+1)-'Price History'!O3)*(ROW()-3)/(MATCH(9.99E+307,'Returns (Calc)'!$A:$A)-3),"")</f>
        <v>95.9717721518987</v>
      </c>
      <c r="AK76" s="156" t="n">
        <f aca="false">IFERROR('Price History'!Q3+(INDEX('Price History'!Q:Q,MATCH(9.99E+307,'Returns (Calc)'!$A:$A)+1)-'Price History'!Q3)*(ROW()-3)/(MATCH(9.99E+307,'Returns (Calc)'!$A:$A)-3),"")</f>
        <v>32.0737974683544</v>
      </c>
      <c r="AL76" s="156" t="n">
        <f aca="false">IFERROR('Price History'!R3+(INDEX('Price History'!R:R,MATCH(9.99E+307,'Returns (Calc)'!$A:$A)+1)-'Price History'!R3)*(ROW()-3)/(MATCH(9.99E+307,'Returns (Calc)'!$A:$A)-3),"")</f>
        <v>46.7513924050633</v>
      </c>
      <c r="AM76" s="156" t="n">
        <f aca="false">IFERROR('Price History'!S3+(INDEX('Price History'!S:S,MATCH(9.99E+307,'Returns (Calc)'!$A:$A)+1)-'Price History'!S3)*(ROW()-3)/(MATCH(9.99E+307,'Returns (Calc)'!$A:$A)-3),"")</f>
        <v>101.799620253165</v>
      </c>
      <c r="AN76" s="156" t="n">
        <f aca="false">IFERROR('Price History'!T3+(INDEX('Price History'!T:T,MATCH(9.99E+307,'Returns (Calc)'!$A:$A)+1)-'Price History'!T3)*(ROW()-3)/(MATCH(9.99E+307,'Returns (Calc)'!$A:$A)-3),"")</f>
        <v>37.5206329113924</v>
      </c>
      <c r="AO76" s="157" t="n">
        <f aca="false">IFERROR('Price History'!V3+(INDEX('Price History'!V:V,MATCH(9.99E+307,'Returns (Calc)'!$A:$A)+1)-'Price History'!V3)*(ROW()-3)/(MATCH(9.99E+307,'Returns (Calc)'!$A:$A)-3),"")</f>
        <v>293.397025316456</v>
      </c>
      <c r="AP76" s="155" t="n">
        <f aca="false">IFERROR(IF(OR(NOT(ISNUMBER('Price History'!W77)),NOT(ISNUMBER('Price History'!W76)),'Price History'!W76=0),"",'Price History'!W77/'Price History'!W76-1),"")</f>
        <v>0.0109707971586426</v>
      </c>
      <c r="AQ76" s="155" t="str">
        <f aca="false">IFERROR(IF(OR(NOT(ISNUMBER('Price History'!X77)),NOT(ISNUMBER('Price History'!X76)),'Price History'!X76=0),"",'Price History'!X77/'Price History'!X76-1),"")</f>
        <v/>
      </c>
      <c r="AR76" s="155" t="n">
        <f aca="false">IFERROR(IF(OR(NOT(ISNUMBER('Price History'!Y77)),NOT(ISNUMBER('Price History'!Y76)),'Price History'!Y76=0),"",'Price History'!Y77/'Price History'!Y76-1),"")</f>
        <v>0.00663414634146342</v>
      </c>
      <c r="AS76" s="155" t="n">
        <f aca="false">IFERROR(IF(OR(NOT(ISNUMBER('Price History'!Z77)),NOT(ISNUMBER('Price History'!Z76)),'Price History'!Z76=0),"",'Price History'!Z77/'Price History'!Z76-1),"")</f>
        <v>0.0145404529154591</v>
      </c>
      <c r="AT76" s="155" t="n">
        <f aca="false">IFERROR(IF(OR(NOT(ISNUMBER('Price History'!AA77)),NOT(ISNUMBER('Price History'!AA76)),'Price History'!AA76=0),"",'Price History'!AA77/'Price History'!AA76-1),"")</f>
        <v>0.04408718808561</v>
      </c>
      <c r="AU76" s="155" t="n">
        <f aca="false">IFERROR(IF(OR(NOT(ISNUMBER('Price History'!AB77)),NOT(ISNUMBER('Price History'!AB76)),'Price History'!AB76=0),"",'Price History'!AB77/'Price History'!AB76-1),"")</f>
        <v>-0.0134907251264755</v>
      </c>
    </row>
    <row r="77" customFormat="false" ht="15" hidden="false" customHeight="true" outlineLevel="0" collapsed="false">
      <c r="A77" s="153" t="n">
        <f aca="false">IF('Price History'!A78="","",'Price History'!A78)</f>
        <v>45709</v>
      </c>
      <c r="B77" s="154" t="n">
        <f aca="false">IFERROR(IF(OR(NOT(ISNUMBER('Price History'!B78)),NOT(ISNUMBER('Price History'!B77)),'Price History'!B77=0),"",'Price History'!B78/'Price History'!B77-1),"")</f>
        <v>-0.03442280945758</v>
      </c>
      <c r="C77" s="154" t="n">
        <f aca="false">IFERROR(IF(OR(NOT(ISNUMBER('Price History'!C78)),NOT(ISNUMBER('Price History'!C77)),'Price History'!C77=0),"",'Price History'!C78/'Price History'!C77-1),"")</f>
        <v>-0.0801908861233275</v>
      </c>
      <c r="D77" s="154" t="n">
        <f aca="false">IFERROR(IF(OR(NOT(ISNUMBER('Price History'!D78)),NOT(ISNUMBER('Price History'!D77)),'Price History'!D77=0),"",'Price History'!D78/'Price History'!D77-1),"")</f>
        <v>-0.019072248262486</v>
      </c>
      <c r="E77" s="154" t="n">
        <f aca="false">IFERROR(IF(OR(NOT(ISNUMBER('Price History'!E78)),NOT(ISNUMBER('Price History'!E77)),'Price History'!E77=0),"",'Price History'!E78/'Price History'!E77-1),"")</f>
        <v>-0.0617353824720276</v>
      </c>
      <c r="F77" s="154" t="n">
        <f aca="false">IFERROR(IF(OR(NOT(ISNUMBER('Price History'!F78)),NOT(ISNUMBER('Price History'!F77)),'Price History'!F77=0),"",'Price History'!F78/'Price History'!F77-1),"")</f>
        <v>-0.0997077835827505</v>
      </c>
      <c r="G77" s="154" t="n">
        <f aca="false">IFERROR(IF(OR(NOT(ISNUMBER('Price History'!G78)),NOT(ISNUMBER('Price History'!G77)),'Price History'!G77=0),"",'Price History'!G78/'Price History'!G77-1),"")</f>
        <v>0.00471952535059339</v>
      </c>
      <c r="H77" s="154" t="n">
        <f aca="false">IFERROR(IF(OR(NOT(ISNUMBER('Price History'!H78)),NOT(ISNUMBER('Price History'!H77)),'Price History'!H77=0),"",'Price History'!H78/'Price History'!H77-1),"")</f>
        <v>-0.00685898729070011</v>
      </c>
      <c r="I77" s="154" t="n">
        <f aca="false">IFERROR(IF(OR(NOT(ISNUMBER('Price History'!I78)),NOT(ISNUMBER('Price History'!I77)),'Price History'!I77=0),"",'Price History'!I78/'Price History'!I77-1),"")</f>
        <v>-0.0318434544010398</v>
      </c>
      <c r="J77" s="154" t="n">
        <f aca="false">IFERROR(IF(OR(NOT(ISNUMBER('Price History'!J78)),NOT(ISNUMBER('Price History'!J77)),'Price History'!J77=0),"",'Price History'!J78/'Price History'!J77-1),"")</f>
        <v>0.00105244693913353</v>
      </c>
      <c r="K77" s="154" t="n">
        <f aca="false">IFERROR(IF(OR(NOT(ISNUMBER('Price History'!K78)),NOT(ISNUMBER('Price History'!K77)),'Price History'!K77=0),"",'Price History'!K78/'Price History'!K77-1),"")</f>
        <v>-0.149462907015777</v>
      </c>
      <c r="L77" s="154" t="n">
        <f aca="false">IFERROR(IF(OR(NOT(ISNUMBER('Price History'!L78)),NOT(ISNUMBER('Price History'!L77)),'Price History'!L77=0),"",'Price History'!L78/'Price History'!L77-1),"")</f>
        <v>-0.0277527301873559</v>
      </c>
      <c r="M77" s="154" t="n">
        <f aca="false">IFERROR(IF(OR(NOT(ISNUMBER('Price History'!M78)),NOT(ISNUMBER('Price History'!M77)),'Price History'!M77=0),"",'Price History'!M78/'Price History'!M77-1),"")</f>
        <v>-0.111574846967167</v>
      </c>
      <c r="N77" s="154" t="n">
        <f aca="false">IFERROR(IF(OR(NOT(ISNUMBER('Price History'!N78)),NOT(ISNUMBER('Price History'!N77)),'Price History'!N77=0),"",'Price History'!N78/'Price History'!N77-1),"")</f>
        <v>0.0549891067538126</v>
      </c>
      <c r="O77" s="154" t="n">
        <f aca="false">IFERROR(IF(OR(NOT(ISNUMBER('Price History'!O78)),NOT(ISNUMBER('Price History'!O77)),'Price History'!O77=0),"",'Price History'!O78/'Price History'!O77-1),"")</f>
        <v>-0.0365493996208132</v>
      </c>
      <c r="P77" s="154" t="n">
        <f aca="false">IFERROR(IF(OR(NOT(ISNUMBER('Price History'!P78)),NOT(ISNUMBER('Price History'!P77)),'Price History'!P77=0),"",'Price History'!P78/'Price History'!P77-1),"")</f>
        <v>0.00728497571674769</v>
      </c>
      <c r="Q77" s="154" t="n">
        <f aca="false">IFERROR(IF(OR(NOT(ISNUMBER('Price History'!Q78)),NOT(ISNUMBER('Price History'!Q77)),'Price History'!Q77=0),"",'Price History'!Q78/'Price History'!Q77-1),"")</f>
        <v>-0.00892714809501027</v>
      </c>
      <c r="R77" s="154" t="n">
        <f aca="false">IFERROR(IF(OR(NOT(ISNUMBER('Price History'!R78)),NOT(ISNUMBER('Price History'!R77)),'Price History'!R77=0),"",'Price History'!R78/'Price History'!R77-1),"")</f>
        <v>-0.0120657374661951</v>
      </c>
      <c r="S77" s="154" t="n">
        <f aca="false">IFERROR(IF(OR(NOT(ISNUMBER('Price History'!S78)),NOT(ISNUMBER('Price History'!S77)),'Price History'!S77=0),"",'Price History'!S78/'Price History'!S77-1),"")</f>
        <v>-0.0305981896890988</v>
      </c>
      <c r="T77" s="154" t="n">
        <f aca="false">IFERROR(IF(OR(NOT(ISNUMBER('Price History'!T78)),NOT(ISNUMBER('Price History'!T77)),'Price History'!T77=0),"",'Price History'!T78/'Price History'!T77-1),"")</f>
        <v>-0.00344530577088709</v>
      </c>
      <c r="U77" s="154" t="n">
        <f aca="false">IFERROR(IF(OR(NOT(ISNUMBER('Price History'!U78)),NOT(ISNUMBER('Price History'!U77)),'Price History'!U77=0),"",'Price History'!U78/'Price History'!U77-1),"")</f>
        <v>0.0149425287356322</v>
      </c>
      <c r="V77" s="155" t="n">
        <f aca="false">IFERROR(IF(OR(NOT(ISNUMBER('Price History'!V78)),NOT(ISNUMBER('Price History'!V77)),'Price History'!V77=0),"",'Price History'!V78/'Price History'!V77-1),"")</f>
        <v>-0.0149223864383523</v>
      </c>
      <c r="W77" s="156" t="n">
        <f aca="false">IFERROR('Price History'!B3+(INDEX('Price History'!B:B,MATCH(9.99E+307,'Returns (Calc)'!$A:$A)+1)-'Price History'!B3)*(ROW()-3)/(MATCH(9.99E+307,'Returns (Calc)'!$A:$A)-3),"")</f>
        <v>392.505189873418</v>
      </c>
      <c r="X77" s="156" t="n">
        <f aca="false">IFERROR('Price History'!C3+(INDEX('Price History'!C:C,MATCH(9.99E+307,'Returns (Calc)'!$A:$A)+1)-'Price History'!C3)*(ROW()-3)/(MATCH(9.99E+307,'Returns (Calc)'!$A:$A)-3),"")</f>
        <v>121.664683544304</v>
      </c>
      <c r="Y77" s="156" t="n">
        <f aca="false">IFERROR('Price History'!D3+(INDEX('Price History'!D:D,MATCH(9.99E+307,'Returns (Calc)'!$A:$A)+1)-'Price History'!D3)*(ROW()-3)/(MATCH(9.99E+307,'Returns (Calc)'!$A:$A)-3),"")</f>
        <v>1183.98594936709</v>
      </c>
      <c r="Z77" s="156" t="n">
        <f aca="false">IFERROR('Price History'!E3+(INDEX('Price History'!E:E,MATCH(9.99E+307,'Returns (Calc)'!$A:$A)+1)-'Price History'!E3)*(ROW()-3)/(MATCH(9.99E+307,'Returns (Calc)'!$A:$A)-3),"")</f>
        <v>209.926329113924</v>
      </c>
      <c r="AA77" s="156" t="n">
        <f aca="false">IFERROR('Price History'!F3+(INDEX('Price History'!F:F,MATCH(9.99E+307,'Returns (Calc)'!$A:$A)+1)-'Price History'!F3)*(ROW()-3)/(MATCH(9.99E+307,'Returns (Calc)'!$A:$A)-3),"")</f>
        <v>148.463291139241</v>
      </c>
      <c r="AB77" s="156" t="n">
        <f aca="false">IFERROR('Price History'!G3+(INDEX('Price History'!G:G,MATCH(9.99E+307,'Returns (Calc)'!$A:$A)+1)-'Price History'!G3)*(ROW()-3)/(MATCH(9.99E+307,'Returns (Calc)'!$A:$A)-3),"")</f>
        <v>120.476329113924</v>
      </c>
      <c r="AC77" s="156" t="n">
        <f aca="false">IFERROR('Price History'!H3+(INDEX('Price History'!H:H,MATCH(9.99E+307,'Returns (Calc)'!$A:$A)+1)-'Price History'!H3)*(ROW()-3)/(MATCH(9.99E+307,'Returns (Calc)'!$A:$A)-3),"")</f>
        <v>540.171518987342</v>
      </c>
      <c r="AD77" s="156" t="n">
        <f aca="false">IFERROR('Price History'!I3+(INDEX('Price History'!I:I,MATCH(9.99E+307,'Returns (Calc)'!$A:$A)+1)-'Price History'!I3)*(ROW()-3)/(MATCH(9.99E+307,'Returns (Calc)'!$A:$A)-3),"")</f>
        <v>132.84164556962</v>
      </c>
      <c r="AE77" s="156" t="n">
        <f aca="false">IFERROR('Price History'!J3+(INDEX('Price History'!J:J,MATCH(9.99E+307,'Returns (Calc)'!$A:$A)+1)-'Price History'!J3)*(ROW()-3)/(MATCH(9.99E+307,'Returns (Calc)'!$A:$A)-3),"")</f>
        <v>119.834810126582</v>
      </c>
      <c r="AF77" s="156" t="n">
        <f aca="false">IFERROR('Price History'!K3+(INDEX('Price History'!K:K,MATCH(9.99E+307,'Returns (Calc)'!$A:$A)+1)-'Price History'!K3)*(ROW()-3)/(MATCH(9.99E+307,'Returns (Calc)'!$A:$A)-3),"")</f>
        <v>96.5520253164557</v>
      </c>
      <c r="AG77" s="156" t="n">
        <f aca="false">IFERROR('Price History'!L3+(INDEX('Price History'!L:L,MATCH(9.99E+307,'Returns (Calc)'!$A:$A)+1)-'Price History'!L3)*(ROW()-3)/(MATCH(9.99E+307,'Returns (Calc)'!$A:$A)-3),"")</f>
        <v>267.017215189873</v>
      </c>
      <c r="AH77" s="156" t="n">
        <f aca="false">IFERROR('Price History'!M3+(INDEX('Price History'!M:M,MATCH(9.99E+307,'Returns (Calc)'!$A:$A)+1)-'Price History'!M3)*(ROW()-3)/(MATCH(9.99E+307,'Returns (Calc)'!$A:$A)-3),"")</f>
        <v>138.322784810127</v>
      </c>
      <c r="AI77" s="156" t="n">
        <f aca="false">IFERROR('Price History'!N3+(INDEX('Price History'!N:N,MATCH(9.99E+307,'Returns (Calc)'!$A:$A)+1)-'Price History'!N3)*(ROW()-3)/(MATCH(9.99E+307,'Returns (Calc)'!$A:$A)-3),"")</f>
        <v>421.883670886076</v>
      </c>
      <c r="AJ77" s="156" t="n">
        <f aca="false">IFERROR('Price History'!O3+(INDEX('Price History'!O:O,MATCH(9.99E+307,'Returns (Calc)'!$A:$A)+1)-'Price History'!O3)*(ROW()-3)/(MATCH(9.99E+307,'Returns (Calc)'!$A:$A)-3),"")</f>
        <v>96.2548101265823</v>
      </c>
      <c r="AK77" s="156" t="n">
        <f aca="false">IFERROR('Price History'!Q3+(INDEX('Price History'!Q:Q,MATCH(9.99E+307,'Returns (Calc)'!$A:$A)+1)-'Price History'!Q3)*(ROW()-3)/(MATCH(9.99E+307,'Returns (Calc)'!$A:$A)-3),"")</f>
        <v>32.513164556962</v>
      </c>
      <c r="AL77" s="156" t="n">
        <f aca="false">IFERROR('Price History'!R3+(INDEX('Price History'!R:R,MATCH(9.99E+307,'Returns (Calc)'!$A:$A)+1)-'Price History'!R3)*(ROW()-3)/(MATCH(9.99E+307,'Returns (Calc)'!$A:$A)-3),"")</f>
        <v>46.9194936708861</v>
      </c>
      <c r="AM77" s="156" t="n">
        <f aca="false">IFERROR('Price History'!S3+(INDEX('Price History'!S:S,MATCH(9.99E+307,'Returns (Calc)'!$A:$A)+1)-'Price History'!S3)*(ROW()-3)/(MATCH(9.99E+307,'Returns (Calc)'!$A:$A)-3),"")</f>
        <v>102.404683544304</v>
      </c>
      <c r="AN77" s="156" t="n">
        <f aca="false">IFERROR('Price History'!T3+(INDEX('Price History'!T:T,MATCH(9.99E+307,'Returns (Calc)'!$A:$A)+1)-'Price History'!T3)*(ROW()-3)/(MATCH(9.99E+307,'Returns (Calc)'!$A:$A)-3),"")</f>
        <v>37.6888607594937</v>
      </c>
      <c r="AO77" s="157" t="n">
        <f aca="false">IFERROR('Price History'!V3+(INDEX('Price History'!V:V,MATCH(9.99E+307,'Returns (Calc)'!$A:$A)+1)-'Price History'!V3)*(ROW()-3)/(MATCH(9.99E+307,'Returns (Calc)'!$A:$A)-3),"")</f>
        <v>294.18835443038</v>
      </c>
      <c r="AP77" s="155" t="n">
        <f aca="false">IFERROR(IF(OR(NOT(ISNUMBER('Price History'!W78)),NOT(ISNUMBER('Price History'!W77)),'Price History'!W77=0),"",'Price History'!W78/'Price History'!W77-1),"")</f>
        <v>-0.00335701459911009</v>
      </c>
      <c r="AQ77" s="155" t="str">
        <f aca="false">IFERROR(IF(OR(NOT(ISNUMBER('Price History'!X78)),NOT(ISNUMBER('Price History'!X77)),'Price History'!X77=0),"",'Price History'!X78/'Price History'!X77-1),"")</f>
        <v/>
      </c>
      <c r="AR77" s="155" t="n">
        <f aca="false">IFERROR(IF(OR(NOT(ISNUMBER('Price History'!Y78)),NOT(ISNUMBER('Price History'!Y77)),'Price History'!Y77=0),"",'Price History'!Y78/'Price History'!Y77-1),"")</f>
        <v>-0.000775344058926319</v>
      </c>
      <c r="AS77" s="155" t="n">
        <f aca="false">IFERROR(IF(OR(NOT(ISNUMBER('Price History'!Z78)),NOT(ISNUMBER('Price History'!Z77)),'Price History'!Z77=0),"",'Price History'!Z78/'Price History'!Z77-1),"")</f>
        <v>-0.0405267999806324</v>
      </c>
      <c r="AT77" s="155" t="n">
        <f aca="false">IFERROR(IF(OR(NOT(ISNUMBER('Price History'!AA78)),NOT(ISNUMBER('Price History'!AA77)),'Price History'!AA77=0),"",'Price History'!AA78/'Price History'!AA77-1),"")</f>
        <v>-0.0523332703570755</v>
      </c>
      <c r="AU77" s="155" t="n">
        <f aca="false">IFERROR(IF(OR(NOT(ISNUMBER('Price History'!AB78)),NOT(ISNUMBER('Price History'!AB77)),'Price History'!AB77=0),"",'Price History'!AB78/'Price History'!AB77-1),"")</f>
        <v>-0.0350854700854701</v>
      </c>
    </row>
    <row r="78" customFormat="false" ht="15" hidden="false" customHeight="true" outlineLevel="0" collapsed="false">
      <c r="A78" s="153" t="n">
        <f aca="false">IF('Price History'!A79="","",'Price History'!A79)</f>
        <v>45716</v>
      </c>
      <c r="B78" s="154" t="n">
        <f aca="false">IFERROR(IF(OR(NOT(ISNUMBER('Price History'!B79)),NOT(ISNUMBER('Price History'!B78)),'Price History'!B78=0),"",'Price History'!B79/'Price History'!B78-1),"")</f>
        <v>-0.0129636298163486</v>
      </c>
      <c r="C78" s="154" t="n">
        <f aca="false">IFERROR(IF(OR(NOT(ISNUMBER('Price History'!C79)),NOT(ISNUMBER('Price History'!C78)),'Price History'!C78=0),"",'Price History'!C79/'Price History'!C78-1),"")</f>
        <v>-0.0534079348931842</v>
      </c>
      <c r="D78" s="154" t="n">
        <f aca="false">IFERROR(IF(OR(NOT(ISNUMBER('Price History'!D79)),NOT(ISNUMBER('Price History'!D78)),'Price History'!D78=0),"",'Price History'!D79/'Price History'!D78-1),"")</f>
        <v>-0.038158400615148</v>
      </c>
      <c r="E78" s="154" t="n">
        <f aca="false">IFERROR(IF(OR(NOT(ISNUMBER('Price History'!E79)),NOT(ISNUMBER('Price History'!E78)),'Price History'!E78=0),"",'Price History'!E79/'Price History'!E78-1),"")</f>
        <v>-0.0879309544800705</v>
      </c>
      <c r="F78" s="154" t="n">
        <f aca="false">IFERROR(IF(OR(NOT(ISNUMBER('Price History'!F79)),NOT(ISNUMBER('Price History'!F78)),'Price History'!F78=0),"",'Price History'!F79/'Price History'!F78-1),"")</f>
        <v>-0.0418019081341595</v>
      </c>
      <c r="G78" s="154" t="n">
        <f aca="false">IFERROR(IF(OR(NOT(ISNUMBER('Price History'!G79)),NOT(ISNUMBER('Price History'!G78)),'Price History'!G78=0),"",'Price History'!G79/'Price History'!G78-1),"")</f>
        <v>-0.0581130049657764</v>
      </c>
      <c r="H78" s="154" t="n">
        <f aca="false">IFERROR(IF(OR(NOT(ISNUMBER('Price History'!H79)),NOT(ISNUMBER('Price History'!H78)),'Price History'!H78=0),"",'Price History'!H79/'Price History'!H78-1),"")</f>
        <v>-0.0527117611212675</v>
      </c>
      <c r="I78" s="154" t="n">
        <f aca="false">IFERROR(IF(OR(NOT(ISNUMBER('Price History'!I79)),NOT(ISNUMBER('Price History'!I78)),'Price History'!I78=0),"",'Price History'!I79/'Price History'!I78-1),"")</f>
        <v>-0.0707786396181385</v>
      </c>
      <c r="J78" s="154" t="n">
        <f aca="false">IFERROR(IF(OR(NOT(ISNUMBER('Price History'!J79)),NOT(ISNUMBER('Price History'!J78)),'Price History'!J78=0),"",'Price History'!J79/'Price History'!J78-1),"")</f>
        <v>0.0243560539688104</v>
      </c>
      <c r="K78" s="154" t="n">
        <f aca="false">IFERROR(IF(OR(NOT(ISNUMBER('Price History'!K79)),NOT(ISNUMBER('Price History'!K78)),'Price History'!K78=0),"",'Price History'!K79/'Price History'!K78-1),"")</f>
        <v>-0.162111494819931</v>
      </c>
      <c r="L78" s="154" t="n">
        <f aca="false">IFERROR(IF(OR(NOT(ISNUMBER('Price History'!L79)),NOT(ISNUMBER('Price History'!L78)),'Price History'!L78=0),"",'Price History'!L79/'Price History'!L78-1),"")</f>
        <v>-0.0893446001648804</v>
      </c>
      <c r="M78" s="154" t="n">
        <f aca="false">IFERROR(IF(OR(NOT(ISNUMBER('Price History'!M79)),NOT(ISNUMBER('Price History'!M78)),'Price History'!M78=0),"",'Price History'!M79/'Price History'!M78-1),"")</f>
        <v>-0.00856039252531582</v>
      </c>
      <c r="N78" s="154" t="n">
        <f aca="false">IFERROR(IF(OR(NOT(ISNUMBER('Price History'!N79)),NOT(ISNUMBER('Price History'!N78)),'Price History'!N78=0),"",'Price History'!N79/'Price History'!N78-1),"")</f>
        <v>-0.00918965802081606</v>
      </c>
      <c r="O78" s="154" t="n">
        <f aca="false">IFERROR(IF(OR(NOT(ISNUMBER('Price History'!O79)),NOT(ISNUMBER('Price History'!O78)),'Price History'!O78=0),"",'Price History'!O79/'Price History'!O78-1),"")</f>
        <v>-0.0112605225757079</v>
      </c>
      <c r="P78" s="154" t="n">
        <f aca="false">IFERROR(IF(OR(NOT(ISNUMBER('Price History'!P79)),NOT(ISNUMBER('Price History'!P78)),'Price History'!P78=0),"",'Price History'!P79/'Price History'!P78-1),"")</f>
        <v>0.0102651839178785</v>
      </c>
      <c r="Q78" s="154" t="n">
        <f aca="false">IFERROR(IF(OR(NOT(ISNUMBER('Price History'!Q79)),NOT(ISNUMBER('Price History'!Q78)),'Price History'!Q78=0),"",'Price History'!Q79/'Price History'!Q78-1),"")</f>
        <v>-0.0064339713688274</v>
      </c>
      <c r="R78" s="154" t="n">
        <f aca="false">IFERROR(IF(OR(NOT(ISNUMBER('Price History'!R79)),NOT(ISNUMBER('Price History'!R78)),'Price History'!R78=0),"",'Price History'!R79/'Price History'!R78-1),"")</f>
        <v>-0.0275847546851969</v>
      </c>
      <c r="S78" s="154" t="n">
        <f aca="false">IFERROR(IF(OR(NOT(ISNUMBER('Price History'!S79)),NOT(ISNUMBER('Price History'!S78)),'Price History'!S78=0),"",'Price History'!S79/'Price History'!S78-1),"")</f>
        <v>-0.00111641124530604</v>
      </c>
      <c r="T78" s="154" t="n">
        <f aca="false">IFERROR(IF(OR(NOT(ISNUMBER('Price History'!T79)),NOT(ISNUMBER('Price History'!T78)),'Price History'!T78=0),"",'Price History'!T79/'Price History'!T78-1),"")</f>
        <v>-0.00460962258715081</v>
      </c>
      <c r="U78" s="154" t="n">
        <f aca="false">IFERROR(IF(OR(NOT(ISNUMBER('Price History'!U79)),NOT(ISNUMBER('Price History'!U78)),'Price History'!U78=0),"",'Price History'!U79/'Price History'!U78-1),"")</f>
        <v>0.0117025292563233</v>
      </c>
      <c r="V78" s="155" t="n">
        <f aca="false">IFERROR(IF(OR(NOT(ISNUMBER('Price History'!V79)),NOT(ISNUMBER('Price History'!V78)),'Price History'!V78=0),"",'Price History'!V79/'Price History'!V78-1),"")</f>
        <v>0.0406570126817378</v>
      </c>
      <c r="W78" s="156" t="n">
        <f aca="false">IFERROR('Price History'!B3+(INDEX('Price History'!B:B,MATCH(9.99E+307,'Returns (Calc)'!$A:$A)+1)-'Price History'!B3)*(ROW()-3)/(MATCH(9.99E+307,'Returns (Calc)'!$A:$A)-3),"")</f>
        <v>390.662151898734</v>
      </c>
      <c r="X78" s="156" t="n">
        <f aca="false">IFERROR('Price History'!C3+(INDEX('Price History'!C:C,MATCH(9.99E+307,'Returns (Calc)'!$A:$A)+1)-'Price History'!C3)*(ROW()-3)/(MATCH(9.99E+307,'Returns (Calc)'!$A:$A)-3),"")</f>
        <v>122.684746835443</v>
      </c>
      <c r="Y78" s="156" t="n">
        <f aca="false">IFERROR('Price History'!D3+(INDEX('Price History'!D:D,MATCH(9.99E+307,'Returns (Calc)'!$A:$A)+1)-'Price History'!D3)*(ROW()-3)/(MATCH(9.99E+307,'Returns (Calc)'!$A:$A)-3),"")</f>
        <v>1192.12075949367</v>
      </c>
      <c r="Z78" s="156" t="n">
        <f aca="false">IFERROR('Price History'!E3+(INDEX('Price History'!E:E,MATCH(9.99E+307,'Returns (Calc)'!$A:$A)+1)-'Price History'!E3)*(ROW()-3)/(MATCH(9.99E+307,'Returns (Calc)'!$A:$A)-3),"")</f>
        <v>211.655063291139</v>
      </c>
      <c r="AA78" s="156" t="n">
        <f aca="false">IFERROR('Price History'!F3+(INDEX('Price History'!F:F,MATCH(9.99E+307,'Returns (Calc)'!$A:$A)+1)-'Price History'!F3)*(ROW()-3)/(MATCH(9.99E+307,'Returns (Calc)'!$A:$A)-3),"")</f>
        <v>149.910632911392</v>
      </c>
      <c r="AB78" s="156" t="n">
        <f aca="false">IFERROR('Price History'!G3+(INDEX('Price History'!G:G,MATCH(9.99E+307,'Returns (Calc)'!$A:$A)+1)-'Price History'!G3)*(ROW()-3)/(MATCH(9.99E+307,'Returns (Calc)'!$A:$A)-3),"")</f>
        <v>121.505063291139</v>
      </c>
      <c r="AC78" s="156" t="n">
        <f aca="false">IFERROR('Price History'!H3+(INDEX('Price History'!H:H,MATCH(9.99E+307,'Returns (Calc)'!$A:$A)+1)-'Price History'!H3)*(ROW()-3)/(MATCH(9.99E+307,'Returns (Calc)'!$A:$A)-3),"")</f>
        <v>546.537215189874</v>
      </c>
      <c r="AD78" s="156" t="n">
        <f aca="false">IFERROR('Price History'!I3+(INDEX('Price History'!I:I,MATCH(9.99E+307,'Returns (Calc)'!$A:$A)+1)-'Price History'!I3)*(ROW()-3)/(MATCH(9.99E+307,'Returns (Calc)'!$A:$A)-3),"")</f>
        <v>134.045316455696</v>
      </c>
      <c r="AE78" s="156" t="n">
        <f aca="false">IFERROR('Price History'!J3+(INDEX('Price History'!J:J,MATCH(9.99E+307,'Returns (Calc)'!$A:$A)+1)-'Price History'!J3)*(ROW()-3)/(MATCH(9.99E+307,'Returns (Calc)'!$A:$A)-3),"")</f>
        <v>119.942848101266</v>
      </c>
      <c r="AF78" s="156" t="n">
        <f aca="false">IFERROR('Price History'!K3+(INDEX('Price History'!K:K,MATCH(9.99E+307,'Returns (Calc)'!$A:$A)+1)-'Price History'!K3)*(ROW()-3)/(MATCH(9.99E+307,'Returns (Calc)'!$A:$A)-3),"")</f>
        <v>97.6496202531645</v>
      </c>
      <c r="AG78" s="156" t="n">
        <f aca="false">IFERROR('Price History'!L3+(INDEX('Price History'!L:L,MATCH(9.99E+307,'Returns (Calc)'!$A:$A)+1)-'Price History'!L3)*(ROW()-3)/(MATCH(9.99E+307,'Returns (Calc)'!$A:$A)-3),"")</f>
        <v>269.466772151899</v>
      </c>
      <c r="AH78" s="156" t="n">
        <f aca="false">IFERROR('Price History'!M3+(INDEX('Price History'!M:M,MATCH(9.99E+307,'Returns (Calc)'!$A:$A)+1)-'Price History'!M3)*(ROW()-3)/(MATCH(9.99E+307,'Returns (Calc)'!$A:$A)-3),"")</f>
        <v>139.678227848101</v>
      </c>
      <c r="AI78" s="156" t="n">
        <f aca="false">IFERROR('Price History'!N3+(INDEX('Price History'!N:N,MATCH(9.99E+307,'Returns (Calc)'!$A:$A)+1)-'Price History'!N3)*(ROW()-3)/(MATCH(9.99E+307,'Returns (Calc)'!$A:$A)-3),"")</f>
        <v>422.869936708861</v>
      </c>
      <c r="AJ78" s="156" t="n">
        <f aca="false">IFERROR('Price History'!O3+(INDEX('Price History'!O:O,MATCH(9.99E+307,'Returns (Calc)'!$A:$A)+1)-'Price History'!O3)*(ROW()-3)/(MATCH(9.99E+307,'Returns (Calc)'!$A:$A)-3),"")</f>
        <v>96.5378481012658</v>
      </c>
      <c r="AK78" s="156" t="n">
        <f aca="false">IFERROR('Price History'!Q3+(INDEX('Price History'!Q:Q,MATCH(9.99E+307,'Returns (Calc)'!$A:$A)+1)-'Price History'!Q3)*(ROW()-3)/(MATCH(9.99E+307,'Returns (Calc)'!$A:$A)-3),"")</f>
        <v>32.9525316455696</v>
      </c>
      <c r="AL78" s="156" t="n">
        <f aca="false">IFERROR('Price History'!R3+(INDEX('Price History'!R:R,MATCH(9.99E+307,'Returns (Calc)'!$A:$A)+1)-'Price History'!R3)*(ROW()-3)/(MATCH(9.99E+307,'Returns (Calc)'!$A:$A)-3),"")</f>
        <v>47.0875949367089</v>
      </c>
      <c r="AM78" s="156" t="n">
        <f aca="false">IFERROR('Price History'!S3+(INDEX('Price History'!S:S,MATCH(9.99E+307,'Returns (Calc)'!$A:$A)+1)-'Price History'!S3)*(ROW()-3)/(MATCH(9.99E+307,'Returns (Calc)'!$A:$A)-3),"")</f>
        <v>103.009746835443</v>
      </c>
      <c r="AN78" s="156" t="n">
        <f aca="false">IFERROR('Price History'!T3+(INDEX('Price History'!T:T,MATCH(9.99E+307,'Returns (Calc)'!$A:$A)+1)-'Price History'!T3)*(ROW()-3)/(MATCH(9.99E+307,'Returns (Calc)'!$A:$A)-3),"")</f>
        <v>37.8570886075949</v>
      </c>
      <c r="AO78" s="157" t="n">
        <f aca="false">IFERROR('Price History'!V3+(INDEX('Price History'!V:V,MATCH(9.99E+307,'Returns (Calc)'!$A:$A)+1)-'Price History'!V3)*(ROW()-3)/(MATCH(9.99E+307,'Returns (Calc)'!$A:$A)-3),"")</f>
        <v>294.979683544304</v>
      </c>
      <c r="AP78" s="155" t="n">
        <f aca="false">IFERROR(IF(OR(NOT(ISNUMBER('Price History'!W79)),NOT(ISNUMBER('Price History'!W78)),'Price History'!W78=0),"",'Price History'!W79/'Price History'!W78-1),"")</f>
        <v>0.00548331505561661</v>
      </c>
      <c r="AQ78" s="155" t="str">
        <f aca="false">IFERROR(IF(OR(NOT(ISNUMBER('Price History'!X79)),NOT(ISNUMBER('Price History'!X78)),'Price History'!X78=0),"",'Price History'!X79/'Price History'!X78-1),"")</f>
        <v/>
      </c>
      <c r="AR78" s="155" t="n">
        <f aca="false">IFERROR(IF(OR(NOT(ISNUMBER('Price History'!Y79)),NOT(ISNUMBER('Price History'!Y78)),'Price History'!Y78=0),"",'Price History'!Y79/'Price History'!Y78-1),"")</f>
        <v>0.00465567410281276</v>
      </c>
      <c r="AS78" s="155" t="n">
        <f aca="false">IFERROR(IF(OR(NOT(ISNUMBER('Price History'!Z79)),NOT(ISNUMBER('Price History'!Z78)),'Price History'!Z78=0),"",'Price History'!Z79/'Price History'!Z78-1),"")</f>
        <v>0.0357791683488091</v>
      </c>
      <c r="AT78" s="155" t="n">
        <f aca="false">IFERROR(IF(OR(NOT(ISNUMBER('Price History'!AA79)),NOT(ISNUMBER('Price History'!AA78)),'Price History'!AA78=0),"",'Price History'!AA79/'Price History'!AA78-1),"")</f>
        <v>-0.0225279106858053</v>
      </c>
      <c r="AU78" s="155" t="n">
        <f aca="false">IFERROR(IF(OR(NOT(ISNUMBER('Price History'!AB79)),NOT(ISNUMBER('Price History'!AB78)),'Price History'!AB78=0),"",'Price History'!AB79/'Price History'!AB78-1),"")</f>
        <v>-0.00730767527348419</v>
      </c>
    </row>
    <row r="79" customFormat="false" ht="15" hidden="false" customHeight="true" outlineLevel="0" collapsed="false">
      <c r="A79" s="153" t="n">
        <f aca="false">IF('Price History'!A80="","",'Price History'!A80)</f>
        <v>45723</v>
      </c>
      <c r="B79" s="154" t="n">
        <f aca="false">IFERROR(IF(OR(NOT(ISNUMBER('Price History'!B80)),NOT(ISNUMBER('Price History'!B79)),'Price History'!B79=0),"",'Price History'!B80/'Price History'!B79-1),"")</f>
        <v>0.0247172564757387</v>
      </c>
      <c r="C79" s="154" t="n">
        <f aca="false">IFERROR(IF(OR(NOT(ISNUMBER('Price History'!C80)),NOT(ISNUMBER('Price History'!C79)),'Price History'!C79=0),"",'Price History'!C80/'Price History'!C79-1),"")</f>
        <v>-0.10413756045137</v>
      </c>
      <c r="D79" s="154" t="n">
        <f aca="false">IFERROR(IF(OR(NOT(ISNUMBER('Price History'!D80)),NOT(ISNUMBER('Price History'!D79)),'Price History'!D79=0),"",'Price History'!D80/'Price History'!D79-1),"")</f>
        <v>0.0326342988479493</v>
      </c>
      <c r="E79" s="154" t="n">
        <f aca="false">IFERROR(IF(OR(NOT(ISNUMBER('Price History'!E80)),NOT(ISNUMBER('Price History'!E79)),'Price History'!E79=0),"",'Price History'!E80/'Price History'!E79-1),"")</f>
        <v>-0.0223850223850224</v>
      </c>
      <c r="F79" s="154" t="n">
        <f aca="false">IFERROR(IF(OR(NOT(ISNUMBER('Price History'!F80)),NOT(ISNUMBER('Price History'!F79)),'Price History'!F79=0),"",'Price History'!F80/'Price History'!F79-1),"")</f>
        <v>-0.144118250872511</v>
      </c>
      <c r="G79" s="154" t="n">
        <f aca="false">IFERROR(IF(OR(NOT(ISNUMBER('Price History'!G80)),NOT(ISNUMBER('Price History'!G79)),'Price History'!G79=0),"",'Price History'!G80/'Price History'!G79-1),"")</f>
        <v>0.00341977771444846</v>
      </c>
      <c r="H79" s="154" t="n">
        <f aca="false">IFERROR(IF(OR(NOT(ISNUMBER('Price History'!H80)),NOT(ISNUMBER('Price History'!H79)),'Price History'!H79=0),"",'Price History'!H80/'Price History'!H79-1),"")</f>
        <v>-0.00718344590972453</v>
      </c>
      <c r="I79" s="154" t="n">
        <f aca="false">IFERROR(IF(OR(NOT(ISNUMBER('Price History'!I80)),NOT(ISNUMBER('Price History'!I79)),'Price History'!I79=0),"",'Price History'!I80/'Price History'!I79-1),"")</f>
        <v>-0.0978409182117345</v>
      </c>
      <c r="J79" s="154" t="n">
        <f aca="false">IFERROR(IF(OR(NOT(ISNUMBER('Price History'!J80)),NOT(ISNUMBER('Price History'!J79)),'Price History'!J79=0),"",'Price History'!J80/'Price History'!J79-1),"")</f>
        <v>-0.032329798152583</v>
      </c>
      <c r="K79" s="154" t="n">
        <f aca="false">IFERROR(IF(OR(NOT(ISNUMBER('Price History'!K80)),NOT(ISNUMBER('Price History'!K79)),'Price History'!K79=0),"",'Price History'!K80/'Price History'!K79-1),"")</f>
        <v>-0.000117757889778636</v>
      </c>
      <c r="L79" s="154" t="n">
        <f aca="false">IFERROR(IF(OR(NOT(ISNUMBER('Price History'!L80)),NOT(ISNUMBER('Price History'!L79)),'Price History'!L79=0),"",'Price History'!L80/'Price History'!L79-1),"")</f>
        <v>-0.0190109765757611</v>
      </c>
      <c r="M79" s="154" t="n">
        <f aca="false">IFERROR(IF(OR(NOT(ISNUMBER('Price History'!M80)),NOT(ISNUMBER('Price History'!M79)),'Price History'!M79=0),"",'Price History'!M80/'Price History'!M79-1),"")</f>
        <v>-0.106454669895757</v>
      </c>
      <c r="N79" s="154" t="n">
        <f aca="false">IFERROR(IF(OR(NOT(ISNUMBER('Price History'!N80)),NOT(ISNUMBER('Price History'!N79)),'Price History'!N79=0),"",'Price History'!N80/'Price History'!N79-1),"")</f>
        <v>0.0177160841201358</v>
      </c>
      <c r="O79" s="154" t="n">
        <f aca="false">IFERROR(IF(OR(NOT(ISNUMBER('Price History'!O80)),NOT(ISNUMBER('Price History'!O79)),'Price History'!O79=0),"",'Price History'!O80/'Price History'!O79-1),"")</f>
        <v>-0.0448916408668731</v>
      </c>
      <c r="P79" s="154" t="n">
        <f aca="false">IFERROR(IF(OR(NOT(ISNUMBER('Price History'!P80)),NOT(ISNUMBER('Price History'!P79)),'Price History'!P79=0),"",'Price History'!P80/'Price History'!P79-1),"")</f>
        <v>-0.0274805634670156</v>
      </c>
      <c r="Q79" s="154" t="n">
        <f aca="false">IFERROR(IF(OR(NOT(ISNUMBER('Price History'!Q80)),NOT(ISNUMBER('Price History'!Q79)),'Price History'!Q79=0),"",'Price History'!Q80/'Price History'!Q79-1),"")</f>
        <v>-0.0174842156386597</v>
      </c>
      <c r="R79" s="154" t="n">
        <f aca="false">IFERROR(IF(OR(NOT(ISNUMBER('Price History'!R80)),NOT(ISNUMBER('Price History'!R79)),'Price History'!R79=0),"",'Price History'!R80/'Price History'!R79-1),"")</f>
        <v>-0.0313988739714163</v>
      </c>
      <c r="S79" s="154" t="n">
        <f aca="false">IFERROR(IF(OR(NOT(ISNUMBER('Price History'!S80)),NOT(ISNUMBER('Price History'!S79)),'Price History'!S79=0),"",'Price History'!S80/'Price History'!S79-1),"")</f>
        <v>-0.0526315789473685</v>
      </c>
      <c r="T79" s="154" t="n">
        <f aca="false">IFERROR(IF(OR(NOT(ISNUMBER('Price History'!T80)),NOT(ISNUMBER('Price History'!T79)),'Price History'!T79=0),"",'Price History'!T80/'Price History'!T79-1),"")</f>
        <v>-0.0144717800289436</v>
      </c>
      <c r="U79" s="154" t="n">
        <f aca="false">IFERROR(IF(OR(NOT(ISNUMBER('Price History'!U80)),NOT(ISNUMBER('Price History'!U79)),'Price History'!U79=0),"",'Price History'!U80/'Price History'!U79-1),"")</f>
        <v>-0.00261194029850742</v>
      </c>
      <c r="V79" s="155" t="n">
        <f aca="false">IFERROR(IF(OR(NOT(ISNUMBER('Price History'!V80)),NOT(ISNUMBER('Price History'!V79)),'Price History'!V79=0),"",'Price History'!V80/'Price History'!V79-1),"")</f>
        <v>-0.047936419408812</v>
      </c>
      <c r="W79" s="156" t="n">
        <f aca="false">IFERROR('Price History'!B3+(INDEX('Price History'!B:B,MATCH(9.99E+307,'Returns (Calc)'!$A:$A)+1)-'Price History'!B3)*(ROW()-3)/(MATCH(9.99E+307,'Returns (Calc)'!$A:$A)-3),"")</f>
        <v>388.819113924051</v>
      </c>
      <c r="X79" s="156" t="n">
        <f aca="false">IFERROR('Price History'!C3+(INDEX('Price History'!C:C,MATCH(9.99E+307,'Returns (Calc)'!$A:$A)+1)-'Price History'!C3)*(ROW()-3)/(MATCH(9.99E+307,'Returns (Calc)'!$A:$A)-3),"")</f>
        <v>123.704810126582</v>
      </c>
      <c r="Y79" s="156" t="n">
        <f aca="false">IFERROR('Price History'!D3+(INDEX('Price History'!D:D,MATCH(9.99E+307,'Returns (Calc)'!$A:$A)+1)-'Price History'!D3)*(ROW()-3)/(MATCH(9.99E+307,'Returns (Calc)'!$A:$A)-3),"")</f>
        <v>1200.25556962025</v>
      </c>
      <c r="Z79" s="156" t="n">
        <f aca="false">IFERROR('Price History'!E3+(INDEX('Price History'!E:E,MATCH(9.99E+307,'Returns (Calc)'!$A:$A)+1)-'Price History'!E3)*(ROW()-3)/(MATCH(9.99E+307,'Returns (Calc)'!$A:$A)-3),"")</f>
        <v>213.383797468354</v>
      </c>
      <c r="AA79" s="156" t="n">
        <f aca="false">IFERROR('Price History'!F3+(INDEX('Price History'!F:F,MATCH(9.99E+307,'Returns (Calc)'!$A:$A)+1)-'Price History'!F3)*(ROW()-3)/(MATCH(9.99E+307,'Returns (Calc)'!$A:$A)-3),"")</f>
        <v>151.357974683544</v>
      </c>
      <c r="AB79" s="156" t="n">
        <f aca="false">IFERROR('Price History'!G3+(INDEX('Price History'!G:G,MATCH(9.99E+307,'Returns (Calc)'!$A:$A)+1)-'Price History'!G3)*(ROW()-3)/(MATCH(9.99E+307,'Returns (Calc)'!$A:$A)-3),"")</f>
        <v>122.533797468354</v>
      </c>
      <c r="AC79" s="156" t="n">
        <f aca="false">IFERROR('Price History'!H3+(INDEX('Price History'!H:H,MATCH(9.99E+307,'Returns (Calc)'!$A:$A)+1)-'Price History'!H3)*(ROW()-3)/(MATCH(9.99E+307,'Returns (Calc)'!$A:$A)-3),"")</f>
        <v>552.902911392405</v>
      </c>
      <c r="AD79" s="156" t="n">
        <f aca="false">IFERROR('Price History'!I3+(INDEX('Price History'!I:I,MATCH(9.99E+307,'Returns (Calc)'!$A:$A)+1)-'Price History'!I3)*(ROW()-3)/(MATCH(9.99E+307,'Returns (Calc)'!$A:$A)-3),"")</f>
        <v>135.248987341772</v>
      </c>
      <c r="AE79" s="156" t="n">
        <f aca="false">IFERROR('Price History'!J3+(INDEX('Price History'!J:J,MATCH(9.99E+307,'Returns (Calc)'!$A:$A)+1)-'Price History'!J3)*(ROW()-3)/(MATCH(9.99E+307,'Returns (Calc)'!$A:$A)-3),"")</f>
        <v>120.050886075949</v>
      </c>
      <c r="AF79" s="156" t="n">
        <f aca="false">IFERROR('Price History'!K3+(INDEX('Price History'!K:K,MATCH(9.99E+307,'Returns (Calc)'!$A:$A)+1)-'Price History'!K3)*(ROW()-3)/(MATCH(9.99E+307,'Returns (Calc)'!$A:$A)-3),"")</f>
        <v>98.7472151898734</v>
      </c>
      <c r="AG79" s="156" t="n">
        <f aca="false">IFERROR('Price History'!L3+(INDEX('Price History'!L:L,MATCH(9.99E+307,'Returns (Calc)'!$A:$A)+1)-'Price History'!L3)*(ROW()-3)/(MATCH(9.99E+307,'Returns (Calc)'!$A:$A)-3),"")</f>
        <v>271.916329113924</v>
      </c>
      <c r="AH79" s="156" t="n">
        <f aca="false">IFERROR('Price History'!M3+(INDEX('Price History'!M:M,MATCH(9.99E+307,'Returns (Calc)'!$A:$A)+1)-'Price History'!M3)*(ROW()-3)/(MATCH(9.99E+307,'Returns (Calc)'!$A:$A)-3),"")</f>
        <v>141.033670886076</v>
      </c>
      <c r="AI79" s="156" t="n">
        <f aca="false">IFERROR('Price History'!N3+(INDEX('Price History'!N:N,MATCH(9.99E+307,'Returns (Calc)'!$A:$A)+1)-'Price History'!N3)*(ROW()-3)/(MATCH(9.99E+307,'Returns (Calc)'!$A:$A)-3),"")</f>
        <v>423.856202531646</v>
      </c>
      <c r="AJ79" s="156" t="n">
        <f aca="false">IFERROR('Price History'!O3+(INDEX('Price History'!O:O,MATCH(9.99E+307,'Returns (Calc)'!$A:$A)+1)-'Price History'!O3)*(ROW()-3)/(MATCH(9.99E+307,'Returns (Calc)'!$A:$A)-3),"")</f>
        <v>96.8208860759494</v>
      </c>
      <c r="AK79" s="156" t="n">
        <f aca="false">IFERROR('Price History'!Q3+(INDEX('Price History'!Q:Q,MATCH(9.99E+307,'Returns (Calc)'!$A:$A)+1)-'Price History'!Q3)*(ROW()-3)/(MATCH(9.99E+307,'Returns (Calc)'!$A:$A)-3),"")</f>
        <v>33.3918987341772</v>
      </c>
      <c r="AL79" s="156" t="n">
        <f aca="false">IFERROR('Price History'!R3+(INDEX('Price History'!R:R,MATCH(9.99E+307,'Returns (Calc)'!$A:$A)+1)-'Price History'!R3)*(ROW()-3)/(MATCH(9.99E+307,'Returns (Calc)'!$A:$A)-3),"")</f>
        <v>47.2556962025316</v>
      </c>
      <c r="AM79" s="156" t="n">
        <f aca="false">IFERROR('Price History'!S3+(INDEX('Price History'!S:S,MATCH(9.99E+307,'Returns (Calc)'!$A:$A)+1)-'Price History'!S3)*(ROW()-3)/(MATCH(9.99E+307,'Returns (Calc)'!$A:$A)-3),"")</f>
        <v>103.614810126582</v>
      </c>
      <c r="AN79" s="156" t="n">
        <f aca="false">IFERROR('Price History'!T3+(INDEX('Price History'!T:T,MATCH(9.99E+307,'Returns (Calc)'!$A:$A)+1)-'Price History'!T3)*(ROW()-3)/(MATCH(9.99E+307,'Returns (Calc)'!$A:$A)-3),"")</f>
        <v>38.0253164556962</v>
      </c>
      <c r="AO79" s="157" t="n">
        <f aca="false">IFERROR('Price History'!V3+(INDEX('Price History'!V:V,MATCH(9.99E+307,'Returns (Calc)'!$A:$A)+1)-'Price History'!V3)*(ROW()-3)/(MATCH(9.99E+307,'Returns (Calc)'!$A:$A)-3),"")</f>
        <v>295.771012658228</v>
      </c>
      <c r="AP79" s="155" t="n">
        <f aca="false">IFERROR(IF(OR(NOT(ISNUMBER('Price History'!W80)),NOT(ISNUMBER('Price History'!W79)),'Price History'!W79=0),"",'Price History'!W80/'Price History'!W79-1),"")</f>
        <v>-0.0210345902150204</v>
      </c>
      <c r="AQ79" s="155" t="str">
        <f aca="false">IFERROR(IF(OR(NOT(ISNUMBER('Price History'!X80)),NOT(ISNUMBER('Price History'!X79)),'Price History'!X79=0),"",'Price History'!X80/'Price History'!X79-1),"")</f>
        <v/>
      </c>
      <c r="AR79" s="155" t="n">
        <f aca="false">IFERROR(IF(OR(NOT(ISNUMBER('Price History'!Y80)),NOT(ISNUMBER('Price History'!Y79)),'Price History'!Y79=0),"",'Price History'!Y80/'Price History'!Y79-1),"")</f>
        <v>-0.014867735083993</v>
      </c>
      <c r="AS79" s="155" t="n">
        <f aca="false">IFERROR(IF(OR(NOT(ISNUMBER('Price History'!Z80)),NOT(ISNUMBER('Price History'!Z79)),'Price History'!Z79=0),"",'Price History'!Z80/'Price History'!Z79-1),"")</f>
        <v>-0.0634348355663825</v>
      </c>
      <c r="AT79" s="155" t="n">
        <f aca="false">IFERROR(IF(OR(NOT(ISNUMBER('Price History'!AA80)),NOT(ISNUMBER('Price History'!AA79)),'Price History'!AA79=0),"",'Price History'!AA80/'Price History'!AA79-1),"")</f>
        <v>-0.0912706506220682</v>
      </c>
      <c r="AU79" s="155" t="n">
        <f aca="false">IFERROR(IF(OR(NOT(ISNUMBER('Price History'!AB80)),NOT(ISNUMBER('Price History'!AB79)),'Price History'!AB79=0),"",'Price History'!AB80/'Price History'!AB79-1),"")</f>
        <v>0.101097528330508</v>
      </c>
    </row>
    <row r="80" customFormat="false" ht="15" hidden="false" customHeight="true" outlineLevel="0" collapsed="false">
      <c r="A80" s="153" t="n">
        <f aca="false">IF('Price History'!A81="","",'Price History'!A81)</f>
        <v>45730</v>
      </c>
      <c r="B80" s="154" t="n">
        <f aca="false">IFERROR(IF(OR(NOT(ISNUMBER('Price History'!B81)),NOT(ISNUMBER('Price History'!B80)),'Price History'!B80=0),"",'Price History'!B81/'Price History'!B80-1),"")</f>
        <v>-0.121628838451268</v>
      </c>
      <c r="C80" s="154" t="n">
        <f aca="false">IFERROR(IF(OR(NOT(ISNUMBER('Price History'!C81)),NOT(ISNUMBER('Price History'!C80)),'Price History'!C80=0),"",'Price History'!C81/'Price History'!C80-1),"")</f>
        <v>0.00179942418426116</v>
      </c>
      <c r="D80" s="154" t="n">
        <f aca="false">IFERROR(IF(OR(NOT(ISNUMBER('Price History'!D81)),NOT(ISNUMBER('Price History'!D80)),'Price History'!D80=0),"",'Price History'!D81/'Price History'!D80-1),"")</f>
        <v>-0.0248842192576207</v>
      </c>
      <c r="E80" s="154" t="n">
        <f aca="false">IFERROR(IF(OR(NOT(ISNUMBER('Price History'!E81)),NOT(ISNUMBER('Price History'!E80)),'Price History'!E80=0),"",'Price History'!E81/'Price History'!E80-1),"")</f>
        <v>0.00296627810158201</v>
      </c>
      <c r="F80" s="154" t="n">
        <f aca="false">IFERROR(IF(OR(NOT(ISNUMBER('Price History'!F81)),NOT(ISNUMBER('Price History'!F80)),'Price History'!F80=0),"",'Price History'!F81/'Price History'!F80-1),"")</f>
        <v>0.0605660829935237</v>
      </c>
      <c r="G80" s="154" t="n">
        <f aca="false">IFERROR(IF(OR(NOT(ISNUMBER('Price History'!G81)),NOT(ISNUMBER('Price History'!G80)),'Price History'!G80=0),"",'Price History'!G81/'Price History'!G80-1),"")</f>
        <v>0.00241408690712874</v>
      </c>
      <c r="H80" s="154" t="n">
        <f aca="false">IFERROR(IF(OR(NOT(ISNUMBER('Price History'!H81)),NOT(ISNUMBER('Price History'!H80)),'Price History'!H80=0),"",'Price History'!H81/'Price History'!H80-1),"")</f>
        <v>0.084233261339093</v>
      </c>
      <c r="I80" s="154" t="n">
        <f aca="false">IFERROR(IF(OR(NOT(ISNUMBER('Price History'!I81)),NOT(ISNUMBER('Price History'!I80)),'Price History'!I80=0),"",'Price History'!I81/'Price History'!I80-1),"")</f>
        <v>0.079715302491103</v>
      </c>
      <c r="J80" s="154" t="n">
        <f aca="false">IFERROR(IF(OR(NOT(ISNUMBER('Price History'!J81)),NOT(ISNUMBER('Price History'!J80)),'Price History'!J80=0),"",'Price History'!J81/'Price History'!J80-1),"")</f>
        <v>-0.0669082552589713</v>
      </c>
      <c r="K80" s="154" t="n">
        <f aca="false">IFERROR(IF(OR(NOT(ISNUMBER('Price History'!K81)),NOT(ISNUMBER('Price History'!K80)),'Price History'!K80=0),"",'Price History'!K81/'Price History'!K80-1),"")</f>
        <v>0.0156636438582027</v>
      </c>
      <c r="L80" s="154" t="n">
        <f aca="false">IFERROR(IF(OR(NOT(ISNUMBER('Price History'!L81)),NOT(ISNUMBER('Price History'!L80)),'Price History'!L80=0),"",'Price History'!L81/'Price History'!L80-1),"")</f>
        <v>-0.0169569731226208</v>
      </c>
      <c r="M80" s="154" t="n">
        <f aca="false">IFERROR(IF(OR(NOT(ISNUMBER('Price History'!M81)),NOT(ISNUMBER('Price History'!M80)),'Price History'!M80=0),"",'Price History'!M81/'Price History'!M80-1),"")</f>
        <v>0.0283997171812396</v>
      </c>
      <c r="N80" s="154" t="n">
        <f aca="false">IFERROR(IF(OR(NOT(ISNUMBER('Price History'!N81)),NOT(ISNUMBER('Price History'!N80)),'Price History'!N80=0),"",'Price History'!N81/'Price History'!N80-1),"")</f>
        <v>0.0337504351922013</v>
      </c>
      <c r="O80" s="154" t="n">
        <f aca="false">IFERROR(IF(OR(NOT(ISNUMBER('Price History'!O81)),NOT(ISNUMBER('Price History'!O80)),'Price History'!O80=0),"",'Price History'!O81/'Price History'!O80-1),"")</f>
        <v>-0.0187543412827043</v>
      </c>
      <c r="P80" s="154" t="n">
        <f aca="false">IFERROR(IF(OR(NOT(ISNUMBER('Price History'!P81)),NOT(ISNUMBER('Price History'!P80)),'Price History'!P80=0),"",'Price History'!P81/'Price History'!P80-1),"")</f>
        <v>-0.00839005857210706</v>
      </c>
      <c r="Q80" s="154" t="n">
        <f aca="false">IFERROR(IF(OR(NOT(ISNUMBER('Price History'!Q81)),NOT(ISNUMBER('Price History'!Q80)),'Price History'!Q80=0),"",'Price History'!Q81/'Price History'!Q80-1),"")</f>
        <v>-0.0141703740319657</v>
      </c>
      <c r="R80" s="154" t="n">
        <f aca="false">IFERROR(IF(OR(NOT(ISNUMBER('Price History'!R81)),NOT(ISNUMBER('Price History'!R80)),'Price History'!R80=0),"",'Price History'!R81/'Price History'!R80-1),"")</f>
        <v>-0.0212385423653029</v>
      </c>
      <c r="S80" s="154" t="n">
        <f aca="false">IFERROR(IF(OR(NOT(ISNUMBER('Price History'!S81)),NOT(ISNUMBER('Price History'!S80)),'Price History'!S80=0),"",'Price History'!S81/'Price History'!S80-1),"")</f>
        <v>-0.0071857571857572</v>
      </c>
      <c r="T80" s="154" t="n">
        <f aca="false">IFERROR(IF(OR(NOT(ISNUMBER('Price History'!T81)),NOT(ISNUMBER('Price History'!T80)),'Price History'!T80=0),"",'Price History'!T81/'Price History'!T80-1),"")</f>
        <v>-0.0187958883994126</v>
      </c>
      <c r="U80" s="154" t="n">
        <f aca="false">IFERROR(IF(OR(NOT(ISNUMBER('Price History'!U81)),NOT(ISNUMBER('Price History'!U80)),'Price History'!U80=0),"",'Price History'!U81/'Price History'!U80-1),"")</f>
        <v>-0.0288065843621399</v>
      </c>
      <c r="V80" s="155" t="n">
        <f aca="false">IFERROR(IF(OR(NOT(ISNUMBER('Price History'!V81)),NOT(ISNUMBER('Price History'!V80)),'Price History'!V80=0),"",'Price History'!V81/'Price History'!V80-1),"")</f>
        <v>-0.039161125918983</v>
      </c>
      <c r="W80" s="156" t="n">
        <f aca="false">IFERROR('Price History'!B3+(INDEX('Price History'!B:B,MATCH(9.99E+307,'Returns (Calc)'!$A:$A)+1)-'Price History'!B3)*(ROW()-3)/(MATCH(9.99E+307,'Returns (Calc)'!$A:$A)-3),"")</f>
        <v>386.976075949367</v>
      </c>
      <c r="X80" s="156" t="n">
        <f aca="false">IFERROR('Price History'!C3+(INDEX('Price History'!C:C,MATCH(9.99E+307,'Returns (Calc)'!$A:$A)+1)-'Price History'!C3)*(ROW()-3)/(MATCH(9.99E+307,'Returns (Calc)'!$A:$A)-3),"")</f>
        <v>124.724873417722</v>
      </c>
      <c r="Y80" s="156" t="n">
        <f aca="false">IFERROR('Price History'!D3+(INDEX('Price History'!D:D,MATCH(9.99E+307,'Returns (Calc)'!$A:$A)+1)-'Price History'!D3)*(ROW()-3)/(MATCH(9.99E+307,'Returns (Calc)'!$A:$A)-3),"")</f>
        <v>1208.39037974684</v>
      </c>
      <c r="Z80" s="156" t="n">
        <f aca="false">IFERROR('Price History'!E3+(INDEX('Price History'!E:E,MATCH(9.99E+307,'Returns (Calc)'!$A:$A)+1)-'Price History'!E3)*(ROW()-3)/(MATCH(9.99E+307,'Returns (Calc)'!$A:$A)-3),"")</f>
        <v>215.11253164557</v>
      </c>
      <c r="AA80" s="156" t="n">
        <f aca="false">IFERROR('Price History'!F3+(INDEX('Price History'!F:F,MATCH(9.99E+307,'Returns (Calc)'!$A:$A)+1)-'Price History'!F3)*(ROW()-3)/(MATCH(9.99E+307,'Returns (Calc)'!$A:$A)-3),"")</f>
        <v>152.805316455696</v>
      </c>
      <c r="AB80" s="156" t="n">
        <f aca="false">IFERROR('Price History'!G3+(INDEX('Price History'!G:G,MATCH(9.99E+307,'Returns (Calc)'!$A:$A)+1)-'Price History'!G3)*(ROW()-3)/(MATCH(9.99E+307,'Returns (Calc)'!$A:$A)-3),"")</f>
        <v>123.56253164557</v>
      </c>
      <c r="AC80" s="156" t="n">
        <f aca="false">IFERROR('Price History'!H3+(INDEX('Price History'!H:H,MATCH(9.99E+307,'Returns (Calc)'!$A:$A)+1)-'Price History'!H3)*(ROW()-3)/(MATCH(9.99E+307,'Returns (Calc)'!$A:$A)-3),"")</f>
        <v>559.268607594937</v>
      </c>
      <c r="AD80" s="156" t="n">
        <f aca="false">IFERROR('Price History'!I3+(INDEX('Price History'!I:I,MATCH(9.99E+307,'Returns (Calc)'!$A:$A)+1)-'Price History'!I3)*(ROW()-3)/(MATCH(9.99E+307,'Returns (Calc)'!$A:$A)-3),"")</f>
        <v>136.452658227848</v>
      </c>
      <c r="AE80" s="156" t="n">
        <f aca="false">IFERROR('Price History'!J3+(INDEX('Price History'!J:J,MATCH(9.99E+307,'Returns (Calc)'!$A:$A)+1)-'Price History'!J3)*(ROW()-3)/(MATCH(9.99E+307,'Returns (Calc)'!$A:$A)-3),"")</f>
        <v>120.158924050633</v>
      </c>
      <c r="AF80" s="156" t="n">
        <f aca="false">IFERROR('Price History'!K3+(INDEX('Price History'!K:K,MATCH(9.99E+307,'Returns (Calc)'!$A:$A)+1)-'Price History'!K3)*(ROW()-3)/(MATCH(9.99E+307,'Returns (Calc)'!$A:$A)-3),"")</f>
        <v>99.8448101265823</v>
      </c>
      <c r="AG80" s="156" t="n">
        <f aca="false">IFERROR('Price History'!L3+(INDEX('Price History'!L:L,MATCH(9.99E+307,'Returns (Calc)'!$A:$A)+1)-'Price History'!L3)*(ROW()-3)/(MATCH(9.99E+307,'Returns (Calc)'!$A:$A)-3),"")</f>
        <v>274.365886075949</v>
      </c>
      <c r="AH80" s="156" t="n">
        <f aca="false">IFERROR('Price History'!M3+(INDEX('Price History'!M:M,MATCH(9.99E+307,'Returns (Calc)'!$A:$A)+1)-'Price History'!M3)*(ROW()-3)/(MATCH(9.99E+307,'Returns (Calc)'!$A:$A)-3),"")</f>
        <v>142.389113924051</v>
      </c>
      <c r="AI80" s="156" t="n">
        <f aca="false">IFERROR('Price History'!N3+(INDEX('Price History'!N:N,MATCH(9.99E+307,'Returns (Calc)'!$A:$A)+1)-'Price History'!N3)*(ROW()-3)/(MATCH(9.99E+307,'Returns (Calc)'!$A:$A)-3),"")</f>
        <v>424.84246835443</v>
      </c>
      <c r="AJ80" s="156" t="n">
        <f aca="false">IFERROR('Price History'!O3+(INDEX('Price History'!O:O,MATCH(9.99E+307,'Returns (Calc)'!$A:$A)+1)-'Price History'!O3)*(ROW()-3)/(MATCH(9.99E+307,'Returns (Calc)'!$A:$A)-3),"")</f>
        <v>97.1039240506329</v>
      </c>
      <c r="AK80" s="156" t="n">
        <f aca="false">IFERROR('Price History'!Q3+(INDEX('Price History'!Q:Q,MATCH(9.99E+307,'Returns (Calc)'!$A:$A)+1)-'Price History'!Q3)*(ROW()-3)/(MATCH(9.99E+307,'Returns (Calc)'!$A:$A)-3),"")</f>
        <v>33.8312658227848</v>
      </c>
      <c r="AL80" s="156" t="n">
        <f aca="false">IFERROR('Price History'!R3+(INDEX('Price History'!R:R,MATCH(9.99E+307,'Returns (Calc)'!$A:$A)+1)-'Price History'!R3)*(ROW()-3)/(MATCH(9.99E+307,'Returns (Calc)'!$A:$A)-3),"")</f>
        <v>47.4237974683544</v>
      </c>
      <c r="AM80" s="156" t="n">
        <f aca="false">IFERROR('Price History'!S3+(INDEX('Price History'!S:S,MATCH(9.99E+307,'Returns (Calc)'!$A:$A)+1)-'Price History'!S3)*(ROW()-3)/(MATCH(9.99E+307,'Returns (Calc)'!$A:$A)-3),"")</f>
        <v>104.219873417722</v>
      </c>
      <c r="AN80" s="156" t="n">
        <f aca="false">IFERROR('Price History'!T3+(INDEX('Price History'!T:T,MATCH(9.99E+307,'Returns (Calc)'!$A:$A)+1)-'Price History'!T3)*(ROW()-3)/(MATCH(9.99E+307,'Returns (Calc)'!$A:$A)-3),"")</f>
        <v>38.1935443037975</v>
      </c>
      <c r="AO80" s="157" t="n">
        <f aca="false">IFERROR('Price History'!V3+(INDEX('Price History'!V:V,MATCH(9.99E+307,'Returns (Calc)'!$A:$A)+1)-'Price History'!V3)*(ROW()-3)/(MATCH(9.99E+307,'Returns (Calc)'!$A:$A)-3),"")</f>
        <v>296.562341772152</v>
      </c>
      <c r="AP80" s="155" t="n">
        <f aca="false">IFERROR(IF(OR(NOT(ISNUMBER('Price History'!W81)),NOT(ISNUMBER('Price History'!W80)),'Price History'!W80=0),"",'Price History'!W81/'Price History'!W80-1),"")</f>
        <v>-0.0224415088333598</v>
      </c>
      <c r="AQ80" s="155" t="str">
        <f aca="false">IFERROR(IF(OR(NOT(ISNUMBER('Price History'!X81)),NOT(ISNUMBER('Price History'!X80)),'Price History'!X80=0),"",'Price History'!X81/'Price History'!X80-1),"")</f>
        <v/>
      </c>
      <c r="AR80" s="155" t="n">
        <f aca="false">IFERROR(IF(OR(NOT(ISNUMBER('Price History'!Y81)),NOT(ISNUMBER('Price History'!Y80)),'Price History'!Y80=0),"",'Price History'!Y81/'Price History'!Y80-1),"")</f>
        <v>-0.0213641709133674</v>
      </c>
      <c r="AS80" s="155" t="n">
        <f aca="false">IFERROR(IF(OR(NOT(ISNUMBER('Price History'!Z81)),NOT(ISNUMBER('Price History'!Z80)),'Price History'!Z80=0),"",'Price History'!Z81/'Price History'!Z80-1),"")</f>
        <v>0.0187275659366386</v>
      </c>
      <c r="AT80" s="155" t="n">
        <f aca="false">IFERROR(IF(OR(NOT(ISNUMBER('Price History'!AA81)),NOT(ISNUMBER('Price History'!AA80)),'Price History'!AA80=0),"",'Price History'!AA81/'Price History'!AA80-1),"")</f>
        <v>0.0301874088205589</v>
      </c>
      <c r="AU80" s="155" t="n">
        <f aca="false">IFERROR(IF(OR(NOT(ISNUMBER('Price History'!AB81)),NOT(ISNUMBER('Price History'!AB80)),'Price History'!AB80=0),"",'Price History'!AB81/'Price History'!AB80-1),"")</f>
        <v>-0.0516207455429498</v>
      </c>
    </row>
    <row r="81" customFormat="false" ht="15" hidden="false" customHeight="true" outlineLevel="0" collapsed="false">
      <c r="A81" s="153" t="n">
        <f aca="false">IF('Price History'!A82="","",'Price History'!A82)</f>
        <v>45737</v>
      </c>
      <c r="B81" s="154" t="n">
        <f aca="false">IFERROR(IF(OR(NOT(ISNUMBER('Price History'!B82)),NOT(ISNUMBER('Price History'!B81)),'Price History'!B81=0),"",'Price History'!B82/'Price History'!B81-1),"")</f>
        <v>-0.0189491817398795</v>
      </c>
      <c r="C81" s="154" t="n">
        <f aca="false">IFERROR(IF(OR(NOT(ISNUMBER('Price History'!C82)),NOT(ISNUMBER('Price History'!C81)),'Price History'!C81=0),"",'Price History'!C82/'Price History'!C81-1),"")</f>
        <v>-0.00455035325110775</v>
      </c>
      <c r="D81" s="154" t="n">
        <f aca="false">IFERROR(IF(OR(NOT(ISNUMBER('Price History'!D82)),NOT(ISNUMBER('Price History'!D81)),'Price History'!D81=0),"",'Price History'!D82/'Price History'!D81-1),"")</f>
        <v>0.00310484156801572</v>
      </c>
      <c r="E81" s="154" t="n">
        <f aca="false">IFERROR(IF(OR(NOT(ISNUMBER('Price History'!E82)),NOT(ISNUMBER('Price History'!E81)),'Price History'!E81=0),"",'Price History'!E82/'Price History'!E81-1),"")</f>
        <v>-0.0169148549784672</v>
      </c>
      <c r="F81" s="154" t="n">
        <f aca="false">IFERROR(IF(OR(NOT(ISNUMBER('Price History'!F82)),NOT(ISNUMBER('Price History'!F81)),'Price History'!F81=0),"",'Price History'!F82/'Price History'!F81-1),"")</f>
        <v>0.0240868483546308</v>
      </c>
      <c r="G81" s="154" t="n">
        <f aca="false">IFERROR(IF(OR(NOT(ISNUMBER('Price History'!G82)),NOT(ISNUMBER('Price History'!G81)),'Price History'!G81=0),"",'Price History'!G82/'Price History'!G81-1),"")</f>
        <v>-0.00906644000566659</v>
      </c>
      <c r="H81" s="154" t="n">
        <f aca="false">IFERROR(IF(OR(NOT(ISNUMBER('Price History'!H82)),NOT(ISNUMBER('Price History'!H81)),'Price History'!H81=0),"",'Price History'!H82/'Price History'!H81-1),"")</f>
        <v>-0.0601593625498008</v>
      </c>
      <c r="I81" s="154" t="n">
        <f aca="false">IFERROR(IF(OR(NOT(ISNUMBER('Price History'!I82)),NOT(ISNUMBER('Price History'!I81)),'Price History'!I81=0),"",'Price History'!I82/'Price History'!I81-1),"")</f>
        <v>-0.0326301911667765</v>
      </c>
      <c r="J81" s="154" t="n">
        <f aca="false">IFERROR(IF(OR(NOT(ISNUMBER('Price History'!J82)),NOT(ISNUMBER('Price History'!J81)),'Price History'!J81=0),"",'Price History'!J82/'Price History'!J81-1),"")</f>
        <v>-0.0223548356540684</v>
      </c>
      <c r="K81" s="154" t="n">
        <f aca="false">IFERROR(IF(OR(NOT(ISNUMBER('Price History'!K82)),NOT(ISNUMBER('Price History'!K81)),'Price History'!K81=0),"",'Price History'!K82/'Price History'!K81-1),"")</f>
        <v>0.0547309833024119</v>
      </c>
      <c r="L81" s="154" t="n">
        <f aca="false">IFERROR(IF(OR(NOT(ISNUMBER('Price History'!L82)),NOT(ISNUMBER('Price History'!L81)),'Price History'!L81=0),"",'Price History'!L82/'Price History'!L81-1),"")</f>
        <v>0.01906829382774</v>
      </c>
      <c r="M81" s="154" t="n">
        <f aca="false">IFERROR(IF(OR(NOT(ISNUMBER('Price History'!M82)),NOT(ISNUMBER('Price History'!M81)),'Price History'!M81=0),"",'Price History'!M82/'Price History'!M81-1),"")</f>
        <v>0.0138650166151026</v>
      </c>
      <c r="N81" s="154" t="n">
        <f aca="false">IFERROR(IF(OR(NOT(ISNUMBER('Price History'!N82)),NOT(ISNUMBER('Price History'!N81)),'Price History'!N81=0),"",'Price History'!N82/'Price History'!N81-1),"")</f>
        <v>-0.00311032747588014</v>
      </c>
      <c r="O81" s="154" t="n">
        <f aca="false">IFERROR(IF(OR(NOT(ISNUMBER('Price History'!O82)),NOT(ISNUMBER('Price History'!O81)),'Price History'!O81=0),"",'Price History'!O82/'Price History'!O81-1),"")</f>
        <v>0.00967437470504939</v>
      </c>
      <c r="P81" s="154" t="n">
        <f aca="false">IFERROR(IF(OR(NOT(ISNUMBER('Price History'!P82)),NOT(ISNUMBER('Price History'!P81)),'Price History'!P81=0),"",'Price History'!P82/'Price History'!P81-1),"")</f>
        <v>0.00478927203065127</v>
      </c>
      <c r="Q81" s="154" t="n">
        <f aca="false">IFERROR(IF(OR(NOT(ISNUMBER('Price History'!Q82)),NOT(ISNUMBER('Price History'!Q81)),'Price History'!Q81=0),"",'Price History'!Q82/'Price History'!Q81-1),"")</f>
        <v>-0.00200568276784219</v>
      </c>
      <c r="R81" s="154" t="n">
        <f aca="false">IFERROR(IF(OR(NOT(ISNUMBER('Price History'!R82)),NOT(ISNUMBER('Price History'!R81)),'Price History'!R81=0),"",'Price History'!R82/'Price History'!R81-1),"")</f>
        <v>0.00365463682046596</v>
      </c>
      <c r="S81" s="154" t="n">
        <f aca="false">IFERROR(IF(OR(NOT(ISNUMBER('Price History'!S82)),NOT(ISNUMBER('Price History'!S81)),'Price History'!S81=0),"",'Price History'!S82/'Price History'!S81-1),"")</f>
        <v>0.0037809225451011</v>
      </c>
      <c r="T81" s="154" t="n">
        <f aca="false">IFERROR(IF(OR(NOT(ISNUMBER('Price History'!T82)),NOT(ISNUMBER('Price History'!T81)),'Price History'!T81=0),"",'Price History'!T82/'Price History'!T81-1),"")</f>
        <v>0.0170607602514217</v>
      </c>
      <c r="U81" s="154" t="n">
        <f aca="false">IFERROR(IF(OR(NOT(ISNUMBER('Price History'!U82)),NOT(ISNUMBER('Price History'!U81)),'Price History'!U81=0),"",'Price History'!U82/'Price History'!U81-1),"")</f>
        <v>0.00423728813559321</v>
      </c>
      <c r="V81" s="155" t="n">
        <f aca="false">IFERROR(IF(OR(NOT(ISNUMBER('Price History'!V82)),NOT(ISNUMBER('Price History'!V81)),'Price History'!V81=0),"",'Price History'!V82/'Price History'!V81-1),"")</f>
        <v>0.0116449213510548</v>
      </c>
      <c r="W81" s="156" t="n">
        <f aca="false">IFERROR('Price History'!B3+(INDEX('Price History'!B:B,MATCH(9.99E+307,'Returns (Calc)'!$A:$A)+1)-'Price History'!B3)*(ROW()-3)/(MATCH(9.99E+307,'Returns (Calc)'!$A:$A)-3),"")</f>
        <v>385.133037974684</v>
      </c>
      <c r="X81" s="156" t="n">
        <f aca="false">IFERROR('Price History'!C3+(INDEX('Price History'!C:C,MATCH(9.99E+307,'Returns (Calc)'!$A:$A)+1)-'Price History'!C3)*(ROW()-3)/(MATCH(9.99E+307,'Returns (Calc)'!$A:$A)-3),"")</f>
        <v>125.744936708861</v>
      </c>
      <c r="Y81" s="156" t="n">
        <f aca="false">IFERROR('Price History'!D3+(INDEX('Price History'!D:D,MATCH(9.99E+307,'Returns (Calc)'!$A:$A)+1)-'Price History'!D3)*(ROW()-3)/(MATCH(9.99E+307,'Returns (Calc)'!$A:$A)-3),"")</f>
        <v>1216.52518987342</v>
      </c>
      <c r="Z81" s="156" t="n">
        <f aca="false">IFERROR('Price History'!E3+(INDEX('Price History'!E:E,MATCH(9.99E+307,'Returns (Calc)'!$A:$A)+1)-'Price History'!E3)*(ROW()-3)/(MATCH(9.99E+307,'Returns (Calc)'!$A:$A)-3),"")</f>
        <v>216.841265822785</v>
      </c>
      <c r="AA81" s="156" t="n">
        <f aca="false">IFERROR('Price History'!F3+(INDEX('Price History'!F:F,MATCH(9.99E+307,'Returns (Calc)'!$A:$A)+1)-'Price History'!F3)*(ROW()-3)/(MATCH(9.99E+307,'Returns (Calc)'!$A:$A)-3),"")</f>
        <v>154.252658227848</v>
      </c>
      <c r="AB81" s="156" t="n">
        <f aca="false">IFERROR('Price History'!G3+(INDEX('Price History'!G:G,MATCH(9.99E+307,'Returns (Calc)'!$A:$A)+1)-'Price History'!G3)*(ROW()-3)/(MATCH(9.99E+307,'Returns (Calc)'!$A:$A)-3),"")</f>
        <v>124.591265822785</v>
      </c>
      <c r="AC81" s="156" t="n">
        <f aca="false">IFERROR('Price History'!H3+(INDEX('Price History'!H:H,MATCH(9.99E+307,'Returns (Calc)'!$A:$A)+1)-'Price History'!H3)*(ROW()-3)/(MATCH(9.99E+307,'Returns (Calc)'!$A:$A)-3),"")</f>
        <v>565.634303797468</v>
      </c>
      <c r="AD81" s="156" t="n">
        <f aca="false">IFERROR('Price History'!I3+(INDEX('Price History'!I:I,MATCH(9.99E+307,'Returns (Calc)'!$A:$A)+1)-'Price History'!I3)*(ROW()-3)/(MATCH(9.99E+307,'Returns (Calc)'!$A:$A)-3),"")</f>
        <v>137.656329113924</v>
      </c>
      <c r="AE81" s="156" t="n">
        <f aca="false">IFERROR('Price History'!J3+(INDEX('Price History'!J:J,MATCH(9.99E+307,'Returns (Calc)'!$A:$A)+1)-'Price History'!J3)*(ROW()-3)/(MATCH(9.99E+307,'Returns (Calc)'!$A:$A)-3),"")</f>
        <v>120.266962025316</v>
      </c>
      <c r="AF81" s="156" t="n">
        <f aca="false">IFERROR('Price History'!K3+(INDEX('Price History'!K:K,MATCH(9.99E+307,'Returns (Calc)'!$A:$A)+1)-'Price History'!K3)*(ROW()-3)/(MATCH(9.99E+307,'Returns (Calc)'!$A:$A)-3),"")</f>
        <v>100.942405063291</v>
      </c>
      <c r="AG81" s="156" t="n">
        <f aca="false">IFERROR('Price History'!L3+(INDEX('Price History'!L:L,MATCH(9.99E+307,'Returns (Calc)'!$A:$A)+1)-'Price History'!L3)*(ROW()-3)/(MATCH(9.99E+307,'Returns (Calc)'!$A:$A)-3),"")</f>
        <v>276.815443037975</v>
      </c>
      <c r="AH81" s="156" t="n">
        <f aca="false">IFERROR('Price History'!M3+(INDEX('Price History'!M:M,MATCH(9.99E+307,'Returns (Calc)'!$A:$A)+1)-'Price History'!M3)*(ROW()-3)/(MATCH(9.99E+307,'Returns (Calc)'!$A:$A)-3),"")</f>
        <v>143.744556962025</v>
      </c>
      <c r="AI81" s="156" t="n">
        <f aca="false">IFERROR('Price History'!N3+(INDEX('Price History'!N:N,MATCH(9.99E+307,'Returns (Calc)'!$A:$A)+1)-'Price History'!N3)*(ROW()-3)/(MATCH(9.99E+307,'Returns (Calc)'!$A:$A)-3),"")</f>
        <v>425.828734177215</v>
      </c>
      <c r="AJ81" s="156" t="n">
        <f aca="false">IFERROR('Price History'!O3+(INDEX('Price History'!O:O,MATCH(9.99E+307,'Returns (Calc)'!$A:$A)+1)-'Price History'!O3)*(ROW()-3)/(MATCH(9.99E+307,'Returns (Calc)'!$A:$A)-3),"")</f>
        <v>97.3869620253165</v>
      </c>
      <c r="AK81" s="156" t="n">
        <f aca="false">IFERROR('Price History'!Q3+(INDEX('Price History'!Q:Q,MATCH(9.99E+307,'Returns (Calc)'!$A:$A)+1)-'Price History'!Q3)*(ROW()-3)/(MATCH(9.99E+307,'Returns (Calc)'!$A:$A)-3),"")</f>
        <v>34.2706329113924</v>
      </c>
      <c r="AL81" s="156" t="n">
        <f aca="false">IFERROR('Price History'!R3+(INDEX('Price History'!R:R,MATCH(9.99E+307,'Returns (Calc)'!$A:$A)+1)-'Price History'!R3)*(ROW()-3)/(MATCH(9.99E+307,'Returns (Calc)'!$A:$A)-3),"")</f>
        <v>47.5918987341772</v>
      </c>
      <c r="AM81" s="156" t="n">
        <f aca="false">IFERROR('Price History'!S3+(INDEX('Price History'!S:S,MATCH(9.99E+307,'Returns (Calc)'!$A:$A)+1)-'Price History'!S3)*(ROW()-3)/(MATCH(9.99E+307,'Returns (Calc)'!$A:$A)-3),"")</f>
        <v>104.824936708861</v>
      </c>
      <c r="AN81" s="156" t="n">
        <f aca="false">IFERROR('Price History'!T3+(INDEX('Price History'!T:T,MATCH(9.99E+307,'Returns (Calc)'!$A:$A)+1)-'Price History'!T3)*(ROW()-3)/(MATCH(9.99E+307,'Returns (Calc)'!$A:$A)-3),"")</f>
        <v>38.3617721518987</v>
      </c>
      <c r="AO81" s="157" t="n">
        <f aca="false">IFERROR('Price History'!V3+(INDEX('Price History'!V:V,MATCH(9.99E+307,'Returns (Calc)'!$A:$A)+1)-'Price History'!V3)*(ROW()-3)/(MATCH(9.99E+307,'Returns (Calc)'!$A:$A)-3),"")</f>
        <v>297.353670886076</v>
      </c>
      <c r="AP81" s="155" t="n">
        <f aca="false">IFERROR(IF(OR(NOT(ISNUMBER('Price History'!W82)),NOT(ISNUMBER('Price History'!W81)),'Price History'!W81=0),"",'Price History'!W82/'Price History'!W81-1),"")</f>
        <v>0.00748941712797135</v>
      </c>
      <c r="AQ81" s="155" t="str">
        <f aca="false">IFERROR(IF(OR(NOT(ISNUMBER('Price History'!X82)),NOT(ISNUMBER('Price History'!X81)),'Price History'!X81=0),"",'Price History'!X82/'Price History'!X81-1),"")</f>
        <v/>
      </c>
      <c r="AR81" s="155" t="n">
        <f aca="false">IFERROR(IF(OR(NOT(ISNUMBER('Price History'!Y82)),NOT(ISNUMBER('Price History'!Y81)),'Price History'!Y81=0),"",'Price History'!Y82/'Price History'!Y81-1),"")</f>
        <v>0.00280392549569397</v>
      </c>
      <c r="AS81" s="155" t="n">
        <f aca="false">IFERROR(IF(OR(NOT(ISNUMBER('Price History'!Z82)),NOT(ISNUMBER('Price History'!Z81)),'Price History'!Z81=0),"",'Price History'!Z82/'Price History'!Z81-1),"")</f>
        <v>0.0355920951845989</v>
      </c>
      <c r="AT81" s="155" t="n">
        <f aca="false">IFERROR(IF(OR(NOT(ISNUMBER('Price History'!AA82)),NOT(ISNUMBER('Price History'!AA81)),'Price History'!AA81=0),"",'Price History'!AA82/'Price History'!AA81-1),"")</f>
        <v>0.0460784313725491</v>
      </c>
      <c r="AU81" s="155" t="n">
        <f aca="false">IFERROR(IF(OR(NOT(ISNUMBER('Price History'!AB82)),NOT(ISNUMBER('Price History'!AB81)),'Price History'!AB81=0),"",'Price History'!AB82/'Price History'!AB81-1),"")</f>
        <v>0.0115782278048364</v>
      </c>
    </row>
    <row r="82" customFormat="false" ht="15" hidden="false" customHeight="true" outlineLevel="0" collapsed="false">
      <c r="A82" s="153" t="n">
        <f aca="false">IF('Price History'!A83="","",'Price History'!A83)</f>
        <v>45744</v>
      </c>
      <c r="B82" s="154" t="n">
        <f aca="false">IFERROR(IF(OR(NOT(ISNUMBER('Price History'!B83)),NOT(ISNUMBER('Price History'!B82)),'Price History'!B82=0),"",'Price History'!B83/'Price History'!B82-1),"")</f>
        <v>-0.00400247895470751</v>
      </c>
      <c r="C82" s="154" t="n">
        <f aca="false">IFERROR(IF(OR(NOT(ISNUMBER('Price History'!C83)),NOT(ISNUMBER('Price History'!C82)),'Price History'!C82=0),"",'Price History'!C83/'Price History'!C82-1),"")</f>
        <v>-0.0624323348971491</v>
      </c>
      <c r="D82" s="154" t="n">
        <f aca="false">IFERROR(IF(OR(NOT(ISNUMBER('Price History'!D83)),NOT(ISNUMBER('Price History'!D82)),'Price History'!D82=0),"",'Price History'!D83/'Price History'!D82-1),"")</f>
        <v>-0.0581309890606891</v>
      </c>
      <c r="E82" s="154" t="n">
        <f aca="false">IFERROR(IF(OR(NOT(ISNUMBER('Price History'!E83)),NOT(ISNUMBER('Price History'!E82)),'Price History'!E82=0),"",'Price History'!E83/'Price History'!E82-1),"")</f>
        <v>-0.117591175383966</v>
      </c>
      <c r="F82" s="154" t="n">
        <f aca="false">IFERROR(IF(OR(NOT(ISNUMBER('Price History'!F83)),NOT(ISNUMBER('Price History'!F82)),'Price History'!F82=0),"",'Price History'!F83/'Price History'!F82-1),"")</f>
        <v>-0.0141342756183745</v>
      </c>
      <c r="G82" s="154" t="n">
        <f aca="false">IFERROR(IF(OR(NOT(ISNUMBER('Price History'!G83)),NOT(ISNUMBER('Price History'!G82)),'Price History'!G82=0),"",'Price History'!G83/'Price History'!G82-1),"")</f>
        <v>-0.0466047176554683</v>
      </c>
      <c r="H82" s="154" t="n">
        <f aca="false">IFERROR(IF(OR(NOT(ISNUMBER('Price History'!H83)),NOT(ISNUMBER('Price History'!H82)),'Price History'!H82=0),"",'Price History'!H83/'Price History'!H82-1),"")</f>
        <v>-0.066341670199237</v>
      </c>
      <c r="I82" s="154" t="n">
        <f aca="false">IFERROR(IF(OR(NOT(ISNUMBER('Price History'!I83)),NOT(ISNUMBER('Price History'!I82)),'Price History'!I82=0),"",'Price History'!I83/'Price History'!I82-1),"")</f>
        <v>-0.0682282793867122</v>
      </c>
      <c r="J82" s="154" t="n">
        <f aca="false">IFERROR(IF(OR(NOT(ISNUMBER('Price History'!J83)),NOT(ISNUMBER('Price History'!J82)),'Price History'!J82=0),"",'Price History'!J83/'Price History'!J82-1),"")</f>
        <v>0.0186997383974421</v>
      </c>
      <c r="K82" s="154" t="n">
        <f aca="false">IFERROR(IF(OR(NOT(ISNUMBER('Price History'!K83)),NOT(ISNUMBER('Price History'!K82)),'Price History'!K82=0),"",'Price History'!K83/'Price History'!K82-1),"")</f>
        <v>-0.0561785400175902</v>
      </c>
      <c r="L82" s="154" t="n">
        <f aca="false">IFERROR(IF(OR(NOT(ISNUMBER('Price History'!L83)),NOT(ISNUMBER('Price History'!L82)),'Price History'!L82=0),"",'Price History'!L83/'Price History'!L82-1),"")</f>
        <v>-0.0649432897691289</v>
      </c>
      <c r="M82" s="154" t="n">
        <f aca="false">IFERROR(IF(OR(NOT(ISNUMBER('Price History'!M83)),NOT(ISNUMBER('Price History'!M82)),'Price History'!M82=0),"",'Price History'!M83/'Price History'!M82-1),"")</f>
        <v>-0.162296564195298</v>
      </c>
      <c r="N82" s="154" t="n">
        <f aca="false">IFERROR(IF(OR(NOT(ISNUMBER('Price History'!N83)),NOT(ISNUMBER('Price History'!N82)),'Price History'!N82=0),"",'Price History'!N83/'Price History'!N82-1),"")</f>
        <v>-0.0208863275039746</v>
      </c>
      <c r="O82" s="154" t="n">
        <f aca="false">IFERROR(IF(OR(NOT(ISNUMBER('Price History'!O83)),NOT(ISNUMBER('Price History'!O82)),'Price History'!O82=0),"",'Price History'!O83/'Price History'!O82-1),"")</f>
        <v>-0.00467398924982465</v>
      </c>
      <c r="P82" s="154" t="n">
        <f aca="false">IFERROR(IF(OR(NOT(ISNUMBER('Price History'!P83)),NOT(ISNUMBER('Price History'!P82)),'Price History'!P82=0),"",'Price History'!P83/'Price History'!P82-1),"")</f>
        <v>-0.000238322211630115</v>
      </c>
      <c r="Q82" s="154" t="n">
        <f aca="false">IFERROR(IF(OR(NOT(ISNUMBER('Price History'!Q83)),NOT(ISNUMBER('Price History'!Q82)),'Price History'!Q82=0),"",'Price History'!Q83/'Price History'!Q82-1),"")</f>
        <v>-0.011555853290906</v>
      </c>
      <c r="R82" s="154" t="n">
        <f aca="false">IFERROR(IF(OR(NOT(ISNUMBER('Price History'!R83)),NOT(ISNUMBER('Price History'!R82)),'Price History'!R82=0),"",'Price History'!R83/'Price History'!R82-1),"")</f>
        <v>-0.0188893946290396</v>
      </c>
      <c r="S82" s="154" t="n">
        <f aca="false">IFERROR(IF(OR(NOT(ISNUMBER('Price History'!S83)),NOT(ISNUMBER('Price History'!S82)),'Price History'!S82=0),"",'Price History'!S83/'Price History'!S82-1),"")</f>
        <v>-0.0196943607404219</v>
      </c>
      <c r="T82" s="154" t="n">
        <f aca="false">IFERROR(IF(OR(NOT(ISNUMBER('Price History'!T83)),NOT(ISNUMBER('Price History'!T82)),'Price History'!T82=0),"",'Price History'!T83/'Price History'!T82-1),"")</f>
        <v>-0.0164802825191288</v>
      </c>
      <c r="U82" s="154" t="n">
        <f aca="false">IFERROR(IF(OR(NOT(ISNUMBER('Price History'!U83)),NOT(ISNUMBER('Price History'!U82)),'Price History'!U82=0),"",'Price History'!U83/'Price History'!U82-1),"")</f>
        <v>0.00268507863444567</v>
      </c>
      <c r="V82" s="155" t="n">
        <f aca="false">IFERROR(IF(OR(NOT(ISNUMBER('Price History'!V83)),NOT(ISNUMBER('Price History'!V82)),'Price History'!V82=0),"",'Price History'!V83/'Price History'!V82-1),"")</f>
        <v>0.0214246971614536</v>
      </c>
      <c r="W82" s="156" t="n">
        <f aca="false">IFERROR('Price History'!B3+(INDEX('Price History'!B:B,MATCH(9.99E+307,'Returns (Calc)'!$A:$A)+1)-'Price History'!B3)*(ROW()-3)/(MATCH(9.99E+307,'Returns (Calc)'!$A:$A)-3),"")</f>
        <v>383.29</v>
      </c>
      <c r="X82" s="156" t="n">
        <f aca="false">IFERROR('Price History'!C3+(INDEX('Price History'!C:C,MATCH(9.99E+307,'Returns (Calc)'!$A:$A)+1)-'Price History'!C3)*(ROW()-3)/(MATCH(9.99E+307,'Returns (Calc)'!$A:$A)-3),"")</f>
        <v>126.765</v>
      </c>
      <c r="Y82" s="156" t="n">
        <f aca="false">IFERROR('Price History'!D3+(INDEX('Price History'!D:D,MATCH(9.99E+307,'Returns (Calc)'!$A:$A)+1)-'Price History'!D3)*(ROW()-3)/(MATCH(9.99E+307,'Returns (Calc)'!$A:$A)-3),"")</f>
        <v>1224.66</v>
      </c>
      <c r="Z82" s="156" t="n">
        <f aca="false">IFERROR('Price History'!E3+(INDEX('Price History'!E:E,MATCH(9.99E+307,'Returns (Calc)'!$A:$A)+1)-'Price History'!E3)*(ROW()-3)/(MATCH(9.99E+307,'Returns (Calc)'!$A:$A)-3),"")</f>
        <v>218.57</v>
      </c>
      <c r="AA82" s="156" t="n">
        <f aca="false">IFERROR('Price History'!F3+(INDEX('Price History'!F:F,MATCH(9.99E+307,'Returns (Calc)'!$A:$A)+1)-'Price History'!F3)*(ROW()-3)/(MATCH(9.99E+307,'Returns (Calc)'!$A:$A)-3),"")</f>
        <v>155.7</v>
      </c>
      <c r="AB82" s="156" t="n">
        <f aca="false">IFERROR('Price History'!G3+(INDEX('Price History'!G:G,MATCH(9.99E+307,'Returns (Calc)'!$A:$A)+1)-'Price History'!G3)*(ROW()-3)/(MATCH(9.99E+307,'Returns (Calc)'!$A:$A)-3),"")</f>
        <v>125.62</v>
      </c>
      <c r="AC82" s="156" t="n">
        <f aca="false">IFERROR('Price History'!H3+(INDEX('Price History'!H:H,MATCH(9.99E+307,'Returns (Calc)'!$A:$A)+1)-'Price History'!H3)*(ROW()-3)/(MATCH(9.99E+307,'Returns (Calc)'!$A:$A)-3),"")</f>
        <v>572</v>
      </c>
      <c r="AD82" s="156" t="n">
        <f aca="false">IFERROR('Price History'!I3+(INDEX('Price History'!I:I,MATCH(9.99E+307,'Returns (Calc)'!$A:$A)+1)-'Price History'!I3)*(ROW()-3)/(MATCH(9.99E+307,'Returns (Calc)'!$A:$A)-3),"")</f>
        <v>138.86</v>
      </c>
      <c r="AE82" s="156" t="n">
        <f aca="false">IFERROR('Price History'!J3+(INDEX('Price History'!J:J,MATCH(9.99E+307,'Returns (Calc)'!$A:$A)+1)-'Price History'!J3)*(ROW()-3)/(MATCH(9.99E+307,'Returns (Calc)'!$A:$A)-3),"")</f>
        <v>120.375</v>
      </c>
      <c r="AF82" s="156" t="n">
        <f aca="false">IFERROR('Price History'!K3+(INDEX('Price History'!K:K,MATCH(9.99E+307,'Returns (Calc)'!$A:$A)+1)-'Price History'!K3)*(ROW()-3)/(MATCH(9.99E+307,'Returns (Calc)'!$A:$A)-3),"")</f>
        <v>102.04</v>
      </c>
      <c r="AG82" s="156" t="n">
        <f aca="false">IFERROR('Price History'!L3+(INDEX('Price History'!L:L,MATCH(9.99E+307,'Returns (Calc)'!$A:$A)+1)-'Price History'!L3)*(ROW()-3)/(MATCH(9.99E+307,'Returns (Calc)'!$A:$A)-3),"")</f>
        <v>279.265</v>
      </c>
      <c r="AH82" s="156" t="n">
        <f aca="false">IFERROR('Price History'!M3+(INDEX('Price History'!M:M,MATCH(9.99E+307,'Returns (Calc)'!$A:$A)+1)-'Price History'!M3)*(ROW()-3)/(MATCH(9.99E+307,'Returns (Calc)'!$A:$A)-3),"")</f>
        <v>145.1</v>
      </c>
      <c r="AI82" s="156" t="n">
        <f aca="false">IFERROR('Price History'!N3+(INDEX('Price History'!N:N,MATCH(9.99E+307,'Returns (Calc)'!$A:$A)+1)-'Price History'!N3)*(ROW()-3)/(MATCH(9.99E+307,'Returns (Calc)'!$A:$A)-3),"")</f>
        <v>426.815</v>
      </c>
      <c r="AJ82" s="156" t="n">
        <f aca="false">IFERROR('Price History'!O3+(INDEX('Price History'!O:O,MATCH(9.99E+307,'Returns (Calc)'!$A:$A)+1)-'Price History'!O3)*(ROW()-3)/(MATCH(9.99E+307,'Returns (Calc)'!$A:$A)-3),"")</f>
        <v>97.67</v>
      </c>
      <c r="AK82" s="156" t="n">
        <f aca="false">IFERROR('Price History'!Q3+(INDEX('Price History'!Q:Q,MATCH(9.99E+307,'Returns (Calc)'!$A:$A)+1)-'Price History'!Q3)*(ROW()-3)/(MATCH(9.99E+307,'Returns (Calc)'!$A:$A)-3),"")</f>
        <v>34.71</v>
      </c>
      <c r="AL82" s="156" t="n">
        <f aca="false">IFERROR('Price History'!R3+(INDEX('Price History'!R:R,MATCH(9.99E+307,'Returns (Calc)'!$A:$A)+1)-'Price History'!R3)*(ROW()-3)/(MATCH(9.99E+307,'Returns (Calc)'!$A:$A)-3),"")</f>
        <v>47.76</v>
      </c>
      <c r="AM82" s="156" t="n">
        <f aca="false">IFERROR('Price History'!S3+(INDEX('Price History'!S:S,MATCH(9.99E+307,'Returns (Calc)'!$A:$A)+1)-'Price History'!S3)*(ROW()-3)/(MATCH(9.99E+307,'Returns (Calc)'!$A:$A)-3),"")</f>
        <v>105.43</v>
      </c>
      <c r="AN82" s="156" t="n">
        <f aca="false">IFERROR('Price History'!T3+(INDEX('Price History'!T:T,MATCH(9.99E+307,'Returns (Calc)'!$A:$A)+1)-'Price History'!T3)*(ROW()-3)/(MATCH(9.99E+307,'Returns (Calc)'!$A:$A)-3),"")</f>
        <v>38.53</v>
      </c>
      <c r="AO82" s="157" t="n">
        <f aca="false">IFERROR('Price History'!V3+(INDEX('Price History'!V:V,MATCH(9.99E+307,'Returns (Calc)'!$A:$A)+1)-'Price History'!V3)*(ROW()-3)/(MATCH(9.99E+307,'Returns (Calc)'!$A:$A)-3),"")</f>
        <v>298.145</v>
      </c>
      <c r="AP82" s="155" t="n">
        <f aca="false">IFERROR(IF(OR(NOT(ISNUMBER('Price History'!W83)),NOT(ISNUMBER('Price History'!W82)),'Price History'!W82=0),"",'Price History'!W83/'Price History'!W82-1),"")</f>
        <v>-0.0066257272139626</v>
      </c>
      <c r="AQ82" s="155" t="str">
        <f aca="false">IFERROR(IF(OR(NOT(ISNUMBER('Price History'!X83)),NOT(ISNUMBER('Price History'!X82)),'Price History'!X82=0),"",'Price History'!X83/'Price History'!X82-1),"")</f>
        <v/>
      </c>
      <c r="AR82" s="155" t="n">
        <f aca="false">IFERROR(IF(OR(NOT(ISNUMBER('Price History'!Y83)),NOT(ISNUMBER('Price History'!Y82)),'Price History'!Y82=0),"",'Price History'!Y83/'Price History'!Y82-1),"")</f>
        <v>-0.00758937487517486</v>
      </c>
      <c r="AS82" s="155" t="n">
        <f aca="false">IFERROR(IF(OR(NOT(ISNUMBER('Price History'!Z83)),NOT(ISNUMBER('Price History'!Z82)),'Price History'!Z82=0),"",'Price History'!Z83/'Price History'!Z82-1),"")</f>
        <v>-0.0208086785009862</v>
      </c>
      <c r="AT82" s="155" t="n">
        <f aca="false">IFERROR(IF(OR(NOT(ISNUMBER('Price History'!AA83)),NOT(ISNUMBER('Price History'!AA82)),'Price History'!AA82=0),"",'Price History'!AA83/'Price History'!AA82-1),"")</f>
        <v>-0.0274914089347079</v>
      </c>
      <c r="AU82" s="155" t="n">
        <f aca="false">IFERROR(IF(OR(NOT(ISNUMBER('Price History'!AB83)),NOT(ISNUMBER('Price History'!AB82)),'Price History'!AB82=0),"",'Price History'!AB83/'Price History'!AB82-1),"")</f>
        <v>-0.010812180597204</v>
      </c>
    </row>
    <row r="83" customFormat="false" ht="15" hidden="false" customHeight="true" outlineLevel="0" collapsed="false">
      <c r="A83" s="153" t="n">
        <f aca="false">IF('Price History'!A84="","",'Price History'!A84)</f>
        <v>45751</v>
      </c>
      <c r="B83" s="154" t="n">
        <f aca="false">IFERROR(IF(OR(NOT(ISNUMBER('Price History'!B84)),NOT(ISNUMBER('Price History'!B83)),'Price History'!B83=0),"",'Price History'!B84/'Price History'!B83-1),"")</f>
        <v>-0.0949936480775712</v>
      </c>
      <c r="C83" s="154" t="n">
        <f aca="false">IFERROR(IF(OR(NOT(ISNUMBER('Price History'!C84)),NOT(ISNUMBER('Price History'!C83)),'Price History'!C83=0),"",'Price History'!C84/'Price History'!C83-1),"")</f>
        <v>-0.174108288426995</v>
      </c>
      <c r="D83" s="154" t="n">
        <f aca="false">IFERROR(IF(OR(NOT(ISNUMBER('Price History'!D84)),NOT(ISNUMBER('Price History'!D83)),'Price History'!D83=0),"",'Price History'!D84/'Price History'!D83-1),"")</f>
        <v>-0.102339400669258</v>
      </c>
      <c r="E83" s="154" t="n">
        <f aca="false">IFERROR(IF(OR(NOT(ISNUMBER('Price History'!E84)),NOT(ISNUMBER('Price History'!E83)),'Price History'!E83=0),"",'Price History'!E84/'Price History'!E83-1),"")</f>
        <v>-0.134996112207668</v>
      </c>
      <c r="F83" s="154" t="n">
        <f aca="false">IFERROR(IF(OR(NOT(ISNUMBER('Price History'!F84)),NOT(ISNUMBER('Price History'!F83)),'Price History'!F83=0),"",'Price History'!F84/'Price History'!F83-1),"")</f>
        <v>-0.0993503584229392</v>
      </c>
      <c r="G83" s="154" t="n">
        <f aca="false">IFERROR(IF(OR(NOT(ISNUMBER('Price History'!G84)),NOT(ISNUMBER('Price History'!G83)),'Price History'!G83=0),"",'Price History'!G84/'Price History'!G83-1),"")</f>
        <v>-0.144099565152197</v>
      </c>
      <c r="H83" s="154" t="n">
        <f aca="false">IFERROR(IF(OR(NOT(ISNUMBER('Price History'!H84)),NOT(ISNUMBER('Price History'!H83)),'Price History'!H83=0),"",'Price History'!H84/'Price History'!H83-1),"")</f>
        <v>-0.267196367763905</v>
      </c>
      <c r="I83" s="154" t="n">
        <f aca="false">IFERROR(IF(OR(NOT(ISNUMBER('Price History'!I84)),NOT(ISNUMBER('Price History'!I83)),'Price History'!I83=0),"",'Price History'!I84/'Price History'!I83-1),"")</f>
        <v>-0.140049364658561</v>
      </c>
      <c r="J83" s="154" t="n">
        <f aca="false">IFERROR(IF(OR(NOT(ISNUMBER('Price History'!J84)),NOT(ISNUMBER('Price History'!J83)),'Price History'!J83=0),"",'Price History'!J84/'Price History'!J83-1),"")</f>
        <v>-0.110614418870078</v>
      </c>
      <c r="K83" s="154" t="n">
        <f aca="false">IFERROR(IF(OR(NOT(ISNUMBER('Price History'!K84)),NOT(ISNUMBER('Price History'!K83)),'Price History'!K83=0),"",'Price History'!K84/'Price History'!K83-1),"")</f>
        <v>-0.137914967967385</v>
      </c>
      <c r="L83" s="154" t="n">
        <f aca="false">IFERROR(IF(OR(NOT(ISNUMBER('Price History'!L84)),NOT(ISNUMBER('Price History'!L83)),'Price History'!L83=0),"",'Price History'!L84/'Price History'!L83-1),"")</f>
        <v>-0.111631057200911</v>
      </c>
      <c r="M83" s="154" t="n">
        <f aca="false">IFERROR(IF(OR(NOT(ISNUMBER('Price History'!M84)),NOT(ISNUMBER('Price History'!M83)),'Price History'!M83=0),"",'Price History'!M84/'Price History'!M83-1),"")</f>
        <v>-0.199811117107393</v>
      </c>
      <c r="N83" s="154" t="n">
        <f aca="false">IFERROR(IF(OR(NOT(ISNUMBER('Price History'!N84)),NOT(ISNUMBER('Price History'!N83)),'Price History'!N83=0),"",'Price History'!N84/'Price History'!N83-1),"")</f>
        <v>-0.0366762061336743</v>
      </c>
      <c r="O83" s="154" t="n">
        <f aca="false">IFERROR(IF(OR(NOT(ISNUMBER('Price History'!O84)),NOT(ISNUMBER('Price History'!O83)),'Price History'!O83=0),"",'Price History'!O84/'Price History'!O83-1),"")</f>
        <v>-0.104719417703686</v>
      </c>
      <c r="P83" s="154" t="n">
        <f aca="false">IFERROR(IF(OR(NOT(ISNUMBER('Price History'!P84)),NOT(ISNUMBER('Price History'!P83)),'Price History'!P83=0),"",'Price History'!P84/'Price History'!P83-1),"")</f>
        <v>-0.0803337306317045</v>
      </c>
      <c r="Q83" s="154" t="n">
        <f aca="false">IFERROR(IF(OR(NOT(ISNUMBER('Price History'!Q84)),NOT(ISNUMBER('Price History'!Q83)),'Price History'!Q83=0),"",'Price History'!Q84/'Price History'!Q83-1),"")</f>
        <v>-0.0388004066418164</v>
      </c>
      <c r="R83" s="154" t="n">
        <f aca="false">IFERROR(IF(OR(NOT(ISNUMBER('Price History'!R84)),NOT(ISNUMBER('Price History'!R83)),'Price History'!R83=0),"",'Price History'!R84/'Price History'!R83-1),"")</f>
        <v>-0.0909301786128509</v>
      </c>
      <c r="S83" s="154" t="n">
        <f aca="false">IFERROR(IF(OR(NOT(ISNUMBER('Price History'!S84)),NOT(ISNUMBER('Price History'!S83)),'Price History'!S83=0),"",'Price History'!S84/'Price History'!S83-1),"")</f>
        <v>-0.107036996377209</v>
      </c>
      <c r="T83" s="154" t="n">
        <f aca="false">IFERROR(IF(OR(NOT(ISNUMBER('Price History'!T84)),NOT(ISNUMBER('Price History'!T83)),'Price History'!T83=0),"",'Price History'!T84/'Price History'!T83-1),"")</f>
        <v>-0.0924596050269301</v>
      </c>
      <c r="U83" s="154" t="n">
        <f aca="false">IFERROR(IF(OR(NOT(ISNUMBER('Price History'!U84)),NOT(ISNUMBER('Price History'!U83)),'Price History'!U83=0),"",'Price History'!U84/'Price History'!U83-1),"")</f>
        <v>-0.0833970925784239</v>
      </c>
      <c r="V83" s="155" t="n">
        <f aca="false">IFERROR(IF(OR(NOT(ISNUMBER('Price History'!V84)),NOT(ISNUMBER('Price History'!V83)),'Price History'!V83=0),"",'Price History'!V84/'Price History'!V83-1),"")</f>
        <v>-0.0866743369619731</v>
      </c>
      <c r="W83" s="156" t="n">
        <f aca="false">IFERROR('Price History'!B3+(INDEX('Price History'!B:B,MATCH(9.99E+307,'Returns (Calc)'!$A:$A)+1)-'Price History'!B3)*(ROW()-3)/(MATCH(9.99E+307,'Returns (Calc)'!$A:$A)-3),"")</f>
        <v>381.446962025316</v>
      </c>
      <c r="X83" s="156" t="n">
        <f aca="false">IFERROR('Price History'!C3+(INDEX('Price History'!C:C,MATCH(9.99E+307,'Returns (Calc)'!$A:$A)+1)-'Price History'!C3)*(ROW()-3)/(MATCH(9.99E+307,'Returns (Calc)'!$A:$A)-3),"")</f>
        <v>127.785063291139</v>
      </c>
      <c r="Y83" s="156" t="n">
        <f aca="false">IFERROR('Price History'!D3+(INDEX('Price History'!D:D,MATCH(9.99E+307,'Returns (Calc)'!$A:$A)+1)-'Price History'!D3)*(ROW()-3)/(MATCH(9.99E+307,'Returns (Calc)'!$A:$A)-3),"")</f>
        <v>1232.79481012658</v>
      </c>
      <c r="Z83" s="156" t="n">
        <f aca="false">IFERROR('Price History'!E3+(INDEX('Price History'!E:E,MATCH(9.99E+307,'Returns (Calc)'!$A:$A)+1)-'Price History'!E3)*(ROW()-3)/(MATCH(9.99E+307,'Returns (Calc)'!$A:$A)-3),"")</f>
        <v>220.298734177215</v>
      </c>
      <c r="AA83" s="156" t="n">
        <f aca="false">IFERROR('Price History'!F3+(INDEX('Price History'!F:F,MATCH(9.99E+307,'Returns (Calc)'!$A:$A)+1)-'Price History'!F3)*(ROW()-3)/(MATCH(9.99E+307,'Returns (Calc)'!$A:$A)-3),"")</f>
        <v>157.147341772152</v>
      </c>
      <c r="AB83" s="156" t="n">
        <f aca="false">IFERROR('Price History'!G3+(INDEX('Price History'!G:G,MATCH(9.99E+307,'Returns (Calc)'!$A:$A)+1)-'Price History'!G3)*(ROW()-3)/(MATCH(9.99E+307,'Returns (Calc)'!$A:$A)-3),"")</f>
        <v>126.648734177215</v>
      </c>
      <c r="AC83" s="156" t="n">
        <f aca="false">IFERROR('Price History'!H3+(INDEX('Price History'!H:H,MATCH(9.99E+307,'Returns (Calc)'!$A:$A)+1)-'Price History'!H3)*(ROW()-3)/(MATCH(9.99E+307,'Returns (Calc)'!$A:$A)-3),"")</f>
        <v>578.365696202532</v>
      </c>
      <c r="AD83" s="156" t="n">
        <f aca="false">IFERROR('Price History'!I3+(INDEX('Price History'!I:I,MATCH(9.99E+307,'Returns (Calc)'!$A:$A)+1)-'Price History'!I3)*(ROW()-3)/(MATCH(9.99E+307,'Returns (Calc)'!$A:$A)-3),"")</f>
        <v>140.063670886076</v>
      </c>
      <c r="AE83" s="156" t="n">
        <f aca="false">IFERROR('Price History'!J3+(INDEX('Price History'!J:J,MATCH(9.99E+307,'Returns (Calc)'!$A:$A)+1)-'Price History'!J3)*(ROW()-3)/(MATCH(9.99E+307,'Returns (Calc)'!$A:$A)-3),"")</f>
        <v>120.483037974684</v>
      </c>
      <c r="AF83" s="156" t="n">
        <f aca="false">IFERROR('Price History'!K3+(INDEX('Price History'!K:K,MATCH(9.99E+307,'Returns (Calc)'!$A:$A)+1)-'Price History'!K3)*(ROW()-3)/(MATCH(9.99E+307,'Returns (Calc)'!$A:$A)-3),"")</f>
        <v>103.137594936709</v>
      </c>
      <c r="AG83" s="156" t="n">
        <f aca="false">IFERROR('Price History'!L3+(INDEX('Price History'!L:L,MATCH(9.99E+307,'Returns (Calc)'!$A:$A)+1)-'Price History'!L3)*(ROW()-3)/(MATCH(9.99E+307,'Returns (Calc)'!$A:$A)-3),"")</f>
        <v>281.714556962025</v>
      </c>
      <c r="AH83" s="156" t="n">
        <f aca="false">IFERROR('Price History'!M3+(INDEX('Price History'!M:M,MATCH(9.99E+307,'Returns (Calc)'!$A:$A)+1)-'Price History'!M3)*(ROW()-3)/(MATCH(9.99E+307,'Returns (Calc)'!$A:$A)-3),"")</f>
        <v>146.455443037975</v>
      </c>
      <c r="AI83" s="156" t="n">
        <f aca="false">IFERROR('Price History'!N3+(INDEX('Price History'!N:N,MATCH(9.99E+307,'Returns (Calc)'!$A:$A)+1)-'Price History'!N3)*(ROW()-3)/(MATCH(9.99E+307,'Returns (Calc)'!$A:$A)-3),"")</f>
        <v>427.801265822785</v>
      </c>
      <c r="AJ83" s="156" t="n">
        <f aca="false">IFERROR('Price History'!O3+(INDEX('Price History'!O:O,MATCH(9.99E+307,'Returns (Calc)'!$A:$A)+1)-'Price History'!O3)*(ROW()-3)/(MATCH(9.99E+307,'Returns (Calc)'!$A:$A)-3),"")</f>
        <v>97.9530379746836</v>
      </c>
      <c r="AK83" s="156" t="n">
        <f aca="false">IFERROR('Price History'!Q3+(INDEX('Price History'!Q:Q,MATCH(9.99E+307,'Returns (Calc)'!$A:$A)+1)-'Price History'!Q3)*(ROW()-3)/(MATCH(9.99E+307,'Returns (Calc)'!$A:$A)-3),"")</f>
        <v>35.1493670886076</v>
      </c>
      <c r="AL83" s="156" t="n">
        <f aca="false">IFERROR('Price History'!R3+(INDEX('Price History'!R:R,MATCH(9.99E+307,'Returns (Calc)'!$A:$A)+1)-'Price History'!R3)*(ROW()-3)/(MATCH(9.99E+307,'Returns (Calc)'!$A:$A)-3),"")</f>
        <v>47.9281012658228</v>
      </c>
      <c r="AM83" s="156" t="n">
        <f aca="false">IFERROR('Price History'!S3+(INDEX('Price History'!S:S,MATCH(9.99E+307,'Returns (Calc)'!$A:$A)+1)-'Price History'!S3)*(ROW()-3)/(MATCH(9.99E+307,'Returns (Calc)'!$A:$A)-3),"")</f>
        <v>106.035063291139</v>
      </c>
      <c r="AN83" s="156" t="n">
        <f aca="false">IFERROR('Price History'!T3+(INDEX('Price History'!T:T,MATCH(9.99E+307,'Returns (Calc)'!$A:$A)+1)-'Price History'!T3)*(ROW()-3)/(MATCH(9.99E+307,'Returns (Calc)'!$A:$A)-3),"")</f>
        <v>38.6982278481013</v>
      </c>
      <c r="AO83" s="157" t="n">
        <f aca="false">IFERROR('Price History'!V3+(INDEX('Price History'!V:V,MATCH(9.99E+307,'Returns (Calc)'!$A:$A)+1)-'Price History'!V3)*(ROW()-3)/(MATCH(9.99E+307,'Returns (Calc)'!$A:$A)-3),"")</f>
        <v>298.936329113924</v>
      </c>
      <c r="AP83" s="155" t="n">
        <f aca="false">IFERROR(IF(OR(NOT(ISNUMBER('Price History'!W84)),NOT(ISNUMBER('Price History'!W83)),'Price History'!W83=0),"",'Price History'!W84/'Price History'!W83-1),"")</f>
        <v>-0.0824792581747194</v>
      </c>
      <c r="AQ83" s="155" t="str">
        <f aca="false">IFERROR(IF(OR(NOT(ISNUMBER('Price History'!X84)),NOT(ISNUMBER('Price History'!X83)),'Price History'!X83=0),"",'Price History'!X84/'Price History'!X83-1),"")</f>
        <v/>
      </c>
      <c r="AR83" s="155" t="n">
        <f aca="false">IFERROR(IF(OR(NOT(ISNUMBER('Price History'!Y84)),NOT(ISNUMBER('Price History'!Y83)),'Price History'!Y83=0),"",'Price History'!Y84/'Price History'!Y83-1),"")</f>
        <v>-0.0734554236264842</v>
      </c>
      <c r="AS83" s="155" t="n">
        <f aca="false">IFERROR(IF(OR(NOT(ISNUMBER('Price History'!Z84)),NOT(ISNUMBER('Price History'!Z83)),'Price History'!Z83=0),"",'Price History'!Z84/'Price History'!Z83-1),"")</f>
        <v>-0.165424514049753</v>
      </c>
      <c r="AT83" s="155" t="n">
        <f aca="false">IFERROR(IF(OR(NOT(ISNUMBER('Price History'!AA84)),NOT(ISNUMBER('Price History'!AA83)),'Price History'!AA83=0),"",'Price History'!AA84/'Price History'!AA83-1),"")</f>
        <v>-0.0835207195631224</v>
      </c>
      <c r="AU83" s="155" t="n">
        <f aca="false">IFERROR(IF(OR(NOT(ISNUMBER('Price History'!AB84)),NOT(ISNUMBER('Price History'!AB83)),'Price History'!AB83=0),"",'Price History'!AB84/'Price History'!AB83-1),"")</f>
        <v>-0.0876563767559029</v>
      </c>
    </row>
    <row r="84" customFormat="false" ht="15" hidden="false" customHeight="true" outlineLevel="0" collapsed="false">
      <c r="A84" s="153" t="n">
        <f aca="false">IF('Price History'!A85="","",'Price History'!A85)</f>
        <v>45758</v>
      </c>
      <c r="B84" s="154" t="n">
        <f aca="false">IFERROR(IF(OR(NOT(ISNUMBER('Price History'!B85)),NOT(ISNUMBER('Price History'!B84)),'Price History'!B84=0),"",'Price History'!B85/'Price History'!B84-1),"")</f>
        <v>0.00974016672873646</v>
      </c>
      <c r="C84" s="154" t="n">
        <f aca="false">IFERROR(IF(OR(NOT(ISNUMBER('Price History'!C85)),NOT(ISNUMBER('Price History'!C84)),'Price History'!C84=0),"",'Price History'!C85/'Price History'!C84-1),"")</f>
        <v>0.128942053751748</v>
      </c>
      <c r="D84" s="154" t="n">
        <f aca="false">IFERROR(IF(OR(NOT(ISNUMBER('Price History'!D85)),NOT(ISNUMBER('Price History'!D84)),'Price History'!D84=0),"",'Price History'!D85/'Price History'!D84-1),"")</f>
        <v>0.104478360441985</v>
      </c>
      <c r="E84" s="154" t="n">
        <f aca="false">IFERROR(IF(OR(NOT(ISNUMBER('Price History'!E85)),NOT(ISNUMBER('Price History'!E84)),'Price History'!E84=0),"",'Price History'!E85/'Price History'!E84-1),"")</f>
        <v>0.243673074263587</v>
      </c>
      <c r="F84" s="154" t="n">
        <f aca="false">IFERROR(IF(OR(NOT(ISNUMBER('Price History'!F85)),NOT(ISNUMBER('Price History'!F84)),'Price History'!F84=0),"",'Price History'!F85/'Price History'!F84-1),"")</f>
        <v>0.174853873896282</v>
      </c>
      <c r="G84" s="154" t="n">
        <f aca="false">IFERROR(IF(OR(NOT(ISNUMBER('Price History'!G85)),NOT(ISNUMBER('Price History'!G84)),'Price History'!G84=0),"",'Price History'!G85/'Price History'!G84-1),"")</f>
        <v>0.162578836720392</v>
      </c>
      <c r="H84" s="154" t="n">
        <f aca="false">IFERROR(IF(OR(NOT(ISNUMBER('Price History'!H85)),NOT(ISNUMBER('Price History'!H84)),'Price History'!H84=0),"",'Price History'!H85/'Price History'!H84-1),"")</f>
        <v>0.0745043370508054</v>
      </c>
      <c r="I84" s="154" t="n">
        <f aca="false">IFERROR(IF(OR(NOT(ISNUMBER('Price History'!I85)),NOT(ISNUMBER('Price History'!I84)),'Price History'!I84=0),"",'Price History'!I85/'Price History'!I84-1),"")</f>
        <v>0.176251727437015</v>
      </c>
      <c r="J84" s="154" t="n">
        <f aca="false">IFERROR(IF(OR(NOT(ISNUMBER('Price History'!J85)),NOT(ISNUMBER('Price History'!J84)),'Price History'!J84=0),"",'Price History'!J85/'Price History'!J84-1),"")</f>
        <v>-0.0204256229280292</v>
      </c>
      <c r="K84" s="154" t="n">
        <f aca="false">IFERROR(IF(OR(NOT(ISNUMBER('Price History'!K85)),NOT(ISNUMBER('Price History'!K84)),'Price History'!K84=0),"",'Price History'!K85/'Price History'!K84-1),"")</f>
        <v>0.196459937846237</v>
      </c>
      <c r="L84" s="154" t="n">
        <f aca="false">IFERROR(IF(OR(NOT(ISNUMBER('Price History'!L85)),NOT(ISNUMBER('Price History'!L84)),'Price History'!L84=0),"",'Price History'!L85/'Price History'!L84-1),"")</f>
        <v>0.0700027723870251</v>
      </c>
      <c r="M84" s="154" t="n">
        <f aca="false">IFERROR(IF(OR(NOT(ISNUMBER('Price History'!M85)),NOT(ISNUMBER('Price History'!M84)),'Price History'!M84=0),"",'Price History'!M85/'Price History'!M84-1),"")</f>
        <v>0.171640532793795</v>
      </c>
      <c r="N84" s="154" t="n">
        <f aca="false">IFERROR(IF(OR(NOT(ISNUMBER('Price History'!N85)),NOT(ISNUMBER('Price History'!N84)),'Price History'!N84=0),"",'Price History'!N85/'Price History'!N84-1),"")</f>
        <v>0.0202267076819351</v>
      </c>
      <c r="O84" s="154" t="n">
        <f aca="false">IFERROR(IF(OR(NOT(ISNUMBER('Price History'!O85)),NOT(ISNUMBER('Price History'!O84)),'Price History'!O84=0),"",'Price History'!O85/'Price History'!O84-1),"")</f>
        <v>0.0125885129819039</v>
      </c>
      <c r="P84" s="154" t="n">
        <f aca="false">IFERROR(IF(OR(NOT(ISNUMBER('Price History'!P85)),NOT(ISNUMBER('Price History'!P84)),'Price History'!P84=0),"",'Price History'!P85/'Price History'!P84-1),"")</f>
        <v>0.0160705028512183</v>
      </c>
      <c r="Q84" s="154" t="n">
        <f aca="false">IFERROR(IF(OR(NOT(ISNUMBER('Price History'!Q85)),NOT(ISNUMBER('Price History'!Q84)),'Price History'!Q84=0),"",'Price History'!Q85/'Price History'!Q84-1),"")</f>
        <v>0.0188612726952231</v>
      </c>
      <c r="R84" s="154" t="n">
        <f aca="false">IFERROR(IF(OR(NOT(ISNUMBER('Price History'!R85)),NOT(ISNUMBER('Price History'!R84)),'Price History'!R84=0),"",'Price History'!R85/'Price History'!R84-1),"")</f>
        <v>0.0630262822148506</v>
      </c>
      <c r="S84" s="154" t="n">
        <f aca="false">IFERROR(IF(OR(NOT(ISNUMBER('Price History'!S85)),NOT(ISNUMBER('Price History'!S84)),'Price History'!S84=0),"",'Price History'!S85/'Price History'!S84-1),"")</f>
        <v>0.0910990902385049</v>
      </c>
      <c r="T84" s="154" t="n">
        <f aca="false">IFERROR(IF(OR(NOT(ISNUMBER('Price History'!T85)),NOT(ISNUMBER('Price History'!T84)),'Price History'!T84=0),"",'Price History'!T85/'Price History'!T84-1),"")</f>
        <v>0.0211012199142764</v>
      </c>
      <c r="U84" s="154" t="n">
        <f aca="false">IFERROR(IF(OR(NOT(ISNUMBER('Price History'!U85)),NOT(ISNUMBER('Price History'!U84)),'Price History'!U84=0),"",'Price History'!U85/'Price History'!U84-1),"")</f>
        <v>0.000834724540901499</v>
      </c>
      <c r="V84" s="155" t="n">
        <f aca="false">IFERROR(IF(OR(NOT(ISNUMBER('Price History'!V85)),NOT(ISNUMBER('Price History'!V84)),'Price History'!V84=0),"",'Price History'!V85/'Price History'!V84-1),"")</f>
        <v>0.0647307729577829</v>
      </c>
      <c r="W84" s="156" t="n">
        <f aca="false">IFERROR('Price History'!B3+(INDEX('Price History'!B:B,MATCH(9.99E+307,'Returns (Calc)'!$A:$A)+1)-'Price History'!B3)*(ROW()-3)/(MATCH(9.99E+307,'Returns (Calc)'!$A:$A)-3),"")</f>
        <v>379.603924050633</v>
      </c>
      <c r="X84" s="156" t="n">
        <f aca="false">IFERROR('Price History'!C3+(INDEX('Price History'!C:C,MATCH(9.99E+307,'Returns (Calc)'!$A:$A)+1)-'Price History'!C3)*(ROW()-3)/(MATCH(9.99E+307,'Returns (Calc)'!$A:$A)-3),"")</f>
        <v>128.805126582278</v>
      </c>
      <c r="Y84" s="156" t="n">
        <f aca="false">IFERROR('Price History'!D3+(INDEX('Price History'!D:D,MATCH(9.99E+307,'Returns (Calc)'!$A:$A)+1)-'Price History'!D3)*(ROW()-3)/(MATCH(9.99E+307,'Returns (Calc)'!$A:$A)-3),"")</f>
        <v>1240.92962025316</v>
      </c>
      <c r="Z84" s="156" t="n">
        <f aca="false">IFERROR('Price History'!E3+(INDEX('Price History'!E:E,MATCH(9.99E+307,'Returns (Calc)'!$A:$A)+1)-'Price History'!E3)*(ROW()-3)/(MATCH(9.99E+307,'Returns (Calc)'!$A:$A)-3),"")</f>
        <v>222.02746835443</v>
      </c>
      <c r="AA84" s="156" t="n">
        <f aca="false">IFERROR('Price History'!F3+(INDEX('Price History'!F:F,MATCH(9.99E+307,'Returns (Calc)'!$A:$A)+1)-'Price History'!F3)*(ROW()-3)/(MATCH(9.99E+307,'Returns (Calc)'!$A:$A)-3),"")</f>
        <v>158.594683544304</v>
      </c>
      <c r="AB84" s="156" t="n">
        <f aca="false">IFERROR('Price History'!G3+(INDEX('Price History'!G:G,MATCH(9.99E+307,'Returns (Calc)'!$A:$A)+1)-'Price History'!G3)*(ROW()-3)/(MATCH(9.99E+307,'Returns (Calc)'!$A:$A)-3),"")</f>
        <v>127.67746835443</v>
      </c>
      <c r="AC84" s="156" t="n">
        <f aca="false">IFERROR('Price History'!H3+(INDEX('Price History'!H:H,MATCH(9.99E+307,'Returns (Calc)'!$A:$A)+1)-'Price History'!H3)*(ROW()-3)/(MATCH(9.99E+307,'Returns (Calc)'!$A:$A)-3),"")</f>
        <v>584.731392405063</v>
      </c>
      <c r="AD84" s="156" t="n">
        <f aca="false">IFERROR('Price History'!I3+(INDEX('Price History'!I:I,MATCH(9.99E+307,'Returns (Calc)'!$A:$A)+1)-'Price History'!I3)*(ROW()-3)/(MATCH(9.99E+307,'Returns (Calc)'!$A:$A)-3),"")</f>
        <v>141.267341772152</v>
      </c>
      <c r="AE84" s="156" t="n">
        <f aca="false">IFERROR('Price History'!J3+(INDEX('Price History'!J:J,MATCH(9.99E+307,'Returns (Calc)'!$A:$A)+1)-'Price History'!J3)*(ROW()-3)/(MATCH(9.99E+307,'Returns (Calc)'!$A:$A)-3),"")</f>
        <v>120.591075949367</v>
      </c>
      <c r="AF84" s="156" t="n">
        <f aca="false">IFERROR('Price History'!K3+(INDEX('Price History'!K:K,MATCH(9.99E+307,'Returns (Calc)'!$A:$A)+1)-'Price History'!K3)*(ROW()-3)/(MATCH(9.99E+307,'Returns (Calc)'!$A:$A)-3),"")</f>
        <v>104.235189873418</v>
      </c>
      <c r="AG84" s="156" t="n">
        <f aca="false">IFERROR('Price History'!L3+(INDEX('Price History'!L:L,MATCH(9.99E+307,'Returns (Calc)'!$A:$A)+1)-'Price History'!L3)*(ROW()-3)/(MATCH(9.99E+307,'Returns (Calc)'!$A:$A)-3),"")</f>
        <v>284.164113924051</v>
      </c>
      <c r="AH84" s="156" t="n">
        <f aca="false">IFERROR('Price History'!M3+(INDEX('Price History'!M:M,MATCH(9.99E+307,'Returns (Calc)'!$A:$A)+1)-'Price History'!M3)*(ROW()-3)/(MATCH(9.99E+307,'Returns (Calc)'!$A:$A)-3),"")</f>
        <v>147.810886075949</v>
      </c>
      <c r="AI84" s="156" t="n">
        <f aca="false">IFERROR('Price History'!N3+(INDEX('Price History'!N:N,MATCH(9.99E+307,'Returns (Calc)'!$A:$A)+1)-'Price History'!N3)*(ROW()-3)/(MATCH(9.99E+307,'Returns (Calc)'!$A:$A)-3),"")</f>
        <v>428.78753164557</v>
      </c>
      <c r="AJ84" s="156" t="n">
        <f aca="false">IFERROR('Price History'!O3+(INDEX('Price History'!O:O,MATCH(9.99E+307,'Returns (Calc)'!$A:$A)+1)-'Price History'!O3)*(ROW()-3)/(MATCH(9.99E+307,'Returns (Calc)'!$A:$A)-3),"")</f>
        <v>98.2360759493671</v>
      </c>
      <c r="AK84" s="156" t="n">
        <f aca="false">IFERROR('Price History'!Q3+(INDEX('Price History'!Q:Q,MATCH(9.99E+307,'Returns (Calc)'!$A:$A)+1)-'Price History'!Q3)*(ROW()-3)/(MATCH(9.99E+307,'Returns (Calc)'!$A:$A)-3),"")</f>
        <v>35.5887341772152</v>
      </c>
      <c r="AL84" s="156" t="n">
        <f aca="false">IFERROR('Price History'!R3+(INDEX('Price History'!R:R,MATCH(9.99E+307,'Returns (Calc)'!$A:$A)+1)-'Price History'!R3)*(ROW()-3)/(MATCH(9.99E+307,'Returns (Calc)'!$A:$A)-3),"")</f>
        <v>48.0962025316456</v>
      </c>
      <c r="AM84" s="156" t="n">
        <f aca="false">IFERROR('Price History'!S3+(INDEX('Price History'!S:S,MATCH(9.99E+307,'Returns (Calc)'!$A:$A)+1)-'Price History'!S3)*(ROW()-3)/(MATCH(9.99E+307,'Returns (Calc)'!$A:$A)-3),"")</f>
        <v>106.640126582278</v>
      </c>
      <c r="AN84" s="156" t="n">
        <f aca="false">IFERROR('Price History'!T3+(INDEX('Price History'!T:T,MATCH(9.99E+307,'Returns (Calc)'!$A:$A)+1)-'Price History'!T3)*(ROW()-3)/(MATCH(9.99E+307,'Returns (Calc)'!$A:$A)-3),"")</f>
        <v>38.8664556962025</v>
      </c>
      <c r="AO84" s="157" t="n">
        <f aca="false">IFERROR('Price History'!V3+(INDEX('Price History'!V:V,MATCH(9.99E+307,'Returns (Calc)'!$A:$A)+1)-'Price History'!V3)*(ROW()-3)/(MATCH(9.99E+307,'Returns (Calc)'!$A:$A)-3),"")</f>
        <v>299.727658227848</v>
      </c>
      <c r="AP84" s="155" t="n">
        <f aca="false">IFERROR(IF(OR(NOT(ISNUMBER('Price History'!W85)),NOT(ISNUMBER('Price History'!W84)),'Price History'!W84=0),"",'Price History'!W85/'Price History'!W84-1),"")</f>
        <v>0.034131205673759</v>
      </c>
      <c r="AQ84" s="155" t="str">
        <f aca="false">IFERROR(IF(OR(NOT(ISNUMBER('Price History'!X85)),NOT(ISNUMBER('Price History'!X84)),'Price History'!X84=0),"",'Price History'!X85/'Price History'!X84-1),"")</f>
        <v/>
      </c>
      <c r="AR84" s="155" t="n">
        <f aca="false">IFERROR(IF(OR(NOT(ISNUMBER('Price History'!Y85)),NOT(ISNUMBER('Price History'!Y84)),'Price History'!Y84=0),"",'Price History'!Y85/'Price History'!Y84-1),"")</f>
        <v>0.0351867940920938</v>
      </c>
      <c r="AS84" s="155" t="n">
        <f aca="false">IFERROR(IF(OR(NOT(ISNUMBER('Price History'!Z85)),NOT(ISNUMBER('Price History'!Z84)),'Price History'!Z84=0),"",'Price History'!Z85/'Price History'!Z84-1),"")</f>
        <v>0.0890605201230919</v>
      </c>
      <c r="AT84" s="155" t="n">
        <f aca="false">IFERROR(IF(OR(NOT(ISNUMBER('Price History'!AA85)),NOT(ISNUMBER('Price History'!AA84)),'Price History'!AA84=0),"",'Price History'!AA85/'Price History'!AA84-1),"")</f>
        <v>0.0729057132842621</v>
      </c>
      <c r="AU84" s="155" t="n">
        <f aca="false">IFERROR(IF(OR(NOT(ISNUMBER('Price History'!AB85)),NOT(ISNUMBER('Price History'!AB84)),'Price History'!AB84=0),"",'Price History'!AB85/'Price History'!AB84-1),"")</f>
        <v>0.0202171471359041</v>
      </c>
    </row>
    <row r="85" customFormat="false" ht="15" hidden="false" customHeight="true" outlineLevel="0" collapsed="false">
      <c r="A85" s="153" t="n">
        <f aca="false">IF('Price History'!A86="","",'Price History'!A86)</f>
        <v>45765</v>
      </c>
      <c r="B85" s="154" t="n">
        <f aca="false">IFERROR(IF(OR(NOT(ISNUMBER('Price History'!B86)),NOT(ISNUMBER('Price History'!B85)),'Price History'!B85=0),"",'Price History'!B86/'Price History'!B85-1),"")</f>
        <v>-0.0104122336652765</v>
      </c>
      <c r="C85" s="154" t="n">
        <f aca="false">IFERROR(IF(OR(NOT(ISNUMBER('Price History'!C86)),NOT(ISNUMBER('Price History'!C85)),'Price History'!C85=0),"",'Price History'!C86/'Price History'!C85-1),"")</f>
        <v>-0.0202284298885372</v>
      </c>
      <c r="D85" s="154" t="n">
        <f aca="false">IFERROR(IF(OR(NOT(ISNUMBER('Price History'!D86)),NOT(ISNUMBER('Price History'!D85)),'Price History'!D85=0),"",'Price History'!D86/'Price History'!D85-1),"")</f>
        <v>-0.0428478454995385</v>
      </c>
      <c r="E85" s="154" t="n">
        <f aca="false">IFERROR(IF(OR(NOT(ISNUMBER('Price History'!E86)),NOT(ISNUMBER('Price History'!E85)),'Price History'!E85=0),"",'Price History'!E86/'Price History'!E85-1),"")</f>
        <v>-0.0601579005893473</v>
      </c>
      <c r="F85" s="154" t="n">
        <f aca="false">IFERROR(IF(OR(NOT(ISNUMBER('Price History'!F86)),NOT(ISNUMBER('Price History'!F85)),'Price History'!F85=0),"",'Price History'!F86/'Price History'!F85-1),"")</f>
        <v>-0.00603366147983475</v>
      </c>
      <c r="G85" s="154" t="n">
        <f aca="false">IFERROR(IF(OR(NOT(ISNUMBER('Price History'!G86)),NOT(ISNUMBER('Price History'!G85)),'Price History'!G85=0),"",'Price History'!G86/'Price History'!G85-1),"")</f>
        <v>-0.0534960819770945</v>
      </c>
      <c r="H85" s="154" t="n">
        <f aca="false">IFERROR(IF(OR(NOT(ISNUMBER('Price History'!H86)),NOT(ISNUMBER('Price History'!H85)),'Price History'!H85=0),"",'Price History'!H86/'Price History'!H85-1),"")</f>
        <v>-0.0106674354908464</v>
      </c>
      <c r="I85" s="154" t="n">
        <f aca="false">IFERROR(IF(OR(NOT(ISNUMBER('Price History'!I86)),NOT(ISNUMBER('Price History'!I85)),'Price History'!I85=0),"",'Price History'!I86/'Price History'!I85-1),"")</f>
        <v>-0.0851333032083145</v>
      </c>
      <c r="J85" s="154" t="n">
        <f aca="false">IFERROR(IF(OR(NOT(ISNUMBER('Price History'!J86)),NOT(ISNUMBER('Price History'!J85)),'Price History'!J85=0),"",'Price History'!J86/'Price History'!J85-1),"")</f>
        <v>0.0610262008733624</v>
      </c>
      <c r="K85" s="154" t="n">
        <f aca="false">IFERROR(IF(OR(NOT(ISNUMBER('Price History'!K86)),NOT(ISNUMBER('Price History'!K85)),'Price History'!K85=0),"",'Price History'!K86/'Price History'!K85-1),"")</f>
        <v>0.0590626764539808</v>
      </c>
      <c r="L85" s="154" t="n">
        <f aca="false">IFERROR(IF(OR(NOT(ISNUMBER('Price History'!L86)),NOT(ISNUMBER('Price History'!L85)),'Price History'!L85=0),"",'Price History'!L86/'Price History'!L85-1),"")</f>
        <v>-0.0340069957248348</v>
      </c>
      <c r="M85" s="154" t="n">
        <f aca="false">IFERROR(IF(OR(NOT(ISNUMBER('Price History'!M86)),NOT(ISNUMBER('Price History'!M85)),'Price History'!M85=0),"",'Price History'!M86/'Price History'!M85-1),"")</f>
        <v>0.0518060152539934</v>
      </c>
      <c r="N85" s="154" t="n">
        <f aca="false">IFERROR(IF(OR(NOT(ISNUMBER('Price History'!N86)),NOT(ISNUMBER('Price History'!N85)),'Price History'!N85=0),"",'Price History'!N86/'Price History'!N85-1),"")</f>
        <v>0.0100780636900581</v>
      </c>
      <c r="O85" s="154" t="n">
        <f aca="false">IFERROR(IF(OR(NOT(ISNUMBER('Price History'!O86)),NOT(ISNUMBER('Price History'!O85)),'Price History'!O85=0),"",'Price History'!O86/'Price History'!O85-1),"")</f>
        <v>0.0186480186480187</v>
      </c>
      <c r="P85" s="154" t="n">
        <f aca="false">IFERROR(IF(OR(NOT(ISNUMBER('Price History'!P86)),NOT(ISNUMBER('Price History'!P85)),'Price History'!P85=0),"",'Price History'!P86/'Price History'!P85-1),"")</f>
        <v>0.0147108843537416</v>
      </c>
      <c r="Q85" s="154" t="n">
        <f aca="false">IFERROR(IF(OR(NOT(ISNUMBER('Price History'!Q86)),NOT(ISNUMBER('Price History'!Q85)),'Price History'!Q85=0),"",'Price History'!Q86/'Price History'!Q85-1),"")</f>
        <v>-0.00605536332179923</v>
      </c>
      <c r="R85" s="154" t="n">
        <f aca="false">IFERROR(IF(OR(NOT(ISNUMBER('Price History'!R86)),NOT(ISNUMBER('Price History'!R85)),'Price History'!R85=0),"",'Price History'!R86/'Price History'!R85-1),"")</f>
        <v>-0.0160825732117137</v>
      </c>
      <c r="S85" s="154" t="n">
        <f aca="false">IFERROR(IF(OR(NOT(ISNUMBER('Price History'!S86)),NOT(ISNUMBER('Price History'!S85)),'Price History'!S85=0),"",'Price History'!S86/'Price History'!S85-1),"")</f>
        <v>-0.0173521126760564</v>
      </c>
      <c r="T85" s="154" t="n">
        <f aca="false">IFERROR(IF(OR(NOT(ISNUMBER('Price History'!T86)),NOT(ISNUMBER('Price History'!T85)),'Price History'!T85=0),"",'Price History'!T86/'Price History'!T85-1),"")</f>
        <v>0.00678075556990643</v>
      </c>
      <c r="U85" s="154" t="n">
        <f aca="false">IFERROR(IF(OR(NOT(ISNUMBER('Price History'!U86)),NOT(ISNUMBER('Price History'!U85)),'Price History'!U85=0),"",'Price History'!U86/'Price History'!U85-1),"")</f>
        <v>0.00458715596330284</v>
      </c>
      <c r="V85" s="155" t="n">
        <f aca="false">IFERROR(IF(OR(NOT(ISNUMBER('Price History'!V86)),NOT(ISNUMBER('Price History'!V85)),'Price History'!V85=0),"",'Price History'!V86/'Price History'!V85-1),"")</f>
        <v>-0.0113763917119194</v>
      </c>
      <c r="W85" s="156" t="n">
        <f aca="false">IFERROR('Price History'!B3+(INDEX('Price History'!B:B,MATCH(9.99E+307,'Returns (Calc)'!$A:$A)+1)-'Price History'!B3)*(ROW()-3)/(MATCH(9.99E+307,'Returns (Calc)'!$A:$A)-3),"")</f>
        <v>377.760886075949</v>
      </c>
      <c r="X85" s="156" t="n">
        <f aca="false">IFERROR('Price History'!C3+(INDEX('Price History'!C:C,MATCH(9.99E+307,'Returns (Calc)'!$A:$A)+1)-'Price History'!C3)*(ROW()-3)/(MATCH(9.99E+307,'Returns (Calc)'!$A:$A)-3),"")</f>
        <v>129.825189873418</v>
      </c>
      <c r="Y85" s="156" t="n">
        <f aca="false">IFERROR('Price History'!D3+(INDEX('Price History'!D:D,MATCH(9.99E+307,'Returns (Calc)'!$A:$A)+1)-'Price History'!D3)*(ROW()-3)/(MATCH(9.99E+307,'Returns (Calc)'!$A:$A)-3),"")</f>
        <v>1249.06443037975</v>
      </c>
      <c r="Z85" s="156" t="n">
        <f aca="false">IFERROR('Price History'!E3+(INDEX('Price History'!E:E,MATCH(9.99E+307,'Returns (Calc)'!$A:$A)+1)-'Price History'!E3)*(ROW()-3)/(MATCH(9.99E+307,'Returns (Calc)'!$A:$A)-3),"")</f>
        <v>223.756202531646</v>
      </c>
      <c r="AA85" s="156" t="n">
        <f aca="false">IFERROR('Price History'!F3+(INDEX('Price History'!F:F,MATCH(9.99E+307,'Returns (Calc)'!$A:$A)+1)-'Price History'!F3)*(ROW()-3)/(MATCH(9.99E+307,'Returns (Calc)'!$A:$A)-3),"")</f>
        <v>160.042025316456</v>
      </c>
      <c r="AB85" s="156" t="n">
        <f aca="false">IFERROR('Price History'!G3+(INDEX('Price History'!G:G,MATCH(9.99E+307,'Returns (Calc)'!$A:$A)+1)-'Price History'!G3)*(ROW()-3)/(MATCH(9.99E+307,'Returns (Calc)'!$A:$A)-3),"")</f>
        <v>128.706202531646</v>
      </c>
      <c r="AC85" s="156" t="n">
        <f aca="false">IFERROR('Price History'!H3+(INDEX('Price History'!H:H,MATCH(9.99E+307,'Returns (Calc)'!$A:$A)+1)-'Price History'!H3)*(ROW()-3)/(MATCH(9.99E+307,'Returns (Calc)'!$A:$A)-3),"")</f>
        <v>591.097088607595</v>
      </c>
      <c r="AD85" s="156" t="n">
        <f aca="false">IFERROR('Price History'!I3+(INDEX('Price History'!I:I,MATCH(9.99E+307,'Returns (Calc)'!$A:$A)+1)-'Price History'!I3)*(ROW()-3)/(MATCH(9.99E+307,'Returns (Calc)'!$A:$A)-3),"")</f>
        <v>142.471012658228</v>
      </c>
      <c r="AE85" s="156" t="n">
        <f aca="false">IFERROR('Price History'!J3+(INDEX('Price History'!J:J,MATCH(9.99E+307,'Returns (Calc)'!$A:$A)+1)-'Price History'!J3)*(ROW()-3)/(MATCH(9.99E+307,'Returns (Calc)'!$A:$A)-3),"")</f>
        <v>120.699113924051</v>
      </c>
      <c r="AF85" s="156" t="n">
        <f aca="false">IFERROR('Price History'!K3+(INDEX('Price History'!K:K,MATCH(9.99E+307,'Returns (Calc)'!$A:$A)+1)-'Price History'!K3)*(ROW()-3)/(MATCH(9.99E+307,'Returns (Calc)'!$A:$A)-3),"")</f>
        <v>105.332784810127</v>
      </c>
      <c r="AG85" s="156" t="n">
        <f aca="false">IFERROR('Price History'!L3+(INDEX('Price History'!L:L,MATCH(9.99E+307,'Returns (Calc)'!$A:$A)+1)-'Price History'!L3)*(ROW()-3)/(MATCH(9.99E+307,'Returns (Calc)'!$A:$A)-3),"")</f>
        <v>286.613670886076</v>
      </c>
      <c r="AH85" s="156" t="n">
        <f aca="false">IFERROR('Price History'!M3+(INDEX('Price History'!M:M,MATCH(9.99E+307,'Returns (Calc)'!$A:$A)+1)-'Price History'!M3)*(ROW()-3)/(MATCH(9.99E+307,'Returns (Calc)'!$A:$A)-3),"")</f>
        <v>149.166329113924</v>
      </c>
      <c r="AI85" s="156" t="n">
        <f aca="false">IFERROR('Price History'!N3+(INDEX('Price History'!N:N,MATCH(9.99E+307,'Returns (Calc)'!$A:$A)+1)-'Price History'!N3)*(ROW()-3)/(MATCH(9.99E+307,'Returns (Calc)'!$A:$A)-3),"")</f>
        <v>429.773797468354</v>
      </c>
      <c r="AJ85" s="156" t="n">
        <f aca="false">IFERROR('Price History'!O3+(INDEX('Price History'!O:O,MATCH(9.99E+307,'Returns (Calc)'!$A:$A)+1)-'Price History'!O3)*(ROW()-3)/(MATCH(9.99E+307,'Returns (Calc)'!$A:$A)-3),"")</f>
        <v>98.5191139240506</v>
      </c>
      <c r="AK85" s="156" t="n">
        <f aca="false">IFERROR('Price History'!Q3+(INDEX('Price History'!Q:Q,MATCH(9.99E+307,'Returns (Calc)'!$A:$A)+1)-'Price History'!Q3)*(ROW()-3)/(MATCH(9.99E+307,'Returns (Calc)'!$A:$A)-3),"")</f>
        <v>36.0281012658228</v>
      </c>
      <c r="AL85" s="156" t="n">
        <f aca="false">IFERROR('Price History'!R3+(INDEX('Price History'!R:R,MATCH(9.99E+307,'Returns (Calc)'!$A:$A)+1)-'Price History'!R3)*(ROW()-3)/(MATCH(9.99E+307,'Returns (Calc)'!$A:$A)-3),"")</f>
        <v>48.2643037974684</v>
      </c>
      <c r="AM85" s="156" t="n">
        <f aca="false">IFERROR('Price History'!S3+(INDEX('Price History'!S:S,MATCH(9.99E+307,'Returns (Calc)'!$A:$A)+1)-'Price History'!S3)*(ROW()-3)/(MATCH(9.99E+307,'Returns (Calc)'!$A:$A)-3),"")</f>
        <v>107.245189873418</v>
      </c>
      <c r="AN85" s="156" t="n">
        <f aca="false">IFERROR('Price History'!T3+(INDEX('Price History'!T:T,MATCH(9.99E+307,'Returns (Calc)'!$A:$A)+1)-'Price History'!T3)*(ROW()-3)/(MATCH(9.99E+307,'Returns (Calc)'!$A:$A)-3),"")</f>
        <v>39.0346835443038</v>
      </c>
      <c r="AO85" s="157" t="n">
        <f aca="false">IFERROR('Price History'!V3+(INDEX('Price History'!V:V,MATCH(9.99E+307,'Returns (Calc)'!$A:$A)+1)-'Price History'!V3)*(ROW()-3)/(MATCH(9.99E+307,'Returns (Calc)'!$A:$A)-3),"")</f>
        <v>300.518987341772</v>
      </c>
      <c r="AP85" s="155" t="n">
        <f aca="false">IFERROR(IF(OR(NOT(ISNUMBER('Price History'!W86)),NOT(ISNUMBER('Price History'!W85)),'Price History'!W85=0),"",'Price History'!W86/'Price History'!W85-1),"")</f>
        <v>-0.00154307758251182</v>
      </c>
      <c r="AQ85" s="155" t="str">
        <f aca="false">IFERROR(IF(OR(NOT(ISNUMBER('Price History'!X86)),NOT(ISNUMBER('Price History'!X85)),'Price History'!X85=0),"",'Price History'!X86/'Price History'!X85-1),"")</f>
        <v/>
      </c>
      <c r="AR85" s="155" t="n">
        <f aca="false">IFERROR(IF(OR(NOT(ISNUMBER('Price History'!Y86)),NOT(ISNUMBER('Price History'!Y85)),'Price History'!Y85=0),"",'Price History'!Y86/'Price History'!Y85-1),"")</f>
        <v>-0.00398657154846827</v>
      </c>
      <c r="AS85" s="155" t="n">
        <f aca="false">IFERROR(IF(OR(NOT(ISNUMBER('Price History'!Z86)),NOT(ISNUMBER('Price History'!Z85)),'Price History'!Z85=0),"",'Price History'!Z86/'Price History'!Z85-1),"")</f>
        <v>0.000664856778769041</v>
      </c>
      <c r="AT85" s="155" t="n">
        <f aca="false">IFERROR(IF(OR(NOT(ISNUMBER('Price History'!AA86)),NOT(ISNUMBER('Price History'!AA85)),'Price History'!AA85=0),"",'Price History'!AA86/'Price History'!AA85-1),"")</f>
        <v>0.0595665904388545</v>
      </c>
      <c r="AU85" s="155" t="n">
        <f aca="false">IFERROR(IF(OR(NOT(ISNUMBER('Price History'!AB86)),NOT(ISNUMBER('Price History'!AB85)),'Price History'!AB85=0),"",'Price History'!AB86/'Price History'!AB85-1),"")</f>
        <v>-0.00940366972477069</v>
      </c>
    </row>
    <row r="86" customFormat="false" ht="15" hidden="false" customHeight="true" outlineLevel="0" collapsed="false">
      <c r="A86" s="153" t="n">
        <f aca="false">IF('Price History'!A87="","",'Price History'!A87)</f>
        <v>45772</v>
      </c>
      <c r="B86" s="154" t="n">
        <f aca="false">IFERROR(IF(OR(NOT(ISNUMBER('Price History'!B87)),NOT(ISNUMBER('Price History'!B86)),'Price History'!B86=0),"",'Price History'!B87/'Price History'!B86-1),"")</f>
        <v>0.0542431192660551</v>
      </c>
      <c r="C86" s="154" t="n">
        <f aca="false">IFERROR(IF(OR(NOT(ISNUMBER('Price History'!C87)),NOT(ISNUMBER('Price History'!C86)),'Price History'!C86=0),"",'Price History'!C87/'Price History'!C86-1),"")</f>
        <v>0.0942415730337078</v>
      </c>
      <c r="D86" s="154" t="n">
        <f aca="false">IFERROR(IF(OR(NOT(ISNUMBER('Price History'!D87)),NOT(ISNUMBER('Price History'!D86)),'Price History'!D86=0),"",'Price History'!D87/'Price History'!D86-1),"")</f>
        <v>0.0579696394686906</v>
      </c>
      <c r="E86" s="154" t="n">
        <f aca="false">IFERROR(IF(OR(NOT(ISNUMBER('Price History'!E87)),NOT(ISNUMBER('Price History'!E86)),'Price History'!E86=0),"",'Price History'!E87/'Price History'!E86-1),"")</f>
        <v>0.124704212020823</v>
      </c>
      <c r="F86" s="154" t="n">
        <f aca="false">IFERROR(IF(OR(NOT(ISNUMBER('Price History'!F87)),NOT(ISNUMBER('Price History'!F86)),'Price History'!F86=0),"",'Price History'!F87/'Price History'!F86-1),"")</f>
        <v>0.131203407880724</v>
      </c>
      <c r="G86" s="154" t="n">
        <f aca="false">IFERROR(IF(OR(NOT(ISNUMBER('Price History'!G87)),NOT(ISNUMBER('Price History'!G86)),'Price History'!G86=0),"",'Price History'!G87/'Price History'!G86-1),"")</f>
        <v>0.0948893488298042</v>
      </c>
      <c r="H86" s="154" t="n">
        <f aca="false">IFERROR(IF(OR(NOT(ISNUMBER('Price History'!H87)),NOT(ISNUMBER('Price History'!H86)),'Price History'!H86=0),"",'Price History'!H87/'Price History'!H86-1),"")</f>
        <v>0.159551216669095</v>
      </c>
      <c r="I86" s="154" t="n">
        <f aca="false">IFERROR(IF(OR(NOT(ISNUMBER('Price History'!I87)),NOT(ISNUMBER('Price History'!I86)),'Price History'!I86=0),"",'Price History'!I87/'Price History'!I86-1),"")</f>
        <v>0.0938456979156377</v>
      </c>
      <c r="J86" s="154" t="n">
        <f aca="false">IFERROR(IF(OR(NOT(ISNUMBER('Price History'!J87)),NOT(ISNUMBER('Price History'!J86)),'Price History'!J86=0),"",'Price History'!J87/'Price History'!J86-1),"")</f>
        <v>0.00133758617141666</v>
      </c>
      <c r="K86" s="154" t="n">
        <f aca="false">IFERROR(IF(OR(NOT(ISNUMBER('Price History'!K87)),NOT(ISNUMBER('Price History'!K86)),'Price History'!K86=0),"",'Price History'!K87/'Price History'!K86-1),"")</f>
        <v>0.202601834079761</v>
      </c>
      <c r="L86" s="154" t="n">
        <f aca="false">IFERROR(IF(OR(NOT(ISNUMBER('Price History'!L87)),NOT(ISNUMBER('Price History'!L86)),'Price History'!L86=0),"",'Price History'!L87/'Price History'!L86-1),"")</f>
        <v>0.0880439884664386</v>
      </c>
      <c r="M86" s="154" t="n">
        <f aca="false">IFERROR(IF(OR(NOT(ISNUMBER('Price History'!M87)),NOT(ISNUMBER('Price History'!M86)),'Price History'!M86=0),"",'Price History'!M87/'Price History'!M86-1),"")</f>
        <v>0.187576959912437</v>
      </c>
      <c r="N86" s="154" t="n">
        <f aca="false">IFERROR(IF(OR(NOT(ISNUMBER('Price History'!N87)),NOT(ISNUMBER('Price History'!N86)),'Price History'!N86=0),"",'Price History'!N87/'Price History'!N86-1),"")</f>
        <v>0.00969126967900214</v>
      </c>
      <c r="O86" s="154" t="n">
        <f aca="false">IFERROR(IF(OR(NOT(ISNUMBER('Price History'!O87)),NOT(ISNUMBER('Price History'!O86)),'Price History'!O86=0),"",'Price History'!O87/'Price History'!O86-1),"")</f>
        <v>0.0280956013221461</v>
      </c>
      <c r="P86" s="154" t="n">
        <f aca="false">IFERROR(IF(OR(NOT(ISNUMBER('Price History'!P87)),NOT(ISNUMBER('Price History'!P86)),'Price History'!P86=0),"",'Price History'!P87/'Price History'!P86-1),"")</f>
        <v>0.0143300092181347</v>
      </c>
      <c r="Q86" s="154" t="n">
        <f aca="false">IFERROR(IF(OR(NOT(ISNUMBER('Price History'!Q87)),NOT(ISNUMBER('Price History'!Q86)),'Price History'!Q86=0),"",'Price History'!Q87/'Price History'!Q86-1),"")</f>
        <v>0.0177545691906005</v>
      </c>
      <c r="R86" s="154" t="n">
        <f aca="false">IFERROR(IF(OR(NOT(ISNUMBER('Price History'!R87)),NOT(ISNUMBER('Price History'!R86)),'Price History'!R86=0),"",'Price History'!R87/'Price History'!R86-1),"")</f>
        <v>0.0480605025616003</v>
      </c>
      <c r="S86" s="154" t="n">
        <f aca="false">IFERROR(IF(OR(NOT(ISNUMBER('Price History'!S87)),NOT(ISNUMBER('Price History'!S86)),'Price History'!S86=0),"",'Price History'!S87/'Price History'!S86-1),"")</f>
        <v>0.0652448113748425</v>
      </c>
      <c r="T86" s="154" t="n">
        <f aca="false">IFERROR(IF(OR(NOT(ISNUMBER('Price History'!T87)),NOT(ISNUMBER('Price History'!T86)),'Price History'!T86=0),"",'Price History'!T87/'Price History'!T86-1),"")</f>
        <v>0.033033996151379</v>
      </c>
      <c r="U86" s="154" t="n">
        <f aca="false">IFERROR(IF(OR(NOT(ISNUMBER('Price History'!U87)),NOT(ISNUMBER('Price History'!U86)),'Price History'!U86=0),"",'Price History'!U87/'Price History'!U86-1),"")</f>
        <v>0.00996264009962644</v>
      </c>
      <c r="V86" s="155" t="n">
        <f aca="false">IFERROR(IF(OR(NOT(ISNUMBER('Price History'!V87)),NOT(ISNUMBER('Price History'!V86)),'Price History'!V86=0),"",'Price History'!V87/'Price History'!V86-1),"")</f>
        <v>0.0168773781760156</v>
      </c>
      <c r="W86" s="156" t="n">
        <f aca="false">IFERROR('Price History'!B3+(INDEX('Price History'!B:B,MATCH(9.99E+307,'Returns (Calc)'!$A:$A)+1)-'Price History'!B3)*(ROW()-3)/(MATCH(9.99E+307,'Returns (Calc)'!$A:$A)-3),"")</f>
        <v>375.917848101266</v>
      </c>
      <c r="X86" s="156" t="n">
        <f aca="false">IFERROR('Price History'!C3+(INDEX('Price History'!C:C,MATCH(9.99E+307,'Returns (Calc)'!$A:$A)+1)-'Price History'!C3)*(ROW()-3)/(MATCH(9.99E+307,'Returns (Calc)'!$A:$A)-3),"")</f>
        <v>130.845253164557</v>
      </c>
      <c r="Y86" s="156" t="n">
        <f aca="false">IFERROR('Price History'!D3+(INDEX('Price History'!D:D,MATCH(9.99E+307,'Returns (Calc)'!$A:$A)+1)-'Price History'!D3)*(ROW()-3)/(MATCH(9.99E+307,'Returns (Calc)'!$A:$A)-3),"")</f>
        <v>1257.19924050633</v>
      </c>
      <c r="Z86" s="156" t="n">
        <f aca="false">IFERROR('Price History'!E3+(INDEX('Price History'!E:E,MATCH(9.99E+307,'Returns (Calc)'!$A:$A)+1)-'Price History'!E3)*(ROW()-3)/(MATCH(9.99E+307,'Returns (Calc)'!$A:$A)-3),"")</f>
        <v>225.484936708861</v>
      </c>
      <c r="AA86" s="156" t="n">
        <f aca="false">IFERROR('Price History'!F3+(INDEX('Price History'!F:F,MATCH(9.99E+307,'Returns (Calc)'!$A:$A)+1)-'Price History'!F3)*(ROW()-3)/(MATCH(9.99E+307,'Returns (Calc)'!$A:$A)-3),"")</f>
        <v>161.489367088608</v>
      </c>
      <c r="AB86" s="156" t="n">
        <f aca="false">IFERROR('Price History'!G3+(INDEX('Price History'!G:G,MATCH(9.99E+307,'Returns (Calc)'!$A:$A)+1)-'Price History'!G3)*(ROW()-3)/(MATCH(9.99E+307,'Returns (Calc)'!$A:$A)-3),"")</f>
        <v>129.734936708861</v>
      </c>
      <c r="AC86" s="156" t="n">
        <f aca="false">IFERROR('Price History'!H3+(INDEX('Price History'!H:H,MATCH(9.99E+307,'Returns (Calc)'!$A:$A)+1)-'Price History'!H3)*(ROW()-3)/(MATCH(9.99E+307,'Returns (Calc)'!$A:$A)-3),"")</f>
        <v>597.462784810127</v>
      </c>
      <c r="AD86" s="156" t="n">
        <f aca="false">IFERROR('Price History'!I3+(INDEX('Price History'!I:I,MATCH(9.99E+307,'Returns (Calc)'!$A:$A)+1)-'Price History'!I3)*(ROW()-3)/(MATCH(9.99E+307,'Returns (Calc)'!$A:$A)-3),"")</f>
        <v>143.674683544304</v>
      </c>
      <c r="AE86" s="156" t="n">
        <f aca="false">IFERROR('Price History'!J3+(INDEX('Price History'!J:J,MATCH(9.99E+307,'Returns (Calc)'!$A:$A)+1)-'Price History'!J3)*(ROW()-3)/(MATCH(9.99E+307,'Returns (Calc)'!$A:$A)-3),"")</f>
        <v>120.807151898734</v>
      </c>
      <c r="AF86" s="156" t="n">
        <f aca="false">IFERROR('Price History'!K3+(INDEX('Price History'!K:K,MATCH(9.99E+307,'Returns (Calc)'!$A:$A)+1)-'Price History'!K3)*(ROW()-3)/(MATCH(9.99E+307,'Returns (Calc)'!$A:$A)-3),"")</f>
        <v>106.430379746835</v>
      </c>
      <c r="AG86" s="156" t="n">
        <f aca="false">IFERROR('Price History'!L3+(INDEX('Price History'!L:L,MATCH(9.99E+307,'Returns (Calc)'!$A:$A)+1)-'Price History'!L3)*(ROW()-3)/(MATCH(9.99E+307,'Returns (Calc)'!$A:$A)-3),"")</f>
        <v>289.063227848101</v>
      </c>
      <c r="AH86" s="156" t="n">
        <f aca="false">IFERROR('Price History'!M3+(INDEX('Price History'!M:M,MATCH(9.99E+307,'Returns (Calc)'!$A:$A)+1)-'Price History'!M3)*(ROW()-3)/(MATCH(9.99E+307,'Returns (Calc)'!$A:$A)-3),"")</f>
        <v>150.521772151899</v>
      </c>
      <c r="AI86" s="156" t="n">
        <f aca="false">IFERROR('Price History'!N3+(INDEX('Price History'!N:N,MATCH(9.99E+307,'Returns (Calc)'!$A:$A)+1)-'Price History'!N3)*(ROW()-3)/(MATCH(9.99E+307,'Returns (Calc)'!$A:$A)-3),"")</f>
        <v>430.760063291139</v>
      </c>
      <c r="AJ86" s="156" t="n">
        <f aca="false">IFERROR('Price History'!O3+(INDEX('Price History'!O:O,MATCH(9.99E+307,'Returns (Calc)'!$A:$A)+1)-'Price History'!O3)*(ROW()-3)/(MATCH(9.99E+307,'Returns (Calc)'!$A:$A)-3),"")</f>
        <v>98.8021518987342</v>
      </c>
      <c r="AK86" s="156" t="n">
        <f aca="false">IFERROR('Price History'!Q3+(INDEX('Price History'!Q:Q,MATCH(9.99E+307,'Returns (Calc)'!$A:$A)+1)-'Price History'!Q3)*(ROW()-3)/(MATCH(9.99E+307,'Returns (Calc)'!$A:$A)-3),"")</f>
        <v>36.4674683544304</v>
      </c>
      <c r="AL86" s="156" t="n">
        <f aca="false">IFERROR('Price History'!R3+(INDEX('Price History'!R:R,MATCH(9.99E+307,'Returns (Calc)'!$A:$A)+1)-'Price History'!R3)*(ROW()-3)/(MATCH(9.99E+307,'Returns (Calc)'!$A:$A)-3),"")</f>
        <v>48.4324050632911</v>
      </c>
      <c r="AM86" s="156" t="n">
        <f aca="false">IFERROR('Price History'!S3+(INDEX('Price History'!S:S,MATCH(9.99E+307,'Returns (Calc)'!$A:$A)+1)-'Price History'!S3)*(ROW()-3)/(MATCH(9.99E+307,'Returns (Calc)'!$A:$A)-3),"")</f>
        <v>107.850253164557</v>
      </c>
      <c r="AN86" s="156" t="n">
        <f aca="false">IFERROR('Price History'!T3+(INDEX('Price History'!T:T,MATCH(9.99E+307,'Returns (Calc)'!$A:$A)+1)-'Price History'!T3)*(ROW()-3)/(MATCH(9.99E+307,'Returns (Calc)'!$A:$A)-3),"")</f>
        <v>39.2029113924051</v>
      </c>
      <c r="AO86" s="157" t="n">
        <f aca="false">IFERROR('Price History'!V3+(INDEX('Price History'!V:V,MATCH(9.99E+307,'Returns (Calc)'!$A:$A)+1)-'Price History'!V3)*(ROW()-3)/(MATCH(9.99E+307,'Returns (Calc)'!$A:$A)-3),"")</f>
        <v>301.310316455696</v>
      </c>
      <c r="AP86" s="155" t="n">
        <f aca="false">IFERROR(IF(OR(NOT(ISNUMBER('Price History'!W87)),NOT(ISNUMBER('Price History'!W86)),'Price History'!W86=0),"",'Price History'!W87/'Price History'!W86-1),"")</f>
        <v>0.0204344466386193</v>
      </c>
      <c r="AQ86" s="155" t="str">
        <f aca="false">IFERROR(IF(OR(NOT(ISNUMBER('Price History'!X87)),NOT(ISNUMBER('Price History'!X86)),'Price History'!X86=0),"",'Price History'!X87/'Price History'!X86-1),"")</f>
        <v/>
      </c>
      <c r="AR86" s="155" t="n">
        <f aca="false">IFERROR(IF(OR(NOT(ISNUMBER('Price History'!Y87)),NOT(ISNUMBER('Price History'!Y86)),'Price History'!Y86=0),"",'Price History'!Y87/'Price History'!Y86-1),"")</f>
        <v>0.0225405519275332</v>
      </c>
      <c r="AS86" s="155" t="n">
        <f aca="false">IFERROR(IF(OR(NOT(ISNUMBER('Price History'!Z87)),NOT(ISNUMBER('Price History'!Z86)),'Price History'!Z86=0),"",'Price History'!Z87/'Price History'!Z86-1),"")</f>
        <v>0.0915231714744476</v>
      </c>
      <c r="AT86" s="155" t="n">
        <f aca="false">IFERROR(IF(OR(NOT(ISNUMBER('Price History'!AA87)),NOT(ISNUMBER('Price History'!AA86)),'Price History'!AA86=0),"",'Price History'!AA87/'Price History'!AA86-1),"")</f>
        <v>0.132065775950668</v>
      </c>
      <c r="AU86" s="155" t="n">
        <f aca="false">IFERROR(IF(OR(NOT(ISNUMBER('Price History'!AB87)),NOT(ISNUMBER('Price History'!AB86)),'Price History'!AB86=0),"",'Price History'!AB87/'Price History'!AB86-1),"")</f>
        <v>0.0536698309793935</v>
      </c>
    </row>
    <row r="87" customFormat="false" ht="15" hidden="false" customHeight="true" outlineLevel="0" collapsed="false">
      <c r="A87" s="153" t="n">
        <f aca="false">IF('Price History'!A88="","",'Price History'!A88)</f>
        <v>45779</v>
      </c>
      <c r="B87" s="154" t="n">
        <f aca="false">IFERROR(IF(OR(NOT(ISNUMBER('Price History'!B88)),NOT(ISNUMBER('Price History'!B87)),'Price History'!B87=0),"",'Price History'!B88/'Price History'!B87-1),"")</f>
        <v>0.0357609050364407</v>
      </c>
      <c r="C87" s="154" t="n">
        <f aca="false">IFERROR(IF(OR(NOT(ISNUMBER('Price History'!C88)),NOT(ISNUMBER('Price History'!C87)),'Price History'!C87=0),"",'Price History'!C88/'Price History'!C87-1),"")</f>
        <v>0.168271082017713</v>
      </c>
      <c r="D87" s="154" t="n">
        <f aca="false">IFERROR(IF(OR(NOT(ISNUMBER('Price History'!D88)),NOT(ISNUMBER('Price History'!D87)),'Price History'!D87=0),"",'Price History'!D88/'Price History'!D87-1),"")</f>
        <v>0.0224494066301977</v>
      </c>
      <c r="E87" s="154" t="n">
        <f aca="false">IFERROR(IF(OR(NOT(ISNUMBER('Price History'!E88)),NOT(ISNUMBER('Price History'!E87)),'Price History'!E87=0),"",'Price History'!E88/'Price History'!E87-1),"")</f>
        <v>0.0589101620029455</v>
      </c>
      <c r="F87" s="154" t="n">
        <f aca="false">IFERROR(IF(OR(NOT(ISNUMBER('Price History'!F88)),NOT(ISNUMBER('Price History'!F87)),'Price History'!F87=0),"",'Price History'!F88/'Price History'!F87-1),"")</f>
        <v>0.0369045377518358</v>
      </c>
      <c r="G87" s="154" t="n">
        <f aca="false">IFERROR(IF(OR(NOT(ISNUMBER('Price History'!G88)),NOT(ISNUMBER('Price History'!G87)),'Price History'!G87=0),"",'Price History'!G88/'Price History'!G87-1),"")</f>
        <v>0.00508942852988237</v>
      </c>
      <c r="H87" s="154" t="n">
        <f aca="false">IFERROR(IF(OR(NOT(ISNUMBER('Price History'!H88)),NOT(ISNUMBER('Price History'!H87)),'Price History'!H87=0),"",'Price History'!H88/'Price History'!H87-1),"")</f>
        <v>0.0116863533551144</v>
      </c>
      <c r="I87" s="154" t="n">
        <f aca="false">IFERROR(IF(OR(NOT(ISNUMBER('Price History'!I88)),NOT(ISNUMBER('Price History'!I87)),'Price History'!I87=0),"",'Price History'!I88/'Price History'!I87-1),"")</f>
        <v>0.0314277973448929</v>
      </c>
      <c r="J87" s="154" t="n">
        <f aca="false">IFERROR(IF(OR(NOT(ISNUMBER('Price History'!J88)),NOT(ISNUMBER('Price History'!J87)),'Price History'!J87=0),"",'Price History'!J88/'Price History'!J87-1),"")</f>
        <v>0.0310316481709825</v>
      </c>
      <c r="K87" s="154" t="n">
        <f aca="false">IFERROR(IF(OR(NOT(ISNUMBER('Price History'!K88)),NOT(ISNUMBER('Price History'!K87)),'Price History'!K87=0),"",'Price History'!K88/'Price History'!K87-1),"")</f>
        <v>0.101968434119525</v>
      </c>
      <c r="L87" s="154" t="n">
        <f aca="false">IFERROR(IF(OR(NOT(ISNUMBER('Price History'!L88)),NOT(ISNUMBER('Price History'!L87)),'Price History'!L87=0),"",'Price History'!L88/'Price History'!L87-1),"")</f>
        <v>0.0859115000616295</v>
      </c>
      <c r="M87" s="154" t="n">
        <f aca="false">IFERROR(IF(OR(NOT(ISNUMBER('Price History'!M88)),NOT(ISNUMBER('Price History'!M87)),'Price History'!M87=0),"",'Price History'!M88/'Price History'!M87-1),"")</f>
        <v>0.0926267281105992</v>
      </c>
      <c r="N87" s="154" t="n">
        <f aca="false">IFERROR(IF(OR(NOT(ISNUMBER('Price History'!N88)),NOT(ISNUMBER('Price History'!N87)),'Price History'!N87=0),"",'Price History'!N88/'Price History'!N87-1),"")</f>
        <v>0.0148023651385063</v>
      </c>
      <c r="O87" s="154" t="n">
        <f aca="false">IFERROR(IF(OR(NOT(ISNUMBER('Price History'!O88)),NOT(ISNUMBER('Price History'!O87)),'Price History'!O87=0),"",'Price History'!O88/'Price History'!O87-1),"")</f>
        <v>0.0338815382712996</v>
      </c>
      <c r="P87" s="154" t="n">
        <f aca="false">IFERROR(IF(OR(NOT(ISNUMBER('Price History'!P88)),NOT(ISNUMBER('Price History'!P87)),'Price History'!P87=0),"",'Price History'!P88/'Price History'!P87-1),"")</f>
        <v>0.016606080634501</v>
      </c>
      <c r="Q87" s="154" t="n">
        <f aca="false">IFERROR(IF(OR(NOT(ISNUMBER('Price History'!Q88)),NOT(ISNUMBER('Price History'!Q87)),'Price History'!Q87=0),"",'Price History'!Q88/'Price History'!Q87-1),"")</f>
        <v>0.0164186762442278</v>
      </c>
      <c r="R87" s="154" t="n">
        <f aca="false">IFERROR(IF(OR(NOT(ISNUMBER('Price History'!R88)),NOT(ISNUMBER('Price History'!R87)),'Price History'!R87=0),"",'Price History'!R88/'Price History'!R87-1),"")</f>
        <v>0.0197858472998138</v>
      </c>
      <c r="S87" s="154" t="n">
        <f aca="false">IFERROR(IF(OR(NOT(ISNUMBER('Price History'!S88)),NOT(ISNUMBER('Price History'!S87)),'Price History'!S87=0),"",'Price History'!S88/'Price History'!S87-1),"")</f>
        <v>0.0402583423035521</v>
      </c>
      <c r="T87" s="154" t="n">
        <f aca="false">IFERROR(IF(OR(NOT(ISNUMBER('Price History'!T88)),NOT(ISNUMBER('Price History'!T87)),'Price History'!T87=0),"",'Price History'!T88/'Price History'!T87-1),"")</f>
        <v>0.0192486805339955</v>
      </c>
      <c r="U87" s="154" t="n">
        <f aca="false">IFERROR(IF(OR(NOT(ISNUMBER('Price History'!U88)),NOT(ISNUMBER('Price History'!U87)),'Price History'!U87=0),"",'Price History'!U88/'Price History'!U87-1),"")</f>
        <v>0.0152075626798192</v>
      </c>
      <c r="V87" s="155" t="n">
        <f aca="false">IFERROR(IF(OR(NOT(ISNUMBER('Price History'!V88)),NOT(ISNUMBER('Price History'!V87)),'Price History'!V87=0),"",'Price History'!V88/'Price History'!V87-1),"")</f>
        <v>0.0370873317641378</v>
      </c>
      <c r="W87" s="156" t="n">
        <f aca="false">IFERROR('Price History'!B3+(INDEX('Price History'!B:B,MATCH(9.99E+307,'Returns (Calc)'!$A:$A)+1)-'Price History'!B3)*(ROW()-3)/(MATCH(9.99E+307,'Returns (Calc)'!$A:$A)-3),"")</f>
        <v>374.074810126582</v>
      </c>
      <c r="X87" s="156" t="n">
        <f aca="false">IFERROR('Price History'!C3+(INDEX('Price History'!C:C,MATCH(9.99E+307,'Returns (Calc)'!$A:$A)+1)-'Price History'!C3)*(ROW()-3)/(MATCH(9.99E+307,'Returns (Calc)'!$A:$A)-3),"")</f>
        <v>131.865316455696</v>
      </c>
      <c r="Y87" s="156" t="n">
        <f aca="false">IFERROR('Price History'!D3+(INDEX('Price History'!D:D,MATCH(9.99E+307,'Returns (Calc)'!$A:$A)+1)-'Price History'!D3)*(ROW()-3)/(MATCH(9.99E+307,'Returns (Calc)'!$A:$A)-3),"")</f>
        <v>1265.33405063291</v>
      </c>
      <c r="Z87" s="156" t="n">
        <f aca="false">IFERROR('Price History'!E3+(INDEX('Price History'!E:E,MATCH(9.99E+307,'Returns (Calc)'!$A:$A)+1)-'Price History'!E3)*(ROW()-3)/(MATCH(9.99E+307,'Returns (Calc)'!$A:$A)-3),"")</f>
        <v>227.213670886076</v>
      </c>
      <c r="AA87" s="156" t="n">
        <f aca="false">IFERROR('Price History'!F3+(INDEX('Price History'!F:F,MATCH(9.99E+307,'Returns (Calc)'!$A:$A)+1)-'Price History'!F3)*(ROW()-3)/(MATCH(9.99E+307,'Returns (Calc)'!$A:$A)-3),"")</f>
        <v>162.93670886076</v>
      </c>
      <c r="AB87" s="156" t="n">
        <f aca="false">IFERROR('Price History'!G3+(INDEX('Price History'!G:G,MATCH(9.99E+307,'Returns (Calc)'!$A:$A)+1)-'Price History'!G3)*(ROW()-3)/(MATCH(9.99E+307,'Returns (Calc)'!$A:$A)-3),"")</f>
        <v>130.763670886076</v>
      </c>
      <c r="AC87" s="156" t="n">
        <f aca="false">IFERROR('Price History'!H3+(INDEX('Price History'!H:H,MATCH(9.99E+307,'Returns (Calc)'!$A:$A)+1)-'Price History'!H3)*(ROW()-3)/(MATCH(9.99E+307,'Returns (Calc)'!$A:$A)-3),"")</f>
        <v>603.828481012658</v>
      </c>
      <c r="AD87" s="156" t="n">
        <f aca="false">IFERROR('Price History'!I3+(INDEX('Price History'!I:I,MATCH(9.99E+307,'Returns (Calc)'!$A:$A)+1)-'Price History'!I3)*(ROW()-3)/(MATCH(9.99E+307,'Returns (Calc)'!$A:$A)-3),"")</f>
        <v>144.87835443038</v>
      </c>
      <c r="AE87" s="156" t="n">
        <f aca="false">IFERROR('Price History'!J3+(INDEX('Price History'!J:J,MATCH(9.99E+307,'Returns (Calc)'!$A:$A)+1)-'Price History'!J3)*(ROW()-3)/(MATCH(9.99E+307,'Returns (Calc)'!$A:$A)-3),"")</f>
        <v>120.915189873418</v>
      </c>
      <c r="AF87" s="156" t="n">
        <f aca="false">IFERROR('Price History'!K3+(INDEX('Price History'!K:K,MATCH(9.99E+307,'Returns (Calc)'!$A:$A)+1)-'Price History'!K3)*(ROW()-3)/(MATCH(9.99E+307,'Returns (Calc)'!$A:$A)-3),"")</f>
        <v>107.527974683544</v>
      </c>
      <c r="AG87" s="156" t="n">
        <f aca="false">IFERROR('Price History'!L3+(INDEX('Price History'!L:L,MATCH(9.99E+307,'Returns (Calc)'!$A:$A)+1)-'Price History'!L3)*(ROW()-3)/(MATCH(9.99E+307,'Returns (Calc)'!$A:$A)-3),"")</f>
        <v>291.512784810127</v>
      </c>
      <c r="AH87" s="156" t="n">
        <f aca="false">IFERROR('Price History'!M3+(INDEX('Price History'!M:M,MATCH(9.99E+307,'Returns (Calc)'!$A:$A)+1)-'Price History'!M3)*(ROW()-3)/(MATCH(9.99E+307,'Returns (Calc)'!$A:$A)-3),"")</f>
        <v>151.877215189873</v>
      </c>
      <c r="AI87" s="156" t="n">
        <f aca="false">IFERROR('Price History'!N3+(INDEX('Price History'!N:N,MATCH(9.99E+307,'Returns (Calc)'!$A:$A)+1)-'Price History'!N3)*(ROW()-3)/(MATCH(9.99E+307,'Returns (Calc)'!$A:$A)-3),"")</f>
        <v>431.746329113924</v>
      </c>
      <c r="AJ87" s="156" t="n">
        <f aca="false">IFERROR('Price History'!O3+(INDEX('Price History'!O:O,MATCH(9.99E+307,'Returns (Calc)'!$A:$A)+1)-'Price History'!O3)*(ROW()-3)/(MATCH(9.99E+307,'Returns (Calc)'!$A:$A)-3),"")</f>
        <v>99.0851898734177</v>
      </c>
      <c r="AK87" s="156" t="n">
        <f aca="false">IFERROR('Price History'!Q3+(INDEX('Price History'!Q:Q,MATCH(9.99E+307,'Returns (Calc)'!$A:$A)+1)-'Price History'!Q3)*(ROW()-3)/(MATCH(9.99E+307,'Returns (Calc)'!$A:$A)-3),"")</f>
        <v>36.906835443038</v>
      </c>
      <c r="AL87" s="156" t="n">
        <f aca="false">IFERROR('Price History'!R3+(INDEX('Price History'!R:R,MATCH(9.99E+307,'Returns (Calc)'!$A:$A)+1)-'Price History'!R3)*(ROW()-3)/(MATCH(9.99E+307,'Returns (Calc)'!$A:$A)-3),"")</f>
        <v>48.6005063291139</v>
      </c>
      <c r="AM87" s="156" t="n">
        <f aca="false">IFERROR('Price History'!S3+(INDEX('Price History'!S:S,MATCH(9.99E+307,'Returns (Calc)'!$A:$A)+1)-'Price History'!S3)*(ROW()-3)/(MATCH(9.99E+307,'Returns (Calc)'!$A:$A)-3),"")</f>
        <v>108.455316455696</v>
      </c>
      <c r="AN87" s="156" t="n">
        <f aca="false">IFERROR('Price History'!T3+(INDEX('Price History'!T:T,MATCH(9.99E+307,'Returns (Calc)'!$A:$A)+1)-'Price History'!T3)*(ROW()-3)/(MATCH(9.99E+307,'Returns (Calc)'!$A:$A)-3),"")</f>
        <v>39.3711392405063</v>
      </c>
      <c r="AO87" s="157" t="n">
        <f aca="false">IFERROR('Price History'!V3+(INDEX('Price History'!V:V,MATCH(9.99E+307,'Returns (Calc)'!$A:$A)+1)-'Price History'!V3)*(ROW()-3)/(MATCH(9.99E+307,'Returns (Calc)'!$A:$A)-3),"")</f>
        <v>302.10164556962</v>
      </c>
      <c r="AP87" s="155" t="n">
        <f aca="false">IFERROR(IF(OR(NOT(ISNUMBER('Price History'!W88)),NOT(ISNUMBER('Price History'!W87)),'Price History'!W87=0),"",'Price History'!W88/'Price History'!W87-1),"")</f>
        <v>0.0210349179638198</v>
      </c>
      <c r="AQ87" s="155" t="str">
        <f aca="false">IFERROR(IF(OR(NOT(ISNUMBER('Price History'!X88)),NOT(ISNUMBER('Price History'!X87)),'Price History'!X87=0),"",'Price History'!X88/'Price History'!X87-1),"")</f>
        <v/>
      </c>
      <c r="AR87" s="155" t="n">
        <f aca="false">IFERROR(IF(OR(NOT(ISNUMBER('Price History'!Y88)),NOT(ISNUMBER('Price History'!Y87)),'Price History'!Y87=0),"",'Price History'!Y88/'Price History'!Y87-1),"")</f>
        <v>0.0214256283477545</v>
      </c>
      <c r="AS87" s="155" t="n">
        <f aca="false">IFERROR(IF(OR(NOT(ISNUMBER('Price History'!Z88)),NOT(ISNUMBER('Price History'!Z87)),'Price History'!Z87=0),"",'Price History'!Z88/'Price History'!Z87-1),"")</f>
        <v>0.0467180683778026</v>
      </c>
      <c r="AT87" s="155" t="n">
        <f aca="false">IFERROR(IF(OR(NOT(ISNUMBER('Price History'!AA88)),NOT(ISNUMBER('Price History'!AA87)),'Price History'!AA87=0),"",'Price History'!AA88/'Price History'!AA87-1),"")</f>
        <v>0.0499319110304131</v>
      </c>
      <c r="AU87" s="155" t="n">
        <f aca="false">IFERROR(IF(OR(NOT(ISNUMBER('Price History'!AB88)),NOT(ISNUMBER('Price History'!AB87)),'Price History'!AB87=0),"",'Price History'!AB88/'Price History'!AB87-1),"")</f>
        <v>0.0393337435176233</v>
      </c>
    </row>
    <row r="88" customFormat="false" ht="15" hidden="false" customHeight="true" outlineLevel="0" collapsed="false">
      <c r="A88" s="153" t="n">
        <f aca="false">IF('Price History'!A89="","",'Price History'!A89)</f>
        <v>45786</v>
      </c>
      <c r="B88" s="154" t="n">
        <f aca="false">IFERROR(IF(OR(NOT(ISNUMBER('Price History'!B89)),NOT(ISNUMBER('Price History'!B88)),'Price History'!B88=0),"",'Price History'!B89/'Price History'!B88-1),"")</f>
        <v>0.00632761834746765</v>
      </c>
      <c r="C88" s="154" t="n">
        <f aca="false">IFERROR(IF(OR(NOT(ISNUMBER('Price History'!C89)),NOT(ISNUMBER('Price History'!C88)),'Price History'!C88=0),"",'Price History'!C89/'Price History'!C88-1),"")</f>
        <v>-0.049439683586025</v>
      </c>
      <c r="D88" s="154" t="n">
        <f aca="false">IFERROR(IF(OR(NOT(ISNUMBER('Price History'!D89)),NOT(ISNUMBER('Price History'!D88)),'Price History'!D88=0),"",'Price History'!D89/'Price History'!D88-1),"")</f>
        <v>0.0229943866214477</v>
      </c>
      <c r="E88" s="154" t="n">
        <f aca="false">IFERROR(IF(OR(NOT(ISNUMBER('Price History'!E89)),NOT(ISNUMBER('Price History'!E88)),'Price History'!E88=0),"",'Price History'!E89/'Price History'!E88-1),"")</f>
        <v>0.0224021458374728</v>
      </c>
      <c r="F88" s="154" t="n">
        <f aca="false">IFERROR(IF(OR(NOT(ISNUMBER('Price History'!F89)),NOT(ISNUMBER('Price History'!F88)),'Price History'!F88=0),"",'Price History'!F89/'Price History'!F88-1),"")</f>
        <v>-0.0680951516252043</v>
      </c>
      <c r="G88" s="154" t="n">
        <f aca="false">IFERROR(IF(OR(NOT(ISNUMBER('Price History'!G89)),NOT(ISNUMBER('Price History'!G88)),'Price History'!G88=0),"",'Price History'!G89/'Price History'!G88-1),"")</f>
        <v>0.00448495370370372</v>
      </c>
      <c r="H88" s="154" t="n">
        <f aca="false">IFERROR(IF(OR(NOT(ISNUMBER('Price History'!H89)),NOT(ISNUMBER('Price History'!H88)),'Price History'!H88=0),"",'Price History'!H89/'Price History'!H88-1),"")</f>
        <v>0.0637187926965595</v>
      </c>
      <c r="I88" s="154" t="n">
        <f aca="false">IFERROR(IF(OR(NOT(ISNUMBER('Price History'!I89)),NOT(ISNUMBER('Price History'!I88)),'Price History'!I88=0),"",'Price History'!I89/'Price History'!I88-1),"")</f>
        <v>0.0188249715436477</v>
      </c>
      <c r="J88" s="154" t="n">
        <f aca="false">IFERROR(IF(OR(NOT(ISNUMBER('Price History'!J89)),NOT(ISNUMBER('Price History'!J88)),'Price History'!J88=0),"",'Price History'!J89/'Price History'!J88-1),"")</f>
        <v>0.0142515447478573</v>
      </c>
      <c r="K88" s="154" t="n">
        <f aca="false">IFERROR(IF(OR(NOT(ISNUMBER('Price History'!K89)),NOT(ISNUMBER('Price History'!K88)),'Price History'!K88=0),"",'Price History'!K89/'Price History'!K88-1),"")</f>
        <v>-0.0561635017701964</v>
      </c>
      <c r="L88" s="154" t="n">
        <f aca="false">IFERROR(IF(OR(NOT(ISNUMBER('Price History'!L89)),NOT(ISNUMBER('Price History'!L88)),'Price History'!L88=0),"",'Price History'!L89/'Price History'!L88-1),"")</f>
        <v>-0.0153802497162314</v>
      </c>
      <c r="M88" s="154" t="n">
        <f aca="false">IFERROR(IF(OR(NOT(ISNUMBER('Price History'!M89)),NOT(ISNUMBER('Price History'!M88)),'Price History'!M88=0),"",'Price History'!M89/'Price History'!M88-1),"")</f>
        <v>-0.00991142977646564</v>
      </c>
      <c r="N88" s="154" t="n">
        <f aca="false">IFERROR(IF(OR(NOT(ISNUMBER('Price History'!N89)),NOT(ISNUMBER('Price History'!N88)),'Price History'!N88=0),"",'Price History'!N89/'Price History'!N88-1),"")</f>
        <v>-0.151970467923775</v>
      </c>
      <c r="O88" s="154" t="n">
        <f aca="false">IFERROR(IF(OR(NOT(ISNUMBER('Price History'!O89)),NOT(ISNUMBER('Price History'!O88)),'Price History'!O88=0),"",'Price History'!O89/'Price History'!O88-1),"")</f>
        <v>0.011601483076187</v>
      </c>
      <c r="P88" s="154" t="n">
        <f aca="false">IFERROR(IF(OR(NOT(ISNUMBER('Price History'!P89)),NOT(ISNUMBER('Price History'!P88)),'Price History'!P88=0),"",'Price History'!P89/'Price History'!P88-1),"")</f>
        <v>-0.00121901665989432</v>
      </c>
      <c r="Q88" s="154" t="n">
        <f aca="false">IFERROR(IF(OR(NOT(ISNUMBER('Price History'!Q89)),NOT(ISNUMBER('Price History'!Q88)),'Price History'!Q88=0),"",'Price History'!Q89/'Price History'!Q88-1),"")</f>
        <v>-0.00252397778899538</v>
      </c>
      <c r="R88" s="154" t="n">
        <f aca="false">IFERROR(IF(OR(NOT(ISNUMBER('Price History'!R89)),NOT(ISNUMBER('Price History'!R88)),'Price History'!R88=0),"",'Price History'!R89/'Price History'!R88-1),"")</f>
        <v>0.00273910066194927</v>
      </c>
      <c r="S88" s="154" t="n">
        <f aca="false">IFERROR(IF(OR(NOT(ISNUMBER('Price History'!S89)),NOT(ISNUMBER('Price History'!S88)),'Price History'!S88=0),"",'Price History'!S89/'Price History'!S88-1),"")</f>
        <v>0.00693294701986758</v>
      </c>
      <c r="T88" s="154" t="n">
        <f aca="false">IFERROR(IF(OR(NOT(ISNUMBER('Price History'!T89)),NOT(ISNUMBER('Price History'!T88)),'Price History'!T88=0),"",'Price History'!T89/'Price History'!T88-1),"")</f>
        <v>-0.00152299725860483</v>
      </c>
      <c r="U88" s="154" t="n">
        <f aca="false">IFERROR(IF(OR(NOT(ISNUMBER('Price History'!U89)),NOT(ISNUMBER('Price History'!U88)),'Price History'!U88=0),"",'Price History'!U89/'Price History'!U88-1),"")</f>
        <v>-0.0129554655870445</v>
      </c>
      <c r="V88" s="155" t="n">
        <f aca="false">IFERROR(IF(OR(NOT(ISNUMBER('Price History'!V89)),NOT(ISNUMBER('Price History'!V88)),'Price History'!V88=0),"",'Price History'!V89/'Price History'!V88-1),"")</f>
        <v>0.0141996682864376</v>
      </c>
      <c r="W88" s="156" t="n">
        <f aca="false">IFERROR('Price History'!B3+(INDEX('Price History'!B:B,MATCH(9.99E+307,'Returns (Calc)'!$A:$A)+1)-'Price History'!B3)*(ROW()-3)/(MATCH(9.99E+307,'Returns (Calc)'!$A:$A)-3),"")</f>
        <v>372.231772151899</v>
      </c>
      <c r="X88" s="156" t="n">
        <f aca="false">IFERROR('Price History'!C3+(INDEX('Price History'!C:C,MATCH(9.99E+307,'Returns (Calc)'!$A:$A)+1)-'Price History'!C3)*(ROW()-3)/(MATCH(9.99E+307,'Returns (Calc)'!$A:$A)-3),"")</f>
        <v>132.885379746835</v>
      </c>
      <c r="Y88" s="156" t="n">
        <f aca="false">IFERROR('Price History'!D3+(INDEX('Price History'!D:D,MATCH(9.99E+307,'Returns (Calc)'!$A:$A)+1)-'Price History'!D3)*(ROW()-3)/(MATCH(9.99E+307,'Returns (Calc)'!$A:$A)-3),"")</f>
        <v>1273.46886075949</v>
      </c>
      <c r="Z88" s="156" t="n">
        <f aca="false">IFERROR('Price History'!E3+(INDEX('Price History'!E:E,MATCH(9.99E+307,'Returns (Calc)'!$A:$A)+1)-'Price History'!E3)*(ROW()-3)/(MATCH(9.99E+307,'Returns (Calc)'!$A:$A)-3),"")</f>
        <v>228.942405063291</v>
      </c>
      <c r="AA88" s="156" t="n">
        <f aca="false">IFERROR('Price History'!F3+(INDEX('Price History'!F:F,MATCH(9.99E+307,'Returns (Calc)'!$A:$A)+1)-'Price History'!F3)*(ROW()-3)/(MATCH(9.99E+307,'Returns (Calc)'!$A:$A)-3),"")</f>
        <v>164.384050632911</v>
      </c>
      <c r="AB88" s="156" t="n">
        <f aca="false">IFERROR('Price History'!G3+(INDEX('Price History'!G:G,MATCH(9.99E+307,'Returns (Calc)'!$A:$A)+1)-'Price History'!G3)*(ROW()-3)/(MATCH(9.99E+307,'Returns (Calc)'!$A:$A)-3),"")</f>
        <v>131.792405063291</v>
      </c>
      <c r="AC88" s="156" t="n">
        <f aca="false">IFERROR('Price History'!H3+(INDEX('Price History'!H:H,MATCH(9.99E+307,'Returns (Calc)'!$A:$A)+1)-'Price History'!H3)*(ROW()-3)/(MATCH(9.99E+307,'Returns (Calc)'!$A:$A)-3),"")</f>
        <v>610.19417721519</v>
      </c>
      <c r="AD88" s="156" t="n">
        <f aca="false">IFERROR('Price History'!I3+(INDEX('Price History'!I:I,MATCH(9.99E+307,'Returns (Calc)'!$A:$A)+1)-'Price History'!I3)*(ROW()-3)/(MATCH(9.99E+307,'Returns (Calc)'!$A:$A)-3),"")</f>
        <v>146.082025316456</v>
      </c>
      <c r="AE88" s="156" t="n">
        <f aca="false">IFERROR('Price History'!J3+(INDEX('Price History'!J:J,MATCH(9.99E+307,'Returns (Calc)'!$A:$A)+1)-'Price History'!J3)*(ROW()-3)/(MATCH(9.99E+307,'Returns (Calc)'!$A:$A)-3),"")</f>
        <v>121.023227848101</v>
      </c>
      <c r="AF88" s="156" t="n">
        <f aca="false">IFERROR('Price History'!K3+(INDEX('Price History'!K:K,MATCH(9.99E+307,'Returns (Calc)'!$A:$A)+1)-'Price History'!K3)*(ROW()-3)/(MATCH(9.99E+307,'Returns (Calc)'!$A:$A)-3),"")</f>
        <v>108.625569620253</v>
      </c>
      <c r="AG88" s="156" t="n">
        <f aca="false">IFERROR('Price History'!L3+(INDEX('Price History'!L:L,MATCH(9.99E+307,'Returns (Calc)'!$A:$A)+1)-'Price History'!L3)*(ROW()-3)/(MATCH(9.99E+307,'Returns (Calc)'!$A:$A)-3),"")</f>
        <v>293.962341772152</v>
      </c>
      <c r="AH88" s="156" t="n">
        <f aca="false">IFERROR('Price History'!M3+(INDEX('Price History'!M:M,MATCH(9.99E+307,'Returns (Calc)'!$A:$A)+1)-'Price History'!M3)*(ROW()-3)/(MATCH(9.99E+307,'Returns (Calc)'!$A:$A)-3),"")</f>
        <v>153.232658227848</v>
      </c>
      <c r="AI88" s="156" t="n">
        <f aca="false">IFERROR('Price History'!N3+(INDEX('Price History'!N:N,MATCH(9.99E+307,'Returns (Calc)'!$A:$A)+1)-'Price History'!N3)*(ROW()-3)/(MATCH(9.99E+307,'Returns (Calc)'!$A:$A)-3),"")</f>
        <v>432.732594936709</v>
      </c>
      <c r="AJ88" s="156" t="n">
        <f aca="false">IFERROR('Price History'!O3+(INDEX('Price History'!O:O,MATCH(9.99E+307,'Returns (Calc)'!$A:$A)+1)-'Price History'!O3)*(ROW()-3)/(MATCH(9.99E+307,'Returns (Calc)'!$A:$A)-3),"")</f>
        <v>99.3682278481013</v>
      </c>
      <c r="AK88" s="156" t="n">
        <f aca="false">IFERROR('Price History'!Q3+(INDEX('Price History'!Q:Q,MATCH(9.99E+307,'Returns (Calc)'!$A:$A)+1)-'Price History'!Q3)*(ROW()-3)/(MATCH(9.99E+307,'Returns (Calc)'!$A:$A)-3),"")</f>
        <v>37.3462025316456</v>
      </c>
      <c r="AL88" s="156" t="n">
        <f aca="false">IFERROR('Price History'!R3+(INDEX('Price History'!R:R,MATCH(9.99E+307,'Returns (Calc)'!$A:$A)+1)-'Price History'!R3)*(ROW()-3)/(MATCH(9.99E+307,'Returns (Calc)'!$A:$A)-3),"")</f>
        <v>48.7686075949367</v>
      </c>
      <c r="AM88" s="156" t="n">
        <f aca="false">IFERROR('Price History'!S3+(INDEX('Price History'!S:S,MATCH(9.99E+307,'Returns (Calc)'!$A:$A)+1)-'Price History'!S3)*(ROW()-3)/(MATCH(9.99E+307,'Returns (Calc)'!$A:$A)-3),"")</f>
        <v>109.060379746835</v>
      </c>
      <c r="AN88" s="156" t="n">
        <f aca="false">IFERROR('Price History'!T3+(INDEX('Price History'!T:T,MATCH(9.99E+307,'Returns (Calc)'!$A:$A)+1)-'Price History'!T3)*(ROW()-3)/(MATCH(9.99E+307,'Returns (Calc)'!$A:$A)-3),"")</f>
        <v>39.5393670886076</v>
      </c>
      <c r="AO88" s="157" t="n">
        <f aca="false">IFERROR('Price History'!V3+(INDEX('Price History'!V:V,MATCH(9.99E+307,'Returns (Calc)'!$A:$A)+1)-'Price History'!V3)*(ROW()-3)/(MATCH(9.99E+307,'Returns (Calc)'!$A:$A)-3),"")</f>
        <v>302.892974683544</v>
      </c>
      <c r="AP88" s="155" t="n">
        <f aca="false">IFERROR(IF(OR(NOT(ISNUMBER('Price History'!W89)),NOT(ISNUMBER('Price History'!W88)),'Price History'!W88=0),"",'Price History'!W89/'Price History'!W88-1),"")</f>
        <v>-0.00123609394313962</v>
      </c>
      <c r="AQ88" s="155" t="str">
        <f aca="false">IFERROR(IF(OR(NOT(ISNUMBER('Price History'!X89)),NOT(ISNUMBER('Price History'!X88)),'Price History'!X88=0),"",'Price History'!X89/'Price History'!X88-1),"")</f>
        <v/>
      </c>
      <c r="AR88" s="155" t="n">
        <f aca="false">IFERROR(IF(OR(NOT(ISNUMBER('Price History'!Y89)),NOT(ISNUMBER('Price History'!Y88)),'Price History'!Y88=0),"",'Price History'!Y89/'Price History'!Y88-1),"")</f>
        <v>-0.000201694231544924</v>
      </c>
      <c r="AS88" s="155" t="n">
        <f aca="false">IFERROR(IF(OR(NOT(ISNUMBER('Price History'!Z89)),NOT(ISNUMBER('Price History'!Z88)),'Price History'!Z88=0),"",'Price History'!Z89/'Price History'!Z88-1),"")</f>
        <v>0.0349406348437122</v>
      </c>
      <c r="AT88" s="155" t="n">
        <f aca="false">IFERROR(IF(OR(NOT(ISNUMBER('Price History'!AA89)),NOT(ISNUMBER('Price History'!AA88)),'Price History'!AA88=0),"",'Price History'!AA89/'Price History'!AA88-1),"")</f>
        <v>-0.0140942498919153</v>
      </c>
      <c r="AU88" s="155" t="n">
        <f aca="false">IFERROR(IF(OR(NOT(ISNUMBER('Price History'!AB89)),NOT(ISNUMBER('Price History'!AB88)),'Price History'!AB88=0),"",'Price History'!AB89/'Price History'!AB88-1),"")</f>
        <v>0.00236796481880841</v>
      </c>
    </row>
    <row r="89" customFormat="false" ht="15" hidden="false" customHeight="true" outlineLevel="0" collapsed="false">
      <c r="A89" s="153" t="n">
        <f aca="false">IF('Price History'!A90="","",'Price History'!A90)</f>
        <v>45793</v>
      </c>
      <c r="B89" s="154" t="n">
        <f aca="false">IFERROR(IF(OR(NOT(ISNUMBER('Price History'!B90)),NOT(ISNUMBER('Price History'!B89)),'Price History'!B89=0),"",'Price History'!B90/'Price History'!B89-1),"")</f>
        <v>0.088316635357963</v>
      </c>
      <c r="C89" s="154" t="n">
        <f aca="false">IFERROR(IF(OR(NOT(ISNUMBER('Price History'!C90)),NOT(ISNUMBER('Price History'!C89)),'Price History'!C89=0),"",'Price History'!C90/'Price History'!C89-1),"")</f>
        <v>0.114424410540916</v>
      </c>
      <c r="D89" s="154" t="n">
        <f aca="false">IFERROR(IF(OR(NOT(ISNUMBER('Price History'!D90)),NOT(ISNUMBER('Price History'!D89)),'Price History'!D89=0),"",'Price History'!D90/'Price History'!D89-1),"")</f>
        <v>0.0593161000843088</v>
      </c>
      <c r="E89" s="154" t="n">
        <f aca="false">IFERROR(IF(OR(NOT(ISNUMBER('Price History'!E90)),NOT(ISNUMBER('Price History'!E89)),'Price History'!E89=0),"",'Price History'!E90/'Price History'!E89-1),"")</f>
        <v>0.0979934897731136</v>
      </c>
      <c r="F89" s="154" t="n">
        <f aca="false">IFERROR(IF(OR(NOT(ISNUMBER('Price History'!F90)),NOT(ISNUMBER('Price History'!F89)),'Price History'!F89=0),"",'Price History'!F90/'Price History'!F89-1),"")</f>
        <v>0.0699532346063911</v>
      </c>
      <c r="G89" s="154" t="n">
        <f aca="false">IFERROR(IF(OR(NOT(ISNUMBER('Price History'!G90)),NOT(ISNUMBER('Price History'!G89)),'Price History'!G89=0),"",'Price History'!G90/'Price History'!G89-1),"")</f>
        <v>0.128186662825868</v>
      </c>
      <c r="H89" s="154" t="n">
        <f aca="false">IFERROR(IF(OR(NOT(ISNUMBER('Price History'!H90)),NOT(ISNUMBER('Price History'!H89)),'Price History'!H89=0),"",'Price History'!H90/'Price History'!H89-1),"")</f>
        <v>0.14140588510042</v>
      </c>
      <c r="I89" s="154" t="n">
        <f aca="false">IFERROR(IF(OR(NOT(ISNUMBER('Price History'!I90)),NOT(ISNUMBER('Price History'!I89)),'Price History'!I89=0),"",'Price History'!I90/'Price History'!I89-1),"")</f>
        <v>0.160708147129598</v>
      </c>
      <c r="J89" s="154" t="n">
        <f aca="false">IFERROR(IF(OR(NOT(ISNUMBER('Price History'!J90)),NOT(ISNUMBER('Price History'!J89)),'Price History'!J89=0),"",'Price History'!J90/'Price History'!J89-1),"")</f>
        <v>0.033998231305886</v>
      </c>
      <c r="K89" s="154" t="n">
        <f aca="false">IFERROR(IF(OR(NOT(ISNUMBER('Price History'!K90)),NOT(ISNUMBER('Price History'!K89)),'Price History'!K89=0),"",'Price History'!K90/'Price History'!K89-1),"")</f>
        <v>0.104177323103154</v>
      </c>
      <c r="L89" s="154" t="n">
        <f aca="false">IFERROR(IF(OR(NOT(ISNUMBER('Price History'!L90)),NOT(ISNUMBER('Price History'!L89)),'Price History'!L89=0),"",'Price History'!L90/'Price History'!L89-1),"")</f>
        <v>0.100236324860222</v>
      </c>
      <c r="M89" s="154" t="n">
        <f aca="false">IFERROR(IF(OR(NOT(ISNUMBER('Price History'!M90)),NOT(ISNUMBER('Price History'!M89)),'Price History'!M89=0),"",'Price History'!M90/'Price History'!M89-1),"")</f>
        <v>0.127369542066028</v>
      </c>
      <c r="N89" s="154" t="n">
        <f aca="false">IFERROR(IF(OR(NOT(ISNUMBER('Price History'!N90)),NOT(ISNUMBER('Price History'!N89)),'Price History'!N89=0),"",'Price History'!N90/'Price History'!N89-1),"")</f>
        <v>0.0321419327513588</v>
      </c>
      <c r="O89" s="154" t="n">
        <f aca="false">IFERROR(IF(OR(NOT(ISNUMBER('Price History'!O90)),NOT(ISNUMBER('Price History'!O89)),'Price History'!O89=0),"",'Price History'!O90/'Price History'!O89-1),"")</f>
        <v>0.0489477417829274</v>
      </c>
      <c r="P89" s="154" t="n">
        <f aca="false">IFERROR(IF(OR(NOT(ISNUMBER('Price History'!P90)),NOT(ISNUMBER('Price History'!P89)),'Price History'!P89=0),"",'Price History'!P90/'Price History'!P89-1),"")</f>
        <v>0.0320585842148087</v>
      </c>
      <c r="Q89" s="154" t="n">
        <f aca="false">IFERROR(IF(OR(NOT(ISNUMBER('Price History'!Q90)),NOT(ISNUMBER('Price History'!Q89)),'Price History'!Q89=0),"",'Price History'!Q90/'Price History'!Q89-1),"")</f>
        <v>0.0293522267206479</v>
      </c>
      <c r="R89" s="154" t="n">
        <f aca="false">IFERROR(IF(OR(NOT(ISNUMBER('Price History'!R90)),NOT(ISNUMBER('Price History'!R89)),'Price History'!R89=0),"",'Price History'!R90/'Price History'!R89-1),"")</f>
        <v>0.017300250398361</v>
      </c>
      <c r="S89" s="154" t="n">
        <f aca="false">IFERROR(IF(OR(NOT(ISNUMBER('Price History'!S90)),NOT(ISNUMBER('Price History'!S89)),'Price History'!S89=0),"",'Price History'!S90/'Price History'!S89-1),"")</f>
        <v>0.0682355359161444</v>
      </c>
      <c r="T89" s="154" t="n">
        <f aca="false">IFERROR(IF(OR(NOT(ISNUMBER('Price History'!T90)),NOT(ISNUMBER('Price History'!T89)),'Price History'!T89=0),"",'Price History'!T90/'Price History'!T89-1),"")</f>
        <v>0.0430140329469189</v>
      </c>
      <c r="U89" s="154" t="n">
        <f aca="false">IFERROR(IF(OR(NOT(ISNUMBER('Price History'!U90)),NOT(ISNUMBER('Price History'!U89)),'Price History'!U89=0),"",'Price History'!U90/'Price History'!U89-1),"")</f>
        <v>0.0340442986054144</v>
      </c>
      <c r="V89" s="155" t="n">
        <f aca="false">IFERROR(IF(OR(NOT(ISNUMBER('Price History'!V90)),NOT(ISNUMBER('Price History'!V89)),'Price History'!V89=0),"",'Price History'!V90/'Price History'!V89-1),"")</f>
        <v>0.0374121359919666</v>
      </c>
      <c r="W89" s="156" t="n">
        <f aca="false">IFERROR('Price History'!B3+(INDEX('Price History'!B:B,MATCH(9.99E+307,'Returns (Calc)'!$A:$A)+1)-'Price History'!B3)*(ROW()-3)/(MATCH(9.99E+307,'Returns (Calc)'!$A:$A)-3),"")</f>
        <v>370.388734177215</v>
      </c>
      <c r="X89" s="156" t="n">
        <f aca="false">IFERROR('Price History'!C3+(INDEX('Price History'!C:C,MATCH(9.99E+307,'Returns (Calc)'!$A:$A)+1)-'Price History'!C3)*(ROW()-3)/(MATCH(9.99E+307,'Returns (Calc)'!$A:$A)-3),"")</f>
        <v>133.905443037975</v>
      </c>
      <c r="Y89" s="156" t="n">
        <f aca="false">IFERROR('Price History'!D3+(INDEX('Price History'!D:D,MATCH(9.99E+307,'Returns (Calc)'!$A:$A)+1)-'Price History'!D3)*(ROW()-3)/(MATCH(9.99E+307,'Returns (Calc)'!$A:$A)-3),"")</f>
        <v>1281.60367088608</v>
      </c>
      <c r="Z89" s="156" t="n">
        <f aca="false">IFERROR('Price History'!E3+(INDEX('Price History'!E:E,MATCH(9.99E+307,'Returns (Calc)'!$A:$A)+1)-'Price History'!E3)*(ROW()-3)/(MATCH(9.99E+307,'Returns (Calc)'!$A:$A)-3),"")</f>
        <v>230.671139240506</v>
      </c>
      <c r="AA89" s="156" t="n">
        <f aca="false">IFERROR('Price History'!F3+(INDEX('Price History'!F:F,MATCH(9.99E+307,'Returns (Calc)'!$A:$A)+1)-'Price History'!F3)*(ROW()-3)/(MATCH(9.99E+307,'Returns (Calc)'!$A:$A)-3),"")</f>
        <v>165.831392405063</v>
      </c>
      <c r="AB89" s="156" t="n">
        <f aca="false">IFERROR('Price History'!G3+(INDEX('Price History'!G:G,MATCH(9.99E+307,'Returns (Calc)'!$A:$A)+1)-'Price History'!G3)*(ROW()-3)/(MATCH(9.99E+307,'Returns (Calc)'!$A:$A)-3),"")</f>
        <v>132.821139240506</v>
      </c>
      <c r="AC89" s="156" t="n">
        <f aca="false">IFERROR('Price History'!H3+(INDEX('Price History'!H:H,MATCH(9.99E+307,'Returns (Calc)'!$A:$A)+1)-'Price History'!H3)*(ROW()-3)/(MATCH(9.99E+307,'Returns (Calc)'!$A:$A)-3),"")</f>
        <v>616.559873417722</v>
      </c>
      <c r="AD89" s="156" t="n">
        <f aca="false">IFERROR('Price History'!I3+(INDEX('Price History'!I:I,MATCH(9.99E+307,'Returns (Calc)'!$A:$A)+1)-'Price History'!I3)*(ROW()-3)/(MATCH(9.99E+307,'Returns (Calc)'!$A:$A)-3),"")</f>
        <v>147.285696202532</v>
      </c>
      <c r="AE89" s="156" t="n">
        <f aca="false">IFERROR('Price History'!J3+(INDEX('Price History'!J:J,MATCH(9.99E+307,'Returns (Calc)'!$A:$A)+1)-'Price History'!J3)*(ROW()-3)/(MATCH(9.99E+307,'Returns (Calc)'!$A:$A)-3),"")</f>
        <v>121.131265822785</v>
      </c>
      <c r="AF89" s="156" t="n">
        <f aca="false">IFERROR('Price History'!K3+(INDEX('Price History'!K:K,MATCH(9.99E+307,'Returns (Calc)'!$A:$A)+1)-'Price History'!K3)*(ROW()-3)/(MATCH(9.99E+307,'Returns (Calc)'!$A:$A)-3),"")</f>
        <v>109.723164556962</v>
      </c>
      <c r="AG89" s="156" t="n">
        <f aca="false">IFERROR('Price History'!L3+(INDEX('Price History'!L:L,MATCH(9.99E+307,'Returns (Calc)'!$A:$A)+1)-'Price History'!L3)*(ROW()-3)/(MATCH(9.99E+307,'Returns (Calc)'!$A:$A)-3),"")</f>
        <v>296.411898734177</v>
      </c>
      <c r="AH89" s="156" t="n">
        <f aca="false">IFERROR('Price History'!M3+(INDEX('Price History'!M:M,MATCH(9.99E+307,'Returns (Calc)'!$A:$A)+1)-'Price History'!M3)*(ROW()-3)/(MATCH(9.99E+307,'Returns (Calc)'!$A:$A)-3),"")</f>
        <v>154.588101265823</v>
      </c>
      <c r="AI89" s="156" t="n">
        <f aca="false">IFERROR('Price History'!N3+(INDEX('Price History'!N:N,MATCH(9.99E+307,'Returns (Calc)'!$A:$A)+1)-'Price History'!N3)*(ROW()-3)/(MATCH(9.99E+307,'Returns (Calc)'!$A:$A)-3),"")</f>
        <v>433.718860759494</v>
      </c>
      <c r="AJ89" s="156" t="n">
        <f aca="false">IFERROR('Price History'!O3+(INDEX('Price History'!O:O,MATCH(9.99E+307,'Returns (Calc)'!$A:$A)+1)-'Price History'!O3)*(ROW()-3)/(MATCH(9.99E+307,'Returns (Calc)'!$A:$A)-3),"")</f>
        <v>99.6512658227848</v>
      </c>
      <c r="AK89" s="156" t="n">
        <f aca="false">IFERROR('Price History'!Q3+(INDEX('Price History'!Q:Q,MATCH(9.99E+307,'Returns (Calc)'!$A:$A)+1)-'Price History'!Q3)*(ROW()-3)/(MATCH(9.99E+307,'Returns (Calc)'!$A:$A)-3),"")</f>
        <v>37.7855696202532</v>
      </c>
      <c r="AL89" s="156" t="n">
        <f aca="false">IFERROR('Price History'!R3+(INDEX('Price History'!R:R,MATCH(9.99E+307,'Returns (Calc)'!$A:$A)+1)-'Price History'!R3)*(ROW()-3)/(MATCH(9.99E+307,'Returns (Calc)'!$A:$A)-3),"")</f>
        <v>48.9367088607595</v>
      </c>
      <c r="AM89" s="156" t="n">
        <f aca="false">IFERROR('Price History'!S3+(INDEX('Price History'!S:S,MATCH(9.99E+307,'Returns (Calc)'!$A:$A)+1)-'Price History'!S3)*(ROW()-3)/(MATCH(9.99E+307,'Returns (Calc)'!$A:$A)-3),"")</f>
        <v>109.665443037975</v>
      </c>
      <c r="AN89" s="156" t="n">
        <f aca="false">IFERROR('Price History'!T3+(INDEX('Price History'!T:T,MATCH(9.99E+307,'Returns (Calc)'!$A:$A)+1)-'Price History'!T3)*(ROW()-3)/(MATCH(9.99E+307,'Returns (Calc)'!$A:$A)-3),"")</f>
        <v>39.7075949367089</v>
      </c>
      <c r="AO89" s="157" t="n">
        <f aca="false">IFERROR('Price History'!V3+(INDEX('Price History'!V:V,MATCH(9.99E+307,'Returns (Calc)'!$A:$A)+1)-'Price History'!V3)*(ROW()-3)/(MATCH(9.99E+307,'Returns (Calc)'!$A:$A)-3),"")</f>
        <v>303.684303797468</v>
      </c>
      <c r="AP89" s="155" t="n">
        <f aca="false">IFERROR(IF(OR(NOT(ISNUMBER('Price History'!W90)),NOT(ISNUMBER('Price History'!W89)),'Price History'!W89=0),"",'Price History'!W90/'Price History'!W89-1),"")</f>
        <v>0.0334983498349835</v>
      </c>
      <c r="AQ89" s="155" t="str">
        <f aca="false">IFERROR(IF(OR(NOT(ISNUMBER('Price History'!X90)),NOT(ISNUMBER('Price History'!X89)),'Price History'!X89=0),"",'Price History'!X90/'Price History'!X89-1),"")</f>
        <v/>
      </c>
      <c r="AR89" s="155" t="n">
        <f aca="false">IFERROR(IF(OR(NOT(ISNUMBER('Price History'!Y90)),NOT(ISNUMBER('Price History'!Y89)),'Price History'!Y89=0),"",'Price History'!Y90/'Price History'!Y89-1),"")</f>
        <v>0.0106919507766794</v>
      </c>
      <c r="AS89" s="155" t="n">
        <f aca="false">IFERROR(IF(OR(NOT(ISNUMBER('Price History'!Z90)),NOT(ISNUMBER('Price History'!Z89)),'Price History'!Z89=0),"",'Price History'!Z90/'Price History'!Z89-1),"")</f>
        <v>0.0782449896984454</v>
      </c>
      <c r="AT89" s="155" t="n">
        <f aca="false">IFERROR(IF(OR(NOT(ISNUMBER('Price History'!AA90)),NOT(ISNUMBER('Price History'!AA89)),'Price History'!AA89=0),"",'Price History'!AA90/'Price History'!AA89-1),"")</f>
        <v>0.0449921066479566</v>
      </c>
      <c r="AU89" s="155" t="n">
        <f aca="false">IFERROR(IF(OR(NOT(ISNUMBER('Price History'!AB90)),NOT(ISNUMBER('Price History'!AB89)),'Price History'!AB89=0),"",'Price History'!AB90/'Price History'!AB89-1),"")</f>
        <v>0.0241721155874288</v>
      </c>
    </row>
    <row r="90" customFormat="false" ht="15" hidden="false" customHeight="true" outlineLevel="0" collapsed="false">
      <c r="A90" s="153" t="n">
        <f aca="false">IF('Price History'!A91="","",'Price History'!A91)</f>
        <v>45800</v>
      </c>
      <c r="B90" s="154" t="n">
        <f aca="false">IFERROR(IF(OR(NOT(ISNUMBER('Price History'!B91)),NOT(ISNUMBER('Price History'!B90)),'Price History'!B90=0),"",'Price History'!B91/'Price History'!B90-1),"")</f>
        <v>-0.0226308345120226</v>
      </c>
      <c r="C90" s="154" t="n">
        <f aca="false">IFERROR(IF(OR(NOT(ISNUMBER('Price History'!C91)),NOT(ISNUMBER('Price History'!C90)),'Price History'!C90=0),"",'Price History'!C91/'Price History'!C90-1),"")</f>
        <v>-0.0541381456129434</v>
      </c>
      <c r="D90" s="154" t="n">
        <f aca="false">IFERROR(IF(OR(NOT(ISNUMBER('Price History'!D91)),NOT(ISNUMBER('Price History'!D90)),'Price History'!D90=0),"",'Price History'!D91/'Price History'!D90-1),"")</f>
        <v>-0.0208546916311445</v>
      </c>
      <c r="E90" s="154" t="n">
        <f aca="false">IFERROR(IF(OR(NOT(ISNUMBER('Price History'!E91)),NOT(ISNUMBER('Price History'!E90)),'Price History'!E90=0),"",'Price History'!E91/'Price History'!E90-1),"")</f>
        <v>0.00048672566371688</v>
      </c>
      <c r="F90" s="154" t="n">
        <f aca="false">IFERROR(IF(OR(NOT(ISNUMBER('Price History'!F91)),NOT(ISNUMBER('Price History'!F90)),'Price History'!F90=0),"",'Price History'!F91/'Price History'!F90-1),"")</f>
        <v>0.0371517027863779</v>
      </c>
      <c r="G90" s="154" t="n">
        <f aca="false">IFERROR(IF(OR(NOT(ISNUMBER('Price History'!G91)),NOT(ISNUMBER('Price History'!G90)),'Price History'!G90=0),"",'Price History'!G91/'Price History'!G90-1),"")</f>
        <v>-0.0405974722328609</v>
      </c>
      <c r="H90" s="154" t="n">
        <f aca="false">IFERROR(IF(OR(NOT(ISNUMBER('Price History'!H91)),NOT(ISNUMBER('Price History'!H90)),'Price History'!H90=0),"",'Price History'!H91/'Price History'!H90-1),"")</f>
        <v>-0.0472634271099744</v>
      </c>
      <c r="I90" s="154" t="n">
        <f aca="false">IFERROR(IF(OR(NOT(ISNUMBER('Price History'!I91)),NOT(ISNUMBER('Price History'!I90)),'Price History'!I90=0),"",'Price History'!I91/'Price History'!I90-1),"")</f>
        <v>-0.0303568784244039</v>
      </c>
      <c r="J90" s="154" t="n">
        <f aca="false">IFERROR(IF(OR(NOT(ISNUMBER('Price History'!J91)),NOT(ISNUMBER('Price History'!J90)),'Price History'!J90=0),"",'Price History'!J91/'Price History'!J90-1),"")</f>
        <v>-0.0588235294117647</v>
      </c>
      <c r="K90" s="154" t="n">
        <f aca="false">IFERROR(IF(OR(NOT(ISNUMBER('Price History'!K91)),NOT(ISNUMBER('Price History'!K90)),'Price History'!K90=0),"",'Price History'!K91/'Price History'!K90-1),"")</f>
        <v>-0.0479462631253861</v>
      </c>
      <c r="L90" s="154" t="n">
        <f aca="false">IFERROR(IF(OR(NOT(ISNUMBER('Price History'!L91)),NOT(ISNUMBER('Price History'!L90)),'Price History'!L90=0),"",'Price History'!L91/'Price History'!L90-1),"")</f>
        <v>-0.0115255658005029</v>
      </c>
      <c r="M90" s="154" t="n">
        <f aca="false">IFERROR(IF(OR(NOT(ISNUMBER('Price History'!M91)),NOT(ISNUMBER('Price History'!M90)),'Price History'!M90=0),"",'Price History'!M91/'Price History'!M90-1),"")</f>
        <v>-0.0179482335159645</v>
      </c>
      <c r="N90" s="154" t="n">
        <f aca="false">IFERROR(IF(OR(NOT(ISNUMBER('Price History'!N91)),NOT(ISNUMBER('Price History'!N90)),'Price History'!N90=0),"",'Price History'!N91/'Price History'!N90-1),"")</f>
        <v>-0.00604126296591812</v>
      </c>
      <c r="O90" s="154" t="n">
        <f aca="false">IFERROR(IF(OR(NOT(ISNUMBER('Price History'!O91)),NOT(ISNUMBER('Price History'!O90)),'Price History'!O90=0),"",'Price History'!O91/'Price History'!O90-1),"")</f>
        <v>-0.0400135256988278</v>
      </c>
      <c r="P90" s="154" t="n">
        <f aca="false">IFERROR(IF(OR(NOT(ISNUMBER('Price History'!P91)),NOT(ISNUMBER('Price History'!P90)),'Price History'!P90=0),"",'Price History'!P91/'Price History'!P90-1),"")</f>
        <v>-0.0258593503626616</v>
      </c>
      <c r="Q90" s="154" t="n">
        <f aca="false">IFERROR(IF(OR(NOT(ISNUMBER('Price History'!Q91)),NOT(ISNUMBER('Price History'!Q90)),'Price History'!Q90=0),"",'Price History'!Q91/'Price History'!Q90-1),"")</f>
        <v>-0.0165519501802689</v>
      </c>
      <c r="R90" s="154" t="n">
        <f aca="false">IFERROR(IF(OR(NOT(ISNUMBER('Price History'!R91)),NOT(ISNUMBER('Price History'!R90)),'Price History'!R90=0),"",'Price History'!R91/'Price History'!R90-1),"")</f>
        <v>-0.00917431192660545</v>
      </c>
      <c r="S90" s="154" t="n">
        <f aca="false">IFERROR(IF(OR(NOT(ISNUMBER('Price History'!S91)),NOT(ISNUMBER('Price History'!S90)),'Price History'!S90=0),"",'Price History'!S91/'Price History'!S90-1),"")</f>
        <v>-0.0223184223184224</v>
      </c>
      <c r="T90" s="154" t="n">
        <f aca="false">IFERROR(IF(OR(NOT(ISNUMBER('Price History'!T91)),NOT(ISNUMBER('Price History'!T90)),'Price History'!T90=0),"",'Price History'!T91/'Price History'!T90-1),"")</f>
        <v>-0.0348054986838257</v>
      </c>
      <c r="U90" s="154" t="n">
        <f aca="false">IFERROR(IF(OR(NOT(ISNUMBER('Price History'!U91)),NOT(ISNUMBER('Price History'!U90)),'Price History'!U90=0),"",'Price History'!U91/'Price History'!U90-1),"")</f>
        <v>-0.0269734232447442</v>
      </c>
      <c r="V90" s="155" t="n">
        <f aca="false">IFERROR(IF(OR(NOT(ISNUMBER('Price History'!V91)),NOT(ISNUMBER('Price History'!V90)),'Price History'!V90=0),"",'Price History'!V91/'Price History'!V90-1),"")</f>
        <v>-0.0317210099836831</v>
      </c>
      <c r="W90" s="156" t="n">
        <f aca="false">IFERROR('Price History'!B3+(INDEX('Price History'!B:B,MATCH(9.99E+307,'Returns (Calc)'!$A:$A)+1)-'Price History'!B3)*(ROW()-3)/(MATCH(9.99E+307,'Returns (Calc)'!$A:$A)-3),"")</f>
        <v>368.545696202532</v>
      </c>
      <c r="X90" s="156" t="n">
        <f aca="false">IFERROR('Price History'!C3+(INDEX('Price History'!C:C,MATCH(9.99E+307,'Returns (Calc)'!$A:$A)+1)-'Price History'!C3)*(ROW()-3)/(MATCH(9.99E+307,'Returns (Calc)'!$A:$A)-3),"")</f>
        <v>134.925506329114</v>
      </c>
      <c r="Y90" s="156" t="n">
        <f aca="false">IFERROR('Price History'!D3+(INDEX('Price History'!D:D,MATCH(9.99E+307,'Returns (Calc)'!$A:$A)+1)-'Price History'!D3)*(ROW()-3)/(MATCH(9.99E+307,'Returns (Calc)'!$A:$A)-3),"")</f>
        <v>1289.73848101266</v>
      </c>
      <c r="Z90" s="156" t="n">
        <f aca="false">IFERROR('Price History'!E3+(INDEX('Price History'!E:E,MATCH(9.99E+307,'Returns (Calc)'!$A:$A)+1)-'Price History'!E3)*(ROW()-3)/(MATCH(9.99E+307,'Returns (Calc)'!$A:$A)-3),"")</f>
        <v>232.399873417722</v>
      </c>
      <c r="AA90" s="156" t="n">
        <f aca="false">IFERROR('Price History'!F3+(INDEX('Price History'!F:F,MATCH(9.99E+307,'Returns (Calc)'!$A:$A)+1)-'Price History'!F3)*(ROW()-3)/(MATCH(9.99E+307,'Returns (Calc)'!$A:$A)-3),"")</f>
        <v>167.278734177215</v>
      </c>
      <c r="AB90" s="156" t="n">
        <f aca="false">IFERROR('Price History'!G3+(INDEX('Price History'!G:G,MATCH(9.99E+307,'Returns (Calc)'!$A:$A)+1)-'Price History'!G3)*(ROW()-3)/(MATCH(9.99E+307,'Returns (Calc)'!$A:$A)-3),"")</f>
        <v>133.849873417722</v>
      </c>
      <c r="AC90" s="156" t="n">
        <f aca="false">IFERROR('Price History'!H3+(INDEX('Price History'!H:H,MATCH(9.99E+307,'Returns (Calc)'!$A:$A)+1)-'Price History'!H3)*(ROW()-3)/(MATCH(9.99E+307,'Returns (Calc)'!$A:$A)-3),"")</f>
        <v>622.925569620253</v>
      </c>
      <c r="AD90" s="156" t="n">
        <f aca="false">IFERROR('Price History'!I3+(INDEX('Price History'!I:I,MATCH(9.99E+307,'Returns (Calc)'!$A:$A)+1)-'Price History'!I3)*(ROW()-3)/(MATCH(9.99E+307,'Returns (Calc)'!$A:$A)-3),"")</f>
        <v>148.489367088608</v>
      </c>
      <c r="AE90" s="156" t="n">
        <f aca="false">IFERROR('Price History'!J3+(INDEX('Price History'!J:J,MATCH(9.99E+307,'Returns (Calc)'!$A:$A)+1)-'Price History'!J3)*(ROW()-3)/(MATCH(9.99E+307,'Returns (Calc)'!$A:$A)-3),"")</f>
        <v>121.239303797468</v>
      </c>
      <c r="AF90" s="156" t="n">
        <f aca="false">IFERROR('Price History'!K3+(INDEX('Price History'!K:K,MATCH(9.99E+307,'Returns (Calc)'!$A:$A)+1)-'Price History'!K3)*(ROW()-3)/(MATCH(9.99E+307,'Returns (Calc)'!$A:$A)-3),"")</f>
        <v>110.820759493671</v>
      </c>
      <c r="AG90" s="156" t="n">
        <f aca="false">IFERROR('Price History'!L3+(INDEX('Price History'!L:L,MATCH(9.99E+307,'Returns (Calc)'!$A:$A)+1)-'Price History'!L3)*(ROW()-3)/(MATCH(9.99E+307,'Returns (Calc)'!$A:$A)-3),"")</f>
        <v>298.861455696203</v>
      </c>
      <c r="AH90" s="156" t="n">
        <f aca="false">IFERROR('Price History'!M3+(INDEX('Price History'!M:M,MATCH(9.99E+307,'Returns (Calc)'!$A:$A)+1)-'Price History'!M3)*(ROW()-3)/(MATCH(9.99E+307,'Returns (Calc)'!$A:$A)-3),"")</f>
        <v>155.943544303797</v>
      </c>
      <c r="AI90" s="156" t="n">
        <f aca="false">IFERROR('Price History'!N3+(INDEX('Price History'!N:N,MATCH(9.99E+307,'Returns (Calc)'!$A:$A)+1)-'Price History'!N3)*(ROW()-3)/(MATCH(9.99E+307,'Returns (Calc)'!$A:$A)-3),"")</f>
        <v>434.705126582278</v>
      </c>
      <c r="AJ90" s="156" t="n">
        <f aca="false">IFERROR('Price History'!O3+(INDEX('Price History'!O:O,MATCH(9.99E+307,'Returns (Calc)'!$A:$A)+1)-'Price History'!O3)*(ROW()-3)/(MATCH(9.99E+307,'Returns (Calc)'!$A:$A)-3),"")</f>
        <v>99.9343037974684</v>
      </c>
      <c r="AK90" s="156" t="n">
        <f aca="false">IFERROR('Price History'!Q3+(INDEX('Price History'!Q:Q,MATCH(9.99E+307,'Returns (Calc)'!$A:$A)+1)-'Price History'!Q3)*(ROW()-3)/(MATCH(9.99E+307,'Returns (Calc)'!$A:$A)-3),"")</f>
        <v>38.2249367088608</v>
      </c>
      <c r="AL90" s="156" t="n">
        <f aca="false">IFERROR('Price History'!R3+(INDEX('Price History'!R:R,MATCH(9.99E+307,'Returns (Calc)'!$A:$A)+1)-'Price History'!R3)*(ROW()-3)/(MATCH(9.99E+307,'Returns (Calc)'!$A:$A)-3),"")</f>
        <v>49.1048101265823</v>
      </c>
      <c r="AM90" s="156" t="n">
        <f aca="false">IFERROR('Price History'!S3+(INDEX('Price History'!S:S,MATCH(9.99E+307,'Returns (Calc)'!$A:$A)+1)-'Price History'!S3)*(ROW()-3)/(MATCH(9.99E+307,'Returns (Calc)'!$A:$A)-3),"")</f>
        <v>110.270506329114</v>
      </c>
      <c r="AN90" s="156" t="n">
        <f aca="false">IFERROR('Price History'!T3+(INDEX('Price History'!T:T,MATCH(9.99E+307,'Returns (Calc)'!$A:$A)+1)-'Price History'!T3)*(ROW()-3)/(MATCH(9.99E+307,'Returns (Calc)'!$A:$A)-3),"")</f>
        <v>39.8758227848101</v>
      </c>
      <c r="AO90" s="157" t="n">
        <f aca="false">IFERROR('Price History'!V3+(INDEX('Price History'!V:V,MATCH(9.99E+307,'Returns (Calc)'!$A:$A)+1)-'Price History'!V3)*(ROW()-3)/(MATCH(9.99E+307,'Returns (Calc)'!$A:$A)-3),"")</f>
        <v>304.475632911392</v>
      </c>
      <c r="AP90" s="155" t="n">
        <f aca="false">IFERROR(IF(OR(NOT(ISNUMBER('Price History'!W91)),NOT(ISNUMBER('Price History'!W90)),'Price History'!W90=0),"",'Price History'!W91/'Price History'!W90-1),"")</f>
        <v>-0.0220341689286285</v>
      </c>
      <c r="AQ90" s="155" t="str">
        <f aca="false">IFERROR(IF(OR(NOT(ISNUMBER('Price History'!X91)),NOT(ISNUMBER('Price History'!X90)),'Price History'!X90=0),"",'Price History'!X91/'Price History'!X90-1),"")</f>
        <v/>
      </c>
      <c r="AR90" s="155" t="n">
        <f aca="false">IFERROR(IF(OR(NOT(ISNUMBER('Price History'!Y91)),NOT(ISNUMBER('Price History'!Y90)),'Price History'!Y90=0),"",'Price History'!Y91/'Price History'!Y90-1),"")</f>
        <v>-0.0127744510978044</v>
      </c>
      <c r="AS90" s="155" t="n">
        <f aca="false">IFERROR(IF(OR(NOT(ISNUMBER('Price History'!Z91)),NOT(ISNUMBER('Price History'!Z90)),'Price History'!Z90=0),"",'Price History'!Z91/'Price History'!Z90-1),"")</f>
        <v>0.00438615538281151</v>
      </c>
      <c r="AT90" s="155" t="n">
        <f aca="false">IFERROR(IF(OR(NOT(ISNUMBER('Price History'!AA91)),NOT(ISNUMBER('Price History'!AA90)),'Price History'!AA90=0),"",'Price History'!AA91/'Price History'!AA90-1),"")</f>
        <v>-0.00511959714645405</v>
      </c>
      <c r="AU90" s="155" t="n">
        <f aca="false">IFERROR(IF(OR(NOT(ISNUMBER('Price History'!AB91)),NOT(ISNUMBER('Price History'!AB90)),'Price History'!AB90=0),"",'Price History'!AB91/'Price History'!AB90-1),"")</f>
        <v>-0.0402833841337836</v>
      </c>
    </row>
    <row r="91" customFormat="false" ht="15" hidden="false" customHeight="true" outlineLevel="0" collapsed="false">
      <c r="A91" s="153" t="n">
        <f aca="false">IF('Price History'!A92="","",'Price History'!A92)</f>
        <v>45807</v>
      </c>
      <c r="B91" s="154" t="n">
        <f aca="false">IFERROR(IF(OR(NOT(ISNUMBER('Price History'!B92)),NOT(ISNUMBER('Price History'!B91)),'Price History'!B91=0),"",'Price History'!B92/'Price History'!B91-1),"")</f>
        <v>0.018151046137997</v>
      </c>
      <c r="C91" s="154" t="n">
        <f aca="false">IFERROR(IF(OR(NOT(ISNUMBER('Price History'!C92)),NOT(ISNUMBER('Price History'!C91)),'Price History'!C91=0),"",'Price History'!C92/'Price History'!C91-1),"")</f>
        <v>-0.05</v>
      </c>
      <c r="D91" s="154" t="n">
        <f aca="false">IFERROR(IF(OR(NOT(ISNUMBER('Price History'!D92)),NOT(ISNUMBER('Price History'!D91)),'Price History'!D91=0),"",'Price History'!D92/'Price History'!D91-1),"")</f>
        <v>0.00584134681619042</v>
      </c>
      <c r="E91" s="154" t="n">
        <f aca="false">IFERROR(IF(OR(NOT(ISNUMBER('Price History'!E92)),NOT(ISNUMBER('Price History'!E91)),'Price History'!E91=0),"",'Price History'!E92/'Price History'!E91-1),"")</f>
        <v>0.0583786652514262</v>
      </c>
      <c r="F91" s="154" t="n">
        <f aca="false">IFERROR(IF(OR(NOT(ISNUMBER('Price History'!F92)),NOT(ISNUMBER('Price History'!F91)),'Price History'!F91=0),"",'Price History'!F92/'Price History'!F91-1),"")</f>
        <v>0.0345917471466197</v>
      </c>
      <c r="G91" s="154" t="n">
        <f aca="false">IFERROR(IF(OR(NOT(ISNUMBER('Price History'!G92)),NOT(ISNUMBER('Price History'!G91)),'Price History'!G91=0),"",'Price History'!G92/'Price History'!G91-1),"")</f>
        <v>-0.000399201596806398</v>
      </c>
      <c r="H91" s="154" t="n">
        <f aca="false">IFERROR(IF(OR(NOT(ISNUMBER('Price History'!H92)),NOT(ISNUMBER('Price History'!H91)),'Price History'!H91=0),"",'Price History'!H92/'Price History'!H91-1),"")</f>
        <v>0.0117040695801569</v>
      </c>
      <c r="I91" s="154" t="n">
        <f aca="false">IFERROR(IF(OR(NOT(ISNUMBER('Price History'!I92)),NOT(ISNUMBER('Price History'!I91)),'Price History'!I91=0),"",'Price History'!I92/'Price History'!I91-1),"")</f>
        <v>0.0292455711667683</v>
      </c>
      <c r="J91" s="154" t="n">
        <f aca="false">IFERROR(IF(OR(NOT(ISNUMBER('Price History'!J92)),NOT(ISNUMBER('Price History'!J91)),'Price History'!J91=0),"",'Price History'!J92/'Price History'!J91-1),"")</f>
        <v>0.0438206785137316</v>
      </c>
      <c r="K91" s="154" t="n">
        <f aca="false">IFERROR(IF(OR(NOT(ISNUMBER('Price History'!K92)),NOT(ISNUMBER('Price History'!K91)),'Price History'!K91=0),"",'Price History'!K92/'Price History'!K91-1),"")</f>
        <v>0.0686886708296164</v>
      </c>
      <c r="L91" s="154" t="n">
        <f aca="false">IFERROR(IF(OR(NOT(ISNUMBER('Price History'!L92)),NOT(ISNUMBER('Price History'!L91)),'Price History'!L91=0),"",'Price History'!L92/'Price History'!L91-1),"")</f>
        <v>0.00699597201611191</v>
      </c>
      <c r="M91" s="154" t="n">
        <f aca="false">IFERROR(IF(OR(NOT(ISNUMBER('Price History'!M92)),NOT(ISNUMBER('Price History'!M91)),'Price History'!M91=0),"",'Price History'!M92/'Price History'!M91-1),"")</f>
        <v>0.0364563293574451</v>
      </c>
      <c r="N91" s="154" t="n">
        <f aca="false">IFERROR(IF(OR(NOT(ISNUMBER('Price History'!N92)),NOT(ISNUMBER('Price History'!N91)),'Price History'!N91=0),"",'Price History'!N92/'Price History'!N91-1),"")</f>
        <v>0.013876146788991</v>
      </c>
      <c r="O91" s="154" t="n">
        <f aca="false">IFERROR(IF(OR(NOT(ISNUMBER('Price History'!O92)),NOT(ISNUMBER('Price History'!O91)),'Price History'!O91=0),"",'Price History'!O92/'Price History'!O91-1),"")</f>
        <v>0.0117412234354819</v>
      </c>
      <c r="P91" s="154" t="n">
        <f aca="false">IFERROR(IF(OR(NOT(ISNUMBER('Price History'!P92)),NOT(ISNUMBER('Price History'!P91)),'Price History'!P91=0),"",'Price History'!P92/'Price History'!P91-1),"")</f>
        <v>0.00647458724506311</v>
      </c>
      <c r="Q91" s="154" t="n">
        <f aca="false">IFERROR(IF(OR(NOT(ISNUMBER('Price History'!Q92)),NOT(ISNUMBER('Price History'!Q91)),'Price History'!Q91=0),"",'Price History'!Q92/'Price History'!Q91-1),"")</f>
        <v>0.0108315280786535</v>
      </c>
      <c r="R91" s="154" t="n">
        <f aca="false">IFERROR(IF(OR(NOT(ISNUMBER('Price History'!R92)),NOT(ISNUMBER('Price History'!R91)),'Price History'!R91=0),"",'Price History'!R92/'Price History'!R91-1),"")</f>
        <v>0.0112917795844625</v>
      </c>
      <c r="S91" s="154" t="n">
        <f aca="false">IFERROR(IF(OR(NOT(ISNUMBER('Price History'!S92)),NOT(ISNUMBER('Price History'!S91)),'Price History'!S91=0),"",'Price History'!S92/'Price History'!S91-1),"")</f>
        <v>0.0243038472891863</v>
      </c>
      <c r="T91" s="154" t="n">
        <f aca="false">IFERROR(IF(OR(NOT(ISNUMBER('Price History'!T92)),NOT(ISNUMBER('Price History'!T91)),'Price History'!T91=0),"",'Price History'!T92/'Price History'!T91-1),"")</f>
        <v>0.00787878787878782</v>
      </c>
      <c r="U91" s="154" t="n">
        <f aca="false">IFERROR(IF(OR(NOT(ISNUMBER('Price History'!U92)),NOT(ISNUMBER('Price History'!U91)),'Price History'!U91=0),"",'Price History'!U92/'Price History'!U91-1),"")</f>
        <v>0.0110069302894416</v>
      </c>
      <c r="V91" s="155" t="n">
        <f aca="false">IFERROR(IF(OR(NOT(ISNUMBER('Price History'!V92)),NOT(ISNUMBER('Price History'!V91)),'Price History'!V91=0),"",'Price History'!V92/'Price History'!V91-1),"")</f>
        <v>0.0329601279561294</v>
      </c>
      <c r="W91" s="156" t="n">
        <f aca="false">IFERROR('Price History'!B3+(INDEX('Price History'!B:B,MATCH(9.99E+307,'Returns (Calc)'!$A:$A)+1)-'Price History'!B3)*(ROW()-3)/(MATCH(9.99E+307,'Returns (Calc)'!$A:$A)-3),"")</f>
        <v>366.702658227848</v>
      </c>
      <c r="X91" s="156" t="n">
        <f aca="false">IFERROR('Price History'!C3+(INDEX('Price History'!C:C,MATCH(9.99E+307,'Returns (Calc)'!$A:$A)+1)-'Price History'!C3)*(ROW()-3)/(MATCH(9.99E+307,'Returns (Calc)'!$A:$A)-3),"")</f>
        <v>135.945569620253</v>
      </c>
      <c r="Y91" s="156" t="n">
        <f aca="false">IFERROR('Price History'!D3+(INDEX('Price History'!D:D,MATCH(9.99E+307,'Returns (Calc)'!$A:$A)+1)-'Price History'!D3)*(ROW()-3)/(MATCH(9.99E+307,'Returns (Calc)'!$A:$A)-3),"")</f>
        <v>1297.87329113924</v>
      </c>
      <c r="Z91" s="156" t="n">
        <f aca="false">IFERROR('Price History'!E3+(INDEX('Price History'!E:E,MATCH(9.99E+307,'Returns (Calc)'!$A:$A)+1)-'Price History'!E3)*(ROW()-3)/(MATCH(9.99E+307,'Returns (Calc)'!$A:$A)-3),"")</f>
        <v>234.128607594937</v>
      </c>
      <c r="AA91" s="156" t="n">
        <f aca="false">IFERROR('Price History'!F3+(INDEX('Price History'!F:F,MATCH(9.99E+307,'Returns (Calc)'!$A:$A)+1)-'Price History'!F3)*(ROW()-3)/(MATCH(9.99E+307,'Returns (Calc)'!$A:$A)-3),"")</f>
        <v>168.726075949367</v>
      </c>
      <c r="AB91" s="156" t="n">
        <f aca="false">IFERROR('Price History'!G3+(INDEX('Price History'!G:G,MATCH(9.99E+307,'Returns (Calc)'!$A:$A)+1)-'Price History'!G3)*(ROW()-3)/(MATCH(9.99E+307,'Returns (Calc)'!$A:$A)-3),"")</f>
        <v>134.878607594937</v>
      </c>
      <c r="AC91" s="156" t="n">
        <f aca="false">IFERROR('Price History'!H3+(INDEX('Price History'!H:H,MATCH(9.99E+307,'Returns (Calc)'!$A:$A)+1)-'Price History'!H3)*(ROW()-3)/(MATCH(9.99E+307,'Returns (Calc)'!$A:$A)-3),"")</f>
        <v>629.291265822785</v>
      </c>
      <c r="AD91" s="156" t="n">
        <f aca="false">IFERROR('Price History'!I3+(INDEX('Price History'!I:I,MATCH(9.99E+307,'Returns (Calc)'!$A:$A)+1)-'Price History'!I3)*(ROW()-3)/(MATCH(9.99E+307,'Returns (Calc)'!$A:$A)-3),"")</f>
        <v>149.693037974684</v>
      </c>
      <c r="AE91" s="156" t="n">
        <f aca="false">IFERROR('Price History'!J3+(INDEX('Price History'!J:J,MATCH(9.99E+307,'Returns (Calc)'!$A:$A)+1)-'Price History'!J3)*(ROW()-3)/(MATCH(9.99E+307,'Returns (Calc)'!$A:$A)-3),"")</f>
        <v>121.347341772152</v>
      </c>
      <c r="AF91" s="156" t="n">
        <f aca="false">IFERROR('Price History'!K3+(INDEX('Price History'!K:K,MATCH(9.99E+307,'Returns (Calc)'!$A:$A)+1)-'Price History'!K3)*(ROW()-3)/(MATCH(9.99E+307,'Returns (Calc)'!$A:$A)-3),"")</f>
        <v>111.91835443038</v>
      </c>
      <c r="AG91" s="156" t="n">
        <f aca="false">IFERROR('Price History'!L3+(INDEX('Price History'!L:L,MATCH(9.99E+307,'Returns (Calc)'!$A:$A)+1)-'Price History'!L3)*(ROW()-3)/(MATCH(9.99E+307,'Returns (Calc)'!$A:$A)-3),"")</f>
        <v>301.311012658228</v>
      </c>
      <c r="AH91" s="156" t="n">
        <f aca="false">IFERROR('Price History'!M3+(INDEX('Price History'!M:M,MATCH(9.99E+307,'Returns (Calc)'!$A:$A)+1)-'Price History'!M3)*(ROW()-3)/(MATCH(9.99E+307,'Returns (Calc)'!$A:$A)-3),"")</f>
        <v>157.298987341772</v>
      </c>
      <c r="AI91" s="156" t="n">
        <f aca="false">IFERROR('Price History'!N3+(INDEX('Price History'!N:N,MATCH(9.99E+307,'Returns (Calc)'!$A:$A)+1)-'Price History'!N3)*(ROW()-3)/(MATCH(9.99E+307,'Returns (Calc)'!$A:$A)-3),"")</f>
        <v>435.691392405063</v>
      </c>
      <c r="AJ91" s="156" t="n">
        <f aca="false">IFERROR('Price History'!O3+(INDEX('Price History'!O:O,MATCH(9.99E+307,'Returns (Calc)'!$A:$A)+1)-'Price History'!O3)*(ROW()-3)/(MATCH(9.99E+307,'Returns (Calc)'!$A:$A)-3),"")</f>
        <v>100.217341772152</v>
      </c>
      <c r="AK91" s="156" t="n">
        <f aca="false">IFERROR('Price History'!Q3+(INDEX('Price History'!Q:Q,MATCH(9.99E+307,'Returns (Calc)'!$A:$A)+1)-'Price History'!Q3)*(ROW()-3)/(MATCH(9.99E+307,'Returns (Calc)'!$A:$A)-3),"")</f>
        <v>38.6643037974684</v>
      </c>
      <c r="AL91" s="156" t="n">
        <f aca="false">IFERROR('Price History'!R3+(INDEX('Price History'!R:R,MATCH(9.99E+307,'Returns (Calc)'!$A:$A)+1)-'Price History'!R3)*(ROW()-3)/(MATCH(9.99E+307,'Returns (Calc)'!$A:$A)-3),"")</f>
        <v>49.2729113924051</v>
      </c>
      <c r="AM91" s="156" t="n">
        <f aca="false">IFERROR('Price History'!S3+(INDEX('Price History'!S:S,MATCH(9.99E+307,'Returns (Calc)'!$A:$A)+1)-'Price History'!S3)*(ROW()-3)/(MATCH(9.99E+307,'Returns (Calc)'!$A:$A)-3),"")</f>
        <v>110.875569620253</v>
      </c>
      <c r="AN91" s="156" t="n">
        <f aca="false">IFERROR('Price History'!T3+(INDEX('Price History'!T:T,MATCH(9.99E+307,'Returns (Calc)'!$A:$A)+1)-'Price History'!T3)*(ROW()-3)/(MATCH(9.99E+307,'Returns (Calc)'!$A:$A)-3),"")</f>
        <v>40.0440506329114</v>
      </c>
      <c r="AO91" s="157" t="n">
        <f aca="false">IFERROR('Price History'!V3+(INDEX('Price History'!V:V,MATCH(9.99E+307,'Returns (Calc)'!$A:$A)+1)-'Price History'!V3)*(ROW()-3)/(MATCH(9.99E+307,'Returns (Calc)'!$A:$A)-3),"")</f>
        <v>305.266962025317</v>
      </c>
      <c r="AP91" s="155" t="n">
        <f aca="false">IFERROR(IF(OR(NOT(ISNUMBER('Price History'!W92)),NOT(ISNUMBER('Price History'!W91)),'Price History'!W91=0),"",'Price History'!W92/'Price History'!W91-1),"")</f>
        <v>0.0151836734693878</v>
      </c>
      <c r="AQ91" s="155" t="str">
        <f aca="false">IFERROR(IF(OR(NOT(ISNUMBER('Price History'!X92)),NOT(ISNUMBER('Price History'!X91)),'Price History'!X91=0),"",'Price History'!X92/'Price History'!X91-1),"")</f>
        <v/>
      </c>
      <c r="AR91" s="155" t="n">
        <f aca="false">IFERROR(IF(OR(NOT(ISNUMBER('Price History'!Y92)),NOT(ISNUMBER('Price History'!Y91)),'Price History'!Y91=0),"",'Price History'!Y92/'Price History'!Y91-1),"")</f>
        <v>0.0101091791346544</v>
      </c>
      <c r="AS91" s="155" t="n">
        <f aca="false">IFERROR(IF(OR(NOT(ISNUMBER('Price History'!Z92)),NOT(ISNUMBER('Price History'!Z91)),'Price History'!Z91=0),"",'Price History'!Z92/'Price History'!Z91-1),"")</f>
        <v>0.0563386371497752</v>
      </c>
      <c r="AT91" s="155" t="n">
        <f aca="false">IFERROR(IF(OR(NOT(ISNUMBER('Price History'!AA92)),NOT(ISNUMBER('Price History'!AA91)),'Price History'!AA91=0),"",'Price History'!AA92/'Price History'!AA91-1),"")</f>
        <v>0.0183904167369664</v>
      </c>
      <c r="AU91" s="155" t="n">
        <f aca="false">IFERROR(IF(OR(NOT(ISNUMBER('Price History'!AB92)),NOT(ISNUMBER('Price History'!AB91)),'Price History'!AB91=0),"",'Price History'!AB92/'Price History'!AB91-1),"")</f>
        <v>0.200429184549356</v>
      </c>
    </row>
    <row r="92" customFormat="false" ht="15" hidden="false" customHeight="true" outlineLevel="0" collapsed="false">
      <c r="A92" s="153" t="n">
        <f aca="false">IF('Price History'!A93="","",'Price History'!A93)</f>
        <v>45814</v>
      </c>
      <c r="B92" s="154" t="n">
        <f aca="false">IFERROR(IF(OR(NOT(ISNUMBER('Price History'!B93)),NOT(ISNUMBER('Price History'!B92)),'Price History'!B92=0),"",'Price History'!B93/'Price History'!B92-1),"")</f>
        <v>0.00440868245440762</v>
      </c>
      <c r="C92" s="154" t="n">
        <f aca="false">IFERROR(IF(OR(NOT(ISNUMBER('Price History'!C93)),NOT(ISNUMBER('Price History'!C92)),'Price History'!C92=0),"",'Price History'!C93/'Price History'!C92-1),"")</f>
        <v>0.122460757156048</v>
      </c>
      <c r="D92" s="154" t="n">
        <f aca="false">IFERROR(IF(OR(NOT(ISNUMBER('Price History'!D93)),NOT(ISNUMBER('Price History'!D92)),'Price History'!D92=0),"",'Price History'!D93/'Price History'!D92-1),"")</f>
        <v>0.0220517737296262</v>
      </c>
      <c r="E92" s="154" t="n">
        <f aca="false">IFERROR(IF(OR(NOT(ISNUMBER('Price History'!E93)),NOT(ISNUMBER('Price History'!E92)),'Price History'!E92=0),"",'Price History'!E93/'Price History'!E92-1),"")</f>
        <v>0.0200576657891438</v>
      </c>
      <c r="F92" s="154" t="n">
        <f aca="false">IFERROR(IF(OR(NOT(ISNUMBER('Price History'!F93)),NOT(ISNUMBER('Price History'!F92)),'Price History'!F92=0),"",'Price History'!F93/'Price History'!F92-1),"")</f>
        <v>-0.00627970128988464</v>
      </c>
      <c r="G92" s="154" t="n">
        <f aca="false">IFERROR(IF(OR(NOT(ISNUMBER('Price History'!G93)),NOT(ISNUMBER('Price History'!G92)),'Price History'!G92=0),"",'Price History'!G93/'Price History'!G92-1),"")</f>
        <v>0.0674920127795526</v>
      </c>
      <c r="H92" s="154" t="n">
        <f aca="false">IFERROR(IF(OR(NOT(ISNUMBER('Price History'!H93)),NOT(ISNUMBER('Price History'!H92)),'Price History'!H92=0),"",'Price History'!H93/'Price History'!H92-1),"")</f>
        <v>0.149225217575886</v>
      </c>
      <c r="I92" s="154" t="n">
        <f aca="false">IFERROR(IF(OR(NOT(ISNUMBER('Price History'!I93)),NOT(ISNUMBER('Price History'!I92)),'Price History'!I92=0),"",'Price History'!I93/'Price History'!I92-1),"")</f>
        <v>0.048742488315157</v>
      </c>
      <c r="J92" s="154" t="n">
        <f aca="false">IFERROR(IF(OR(NOT(ISNUMBER('Price History'!J93)),NOT(ISNUMBER('Price History'!J92)),'Price History'!J92=0),"",'Price History'!J93/'Price History'!J92-1),"")</f>
        <v>0.0017411491584447</v>
      </c>
      <c r="K92" s="154" t="n">
        <f aca="false">IFERROR(IF(OR(NOT(ISNUMBER('Price History'!K93)),NOT(ISNUMBER('Price History'!K92)),'Price History'!K92=0),"",'Price History'!K93/'Price History'!K92-1),"")</f>
        <v>-0.0308089239641828</v>
      </c>
      <c r="L92" s="154" t="n">
        <f aca="false">IFERROR(IF(OR(NOT(ISNUMBER('Price History'!L93)),NOT(ISNUMBER('Price History'!L92)),'Price History'!L92=0),"",'Price History'!L93/'Price History'!L92-1),"")</f>
        <v>0.0613684210526315</v>
      </c>
      <c r="M92" s="154" t="n">
        <f aca="false">IFERROR(IF(OR(NOT(ISNUMBER('Price History'!M93)),NOT(ISNUMBER('Price History'!M92)),'Price History'!M92=0),"",'Price History'!M93/'Price History'!M92-1),"")</f>
        <v>0.068863109048724</v>
      </c>
      <c r="N92" s="154" t="n">
        <f aca="false">IFERROR(IF(OR(NOT(ISNUMBER('Price History'!N93)),NOT(ISNUMBER('Price History'!N92)),'Price History'!N92=0),"",'Price History'!N93/'Price History'!N92-1),"")</f>
        <v>0.0191154846736794</v>
      </c>
      <c r="O92" s="154" t="n">
        <f aca="false">IFERROR(IF(OR(NOT(ISNUMBER('Price History'!O93)),NOT(ISNUMBER('Price History'!O92)),'Price History'!O92=0),"",'Price History'!O93/'Price History'!O92-1),"")</f>
        <v>0.0184518974120924</v>
      </c>
      <c r="P92" s="154" t="n">
        <f aca="false">IFERROR(IF(OR(NOT(ISNUMBER('Price History'!P93)),NOT(ISNUMBER('Price History'!P92)),'Price History'!P92=0),"",'Price History'!P93/'Price History'!P92-1),"")</f>
        <v>0.00369893856545511</v>
      </c>
      <c r="Q92" s="154" t="n">
        <f aca="false">IFERROR(IF(OR(NOT(ISNUMBER('Price History'!Q93)),NOT(ISNUMBER('Price History'!Q92)),'Price History'!Q92=0),"",'Price History'!Q93/'Price History'!Q92-1),"")</f>
        <v>0.00972634355423674</v>
      </c>
      <c r="R92" s="154" t="n">
        <f aca="false">IFERROR(IF(OR(NOT(ISNUMBER('Price History'!R93)),NOT(ISNUMBER('Price History'!R92)),'Price History'!R92=0),"",'Price History'!R93/'Price History'!R92-1),"")</f>
        <v>0.0131755247878516</v>
      </c>
      <c r="S92" s="154" t="n">
        <f aca="false">IFERROR(IF(OR(NOT(ISNUMBER('Price History'!S93)),NOT(ISNUMBER('Price History'!S92)),'Price History'!S92=0),"",'Price History'!S93/'Price History'!S92-1),"")</f>
        <v>0.0148895292987512</v>
      </c>
      <c r="T92" s="154" t="n">
        <f aca="false">IFERROR(IF(OR(NOT(ISNUMBER('Price History'!T93)),NOT(ISNUMBER('Price History'!T92)),'Price History'!T92=0),"",'Price History'!T93/'Price History'!T92-1),"")</f>
        <v>0.0234515935057127</v>
      </c>
      <c r="U92" s="154" t="n">
        <f aca="false">IFERROR(IF(OR(NOT(ISNUMBER('Price History'!U93)),NOT(ISNUMBER('Price History'!U92)),'Price History'!U92=0),"",'Price History'!U93/'Price History'!U92-1),"")</f>
        <v>0.0141129032258063</v>
      </c>
      <c r="V92" s="155" t="n">
        <f aca="false">IFERROR(IF(OR(NOT(ISNUMBER('Price History'!V93)),NOT(ISNUMBER('Price History'!V92)),'Price History'!V92=0),"",'Price History'!V93/'Price History'!V92-1),"")</f>
        <v>0.0137698390753747</v>
      </c>
      <c r="W92" s="156" t="n">
        <f aca="false">IFERROR('Price History'!B3+(INDEX('Price History'!B:B,MATCH(9.99E+307,'Returns (Calc)'!$A:$A)+1)-'Price History'!B3)*(ROW()-3)/(MATCH(9.99E+307,'Returns (Calc)'!$A:$A)-3),"")</f>
        <v>364.859620253165</v>
      </c>
      <c r="X92" s="156" t="n">
        <f aca="false">IFERROR('Price History'!C3+(INDEX('Price History'!C:C,MATCH(9.99E+307,'Returns (Calc)'!$A:$A)+1)-'Price History'!C3)*(ROW()-3)/(MATCH(9.99E+307,'Returns (Calc)'!$A:$A)-3),"")</f>
        <v>136.965632911392</v>
      </c>
      <c r="Y92" s="156" t="n">
        <f aca="false">IFERROR('Price History'!D3+(INDEX('Price History'!D:D,MATCH(9.99E+307,'Returns (Calc)'!$A:$A)+1)-'Price History'!D3)*(ROW()-3)/(MATCH(9.99E+307,'Returns (Calc)'!$A:$A)-3),"")</f>
        <v>1306.00810126582</v>
      </c>
      <c r="Z92" s="156" t="n">
        <f aca="false">IFERROR('Price History'!E3+(INDEX('Price History'!E:E,MATCH(9.99E+307,'Returns (Calc)'!$A:$A)+1)-'Price History'!E3)*(ROW()-3)/(MATCH(9.99E+307,'Returns (Calc)'!$A:$A)-3),"")</f>
        <v>235.857341772152</v>
      </c>
      <c r="AA92" s="156" t="n">
        <f aca="false">IFERROR('Price History'!F3+(INDEX('Price History'!F:F,MATCH(9.99E+307,'Returns (Calc)'!$A:$A)+1)-'Price History'!F3)*(ROW()-3)/(MATCH(9.99E+307,'Returns (Calc)'!$A:$A)-3),"")</f>
        <v>170.173417721519</v>
      </c>
      <c r="AB92" s="156" t="n">
        <f aca="false">IFERROR('Price History'!G3+(INDEX('Price History'!G:G,MATCH(9.99E+307,'Returns (Calc)'!$A:$A)+1)-'Price History'!G3)*(ROW()-3)/(MATCH(9.99E+307,'Returns (Calc)'!$A:$A)-3),"")</f>
        <v>135.907341772152</v>
      </c>
      <c r="AC92" s="156" t="n">
        <f aca="false">IFERROR('Price History'!H3+(INDEX('Price History'!H:H,MATCH(9.99E+307,'Returns (Calc)'!$A:$A)+1)-'Price History'!H3)*(ROW()-3)/(MATCH(9.99E+307,'Returns (Calc)'!$A:$A)-3),"")</f>
        <v>635.656962025317</v>
      </c>
      <c r="AD92" s="156" t="n">
        <f aca="false">IFERROR('Price History'!I3+(INDEX('Price History'!I:I,MATCH(9.99E+307,'Returns (Calc)'!$A:$A)+1)-'Price History'!I3)*(ROW()-3)/(MATCH(9.99E+307,'Returns (Calc)'!$A:$A)-3),"")</f>
        <v>150.896708860759</v>
      </c>
      <c r="AE92" s="156" t="n">
        <f aca="false">IFERROR('Price History'!J3+(INDEX('Price History'!J:J,MATCH(9.99E+307,'Returns (Calc)'!$A:$A)+1)-'Price History'!J3)*(ROW()-3)/(MATCH(9.99E+307,'Returns (Calc)'!$A:$A)-3),"")</f>
        <v>121.455379746835</v>
      </c>
      <c r="AF92" s="156" t="n">
        <f aca="false">IFERROR('Price History'!K3+(INDEX('Price History'!K:K,MATCH(9.99E+307,'Returns (Calc)'!$A:$A)+1)-'Price History'!K3)*(ROW()-3)/(MATCH(9.99E+307,'Returns (Calc)'!$A:$A)-3),"")</f>
        <v>113.015949367089</v>
      </c>
      <c r="AG92" s="156" t="n">
        <f aca="false">IFERROR('Price History'!L3+(INDEX('Price History'!L:L,MATCH(9.99E+307,'Returns (Calc)'!$A:$A)+1)-'Price History'!L3)*(ROW()-3)/(MATCH(9.99E+307,'Returns (Calc)'!$A:$A)-3),"")</f>
        <v>303.760569620253</v>
      </c>
      <c r="AH92" s="156" t="n">
        <f aca="false">IFERROR('Price History'!M3+(INDEX('Price History'!M:M,MATCH(9.99E+307,'Returns (Calc)'!$A:$A)+1)-'Price History'!M3)*(ROW()-3)/(MATCH(9.99E+307,'Returns (Calc)'!$A:$A)-3),"")</f>
        <v>158.654430379747</v>
      </c>
      <c r="AI92" s="156" t="n">
        <f aca="false">IFERROR('Price History'!N3+(INDEX('Price History'!N:N,MATCH(9.99E+307,'Returns (Calc)'!$A:$A)+1)-'Price History'!N3)*(ROW()-3)/(MATCH(9.99E+307,'Returns (Calc)'!$A:$A)-3),"")</f>
        <v>436.677658227848</v>
      </c>
      <c r="AJ92" s="156" t="n">
        <f aca="false">IFERROR('Price History'!O3+(INDEX('Price History'!O:O,MATCH(9.99E+307,'Returns (Calc)'!$A:$A)+1)-'Price History'!O3)*(ROW()-3)/(MATCH(9.99E+307,'Returns (Calc)'!$A:$A)-3),"")</f>
        <v>100.500379746835</v>
      </c>
      <c r="AK92" s="156" t="n">
        <f aca="false">IFERROR('Price History'!Q3+(INDEX('Price History'!Q:Q,MATCH(9.99E+307,'Returns (Calc)'!$A:$A)+1)-'Price History'!Q3)*(ROW()-3)/(MATCH(9.99E+307,'Returns (Calc)'!$A:$A)-3),"")</f>
        <v>39.103670886076</v>
      </c>
      <c r="AL92" s="156" t="n">
        <f aca="false">IFERROR('Price History'!R3+(INDEX('Price History'!R:R,MATCH(9.99E+307,'Returns (Calc)'!$A:$A)+1)-'Price History'!R3)*(ROW()-3)/(MATCH(9.99E+307,'Returns (Calc)'!$A:$A)-3),"")</f>
        <v>49.4410126582279</v>
      </c>
      <c r="AM92" s="156" t="n">
        <f aca="false">IFERROR('Price History'!S3+(INDEX('Price History'!S:S,MATCH(9.99E+307,'Returns (Calc)'!$A:$A)+1)-'Price History'!S3)*(ROW()-3)/(MATCH(9.99E+307,'Returns (Calc)'!$A:$A)-3),"")</f>
        <v>111.480632911392</v>
      </c>
      <c r="AN92" s="156" t="n">
        <f aca="false">IFERROR('Price History'!T3+(INDEX('Price History'!T:T,MATCH(9.99E+307,'Returns (Calc)'!$A:$A)+1)-'Price History'!T3)*(ROW()-3)/(MATCH(9.99E+307,'Returns (Calc)'!$A:$A)-3),"")</f>
        <v>40.2122784810127</v>
      </c>
      <c r="AO92" s="157" t="n">
        <f aca="false">IFERROR('Price History'!V3+(INDEX('Price History'!V:V,MATCH(9.99E+307,'Returns (Calc)'!$A:$A)+1)-'Price History'!V3)*(ROW()-3)/(MATCH(9.99E+307,'Returns (Calc)'!$A:$A)-3),"")</f>
        <v>306.058291139241</v>
      </c>
      <c r="AP92" s="155" t="n">
        <f aca="false">IFERROR(IF(OR(NOT(ISNUMBER('Price History'!W93)),NOT(ISNUMBER('Price History'!W92)),'Price History'!W92=0),"",'Price History'!W93/'Price History'!W92-1),"")</f>
        <v>0.0110164039884209</v>
      </c>
      <c r="AQ92" s="155" t="str">
        <f aca="false">IFERROR(IF(OR(NOT(ISNUMBER('Price History'!X93)),NOT(ISNUMBER('Price History'!X92)),'Price History'!X92=0),"",'Price History'!X93/'Price History'!X92-1),"")</f>
        <v/>
      </c>
      <c r="AR92" s="155" t="n">
        <f aca="false">IFERROR(IF(OR(NOT(ISNUMBER('Price History'!Y93)),NOT(ISNUMBER('Price History'!Y92)),'Price History'!Y92=0),"",'Price History'!Y93/'Price History'!Y92-1),"")</f>
        <v>0.00880704563650925</v>
      </c>
      <c r="AS92" s="155" t="n">
        <f aca="false">IFERROR(IF(OR(NOT(ISNUMBER('Price History'!Z93)),NOT(ISNUMBER('Price History'!Z92)),'Price History'!Z92=0),"",'Price History'!Z93/'Price History'!Z92-1),"")</f>
        <v>0.0395399287790104</v>
      </c>
      <c r="AT92" s="155" t="n">
        <f aca="false">IFERROR(IF(OR(NOT(ISNUMBER('Price History'!AA93)),NOT(ISNUMBER('Price History'!AA92)),'Price History'!AA92=0),"",'Price History'!AA93/'Price History'!AA92-1),"")</f>
        <v>0.0284128561961565</v>
      </c>
      <c r="AU92" s="155" t="n">
        <f aca="false">IFERROR(IF(OR(NOT(ISNUMBER('Price History'!AB93)),NOT(ISNUMBER('Price History'!AB92)),'Price History'!AB92=0),"",'Price History'!AB93/'Price History'!AB92-1),"")</f>
        <v>0.0202359671076153</v>
      </c>
    </row>
    <row r="93" customFormat="false" ht="15" hidden="false" customHeight="true" outlineLevel="0" collapsed="false">
      <c r="A93" s="153" t="n">
        <f aca="false">IF('Price History'!A94="","",'Price History'!A94)</f>
        <v>45821</v>
      </c>
      <c r="B93" s="154" t="n">
        <f aca="false">IFERROR(IF(OR(NOT(ISNUMBER('Price History'!B94)),NOT(ISNUMBER('Price History'!B93)),'Price History'!B93=0),"",'Price History'!B94/'Price History'!B93-1),"")</f>
        <v>-0.06053919217116</v>
      </c>
      <c r="C93" s="154" t="n">
        <f aca="false">IFERROR(IF(OR(NOT(ISNUMBER('Price History'!C94)),NOT(ISNUMBER('Price History'!C93)),'Price History'!C93=0),"",'Price History'!C94/'Price History'!C93-1),"")</f>
        <v>-0.0503856041131106</v>
      </c>
      <c r="D93" s="154" t="n">
        <f aca="false">IFERROR(IF(OR(NOT(ISNUMBER('Price History'!D94)),NOT(ISNUMBER('Price History'!D93)),'Price History'!D93=0),"",'Price History'!D94/'Price History'!D93-1),"")</f>
        <v>0.0106003752345216</v>
      </c>
      <c r="E93" s="154" t="n">
        <f aca="false">IFERROR(IF(OR(NOT(ISNUMBER('Price History'!E94)),NOT(ISNUMBER('Price History'!E93)),'Price History'!E93=0),"",'Price History'!E94/'Price History'!E93-1),"")</f>
        <v>0.00716889926672404</v>
      </c>
      <c r="F93" s="154" t="n">
        <f aca="false">IFERROR(IF(OR(NOT(ISNUMBER('Price History'!F94)),NOT(ISNUMBER('Price History'!F93)),'Price History'!F93=0),"",'Price History'!F94/'Price History'!F93-1),"")</f>
        <v>0.0260461144321094</v>
      </c>
      <c r="G93" s="154" t="n">
        <f aca="false">IFERROR(IF(OR(NOT(ISNUMBER('Price History'!G94)),NOT(ISNUMBER('Price History'!G93)),'Price History'!G93=0),"",'Price History'!G94/'Price History'!G93-1),"")</f>
        <v>0.073824666417259</v>
      </c>
      <c r="H93" s="154" t="n">
        <f aca="false">IFERROR(IF(OR(NOT(ISNUMBER('Price History'!H94)),NOT(ISNUMBER('Price History'!H93)),'Price History'!H93=0),"",'Price History'!H94/'Price History'!H93-1),"")</f>
        <v>0.0649242704100481</v>
      </c>
      <c r="I93" s="154" t="n">
        <f aca="false">IFERROR(IF(OR(NOT(ISNUMBER('Price History'!I94)),NOT(ISNUMBER('Price History'!I93)),'Price History'!I93=0),"",'Price History'!I94/'Price History'!I93-1),"")</f>
        <v>0.00183927560837582</v>
      </c>
      <c r="J93" s="154" t="n">
        <f aca="false">IFERROR(IF(OR(NOT(ISNUMBER('Price History'!J94)),NOT(ISNUMBER('Price History'!J93)),'Price History'!J93=0),"",'Price History'!J94/'Price History'!J93-1),"")</f>
        <v>-0.0139049826187717</v>
      </c>
      <c r="K93" s="154" t="n">
        <f aca="false">IFERROR(IF(OR(NOT(ISNUMBER('Price History'!K94)),NOT(ISNUMBER('Price History'!K93)),'Price History'!K93=0),"",'Price History'!K94/'Price History'!K93-1),"")</f>
        <v>0.0757907923582839</v>
      </c>
      <c r="L93" s="154" t="n">
        <f aca="false">IFERROR(IF(OR(NOT(ISNUMBER('Price History'!L94)),NOT(ISNUMBER('Price History'!L93)),'Price History'!L93=0),"",'Price History'!L94/'Price History'!L93-1),"")</f>
        <v>0.0325795894079144</v>
      </c>
      <c r="M93" s="154" t="n">
        <f aca="false">IFERROR(IF(OR(NOT(ISNUMBER('Price History'!M94)),NOT(ISNUMBER('Price History'!M93)),'Price History'!M93=0),"",'Price History'!M94/'Price History'!M93-1),"")</f>
        <v>-0.0381175653381958</v>
      </c>
      <c r="N93" s="154" t="n">
        <f aca="false">IFERROR(IF(OR(NOT(ISNUMBER('Price History'!N94)),NOT(ISNUMBER('Price History'!N93)),'Price History'!N93=0),"",'Price History'!N94/'Price History'!N93-1),"")</f>
        <v>0.0109877913429524</v>
      </c>
      <c r="O93" s="154" t="n">
        <f aca="false">IFERROR(IF(OR(NOT(ISNUMBER('Price History'!O94)),NOT(ISNUMBER('Price History'!O93)),'Price History'!O93=0),"",'Price History'!O94/'Price History'!O93-1),"")</f>
        <v>-0.00603919781221518</v>
      </c>
      <c r="P93" s="154" t="n">
        <f aca="false">IFERROR(IF(OR(NOT(ISNUMBER('Price History'!P94)),NOT(ISNUMBER('Price History'!P93)),'Price History'!P93=0),"",'Price History'!P94/'Price History'!P93-1),"")</f>
        <v>-0.00352507610959785</v>
      </c>
      <c r="Q93" s="154" t="n">
        <f aca="false">IFERROR(IF(OR(NOT(ISNUMBER('Price History'!Q94)),NOT(ISNUMBER('Price History'!Q93)),'Price History'!Q93=0),"",'Price History'!Q94/'Price History'!Q93-1),"")</f>
        <v>-0.000163265306122429</v>
      </c>
      <c r="R93" s="154" t="n">
        <f aca="false">IFERROR(IF(OR(NOT(ISNUMBER('Price History'!R94)),NOT(ISNUMBER('Price History'!R93)),'Price History'!R93=0),"",'Price History'!R94/'Price History'!R93-1),"")</f>
        <v>-0.00198368966277263</v>
      </c>
      <c r="S93" s="154" t="n">
        <f aca="false">IFERROR(IF(OR(NOT(ISNUMBER('Price History'!S94)),NOT(ISNUMBER('Price History'!S93)),'Price History'!S93=0),"",'Price History'!S94/'Price History'!S93-1),"")</f>
        <v>-0.00709891150023667</v>
      </c>
      <c r="T93" s="154" t="n">
        <f aca="false">IFERROR(IF(OR(NOT(ISNUMBER('Price History'!T94)),NOT(ISNUMBER('Price History'!T93)),'Price History'!T93=0),"",'Price History'!T94/'Price History'!T93-1),"")</f>
        <v>0.0132197414806112</v>
      </c>
      <c r="U93" s="154" t="n">
        <f aca="false">IFERROR(IF(OR(NOT(ISNUMBER('Price History'!U94)),NOT(ISNUMBER('Price History'!U93)),'Price History'!U93=0),"",'Price History'!U94/'Price History'!U93-1),"")</f>
        <v>0.0135188866799205</v>
      </c>
      <c r="V93" s="155" t="n">
        <f aca="false">IFERROR(IF(OR(NOT(ISNUMBER('Price History'!V94)),NOT(ISNUMBER('Price History'!V93)),'Price History'!V93=0),"",'Price History'!V94/'Price History'!V93-1),"")</f>
        <v>-0.0469125027274711</v>
      </c>
      <c r="W93" s="156" t="n">
        <f aca="false">IFERROR('Price History'!B3+(INDEX('Price History'!B:B,MATCH(9.99E+307,'Returns (Calc)'!$A:$A)+1)-'Price History'!B3)*(ROW()-3)/(MATCH(9.99E+307,'Returns (Calc)'!$A:$A)-3),"")</f>
        <v>363.016582278481</v>
      </c>
      <c r="X93" s="156" t="n">
        <f aca="false">IFERROR('Price History'!C3+(INDEX('Price History'!C:C,MATCH(9.99E+307,'Returns (Calc)'!$A:$A)+1)-'Price History'!C3)*(ROW()-3)/(MATCH(9.99E+307,'Returns (Calc)'!$A:$A)-3),"")</f>
        <v>137.985696202532</v>
      </c>
      <c r="Y93" s="156" t="n">
        <f aca="false">IFERROR('Price History'!D3+(INDEX('Price History'!D:D,MATCH(9.99E+307,'Returns (Calc)'!$A:$A)+1)-'Price History'!D3)*(ROW()-3)/(MATCH(9.99E+307,'Returns (Calc)'!$A:$A)-3),"")</f>
        <v>1314.14291139241</v>
      </c>
      <c r="Z93" s="156" t="n">
        <f aca="false">IFERROR('Price History'!E3+(INDEX('Price History'!E:E,MATCH(9.99E+307,'Returns (Calc)'!$A:$A)+1)-'Price History'!E3)*(ROW()-3)/(MATCH(9.99E+307,'Returns (Calc)'!$A:$A)-3),"")</f>
        <v>237.586075949367</v>
      </c>
      <c r="AA93" s="156" t="n">
        <f aca="false">IFERROR('Price History'!F3+(INDEX('Price History'!F:F,MATCH(9.99E+307,'Returns (Calc)'!$A:$A)+1)-'Price History'!F3)*(ROW()-3)/(MATCH(9.99E+307,'Returns (Calc)'!$A:$A)-3),"")</f>
        <v>171.620759493671</v>
      </c>
      <c r="AB93" s="156" t="n">
        <f aca="false">IFERROR('Price History'!G3+(INDEX('Price History'!G:G,MATCH(9.99E+307,'Returns (Calc)'!$A:$A)+1)-'Price History'!G3)*(ROW()-3)/(MATCH(9.99E+307,'Returns (Calc)'!$A:$A)-3),"")</f>
        <v>136.936075949367</v>
      </c>
      <c r="AC93" s="156" t="n">
        <f aca="false">IFERROR('Price History'!H3+(INDEX('Price History'!H:H,MATCH(9.99E+307,'Returns (Calc)'!$A:$A)+1)-'Price History'!H3)*(ROW()-3)/(MATCH(9.99E+307,'Returns (Calc)'!$A:$A)-3),"")</f>
        <v>642.022658227848</v>
      </c>
      <c r="AD93" s="156" t="n">
        <f aca="false">IFERROR('Price History'!I3+(INDEX('Price History'!I:I,MATCH(9.99E+307,'Returns (Calc)'!$A:$A)+1)-'Price History'!I3)*(ROW()-3)/(MATCH(9.99E+307,'Returns (Calc)'!$A:$A)-3),"")</f>
        <v>152.100379746835</v>
      </c>
      <c r="AE93" s="156" t="n">
        <f aca="false">IFERROR('Price History'!J3+(INDEX('Price History'!J:J,MATCH(9.99E+307,'Returns (Calc)'!$A:$A)+1)-'Price History'!J3)*(ROW()-3)/(MATCH(9.99E+307,'Returns (Calc)'!$A:$A)-3),"")</f>
        <v>121.563417721519</v>
      </c>
      <c r="AF93" s="156" t="n">
        <f aca="false">IFERROR('Price History'!K3+(INDEX('Price History'!K:K,MATCH(9.99E+307,'Returns (Calc)'!$A:$A)+1)-'Price History'!K3)*(ROW()-3)/(MATCH(9.99E+307,'Returns (Calc)'!$A:$A)-3),"")</f>
        <v>114.113544303797</v>
      </c>
      <c r="AG93" s="156" t="n">
        <f aca="false">IFERROR('Price History'!L3+(INDEX('Price History'!L:L,MATCH(9.99E+307,'Returns (Calc)'!$A:$A)+1)-'Price History'!L3)*(ROW()-3)/(MATCH(9.99E+307,'Returns (Calc)'!$A:$A)-3),"")</f>
        <v>306.210126582278</v>
      </c>
      <c r="AH93" s="156" t="n">
        <f aca="false">IFERROR('Price History'!M3+(INDEX('Price History'!M:M,MATCH(9.99E+307,'Returns (Calc)'!$A:$A)+1)-'Price History'!M3)*(ROW()-3)/(MATCH(9.99E+307,'Returns (Calc)'!$A:$A)-3),"")</f>
        <v>160.009873417722</v>
      </c>
      <c r="AI93" s="156" t="n">
        <f aca="false">IFERROR('Price History'!N3+(INDEX('Price History'!N:N,MATCH(9.99E+307,'Returns (Calc)'!$A:$A)+1)-'Price History'!N3)*(ROW()-3)/(MATCH(9.99E+307,'Returns (Calc)'!$A:$A)-3),"")</f>
        <v>437.663924050633</v>
      </c>
      <c r="AJ93" s="156" t="n">
        <f aca="false">IFERROR('Price History'!O3+(INDEX('Price History'!O:O,MATCH(9.99E+307,'Returns (Calc)'!$A:$A)+1)-'Price History'!O3)*(ROW()-3)/(MATCH(9.99E+307,'Returns (Calc)'!$A:$A)-3),"")</f>
        <v>100.783417721519</v>
      </c>
      <c r="AK93" s="156" t="n">
        <f aca="false">IFERROR('Price History'!Q3+(INDEX('Price History'!Q:Q,MATCH(9.99E+307,'Returns (Calc)'!$A:$A)+1)-'Price History'!Q3)*(ROW()-3)/(MATCH(9.99E+307,'Returns (Calc)'!$A:$A)-3),"")</f>
        <v>39.5430379746835</v>
      </c>
      <c r="AL93" s="156" t="n">
        <f aca="false">IFERROR('Price History'!R3+(INDEX('Price History'!R:R,MATCH(9.99E+307,'Returns (Calc)'!$A:$A)+1)-'Price History'!R3)*(ROW()-3)/(MATCH(9.99E+307,'Returns (Calc)'!$A:$A)-3),"")</f>
        <v>49.6091139240506</v>
      </c>
      <c r="AM93" s="156" t="n">
        <f aca="false">IFERROR('Price History'!S3+(INDEX('Price History'!S:S,MATCH(9.99E+307,'Returns (Calc)'!$A:$A)+1)-'Price History'!S3)*(ROW()-3)/(MATCH(9.99E+307,'Returns (Calc)'!$A:$A)-3),"")</f>
        <v>112.085696202532</v>
      </c>
      <c r="AN93" s="156" t="n">
        <f aca="false">IFERROR('Price History'!T3+(INDEX('Price History'!T:T,MATCH(9.99E+307,'Returns (Calc)'!$A:$A)+1)-'Price History'!T3)*(ROW()-3)/(MATCH(9.99E+307,'Returns (Calc)'!$A:$A)-3),"")</f>
        <v>40.3805063291139</v>
      </c>
      <c r="AO93" s="157" t="n">
        <f aca="false">IFERROR('Price History'!V3+(INDEX('Price History'!V:V,MATCH(9.99E+307,'Returns (Calc)'!$A:$A)+1)-'Price History'!V3)*(ROW()-3)/(MATCH(9.99E+307,'Returns (Calc)'!$A:$A)-3),"")</f>
        <v>306.849620253165</v>
      </c>
      <c r="AP93" s="155" t="n">
        <f aca="false">IFERROR(IF(OR(NOT(ISNUMBER('Price History'!W94)),NOT(ISNUMBER('Price History'!W93)),'Price History'!W93=0),"",'Price History'!W94/'Price History'!W93-1),"")</f>
        <v>0.000715819613457347</v>
      </c>
      <c r="AQ93" s="155" t="str">
        <f aca="false">IFERROR(IF(OR(NOT(ISNUMBER('Price History'!X94)),NOT(ISNUMBER('Price History'!X93)),'Price History'!X93=0),"",'Price History'!X94/'Price History'!X93-1),"")</f>
        <v/>
      </c>
      <c r="AR93" s="155" t="n">
        <f aca="false">IFERROR(IF(OR(NOT(ISNUMBER('Price History'!Y94)),NOT(ISNUMBER('Price History'!Y93)),'Price History'!Y93=0),"",'Price History'!Y94/'Price History'!Y93-1),"")</f>
        <v>0</v>
      </c>
      <c r="AS93" s="155" t="n">
        <f aca="false">IFERROR(IF(OR(NOT(ISNUMBER('Price History'!Z94)),NOT(ISNUMBER('Price History'!Z93)),'Price History'!Z93=0),"",'Price History'!Z94/'Price History'!Z93-1),"")</f>
        <v>-0.0744576131039099</v>
      </c>
      <c r="AT93" s="155" t="n">
        <f aca="false">IFERROR(IF(OR(NOT(ISNUMBER('Price History'!AA94)),NOT(ISNUMBER('Price History'!AA93)),'Price History'!AA93=0),"",'Price History'!AA94/'Price History'!AA93-1),"")</f>
        <v>-0.023681031010874</v>
      </c>
      <c r="AU93" s="155" t="n">
        <f aca="false">IFERROR(IF(OR(NOT(ISNUMBER('Price History'!AB94)),NOT(ISNUMBER('Price History'!AB93)),'Price History'!AB93=0),"",'Price History'!AB94/'Price History'!AB93-1),"")</f>
        <v>-0.00984721054107096</v>
      </c>
    </row>
    <row r="94" customFormat="false" ht="15" hidden="false" customHeight="true" outlineLevel="0" collapsed="false">
      <c r="A94" s="153" t="n">
        <f aca="false">IF('Price History'!A95="","",'Price History'!A95)</f>
        <v>45828</v>
      </c>
      <c r="B94" s="154" t="n">
        <f aca="false">IFERROR(IF(OR(NOT(ISNUMBER('Price History'!B95)),NOT(ISNUMBER('Price History'!B94)),'Price History'!B94=0),"",'Price History'!B95/'Price History'!B94-1),"")</f>
        <v>-0.0376838235294117</v>
      </c>
      <c r="C94" s="154" t="n">
        <f aca="false">IFERROR(IF(OR(NOT(ISNUMBER('Price History'!C95)),NOT(ISNUMBER('Price History'!C94)),'Price History'!C94=0),"",'Price History'!C95/'Price History'!C94-1),"")</f>
        <v>-0.0660530590146182</v>
      </c>
      <c r="D94" s="154" t="n">
        <f aca="false">IFERROR(IF(OR(NOT(ISNUMBER('Price History'!D95)),NOT(ISNUMBER('Price History'!D94)),'Price History'!D94=0),"",'Price History'!D95/'Price History'!D94-1),"")</f>
        <v>-0.00587447454615386</v>
      </c>
      <c r="E94" s="154" t="n">
        <f aca="false">IFERROR(IF(OR(NOT(ISNUMBER('Price History'!E95)),NOT(ISNUMBER('Price History'!E94)),'Price History'!E94=0),"",'Price History'!E95/'Price History'!E94-1),"")</f>
        <v>0.00756528105425836</v>
      </c>
      <c r="F94" s="154" t="n">
        <f aca="false">IFERROR(IF(OR(NOT(ISNUMBER('Price History'!F95)),NOT(ISNUMBER('Price History'!F94)),'Price History'!F94=0),"",'Price History'!F95/'Price History'!F94-1),"")</f>
        <v>-0.00898876404494398</v>
      </c>
      <c r="G94" s="154" t="n">
        <f aca="false">IFERROR(IF(OR(NOT(ISNUMBER('Price History'!G95)),NOT(ISNUMBER('Price History'!G94)),'Price History'!G94=0),"",'Price History'!G95/'Price History'!G94-1),"")</f>
        <v>-0.020322842875392</v>
      </c>
      <c r="H94" s="154" t="n">
        <f aca="false">IFERROR(IF(OR(NOT(ISNUMBER('Price History'!H95)),NOT(ISNUMBER('Price History'!H94)),'Price History'!H94=0),"",'Price History'!H95/'Price History'!H94-1),"")</f>
        <v>0.0692047524065562</v>
      </c>
      <c r="I94" s="154" t="n">
        <f aca="false">IFERROR(IF(OR(NOT(ISNUMBER('Price History'!I95)),NOT(ISNUMBER('Price History'!I94)),'Price History'!I94=0),"",'Price History'!I95/'Price History'!I94-1),"")</f>
        <v>0.0132749611636773</v>
      </c>
      <c r="J94" s="154" t="n">
        <f aca="false">IFERROR(IF(OR(NOT(ISNUMBER('Price History'!J95)),NOT(ISNUMBER('Price History'!J94)),'Price History'!J94=0),"",'Price History'!J95/'Price History'!J94-1),"")</f>
        <v>-0.00538582060321202</v>
      </c>
      <c r="K94" s="154" t="n">
        <f aca="false">IFERROR(IF(OR(NOT(ISNUMBER('Price History'!K95)),NOT(ISNUMBER('Price History'!K94)),'Price History'!K94=0),"",'Price History'!K95/'Price History'!K94-1),"")</f>
        <v>-0.000727802037845615</v>
      </c>
      <c r="L94" s="154" t="n">
        <f aca="false">IFERROR(IF(OR(NOT(ISNUMBER('Price History'!L95)),NOT(ISNUMBER('Price History'!L94)),'Price History'!L94=0),"",'Price History'!L95/'Price History'!L94-1),"")</f>
        <v>-0.00753973971089661</v>
      </c>
      <c r="M94" s="154" t="n">
        <f aca="false">IFERROR(IF(OR(NOT(ISNUMBER('Price History'!M95)),NOT(ISNUMBER('Price History'!M94)),'Price History'!M94=0),"",'Price History'!M95/'Price History'!M94-1),"")</f>
        <v>0.0686044412348799</v>
      </c>
      <c r="N94" s="154" t="n">
        <f aca="false">IFERROR(IF(OR(NOT(ISNUMBER('Price History'!N95)),NOT(ISNUMBER('Price History'!N94)),'Price History'!N94=0),"",'Price History'!N95/'Price History'!N94-1),"")</f>
        <v>-0.0320122955318916</v>
      </c>
      <c r="O94" s="154" t="n">
        <f aca="false">IFERROR(IF(OR(NOT(ISNUMBER('Price History'!O95)),NOT(ISNUMBER('Price History'!O94)),'Price History'!O94=0),"",'Price History'!O95/'Price History'!O94-1),"")</f>
        <v>0.00171959188352622</v>
      </c>
      <c r="P94" s="154" t="n">
        <f aca="false">IFERROR(IF(OR(NOT(ISNUMBER('Price History'!P95)),NOT(ISNUMBER('Price History'!P94)),'Price History'!P94=0),"",'Price History'!P95/'Price History'!P94-1),"")</f>
        <v>0.00297475478372733</v>
      </c>
      <c r="Q94" s="154" t="n">
        <f aca="false">IFERROR(IF(OR(NOT(ISNUMBER('Price History'!Q95)),NOT(ISNUMBER('Price History'!Q94)),'Price History'!Q94=0),"",'Price History'!Q95/'Price History'!Q94-1),"")</f>
        <v>0.000816459830176308</v>
      </c>
      <c r="R94" s="154" t="n">
        <f aca="false">IFERROR(IF(OR(NOT(ISNUMBER('Price History'!R95)),NOT(ISNUMBER('Price History'!R94)),'Price History'!R94=0),"",'Price History'!R95/'Price History'!R94-1),"")</f>
        <v>0.00309187279151946</v>
      </c>
      <c r="S94" s="154" t="n">
        <f aca="false">IFERROR(IF(OR(NOT(ISNUMBER('Price History'!S95)),NOT(ISNUMBER('Price History'!S94)),'Price History'!S94=0),"",'Price History'!S95/'Price History'!S94-1),"")</f>
        <v>0.00705433746425155</v>
      </c>
      <c r="T94" s="154" t="n">
        <f aca="false">IFERROR(IF(OR(NOT(ISNUMBER('Price History'!T95)),NOT(ISNUMBER('Price History'!T94)),'Price History'!T94=0),"",'Price History'!T95/'Price History'!T94-1),"")</f>
        <v>-0.00115975645114519</v>
      </c>
      <c r="U94" s="154" t="n">
        <f aca="false">IFERROR(IF(OR(NOT(ISNUMBER('Price History'!U95)),NOT(ISNUMBER('Price History'!U94)),'Price History'!U94=0),"",'Price History'!U95/'Price History'!U94-1),"")</f>
        <v>-0.00745390349156527</v>
      </c>
      <c r="V94" s="155" t="n">
        <f aca="false">IFERROR(IF(OR(NOT(ISNUMBER('Price History'!V95)),NOT(ISNUMBER('Price History'!V94)),'Price History'!V94=0),"",'Price History'!V95/'Price History'!V94-1),"")</f>
        <v>-0.0404933608058607</v>
      </c>
      <c r="W94" s="156" t="n">
        <f aca="false">IFERROR('Price History'!B3+(INDEX('Price History'!B:B,MATCH(9.99E+307,'Returns (Calc)'!$A:$A)+1)-'Price History'!B3)*(ROW()-3)/(MATCH(9.99E+307,'Returns (Calc)'!$A:$A)-3),"")</f>
        <v>361.173544303798</v>
      </c>
      <c r="X94" s="156" t="n">
        <f aca="false">IFERROR('Price History'!C3+(INDEX('Price History'!C:C,MATCH(9.99E+307,'Returns (Calc)'!$A:$A)+1)-'Price History'!C3)*(ROW()-3)/(MATCH(9.99E+307,'Returns (Calc)'!$A:$A)-3),"")</f>
        <v>139.005759493671</v>
      </c>
      <c r="Y94" s="156" t="n">
        <f aca="false">IFERROR('Price History'!D3+(INDEX('Price History'!D:D,MATCH(9.99E+307,'Returns (Calc)'!$A:$A)+1)-'Price History'!D3)*(ROW()-3)/(MATCH(9.99E+307,'Returns (Calc)'!$A:$A)-3),"")</f>
        <v>1322.27772151899</v>
      </c>
      <c r="Z94" s="156" t="n">
        <f aca="false">IFERROR('Price History'!E3+(INDEX('Price History'!E:E,MATCH(9.99E+307,'Returns (Calc)'!$A:$A)+1)-'Price History'!E3)*(ROW()-3)/(MATCH(9.99E+307,'Returns (Calc)'!$A:$A)-3),"")</f>
        <v>239.314810126582</v>
      </c>
      <c r="AA94" s="156" t="n">
        <f aca="false">IFERROR('Price History'!F3+(INDEX('Price History'!F:F,MATCH(9.99E+307,'Returns (Calc)'!$A:$A)+1)-'Price History'!F3)*(ROW()-3)/(MATCH(9.99E+307,'Returns (Calc)'!$A:$A)-3),"")</f>
        <v>173.068101265823</v>
      </c>
      <c r="AB94" s="156" t="n">
        <f aca="false">IFERROR('Price History'!G3+(INDEX('Price History'!G:G,MATCH(9.99E+307,'Returns (Calc)'!$A:$A)+1)-'Price History'!G3)*(ROW()-3)/(MATCH(9.99E+307,'Returns (Calc)'!$A:$A)-3),"")</f>
        <v>137.964810126582</v>
      </c>
      <c r="AC94" s="156" t="n">
        <f aca="false">IFERROR('Price History'!H3+(INDEX('Price History'!H:H,MATCH(9.99E+307,'Returns (Calc)'!$A:$A)+1)-'Price History'!H3)*(ROW()-3)/(MATCH(9.99E+307,'Returns (Calc)'!$A:$A)-3),"")</f>
        <v>648.38835443038</v>
      </c>
      <c r="AD94" s="156" t="n">
        <f aca="false">IFERROR('Price History'!I3+(INDEX('Price History'!I:I,MATCH(9.99E+307,'Returns (Calc)'!$A:$A)+1)-'Price History'!I3)*(ROW()-3)/(MATCH(9.99E+307,'Returns (Calc)'!$A:$A)-3),"")</f>
        <v>153.304050632911</v>
      </c>
      <c r="AE94" s="156" t="n">
        <f aca="false">IFERROR('Price History'!J3+(INDEX('Price History'!J:J,MATCH(9.99E+307,'Returns (Calc)'!$A:$A)+1)-'Price History'!J3)*(ROW()-3)/(MATCH(9.99E+307,'Returns (Calc)'!$A:$A)-3),"")</f>
        <v>121.671455696203</v>
      </c>
      <c r="AF94" s="156" t="n">
        <f aca="false">IFERROR('Price History'!K3+(INDEX('Price History'!K:K,MATCH(9.99E+307,'Returns (Calc)'!$A:$A)+1)-'Price History'!K3)*(ROW()-3)/(MATCH(9.99E+307,'Returns (Calc)'!$A:$A)-3),"")</f>
        <v>115.211139240506</v>
      </c>
      <c r="AG94" s="156" t="n">
        <f aca="false">IFERROR('Price History'!L3+(INDEX('Price History'!L:L,MATCH(9.99E+307,'Returns (Calc)'!$A:$A)+1)-'Price History'!L3)*(ROW()-3)/(MATCH(9.99E+307,'Returns (Calc)'!$A:$A)-3),"")</f>
        <v>308.659683544304</v>
      </c>
      <c r="AH94" s="156" t="n">
        <f aca="false">IFERROR('Price History'!M3+(INDEX('Price History'!M:M,MATCH(9.99E+307,'Returns (Calc)'!$A:$A)+1)-'Price History'!M3)*(ROW()-3)/(MATCH(9.99E+307,'Returns (Calc)'!$A:$A)-3),"")</f>
        <v>161.365316455696</v>
      </c>
      <c r="AI94" s="156" t="n">
        <f aca="false">IFERROR('Price History'!N3+(INDEX('Price History'!N:N,MATCH(9.99E+307,'Returns (Calc)'!$A:$A)+1)-'Price History'!N3)*(ROW()-3)/(MATCH(9.99E+307,'Returns (Calc)'!$A:$A)-3),"")</f>
        <v>438.650189873418</v>
      </c>
      <c r="AJ94" s="156" t="n">
        <f aca="false">IFERROR('Price History'!O3+(INDEX('Price History'!O:O,MATCH(9.99E+307,'Returns (Calc)'!$A:$A)+1)-'Price History'!O3)*(ROW()-3)/(MATCH(9.99E+307,'Returns (Calc)'!$A:$A)-3),"")</f>
        <v>101.066455696203</v>
      </c>
      <c r="AK94" s="156" t="n">
        <f aca="false">IFERROR('Price History'!Q3+(INDEX('Price History'!Q:Q,MATCH(9.99E+307,'Returns (Calc)'!$A:$A)+1)-'Price History'!Q3)*(ROW()-3)/(MATCH(9.99E+307,'Returns (Calc)'!$A:$A)-3),"")</f>
        <v>39.9824050632911</v>
      </c>
      <c r="AL94" s="156" t="n">
        <f aca="false">IFERROR('Price History'!R3+(INDEX('Price History'!R:R,MATCH(9.99E+307,'Returns (Calc)'!$A:$A)+1)-'Price History'!R3)*(ROW()-3)/(MATCH(9.99E+307,'Returns (Calc)'!$A:$A)-3),"")</f>
        <v>49.7772151898734</v>
      </c>
      <c r="AM94" s="156" t="n">
        <f aca="false">IFERROR('Price History'!S3+(INDEX('Price History'!S:S,MATCH(9.99E+307,'Returns (Calc)'!$A:$A)+1)-'Price History'!S3)*(ROW()-3)/(MATCH(9.99E+307,'Returns (Calc)'!$A:$A)-3),"")</f>
        <v>112.690759493671</v>
      </c>
      <c r="AN94" s="156" t="n">
        <f aca="false">IFERROR('Price History'!T3+(INDEX('Price History'!T:T,MATCH(9.99E+307,'Returns (Calc)'!$A:$A)+1)-'Price History'!T3)*(ROW()-3)/(MATCH(9.99E+307,'Returns (Calc)'!$A:$A)-3),"")</f>
        <v>40.5487341772152</v>
      </c>
      <c r="AO94" s="157" t="n">
        <f aca="false">IFERROR('Price History'!V3+(INDEX('Price History'!V:V,MATCH(9.99E+307,'Returns (Calc)'!$A:$A)+1)-'Price History'!V3)*(ROW()-3)/(MATCH(9.99E+307,'Returns (Calc)'!$A:$A)-3),"")</f>
        <v>307.640949367089</v>
      </c>
      <c r="AP94" s="155" t="n">
        <f aca="false">IFERROR(IF(OR(NOT(ISNUMBER('Price History'!W95)),NOT(ISNUMBER('Price History'!W94)),'Price History'!W94=0),"",'Price History'!W95/'Price History'!W94-1),"")</f>
        <v>-0.00039739310125575</v>
      </c>
      <c r="AQ94" s="155" t="str">
        <f aca="false">IFERROR(IF(OR(NOT(ISNUMBER('Price History'!X95)),NOT(ISNUMBER('Price History'!X94)),'Price History'!X94=0),"",'Price History'!X95/'Price History'!X94-1),"")</f>
        <v/>
      </c>
      <c r="AR94" s="155" t="n">
        <f aca="false">IFERROR(IF(OR(NOT(ISNUMBER('Price History'!Y95)),NOT(ISNUMBER('Price History'!Y94)),'Price History'!Y94=0),"",'Price History'!Y95/'Price History'!Y94-1),"")</f>
        <v>-0.00515873015873014</v>
      </c>
      <c r="AS94" s="155" t="n">
        <f aca="false">IFERROR(IF(OR(NOT(ISNUMBER('Price History'!Z95)),NOT(ISNUMBER('Price History'!Z94)),'Price History'!Z94=0),"",'Price History'!Z95/'Price History'!Z94-1),"")</f>
        <v>0.0116991406449418</v>
      </c>
      <c r="AT94" s="155" t="n">
        <f aca="false">IFERROR(IF(OR(NOT(ISNUMBER('Price History'!AA95)),NOT(ISNUMBER('Price History'!AA94)),'Price History'!AA94=0),"",'Price History'!AA95/'Price History'!AA94-1),"")</f>
        <v>0.0159227786486265</v>
      </c>
      <c r="AU94" s="155" t="n">
        <f aca="false">IFERROR(IF(OR(NOT(ISNUMBER('Price History'!AB95)),NOT(ISNUMBER('Price History'!AB94)),'Price History'!AB94=0),"",'Price History'!AB95/'Price History'!AB94-1),"")</f>
        <v>-0.00874181560785714</v>
      </c>
    </row>
    <row r="95" customFormat="false" ht="15" hidden="false" customHeight="true" outlineLevel="0" collapsed="false">
      <c r="A95" s="153" t="n">
        <f aca="false">IF('Price History'!A96="","",'Price History'!A96)</f>
        <v>45835</v>
      </c>
      <c r="B95" s="154" t="n">
        <f aca="false">IFERROR(IF(OR(NOT(ISNUMBER('Price History'!B96)),NOT(ISNUMBER('Price History'!B95)),'Price History'!B95=0),"",'Price History'!B96/'Price History'!B95-1),"")</f>
        <v>0.0236389684813754</v>
      </c>
      <c r="C95" s="154" t="n">
        <f aca="false">IFERROR(IF(OR(NOT(ISNUMBER('Price History'!C96)),NOT(ISNUMBER('Price History'!C95)),'Price History'!C95=0),"",'Price History'!C96/'Price History'!C95-1),"")</f>
        <v>0.152347826086957</v>
      </c>
      <c r="D95" s="154" t="n">
        <f aca="false">IFERROR(IF(OR(NOT(ISNUMBER('Price History'!D96)),NOT(ISNUMBER('Price History'!D95)),'Price History'!D95=0),"",'Price History'!D96/'Price History'!D95-1),"")</f>
        <v>0.0521022302849217</v>
      </c>
      <c r="E95" s="154" t="n">
        <f aca="false">IFERROR(IF(OR(NOT(ISNUMBER('Price History'!E96)),NOT(ISNUMBER('Price History'!E95)),'Price History'!E95=0),"",'Price History'!E96/'Price History'!E95-1),"")</f>
        <v>0.077426126271597</v>
      </c>
      <c r="F95" s="154" t="n">
        <f aca="false">IFERROR(IF(OR(NOT(ISNUMBER('Price History'!F96)),NOT(ISNUMBER('Price History'!F95)),'Price History'!F95=0),"",'Price History'!F96/'Price History'!F95-1),"")</f>
        <v>0.0483749055177627</v>
      </c>
      <c r="G95" s="154" t="n">
        <f aca="false">IFERROR(IF(OR(NOT(ISNUMBER('Price History'!G96)),NOT(ISNUMBER('Price History'!G95)),'Price History'!G95=0),"",'Price History'!G96/'Price History'!G95-1),"")</f>
        <v>0.0469416785206258</v>
      </c>
      <c r="H95" s="154" t="n">
        <f aca="false">IFERROR(IF(OR(NOT(ISNUMBER('Price History'!H96)),NOT(ISNUMBER('Price History'!H95)),'Price History'!H95=0),"",'Price History'!H96/'Price History'!H95-1),"")</f>
        <v>0.00932760158974766</v>
      </c>
      <c r="I95" s="154" t="n">
        <f aca="false">IFERROR(IF(OR(NOT(ISNUMBER('Price History'!I96)),NOT(ISNUMBER('Price History'!I95)),'Price History'!I95=0),"",'Price History'!I96/'Price History'!I95-1),"")</f>
        <v>0.0965853658536586</v>
      </c>
      <c r="J95" s="154" t="n">
        <f aca="false">IFERROR(IF(OR(NOT(ISNUMBER('Price History'!J96)),NOT(ISNUMBER('Price History'!J95)),'Price History'!J95=0),"",'Price History'!J96/'Price History'!J95-1),"")</f>
        <v>-0.000689179875947521</v>
      </c>
      <c r="K95" s="154" t="n">
        <f aca="false">IFERROR(IF(OR(NOT(ISNUMBER('Price History'!K96)),NOT(ISNUMBER('Price History'!K95)),'Price History'!K95=0),"",'Price History'!K96/'Price History'!K95-1),"")</f>
        <v>-0.0477785870356883</v>
      </c>
      <c r="L95" s="154" t="n">
        <f aca="false">IFERROR(IF(OR(NOT(ISNUMBER('Price History'!L96)),NOT(ISNUMBER('Price History'!L95)),'Price History'!L95=0),"",'Price History'!L96/'Price History'!L95-1),"")</f>
        <v>0.0909706764734346</v>
      </c>
      <c r="M95" s="154" t="n">
        <f aca="false">IFERROR(IF(OR(NOT(ISNUMBER('Price History'!M96)),NOT(ISNUMBER('Price History'!M95)),'Price History'!M95=0),"",'Price History'!M96/'Price History'!M95-1),"")</f>
        <v>0.0727318803852002</v>
      </c>
      <c r="N95" s="154" t="n">
        <f aca="false">IFERROR(IF(OR(NOT(ISNUMBER('Price History'!N96)),NOT(ISNUMBER('Price History'!N95)),'Price History'!N95=0),"",'Price History'!N96/'Price History'!N95-1),"")</f>
        <v>0.000975344205774942</v>
      </c>
      <c r="O95" s="154" t="n">
        <f aca="false">IFERROR(IF(OR(NOT(ISNUMBER('Price History'!O96)),NOT(ISNUMBER('Price History'!O95)),'Price History'!O95=0),"",'Price History'!O96/'Price History'!O95-1),"")</f>
        <v>0.0255207141222249</v>
      </c>
      <c r="P95" s="154" t="n">
        <f aca="false">IFERROR(IF(OR(NOT(ISNUMBER('Price History'!P96)),NOT(ISNUMBER('Price History'!P95)),'Price History'!P95=0),"",'Price History'!P96/'Price History'!P95-1),"")</f>
        <v>0.0137875751503005</v>
      </c>
      <c r="Q95" s="154" t="n">
        <f aca="false">IFERROR(IF(OR(NOT(ISNUMBER('Price History'!Q96)),NOT(ISNUMBER('Price History'!Q95)),'Price History'!Q95=0),"",'Price History'!Q96/'Price History'!Q95-1),"")</f>
        <v>0.0124000652635015</v>
      </c>
      <c r="R95" s="154" t="n">
        <f aca="false">IFERROR(IF(OR(NOT(ISNUMBER('Price History'!R96)),NOT(ISNUMBER('Price History'!R95)),'Price History'!R95=0),"",'Price History'!R96/'Price History'!R95-1),"")</f>
        <v>0.0288419198590928</v>
      </c>
      <c r="S95" s="154" t="n">
        <f aca="false">IFERROR(IF(OR(NOT(ISNUMBER('Price History'!S96)),NOT(ISNUMBER('Price History'!S95)),'Price History'!S95=0),"",'Price History'!S96/'Price History'!S95-1),"")</f>
        <v>0.048182506626278</v>
      </c>
      <c r="T95" s="154" t="n">
        <f aca="false">IFERROR(IF(OR(NOT(ISNUMBER('Price History'!T96)),NOT(ISNUMBER('Price History'!T95)),'Price History'!T95=0),"",'Price History'!T96/'Price History'!T95-1),"")</f>
        <v>0.00870827285921627</v>
      </c>
      <c r="U95" s="154" t="n">
        <f aca="false">IFERROR(IF(OR(NOT(ISNUMBER('Price History'!U96)),NOT(ISNUMBER('Price History'!U95)),'Price History'!U95=0),"",'Price History'!U96/'Price History'!U95-1),"")</f>
        <v>-0.00197628458498023</v>
      </c>
      <c r="V95" s="155" t="n">
        <f aca="false">IFERROR(IF(OR(NOT(ISNUMBER('Price History'!V96)),NOT(ISNUMBER('Price History'!V95)),'Price History'!V95=0),"",'Price History'!V96/'Price History'!V95-1),"")</f>
        <v>0.0296758030361777</v>
      </c>
      <c r="W95" s="156" t="n">
        <f aca="false">IFERROR('Price History'!B3+(INDEX('Price History'!B:B,MATCH(9.99E+307,'Returns (Calc)'!$A:$A)+1)-'Price History'!B3)*(ROW()-3)/(MATCH(9.99E+307,'Returns (Calc)'!$A:$A)-3),"")</f>
        <v>359.330506329114</v>
      </c>
      <c r="X95" s="156" t="n">
        <f aca="false">IFERROR('Price History'!C3+(INDEX('Price History'!C:C,MATCH(9.99E+307,'Returns (Calc)'!$A:$A)+1)-'Price History'!C3)*(ROW()-3)/(MATCH(9.99E+307,'Returns (Calc)'!$A:$A)-3),"")</f>
        <v>140.02582278481</v>
      </c>
      <c r="Y95" s="156" t="n">
        <f aca="false">IFERROR('Price History'!D3+(INDEX('Price History'!D:D,MATCH(9.99E+307,'Returns (Calc)'!$A:$A)+1)-'Price History'!D3)*(ROW()-3)/(MATCH(9.99E+307,'Returns (Calc)'!$A:$A)-3),"")</f>
        <v>1330.41253164557</v>
      </c>
      <c r="Z95" s="156" t="n">
        <f aca="false">IFERROR('Price History'!E3+(INDEX('Price History'!E:E,MATCH(9.99E+307,'Returns (Calc)'!$A:$A)+1)-'Price History'!E3)*(ROW()-3)/(MATCH(9.99E+307,'Returns (Calc)'!$A:$A)-3),"")</f>
        <v>241.043544303797</v>
      </c>
      <c r="AA95" s="156" t="n">
        <f aca="false">IFERROR('Price History'!F3+(INDEX('Price History'!F:F,MATCH(9.99E+307,'Returns (Calc)'!$A:$A)+1)-'Price History'!F3)*(ROW()-3)/(MATCH(9.99E+307,'Returns (Calc)'!$A:$A)-3),"")</f>
        <v>174.515443037975</v>
      </c>
      <c r="AB95" s="156" t="n">
        <f aca="false">IFERROR('Price History'!G3+(INDEX('Price History'!G:G,MATCH(9.99E+307,'Returns (Calc)'!$A:$A)+1)-'Price History'!G3)*(ROW()-3)/(MATCH(9.99E+307,'Returns (Calc)'!$A:$A)-3),"")</f>
        <v>138.993544303797</v>
      </c>
      <c r="AC95" s="156" t="n">
        <f aca="false">IFERROR('Price History'!H3+(INDEX('Price History'!H:H,MATCH(9.99E+307,'Returns (Calc)'!$A:$A)+1)-'Price History'!H3)*(ROW()-3)/(MATCH(9.99E+307,'Returns (Calc)'!$A:$A)-3),"")</f>
        <v>654.754050632912</v>
      </c>
      <c r="AD95" s="156" t="n">
        <f aca="false">IFERROR('Price History'!I3+(INDEX('Price History'!I:I,MATCH(9.99E+307,'Returns (Calc)'!$A:$A)+1)-'Price History'!I3)*(ROW()-3)/(MATCH(9.99E+307,'Returns (Calc)'!$A:$A)-3),"")</f>
        <v>154.507721518987</v>
      </c>
      <c r="AE95" s="156" t="n">
        <f aca="false">IFERROR('Price History'!J3+(INDEX('Price History'!J:J,MATCH(9.99E+307,'Returns (Calc)'!$A:$A)+1)-'Price History'!J3)*(ROW()-3)/(MATCH(9.99E+307,'Returns (Calc)'!$A:$A)-3),"")</f>
        <v>121.779493670886</v>
      </c>
      <c r="AF95" s="156" t="n">
        <f aca="false">IFERROR('Price History'!K3+(INDEX('Price History'!K:K,MATCH(9.99E+307,'Returns (Calc)'!$A:$A)+1)-'Price History'!K3)*(ROW()-3)/(MATCH(9.99E+307,'Returns (Calc)'!$A:$A)-3),"")</f>
        <v>116.308734177215</v>
      </c>
      <c r="AG95" s="156" t="n">
        <f aca="false">IFERROR('Price History'!L3+(INDEX('Price History'!L:L,MATCH(9.99E+307,'Returns (Calc)'!$A:$A)+1)-'Price History'!L3)*(ROW()-3)/(MATCH(9.99E+307,'Returns (Calc)'!$A:$A)-3),"")</f>
        <v>311.109240506329</v>
      </c>
      <c r="AH95" s="156" t="n">
        <f aca="false">IFERROR('Price History'!M3+(INDEX('Price History'!M:M,MATCH(9.99E+307,'Returns (Calc)'!$A:$A)+1)-'Price History'!M3)*(ROW()-3)/(MATCH(9.99E+307,'Returns (Calc)'!$A:$A)-3),"")</f>
        <v>162.720759493671</v>
      </c>
      <c r="AI95" s="156" t="n">
        <f aca="false">IFERROR('Price History'!N3+(INDEX('Price History'!N:N,MATCH(9.99E+307,'Returns (Calc)'!$A:$A)+1)-'Price History'!N3)*(ROW()-3)/(MATCH(9.99E+307,'Returns (Calc)'!$A:$A)-3),"")</f>
        <v>439.636455696203</v>
      </c>
      <c r="AJ95" s="156" t="n">
        <f aca="false">IFERROR('Price History'!O3+(INDEX('Price History'!O:O,MATCH(9.99E+307,'Returns (Calc)'!$A:$A)+1)-'Price History'!O3)*(ROW()-3)/(MATCH(9.99E+307,'Returns (Calc)'!$A:$A)-3),"")</f>
        <v>101.349493670886</v>
      </c>
      <c r="AK95" s="156" t="n">
        <f aca="false">IFERROR('Price History'!Q3+(INDEX('Price History'!Q:Q,MATCH(9.99E+307,'Returns (Calc)'!$A:$A)+1)-'Price History'!Q3)*(ROW()-3)/(MATCH(9.99E+307,'Returns (Calc)'!$A:$A)-3),"")</f>
        <v>40.4217721518987</v>
      </c>
      <c r="AL95" s="156" t="n">
        <f aca="false">IFERROR('Price History'!R3+(INDEX('Price History'!R:R,MATCH(9.99E+307,'Returns (Calc)'!$A:$A)+1)-'Price History'!R3)*(ROW()-3)/(MATCH(9.99E+307,'Returns (Calc)'!$A:$A)-3),"")</f>
        <v>49.9453164556962</v>
      </c>
      <c r="AM95" s="156" t="n">
        <f aca="false">IFERROR('Price History'!S3+(INDEX('Price History'!S:S,MATCH(9.99E+307,'Returns (Calc)'!$A:$A)+1)-'Price History'!S3)*(ROW()-3)/(MATCH(9.99E+307,'Returns (Calc)'!$A:$A)-3),"")</f>
        <v>113.29582278481</v>
      </c>
      <c r="AN95" s="156" t="n">
        <f aca="false">IFERROR('Price History'!T3+(INDEX('Price History'!T:T,MATCH(9.99E+307,'Returns (Calc)'!$A:$A)+1)-'Price History'!T3)*(ROW()-3)/(MATCH(9.99E+307,'Returns (Calc)'!$A:$A)-3),"")</f>
        <v>40.7169620253165</v>
      </c>
      <c r="AO95" s="157" t="n">
        <f aca="false">IFERROR('Price History'!V3+(INDEX('Price History'!V:V,MATCH(9.99E+307,'Returns (Calc)'!$A:$A)+1)-'Price History'!V3)*(ROW()-3)/(MATCH(9.99E+307,'Returns (Calc)'!$A:$A)-3),"")</f>
        <v>308.432278481013</v>
      </c>
      <c r="AP95" s="155" t="n">
        <f aca="false">IFERROR(IF(OR(NOT(ISNUMBER('Price History'!W96)),NOT(ISNUMBER('Price History'!W95)),'Price History'!W95=0),"",'Price History'!W96/'Price History'!W95-1),"")</f>
        <v>0.0223423709946728</v>
      </c>
      <c r="AQ95" s="155" t="str">
        <f aca="false">IFERROR(IF(OR(NOT(ISNUMBER('Price History'!X96)),NOT(ISNUMBER('Price History'!X95)),'Price History'!X95=0),"",'Price History'!X96/'Price History'!X95-1),"")</f>
        <v/>
      </c>
      <c r="AR95" s="155" t="n">
        <f aca="false">IFERROR(IF(OR(NOT(ISNUMBER('Price History'!Y96)),NOT(ISNUMBER('Price History'!Y95)),'Price History'!Y95=0),"",'Price History'!Y96/'Price History'!Y95-1),"")</f>
        <v>0.0163542082169925</v>
      </c>
      <c r="AS95" s="155" t="n">
        <f aca="false">IFERROR(IF(OR(NOT(ISNUMBER('Price History'!Z96)),NOT(ISNUMBER('Price History'!Z95)),'Price History'!Z95=0),"",'Price History'!Z96/'Price History'!Z95-1),"")</f>
        <v>0.063243766031706</v>
      </c>
      <c r="AT95" s="155" t="n">
        <f aca="false">IFERROR(IF(OR(NOT(ISNUMBER('Price History'!AA96)),NOT(ISNUMBER('Price History'!AA95)),'Price History'!AA95=0),"",'Price History'!AA96/'Price History'!AA95-1),"")</f>
        <v>0.074468085106383</v>
      </c>
      <c r="AU95" s="155" t="n">
        <f aca="false">IFERROR(IF(OR(NOT(ISNUMBER('Price History'!AB96)),NOT(ISNUMBER('Price History'!AB95)),'Price History'!AB95=0),"",'Price History'!AB96/'Price History'!AB95-1),"")</f>
        <v>0.0118894601542419</v>
      </c>
    </row>
    <row r="96" customFormat="false" ht="15" hidden="false" customHeight="true" outlineLevel="0" collapsed="false">
      <c r="A96" s="153" t="n">
        <f aca="false">IF('Price History'!A97="","",'Price History'!A97)</f>
        <v>45842</v>
      </c>
      <c r="B96" s="154" t="n">
        <f aca="false">IFERROR(IF(OR(NOT(ISNUMBER('Price History'!B97)),NOT(ISNUMBER('Price History'!B96)),'Price History'!B96=0),"",'Price History'!B97/'Price History'!B96-1),"")</f>
        <v>-0.0168986341134696</v>
      </c>
      <c r="C96" s="154" t="n">
        <f aca="false">IFERROR(IF(OR(NOT(ISNUMBER('Price History'!C97)),NOT(ISNUMBER('Price History'!C96)),'Price History'!C96=0),"",'Price History'!C97/'Price History'!C96-1),"")</f>
        <v>0.0314921018211087</v>
      </c>
      <c r="D96" s="154" t="n">
        <f aca="false">IFERROR(IF(OR(NOT(ISNUMBER('Price History'!D97)),NOT(ISNUMBER('Price History'!D96)),'Price History'!D96=0),"",'Price History'!D97/'Price History'!D96-1),"")</f>
        <v>-0.00182569668078203</v>
      </c>
      <c r="E96" s="154" t="n">
        <f aca="false">IFERROR(IF(OR(NOT(ISNUMBER('Price History'!E97)),NOT(ISNUMBER('Price History'!E96)),'Price History'!E96=0),"",'Price History'!E97/'Price History'!E96-1),"")</f>
        <v>0.0216560509554142</v>
      </c>
      <c r="F96" s="154" t="n">
        <f aca="false">IFERROR(IF(OR(NOT(ISNUMBER('Price History'!F97)),NOT(ISNUMBER('Price History'!F96)),'Price History'!F96=0),"",'Price History'!F97/'Price History'!F96-1),"")</f>
        <v>0.0295602018745496</v>
      </c>
      <c r="G96" s="154" t="n">
        <f aca="false">IFERROR(IF(OR(NOT(ISNUMBER('Price History'!G97)),NOT(ISNUMBER('Price History'!G96)),'Price History'!G96=0),"",'Price History'!G97/'Price History'!G96-1),"")</f>
        <v>0.0389492753623191</v>
      </c>
      <c r="H96" s="154" t="n">
        <f aca="false">IFERROR(IF(OR(NOT(ISNUMBER('Price History'!H97)),NOT(ISNUMBER('Price History'!H96)),'Price History'!H96=0),"",'Price History'!H97/'Price History'!H96-1),"")</f>
        <v>-0.01976856316297</v>
      </c>
      <c r="I96" s="154" t="n">
        <f aca="false">IFERROR(IF(OR(NOT(ISNUMBER('Price History'!I97)),NOT(ISNUMBER('Price History'!I96)),'Price History'!I96=0),"",'Price History'!I97/'Price History'!I96-1),"")</f>
        <v>0.0101042196237924</v>
      </c>
      <c r="J96" s="154" t="n">
        <f aca="false">IFERROR(IF(OR(NOT(ISNUMBER('Price History'!J97)),NOT(ISNUMBER('Price History'!J96)),'Price History'!J96=0),"",'Price History'!J97/'Price History'!J96-1),"")</f>
        <v>0.0227586206896553</v>
      </c>
      <c r="K96" s="154" t="n">
        <f aca="false">IFERROR(IF(OR(NOT(ISNUMBER('Price History'!K97)),NOT(ISNUMBER('Price History'!K96)),'Price History'!K96=0),"",'Price History'!K97/'Price History'!K96-1),"")</f>
        <v>0.0276885421447148</v>
      </c>
      <c r="L96" s="154" t="n">
        <f aca="false">IFERROR(IF(OR(NOT(ISNUMBER('Price History'!L97)),NOT(ISNUMBER('Price History'!L96)),'Price History'!L96=0),"",'Price History'!L97/'Price History'!L96-1),"")</f>
        <v>0.0272775658653419</v>
      </c>
      <c r="M96" s="154" t="n">
        <f aca="false">IFERROR(IF(OR(NOT(ISNUMBER('Price History'!M97)),NOT(ISNUMBER('Price History'!M96)),'Price History'!M96=0),"",'Price History'!M97/'Price History'!M96-1),"")</f>
        <v>0.00535475234270422</v>
      </c>
      <c r="N96" s="154" t="n">
        <f aca="false">IFERROR(IF(OR(NOT(ISNUMBER('Price History'!N97)),NOT(ISNUMBER('Price History'!N96)),'Price History'!N96=0),"",'Price History'!N97/'Price History'!N96-1),"")</f>
        <v>0.0415137094946747</v>
      </c>
      <c r="O96" s="154" t="n">
        <f aca="false">IFERROR(IF(OR(NOT(ISNUMBER('Price History'!O97)),NOT(ISNUMBER('Price History'!O96)),'Price History'!O96=0),"",'Price History'!O97/'Price History'!O96-1),"")</f>
        <v>0.0416248186586319</v>
      </c>
      <c r="P96" s="154" t="n">
        <f aca="false">IFERROR(IF(OR(NOT(ISNUMBER('Price History'!P97)),NOT(ISNUMBER('Price History'!P96)),'Price History'!P96=0),"",'Price History'!P97/'Price History'!P96-1),"")</f>
        <v>0.0341582984106903</v>
      </c>
      <c r="Q96" s="154" t="n">
        <f aca="false">IFERROR(IF(OR(NOT(ISNUMBER('Price History'!Q97)),NOT(ISNUMBER('Price History'!Q96)),'Price History'!Q96=0),"",'Price History'!Q97/'Price History'!Q96-1),"")</f>
        <v>0.00660757453666405</v>
      </c>
      <c r="R96" s="154" t="n">
        <f aca="false">IFERROR(IF(OR(NOT(ISNUMBER('Price History'!R97)),NOT(ISNUMBER('Price History'!R96)),'Price History'!R96=0),"",'Price History'!R97/'Price History'!R96-1),"")</f>
        <v>0.00706184463941795</v>
      </c>
      <c r="S96" s="154" t="n">
        <f aca="false">IFERROR(IF(OR(NOT(ISNUMBER('Price History'!S97)),NOT(ISNUMBER('Price History'!S96)),'Price History'!S96=0),"",'Price History'!S97/'Price History'!S96-1),"")</f>
        <v>0.00596044432403131</v>
      </c>
      <c r="T96" s="154" t="n">
        <f aca="false">IFERROR(IF(OR(NOT(ISNUMBER('Price History'!T97)),NOT(ISNUMBER('Price History'!T96)),'Price History'!T96=0),"",'Price History'!T97/'Price History'!T96-1),"")</f>
        <v>0.0123741007194245</v>
      </c>
      <c r="U96" s="154" t="n">
        <f aca="false">IFERROR(IF(OR(NOT(ISNUMBER('Price History'!U97)),NOT(ISNUMBER('Price History'!U96)),'Price History'!U96=0),"",'Price History'!U97/'Price History'!U96-1),"")</f>
        <v>0.0364356435643565</v>
      </c>
      <c r="V96" s="155" t="n">
        <f aca="false">IFERROR(IF(OR(NOT(ISNUMBER('Price History'!V97)),NOT(ISNUMBER('Price History'!V96)),'Price History'!V96=0),"",'Price History'!V97/'Price History'!V96-1),"")</f>
        <v>0.0293998377939984</v>
      </c>
      <c r="W96" s="156" t="n">
        <f aca="false">IFERROR('Price History'!B3+(INDEX('Price History'!B:B,MATCH(9.99E+307,'Returns (Calc)'!$A:$A)+1)-'Price History'!B3)*(ROW()-3)/(MATCH(9.99E+307,'Returns (Calc)'!$A:$A)-3),"")</f>
        <v>357.48746835443</v>
      </c>
      <c r="X96" s="156" t="n">
        <f aca="false">IFERROR('Price History'!C3+(INDEX('Price History'!C:C,MATCH(9.99E+307,'Returns (Calc)'!$A:$A)+1)-'Price History'!C3)*(ROW()-3)/(MATCH(9.99E+307,'Returns (Calc)'!$A:$A)-3),"")</f>
        <v>141.045886075949</v>
      </c>
      <c r="Y96" s="156" t="n">
        <f aca="false">IFERROR('Price History'!D3+(INDEX('Price History'!D:D,MATCH(9.99E+307,'Returns (Calc)'!$A:$A)+1)-'Price History'!D3)*(ROW()-3)/(MATCH(9.99E+307,'Returns (Calc)'!$A:$A)-3),"")</f>
        <v>1338.54734177215</v>
      </c>
      <c r="Z96" s="156" t="n">
        <f aca="false">IFERROR('Price History'!E3+(INDEX('Price History'!E:E,MATCH(9.99E+307,'Returns (Calc)'!$A:$A)+1)-'Price History'!E3)*(ROW()-3)/(MATCH(9.99E+307,'Returns (Calc)'!$A:$A)-3),"")</f>
        <v>242.772278481013</v>
      </c>
      <c r="AA96" s="156" t="n">
        <f aca="false">IFERROR('Price History'!F3+(INDEX('Price History'!F:F,MATCH(9.99E+307,'Returns (Calc)'!$A:$A)+1)-'Price History'!F3)*(ROW()-3)/(MATCH(9.99E+307,'Returns (Calc)'!$A:$A)-3),"")</f>
        <v>175.962784810127</v>
      </c>
      <c r="AB96" s="156" t="n">
        <f aca="false">IFERROR('Price History'!G3+(INDEX('Price History'!G:G,MATCH(9.99E+307,'Returns (Calc)'!$A:$A)+1)-'Price History'!G3)*(ROW()-3)/(MATCH(9.99E+307,'Returns (Calc)'!$A:$A)-3),"")</f>
        <v>140.022278481013</v>
      </c>
      <c r="AC96" s="156" t="n">
        <f aca="false">IFERROR('Price History'!H3+(INDEX('Price History'!H:H,MATCH(9.99E+307,'Returns (Calc)'!$A:$A)+1)-'Price History'!H3)*(ROW()-3)/(MATCH(9.99E+307,'Returns (Calc)'!$A:$A)-3),"")</f>
        <v>661.119746835443</v>
      </c>
      <c r="AD96" s="156" t="n">
        <f aca="false">IFERROR('Price History'!I3+(INDEX('Price History'!I:I,MATCH(9.99E+307,'Returns (Calc)'!$A:$A)+1)-'Price History'!I3)*(ROW()-3)/(MATCH(9.99E+307,'Returns (Calc)'!$A:$A)-3),"")</f>
        <v>155.711392405063</v>
      </c>
      <c r="AE96" s="156" t="n">
        <f aca="false">IFERROR('Price History'!J3+(INDEX('Price History'!J:J,MATCH(9.99E+307,'Returns (Calc)'!$A:$A)+1)-'Price History'!J3)*(ROW()-3)/(MATCH(9.99E+307,'Returns (Calc)'!$A:$A)-3),"")</f>
        <v>121.88753164557</v>
      </c>
      <c r="AF96" s="156" t="n">
        <f aca="false">IFERROR('Price History'!K3+(INDEX('Price History'!K:K,MATCH(9.99E+307,'Returns (Calc)'!$A:$A)+1)-'Price History'!K3)*(ROW()-3)/(MATCH(9.99E+307,'Returns (Calc)'!$A:$A)-3),"")</f>
        <v>117.406329113924</v>
      </c>
      <c r="AG96" s="156" t="n">
        <f aca="false">IFERROR('Price History'!L3+(INDEX('Price History'!L:L,MATCH(9.99E+307,'Returns (Calc)'!$A:$A)+1)-'Price History'!L3)*(ROW()-3)/(MATCH(9.99E+307,'Returns (Calc)'!$A:$A)-3),"")</f>
        <v>313.558797468354</v>
      </c>
      <c r="AH96" s="156" t="n">
        <f aca="false">IFERROR('Price History'!M3+(INDEX('Price History'!M:M,MATCH(9.99E+307,'Returns (Calc)'!$A:$A)+1)-'Price History'!M3)*(ROW()-3)/(MATCH(9.99E+307,'Returns (Calc)'!$A:$A)-3),"")</f>
        <v>164.076202531646</v>
      </c>
      <c r="AI96" s="156" t="n">
        <f aca="false">IFERROR('Price History'!N3+(INDEX('Price History'!N:N,MATCH(9.99E+307,'Returns (Calc)'!$A:$A)+1)-'Price History'!N3)*(ROW()-3)/(MATCH(9.99E+307,'Returns (Calc)'!$A:$A)-3),"")</f>
        <v>440.622721518987</v>
      </c>
      <c r="AJ96" s="156" t="n">
        <f aca="false">IFERROR('Price History'!O3+(INDEX('Price History'!O:O,MATCH(9.99E+307,'Returns (Calc)'!$A:$A)+1)-'Price History'!O3)*(ROW()-3)/(MATCH(9.99E+307,'Returns (Calc)'!$A:$A)-3),"")</f>
        <v>101.63253164557</v>
      </c>
      <c r="AK96" s="156" t="n">
        <f aca="false">IFERROR('Price History'!Q3+(INDEX('Price History'!Q:Q,MATCH(9.99E+307,'Returns (Calc)'!$A:$A)+1)-'Price History'!Q3)*(ROW()-3)/(MATCH(9.99E+307,'Returns (Calc)'!$A:$A)-3),"")</f>
        <v>40.8611392405063</v>
      </c>
      <c r="AL96" s="156" t="n">
        <f aca="false">IFERROR('Price History'!R3+(INDEX('Price History'!R:R,MATCH(9.99E+307,'Returns (Calc)'!$A:$A)+1)-'Price History'!R3)*(ROW()-3)/(MATCH(9.99E+307,'Returns (Calc)'!$A:$A)-3),"")</f>
        <v>50.113417721519</v>
      </c>
      <c r="AM96" s="156" t="n">
        <f aca="false">IFERROR('Price History'!S3+(INDEX('Price History'!S:S,MATCH(9.99E+307,'Returns (Calc)'!$A:$A)+1)-'Price History'!S3)*(ROW()-3)/(MATCH(9.99E+307,'Returns (Calc)'!$A:$A)-3),"")</f>
        <v>113.900886075949</v>
      </c>
      <c r="AN96" s="156" t="n">
        <f aca="false">IFERROR('Price History'!T3+(INDEX('Price History'!T:T,MATCH(9.99E+307,'Returns (Calc)'!$A:$A)+1)-'Price History'!T3)*(ROW()-3)/(MATCH(9.99E+307,'Returns (Calc)'!$A:$A)-3),"")</f>
        <v>40.8851898734177</v>
      </c>
      <c r="AO96" s="157" t="n">
        <f aca="false">IFERROR('Price History'!V3+(INDEX('Price History'!V:V,MATCH(9.99E+307,'Returns (Calc)'!$A:$A)+1)-'Price History'!V3)*(ROW()-3)/(MATCH(9.99E+307,'Returns (Calc)'!$A:$A)-3),"")</f>
        <v>309.223607594937</v>
      </c>
      <c r="AP96" s="155" t="n">
        <f aca="false">IFERROR(IF(OR(NOT(ISNUMBER('Price History'!W97)),NOT(ISNUMBER('Price History'!W96)),'Price History'!W96=0),"",'Price History'!W97/'Price History'!W96-1),"")</f>
        <v>0.0248872297402394</v>
      </c>
      <c r="AQ96" s="155" t="str">
        <f aca="false">IFERROR(IF(OR(NOT(ISNUMBER('Price History'!X97)),NOT(ISNUMBER('Price History'!X96)),'Price History'!X96=0),"",'Price History'!X97/'Price History'!X96-1),"")</f>
        <v/>
      </c>
      <c r="AR96" s="155" t="n">
        <f aca="false">IFERROR(IF(OR(NOT(ISNUMBER('Price History'!Y97)),NOT(ISNUMBER('Price History'!Y96)),'Price History'!Y96=0),"",'Price History'!Y97/'Price History'!Y96-1),"")</f>
        <v>0.0123626373626373</v>
      </c>
      <c r="AS96" s="155" t="n">
        <f aca="false">IFERROR(IF(OR(NOT(ISNUMBER('Price History'!Z97)),NOT(ISNUMBER('Price History'!Z96)),'Price History'!Z96=0),"",'Price History'!Z97/'Price History'!Z96-1),"")</f>
        <v>-0.0299782479731066</v>
      </c>
      <c r="AT96" s="155" t="n">
        <f aca="false">IFERROR(IF(OR(NOT(ISNUMBER('Price History'!AA97)),NOT(ISNUMBER('Price History'!AA96)),'Price History'!AA96=0),"",'Price History'!AA97/'Price History'!AA96-1),"")</f>
        <v>-0.0195752399667448</v>
      </c>
      <c r="AU96" s="155" t="n">
        <f aca="false">IFERROR(IF(OR(NOT(ISNUMBER('Price History'!AB97)),NOT(ISNUMBER('Price History'!AB96)),'Price History'!AB96=0),"",'Price History'!AB97/'Price History'!AB96-1),"")</f>
        <v>0.00310504216506113</v>
      </c>
    </row>
    <row r="97" customFormat="false" ht="15" hidden="false" customHeight="true" outlineLevel="0" collapsed="false">
      <c r="A97" s="153" t="n">
        <f aca="false">IF('Price History'!A98="","",'Price History'!A98)</f>
        <v>45849</v>
      </c>
      <c r="B97" s="154" t="n">
        <f aca="false">IFERROR(IF(OR(NOT(ISNUMBER('Price History'!B98)),NOT(ISNUMBER('Price History'!B97)),'Price History'!B97=0),"",'Price History'!B98/'Price History'!B97-1),"")</f>
        <v>-0.0420764018876381</v>
      </c>
      <c r="C97" s="154" t="n">
        <f aca="false">IFERROR(IF(OR(NOT(ISNUMBER('Price History'!C98)),NOT(ISNUMBER('Price History'!C97)),'Price History'!C97=0),"",'Price History'!C98/'Price History'!C97-1),"")</f>
        <v>0.0590128755364807</v>
      </c>
      <c r="D97" s="154" t="n">
        <f aca="false">IFERROR(IF(OR(NOT(ISNUMBER('Price History'!D98)),NOT(ISNUMBER('Price History'!D97)),'Price History'!D97=0),"",'Price History'!D98/'Price History'!D97-1),"")</f>
        <v>0.00936110758287811</v>
      </c>
      <c r="E97" s="154" t="n">
        <f aca="false">IFERROR(IF(OR(NOT(ISNUMBER('Price History'!E98)),NOT(ISNUMBER('Price History'!E97)),'Price History'!E97=0),"",'Price History'!E98/'Price History'!E97-1),"")</f>
        <v>-0.0028971688425995</v>
      </c>
      <c r="F97" s="154" t="n">
        <f aca="false">IFERROR(IF(OR(NOT(ISNUMBER('Price History'!F98)),NOT(ISNUMBER('Price History'!F97)),'Price History'!F97=0),"",'Price History'!F98/'Price History'!F97-1),"")</f>
        <v>-0.0693277310924371</v>
      </c>
      <c r="G97" s="154" t="n">
        <f aca="false">IFERROR(IF(OR(NOT(ISNUMBER('Price History'!G98)),NOT(ISNUMBER('Price History'!G97)),'Price History'!G97=0),"",'Price History'!G98/'Price History'!G97-1),"")</f>
        <v>0</v>
      </c>
      <c r="H97" s="154" t="n">
        <f aca="false">IFERROR(IF(OR(NOT(ISNUMBER('Price History'!H98)),NOT(ISNUMBER('Price History'!H97)),'Price History'!H97=0),"",'Price History'!H98/'Price History'!H97-1),"")</f>
        <v>0.0192654533530086</v>
      </c>
      <c r="I97" s="154" t="n">
        <f aca="false">IFERROR(IF(OR(NOT(ISNUMBER('Price History'!I98)),NOT(ISNUMBER('Price History'!I97)),'Price History'!I97=0),"",'Price History'!I98/'Price History'!I97-1),"")</f>
        <v>0.0350424661843349</v>
      </c>
      <c r="J97" s="154" t="n">
        <f aca="false">IFERROR(IF(OR(NOT(ISNUMBER('Price History'!J98)),NOT(ISNUMBER('Price History'!J97)),'Price History'!J97=0),"",'Price History'!J98/'Price History'!J97-1),"")</f>
        <v>0.0105962816684326</v>
      </c>
      <c r="K97" s="154" t="n">
        <f aca="false">IFERROR(IF(OR(NOT(ISNUMBER('Price History'!K98)),NOT(ISNUMBER('Price History'!K97)),'Price History'!K97=0),"",'Price History'!K98/'Price History'!K97-1),"")</f>
        <v>0.0576064304852633</v>
      </c>
      <c r="L97" s="154" t="n">
        <f aca="false">IFERROR(IF(OR(NOT(ISNUMBER('Price History'!L98)),NOT(ISNUMBER('Price History'!L97)),'Price History'!L97=0),"",'Price History'!L98/'Price History'!L97-1),"")</f>
        <v>-0.0187383964422952</v>
      </c>
      <c r="M97" s="154" t="n">
        <f aca="false">IFERROR(IF(OR(NOT(ISNUMBER('Price History'!M98)),NOT(ISNUMBER('Price History'!M97)),'Price History'!M97=0),"",'Price History'!M98/'Price History'!M97-1),"")</f>
        <v>-0.0355604292316128</v>
      </c>
      <c r="N97" s="154" t="n">
        <f aca="false">IFERROR(IF(OR(NOT(ISNUMBER('Price History'!N98)),NOT(ISNUMBER('Price History'!N97)),'Price History'!N97=0),"",'Price History'!N98/'Price History'!N97-1),"")</f>
        <v>0.0200818067098909</v>
      </c>
      <c r="O97" s="154" t="n">
        <f aca="false">IFERROR(IF(OR(NOT(ISNUMBER('Price History'!O98)),NOT(ISNUMBER('Price History'!O97)),'Price History'!O97=0),"",'Price History'!O98/'Price History'!O97-1),"")</f>
        <v>-0.00128562245553898</v>
      </c>
      <c r="P97" s="154" t="n">
        <f aca="false">IFERROR(IF(OR(NOT(ISNUMBER('Price History'!P98)),NOT(ISNUMBER('Price History'!P97)),'Price History'!P97=0),"",'Price History'!P98/'Price History'!P97-1),"")</f>
        <v>-0.00336417157275015</v>
      </c>
      <c r="Q97" s="154" t="n">
        <f aca="false">IFERROR(IF(OR(NOT(ISNUMBER('Price History'!Q98)),NOT(ISNUMBER('Price History'!Q97)),'Price History'!Q97=0),"",'Price History'!Q98/'Price History'!Q97-1),"")</f>
        <v>0.00160102465577983</v>
      </c>
      <c r="R97" s="154" t="n">
        <f aca="false">IFERROR(IF(OR(NOT(ISNUMBER('Price History'!R98)),NOT(ISNUMBER('Price History'!R97)),'Price History'!R97=0),"",'Price History'!R98/'Price History'!R97-1),"")</f>
        <v>0.00361240968975762</v>
      </c>
      <c r="S97" s="154" t="n">
        <f aca="false">IFERROR(IF(OR(NOT(ISNUMBER('Price History'!S98)),NOT(ISNUMBER('Price History'!S97)),'Price History'!S97=0),"",'Price History'!S98/'Price History'!S97-1),"")</f>
        <v>-0.00305233863003862</v>
      </c>
      <c r="T97" s="154" t="n">
        <f aca="false">IFERROR(IF(OR(NOT(ISNUMBER('Price History'!T98)),NOT(ISNUMBER('Price History'!T97)),'Price History'!T97=0),"",'Price History'!T98/'Price History'!T97-1),"")</f>
        <v>0.00255827174530987</v>
      </c>
      <c r="U97" s="154" t="n">
        <f aca="false">IFERROR(IF(OR(NOT(ISNUMBER('Price History'!U98)),NOT(ISNUMBER('Price History'!U97)),'Price History'!U97=0),"",'Price History'!U98/'Price History'!U97-1),"")</f>
        <v>-0.000764233855559904</v>
      </c>
      <c r="V97" s="155" t="n">
        <f aca="false">IFERROR(IF(OR(NOT(ISNUMBER('Price History'!V98)),NOT(ISNUMBER('Price History'!V97)),'Price History'!V97=0),"",'Price History'!V98/'Price History'!V97-1),"")</f>
        <v>-0.0304735642533555</v>
      </c>
      <c r="W97" s="156" t="n">
        <f aca="false">IFERROR('Price History'!B3+(INDEX('Price History'!B:B,MATCH(9.99E+307,'Returns (Calc)'!$A:$A)+1)-'Price History'!B3)*(ROW()-3)/(MATCH(9.99E+307,'Returns (Calc)'!$A:$A)-3),"")</f>
        <v>355.644430379747</v>
      </c>
      <c r="X97" s="156" t="n">
        <f aca="false">IFERROR('Price History'!C3+(INDEX('Price History'!C:C,MATCH(9.99E+307,'Returns (Calc)'!$A:$A)+1)-'Price History'!C3)*(ROW()-3)/(MATCH(9.99E+307,'Returns (Calc)'!$A:$A)-3),"")</f>
        <v>142.065949367089</v>
      </c>
      <c r="Y97" s="156" t="n">
        <f aca="false">IFERROR('Price History'!D3+(INDEX('Price History'!D:D,MATCH(9.99E+307,'Returns (Calc)'!$A:$A)+1)-'Price History'!D3)*(ROW()-3)/(MATCH(9.99E+307,'Returns (Calc)'!$A:$A)-3),"")</f>
        <v>1346.68215189873</v>
      </c>
      <c r="Z97" s="156" t="n">
        <f aca="false">IFERROR('Price History'!E3+(INDEX('Price History'!E:E,MATCH(9.99E+307,'Returns (Calc)'!$A:$A)+1)-'Price History'!E3)*(ROW()-3)/(MATCH(9.99E+307,'Returns (Calc)'!$A:$A)-3),"")</f>
        <v>244.501012658228</v>
      </c>
      <c r="AA97" s="156" t="n">
        <f aca="false">IFERROR('Price History'!F3+(INDEX('Price History'!F:F,MATCH(9.99E+307,'Returns (Calc)'!$A:$A)+1)-'Price History'!F3)*(ROW()-3)/(MATCH(9.99E+307,'Returns (Calc)'!$A:$A)-3),"")</f>
        <v>177.410126582279</v>
      </c>
      <c r="AB97" s="156" t="n">
        <f aca="false">IFERROR('Price History'!G3+(INDEX('Price History'!G:G,MATCH(9.99E+307,'Returns (Calc)'!$A:$A)+1)-'Price History'!G3)*(ROW()-3)/(MATCH(9.99E+307,'Returns (Calc)'!$A:$A)-3),"")</f>
        <v>141.051012658228</v>
      </c>
      <c r="AC97" s="156" t="n">
        <f aca="false">IFERROR('Price History'!H3+(INDEX('Price History'!H:H,MATCH(9.99E+307,'Returns (Calc)'!$A:$A)+1)-'Price History'!H3)*(ROW()-3)/(MATCH(9.99E+307,'Returns (Calc)'!$A:$A)-3),"")</f>
        <v>667.485443037975</v>
      </c>
      <c r="AD97" s="156" t="n">
        <f aca="false">IFERROR('Price History'!I3+(INDEX('Price History'!I:I,MATCH(9.99E+307,'Returns (Calc)'!$A:$A)+1)-'Price History'!I3)*(ROW()-3)/(MATCH(9.99E+307,'Returns (Calc)'!$A:$A)-3),"")</f>
        <v>156.915063291139</v>
      </c>
      <c r="AE97" s="156" t="n">
        <f aca="false">IFERROR('Price History'!J3+(INDEX('Price History'!J:J,MATCH(9.99E+307,'Returns (Calc)'!$A:$A)+1)-'Price History'!J3)*(ROW()-3)/(MATCH(9.99E+307,'Returns (Calc)'!$A:$A)-3),"")</f>
        <v>121.995569620253</v>
      </c>
      <c r="AF97" s="156" t="n">
        <f aca="false">IFERROR('Price History'!K3+(INDEX('Price History'!K:K,MATCH(9.99E+307,'Returns (Calc)'!$A:$A)+1)-'Price History'!K3)*(ROW()-3)/(MATCH(9.99E+307,'Returns (Calc)'!$A:$A)-3),"")</f>
        <v>118.503924050633</v>
      </c>
      <c r="AG97" s="156" t="n">
        <f aca="false">IFERROR('Price History'!L3+(INDEX('Price History'!L:L,MATCH(9.99E+307,'Returns (Calc)'!$A:$A)+1)-'Price History'!L3)*(ROW()-3)/(MATCH(9.99E+307,'Returns (Calc)'!$A:$A)-3),"")</f>
        <v>316.00835443038</v>
      </c>
      <c r="AH97" s="156" t="n">
        <f aca="false">IFERROR('Price History'!M3+(INDEX('Price History'!M:M,MATCH(9.99E+307,'Returns (Calc)'!$A:$A)+1)-'Price History'!M3)*(ROW()-3)/(MATCH(9.99E+307,'Returns (Calc)'!$A:$A)-3),"")</f>
        <v>165.43164556962</v>
      </c>
      <c r="AI97" s="156" t="n">
        <f aca="false">IFERROR('Price History'!N3+(INDEX('Price History'!N:N,MATCH(9.99E+307,'Returns (Calc)'!$A:$A)+1)-'Price History'!N3)*(ROW()-3)/(MATCH(9.99E+307,'Returns (Calc)'!$A:$A)-3),"")</f>
        <v>441.608987341772</v>
      </c>
      <c r="AJ97" s="156" t="n">
        <f aca="false">IFERROR('Price History'!O3+(INDEX('Price History'!O:O,MATCH(9.99E+307,'Returns (Calc)'!$A:$A)+1)-'Price History'!O3)*(ROW()-3)/(MATCH(9.99E+307,'Returns (Calc)'!$A:$A)-3),"")</f>
        <v>101.915569620253</v>
      </c>
      <c r="AK97" s="156" t="n">
        <f aca="false">IFERROR('Price History'!Q3+(INDEX('Price History'!Q:Q,MATCH(9.99E+307,'Returns (Calc)'!$A:$A)+1)-'Price History'!Q3)*(ROW()-3)/(MATCH(9.99E+307,'Returns (Calc)'!$A:$A)-3),"")</f>
        <v>41.3005063291139</v>
      </c>
      <c r="AL97" s="156" t="n">
        <f aca="false">IFERROR('Price History'!R3+(INDEX('Price History'!R:R,MATCH(9.99E+307,'Returns (Calc)'!$A:$A)+1)-'Price History'!R3)*(ROW()-3)/(MATCH(9.99E+307,'Returns (Calc)'!$A:$A)-3),"")</f>
        <v>50.2815189873418</v>
      </c>
      <c r="AM97" s="156" t="n">
        <f aca="false">IFERROR('Price History'!S3+(INDEX('Price History'!S:S,MATCH(9.99E+307,'Returns (Calc)'!$A:$A)+1)-'Price History'!S3)*(ROW()-3)/(MATCH(9.99E+307,'Returns (Calc)'!$A:$A)-3),"")</f>
        <v>114.505949367089</v>
      </c>
      <c r="AN97" s="156" t="n">
        <f aca="false">IFERROR('Price History'!T3+(INDEX('Price History'!T:T,MATCH(9.99E+307,'Returns (Calc)'!$A:$A)+1)-'Price History'!T3)*(ROW()-3)/(MATCH(9.99E+307,'Returns (Calc)'!$A:$A)-3),"")</f>
        <v>41.053417721519</v>
      </c>
      <c r="AO97" s="157" t="n">
        <f aca="false">IFERROR('Price History'!V3+(INDEX('Price History'!V:V,MATCH(9.99E+307,'Returns (Calc)'!$A:$A)+1)-'Price History'!V3)*(ROW()-3)/(MATCH(9.99E+307,'Returns (Calc)'!$A:$A)-3),"")</f>
        <v>310.014936708861</v>
      </c>
      <c r="AP97" s="155" t="n">
        <f aca="false">IFERROR(IF(OR(NOT(ISNUMBER('Price History'!W98)),NOT(ISNUMBER('Price History'!W97)),'Price History'!W97=0),"",'Price History'!W98/'Price History'!W97-1),"")</f>
        <v>-0.00675368037638502</v>
      </c>
      <c r="AQ97" s="155" t="str">
        <f aca="false">IFERROR(IF(OR(NOT(ISNUMBER('Price History'!X98)),NOT(ISNUMBER('Price History'!X97)),'Price History'!X97=0),"",'Price History'!X98/'Price History'!X97-1),"")</f>
        <v/>
      </c>
      <c r="AR97" s="155" t="n">
        <f aca="false">IFERROR(IF(OR(NOT(ISNUMBER('Price History'!Y98)),NOT(ISNUMBER('Price History'!Y97)),'Price History'!Y97=0),"",'Price History'!Y98/'Price History'!Y97-1),"")</f>
        <v>-0.00348904826516783</v>
      </c>
      <c r="AS97" s="155" t="n">
        <f aca="false">IFERROR(IF(OR(NOT(ISNUMBER('Price History'!Z98)),NOT(ISNUMBER('Price History'!Z97)),'Price History'!Z97=0),"",'Price History'!Z98/'Price History'!Z97-1),"")</f>
        <v>0.0361234557834222</v>
      </c>
      <c r="AT97" s="155" t="n">
        <f aca="false">IFERROR(IF(OR(NOT(ISNUMBER('Price History'!AA98)),NOT(ISNUMBER('Price History'!AA97)),'Price History'!AA97=0),"",'Price History'!AA98/'Price History'!AA97-1),"")</f>
        <v>-0.040163428923836</v>
      </c>
      <c r="AU97" s="155" t="n">
        <f aca="false">IFERROR(IF(OR(NOT(ISNUMBER('Price History'!AB98)),NOT(ISNUMBER('Price History'!AB97)),'Price History'!AB97=0),"",'Price History'!AB98/'Price History'!AB97-1),"")</f>
        <v>-0.0295472932568857</v>
      </c>
    </row>
    <row r="98" customFormat="false" ht="15" hidden="false" customHeight="true" outlineLevel="0" collapsed="false">
      <c r="A98" s="153" t="n">
        <f aca="false">IF('Price History'!A99="","",'Price History'!A99)</f>
        <v>45856</v>
      </c>
      <c r="B98" s="154" t="n">
        <f aca="false">IFERROR(IF(OR(NOT(ISNUMBER('Price History'!B99)),NOT(ISNUMBER('Price History'!B98)),'Price History'!B98=0),"",'Price History'!B99/'Price History'!B98-1),"")</f>
        <v>0.00671528828952805</v>
      </c>
      <c r="C98" s="154" t="n">
        <f aca="false">IFERROR(IF(OR(NOT(ISNUMBER('Price History'!C99)),NOT(ISNUMBER('Price History'!C98)),'Price History'!C98=0),"",'Price History'!C99/'Price History'!C98-1),"")</f>
        <v>0.0295661785023489</v>
      </c>
      <c r="D98" s="154" t="n">
        <f aca="false">IFERROR(IF(OR(NOT(ISNUMBER('Price History'!D99)),NOT(ISNUMBER('Price History'!D98)),'Price History'!D98=0),"",'Price History'!D99/'Price History'!D98-1),"")</f>
        <v>-0.0839845470446853</v>
      </c>
      <c r="E98" s="154" t="n">
        <f aca="false">IFERROR(IF(OR(NOT(ISNUMBER('Price History'!E99)),NOT(ISNUMBER('Price History'!E98)),'Price History'!E98=0),"",'Price History'!E99/'Price History'!E98-1),"")</f>
        <v>0.0326602670197507</v>
      </c>
      <c r="F98" s="154" t="n">
        <f aca="false">IFERROR(IF(OR(NOT(ISNUMBER('Price History'!F99)),NOT(ISNUMBER('Price History'!F98)),'Price History'!F98=0),"",'Price History'!F99/'Price History'!F98-1),"")</f>
        <v>-0.00518351308419029</v>
      </c>
      <c r="G98" s="154" t="n">
        <f aca="false">IFERROR(IF(OR(NOT(ISNUMBER('Price History'!G99)),NOT(ISNUMBER('Price History'!G98)),'Price History'!G98=0),"",'Price History'!G99/'Price History'!G98-1),"")</f>
        <v>0.00708369659982555</v>
      </c>
      <c r="H98" s="154" t="n">
        <f aca="false">IFERROR(IF(OR(NOT(ISNUMBER('Price History'!H99)),NOT(ISNUMBER('Price History'!H98)),'Price History'!H98=0),"",'Price History'!H99/'Price History'!H98-1),"")</f>
        <v>-0.0813962840826832</v>
      </c>
      <c r="I98" s="154" t="n">
        <f aca="false">IFERROR(IF(OR(NOT(ISNUMBER('Price History'!I99)),NOT(ISNUMBER('Price History'!I98)),'Price History'!I98=0),"",'Price History'!I99/'Price History'!I98-1),"")</f>
        <v>0.0454048140043764</v>
      </c>
      <c r="J98" s="154" t="n">
        <f aca="false">IFERROR(IF(OR(NOT(ISNUMBER('Price History'!J99)),NOT(ISNUMBER('Price History'!J98)),'Price History'!J98=0),"",'Price History'!J99/'Price History'!J98-1),"")</f>
        <v>-0.0219235535220665</v>
      </c>
      <c r="K98" s="154" t="n">
        <f aca="false">IFERROR(IF(OR(NOT(ISNUMBER('Price History'!K99)),NOT(ISNUMBER('Price History'!K98)),'Price History'!K98=0),"",'Price History'!K99/'Price History'!K98-1),"")</f>
        <v>0.08036593947924</v>
      </c>
      <c r="L98" s="154" t="n">
        <f aca="false">IFERROR(IF(OR(NOT(ISNUMBER('Price History'!L99)),NOT(ISNUMBER('Price History'!L98)),'Price History'!L98=0),"",'Price History'!L99/'Price History'!L98-1),"")</f>
        <v>0.0433845206142474</v>
      </c>
      <c r="M98" s="154" t="n">
        <f aca="false">IFERROR(IF(OR(NOT(ISNUMBER('Price History'!M99)),NOT(ISNUMBER('Price History'!M98)),'Price History'!M98=0),"",'Price History'!M99/'Price History'!M98-1),"")</f>
        <v>0.0467798261999513</v>
      </c>
      <c r="N98" s="154" t="n">
        <f aca="false">IFERROR(IF(OR(NOT(ISNUMBER('Price History'!N99)),NOT(ISNUMBER('Price History'!N98)),'Price History'!N98=0),"",'Price History'!N99/'Price History'!N98-1),"")</f>
        <v>-0.0192812200063986</v>
      </c>
      <c r="O98" s="154" t="n">
        <f aca="false">IFERROR(IF(OR(NOT(ISNUMBER('Price History'!O99)),NOT(ISNUMBER('Price History'!O98)),'Price History'!O98=0),"",'Price History'!O99/'Price History'!O98-1),"")</f>
        <v>-0.0118000429092469</v>
      </c>
      <c r="P98" s="154" t="n">
        <f aca="false">IFERROR(IF(OR(NOT(ISNUMBER('Price History'!P99)),NOT(ISNUMBER('Price History'!P98)),'Price History'!P98=0),"",'Price History'!P99/'Price History'!P98-1),"")</f>
        <v>-0.00421940928270026</v>
      </c>
      <c r="Q98" s="154" t="n">
        <f aca="false">IFERROR(IF(OR(NOT(ISNUMBER('Price History'!Q99)),NOT(ISNUMBER('Price History'!Q98)),'Price History'!Q98=0),"",'Price History'!Q99/'Price History'!Q98-1),"")</f>
        <v>0.00351662404092079</v>
      </c>
      <c r="R98" s="154" t="n">
        <f aca="false">IFERROR(IF(OR(NOT(ISNUMBER('Price History'!R99)),NOT(ISNUMBER('Price History'!R98)),'Price History'!R98=0),"",'Price History'!R99/'Price History'!R98-1),"")</f>
        <v>0.00614016514926963</v>
      </c>
      <c r="S98" s="154" t="n">
        <f aca="false">IFERROR(IF(OR(NOT(ISNUMBER('Price History'!S99)),NOT(ISNUMBER('Price History'!S98)),'Price History'!S98=0),"",'Price History'!S99/'Price History'!S98-1),"")</f>
        <v>0.014858171994597</v>
      </c>
      <c r="T98" s="154" t="n">
        <f aca="false">IFERROR(IF(OR(NOT(ISNUMBER('Price History'!T99)),NOT(ISNUMBER('Price History'!T98)),'Price History'!T98=0),"",'Price History'!T99/'Price History'!T98-1),"")</f>
        <v>-0.0212645307626879</v>
      </c>
      <c r="U98" s="154" t="n">
        <f aca="false">IFERROR(IF(OR(NOT(ISNUMBER('Price History'!U99)),NOT(ISNUMBER('Price History'!U98)),'Price History'!U98=0),"",'Price History'!U99/'Price History'!U98-1),"")</f>
        <v>-0.0110898661567878</v>
      </c>
      <c r="V98" s="155" t="n">
        <f aca="false">IFERROR(IF(OR(NOT(ISNUMBER('Price History'!V99)),NOT(ISNUMBER('Price History'!V98)),'Price History'!V98=0),"",'Price History'!V99/'Price History'!V98-1),"")</f>
        <v>0.00322149988390996</v>
      </c>
      <c r="W98" s="156" t="n">
        <f aca="false">IFERROR('Price History'!B3+(INDEX('Price History'!B:B,MATCH(9.99E+307,'Returns (Calc)'!$A:$A)+1)-'Price History'!B3)*(ROW()-3)/(MATCH(9.99E+307,'Returns (Calc)'!$A:$A)-3),"")</f>
        <v>353.801392405063</v>
      </c>
      <c r="X98" s="156" t="n">
        <f aca="false">IFERROR('Price History'!C3+(INDEX('Price History'!C:C,MATCH(9.99E+307,'Returns (Calc)'!$A:$A)+1)-'Price History'!C3)*(ROW()-3)/(MATCH(9.99E+307,'Returns (Calc)'!$A:$A)-3),"")</f>
        <v>143.086012658228</v>
      </c>
      <c r="Y98" s="156" t="n">
        <f aca="false">IFERROR('Price History'!D3+(INDEX('Price History'!D:D,MATCH(9.99E+307,'Returns (Calc)'!$A:$A)+1)-'Price History'!D3)*(ROW()-3)/(MATCH(9.99E+307,'Returns (Calc)'!$A:$A)-3),"")</f>
        <v>1354.81696202532</v>
      </c>
      <c r="Z98" s="156" t="n">
        <f aca="false">IFERROR('Price History'!E3+(INDEX('Price History'!E:E,MATCH(9.99E+307,'Returns (Calc)'!$A:$A)+1)-'Price History'!E3)*(ROW()-3)/(MATCH(9.99E+307,'Returns (Calc)'!$A:$A)-3),"")</f>
        <v>246.229746835443</v>
      </c>
      <c r="AA98" s="156" t="n">
        <f aca="false">IFERROR('Price History'!F3+(INDEX('Price History'!F:F,MATCH(9.99E+307,'Returns (Calc)'!$A:$A)+1)-'Price History'!F3)*(ROW()-3)/(MATCH(9.99E+307,'Returns (Calc)'!$A:$A)-3),"")</f>
        <v>178.85746835443</v>
      </c>
      <c r="AB98" s="156" t="n">
        <f aca="false">IFERROR('Price History'!G3+(INDEX('Price History'!G:G,MATCH(9.99E+307,'Returns (Calc)'!$A:$A)+1)-'Price History'!G3)*(ROW()-3)/(MATCH(9.99E+307,'Returns (Calc)'!$A:$A)-3),"")</f>
        <v>142.079746835443</v>
      </c>
      <c r="AC98" s="156" t="n">
        <f aca="false">IFERROR('Price History'!H3+(INDEX('Price History'!H:H,MATCH(9.99E+307,'Returns (Calc)'!$A:$A)+1)-'Price History'!H3)*(ROW()-3)/(MATCH(9.99E+307,'Returns (Calc)'!$A:$A)-3),"")</f>
        <v>673.851139240506</v>
      </c>
      <c r="AD98" s="156" t="n">
        <f aca="false">IFERROR('Price History'!I3+(INDEX('Price History'!I:I,MATCH(9.99E+307,'Returns (Calc)'!$A:$A)+1)-'Price History'!I3)*(ROW()-3)/(MATCH(9.99E+307,'Returns (Calc)'!$A:$A)-3),"")</f>
        <v>158.118734177215</v>
      </c>
      <c r="AE98" s="156" t="n">
        <f aca="false">IFERROR('Price History'!J3+(INDEX('Price History'!J:J,MATCH(9.99E+307,'Returns (Calc)'!$A:$A)+1)-'Price History'!J3)*(ROW()-3)/(MATCH(9.99E+307,'Returns (Calc)'!$A:$A)-3),"")</f>
        <v>122.103607594937</v>
      </c>
      <c r="AF98" s="156" t="n">
        <f aca="false">IFERROR('Price History'!K3+(INDEX('Price History'!K:K,MATCH(9.99E+307,'Returns (Calc)'!$A:$A)+1)-'Price History'!K3)*(ROW()-3)/(MATCH(9.99E+307,'Returns (Calc)'!$A:$A)-3),"")</f>
        <v>119.601518987342</v>
      </c>
      <c r="AG98" s="156" t="n">
        <f aca="false">IFERROR('Price History'!L3+(INDEX('Price History'!L:L,MATCH(9.99E+307,'Returns (Calc)'!$A:$A)+1)-'Price History'!L3)*(ROW()-3)/(MATCH(9.99E+307,'Returns (Calc)'!$A:$A)-3),"")</f>
        <v>318.457911392405</v>
      </c>
      <c r="AH98" s="156" t="n">
        <f aca="false">IFERROR('Price History'!M3+(INDEX('Price History'!M:M,MATCH(9.99E+307,'Returns (Calc)'!$A:$A)+1)-'Price History'!M3)*(ROW()-3)/(MATCH(9.99E+307,'Returns (Calc)'!$A:$A)-3),"")</f>
        <v>166.787088607595</v>
      </c>
      <c r="AI98" s="156" t="n">
        <f aca="false">IFERROR('Price History'!N3+(INDEX('Price History'!N:N,MATCH(9.99E+307,'Returns (Calc)'!$A:$A)+1)-'Price History'!N3)*(ROW()-3)/(MATCH(9.99E+307,'Returns (Calc)'!$A:$A)-3),"")</f>
        <v>442.595253164557</v>
      </c>
      <c r="AJ98" s="156" t="n">
        <f aca="false">IFERROR('Price History'!O3+(INDEX('Price History'!O:O,MATCH(9.99E+307,'Returns (Calc)'!$A:$A)+1)-'Price History'!O3)*(ROW()-3)/(MATCH(9.99E+307,'Returns (Calc)'!$A:$A)-3),"")</f>
        <v>102.198607594937</v>
      </c>
      <c r="AK98" s="156" t="n">
        <f aca="false">IFERROR('Price History'!Q3+(INDEX('Price History'!Q:Q,MATCH(9.99E+307,'Returns (Calc)'!$A:$A)+1)-'Price History'!Q3)*(ROW()-3)/(MATCH(9.99E+307,'Returns (Calc)'!$A:$A)-3),"")</f>
        <v>41.7398734177215</v>
      </c>
      <c r="AL98" s="156" t="n">
        <f aca="false">IFERROR('Price History'!R3+(INDEX('Price History'!R:R,MATCH(9.99E+307,'Returns (Calc)'!$A:$A)+1)-'Price History'!R3)*(ROW()-3)/(MATCH(9.99E+307,'Returns (Calc)'!$A:$A)-3),"")</f>
        <v>50.4496202531646</v>
      </c>
      <c r="AM98" s="156" t="n">
        <f aca="false">IFERROR('Price History'!S3+(INDEX('Price History'!S:S,MATCH(9.99E+307,'Returns (Calc)'!$A:$A)+1)-'Price History'!S3)*(ROW()-3)/(MATCH(9.99E+307,'Returns (Calc)'!$A:$A)-3),"")</f>
        <v>115.111012658228</v>
      </c>
      <c r="AN98" s="156" t="n">
        <f aca="false">IFERROR('Price History'!T3+(INDEX('Price History'!T:T,MATCH(9.99E+307,'Returns (Calc)'!$A:$A)+1)-'Price History'!T3)*(ROW()-3)/(MATCH(9.99E+307,'Returns (Calc)'!$A:$A)-3),"")</f>
        <v>41.2216455696203</v>
      </c>
      <c r="AO98" s="157" t="n">
        <f aca="false">IFERROR('Price History'!V3+(INDEX('Price History'!V:V,MATCH(9.99E+307,'Returns (Calc)'!$A:$A)+1)-'Price History'!V3)*(ROW()-3)/(MATCH(9.99E+307,'Returns (Calc)'!$A:$A)-3),"")</f>
        <v>310.806265822785</v>
      </c>
      <c r="AP98" s="155" t="n">
        <f aca="false">IFERROR(IF(OR(NOT(ISNUMBER('Price History'!W99)),NOT(ISNUMBER('Price History'!W98)),'Price History'!W98=0),"",'Price History'!W99/'Price History'!W98-1),"")</f>
        <v>-0.00152800061120018</v>
      </c>
      <c r="AQ98" s="155" t="str">
        <f aca="false">IFERROR(IF(OR(NOT(ISNUMBER('Price History'!X99)),NOT(ISNUMBER('Price History'!X98)),'Price History'!X98=0),"",'Price History'!X99/'Price History'!X98-1),"")</f>
        <v/>
      </c>
      <c r="AR98" s="155" t="n">
        <f aca="false">IFERROR(IF(OR(NOT(ISNUMBER('Price History'!Y99)),NOT(ISNUMBER('Price History'!Y98)),'Price History'!Y98=0),"",'Price History'!Y99/'Price History'!Y98-1),"")</f>
        <v>0.00369577903131701</v>
      </c>
      <c r="AS98" s="155" t="n">
        <f aca="false">IFERROR(IF(OR(NOT(ISNUMBER('Price History'!Z99)),NOT(ISNUMBER('Price History'!Z98)),'Price History'!Z98=0),"",'Price History'!Z99/'Price History'!Z98-1),"")</f>
        <v>0.0307323023649313</v>
      </c>
      <c r="AT98" s="155" t="n">
        <f aca="false">IFERROR(IF(OR(NOT(ISNUMBER('Price History'!AA99)),NOT(ISNUMBER('Price History'!AA98)),'Price History'!AA98=0),"",'Price History'!AA99/'Price History'!AA98-1),"")</f>
        <v>-0.0288330254598025</v>
      </c>
      <c r="AU98" s="155" t="n">
        <f aca="false">IFERROR(IF(OR(NOT(ISNUMBER('Price History'!AB99)),NOT(ISNUMBER('Price History'!AB98)),'Price History'!AB98=0),"",'Price History'!AB99/'Price History'!AB98-1),"")</f>
        <v>0.0231976512378123</v>
      </c>
    </row>
    <row r="99" customFormat="false" ht="15" hidden="false" customHeight="true" outlineLevel="0" collapsed="false">
      <c r="A99" s="153" t="n">
        <f aca="false">IF('Price History'!A100="","",'Price History'!A100)</f>
        <v>45863</v>
      </c>
      <c r="B99" s="154" t="n">
        <f aca="false">IFERROR(IF(OR(NOT(ISNUMBER('Price History'!B100)),NOT(ISNUMBER('Price History'!B99)),'Price History'!B99=0),"",'Price History'!B100/'Price History'!B99-1),"")</f>
        <v>0.0135323546297055</v>
      </c>
      <c r="C99" s="154" t="n">
        <f aca="false">IFERROR(IF(OR(NOT(ISNUMBER('Price History'!C100)),NOT(ISNUMBER('Price History'!C99)),'Price History'!C99=0),"",'Price History'!C100/'Price History'!C99-1),"")</f>
        <v>0.0223653605296117</v>
      </c>
      <c r="D99" s="154" t="n">
        <f aca="false">IFERROR(IF(OR(NOT(ISNUMBER('Price History'!D100)),NOT(ISNUMBER('Price History'!D99)),'Price History'!D99=0),"",'Price History'!D100/'Price History'!D99-1),"")</f>
        <v>-0.0317612957289849</v>
      </c>
      <c r="E99" s="154" t="n">
        <f aca="false">IFERROR(IF(OR(NOT(ISNUMBER('Price History'!E100)),NOT(ISNUMBER('Price History'!E99)),'Price History'!E99=0),"",'Price History'!E100/'Price History'!E99-1),"")</f>
        <v>0.0241478790469067</v>
      </c>
      <c r="F99" s="154" t="n">
        <f aca="false">IFERROR(IF(OR(NOT(ISNUMBER('Price History'!F100)),NOT(ISNUMBER('Price History'!F99)),'Price History'!F99=0),"",'Price History'!F100/'Price History'!F99-1),"")</f>
        <v>-0.0168921758130934</v>
      </c>
      <c r="G99" s="154" t="n">
        <f aca="false">IFERROR(IF(OR(NOT(ISNUMBER('Price History'!G100)),NOT(ISNUMBER('Price History'!G99)),'Price History'!G99=0),"",'Price History'!G100/'Price History'!G99-1),"")</f>
        <v>-0.0311654582837355</v>
      </c>
      <c r="H99" s="154" t="n">
        <f aca="false">IFERROR(IF(OR(NOT(ISNUMBER('Price History'!H100)),NOT(ISNUMBER('Price History'!H99)),'Price History'!H99=0),"",'Price History'!H100/'Price History'!H99-1),"")</f>
        <v>-0.0274056562472638</v>
      </c>
      <c r="I99" s="154" t="n">
        <f aca="false">IFERROR(IF(OR(NOT(ISNUMBER('Price History'!I100)),NOT(ISNUMBER('Price History'!I99)),'Price History'!I99=0),"",'Price History'!I100/'Price History'!I99-1),"")</f>
        <v>0.00633757776614918</v>
      </c>
      <c r="J99" s="154" t="n">
        <f aca="false">IFERROR(IF(OR(NOT(ISNUMBER('Price History'!J100)),NOT(ISNUMBER('Price History'!J99)),'Price History'!J99=0),"",'Price History'!J100/'Price History'!J99-1),"")</f>
        <v>0.0329402592339927</v>
      </c>
      <c r="K99" s="154" t="n">
        <f aca="false">IFERROR(IF(OR(NOT(ISNUMBER('Price History'!K100)),NOT(ISNUMBER('Price History'!K99)),'Price History'!K99=0),"",'Price History'!K100/'Price History'!K99-1),"")</f>
        <v>0.0343929129755081</v>
      </c>
      <c r="L99" s="154" t="n">
        <f aca="false">IFERROR(IF(OR(NOT(ISNUMBER('Price History'!L100)),NOT(ISNUMBER('Price History'!L99)),'Price History'!L99=0),"",'Price History'!L100/'Price History'!L99-1),"")</f>
        <v>0.0216337030320921</v>
      </c>
      <c r="M99" s="154" t="n">
        <f aca="false">IFERROR(IF(OR(NOT(ISNUMBER('Price History'!M100)),NOT(ISNUMBER('Price History'!M99)),'Price History'!M99=0),"",'Price History'!M100/'Price History'!M99-1),"")</f>
        <v>0.0651718519667934</v>
      </c>
      <c r="N99" s="154" t="n">
        <f aca="false">IFERROR(IF(OR(NOT(ISNUMBER('Price History'!N100)),NOT(ISNUMBER('Price History'!N99)),'Price History'!N99=0),"",'Price History'!N100/'Price History'!N99-1),"")</f>
        <v>0.0214001435375482</v>
      </c>
      <c r="O99" s="154" t="n">
        <f aca="false">IFERROR(IF(OR(NOT(ISNUMBER('Price History'!O100)),NOT(ISNUMBER('Price History'!O99)),'Price History'!O99=0),"",'Price History'!O100/'Price History'!O99-1),"")</f>
        <v>0.0147633521493704</v>
      </c>
      <c r="P99" s="154" t="n">
        <f aca="false">IFERROR(IF(OR(NOT(ISNUMBER('Price History'!P100)),NOT(ISNUMBER('Price History'!P99)),'Price History'!P99=0),"",'Price History'!P100/'Price History'!P99-1),"")</f>
        <v>0.0181818181818181</v>
      </c>
      <c r="Q99" s="154" t="n">
        <f aca="false">IFERROR(IF(OR(NOT(ISNUMBER('Price History'!Q100)),NOT(ISNUMBER('Price History'!Q99)),'Price History'!Q99=0),"",'Price History'!Q100/'Price History'!Q99-1),"")</f>
        <v>0.00223000955718389</v>
      </c>
      <c r="R99" s="154" t="n">
        <f aca="false">IFERROR(IF(OR(NOT(ISNUMBER('Price History'!R100)),NOT(ISNUMBER('Price History'!R99)),'Price History'!R99=0),"",'Price History'!R100/'Price History'!R99-1),"")</f>
        <v>0.00715488215488214</v>
      </c>
      <c r="S99" s="154" t="n">
        <f aca="false">IFERROR(IF(OR(NOT(ISNUMBER('Price History'!S100)),NOT(ISNUMBER('Price History'!S99)),'Price History'!S99=0),"",'Price History'!S100/'Price History'!S99-1),"")</f>
        <v>0.01055900621118</v>
      </c>
      <c r="T99" s="154" t="n">
        <f aca="false">IFERROR(IF(OR(NOT(ISNUMBER('Price History'!T100)),NOT(ISNUMBER('Price History'!T99)),'Price History'!T99=0),"",'Price History'!T100/'Price History'!T99-1),"")</f>
        <v>0.0220162224797218</v>
      </c>
      <c r="U99" s="154" t="n">
        <f aca="false">IFERROR(IF(OR(NOT(ISNUMBER('Price History'!U100)),NOT(ISNUMBER('Price History'!U99)),'Price History'!U99=0),"",'Price History'!U100/'Price History'!U99-1),"")</f>
        <v>0.0108275328692962</v>
      </c>
      <c r="V99" s="155" t="n">
        <f aca="false">IFERROR(IF(OR(NOT(ISNUMBER('Price History'!V100)),NOT(ISNUMBER('Price History'!V99)),'Price History'!V99=0),"",'Price History'!V100/'Price History'!V99-1),"")</f>
        <v>0.0229120259206757</v>
      </c>
      <c r="W99" s="156" t="n">
        <f aca="false">IFERROR('Price History'!B3+(INDEX('Price History'!B:B,MATCH(9.99E+307,'Returns (Calc)'!$A:$A)+1)-'Price History'!B3)*(ROW()-3)/(MATCH(9.99E+307,'Returns (Calc)'!$A:$A)-3),"")</f>
        <v>351.95835443038</v>
      </c>
      <c r="X99" s="156" t="n">
        <f aca="false">IFERROR('Price History'!C3+(INDEX('Price History'!C:C,MATCH(9.99E+307,'Returns (Calc)'!$A:$A)+1)-'Price History'!C3)*(ROW()-3)/(MATCH(9.99E+307,'Returns (Calc)'!$A:$A)-3),"")</f>
        <v>144.106075949367</v>
      </c>
      <c r="Y99" s="156" t="n">
        <f aca="false">IFERROR('Price History'!D3+(INDEX('Price History'!D:D,MATCH(9.99E+307,'Returns (Calc)'!$A:$A)+1)-'Price History'!D3)*(ROW()-3)/(MATCH(9.99E+307,'Returns (Calc)'!$A:$A)-3),"")</f>
        <v>1362.9517721519</v>
      </c>
      <c r="Z99" s="156" t="n">
        <f aca="false">IFERROR('Price History'!E3+(INDEX('Price History'!E:E,MATCH(9.99E+307,'Returns (Calc)'!$A:$A)+1)-'Price History'!E3)*(ROW()-3)/(MATCH(9.99E+307,'Returns (Calc)'!$A:$A)-3),"")</f>
        <v>247.958481012658</v>
      </c>
      <c r="AA99" s="156" t="n">
        <f aca="false">IFERROR('Price History'!F3+(INDEX('Price History'!F:F,MATCH(9.99E+307,'Returns (Calc)'!$A:$A)+1)-'Price History'!F3)*(ROW()-3)/(MATCH(9.99E+307,'Returns (Calc)'!$A:$A)-3),"")</f>
        <v>180.304810126582</v>
      </c>
      <c r="AB99" s="156" t="n">
        <f aca="false">IFERROR('Price History'!G3+(INDEX('Price History'!G:G,MATCH(9.99E+307,'Returns (Calc)'!$A:$A)+1)-'Price History'!G3)*(ROW()-3)/(MATCH(9.99E+307,'Returns (Calc)'!$A:$A)-3),"")</f>
        <v>143.108481012658</v>
      </c>
      <c r="AC99" s="156" t="n">
        <f aca="false">IFERROR('Price History'!H3+(INDEX('Price History'!H:H,MATCH(9.99E+307,'Returns (Calc)'!$A:$A)+1)-'Price History'!H3)*(ROW()-3)/(MATCH(9.99E+307,'Returns (Calc)'!$A:$A)-3),"")</f>
        <v>680.216835443038</v>
      </c>
      <c r="AD99" s="156" t="n">
        <f aca="false">IFERROR('Price History'!I3+(INDEX('Price History'!I:I,MATCH(9.99E+307,'Returns (Calc)'!$A:$A)+1)-'Price History'!I3)*(ROW()-3)/(MATCH(9.99E+307,'Returns (Calc)'!$A:$A)-3),"")</f>
        <v>159.322405063291</v>
      </c>
      <c r="AE99" s="156" t="n">
        <f aca="false">IFERROR('Price History'!J3+(INDEX('Price History'!J:J,MATCH(9.99E+307,'Returns (Calc)'!$A:$A)+1)-'Price History'!J3)*(ROW()-3)/(MATCH(9.99E+307,'Returns (Calc)'!$A:$A)-3),"")</f>
        <v>122.21164556962</v>
      </c>
      <c r="AF99" s="156" t="n">
        <f aca="false">IFERROR('Price History'!K3+(INDEX('Price History'!K:K,MATCH(9.99E+307,'Returns (Calc)'!$A:$A)+1)-'Price History'!K3)*(ROW()-3)/(MATCH(9.99E+307,'Returns (Calc)'!$A:$A)-3),"")</f>
        <v>120.699113924051</v>
      </c>
      <c r="AG99" s="156" t="n">
        <f aca="false">IFERROR('Price History'!L3+(INDEX('Price History'!L:L,MATCH(9.99E+307,'Returns (Calc)'!$A:$A)+1)-'Price History'!L3)*(ROW()-3)/(MATCH(9.99E+307,'Returns (Calc)'!$A:$A)-3),"")</f>
        <v>320.90746835443</v>
      </c>
      <c r="AH99" s="156" t="n">
        <f aca="false">IFERROR('Price History'!M3+(INDEX('Price History'!M:M,MATCH(9.99E+307,'Returns (Calc)'!$A:$A)+1)-'Price History'!M3)*(ROW()-3)/(MATCH(9.99E+307,'Returns (Calc)'!$A:$A)-3),"")</f>
        <v>168.14253164557</v>
      </c>
      <c r="AI99" s="156" t="n">
        <f aca="false">IFERROR('Price History'!N3+(INDEX('Price History'!N:N,MATCH(9.99E+307,'Returns (Calc)'!$A:$A)+1)-'Price History'!N3)*(ROW()-3)/(MATCH(9.99E+307,'Returns (Calc)'!$A:$A)-3),"")</f>
        <v>443.581518987342</v>
      </c>
      <c r="AJ99" s="156" t="n">
        <f aca="false">IFERROR('Price History'!O3+(INDEX('Price History'!O:O,MATCH(9.99E+307,'Returns (Calc)'!$A:$A)+1)-'Price History'!O3)*(ROW()-3)/(MATCH(9.99E+307,'Returns (Calc)'!$A:$A)-3),"")</f>
        <v>102.48164556962</v>
      </c>
      <c r="AK99" s="156" t="n">
        <f aca="false">IFERROR('Price History'!Q3+(INDEX('Price History'!Q:Q,MATCH(9.99E+307,'Returns (Calc)'!$A:$A)+1)-'Price History'!Q3)*(ROW()-3)/(MATCH(9.99E+307,'Returns (Calc)'!$A:$A)-3),"")</f>
        <v>42.1792405063291</v>
      </c>
      <c r="AL99" s="156" t="n">
        <f aca="false">IFERROR('Price History'!R3+(INDEX('Price History'!R:R,MATCH(9.99E+307,'Returns (Calc)'!$A:$A)+1)-'Price History'!R3)*(ROW()-3)/(MATCH(9.99E+307,'Returns (Calc)'!$A:$A)-3),"")</f>
        <v>50.6177215189873</v>
      </c>
      <c r="AM99" s="156" t="n">
        <f aca="false">IFERROR('Price History'!S3+(INDEX('Price History'!S:S,MATCH(9.99E+307,'Returns (Calc)'!$A:$A)+1)-'Price History'!S3)*(ROW()-3)/(MATCH(9.99E+307,'Returns (Calc)'!$A:$A)-3),"")</f>
        <v>115.716075949367</v>
      </c>
      <c r="AN99" s="156" t="n">
        <f aca="false">IFERROR('Price History'!T3+(INDEX('Price History'!T:T,MATCH(9.99E+307,'Returns (Calc)'!$A:$A)+1)-'Price History'!T3)*(ROW()-3)/(MATCH(9.99E+307,'Returns (Calc)'!$A:$A)-3),"")</f>
        <v>41.3898734177215</v>
      </c>
      <c r="AO99" s="157" t="n">
        <f aca="false">IFERROR('Price History'!V3+(INDEX('Price History'!V:V,MATCH(9.99E+307,'Returns (Calc)'!$A:$A)+1)-'Price History'!V3)*(ROW()-3)/(MATCH(9.99E+307,'Returns (Calc)'!$A:$A)-3),"")</f>
        <v>311.597594936709</v>
      </c>
      <c r="AP99" s="155" t="n">
        <f aca="false">IFERROR(IF(OR(NOT(ISNUMBER('Price History'!W100)),NOT(ISNUMBER('Price History'!W99)),'Price History'!W99=0),"",'Price History'!W100/'Price History'!W99-1),"")</f>
        <v>0.0141556354732573</v>
      </c>
      <c r="AQ99" s="155" t="str">
        <f aca="false">IFERROR(IF(OR(NOT(ISNUMBER('Price History'!X100)),NOT(ISNUMBER('Price History'!X99)),'Price History'!X99=0),"",'Price History'!X100/'Price History'!X99-1),"")</f>
        <v/>
      </c>
      <c r="AR99" s="155" t="n">
        <f aca="false">IFERROR(IF(OR(NOT(ISNUMBER('Price History'!Y100)),NOT(ISNUMBER('Price History'!Y99)),'Price History'!Y99=0),"",'Price History'!Y100/'Price History'!Y99-1),"")</f>
        <v>0.00620155038759696</v>
      </c>
      <c r="AS99" s="155" t="n">
        <f aca="false">IFERROR(IF(OR(NOT(ISNUMBER('Price History'!Z100)),NOT(ISNUMBER('Price History'!Z99)),'Price History'!Z99=0),"",'Price History'!Z100/'Price History'!Z99-1),"")</f>
        <v>0.0316102924333819</v>
      </c>
      <c r="AT99" s="155" t="n">
        <f aca="false">IFERROR(IF(OR(NOT(ISNUMBER('Price History'!AA100)),NOT(ISNUMBER('Price History'!AA99)),'Price History'!AA99=0),"",'Price History'!AA100/'Price History'!AA99-1),"")</f>
        <v>-0.0237347006285148</v>
      </c>
      <c r="AU99" s="155" t="n">
        <f aca="false">IFERROR(IF(OR(NOT(ISNUMBER('Price History'!AB100)),NOT(ISNUMBER('Price History'!AB99)),'Price History'!AB99=0),"",'Price History'!AB100/'Price History'!AB99-1),"")</f>
        <v>0.0287647454745121</v>
      </c>
    </row>
    <row r="100" customFormat="false" ht="15" hidden="false" customHeight="true" outlineLevel="0" collapsed="false">
      <c r="A100" s="153" t="n">
        <f aca="false">IF('Price History'!A101="","",'Price History'!A101)</f>
        <v>45870</v>
      </c>
      <c r="B100" s="154" t="n">
        <f aca="false">IFERROR(IF(OR(NOT(ISNUMBER('Price History'!B101)),NOT(ISNUMBER('Price History'!B100)),'Price History'!B100=0),"",'Price History'!B101/'Price History'!B100-1),"")</f>
        <v>-0.06187624750499</v>
      </c>
      <c r="C100" s="154" t="n">
        <f aca="false">IFERROR(IF(OR(NOT(ISNUMBER('Price History'!C101)),NOT(ISNUMBER('Price History'!C100)),'Price History'!C100=0),"",'Price History'!C101/'Price History'!C100-1),"")</f>
        <v>0.0287889394469723</v>
      </c>
      <c r="D100" s="154" t="n">
        <f aca="false">IFERROR(IF(OR(NOT(ISNUMBER('Price History'!D101)),NOT(ISNUMBER('Price History'!D100)),'Price History'!D100=0),"",'Price History'!D101/'Price History'!D100-1),"")</f>
        <v>-0.0276670308310041</v>
      </c>
      <c r="E100" s="154" t="n">
        <f aca="false">IFERROR(IF(OR(NOT(ISNUMBER('Price History'!E101)),NOT(ISNUMBER('Price History'!E100)),'Price History'!E100=0),"",'Price History'!E101/'Price History'!E100-1),"")</f>
        <v>-0.00532081377151805</v>
      </c>
      <c r="F100" s="154" t="n">
        <f aca="false">IFERROR(IF(OR(NOT(ISNUMBER('Price History'!F101)),NOT(ISNUMBER('Price History'!F100)),'Price History'!F100=0),"",'Price History'!F101/'Price History'!F100-1),"")</f>
        <v>-0.0453923747649171</v>
      </c>
      <c r="G100" s="154" t="n">
        <f aca="false">IFERROR(IF(OR(NOT(ISNUMBER('Price History'!G101)),NOT(ISNUMBER('Price History'!G100)),'Price History'!G100=0),"",'Price History'!G101/'Price History'!G100-1),"")</f>
        <v>-0.0170892438288842</v>
      </c>
      <c r="H100" s="154" t="n">
        <f aca="false">IFERROR(IF(OR(NOT(ISNUMBER('Price History'!H101)),NOT(ISNUMBER('Price History'!H100)),'Price History'!H100=0),"",'Price History'!H101/'Price History'!H100-1),"")</f>
        <v>-0.0573460568959309</v>
      </c>
      <c r="I100" s="154" t="n">
        <f aca="false">IFERROR(IF(OR(NOT(ISNUMBER('Price History'!I101)),NOT(ISNUMBER('Price History'!I100)),'Price History'!I100=0),"",'Price History'!I101/'Price History'!I100-1),"")</f>
        <v>0.00127108851398194</v>
      </c>
      <c r="J100" s="154" t="n">
        <f aca="false">IFERROR(IF(OR(NOT(ISNUMBER('Price History'!J101)),NOT(ISNUMBER('Price History'!J100)),'Price History'!J100=0),"",'Price History'!J101/'Price History'!J100-1),"")</f>
        <v>-0.0487781866213795</v>
      </c>
      <c r="K100" s="154" t="n">
        <f aca="false">IFERROR(IF(OR(NOT(ISNUMBER('Price History'!K101)),NOT(ISNUMBER('Price History'!K100)),'Price History'!K100=0),"",'Price History'!K101/'Price History'!K100-1),"")</f>
        <v>-0.0285264483627204</v>
      </c>
      <c r="L100" s="154" t="n">
        <f aca="false">IFERROR(IF(OR(NOT(ISNUMBER('Price History'!L101)),NOT(ISNUMBER('Price History'!L100)),'Price History'!L100=0),"",'Price History'!L101/'Price History'!L100-1),"")</f>
        <v>-0.0423099149673905</v>
      </c>
      <c r="M100" s="154" t="n">
        <f aca="false">IFERROR(IF(OR(NOT(ISNUMBER('Price History'!M101)),NOT(ISNUMBER('Price History'!M100)),'Price History'!M100=0),"",'Price History'!M101/'Price History'!M100-1),"")</f>
        <v>0.0299366304902033</v>
      </c>
      <c r="N100" s="154" t="n">
        <f aca="false">IFERROR(IF(OR(NOT(ISNUMBER('Price History'!N101)),NOT(ISNUMBER('Price History'!N100)),'Price History'!N100=0),"",'Price History'!N101/'Price History'!N100-1),"")</f>
        <v>-0.0160119237730224</v>
      </c>
      <c r="O100" s="154" t="n">
        <f aca="false">IFERROR(IF(OR(NOT(ISNUMBER('Price History'!O101)),NOT(ISNUMBER('Price History'!O100)),'Price History'!O100=0),"",'Price History'!O101/'Price History'!O100-1),"")</f>
        <v>-0.0502781343602911</v>
      </c>
      <c r="P100" s="154" t="n">
        <f aca="false">IFERROR(IF(OR(NOT(ISNUMBER('Price History'!P101)),NOT(ISNUMBER('Price History'!P100)),'Price History'!P100=0),"",'Price History'!P101/'Price History'!P100-1),"")</f>
        <v>-0.0300393462469734</v>
      </c>
      <c r="Q100" s="154" t="n">
        <f aca="false">IFERROR(IF(OR(NOT(ISNUMBER('Price History'!Q101)),NOT(ISNUMBER('Price History'!Q100)),'Price History'!Q100=0),"",'Price History'!Q101/'Price History'!Q100-1),"")</f>
        <v>-0.0104895104895105</v>
      </c>
      <c r="R100" s="154" t="n">
        <f aca="false">IFERROR(IF(OR(NOT(ISNUMBER('Price History'!R101)),NOT(ISNUMBER('Price History'!R100)),'Price History'!R100=0),"",'Price History'!R101/'Price History'!R100-1),"")</f>
        <v>-0.0152528207271208</v>
      </c>
      <c r="S100" s="154" t="n">
        <f aca="false">IFERROR(IF(OR(NOT(ISNUMBER('Price History'!S101)),NOT(ISNUMBER('Price History'!S100)),'Price History'!S100=0),"",'Price History'!S101/'Price History'!S100-1),"")</f>
        <v>-0.0157169198349285</v>
      </c>
      <c r="T100" s="154" t="n">
        <f aca="false">IFERROR(IF(OR(NOT(ISNUMBER('Price History'!T101)),NOT(ISNUMBER('Price History'!T100)),'Price History'!T100=0),"",'Price History'!T101/'Price History'!T100-1),"")</f>
        <v>-0.0419501133786849</v>
      </c>
      <c r="U100" s="154" t="n">
        <f aca="false">IFERROR(IF(OR(NOT(ISNUMBER('Price History'!U101)),NOT(ISNUMBER('Price History'!U100)),'Price History'!U100=0),"",'Price History'!U101/'Price History'!U100-1),"")</f>
        <v>-0.0344299923488907</v>
      </c>
      <c r="V100" s="155" t="n">
        <f aca="false">IFERROR(IF(OR(NOT(ISNUMBER('Price History'!V101)),NOT(ISNUMBER('Price History'!V100)),'Price History'!V100=0),"",'Price History'!V101/'Price History'!V100-1),"")</f>
        <v>-0.0495489125823694</v>
      </c>
      <c r="W100" s="156" t="n">
        <f aca="false">IFERROR('Price History'!B3+(INDEX('Price History'!B:B,MATCH(9.99E+307,'Returns (Calc)'!$A:$A)+1)-'Price History'!B3)*(ROW()-3)/(MATCH(9.99E+307,'Returns (Calc)'!$A:$A)-3),"")</f>
        <v>350.115316455696</v>
      </c>
      <c r="X100" s="156" t="n">
        <f aca="false">IFERROR('Price History'!C3+(INDEX('Price History'!C:C,MATCH(9.99E+307,'Returns (Calc)'!$A:$A)+1)-'Price History'!C3)*(ROW()-3)/(MATCH(9.99E+307,'Returns (Calc)'!$A:$A)-3),"")</f>
        <v>145.126139240506</v>
      </c>
      <c r="Y100" s="156" t="n">
        <f aca="false">IFERROR('Price History'!D3+(INDEX('Price History'!D:D,MATCH(9.99E+307,'Returns (Calc)'!$A:$A)+1)-'Price History'!D3)*(ROW()-3)/(MATCH(9.99E+307,'Returns (Calc)'!$A:$A)-3),"")</f>
        <v>1371.08658227848</v>
      </c>
      <c r="Z100" s="156" t="n">
        <f aca="false">IFERROR('Price History'!E3+(INDEX('Price History'!E:E,MATCH(9.99E+307,'Returns (Calc)'!$A:$A)+1)-'Price History'!E3)*(ROW()-3)/(MATCH(9.99E+307,'Returns (Calc)'!$A:$A)-3),"")</f>
        <v>249.687215189873</v>
      </c>
      <c r="AA100" s="156" t="n">
        <f aca="false">IFERROR('Price History'!F3+(INDEX('Price History'!F:F,MATCH(9.99E+307,'Returns (Calc)'!$A:$A)+1)-'Price History'!F3)*(ROW()-3)/(MATCH(9.99E+307,'Returns (Calc)'!$A:$A)-3),"")</f>
        <v>181.752151898734</v>
      </c>
      <c r="AB100" s="156" t="n">
        <f aca="false">IFERROR('Price History'!G3+(INDEX('Price History'!G:G,MATCH(9.99E+307,'Returns (Calc)'!$A:$A)+1)-'Price History'!G3)*(ROW()-3)/(MATCH(9.99E+307,'Returns (Calc)'!$A:$A)-3),"")</f>
        <v>144.137215189873</v>
      </c>
      <c r="AC100" s="156" t="n">
        <f aca="false">IFERROR('Price History'!H3+(INDEX('Price History'!H:H,MATCH(9.99E+307,'Returns (Calc)'!$A:$A)+1)-'Price History'!H3)*(ROW()-3)/(MATCH(9.99E+307,'Returns (Calc)'!$A:$A)-3),"")</f>
        <v>686.58253164557</v>
      </c>
      <c r="AD100" s="156" t="n">
        <f aca="false">IFERROR('Price History'!I3+(INDEX('Price History'!I:I,MATCH(9.99E+307,'Returns (Calc)'!$A:$A)+1)-'Price History'!I3)*(ROW()-3)/(MATCH(9.99E+307,'Returns (Calc)'!$A:$A)-3),"")</f>
        <v>160.526075949367</v>
      </c>
      <c r="AE100" s="156" t="n">
        <f aca="false">IFERROR('Price History'!J3+(INDEX('Price History'!J:J,MATCH(9.99E+307,'Returns (Calc)'!$A:$A)+1)-'Price History'!J3)*(ROW()-3)/(MATCH(9.99E+307,'Returns (Calc)'!$A:$A)-3),"")</f>
        <v>122.319683544304</v>
      </c>
      <c r="AF100" s="156" t="n">
        <f aca="false">IFERROR('Price History'!K3+(INDEX('Price History'!K:K,MATCH(9.99E+307,'Returns (Calc)'!$A:$A)+1)-'Price History'!K3)*(ROW()-3)/(MATCH(9.99E+307,'Returns (Calc)'!$A:$A)-3),"")</f>
        <v>121.796708860759</v>
      </c>
      <c r="AG100" s="156" t="n">
        <f aca="false">IFERROR('Price History'!L3+(INDEX('Price History'!L:L,MATCH(9.99E+307,'Returns (Calc)'!$A:$A)+1)-'Price History'!L3)*(ROW()-3)/(MATCH(9.99E+307,'Returns (Calc)'!$A:$A)-3),"")</f>
        <v>323.357025316456</v>
      </c>
      <c r="AH100" s="156" t="n">
        <f aca="false">IFERROR('Price History'!M3+(INDEX('Price History'!M:M,MATCH(9.99E+307,'Returns (Calc)'!$A:$A)+1)-'Price History'!M3)*(ROW()-3)/(MATCH(9.99E+307,'Returns (Calc)'!$A:$A)-3),"")</f>
        <v>169.497974683544</v>
      </c>
      <c r="AI100" s="156" t="n">
        <f aca="false">IFERROR('Price History'!N3+(INDEX('Price History'!N:N,MATCH(9.99E+307,'Returns (Calc)'!$A:$A)+1)-'Price History'!N3)*(ROW()-3)/(MATCH(9.99E+307,'Returns (Calc)'!$A:$A)-3),"")</f>
        <v>444.567784810127</v>
      </c>
      <c r="AJ100" s="156" t="n">
        <f aca="false">IFERROR('Price History'!O3+(INDEX('Price History'!O:O,MATCH(9.99E+307,'Returns (Calc)'!$A:$A)+1)-'Price History'!O3)*(ROW()-3)/(MATCH(9.99E+307,'Returns (Calc)'!$A:$A)-3),"")</f>
        <v>102.764683544304</v>
      </c>
      <c r="AK100" s="156" t="n">
        <f aca="false">IFERROR('Price History'!Q3+(INDEX('Price History'!Q:Q,MATCH(9.99E+307,'Returns (Calc)'!$A:$A)+1)-'Price History'!Q3)*(ROW()-3)/(MATCH(9.99E+307,'Returns (Calc)'!$A:$A)-3),"")</f>
        <v>42.6186075949367</v>
      </c>
      <c r="AL100" s="156" t="n">
        <f aca="false">IFERROR('Price History'!R3+(INDEX('Price History'!R:R,MATCH(9.99E+307,'Returns (Calc)'!$A:$A)+1)-'Price History'!R3)*(ROW()-3)/(MATCH(9.99E+307,'Returns (Calc)'!$A:$A)-3),"")</f>
        <v>50.7858227848101</v>
      </c>
      <c r="AM100" s="156" t="n">
        <f aca="false">IFERROR('Price History'!S3+(INDEX('Price History'!S:S,MATCH(9.99E+307,'Returns (Calc)'!$A:$A)+1)-'Price History'!S3)*(ROW()-3)/(MATCH(9.99E+307,'Returns (Calc)'!$A:$A)-3),"")</f>
        <v>116.321139240506</v>
      </c>
      <c r="AN100" s="156" t="n">
        <f aca="false">IFERROR('Price History'!T3+(INDEX('Price History'!T:T,MATCH(9.99E+307,'Returns (Calc)'!$A:$A)+1)-'Price History'!T3)*(ROW()-3)/(MATCH(9.99E+307,'Returns (Calc)'!$A:$A)-3),"")</f>
        <v>41.5581012658228</v>
      </c>
      <c r="AO100" s="157" t="n">
        <f aca="false">IFERROR('Price History'!V3+(INDEX('Price History'!V:V,MATCH(9.99E+307,'Returns (Calc)'!$A:$A)+1)-'Price History'!V3)*(ROW()-3)/(MATCH(9.99E+307,'Returns (Calc)'!$A:$A)-3),"")</f>
        <v>312.388924050633</v>
      </c>
      <c r="AP100" s="155" t="n">
        <f aca="false">IFERROR(IF(OR(NOT(ISNUMBER('Price History'!W101)),NOT(ISNUMBER('Price History'!W100)),'Price History'!W100=0),"",'Price History'!W101/'Price History'!W100-1),"")</f>
        <v>-0.0270861626678739</v>
      </c>
      <c r="AQ100" s="155" t="str">
        <f aca="false">IFERROR(IF(OR(NOT(ISNUMBER('Price History'!X101)),NOT(ISNUMBER('Price History'!X100)),'Price History'!X100=0),"",'Price History'!X101/'Price History'!X100-1),"")</f>
        <v/>
      </c>
      <c r="AR100" s="155" t="n">
        <f aca="false">IFERROR(IF(OR(NOT(ISNUMBER('Price History'!Y101)),NOT(ISNUMBER('Price History'!Y100)),'Price History'!Y100=0),"",'Price History'!Y101/'Price History'!Y100-1),"")</f>
        <v>-0.0236902927580894</v>
      </c>
      <c r="AS100" s="155" t="n">
        <f aca="false">IFERROR(IF(OR(NOT(ISNUMBER('Price History'!Z101)),NOT(ISNUMBER('Price History'!Z100)),'Price History'!Z100=0),"",'Price History'!Z101/'Price History'!Z100-1),"")</f>
        <v>-0.00814151432166399</v>
      </c>
      <c r="AT100" s="155" t="n">
        <f aca="false">IFERROR(IF(OR(NOT(ISNUMBER('Price History'!AA101)),NOT(ISNUMBER('Price History'!AA100)),'Price History'!AA100=0),"",'Price History'!AA101/'Price History'!AA100-1),"")</f>
        <v>-0.0185514612452351</v>
      </c>
      <c r="AU100" s="155" t="n">
        <f aca="false">IFERROR(IF(OR(NOT(ISNUMBER('Price History'!AB101)),NOT(ISNUMBER('Price History'!AB100)),'Price History'!AB100=0),"",'Price History'!AB101/'Price History'!AB100-1),"")</f>
        <v>-0.0311972728211839</v>
      </c>
    </row>
    <row r="101" customFormat="false" ht="15" hidden="false" customHeight="true" outlineLevel="0" collapsed="false">
      <c r="A101" s="153" t="n">
        <f aca="false">IF('Price History'!A102="","",'Price History'!A102)</f>
        <v>45877</v>
      </c>
      <c r="B101" s="154" t="n">
        <f aca="false">IFERROR(IF(OR(NOT(ISNUMBER('Price History'!B102)),NOT(ISNUMBER('Price History'!B101)),'Price History'!B101=0),"",'Price History'!B102/'Price History'!B101-1),"")</f>
        <v>-0.0194077055779184</v>
      </c>
      <c r="C101" s="154" t="n">
        <f aca="false">IFERROR(IF(OR(NOT(ISNUMBER('Price History'!C102)),NOT(ISNUMBER('Price History'!C101)),'Price History'!C101=0),"",'Price History'!C102/'Price History'!C101-1),"")</f>
        <v>0.183805392532109</v>
      </c>
      <c r="D101" s="154" t="n">
        <f aca="false">IFERROR(IF(OR(NOT(ISNUMBER('Price History'!D102)),NOT(ISNUMBER('Price History'!D101)),'Price History'!D101=0),"",'Price History'!D102/'Price History'!D101-1),"")</f>
        <v>0.0471027710087406</v>
      </c>
      <c r="E101" s="154" t="n">
        <f aca="false">IFERROR(IF(OR(NOT(ISNUMBER('Price History'!E102)),NOT(ISNUMBER('Price History'!E101)),'Price History'!E101=0),"",'Price History'!E102/'Price History'!E101-1),"")</f>
        <v>0.0565694706663871</v>
      </c>
      <c r="F101" s="154" t="n">
        <f aca="false">IFERROR(IF(OR(NOT(ISNUMBER('Price History'!F102)),NOT(ISNUMBER('Price History'!F101)),'Price History'!F101=0),"",'Price History'!F102/'Price History'!F101-1),"")</f>
        <v>-0.0497000089549565</v>
      </c>
      <c r="G101" s="154" t="n">
        <f aca="false">IFERROR(IF(OR(NOT(ISNUMBER('Price History'!G102)),NOT(ISNUMBER('Price History'!G101)),'Price History'!G101=0),"",'Price History'!G102/'Price History'!G101-1),"")</f>
        <v>0.0317045454545455</v>
      </c>
      <c r="H101" s="154" t="n">
        <f aca="false">IFERROR(IF(OR(NOT(ISNUMBER('Price History'!H102)),NOT(ISNUMBER('Price History'!H101)),'Price History'!H101=0),"",'Price History'!H102/'Price History'!H101-1),"")</f>
        <v>0.133607105338554</v>
      </c>
      <c r="I101" s="154" t="n">
        <f aca="false">IFERROR(IF(OR(NOT(ISNUMBER('Price History'!I102)),NOT(ISNUMBER('Price History'!I101)),'Price History'!I101=0),"",'Price History'!I102/'Price History'!I101-1),"")</f>
        <v>0.0516445470282747</v>
      </c>
      <c r="J101" s="154" t="n">
        <f aca="false">IFERROR(IF(OR(NOT(ISNUMBER('Price History'!J102)),NOT(ISNUMBER('Price History'!J101)),'Price History'!J101=0),"",'Price History'!J102/'Price History'!J101-1),"")</f>
        <v>0.00733981352906188</v>
      </c>
      <c r="K101" s="154" t="n">
        <f aca="false">IFERROR(IF(OR(NOT(ISNUMBER('Price History'!K102)),NOT(ISNUMBER('Price History'!K101)),'Price History'!K101=0),"",'Price History'!K102/'Price History'!K101-1),"")</f>
        <v>0.211901212160498</v>
      </c>
      <c r="L101" s="154" t="n">
        <f aca="false">IFERROR(IF(OR(NOT(ISNUMBER('Price History'!L102)),NOT(ISNUMBER('Price History'!L101)),'Price History'!L101=0),"",'Price History'!L102/'Price History'!L101-1),"")</f>
        <v>0.0281453385629931</v>
      </c>
      <c r="M101" s="154" t="n">
        <f aca="false">IFERROR(IF(OR(NOT(ISNUMBER('Price History'!M102)),NOT(ISNUMBER('Price History'!M101)),'Price History'!M101=0),"",'Price History'!M102/'Price History'!M101-1),"")</f>
        <v>-0.0117397454031117</v>
      </c>
      <c r="N101" s="154" t="n">
        <f aca="false">IFERROR(IF(OR(NOT(ISNUMBER('Price History'!N102)),NOT(ISNUMBER('Price History'!N101)),'Price History'!N101=0),"",'Price History'!N102/'Price History'!N101-1),"")</f>
        <v>-0.206846558327743</v>
      </c>
      <c r="O101" s="154" t="n">
        <f aca="false">IFERROR(IF(OR(NOT(ISNUMBER('Price History'!O102)),NOT(ISNUMBER('Price History'!O101)),'Price History'!O101=0),"",'Price History'!O102/'Price History'!O101-1),"")</f>
        <v>0.0233160621761657</v>
      </c>
      <c r="P101" s="154" t="n">
        <f aca="false">IFERROR(IF(OR(NOT(ISNUMBER('Price History'!P102)),NOT(ISNUMBER('Price History'!P101)),'Price History'!P101=0),"",'Price History'!P102/'Price History'!P101-1),"")</f>
        <v>0.0161479054528433</v>
      </c>
      <c r="Q101" s="154" t="n">
        <f aca="false">IFERROR(IF(OR(NOT(ISNUMBER('Price History'!Q102)),NOT(ISNUMBER('Price History'!Q101)),'Price History'!Q101=0),"",'Price History'!Q102/'Price History'!Q101-1),"")</f>
        <v>0.0115644073241246</v>
      </c>
      <c r="R101" s="154" t="n">
        <f aca="false">IFERROR(IF(OR(NOT(ISNUMBER('Price History'!R102)),NOT(ISNUMBER('Price History'!R101)),'Price History'!R101=0),"",'Price History'!R102/'Price History'!R101-1),"")</f>
        <v>0.028219817525992</v>
      </c>
      <c r="S101" s="154" t="n">
        <f aca="false">IFERROR(IF(OR(NOT(ISNUMBER('Price History'!S102)),NOT(ISNUMBER('Price History'!S101)),'Price History'!S101=0),"",'Price History'!S102/'Price History'!S101-1),"")</f>
        <v>0.0349687778768957</v>
      </c>
      <c r="T101" s="154" t="n">
        <f aca="false">IFERROR(IF(OR(NOT(ISNUMBER('Price History'!T102)),NOT(ISNUMBER('Price History'!T101)),'Price History'!T101=0),"",'Price History'!T102/'Price History'!T101-1),"")</f>
        <v>0.0100591715976333</v>
      </c>
      <c r="U101" s="154" t="n">
        <f aca="false">IFERROR(IF(OR(NOT(ISNUMBER('Price History'!U102)),NOT(ISNUMBER('Price History'!U101)),'Price History'!U101=0),"",'Price History'!U102/'Price History'!U101-1),"")</f>
        <v>0.0190174326465928</v>
      </c>
      <c r="V101" s="155" t="n">
        <f aca="false">IFERROR(IF(OR(NOT(ISNUMBER('Price History'!V102)),NOT(ISNUMBER('Price History'!V101)),'Price History'!V101=0),"",'Price History'!V102/'Price History'!V101-1),"")</f>
        <v>-0.00758770494242278</v>
      </c>
      <c r="W101" s="156" t="n">
        <f aca="false">IFERROR('Price History'!B3+(INDEX('Price History'!B:B,MATCH(9.99E+307,'Returns (Calc)'!$A:$A)+1)-'Price History'!B3)*(ROW()-3)/(MATCH(9.99E+307,'Returns (Calc)'!$A:$A)-3),"")</f>
        <v>348.272278481013</v>
      </c>
      <c r="X101" s="156" t="n">
        <f aca="false">IFERROR('Price History'!C3+(INDEX('Price History'!C:C,MATCH(9.99E+307,'Returns (Calc)'!$A:$A)+1)-'Price History'!C3)*(ROW()-3)/(MATCH(9.99E+307,'Returns (Calc)'!$A:$A)-3),"")</f>
        <v>146.146202531646</v>
      </c>
      <c r="Y101" s="156" t="n">
        <f aca="false">IFERROR('Price History'!D3+(INDEX('Price History'!D:D,MATCH(9.99E+307,'Returns (Calc)'!$A:$A)+1)-'Price History'!D3)*(ROW()-3)/(MATCH(9.99E+307,'Returns (Calc)'!$A:$A)-3),"")</f>
        <v>1379.22139240506</v>
      </c>
      <c r="Z101" s="156" t="n">
        <f aca="false">IFERROR('Price History'!E3+(INDEX('Price History'!E:E,MATCH(9.99E+307,'Returns (Calc)'!$A:$A)+1)-'Price History'!E3)*(ROW()-3)/(MATCH(9.99E+307,'Returns (Calc)'!$A:$A)-3),"")</f>
        <v>251.415949367089</v>
      </c>
      <c r="AA101" s="156" t="n">
        <f aca="false">IFERROR('Price History'!F3+(INDEX('Price History'!F:F,MATCH(9.99E+307,'Returns (Calc)'!$A:$A)+1)-'Price History'!F3)*(ROW()-3)/(MATCH(9.99E+307,'Returns (Calc)'!$A:$A)-3),"")</f>
        <v>183.199493670886</v>
      </c>
      <c r="AB101" s="156" t="n">
        <f aca="false">IFERROR('Price History'!G3+(INDEX('Price History'!G:G,MATCH(9.99E+307,'Returns (Calc)'!$A:$A)+1)-'Price History'!G3)*(ROW()-3)/(MATCH(9.99E+307,'Returns (Calc)'!$A:$A)-3),"")</f>
        <v>145.165949367089</v>
      </c>
      <c r="AC101" s="156" t="n">
        <f aca="false">IFERROR('Price History'!H3+(INDEX('Price History'!H:H,MATCH(9.99E+307,'Returns (Calc)'!$A:$A)+1)-'Price History'!H3)*(ROW()-3)/(MATCH(9.99E+307,'Returns (Calc)'!$A:$A)-3),"")</f>
        <v>692.948227848101</v>
      </c>
      <c r="AD101" s="156" t="n">
        <f aca="false">IFERROR('Price History'!I3+(INDEX('Price History'!I:I,MATCH(9.99E+307,'Returns (Calc)'!$A:$A)+1)-'Price History'!I3)*(ROW()-3)/(MATCH(9.99E+307,'Returns (Calc)'!$A:$A)-3),"")</f>
        <v>161.729746835443</v>
      </c>
      <c r="AE101" s="156" t="n">
        <f aca="false">IFERROR('Price History'!J3+(INDEX('Price History'!J:J,MATCH(9.99E+307,'Returns (Calc)'!$A:$A)+1)-'Price History'!J3)*(ROW()-3)/(MATCH(9.99E+307,'Returns (Calc)'!$A:$A)-3),"")</f>
        <v>122.427721518987</v>
      </c>
      <c r="AF101" s="156" t="n">
        <f aca="false">IFERROR('Price History'!K3+(INDEX('Price History'!K:K,MATCH(9.99E+307,'Returns (Calc)'!$A:$A)+1)-'Price History'!K3)*(ROW()-3)/(MATCH(9.99E+307,'Returns (Calc)'!$A:$A)-3),"")</f>
        <v>122.894303797468</v>
      </c>
      <c r="AG101" s="156" t="n">
        <f aca="false">IFERROR('Price History'!L3+(INDEX('Price History'!L:L,MATCH(9.99E+307,'Returns (Calc)'!$A:$A)+1)-'Price History'!L3)*(ROW()-3)/(MATCH(9.99E+307,'Returns (Calc)'!$A:$A)-3),"")</f>
        <v>325.806582278481</v>
      </c>
      <c r="AH101" s="156" t="n">
        <f aca="false">IFERROR('Price History'!M3+(INDEX('Price History'!M:M,MATCH(9.99E+307,'Returns (Calc)'!$A:$A)+1)-'Price History'!M3)*(ROW()-3)/(MATCH(9.99E+307,'Returns (Calc)'!$A:$A)-3),"")</f>
        <v>170.853417721519</v>
      </c>
      <c r="AI101" s="156" t="n">
        <f aca="false">IFERROR('Price History'!N3+(INDEX('Price History'!N:N,MATCH(9.99E+307,'Returns (Calc)'!$A:$A)+1)-'Price History'!N3)*(ROW()-3)/(MATCH(9.99E+307,'Returns (Calc)'!$A:$A)-3),"")</f>
        <v>445.554050632911</v>
      </c>
      <c r="AJ101" s="156" t="n">
        <f aca="false">IFERROR('Price History'!O3+(INDEX('Price History'!O:O,MATCH(9.99E+307,'Returns (Calc)'!$A:$A)+1)-'Price History'!O3)*(ROW()-3)/(MATCH(9.99E+307,'Returns (Calc)'!$A:$A)-3),"")</f>
        <v>103.047721518987</v>
      </c>
      <c r="AK101" s="156" t="n">
        <f aca="false">IFERROR('Price History'!Q3+(INDEX('Price History'!Q:Q,MATCH(9.99E+307,'Returns (Calc)'!$A:$A)+1)-'Price History'!Q3)*(ROW()-3)/(MATCH(9.99E+307,'Returns (Calc)'!$A:$A)-3),"")</f>
        <v>43.0579746835443</v>
      </c>
      <c r="AL101" s="156" t="n">
        <f aca="false">IFERROR('Price History'!R3+(INDEX('Price History'!R:R,MATCH(9.99E+307,'Returns (Calc)'!$A:$A)+1)-'Price History'!R3)*(ROW()-3)/(MATCH(9.99E+307,'Returns (Calc)'!$A:$A)-3),"")</f>
        <v>50.9539240506329</v>
      </c>
      <c r="AM101" s="156" t="n">
        <f aca="false">IFERROR('Price History'!S3+(INDEX('Price History'!S:S,MATCH(9.99E+307,'Returns (Calc)'!$A:$A)+1)-'Price History'!S3)*(ROW()-3)/(MATCH(9.99E+307,'Returns (Calc)'!$A:$A)-3),"")</f>
        <v>116.926202531646</v>
      </c>
      <c r="AN101" s="156" t="n">
        <f aca="false">IFERROR('Price History'!T3+(INDEX('Price History'!T:T,MATCH(9.99E+307,'Returns (Calc)'!$A:$A)+1)-'Price History'!T3)*(ROW()-3)/(MATCH(9.99E+307,'Returns (Calc)'!$A:$A)-3),"")</f>
        <v>41.7263291139241</v>
      </c>
      <c r="AO101" s="157" t="n">
        <f aca="false">IFERROR('Price History'!V3+(INDEX('Price History'!V:V,MATCH(9.99E+307,'Returns (Calc)'!$A:$A)+1)-'Price History'!V3)*(ROW()-3)/(MATCH(9.99E+307,'Returns (Calc)'!$A:$A)-3),"")</f>
        <v>313.180253164557</v>
      </c>
      <c r="AP101" s="155" t="n">
        <f aca="false">IFERROR(IF(OR(NOT(ISNUMBER('Price History'!W102)),NOT(ISNUMBER('Price History'!W101)),'Price History'!W101=0),"",'Price History'!W102/'Price History'!W101-1),"")</f>
        <v>0.0183792167506787</v>
      </c>
      <c r="AQ101" s="155" t="str">
        <f aca="false">IFERROR(IF(OR(NOT(ISNUMBER('Price History'!X102)),NOT(ISNUMBER('Price History'!X101)),'Price History'!X101=0),"",'Price History'!X102/'Price History'!X101-1),"")</f>
        <v/>
      </c>
      <c r="AR101" s="155" t="n">
        <f aca="false">IFERROR(IF(OR(NOT(ISNUMBER('Price History'!Y102)),NOT(ISNUMBER('Price History'!Y101)),'Price History'!Y101=0),"",'Price History'!Y102/'Price History'!Y101-1),"")</f>
        <v>0.00808838035115422</v>
      </c>
      <c r="AS101" s="155" t="n">
        <f aca="false">IFERROR(IF(OR(NOT(ISNUMBER('Price History'!Z102)),NOT(ISNUMBER('Price History'!Z101)),'Price History'!Z101=0),"",'Price History'!Z102/'Price History'!Z101-1),"")</f>
        <v>0.0208939631370795</v>
      </c>
      <c r="AT101" s="155" t="n">
        <f aca="false">IFERROR(IF(OR(NOT(ISNUMBER('Price History'!AA102)),NOT(ISNUMBER('Price History'!AA101)),'Price History'!AA101=0),"",'Price History'!AA102/'Price History'!AA101-1),"")</f>
        <v>0.0457448644916278</v>
      </c>
      <c r="AU101" s="155" t="n">
        <f aca="false">IFERROR(IF(OR(NOT(ISNUMBER('Price History'!AB102)),NOT(ISNUMBER('Price History'!AB101)),'Price History'!AB101=0),"",'Price History'!AB102/'Price History'!AB101-1),"")</f>
        <v>0.00277234760973877</v>
      </c>
    </row>
    <row r="102" customFormat="false" ht="15" hidden="false" customHeight="true" outlineLevel="0" collapsed="false">
      <c r="A102" s="153" t="n">
        <f aca="false">IF('Price History'!A103="","",'Price History'!A103)</f>
        <v>45884</v>
      </c>
      <c r="B102" s="154" t="n">
        <f aca="false">IFERROR(IF(OR(NOT(ISNUMBER('Price History'!B103)),NOT(ISNUMBER('Price History'!B102)),'Price History'!B102=0),"",'Price History'!B103/'Price History'!B102-1),"")</f>
        <v>0.0404632751795924</v>
      </c>
      <c r="C102" s="154" t="n">
        <f aca="false">IFERROR(IF(OR(NOT(ISNUMBER('Price History'!C103)),NOT(ISNUMBER('Price History'!C102)),'Price History'!C102=0),"",'Price History'!C103/'Price History'!C102-1),"")</f>
        <v>-0.0135076878861905</v>
      </c>
      <c r="D102" s="154" t="n">
        <f aca="false">IFERROR(IF(OR(NOT(ISNUMBER('Price History'!D103)),NOT(ISNUMBER('Price History'!D102)),'Price History'!D102=0),"",'Price History'!D103/'Price History'!D102-1),"")</f>
        <v>0.0274669379450661</v>
      </c>
      <c r="E102" s="154" t="n">
        <f aca="false">IFERROR(IF(OR(NOT(ISNUMBER('Price History'!E103)),NOT(ISNUMBER('Price History'!E102)),'Price History'!E102=0),"",'Price History'!E103/'Price History'!E102-1),"")</f>
        <v>0.00450033090668445</v>
      </c>
      <c r="F102" s="154" t="n">
        <f aca="false">IFERROR(IF(OR(NOT(ISNUMBER('Price History'!F103)),NOT(ISNUMBER('Price History'!F102)),'Price History'!F102=0),"",'Price History'!F103/'Price History'!F102-1),"")</f>
        <v>0.00800980022615905</v>
      </c>
      <c r="G102" s="154" t="n">
        <f aca="false">IFERROR(IF(OR(NOT(ISNUMBER('Price History'!G103)),NOT(ISNUMBER('Price History'!G102)),'Price History'!G102=0),"",'Price History'!G103/'Price History'!G102-1),"")</f>
        <v>-0.0435069941623527</v>
      </c>
      <c r="H102" s="154" t="n">
        <f aca="false">IFERROR(IF(OR(NOT(ISNUMBER('Price History'!H103)),NOT(ISNUMBER('Price History'!H102)),'Price History'!H102=0),"",'Price History'!H103/'Price History'!H102-1),"")</f>
        <v>0.016680707666386</v>
      </c>
      <c r="I102" s="154" t="n">
        <f aca="false">IFERROR(IF(OR(NOT(ISNUMBER('Price History'!I103)),NOT(ISNUMBER('Price History'!I102)),'Price History'!I102=0),"",'Price History'!I103/'Price History'!I102-1),"")</f>
        <v>-0.0122908093278464</v>
      </c>
      <c r="J102" s="154" t="n">
        <f aca="false">IFERROR(IF(OR(NOT(ISNUMBER('Price History'!J103)),NOT(ISNUMBER('Price History'!J102)),'Price History'!J102=0),"",'Price History'!J103/'Price History'!J102-1),"")</f>
        <v>0.00856636471051608</v>
      </c>
      <c r="K102" s="154" t="n">
        <f aca="false">IFERROR(IF(OR(NOT(ISNUMBER('Price History'!K103)),NOT(ISNUMBER('Price History'!K102)),'Price History'!K102=0),"",'Price History'!K103/'Price History'!K102-1),"")</f>
        <v>-0.0523641420624734</v>
      </c>
      <c r="L102" s="154" t="n">
        <f aca="false">IFERROR(IF(OR(NOT(ISNUMBER('Price History'!L103)),NOT(ISNUMBER('Price History'!L102)),'Price History'!L102=0),"",'Price History'!L103/'Price History'!L102-1),"")</f>
        <v>-0.0121992118722227</v>
      </c>
      <c r="M102" s="154" t="n">
        <f aca="false">IFERROR(IF(OR(NOT(ISNUMBER('Price History'!M103)),NOT(ISNUMBER('Price History'!M102)),'Price History'!M102=0),"",'Price History'!M103/'Price History'!M102-1),"")</f>
        <v>-0.0490196078431374</v>
      </c>
      <c r="N102" s="154" t="n">
        <f aca="false">IFERROR(IF(OR(NOT(ISNUMBER('Price History'!N103)),NOT(ISNUMBER('Price History'!N102)),'Price History'!N102=0),"",'Price History'!N103/'Price History'!N102-1),"")</f>
        <v>0.0716156490423965</v>
      </c>
      <c r="O102" s="154" t="n">
        <f aca="false">IFERROR(IF(OR(NOT(ISNUMBER('Price History'!O103)),NOT(ISNUMBER('Price History'!O102)),'Price History'!O102=0),"",'Price History'!O103/'Price History'!O102-1),"")</f>
        <v>0.0298293891029169</v>
      </c>
      <c r="P102" s="154" t="n">
        <f aca="false">IFERROR(IF(OR(NOT(ISNUMBER('Price History'!P103)),NOT(ISNUMBER('Price History'!P102)),'Price History'!P102=0),"",'Price History'!P103/'Price History'!P102-1),"")</f>
        <v>0.0153539075694764</v>
      </c>
      <c r="Q102" s="154" t="n">
        <f aca="false">IFERROR(IF(OR(NOT(ISNUMBER('Price History'!Q103)),NOT(ISNUMBER('Price History'!Q102)),'Price History'!Q102=0),"",'Price History'!Q103/'Price History'!Q102-1),"")</f>
        <v>0.00730390600190534</v>
      </c>
      <c r="R102" s="154" t="n">
        <f aca="false">IFERROR(IF(OR(NOT(ISNUMBER('Price History'!R103)),NOT(ISNUMBER('Price History'!R102)),'Price History'!R102=0),"",'Price History'!R103/'Price History'!R102-1),"")</f>
        <v>0.00866694180767658</v>
      </c>
      <c r="S102" s="154" t="n">
        <f aca="false">IFERROR(IF(OR(NOT(ISNUMBER('Price History'!S103)),NOT(ISNUMBER('Price History'!S102)),'Price History'!S102=0),"",'Price History'!S103/'Price History'!S102-1),"")</f>
        <v>0.00103430443027075</v>
      </c>
      <c r="T102" s="154" t="n">
        <f aca="false">IFERROR(IF(OR(NOT(ISNUMBER('Price History'!T103)),NOT(ISNUMBER('Price History'!T102)),'Price History'!T102=0),"",'Price History'!T103/'Price History'!T102-1),"")</f>
        <v>0.0395430579964851</v>
      </c>
      <c r="U102" s="154" t="n">
        <f aca="false">IFERROR(IF(OR(NOT(ISNUMBER('Price History'!U103)),NOT(ISNUMBER('Price History'!U102)),'Price History'!U102=0),"",'Price History'!U103/'Price History'!U102-1),"")</f>
        <v>0.0167185069984448</v>
      </c>
      <c r="V102" s="155" t="n">
        <f aca="false">IFERROR(IF(OR(NOT(ISNUMBER('Price History'!V103)),NOT(ISNUMBER('Price History'!V102)),'Price History'!V102=0),"",'Price History'!V103/'Price History'!V102-1),"")</f>
        <v>0.0246461981290478</v>
      </c>
      <c r="W102" s="156" t="n">
        <f aca="false">IFERROR('Price History'!B3+(INDEX('Price History'!B:B,MATCH(9.99E+307,'Returns (Calc)'!$A:$A)+1)-'Price History'!B3)*(ROW()-3)/(MATCH(9.99E+307,'Returns (Calc)'!$A:$A)-3),"")</f>
        <v>346.429240506329</v>
      </c>
      <c r="X102" s="156" t="n">
        <f aca="false">IFERROR('Price History'!C3+(INDEX('Price History'!C:C,MATCH(9.99E+307,'Returns (Calc)'!$A:$A)+1)-'Price History'!C3)*(ROW()-3)/(MATCH(9.99E+307,'Returns (Calc)'!$A:$A)-3),"")</f>
        <v>147.166265822785</v>
      </c>
      <c r="Y102" s="156" t="n">
        <f aca="false">IFERROR('Price History'!D3+(INDEX('Price History'!D:D,MATCH(9.99E+307,'Returns (Calc)'!$A:$A)+1)-'Price History'!D3)*(ROW()-3)/(MATCH(9.99E+307,'Returns (Calc)'!$A:$A)-3),"")</f>
        <v>1387.35620253165</v>
      </c>
      <c r="Z102" s="156" t="n">
        <f aca="false">IFERROR('Price History'!E3+(INDEX('Price History'!E:E,MATCH(9.99E+307,'Returns (Calc)'!$A:$A)+1)-'Price History'!E3)*(ROW()-3)/(MATCH(9.99E+307,'Returns (Calc)'!$A:$A)-3),"")</f>
        <v>253.144683544304</v>
      </c>
      <c r="AA102" s="156" t="n">
        <f aca="false">IFERROR('Price History'!F3+(INDEX('Price History'!F:F,MATCH(9.99E+307,'Returns (Calc)'!$A:$A)+1)-'Price History'!F3)*(ROW()-3)/(MATCH(9.99E+307,'Returns (Calc)'!$A:$A)-3),"")</f>
        <v>184.646835443038</v>
      </c>
      <c r="AB102" s="156" t="n">
        <f aca="false">IFERROR('Price History'!G3+(INDEX('Price History'!G:G,MATCH(9.99E+307,'Returns (Calc)'!$A:$A)+1)-'Price History'!G3)*(ROW()-3)/(MATCH(9.99E+307,'Returns (Calc)'!$A:$A)-3),"")</f>
        <v>146.194683544304</v>
      </c>
      <c r="AC102" s="156" t="n">
        <f aca="false">IFERROR('Price History'!H3+(INDEX('Price History'!H:H,MATCH(9.99E+307,'Returns (Calc)'!$A:$A)+1)-'Price History'!H3)*(ROW()-3)/(MATCH(9.99E+307,'Returns (Calc)'!$A:$A)-3),"")</f>
        <v>699.313924050633</v>
      </c>
      <c r="AD102" s="156" t="n">
        <f aca="false">IFERROR('Price History'!I3+(INDEX('Price History'!I:I,MATCH(9.99E+307,'Returns (Calc)'!$A:$A)+1)-'Price History'!I3)*(ROW()-3)/(MATCH(9.99E+307,'Returns (Calc)'!$A:$A)-3),"")</f>
        <v>162.933417721519</v>
      </c>
      <c r="AE102" s="156" t="n">
        <f aca="false">IFERROR('Price History'!J3+(INDEX('Price History'!J:J,MATCH(9.99E+307,'Returns (Calc)'!$A:$A)+1)-'Price History'!J3)*(ROW()-3)/(MATCH(9.99E+307,'Returns (Calc)'!$A:$A)-3),"")</f>
        <v>122.535759493671</v>
      </c>
      <c r="AF102" s="156" t="n">
        <f aca="false">IFERROR('Price History'!K3+(INDEX('Price History'!K:K,MATCH(9.99E+307,'Returns (Calc)'!$A:$A)+1)-'Price History'!K3)*(ROW()-3)/(MATCH(9.99E+307,'Returns (Calc)'!$A:$A)-3),"")</f>
        <v>123.991898734177</v>
      </c>
      <c r="AG102" s="156" t="n">
        <f aca="false">IFERROR('Price History'!L3+(INDEX('Price History'!L:L,MATCH(9.99E+307,'Returns (Calc)'!$A:$A)+1)-'Price History'!L3)*(ROW()-3)/(MATCH(9.99E+307,'Returns (Calc)'!$A:$A)-3),"")</f>
        <v>328.256139240506</v>
      </c>
      <c r="AH102" s="156" t="n">
        <f aca="false">IFERROR('Price History'!M3+(INDEX('Price History'!M:M,MATCH(9.99E+307,'Returns (Calc)'!$A:$A)+1)-'Price History'!M3)*(ROW()-3)/(MATCH(9.99E+307,'Returns (Calc)'!$A:$A)-3),"")</f>
        <v>172.208860759494</v>
      </c>
      <c r="AI102" s="156" t="n">
        <f aca="false">IFERROR('Price History'!N3+(INDEX('Price History'!N:N,MATCH(9.99E+307,'Returns (Calc)'!$A:$A)+1)-'Price History'!N3)*(ROW()-3)/(MATCH(9.99E+307,'Returns (Calc)'!$A:$A)-3),"")</f>
        <v>446.540316455696</v>
      </c>
      <c r="AJ102" s="156" t="n">
        <f aca="false">IFERROR('Price History'!O3+(INDEX('Price History'!O:O,MATCH(9.99E+307,'Returns (Calc)'!$A:$A)+1)-'Price History'!O3)*(ROW()-3)/(MATCH(9.99E+307,'Returns (Calc)'!$A:$A)-3),"")</f>
        <v>103.330759493671</v>
      </c>
      <c r="AK102" s="156" t="n">
        <f aca="false">IFERROR('Price History'!Q3+(INDEX('Price History'!Q:Q,MATCH(9.99E+307,'Returns (Calc)'!$A:$A)+1)-'Price History'!Q3)*(ROW()-3)/(MATCH(9.99E+307,'Returns (Calc)'!$A:$A)-3),"")</f>
        <v>43.4973417721519</v>
      </c>
      <c r="AL102" s="156" t="n">
        <f aca="false">IFERROR('Price History'!R3+(INDEX('Price History'!R:R,MATCH(9.99E+307,'Returns (Calc)'!$A:$A)+1)-'Price History'!R3)*(ROW()-3)/(MATCH(9.99E+307,'Returns (Calc)'!$A:$A)-3),"")</f>
        <v>51.1220253164557</v>
      </c>
      <c r="AM102" s="156" t="n">
        <f aca="false">IFERROR('Price History'!S3+(INDEX('Price History'!S:S,MATCH(9.99E+307,'Returns (Calc)'!$A:$A)+1)-'Price History'!S3)*(ROW()-3)/(MATCH(9.99E+307,'Returns (Calc)'!$A:$A)-3),"")</f>
        <v>117.531265822785</v>
      </c>
      <c r="AN102" s="156" t="n">
        <f aca="false">IFERROR('Price History'!T3+(INDEX('Price History'!T:T,MATCH(9.99E+307,'Returns (Calc)'!$A:$A)+1)-'Price History'!T3)*(ROW()-3)/(MATCH(9.99E+307,'Returns (Calc)'!$A:$A)-3),"")</f>
        <v>41.8945569620253</v>
      </c>
      <c r="AO102" s="157" t="n">
        <f aca="false">IFERROR('Price History'!V3+(INDEX('Price History'!V:V,MATCH(9.99E+307,'Returns (Calc)'!$A:$A)+1)-'Price History'!V3)*(ROW()-3)/(MATCH(9.99E+307,'Returns (Calc)'!$A:$A)-3),"")</f>
        <v>313.971582278481</v>
      </c>
      <c r="AP102" s="155" t="n">
        <f aca="false">IFERROR(IF(OR(NOT(ISNUMBER('Price History'!W103)),NOT(ISNUMBER('Price History'!W102)),'Price History'!W102=0),"",'Price History'!W103/'Price History'!W102-1),"")</f>
        <v>0.0121839780688395</v>
      </c>
      <c r="AQ102" s="155" t="str">
        <f aca="false">IFERROR(IF(OR(NOT(ISNUMBER('Price History'!X103)),NOT(ISNUMBER('Price History'!X102)),'Price History'!X102=0),"",'Price History'!X103/'Price History'!X102-1),"")</f>
        <v/>
      </c>
      <c r="AR102" s="155" t="n">
        <f aca="false">IFERROR(IF(OR(NOT(ISNUMBER('Price History'!Y103)),NOT(ISNUMBER('Price History'!Y102)),'Price History'!Y102=0),"",'Price History'!Y103/'Price History'!Y102-1),"")</f>
        <v>0.0113502935420744</v>
      </c>
      <c r="AS102" s="155" t="n">
        <f aca="false">IFERROR(IF(OR(NOT(ISNUMBER('Price History'!Z103)),NOT(ISNUMBER('Price History'!Z102)),'Price History'!Z102=0),"",'Price History'!Z103/'Price History'!Z102-1),"")</f>
        <v>-0.0260214896571889</v>
      </c>
      <c r="AT102" s="155" t="n">
        <f aca="false">IFERROR(IF(OR(NOT(ISNUMBER('Price History'!AA103)),NOT(ISNUMBER('Price History'!AA102)),'Price History'!AA102=0),"",'Price History'!AA103/'Price History'!AA102-1),"")</f>
        <v>0.0225321888412018</v>
      </c>
      <c r="AU102" s="155" t="n">
        <f aca="false">IFERROR(IF(OR(NOT(ISNUMBER('Price History'!AB103)),NOT(ISNUMBER('Price History'!AB102)),'Price History'!AB102=0),"",'Price History'!AB103/'Price History'!AB102-1),"")</f>
        <v>-0.00538758728245836</v>
      </c>
    </row>
    <row r="103" customFormat="false" ht="15" hidden="false" customHeight="true" outlineLevel="0" collapsed="false">
      <c r="A103" s="153" t="n">
        <f aca="false">IF('Price History'!A104="","",'Price History'!A104)</f>
        <v>45891</v>
      </c>
      <c r="B103" s="154" t="n">
        <f aca="false">IFERROR(IF(OR(NOT(ISNUMBER('Price History'!B104)),NOT(ISNUMBER('Price History'!B103)),'Price History'!B103=0),"",'Price History'!B104/'Price History'!B103-1),"")</f>
        <v>0.0204029871776805</v>
      </c>
      <c r="C103" s="154" t="n">
        <f aca="false">IFERROR(IF(OR(NOT(ISNUMBER('Price History'!C104)),NOT(ISNUMBER('Price History'!C103)),'Price History'!C103=0),"",'Price History'!C104/'Price History'!C103-1),"")</f>
        <v>-0.029497450837582</v>
      </c>
      <c r="D103" s="154" t="n">
        <f aca="false">IFERROR(IF(OR(NOT(ISNUMBER('Price History'!D104)),NOT(ISNUMBER('Price History'!D103)),'Price History'!D103=0),"",'Price History'!D104/'Price History'!D103-1),"")</f>
        <v>0.0171571951715721</v>
      </c>
      <c r="E103" s="154" t="n">
        <f aca="false">IFERROR(IF(OR(NOT(ISNUMBER('Price History'!E104)),NOT(ISNUMBER('Price History'!E103)),'Price History'!E103=0),"",'Price History'!E104/'Price History'!E103-1),"")</f>
        <v>-0.0402885755699038</v>
      </c>
      <c r="F103" s="154" t="n">
        <f aca="false">IFERROR(IF(OR(NOT(ISNUMBER('Price History'!F104)),NOT(ISNUMBER('Price History'!F103)),'Price History'!F103=0),"",'Price History'!F104/'Price History'!F103-1),"")</f>
        <v>-0.0171076002617556</v>
      </c>
      <c r="G103" s="154" t="n">
        <f aca="false">IFERROR(IF(OR(NOT(ISNUMBER('Price History'!G104)),NOT(ISNUMBER('Price History'!G103)),'Price History'!G103=0),"",'Price History'!G104/'Price History'!G103-1),"")</f>
        <v>-0.0032243205895901</v>
      </c>
      <c r="H103" s="154" t="n">
        <f aca="false">IFERROR(IF(OR(NOT(ISNUMBER('Price History'!H104)),NOT(ISNUMBER('Price History'!H103)),'Price History'!H103=0),"",'Price History'!H104/'Price History'!H103-1),"")</f>
        <v>-0.0264335432548891</v>
      </c>
      <c r="I103" s="154" t="n">
        <f aca="false">IFERROR(IF(OR(NOT(ISNUMBER('Price History'!I104)),NOT(ISNUMBER('Price History'!I103)),'Price History'!I103=0),"",'Price History'!I104/'Price History'!I103-1),"")</f>
        <v>-0.0136659074495861</v>
      </c>
      <c r="J103" s="154" t="n">
        <f aca="false">IFERROR(IF(OR(NOT(ISNUMBER('Price History'!J104)),NOT(ISNUMBER('Price History'!J103)),'Price History'!J103=0),"",'Price History'!J104/'Price History'!J103-1),"")</f>
        <v>0.0534023235380259</v>
      </c>
      <c r="K103" s="154" t="n">
        <f aca="false">IFERROR(IF(OR(NOT(ISNUMBER('Price History'!K104)),NOT(ISNUMBER('Price History'!K103)),'Price History'!K103=0),"",'Price History'!K104/'Price History'!K103-1),"")</f>
        <v>-0.104024383360614</v>
      </c>
      <c r="L103" s="154" t="n">
        <f aca="false">IFERROR(IF(OR(NOT(ISNUMBER('Price History'!L104)),NOT(ISNUMBER('Price History'!L103)),'Price History'!L103=0),"",'Price History'!L104/'Price History'!L103-1),"")</f>
        <v>-0.0246573017018207</v>
      </c>
      <c r="M103" s="154" t="n">
        <f aca="false">IFERROR(IF(OR(NOT(ISNUMBER('Price History'!M104)),NOT(ISNUMBER('Price History'!M103)),'Price History'!M103=0),"",'Price History'!M104/'Price History'!M103-1),"")</f>
        <v>-0.0533523967190909</v>
      </c>
      <c r="N103" s="154" t="n">
        <f aca="false">IFERROR(IF(OR(NOT(ISNUMBER('Price History'!N104)),NOT(ISNUMBER('Price History'!N103)),'Price History'!N103=0),"",'Price History'!N104/'Price History'!N103-1),"")</f>
        <v>0.00593192291046107</v>
      </c>
      <c r="O103" s="154" t="n">
        <f aca="false">IFERROR(IF(OR(NOT(ISNUMBER('Price History'!O104)),NOT(ISNUMBER('Price History'!O103)),'Price History'!O103=0),"",'Price History'!O104/'Price History'!O103-1),"")</f>
        <v>0.0397605814450619</v>
      </c>
      <c r="P103" s="154" t="n">
        <f aca="false">IFERROR(IF(OR(NOT(ISNUMBER('Price History'!P104)),NOT(ISNUMBER('Price History'!P103)),'Price History'!P103=0),"",'Price History'!P104/'Price History'!P103-1),"")</f>
        <v>0.0288825041584759</v>
      </c>
      <c r="Q103" s="154" t="n">
        <f aca="false">IFERROR(IF(OR(NOT(ISNUMBER('Price History'!Q104)),NOT(ISNUMBER('Price History'!Q103)),'Price History'!Q103=0),"",'Price History'!Q104/'Price History'!Q103-1),"")</f>
        <v>0.00362547288776804</v>
      </c>
      <c r="R103" s="154" t="n">
        <f aca="false">IFERROR(IF(OR(NOT(ISNUMBER('Price History'!R104)),NOT(ISNUMBER('Price History'!R103)),'Price History'!R103=0),"",'Price History'!R104/'Price History'!R103-1),"")</f>
        <v>-0.00245499181669406</v>
      </c>
      <c r="S103" s="154" t="n">
        <f aca="false">IFERROR(IF(OR(NOT(ISNUMBER('Price History'!S104)),NOT(ISNUMBER('Price History'!S103)),'Price History'!S103=0),"",'Price History'!S104/'Price History'!S103-1),"")</f>
        <v>-0.0068021353538833</v>
      </c>
      <c r="T103" s="154" t="n">
        <f aca="false">IFERROR(IF(OR(NOT(ISNUMBER('Price History'!T104)),NOT(ISNUMBER('Price History'!T103)),'Price History'!T103=0),"",'Price History'!T104/'Price History'!T103-1),"")</f>
        <v>0.0259227951535643</v>
      </c>
      <c r="U103" s="154" t="n">
        <f aca="false">IFERROR(IF(OR(NOT(ISNUMBER('Price History'!U104)),NOT(ISNUMBER('Price History'!U103)),'Price History'!U103=0),"",'Price History'!U104/'Price History'!U103-1),"")</f>
        <v>0.0229445506692161</v>
      </c>
      <c r="V103" s="155" t="n">
        <f aca="false">IFERROR(IF(OR(NOT(ISNUMBER('Price History'!V104)),NOT(ISNUMBER('Price History'!V103)),'Price History'!V103=0),"",'Price History'!V104/'Price History'!V103-1),"")</f>
        <v>0.0161526306548838</v>
      </c>
      <c r="W103" s="156" t="n">
        <f aca="false">IFERROR('Price History'!B3+(INDEX('Price History'!B:B,MATCH(9.99E+307,'Returns (Calc)'!$A:$A)+1)-'Price History'!B3)*(ROW()-3)/(MATCH(9.99E+307,'Returns (Calc)'!$A:$A)-3),"")</f>
        <v>344.586202531646</v>
      </c>
      <c r="X103" s="156" t="n">
        <f aca="false">IFERROR('Price History'!C3+(INDEX('Price History'!C:C,MATCH(9.99E+307,'Returns (Calc)'!$A:$A)+1)-'Price History'!C3)*(ROW()-3)/(MATCH(9.99E+307,'Returns (Calc)'!$A:$A)-3),"")</f>
        <v>148.186329113924</v>
      </c>
      <c r="Y103" s="156" t="n">
        <f aca="false">IFERROR('Price History'!D3+(INDEX('Price History'!D:D,MATCH(9.99E+307,'Returns (Calc)'!$A:$A)+1)-'Price History'!D3)*(ROW()-3)/(MATCH(9.99E+307,'Returns (Calc)'!$A:$A)-3),"")</f>
        <v>1395.49101265823</v>
      </c>
      <c r="Z103" s="156" t="n">
        <f aca="false">IFERROR('Price History'!E3+(INDEX('Price History'!E:E,MATCH(9.99E+307,'Returns (Calc)'!$A:$A)+1)-'Price History'!E3)*(ROW()-3)/(MATCH(9.99E+307,'Returns (Calc)'!$A:$A)-3),"")</f>
        <v>254.873417721519</v>
      </c>
      <c r="AA103" s="156" t="n">
        <f aca="false">IFERROR('Price History'!F3+(INDEX('Price History'!F:F,MATCH(9.99E+307,'Returns (Calc)'!$A:$A)+1)-'Price History'!F3)*(ROW()-3)/(MATCH(9.99E+307,'Returns (Calc)'!$A:$A)-3),"")</f>
        <v>186.09417721519</v>
      </c>
      <c r="AB103" s="156" t="n">
        <f aca="false">IFERROR('Price History'!G3+(INDEX('Price History'!G:G,MATCH(9.99E+307,'Returns (Calc)'!$A:$A)+1)-'Price History'!G3)*(ROW()-3)/(MATCH(9.99E+307,'Returns (Calc)'!$A:$A)-3),"")</f>
        <v>147.223417721519</v>
      </c>
      <c r="AC103" s="156" t="n">
        <f aca="false">IFERROR('Price History'!H3+(INDEX('Price History'!H:H,MATCH(9.99E+307,'Returns (Calc)'!$A:$A)+1)-'Price History'!H3)*(ROW()-3)/(MATCH(9.99E+307,'Returns (Calc)'!$A:$A)-3),"")</f>
        <v>705.679620253165</v>
      </c>
      <c r="AD103" s="156" t="n">
        <f aca="false">IFERROR('Price History'!I3+(INDEX('Price History'!I:I,MATCH(9.99E+307,'Returns (Calc)'!$A:$A)+1)-'Price History'!I3)*(ROW()-3)/(MATCH(9.99E+307,'Returns (Calc)'!$A:$A)-3),"")</f>
        <v>164.137088607595</v>
      </c>
      <c r="AE103" s="156" t="n">
        <f aca="false">IFERROR('Price History'!J3+(INDEX('Price History'!J:J,MATCH(9.99E+307,'Returns (Calc)'!$A:$A)+1)-'Price History'!J3)*(ROW()-3)/(MATCH(9.99E+307,'Returns (Calc)'!$A:$A)-3),"")</f>
        <v>122.643797468354</v>
      </c>
      <c r="AF103" s="156" t="n">
        <f aca="false">IFERROR('Price History'!K3+(INDEX('Price History'!K:K,MATCH(9.99E+307,'Returns (Calc)'!$A:$A)+1)-'Price History'!K3)*(ROW()-3)/(MATCH(9.99E+307,'Returns (Calc)'!$A:$A)-3),"")</f>
        <v>125.089493670886</v>
      </c>
      <c r="AG103" s="156" t="n">
        <f aca="false">IFERROR('Price History'!L3+(INDEX('Price History'!L:L,MATCH(9.99E+307,'Returns (Calc)'!$A:$A)+1)-'Price History'!L3)*(ROW()-3)/(MATCH(9.99E+307,'Returns (Calc)'!$A:$A)-3),"")</f>
        <v>330.705696202532</v>
      </c>
      <c r="AH103" s="156" t="n">
        <f aca="false">IFERROR('Price History'!M3+(INDEX('Price History'!M:M,MATCH(9.99E+307,'Returns (Calc)'!$A:$A)+1)-'Price History'!M3)*(ROW()-3)/(MATCH(9.99E+307,'Returns (Calc)'!$A:$A)-3),"")</f>
        <v>173.564303797468</v>
      </c>
      <c r="AI103" s="156" t="n">
        <f aca="false">IFERROR('Price History'!N3+(INDEX('Price History'!N:N,MATCH(9.99E+307,'Returns (Calc)'!$A:$A)+1)-'Price History'!N3)*(ROW()-3)/(MATCH(9.99E+307,'Returns (Calc)'!$A:$A)-3),"")</f>
        <v>447.526582278481</v>
      </c>
      <c r="AJ103" s="156" t="n">
        <f aca="false">IFERROR('Price History'!O3+(INDEX('Price History'!O:O,MATCH(9.99E+307,'Returns (Calc)'!$A:$A)+1)-'Price History'!O3)*(ROW()-3)/(MATCH(9.99E+307,'Returns (Calc)'!$A:$A)-3),"")</f>
        <v>103.613797468354</v>
      </c>
      <c r="AK103" s="156" t="n">
        <f aca="false">IFERROR('Price History'!Q3+(INDEX('Price History'!Q:Q,MATCH(9.99E+307,'Returns (Calc)'!$A:$A)+1)-'Price History'!Q3)*(ROW()-3)/(MATCH(9.99E+307,'Returns (Calc)'!$A:$A)-3),"")</f>
        <v>43.9367088607595</v>
      </c>
      <c r="AL103" s="156" t="n">
        <f aca="false">IFERROR('Price History'!R3+(INDEX('Price History'!R:R,MATCH(9.99E+307,'Returns (Calc)'!$A:$A)+1)-'Price History'!R3)*(ROW()-3)/(MATCH(9.99E+307,'Returns (Calc)'!$A:$A)-3),"")</f>
        <v>51.2901265822785</v>
      </c>
      <c r="AM103" s="156" t="n">
        <f aca="false">IFERROR('Price History'!S3+(INDEX('Price History'!S:S,MATCH(9.99E+307,'Returns (Calc)'!$A:$A)+1)-'Price History'!S3)*(ROW()-3)/(MATCH(9.99E+307,'Returns (Calc)'!$A:$A)-3),"")</f>
        <v>118.136329113924</v>
      </c>
      <c r="AN103" s="156" t="n">
        <f aca="false">IFERROR('Price History'!T3+(INDEX('Price History'!T:T,MATCH(9.99E+307,'Returns (Calc)'!$A:$A)+1)-'Price History'!T3)*(ROW()-3)/(MATCH(9.99E+307,'Returns (Calc)'!$A:$A)-3),"")</f>
        <v>42.0627848101266</v>
      </c>
      <c r="AO103" s="157" t="n">
        <f aca="false">IFERROR('Price History'!V3+(INDEX('Price History'!V:V,MATCH(9.99E+307,'Returns (Calc)'!$A:$A)+1)-'Price History'!V3)*(ROW()-3)/(MATCH(9.99E+307,'Returns (Calc)'!$A:$A)-3),"")</f>
        <v>314.762911392405</v>
      </c>
      <c r="AP103" s="155" t="n">
        <f aca="false">IFERROR(IF(OR(NOT(ISNUMBER('Price History'!W104)),NOT(ISNUMBER('Price History'!W103)),'Price History'!W103=0),"",'Price History'!W104/'Price History'!W103-1),"")</f>
        <v>0.0158742100511586</v>
      </c>
      <c r="AQ103" s="155" t="str">
        <f aca="false">IFERROR(IF(OR(NOT(ISNUMBER('Price History'!X104)),NOT(ISNUMBER('Price History'!X103)),'Price History'!X103=0),"",'Price History'!X104/'Price History'!X103-1),"")</f>
        <v/>
      </c>
      <c r="AR103" s="155" t="n">
        <f aca="false">IFERROR(IF(OR(NOT(ISNUMBER('Price History'!Y104)),NOT(ISNUMBER('Price History'!Y103)),'Price History'!Y103=0),"",'Price History'!Y104/'Price History'!Y103-1),"")</f>
        <v>0.0119969040247678</v>
      </c>
      <c r="AS103" s="155" t="n">
        <f aca="false">IFERROR(IF(OR(NOT(ISNUMBER('Price History'!Z104)),NOT(ISNUMBER('Price History'!Z103)),'Price History'!Z103=0),"",'Price History'!Z104/'Price History'!Z103-1),"")</f>
        <v>-0.00495309568480296</v>
      </c>
      <c r="AT103" s="155" t="n">
        <f aca="false">IFERROR(IF(OR(NOT(ISNUMBER('Price History'!AA104)),NOT(ISNUMBER('Price History'!AA103)),'Price History'!AA103=0),"",'Price History'!AA104/'Price History'!AA103-1),"")</f>
        <v>-0.027685850351118</v>
      </c>
      <c r="AU103" s="155" t="n">
        <f aca="false">IFERROR(IF(OR(NOT(ISNUMBER('Price History'!AB104)),NOT(ISNUMBER('Price History'!AB103)),'Price History'!AB103=0),"",'Price History'!AB104/'Price History'!AB103-1),"")</f>
        <v>0.0365275649477923</v>
      </c>
    </row>
    <row r="104" customFormat="false" ht="15" hidden="false" customHeight="true" outlineLevel="0" collapsed="false">
      <c r="A104" s="153" t="n">
        <f aca="false">IF('Price History'!A105="","",'Price History'!A105)</f>
        <v>45898</v>
      </c>
      <c r="B104" s="154" t="n">
        <f aca="false">IFERROR(IF(OR(NOT(ISNUMBER('Price History'!B105)),NOT(ISNUMBER('Price History'!B104)),'Price History'!B104=0),"",'Price History'!B105/'Price History'!B104-1),"")</f>
        <v>-0.0148858018724626</v>
      </c>
      <c r="C104" s="154" t="n">
        <f aca="false">IFERROR(IF(OR(NOT(ISNUMBER('Price History'!C105)),NOT(ISNUMBER('Price History'!C104)),'Price History'!C104=0),"",'Price History'!C105/'Price History'!C104-1),"")</f>
        <v>0.024765478424015</v>
      </c>
      <c r="D104" s="154" t="n">
        <f aca="false">IFERROR(IF(OR(NOT(ISNUMBER('Price History'!D105)),NOT(ISNUMBER('Price History'!D104)),'Price History'!D104=0),"",'Price History'!D105/'Price History'!D104-1),"")</f>
        <v>-0.0162544169611308</v>
      </c>
      <c r="E104" s="154" t="n">
        <f aca="false">IFERROR(IF(OR(NOT(ISNUMBER('Price History'!E105)),NOT(ISNUMBER('Price History'!E104)),'Price History'!E104=0),"",'Price History'!E105/'Price History'!E104-1),"")</f>
        <v>0.0115333127381321</v>
      </c>
      <c r="F104" s="154" t="n">
        <f aca="false">IFERROR(IF(OR(NOT(ISNUMBER('Price History'!F105)),NOT(ISNUMBER('Price History'!F104)),'Price History'!F104=0),"",'Price History'!F105/'Price History'!F104-1),"")</f>
        <v>0.00751379113562867</v>
      </c>
      <c r="G104" s="154" t="n">
        <f aca="false">IFERROR(IF(OR(NOT(ISNUMBER('Price History'!G105)),NOT(ISNUMBER('Price History'!G104)),'Price History'!G104=0),"",'Price History'!G105/'Price History'!G104-1),"")</f>
        <v>0.00196395563770801</v>
      </c>
      <c r="H104" s="154" t="n">
        <f aca="false">IFERROR(IF(OR(NOT(ISNUMBER('Price History'!H105)),NOT(ISNUMBER('Price History'!H104)),'Price History'!H104=0),"",'Price History'!H105/'Price History'!H104-1),"")</f>
        <v>0.0113201123499873</v>
      </c>
      <c r="I104" s="154" t="n">
        <f aca="false">IFERROR(IF(OR(NOT(ISNUMBER('Price History'!I105)),NOT(ISNUMBER('Price History'!I104)),'Price History'!I104=0),"",'Price History'!I105/'Price History'!I104-1),"")</f>
        <v>-0.0214024218529992</v>
      </c>
      <c r="J104" s="154" t="n">
        <f aca="false">IFERROR(IF(OR(NOT(ISNUMBER('Price History'!J105)),NOT(ISNUMBER('Price History'!J104)),'Price History'!J104=0),"",'Price History'!J105/'Price History'!J104-1),"")</f>
        <v>0.0133456904541243</v>
      </c>
      <c r="K104" s="154" t="n">
        <f aca="false">IFERROR(IF(OR(NOT(ISNUMBER('Price History'!K105)),NOT(ISNUMBER('Price History'!K104)),'Price History'!K104=0),"",'Price History'!K105/'Price History'!K104-1),"")</f>
        <v>-0.0127882071311579</v>
      </c>
      <c r="L104" s="154" t="n">
        <f aca="false">IFERROR(IF(OR(NOT(ISNUMBER('Price History'!L105)),NOT(ISNUMBER('Price History'!L104)),'Price History'!L104=0),"",'Price History'!L105/'Price History'!L104-1),"")</f>
        <v>-0.00909407362283532</v>
      </c>
      <c r="M104" s="154" t="n">
        <f aca="false">IFERROR(IF(OR(NOT(ISNUMBER('Price History'!M105)),NOT(ISNUMBER('Price History'!M104)),'Price History'!M104=0),"",'Price History'!M105/'Price History'!M104-1),"")</f>
        <v>0.0125596184419714</v>
      </c>
      <c r="N104" s="154" t="n">
        <f aca="false">IFERROR(IF(OR(NOT(ISNUMBER('Price History'!N105)),NOT(ISNUMBER('Price History'!N104)),'Price History'!N104=0),"",'Price History'!N105/'Price History'!N104-1),"")</f>
        <v>-0.0103765944523183</v>
      </c>
      <c r="O104" s="154" t="n">
        <f aca="false">IFERROR(IF(OR(NOT(ISNUMBER('Price History'!O105)),NOT(ISNUMBER('Price History'!O104)),'Price History'!O104=0),"",'Price History'!O105/'Price History'!O104-1),"")</f>
        <v>0.00842927631578938</v>
      </c>
      <c r="P104" s="154" t="n">
        <f aca="false">IFERROR(IF(OR(NOT(ISNUMBER('Price History'!P105)),NOT(ISNUMBER('Price History'!P104)),'Price History'!P104=0),"",'Price History'!P105/'Price History'!P104-1),"")</f>
        <v>-0.00220458553791891</v>
      </c>
      <c r="Q104" s="154" t="n">
        <f aca="false">IFERROR(IF(OR(NOT(ISNUMBER('Price History'!Q105)),NOT(ISNUMBER('Price History'!Q104)),'Price History'!Q104=0),"",'Price History'!Q105/'Price History'!Q104-1),"")</f>
        <v>0.000157059839798857</v>
      </c>
      <c r="R104" s="154" t="n">
        <f aca="false">IFERROR(IF(OR(NOT(ISNUMBER('Price History'!R105)),NOT(ISNUMBER('Price History'!R104)),'Price History'!R104=0),"",'Price History'!R105/'Price History'!R104-1),"")</f>
        <v>0.000205086136177313</v>
      </c>
      <c r="S104" s="154" t="n">
        <f aca="false">IFERROR(IF(OR(NOT(ISNUMBER('Price History'!S105)),NOT(ISNUMBER('Price History'!S104)),'Price History'!S104=0),"",'Price History'!S105/'Price History'!S104-1),"")</f>
        <v>-0.000260078023406996</v>
      </c>
      <c r="T104" s="154" t="n">
        <f aca="false">IFERROR(IF(OR(NOT(ISNUMBER('Price History'!T105)),NOT(ISNUMBER('Price History'!T104)),'Price History'!T104=0),"",'Price History'!T105/'Price History'!T104-1),"")</f>
        <v>0.00906344410876159</v>
      </c>
      <c r="U104" s="154" t="n">
        <f aca="false">IFERROR(IF(OR(NOT(ISNUMBER('Price History'!U105)),NOT(ISNUMBER('Price History'!U104)),'Price History'!U104=0),"",'Price History'!U105/'Price History'!U104-1),"")</f>
        <v>-0.00112149532710282</v>
      </c>
      <c r="V104" s="155" t="n">
        <f aca="false">IFERROR(IF(OR(NOT(ISNUMBER('Price History'!V105)),NOT(ISNUMBER('Price History'!V104)),'Price History'!V104=0),"",'Price History'!V105/'Price History'!V104-1),"")</f>
        <v>0.00498185797385253</v>
      </c>
      <c r="W104" s="156" t="n">
        <f aca="false">IFERROR('Price History'!B3+(INDEX('Price History'!B:B,MATCH(9.99E+307,'Returns (Calc)'!$A:$A)+1)-'Price History'!B3)*(ROW()-3)/(MATCH(9.99E+307,'Returns (Calc)'!$A:$A)-3),"")</f>
        <v>342.743164556962</v>
      </c>
      <c r="X104" s="156" t="n">
        <f aca="false">IFERROR('Price History'!C3+(INDEX('Price History'!C:C,MATCH(9.99E+307,'Returns (Calc)'!$A:$A)+1)-'Price History'!C3)*(ROW()-3)/(MATCH(9.99E+307,'Returns (Calc)'!$A:$A)-3),"")</f>
        <v>149.206392405063</v>
      </c>
      <c r="Y104" s="156" t="n">
        <f aca="false">IFERROR('Price History'!D3+(INDEX('Price History'!D:D,MATCH(9.99E+307,'Returns (Calc)'!$A:$A)+1)-'Price History'!D3)*(ROW()-3)/(MATCH(9.99E+307,'Returns (Calc)'!$A:$A)-3),"")</f>
        <v>1403.62582278481</v>
      </c>
      <c r="Z104" s="156" t="n">
        <f aca="false">IFERROR('Price History'!E3+(INDEX('Price History'!E:E,MATCH(9.99E+307,'Returns (Calc)'!$A:$A)+1)-'Price History'!E3)*(ROW()-3)/(MATCH(9.99E+307,'Returns (Calc)'!$A:$A)-3),"")</f>
        <v>256.602151898734</v>
      </c>
      <c r="AA104" s="156" t="n">
        <f aca="false">IFERROR('Price History'!F3+(INDEX('Price History'!F:F,MATCH(9.99E+307,'Returns (Calc)'!$A:$A)+1)-'Price History'!F3)*(ROW()-3)/(MATCH(9.99E+307,'Returns (Calc)'!$A:$A)-3),"")</f>
        <v>187.541518987342</v>
      </c>
      <c r="AB104" s="156" t="n">
        <f aca="false">IFERROR('Price History'!G3+(INDEX('Price History'!G:G,MATCH(9.99E+307,'Returns (Calc)'!$A:$A)+1)-'Price History'!G3)*(ROW()-3)/(MATCH(9.99E+307,'Returns (Calc)'!$A:$A)-3),"")</f>
        <v>148.252151898734</v>
      </c>
      <c r="AC104" s="156" t="n">
        <f aca="false">IFERROR('Price History'!H3+(INDEX('Price History'!H:H,MATCH(9.99E+307,'Returns (Calc)'!$A:$A)+1)-'Price History'!H3)*(ROW()-3)/(MATCH(9.99E+307,'Returns (Calc)'!$A:$A)-3),"")</f>
        <v>712.045316455696</v>
      </c>
      <c r="AD104" s="156" t="n">
        <f aca="false">IFERROR('Price History'!I3+(INDEX('Price History'!I:I,MATCH(9.99E+307,'Returns (Calc)'!$A:$A)+1)-'Price History'!I3)*(ROW()-3)/(MATCH(9.99E+307,'Returns (Calc)'!$A:$A)-3),"")</f>
        <v>165.340759493671</v>
      </c>
      <c r="AE104" s="156" t="n">
        <f aca="false">IFERROR('Price History'!J3+(INDEX('Price History'!J:J,MATCH(9.99E+307,'Returns (Calc)'!$A:$A)+1)-'Price History'!J3)*(ROW()-3)/(MATCH(9.99E+307,'Returns (Calc)'!$A:$A)-3),"")</f>
        <v>122.751835443038</v>
      </c>
      <c r="AF104" s="156" t="n">
        <f aca="false">IFERROR('Price History'!K3+(INDEX('Price History'!K:K,MATCH(9.99E+307,'Returns (Calc)'!$A:$A)+1)-'Price History'!K3)*(ROW()-3)/(MATCH(9.99E+307,'Returns (Calc)'!$A:$A)-3),"")</f>
        <v>126.187088607595</v>
      </c>
      <c r="AG104" s="156" t="n">
        <f aca="false">IFERROR('Price History'!L3+(INDEX('Price History'!L:L,MATCH(9.99E+307,'Returns (Calc)'!$A:$A)+1)-'Price History'!L3)*(ROW()-3)/(MATCH(9.99E+307,'Returns (Calc)'!$A:$A)-3),"")</f>
        <v>333.155253164557</v>
      </c>
      <c r="AH104" s="156" t="n">
        <f aca="false">IFERROR('Price History'!M3+(INDEX('Price History'!M:M,MATCH(9.99E+307,'Returns (Calc)'!$A:$A)+1)-'Price History'!M3)*(ROW()-3)/(MATCH(9.99E+307,'Returns (Calc)'!$A:$A)-3),"")</f>
        <v>174.919746835443</v>
      </c>
      <c r="AI104" s="156" t="n">
        <f aca="false">IFERROR('Price History'!N3+(INDEX('Price History'!N:N,MATCH(9.99E+307,'Returns (Calc)'!$A:$A)+1)-'Price History'!N3)*(ROW()-3)/(MATCH(9.99E+307,'Returns (Calc)'!$A:$A)-3),"")</f>
        <v>448.512848101266</v>
      </c>
      <c r="AJ104" s="156" t="n">
        <f aca="false">IFERROR('Price History'!O3+(INDEX('Price History'!O:O,MATCH(9.99E+307,'Returns (Calc)'!$A:$A)+1)-'Price History'!O3)*(ROW()-3)/(MATCH(9.99E+307,'Returns (Calc)'!$A:$A)-3),"")</f>
        <v>103.896835443038</v>
      </c>
      <c r="AK104" s="156" t="n">
        <f aca="false">IFERROR('Price History'!Q3+(INDEX('Price History'!Q:Q,MATCH(9.99E+307,'Returns (Calc)'!$A:$A)+1)-'Price History'!Q3)*(ROW()-3)/(MATCH(9.99E+307,'Returns (Calc)'!$A:$A)-3),"")</f>
        <v>44.3760759493671</v>
      </c>
      <c r="AL104" s="156" t="n">
        <f aca="false">IFERROR('Price History'!R3+(INDEX('Price History'!R:R,MATCH(9.99E+307,'Returns (Calc)'!$A:$A)+1)-'Price History'!R3)*(ROW()-3)/(MATCH(9.99E+307,'Returns (Calc)'!$A:$A)-3),"")</f>
        <v>51.4582278481013</v>
      </c>
      <c r="AM104" s="156" t="n">
        <f aca="false">IFERROR('Price History'!S3+(INDEX('Price History'!S:S,MATCH(9.99E+307,'Returns (Calc)'!$A:$A)+1)-'Price History'!S3)*(ROW()-3)/(MATCH(9.99E+307,'Returns (Calc)'!$A:$A)-3),"")</f>
        <v>118.741392405063</v>
      </c>
      <c r="AN104" s="156" t="n">
        <f aca="false">IFERROR('Price History'!T3+(INDEX('Price History'!T:T,MATCH(9.99E+307,'Returns (Calc)'!$A:$A)+1)-'Price History'!T3)*(ROW()-3)/(MATCH(9.99E+307,'Returns (Calc)'!$A:$A)-3),"")</f>
        <v>42.2310126582279</v>
      </c>
      <c r="AO104" s="157" t="n">
        <f aca="false">IFERROR('Price History'!V3+(INDEX('Price History'!V:V,MATCH(9.99E+307,'Returns (Calc)'!$A:$A)+1)-'Price History'!V3)*(ROW()-3)/(MATCH(9.99E+307,'Returns (Calc)'!$A:$A)-3),"")</f>
        <v>315.554240506329</v>
      </c>
      <c r="AP104" s="155" t="n">
        <f aca="false">IFERROR(IF(OR(NOT(ISNUMBER('Price History'!W105)),NOT(ISNUMBER('Price History'!W104)),'Price History'!W104=0),"",'Price History'!W105/'Price History'!W104-1),"")</f>
        <v>0.000148115233651769</v>
      </c>
      <c r="AQ104" s="155" t="str">
        <f aca="false">IFERROR(IF(OR(NOT(ISNUMBER('Price History'!X105)),NOT(ISNUMBER('Price History'!X104)),'Price History'!X104=0),"",'Price History'!X105/'Price History'!X104-1),"")</f>
        <v/>
      </c>
      <c r="AR104" s="155" t="n">
        <f aca="false">IFERROR(IF(OR(NOT(ISNUMBER('Price History'!Y105)),NOT(ISNUMBER('Price History'!Y104)),'Price History'!Y104=0),"",'Price History'!Y105/'Price History'!Y104-1),"")</f>
        <v>-0.00382409177820264</v>
      </c>
      <c r="AS104" s="155" t="n">
        <f aca="false">IFERROR(IF(OR(NOT(ISNUMBER('Price History'!Z105)),NOT(ISNUMBER('Price History'!Z104)),'Price History'!Z104=0),"",'Price History'!Z105/'Price History'!Z104-1),"")</f>
        <v>0.0325439324232597</v>
      </c>
      <c r="AT104" s="155" t="n">
        <f aca="false">IFERROR(IF(OR(NOT(ISNUMBER('Price History'!AA105)),NOT(ISNUMBER('Price History'!AA104)),'Price History'!AA104=0),"",'Price History'!AA105/'Price History'!AA104-1),"")</f>
        <v>0.00298854391499259</v>
      </c>
      <c r="AU104" s="155" t="n">
        <f aca="false">IFERROR(IF(OR(NOT(ISNUMBER('Price History'!AB105)),NOT(ISNUMBER('Price History'!AB104)),'Price History'!AB104=0),"",'Price History'!AB105/'Price History'!AB104-1),"")</f>
        <v>-0.0744688166128035</v>
      </c>
    </row>
    <row r="105" customFormat="false" ht="15" hidden="false" customHeight="true" outlineLevel="0" collapsed="false">
      <c r="A105" s="153" t="n">
        <f aca="false">IF('Price History'!A106="","",'Price History'!A106)</f>
        <v>45905</v>
      </c>
      <c r="B105" s="154" t="n">
        <f aca="false">IFERROR(IF(OR(NOT(ISNUMBER('Price History'!B106)),NOT(ISNUMBER('Price History'!B105)),'Price History'!B105=0),"",'Price History'!B106/'Price History'!B105-1),"")</f>
        <v>-0.0216708718811325</v>
      </c>
      <c r="C105" s="154" t="n">
        <f aca="false">IFERROR(IF(OR(NOT(ISNUMBER('Price History'!C106)),NOT(ISNUMBER('Price History'!C105)),'Price History'!C105=0),"",'Price History'!C106/'Price History'!C105-1),"")</f>
        <v>0.0461369461735626</v>
      </c>
      <c r="D105" s="154" t="n">
        <f aca="false">IFERROR(IF(OR(NOT(ISNUMBER('Price History'!D106)),NOT(ISNUMBER('Price History'!D105)),'Price History'!D105=0),"",'Price History'!D106/'Price History'!D105-1),"")</f>
        <v>0.0526187378009109</v>
      </c>
      <c r="E105" s="154" t="n">
        <f aca="false">IFERROR(IF(OR(NOT(ISNUMBER('Price History'!E106)),NOT(ISNUMBER('Price History'!E105)),'Price History'!E105=0),"",'Price History'!E106/'Price History'!E105-1),"")</f>
        <v>0.126098612100852</v>
      </c>
      <c r="F105" s="154" t="n">
        <f aca="false">IFERROR(IF(OR(NOT(ISNUMBER('Price History'!F106)),NOT(ISNUMBER('Price History'!F105)),'Price History'!F105=0),"",'Price History'!F106/'Price History'!F105-1),"")</f>
        <v>-0.0143490984612481</v>
      </c>
      <c r="G105" s="154" t="n">
        <f aca="false">IFERROR(IF(OR(NOT(ISNUMBER('Price History'!G106)),NOT(ISNUMBER('Price History'!G105)),'Price History'!G105=0),"",'Price History'!G106/'Price History'!G105-1),"")</f>
        <v>0.0379338175948345</v>
      </c>
      <c r="H105" s="154" t="n">
        <f aca="false">IFERROR(IF(OR(NOT(ISNUMBER('Price History'!H106)),NOT(ISNUMBER('Price History'!H105)),'Price History'!H105=0),"",'Price History'!H106/'Price History'!H105-1),"")</f>
        <v>0.103854569937721</v>
      </c>
      <c r="I105" s="154" t="n">
        <f aca="false">IFERROR(IF(OR(NOT(ISNUMBER('Price History'!I106)),NOT(ISNUMBER('Price History'!I105)),'Price History'!I105=0),"",'Price History'!I106/'Price History'!I105-1),"")</f>
        <v>-0.041093525179856</v>
      </c>
      <c r="J105" s="154" t="n">
        <f aca="false">IFERROR(IF(OR(NOT(ISNUMBER('Price History'!J106)),NOT(ISNUMBER('Price History'!J105)),'Price History'!J105=0),"",'Price History'!J106/'Price History'!J105-1),"")</f>
        <v>-0.00109749405524062</v>
      </c>
      <c r="K105" s="154" t="n">
        <f aca="false">IFERROR(IF(OR(NOT(ISNUMBER('Price History'!K106)),NOT(ISNUMBER('Price History'!K105)),'Price History'!K105=0),"",'Price History'!K106/'Price History'!K105-1),"")</f>
        <v>-0.0229723693446493</v>
      </c>
      <c r="L105" s="154" t="n">
        <f aca="false">IFERROR(IF(OR(NOT(ISNUMBER('Price History'!L106)),NOT(ISNUMBER('Price History'!L105)),'Price History'!L105=0),"",'Price History'!L106/'Price History'!L105-1),"")</f>
        <v>0.0543187107539631</v>
      </c>
      <c r="M105" s="154" t="n">
        <f aca="false">IFERROR(IF(OR(NOT(ISNUMBER('Price History'!M106)),NOT(ISNUMBER('Price History'!M105)),'Price History'!M105=0),"",'Price History'!M106/'Price History'!M105-1),"")</f>
        <v>-0.0278693672476056</v>
      </c>
      <c r="N105" s="154" t="n">
        <f aca="false">IFERROR(IF(OR(NOT(ISNUMBER('Price History'!N106)),NOT(ISNUMBER('Price History'!N105)),'Price History'!N105=0),"",'Price History'!N106/'Price History'!N105-1),"")</f>
        <v>0.0130428111094063</v>
      </c>
      <c r="O105" s="154" t="n">
        <f aca="false">IFERROR(IF(OR(NOT(ISNUMBER('Price History'!O106)),NOT(ISNUMBER('Price History'!O105)),'Price History'!O105=0),"",'Price History'!O106/'Price History'!O105-1),"")</f>
        <v>0.0109072375127421</v>
      </c>
      <c r="P105" s="154" t="n">
        <f aca="false">IFERROR(IF(OR(NOT(ISNUMBER('Price History'!P106)),NOT(ISNUMBER('Price History'!P105)),'Price History'!P105=0),"",'Price History'!P106/'Price History'!P105-1),"")</f>
        <v>-0.000883782589483073</v>
      </c>
      <c r="Q105" s="154" t="n">
        <f aca="false">IFERROR(IF(OR(NOT(ISNUMBER('Price History'!Q106)),NOT(ISNUMBER('Price History'!Q105)),'Price History'!Q105=0),"",'Price History'!Q106/'Price History'!Q105-1),"")</f>
        <v>0.00219849246231152</v>
      </c>
      <c r="R105" s="154" t="n">
        <f aca="false">IFERROR(IF(OR(NOT(ISNUMBER('Price History'!R106)),NOT(ISNUMBER('Price History'!R105)),'Price History'!R105=0),"",'Price History'!R106/'Price History'!R105-1),"")</f>
        <v>0.00984211605495178</v>
      </c>
      <c r="S105" s="154" t="n">
        <f aca="false">IFERROR(IF(OR(NOT(ISNUMBER('Price History'!S106)),NOT(ISNUMBER('Price History'!S105)),'Price History'!S105=0),"",'Price History'!S106/'Price History'!S105-1),"")</f>
        <v>0.004942767950052</v>
      </c>
      <c r="T105" s="154" t="n">
        <f aca="false">IFERROR(IF(OR(NOT(ISNUMBER('Price History'!T106)),NOT(ISNUMBER('Price History'!T105)),'Price History'!T105=0),"",'Price History'!T106/'Price History'!T105-1),"")</f>
        <v>0.00762112139357662</v>
      </c>
      <c r="U105" s="154" t="n">
        <f aca="false">IFERROR(IF(OR(NOT(ISNUMBER('Price History'!U106)),NOT(ISNUMBER('Price History'!U105)),'Price History'!U105=0),"",'Price History'!U106/'Price History'!U105-1),"")</f>
        <v>-0.0101047904191617</v>
      </c>
      <c r="V105" s="155" t="n">
        <f aca="false">IFERROR(IF(OR(NOT(ISNUMBER('Price History'!V106)),NOT(ISNUMBER('Price History'!V105)),'Price History'!V105=0),"",'Price History'!V106/'Price History'!V105-1),"")</f>
        <v>-0.0243273446230551</v>
      </c>
      <c r="W105" s="156" t="n">
        <f aca="false">IFERROR('Price History'!B3+(INDEX('Price History'!B:B,MATCH(9.99E+307,'Returns (Calc)'!$A:$A)+1)-'Price History'!B3)*(ROW()-3)/(MATCH(9.99E+307,'Returns (Calc)'!$A:$A)-3),"")</f>
        <v>340.900126582279</v>
      </c>
      <c r="X105" s="156" t="n">
        <f aca="false">IFERROR('Price History'!C3+(INDEX('Price History'!C:C,MATCH(9.99E+307,'Returns (Calc)'!$A:$A)+1)-'Price History'!C3)*(ROW()-3)/(MATCH(9.99E+307,'Returns (Calc)'!$A:$A)-3),"")</f>
        <v>150.226455696203</v>
      </c>
      <c r="Y105" s="156" t="n">
        <f aca="false">IFERROR('Price History'!D3+(INDEX('Price History'!D:D,MATCH(9.99E+307,'Returns (Calc)'!$A:$A)+1)-'Price History'!D3)*(ROW()-3)/(MATCH(9.99E+307,'Returns (Calc)'!$A:$A)-3),"")</f>
        <v>1411.76063291139</v>
      </c>
      <c r="Z105" s="156" t="n">
        <f aca="false">IFERROR('Price History'!E3+(INDEX('Price History'!E:E,MATCH(9.99E+307,'Returns (Calc)'!$A:$A)+1)-'Price History'!E3)*(ROW()-3)/(MATCH(9.99E+307,'Returns (Calc)'!$A:$A)-3),"")</f>
        <v>258.330886075949</v>
      </c>
      <c r="AA105" s="156" t="n">
        <f aca="false">IFERROR('Price History'!F3+(INDEX('Price History'!F:F,MATCH(9.99E+307,'Returns (Calc)'!$A:$A)+1)-'Price History'!F3)*(ROW()-3)/(MATCH(9.99E+307,'Returns (Calc)'!$A:$A)-3),"")</f>
        <v>188.988860759494</v>
      </c>
      <c r="AB105" s="156" t="n">
        <f aca="false">IFERROR('Price History'!G3+(INDEX('Price History'!G:G,MATCH(9.99E+307,'Returns (Calc)'!$A:$A)+1)-'Price History'!G3)*(ROW()-3)/(MATCH(9.99E+307,'Returns (Calc)'!$A:$A)-3),"")</f>
        <v>149.280886075949</v>
      </c>
      <c r="AC105" s="156" t="n">
        <f aca="false">IFERROR('Price History'!H3+(INDEX('Price History'!H:H,MATCH(9.99E+307,'Returns (Calc)'!$A:$A)+1)-'Price History'!H3)*(ROW()-3)/(MATCH(9.99E+307,'Returns (Calc)'!$A:$A)-3),"")</f>
        <v>718.411012658228</v>
      </c>
      <c r="AD105" s="156" t="n">
        <f aca="false">IFERROR('Price History'!I3+(INDEX('Price History'!I:I,MATCH(9.99E+307,'Returns (Calc)'!$A:$A)+1)-'Price History'!I3)*(ROW()-3)/(MATCH(9.99E+307,'Returns (Calc)'!$A:$A)-3),"")</f>
        <v>166.544430379747</v>
      </c>
      <c r="AE105" s="156" t="n">
        <f aca="false">IFERROR('Price History'!J3+(INDEX('Price History'!J:J,MATCH(9.99E+307,'Returns (Calc)'!$A:$A)+1)-'Price History'!J3)*(ROW()-3)/(MATCH(9.99E+307,'Returns (Calc)'!$A:$A)-3),"")</f>
        <v>122.859873417722</v>
      </c>
      <c r="AF105" s="156" t="n">
        <f aca="false">IFERROR('Price History'!K3+(INDEX('Price History'!K:K,MATCH(9.99E+307,'Returns (Calc)'!$A:$A)+1)-'Price History'!K3)*(ROW()-3)/(MATCH(9.99E+307,'Returns (Calc)'!$A:$A)-3),"")</f>
        <v>127.284683544304</v>
      </c>
      <c r="AG105" s="156" t="n">
        <f aca="false">IFERROR('Price History'!L3+(INDEX('Price History'!L:L,MATCH(9.99E+307,'Returns (Calc)'!$A:$A)+1)-'Price History'!L3)*(ROW()-3)/(MATCH(9.99E+307,'Returns (Calc)'!$A:$A)-3),"")</f>
        <v>335.604810126582</v>
      </c>
      <c r="AH105" s="156" t="n">
        <f aca="false">IFERROR('Price History'!M3+(INDEX('Price History'!M:M,MATCH(9.99E+307,'Returns (Calc)'!$A:$A)+1)-'Price History'!M3)*(ROW()-3)/(MATCH(9.99E+307,'Returns (Calc)'!$A:$A)-3),"")</f>
        <v>176.275189873418</v>
      </c>
      <c r="AI105" s="156" t="n">
        <f aca="false">IFERROR('Price History'!N3+(INDEX('Price History'!N:N,MATCH(9.99E+307,'Returns (Calc)'!$A:$A)+1)-'Price History'!N3)*(ROW()-3)/(MATCH(9.99E+307,'Returns (Calc)'!$A:$A)-3),"")</f>
        <v>449.499113924051</v>
      </c>
      <c r="AJ105" s="156" t="n">
        <f aca="false">IFERROR('Price History'!O3+(INDEX('Price History'!O:O,MATCH(9.99E+307,'Returns (Calc)'!$A:$A)+1)-'Price History'!O3)*(ROW()-3)/(MATCH(9.99E+307,'Returns (Calc)'!$A:$A)-3),"")</f>
        <v>104.179873417722</v>
      </c>
      <c r="AK105" s="156" t="n">
        <f aca="false">IFERROR('Price History'!Q3+(INDEX('Price History'!Q:Q,MATCH(9.99E+307,'Returns (Calc)'!$A:$A)+1)-'Price History'!Q3)*(ROW()-3)/(MATCH(9.99E+307,'Returns (Calc)'!$A:$A)-3),"")</f>
        <v>44.8154430379747</v>
      </c>
      <c r="AL105" s="156" t="n">
        <f aca="false">IFERROR('Price History'!R3+(INDEX('Price History'!R:R,MATCH(9.99E+307,'Returns (Calc)'!$A:$A)+1)-'Price History'!R3)*(ROW()-3)/(MATCH(9.99E+307,'Returns (Calc)'!$A:$A)-3),"")</f>
        <v>51.6263291139241</v>
      </c>
      <c r="AM105" s="156" t="n">
        <f aca="false">IFERROR('Price History'!S3+(INDEX('Price History'!S:S,MATCH(9.99E+307,'Returns (Calc)'!$A:$A)+1)-'Price History'!S3)*(ROW()-3)/(MATCH(9.99E+307,'Returns (Calc)'!$A:$A)-3),"")</f>
        <v>119.346455696203</v>
      </c>
      <c r="AN105" s="156" t="n">
        <f aca="false">IFERROR('Price History'!T3+(INDEX('Price History'!T:T,MATCH(9.99E+307,'Returns (Calc)'!$A:$A)+1)-'Price History'!T3)*(ROW()-3)/(MATCH(9.99E+307,'Returns (Calc)'!$A:$A)-3),"")</f>
        <v>42.3992405063291</v>
      </c>
      <c r="AO105" s="157" t="n">
        <f aca="false">IFERROR('Price History'!V3+(INDEX('Price History'!V:V,MATCH(9.99E+307,'Returns (Calc)'!$A:$A)+1)-'Price History'!V3)*(ROW()-3)/(MATCH(9.99E+307,'Returns (Calc)'!$A:$A)-3),"")</f>
        <v>316.345569620253</v>
      </c>
      <c r="AP105" s="155" t="n">
        <f aca="false">IFERROR(IF(OR(NOT(ISNUMBER('Price History'!W106)),NOT(ISNUMBER('Price History'!W105)),'Price History'!W105=0),"",'Price History'!W106/'Price History'!W105-1),"")</f>
        <v>0.00259163272861906</v>
      </c>
      <c r="AQ105" s="155" t="str">
        <f aca="false">IFERROR(IF(OR(NOT(ISNUMBER('Price History'!X106)),NOT(ISNUMBER('Price History'!X105)),'Price History'!X105=0),"",'Price History'!X106/'Price History'!X105-1),"")</f>
        <v/>
      </c>
      <c r="AR105" s="155" t="n">
        <f aca="false">IFERROR(IF(OR(NOT(ISNUMBER('Price History'!Y106)),NOT(ISNUMBER('Price History'!Y105)),'Price History'!Y105=0),"",'Price History'!Y106/'Price History'!Y105-1),"")</f>
        <v>0</v>
      </c>
      <c r="AS105" s="155" t="n">
        <f aca="false">IFERROR(IF(OR(NOT(ISNUMBER('Price History'!Z106)),NOT(ISNUMBER('Price History'!Z105)),'Price History'!Z105=0),"",'Price History'!Z106/'Price History'!Z105-1),"")</f>
        <v>0.0146451919214052</v>
      </c>
      <c r="AT105" s="155" t="n">
        <f aca="false">IFERROR(IF(OR(NOT(ISNUMBER('Price History'!AA106)),NOT(ISNUMBER('Price History'!AA105)),'Price History'!AA105=0),"",'Price History'!AA106/'Price History'!AA105-1),"")</f>
        <v>0.0294653203112067</v>
      </c>
      <c r="AU105" s="155" t="n">
        <f aca="false">IFERROR(IF(OR(NOT(ISNUMBER('Price History'!AB106)),NOT(ISNUMBER('Price History'!AB105)),'Price History'!AB105=0),"",'Price History'!AB106/'Price History'!AB105-1),"")</f>
        <v>0.0138558692421993</v>
      </c>
    </row>
    <row r="106" customFormat="false" ht="15" hidden="false" customHeight="true" outlineLevel="0" collapsed="false">
      <c r="A106" s="153" t="n">
        <f aca="false">IF('Price History'!A107="","",'Price History'!A107)</f>
        <v>45912</v>
      </c>
      <c r="B106" s="154" t="n">
        <f aca="false">IFERROR(IF(OR(NOT(ISNUMBER('Price History'!B107)),NOT(ISNUMBER('Price History'!B106)),'Price History'!B106=0),"",'Price History'!B107/'Price History'!B106-1),"")</f>
        <v>0.00111757457661121</v>
      </c>
      <c r="C106" s="154" t="n">
        <f aca="false">IFERROR(IF(OR(NOT(ISNUMBER('Price History'!C107)),NOT(ISNUMBER('Price History'!C106)),'Price History'!C106=0),"",'Price History'!C107/'Price History'!C106-1),"")</f>
        <v>-0.0242212110605531</v>
      </c>
      <c r="D106" s="154" t="n">
        <f aca="false">IFERROR(IF(OR(NOT(ISNUMBER('Price History'!D107)),NOT(ISNUMBER('Price History'!D106)),'Price History'!D106=0),"",'Price History'!D107/'Price History'!D106-1),"")</f>
        <v>0.0411548069741687</v>
      </c>
      <c r="E106" s="154" t="n">
        <f aca="false">IFERROR(IF(OR(NOT(ISNUMBER('Price History'!E107)),NOT(ISNUMBER('Price History'!E106)),'Price History'!E106=0),"",'Price History'!E107/'Price History'!E106-1),"")</f>
        <v>0.0745818894078649</v>
      </c>
      <c r="F106" s="154" t="n">
        <f aca="false">IFERROR(IF(OR(NOT(ISNUMBER('Price History'!F107)),NOT(ISNUMBER('Price History'!F106)),'Price History'!F106=0),"",'Price History'!F107/'Price History'!F106-1),"")</f>
        <v>0.0442486351882003</v>
      </c>
      <c r="G106" s="154" t="n">
        <f aca="false">IFERROR(IF(OR(NOT(ISNUMBER('Price History'!G107)),NOT(ISNUMBER('Price History'!G106)),'Price History'!G106=0),"",'Price History'!G107/'Price History'!G106-1),"")</f>
        <v>0.0650966451899577</v>
      </c>
      <c r="H106" s="154" t="n">
        <f aca="false">IFERROR(IF(OR(NOT(ISNUMBER('Price History'!H107)),NOT(ISNUMBER('Price History'!H106)),'Price History'!H106=0),"",'Price History'!H107/'Price History'!H106-1),"")</f>
        <v>0.196858798414151</v>
      </c>
      <c r="I106" s="154" t="n">
        <f aca="false">IFERROR(IF(OR(NOT(ISNUMBER('Price History'!I107)),NOT(ISNUMBER('Price History'!I106)),'Price History'!I106=0),"",'Price History'!I107/'Price History'!I106-1),"")</f>
        <v>0.0647620190864893</v>
      </c>
      <c r="J106" s="154" t="n">
        <f aca="false">IFERROR(IF(OR(NOT(ISNUMBER('Price History'!J107)),NOT(ISNUMBER('Price History'!J106)),'Price History'!J106=0),"",'Price History'!J107/'Price History'!J106-1),"")</f>
        <v>0.0149240065921992</v>
      </c>
      <c r="K106" s="154" t="n">
        <f aca="false">IFERROR(IF(OR(NOT(ISNUMBER('Price History'!K107)),NOT(ISNUMBER('Price History'!K106)),'Price History'!K106=0),"",'Price History'!K107/'Price History'!K106-1),"")</f>
        <v>0.119652537391418</v>
      </c>
      <c r="L106" s="154" t="n">
        <f aca="false">IFERROR(IF(OR(NOT(ISNUMBER('Price History'!L107)),NOT(ISNUMBER('Price History'!L106)),'Price History'!L106=0),"",'Price History'!L107/'Price History'!L106-1),"")</f>
        <v>0.0654310703873386</v>
      </c>
      <c r="M106" s="154" t="n">
        <f aca="false">IFERROR(IF(OR(NOT(ISNUMBER('Price History'!M107)),NOT(ISNUMBER('Price History'!M106)),'Price History'!M106=0),"",'Price History'!M107/'Price History'!M106-1),"")</f>
        <v>0.0874586126140677</v>
      </c>
      <c r="N106" s="154" t="n">
        <f aca="false">IFERROR(IF(OR(NOT(ISNUMBER('Price History'!N107)),NOT(ISNUMBER('Price History'!N106)),'Price History'!N106=0),"",'Price History'!N107/'Price History'!N106-1),"")</f>
        <v>-0.00401393517116033</v>
      </c>
      <c r="O106" s="154" t="n">
        <f aca="false">IFERROR(IF(OR(NOT(ISNUMBER('Price History'!O107)),NOT(ISNUMBER('Price History'!O106)),'Price History'!O106=0),"",'Price History'!O107/'Price History'!O106-1),"")</f>
        <v>-0.00796611878592324</v>
      </c>
      <c r="P106" s="154" t="n">
        <f aca="false">IFERROR(IF(OR(NOT(ISNUMBER('Price History'!P107)),NOT(ISNUMBER('Price History'!P106)),'Price History'!P106=0),"",'Price History'!P107/'Price History'!P106-1),"")</f>
        <v>0.0013268465280849</v>
      </c>
      <c r="Q106" s="154" t="n">
        <f aca="false">IFERROR(IF(OR(NOT(ISNUMBER('Price History'!Q107)),NOT(ISNUMBER('Price History'!Q106)),'Price History'!Q106=0),"",'Price History'!Q107/'Price History'!Q106-1),"")</f>
        <v>0.00846129739893442</v>
      </c>
      <c r="R106" s="154" t="n">
        <f aca="false">IFERROR(IF(OR(NOT(ISNUMBER('Price History'!R107)),NOT(ISNUMBER('Price History'!R106)),'Price History'!R106=0),"",'Price History'!R107/'Price History'!R106-1),"")</f>
        <v>0.0136040609137056</v>
      </c>
      <c r="S106" s="154" t="n">
        <f aca="false">IFERROR(IF(OR(NOT(ISNUMBER('Price History'!S107)),NOT(ISNUMBER('Price History'!S106)),'Price History'!S106=0),"",'Price History'!S107/'Price History'!S106-1),"")</f>
        <v>0.029251876779705</v>
      </c>
      <c r="T106" s="154" t="n">
        <f aca="false">IFERROR(IF(OR(NOT(ISNUMBER('Price History'!T107)),NOT(ISNUMBER('Price History'!T106)),'Price History'!T106=0),"",'Price History'!T107/'Price History'!T106-1),"")</f>
        <v>0.000810372771474777</v>
      </c>
      <c r="U106" s="154" t="n">
        <f aca="false">IFERROR(IF(OR(NOT(ISNUMBER('Price History'!U107)),NOT(ISNUMBER('Price History'!U106)),'Price History'!U106=0),"",'Price History'!U107/'Price History'!U106-1),"")</f>
        <v>-0.00567107750472584</v>
      </c>
      <c r="V106" s="155" t="n">
        <f aca="false">IFERROR(IF(OR(NOT(ISNUMBER('Price History'!V107)),NOT(ISNUMBER('Price History'!V106)),'Price History'!V106=0),"",'Price History'!V107/'Price History'!V106-1),"")</f>
        <v>-0.0110425844346549</v>
      </c>
      <c r="W106" s="156" t="n">
        <f aca="false">IFERROR('Price History'!B3+(INDEX('Price History'!B:B,MATCH(9.99E+307,'Returns (Calc)'!$A:$A)+1)-'Price History'!B3)*(ROW()-3)/(MATCH(9.99E+307,'Returns (Calc)'!$A:$A)-3),"")</f>
        <v>339.057088607595</v>
      </c>
      <c r="X106" s="156" t="n">
        <f aca="false">IFERROR('Price History'!C3+(INDEX('Price History'!C:C,MATCH(9.99E+307,'Returns (Calc)'!$A:$A)+1)-'Price History'!C3)*(ROW()-3)/(MATCH(9.99E+307,'Returns (Calc)'!$A:$A)-3),"")</f>
        <v>151.246518987342</v>
      </c>
      <c r="Y106" s="156" t="n">
        <f aca="false">IFERROR('Price History'!D3+(INDEX('Price History'!D:D,MATCH(9.99E+307,'Returns (Calc)'!$A:$A)+1)-'Price History'!D3)*(ROW()-3)/(MATCH(9.99E+307,'Returns (Calc)'!$A:$A)-3),"")</f>
        <v>1419.89544303797</v>
      </c>
      <c r="Z106" s="156" t="n">
        <f aca="false">IFERROR('Price History'!E3+(INDEX('Price History'!E:E,MATCH(9.99E+307,'Returns (Calc)'!$A:$A)+1)-'Price History'!E3)*(ROW()-3)/(MATCH(9.99E+307,'Returns (Calc)'!$A:$A)-3),"")</f>
        <v>260.059620253165</v>
      </c>
      <c r="AA106" s="156" t="n">
        <f aca="false">IFERROR('Price History'!F3+(INDEX('Price History'!F:F,MATCH(9.99E+307,'Returns (Calc)'!$A:$A)+1)-'Price History'!F3)*(ROW()-3)/(MATCH(9.99E+307,'Returns (Calc)'!$A:$A)-3),"")</f>
        <v>190.436202531646</v>
      </c>
      <c r="AB106" s="156" t="n">
        <f aca="false">IFERROR('Price History'!G3+(INDEX('Price History'!G:G,MATCH(9.99E+307,'Returns (Calc)'!$A:$A)+1)-'Price History'!G3)*(ROW()-3)/(MATCH(9.99E+307,'Returns (Calc)'!$A:$A)-3),"")</f>
        <v>150.309620253165</v>
      </c>
      <c r="AC106" s="156" t="n">
        <f aca="false">IFERROR('Price History'!H3+(INDEX('Price History'!H:H,MATCH(9.99E+307,'Returns (Calc)'!$A:$A)+1)-'Price History'!H3)*(ROW()-3)/(MATCH(9.99E+307,'Returns (Calc)'!$A:$A)-3),"")</f>
        <v>724.77670886076</v>
      </c>
      <c r="AD106" s="156" t="n">
        <f aca="false">IFERROR('Price History'!I3+(INDEX('Price History'!I:I,MATCH(9.99E+307,'Returns (Calc)'!$A:$A)+1)-'Price History'!I3)*(ROW()-3)/(MATCH(9.99E+307,'Returns (Calc)'!$A:$A)-3),"")</f>
        <v>167.748101265823</v>
      </c>
      <c r="AE106" s="156" t="n">
        <f aca="false">IFERROR('Price History'!J3+(INDEX('Price History'!J:J,MATCH(9.99E+307,'Returns (Calc)'!$A:$A)+1)-'Price History'!J3)*(ROW()-3)/(MATCH(9.99E+307,'Returns (Calc)'!$A:$A)-3),"")</f>
        <v>122.967911392405</v>
      </c>
      <c r="AF106" s="156" t="n">
        <f aca="false">IFERROR('Price History'!K3+(INDEX('Price History'!K:K,MATCH(9.99E+307,'Returns (Calc)'!$A:$A)+1)-'Price History'!K3)*(ROW()-3)/(MATCH(9.99E+307,'Returns (Calc)'!$A:$A)-3),"")</f>
        <v>128.382278481013</v>
      </c>
      <c r="AG106" s="156" t="n">
        <f aca="false">IFERROR('Price History'!L3+(INDEX('Price History'!L:L,MATCH(9.99E+307,'Returns (Calc)'!$A:$A)+1)-'Price History'!L3)*(ROW()-3)/(MATCH(9.99E+307,'Returns (Calc)'!$A:$A)-3),"")</f>
        <v>338.054367088608</v>
      </c>
      <c r="AH106" s="156" t="n">
        <f aca="false">IFERROR('Price History'!M3+(INDEX('Price History'!M:M,MATCH(9.99E+307,'Returns (Calc)'!$A:$A)+1)-'Price History'!M3)*(ROW()-3)/(MATCH(9.99E+307,'Returns (Calc)'!$A:$A)-3),"")</f>
        <v>177.630632911392</v>
      </c>
      <c r="AI106" s="156" t="n">
        <f aca="false">IFERROR('Price History'!N3+(INDEX('Price History'!N:N,MATCH(9.99E+307,'Returns (Calc)'!$A:$A)+1)-'Price History'!N3)*(ROW()-3)/(MATCH(9.99E+307,'Returns (Calc)'!$A:$A)-3),"")</f>
        <v>450.485379746835</v>
      </c>
      <c r="AJ106" s="156" t="n">
        <f aca="false">IFERROR('Price History'!O3+(INDEX('Price History'!O:O,MATCH(9.99E+307,'Returns (Calc)'!$A:$A)+1)-'Price History'!O3)*(ROW()-3)/(MATCH(9.99E+307,'Returns (Calc)'!$A:$A)-3),"")</f>
        <v>104.462911392405</v>
      </c>
      <c r="AK106" s="156" t="n">
        <f aca="false">IFERROR('Price History'!Q3+(INDEX('Price History'!Q:Q,MATCH(9.99E+307,'Returns (Calc)'!$A:$A)+1)-'Price History'!Q3)*(ROW()-3)/(MATCH(9.99E+307,'Returns (Calc)'!$A:$A)-3),"")</f>
        <v>45.2548101265823</v>
      </c>
      <c r="AL106" s="156" t="n">
        <f aca="false">IFERROR('Price History'!R3+(INDEX('Price History'!R:R,MATCH(9.99E+307,'Returns (Calc)'!$A:$A)+1)-'Price History'!R3)*(ROW()-3)/(MATCH(9.99E+307,'Returns (Calc)'!$A:$A)-3),"")</f>
        <v>51.7944303797468</v>
      </c>
      <c r="AM106" s="156" t="n">
        <f aca="false">IFERROR('Price History'!S3+(INDEX('Price History'!S:S,MATCH(9.99E+307,'Returns (Calc)'!$A:$A)+1)-'Price History'!S3)*(ROW()-3)/(MATCH(9.99E+307,'Returns (Calc)'!$A:$A)-3),"")</f>
        <v>119.951518987342</v>
      </c>
      <c r="AN106" s="156" t="n">
        <f aca="false">IFERROR('Price History'!T3+(INDEX('Price History'!T:T,MATCH(9.99E+307,'Returns (Calc)'!$A:$A)+1)-'Price History'!T3)*(ROW()-3)/(MATCH(9.99E+307,'Returns (Calc)'!$A:$A)-3),"")</f>
        <v>42.5674683544304</v>
      </c>
      <c r="AO106" s="157" t="n">
        <f aca="false">IFERROR('Price History'!V3+(INDEX('Price History'!V:V,MATCH(9.99E+307,'Returns (Calc)'!$A:$A)+1)-'Price History'!V3)*(ROW()-3)/(MATCH(9.99E+307,'Returns (Calc)'!$A:$A)-3),"")</f>
        <v>317.136898734177</v>
      </c>
      <c r="AP106" s="155" t="n">
        <f aca="false">IFERROR(IF(OR(NOT(ISNUMBER('Price History'!W107)),NOT(ISNUMBER('Price History'!W106)),'Price History'!W106=0),"",'Price History'!W107/'Price History'!W106-1),"")</f>
        <v>0.0131462333825703</v>
      </c>
      <c r="AQ106" s="155" t="str">
        <f aca="false">IFERROR(IF(OR(NOT(ISNUMBER('Price History'!X107)),NOT(ISNUMBER('Price History'!X106)),'Price History'!X106=0),"",'Price History'!X107/'Price History'!X106-1),"")</f>
        <v/>
      </c>
      <c r="AR106" s="155" t="n">
        <f aca="false">IFERROR(IF(OR(NOT(ISNUMBER('Price History'!Y107)),NOT(ISNUMBER('Price History'!Y106)),'Price History'!Y106=0),"",'Price History'!Y107/'Price History'!Y106-1),"")</f>
        <v>0.00211132437619965</v>
      </c>
      <c r="AS106" s="155" t="n">
        <f aca="false">IFERROR(IF(OR(NOT(ISNUMBER('Price History'!Z107)),NOT(ISNUMBER('Price History'!Z106)),'Price History'!Z106=0),"",'Price History'!Z107/'Price History'!Z106-1),"")</f>
        <v>0.00881865956374628</v>
      </c>
      <c r="AT106" s="155" t="n">
        <f aca="false">IFERROR(IF(OR(NOT(ISNUMBER('Price History'!AA107)),NOT(ISNUMBER('Price History'!AA106)),'Price History'!AA106=0),"",'Price History'!AA107/'Price History'!AA106-1),"")</f>
        <v>-0.0445409229779706</v>
      </c>
      <c r="AU106" s="155" t="n">
        <f aca="false">IFERROR(IF(OR(NOT(ISNUMBER('Price History'!AB107)),NOT(ISNUMBER('Price History'!AB106)),'Price History'!AB106=0),"",'Price History'!AB107/'Price History'!AB106-1),"")</f>
        <v>0.0128238009746089</v>
      </c>
    </row>
    <row r="107" customFormat="false" ht="15" hidden="false" customHeight="true" outlineLevel="0" collapsed="false">
      <c r="A107" s="153" t="n">
        <f aca="false">IF('Price History'!A108="","",'Price History'!A108)</f>
        <v>45919</v>
      </c>
      <c r="B107" s="154" t="n">
        <f aca="false">IFERROR(IF(OR(NOT(ISNUMBER('Price History'!B108)),NOT(ISNUMBER('Price History'!B107)),'Price History'!B107=0),"",'Price History'!B108/'Price History'!B107-1),"")</f>
        <v>0.0473437142202884</v>
      </c>
      <c r="C107" s="154" t="n">
        <f aca="false">IFERROR(IF(OR(NOT(ISNUMBER('Price History'!C108)),NOT(ISNUMBER('Price History'!C107)),'Price History'!C107=0),"",'Price History'!C108/'Price History'!C107-1),"")</f>
        <v>0.0733194633761392</v>
      </c>
      <c r="D107" s="154" t="n">
        <f aca="false">IFERROR(IF(OR(NOT(ISNUMBER('Price History'!D108)),NOT(ISNUMBER('Price History'!D107)),'Price History'!D107=0),"",'Price History'!D108/'Price History'!D107-1),"")</f>
        <v>0.145336037796522</v>
      </c>
      <c r="E107" s="154" t="n">
        <f aca="false">IFERROR(IF(OR(NOT(ISNUMBER('Price History'!E108)),NOT(ISNUMBER('Price History'!E107)),'Price History'!E107=0),"",'Price History'!E108/'Price History'!E107-1),"")</f>
        <v>-0.0414750420639373</v>
      </c>
      <c r="F107" s="154" t="n">
        <f aca="false">IFERROR(IF(OR(NOT(ISNUMBER('Price History'!F108)),NOT(ISNUMBER('Price History'!F107)),'Price History'!F107=0),"",'Price History'!F108/'Price History'!F107-1),"")</f>
        <v>0.152343391727048</v>
      </c>
      <c r="G107" s="154" t="n">
        <f aca="false">IFERROR(IF(OR(NOT(ISNUMBER('Price History'!G108)),NOT(ISNUMBER('Price History'!G107)),'Price History'!G107=0),"",'Price History'!G108/'Price History'!G107-1),"")</f>
        <v>0.083854818523154</v>
      </c>
      <c r="H107" s="154" t="n">
        <f aca="false">IFERROR(IF(OR(NOT(ISNUMBER('Price History'!H108)),NOT(ISNUMBER('Price History'!H107)),'Price History'!H107=0),"",'Price History'!H108/'Price History'!H107-1),"")</f>
        <v>0.0349726079755384</v>
      </c>
      <c r="I107" s="154" t="n">
        <f aca="false">IFERROR(IF(OR(NOT(ISNUMBER('Price History'!I108)),NOT(ISNUMBER('Price History'!I107)),'Price History'!I107=0),"",'Price History'!I108/'Price History'!I107-1),"")</f>
        <v>-0.00648252536640359</v>
      </c>
      <c r="J107" s="154" t="n">
        <f aca="false">IFERROR(IF(OR(NOT(ISNUMBER('Price History'!J108)),NOT(ISNUMBER('Price History'!J107)),'Price History'!J107=0),"",'Price History'!J108/'Price History'!J107-1),"")</f>
        <v>-0.00721695985566073</v>
      </c>
      <c r="K107" s="154" t="n">
        <f aca="false">IFERROR(IF(OR(NOT(ISNUMBER('Price History'!K108)),NOT(ISNUMBER('Price History'!K107)),'Price History'!K107=0),"",'Price History'!K108/'Price History'!K107-1),"")</f>
        <v>0.0639328005599953</v>
      </c>
      <c r="L107" s="154" t="n">
        <f aca="false">IFERROR(IF(OR(NOT(ISNUMBER('Price History'!L108)),NOT(ISNUMBER('Price History'!L107)),'Price History'!L107=0),"",'Price History'!L108/'Price History'!L107-1),"")</f>
        <v>0.0245885618232282</v>
      </c>
      <c r="M107" s="154" t="n">
        <f aca="false">IFERROR(IF(OR(NOT(ISNUMBER('Price History'!M108)),NOT(ISNUMBER('Price History'!M107)),'Price History'!M107=0),"",'Price History'!M108/'Price History'!M107-1),"")</f>
        <v>0.0652755086885488</v>
      </c>
      <c r="N107" s="154" t="n">
        <f aca="false">IFERROR(IF(OR(NOT(ISNUMBER('Price History'!N108)),NOT(ISNUMBER('Price History'!N107)),'Price History'!N107=0),"",'Price History'!N108/'Price History'!N107-1),"")</f>
        <v>-0.0289204876688718</v>
      </c>
      <c r="O107" s="154" t="n">
        <f aca="false">IFERROR(IF(OR(NOT(ISNUMBER('Price History'!O108)),NOT(ISNUMBER('Price History'!O107)),'Price History'!O107=0),"",'Price History'!O108/'Price History'!O107-1),"")</f>
        <v>0.00569221386460672</v>
      </c>
      <c r="P107" s="154" t="n">
        <f aca="false">IFERROR(IF(OR(NOT(ISNUMBER('Price History'!P108)),NOT(ISNUMBER('Price History'!P107)),'Price History'!P107=0),"",'Price History'!P108/'Price History'!P107-1),"")</f>
        <v>-0.00279740871613665</v>
      </c>
      <c r="Q107" s="154" t="n">
        <f aca="false">IFERROR(IF(OR(NOT(ISNUMBER('Price History'!Q108)),NOT(ISNUMBER('Price History'!Q107)),'Price History'!Q107=0),"",'Price History'!Q108/'Price History'!Q107-1),"")</f>
        <v>0.00201988812927278</v>
      </c>
      <c r="R107" s="154" t="n">
        <f aca="false">IFERROR(IF(OR(NOT(ISNUMBER('Price History'!R108)),NOT(ISNUMBER('Price History'!R107)),'Price History'!R107=0),"",'Price History'!R108/'Price History'!R107-1),"")</f>
        <v>0.0110176282051282</v>
      </c>
      <c r="S107" s="154" t="n">
        <f aca="false">IFERROR(IF(OR(NOT(ISNUMBER('Price History'!S108)),NOT(ISNUMBER('Price History'!S107)),'Price History'!S107=0),"",'Price History'!S108/'Price History'!S107-1),"")</f>
        <v>0.012072434607646</v>
      </c>
      <c r="T107" s="154" t="n">
        <f aca="false">IFERROR(IF(OR(NOT(ISNUMBER('Price History'!T108)),NOT(ISNUMBER('Price History'!T107)),'Price History'!T107=0),"",'Price History'!T108/'Price History'!T107-1),"")</f>
        <v>-0.00134952766531704</v>
      </c>
      <c r="U107" s="154" t="n">
        <f aca="false">IFERROR(IF(OR(NOT(ISNUMBER('Price History'!U108)),NOT(ISNUMBER('Price History'!U107)),'Price History'!U107=0),"",'Price History'!U108/'Price History'!U107-1),"")</f>
        <v>-0.00570342205323204</v>
      </c>
      <c r="V107" s="155" t="n">
        <f aca="false">IFERROR(IF(OR(NOT(ISNUMBER('Price History'!V108)),NOT(ISNUMBER('Price History'!V107)),'Price History'!V107=0),"",'Price History'!V108/'Price History'!V107-1),"")</f>
        <v>0.00641444437845218</v>
      </c>
      <c r="W107" s="156" t="n">
        <f aca="false">IFERROR('Price History'!B3+(INDEX('Price History'!B:B,MATCH(9.99E+307,'Returns (Calc)'!$A:$A)+1)-'Price History'!B3)*(ROW()-3)/(MATCH(9.99E+307,'Returns (Calc)'!$A:$A)-3),"")</f>
        <v>337.214050632911</v>
      </c>
      <c r="X107" s="156" t="n">
        <f aca="false">IFERROR('Price History'!C3+(INDEX('Price History'!C:C,MATCH(9.99E+307,'Returns (Calc)'!$A:$A)+1)-'Price History'!C3)*(ROW()-3)/(MATCH(9.99E+307,'Returns (Calc)'!$A:$A)-3),"")</f>
        <v>152.266582278481</v>
      </c>
      <c r="Y107" s="156" t="n">
        <f aca="false">IFERROR('Price History'!D3+(INDEX('Price History'!D:D,MATCH(9.99E+307,'Returns (Calc)'!$A:$A)+1)-'Price History'!D3)*(ROW()-3)/(MATCH(9.99E+307,'Returns (Calc)'!$A:$A)-3),"")</f>
        <v>1428.03025316456</v>
      </c>
      <c r="Z107" s="156" t="n">
        <f aca="false">IFERROR('Price History'!E3+(INDEX('Price History'!E:E,MATCH(9.99E+307,'Returns (Calc)'!$A:$A)+1)-'Price History'!E3)*(ROW()-3)/(MATCH(9.99E+307,'Returns (Calc)'!$A:$A)-3),"")</f>
        <v>261.78835443038</v>
      </c>
      <c r="AA107" s="156" t="n">
        <f aca="false">IFERROR('Price History'!F3+(INDEX('Price History'!F:F,MATCH(9.99E+307,'Returns (Calc)'!$A:$A)+1)-'Price History'!F3)*(ROW()-3)/(MATCH(9.99E+307,'Returns (Calc)'!$A:$A)-3),"")</f>
        <v>191.883544303797</v>
      </c>
      <c r="AB107" s="156" t="n">
        <f aca="false">IFERROR('Price History'!G3+(INDEX('Price History'!G:G,MATCH(9.99E+307,'Returns (Calc)'!$A:$A)+1)-'Price History'!G3)*(ROW()-3)/(MATCH(9.99E+307,'Returns (Calc)'!$A:$A)-3),"")</f>
        <v>151.33835443038</v>
      </c>
      <c r="AC107" s="156" t="n">
        <f aca="false">IFERROR('Price History'!H3+(INDEX('Price History'!H:H,MATCH(9.99E+307,'Returns (Calc)'!$A:$A)+1)-'Price History'!H3)*(ROW()-3)/(MATCH(9.99E+307,'Returns (Calc)'!$A:$A)-3),"")</f>
        <v>731.142405063291</v>
      </c>
      <c r="AD107" s="156" t="n">
        <f aca="false">IFERROR('Price History'!I3+(INDEX('Price History'!I:I,MATCH(9.99E+307,'Returns (Calc)'!$A:$A)+1)-'Price History'!I3)*(ROW()-3)/(MATCH(9.99E+307,'Returns (Calc)'!$A:$A)-3),"")</f>
        <v>168.951772151899</v>
      </c>
      <c r="AE107" s="156" t="n">
        <f aca="false">IFERROR('Price History'!J3+(INDEX('Price History'!J:J,MATCH(9.99E+307,'Returns (Calc)'!$A:$A)+1)-'Price History'!J3)*(ROW()-3)/(MATCH(9.99E+307,'Returns (Calc)'!$A:$A)-3),"")</f>
        <v>123.075949367089</v>
      </c>
      <c r="AF107" s="156" t="n">
        <f aca="false">IFERROR('Price History'!K3+(INDEX('Price History'!K:K,MATCH(9.99E+307,'Returns (Calc)'!$A:$A)+1)-'Price History'!K3)*(ROW()-3)/(MATCH(9.99E+307,'Returns (Calc)'!$A:$A)-3),"")</f>
        <v>129.479873417722</v>
      </c>
      <c r="AG107" s="156" t="n">
        <f aca="false">IFERROR('Price History'!L3+(INDEX('Price History'!L:L,MATCH(9.99E+307,'Returns (Calc)'!$A:$A)+1)-'Price History'!L3)*(ROW()-3)/(MATCH(9.99E+307,'Returns (Calc)'!$A:$A)-3),"")</f>
        <v>340.503924050633</v>
      </c>
      <c r="AH107" s="156" t="n">
        <f aca="false">IFERROR('Price History'!M3+(INDEX('Price History'!M:M,MATCH(9.99E+307,'Returns (Calc)'!$A:$A)+1)-'Price History'!M3)*(ROW()-3)/(MATCH(9.99E+307,'Returns (Calc)'!$A:$A)-3),"")</f>
        <v>178.986075949367</v>
      </c>
      <c r="AI107" s="156" t="n">
        <f aca="false">IFERROR('Price History'!N3+(INDEX('Price History'!N:N,MATCH(9.99E+307,'Returns (Calc)'!$A:$A)+1)-'Price History'!N3)*(ROW()-3)/(MATCH(9.99E+307,'Returns (Calc)'!$A:$A)-3),"")</f>
        <v>451.47164556962</v>
      </c>
      <c r="AJ107" s="156" t="n">
        <f aca="false">IFERROR('Price History'!O3+(INDEX('Price History'!O:O,MATCH(9.99E+307,'Returns (Calc)'!$A:$A)+1)-'Price History'!O3)*(ROW()-3)/(MATCH(9.99E+307,'Returns (Calc)'!$A:$A)-3),"")</f>
        <v>104.745949367089</v>
      </c>
      <c r="AK107" s="156" t="n">
        <f aca="false">IFERROR('Price History'!Q3+(INDEX('Price History'!Q:Q,MATCH(9.99E+307,'Returns (Calc)'!$A:$A)+1)-'Price History'!Q3)*(ROW()-3)/(MATCH(9.99E+307,'Returns (Calc)'!$A:$A)-3),"")</f>
        <v>45.6941772151899</v>
      </c>
      <c r="AL107" s="156" t="n">
        <f aca="false">IFERROR('Price History'!R3+(INDEX('Price History'!R:R,MATCH(9.99E+307,'Returns (Calc)'!$A:$A)+1)-'Price History'!R3)*(ROW()-3)/(MATCH(9.99E+307,'Returns (Calc)'!$A:$A)-3),"")</f>
        <v>51.9625316455696</v>
      </c>
      <c r="AM107" s="156" t="n">
        <f aca="false">IFERROR('Price History'!S3+(INDEX('Price History'!S:S,MATCH(9.99E+307,'Returns (Calc)'!$A:$A)+1)-'Price History'!S3)*(ROW()-3)/(MATCH(9.99E+307,'Returns (Calc)'!$A:$A)-3),"")</f>
        <v>120.556582278481</v>
      </c>
      <c r="AN107" s="156" t="n">
        <f aca="false">IFERROR('Price History'!T3+(INDEX('Price History'!T:T,MATCH(9.99E+307,'Returns (Calc)'!$A:$A)+1)-'Price History'!T3)*(ROW()-3)/(MATCH(9.99E+307,'Returns (Calc)'!$A:$A)-3),"")</f>
        <v>42.7356962025316</v>
      </c>
      <c r="AO107" s="157" t="n">
        <f aca="false">IFERROR('Price History'!V3+(INDEX('Price History'!V:V,MATCH(9.99E+307,'Returns (Calc)'!$A:$A)+1)-'Price History'!V3)*(ROW()-3)/(MATCH(9.99E+307,'Returns (Calc)'!$A:$A)-3),"")</f>
        <v>317.928227848101</v>
      </c>
      <c r="AP107" s="155" t="n">
        <f aca="false">IFERROR(IF(OR(NOT(ISNUMBER('Price History'!W108)),NOT(ISNUMBER('Price History'!W107)),'Price History'!W107=0),"",'Price History'!W108/'Price History'!W107-1),"")</f>
        <v>-0.000583175389998636</v>
      </c>
      <c r="AQ107" s="155" t="str">
        <f aca="false">IFERROR(IF(OR(NOT(ISNUMBER('Price History'!X108)),NOT(ISNUMBER('Price History'!X107)),'Price History'!X107=0),"",'Price History'!X108/'Price History'!X107-1),"")</f>
        <v/>
      </c>
      <c r="AR107" s="155" t="n">
        <f aca="false">IFERROR(IF(OR(NOT(ISNUMBER('Price History'!Y108)),NOT(ISNUMBER('Price History'!Y107)),'Price History'!Y107=0),"",'Price History'!Y108/'Price History'!Y107-1),"")</f>
        <v>-0.000766136755410818</v>
      </c>
      <c r="AS107" s="155" t="n">
        <f aca="false">IFERROR(IF(OR(NOT(ISNUMBER('Price History'!Z108)),NOT(ISNUMBER('Price History'!Z107)),'Price History'!Z107=0),"",'Price History'!Z108/'Price History'!Z107-1),"")</f>
        <v>0.0690405680236916</v>
      </c>
      <c r="AT107" s="155" t="n">
        <f aca="false">IFERROR(IF(OR(NOT(ISNUMBER('Price History'!AA108)),NOT(ISNUMBER('Price History'!AA107)),'Price History'!AA107=0),"",'Price History'!AA108/'Price History'!AA107-1),"")</f>
        <v>0.0324806462470548</v>
      </c>
      <c r="AU107" s="155" t="n">
        <f aca="false">IFERROR(IF(OR(NOT(ISNUMBER('Price History'!AB108)),NOT(ISNUMBER('Price History'!AB107)),'Price History'!AB107=0),"",'Price History'!AB108/'Price History'!AB107-1),"")</f>
        <v>0.00491987121513593</v>
      </c>
    </row>
    <row r="108" customFormat="false" ht="15" hidden="false" customHeight="true" outlineLevel="0" collapsed="false">
      <c r="A108" s="153" t="n">
        <f aca="false">IF('Price History'!A109="","",'Price History'!A109)</f>
        <v>45926</v>
      </c>
      <c r="B108" s="154" t="n">
        <f aca="false">IFERROR(IF(OR(NOT(ISNUMBER('Price History'!B109)),NOT(ISNUMBER('Price History'!B108)),'Price History'!B108=0),"",'Price History'!B109/'Price History'!B108-1),"")</f>
        <v>-0.0151134189669307</v>
      </c>
      <c r="C108" s="154" t="n">
        <f aca="false">IFERROR(IF(OR(NOT(ISNUMBER('Price History'!C109)),NOT(ISNUMBER('Price History'!C108)),'Price History'!C108=0),"",'Price History'!C109/'Price History'!C108-1),"")</f>
        <v>-0.0475235612592742</v>
      </c>
      <c r="D108" s="154" t="n">
        <f aca="false">IFERROR(IF(OR(NOT(ISNUMBER('Price History'!D109)),NOT(ISNUMBER('Price History'!D108)),'Price History'!D108=0),"",'Price History'!D109/'Price History'!D108-1),"")</f>
        <v>0.0207764159602613</v>
      </c>
      <c r="E108" s="154" t="n">
        <f aca="false">IFERROR(IF(OR(NOT(ISNUMBER('Price History'!E109)),NOT(ISNUMBER('Price History'!E108)),'Price History'!E108=0),"",'Price History'!E109/'Price History'!E108-1),"")</f>
        <v>-0.028524618940347</v>
      </c>
      <c r="F108" s="154" t="n">
        <f aca="false">IFERROR(IF(OR(NOT(ISNUMBER('Price History'!F109)),NOT(ISNUMBER('Price History'!F108)),'Price History'!F108=0),"",'Price History'!F109/'Price History'!F108-1),"")</f>
        <v>-0.0420248328557784</v>
      </c>
      <c r="G108" s="154" t="n">
        <f aca="false">IFERROR(IF(OR(NOT(ISNUMBER('Price History'!G109)),NOT(ISNUMBER('Price History'!G108)),'Price History'!G108=0),"",'Price History'!G109/'Price History'!G108-1),"")</f>
        <v>0.0186682063125481</v>
      </c>
      <c r="H108" s="154" t="n">
        <f aca="false">IFERROR(IF(OR(NOT(ISNUMBER('Price History'!H109)),NOT(ISNUMBER('Price History'!H108)),'Price History'!H108=0),"",'Price History'!H109/'Price History'!H108-1),"")</f>
        <v>-0.0335446543977349</v>
      </c>
      <c r="I108" s="154" t="n">
        <f aca="false">IFERROR(IF(OR(NOT(ISNUMBER('Price History'!I109)),NOT(ISNUMBER('Price History'!I108)),'Price History'!I108=0),"",'Price History'!I109/'Price History'!I108-1),"")</f>
        <v>0.00856737588652479</v>
      </c>
      <c r="J108" s="154" t="n">
        <f aca="false">IFERROR(IF(OR(NOT(ISNUMBER('Price History'!J109)),NOT(ISNUMBER('Price History'!J108)),'Price History'!J108=0),"",'Price History'!J109/'Price History'!J108-1),"")</f>
        <v>0.00599727396637895</v>
      </c>
      <c r="K108" s="154" t="n">
        <f aca="false">IFERROR(IF(OR(NOT(ISNUMBER('Price History'!K109)),NOT(ISNUMBER('Price History'!K108)),'Price History'!K108=0),"",'Price History'!K109/'Price History'!K108-1),"")</f>
        <v>-0.0264268874390043</v>
      </c>
      <c r="L108" s="154" t="n">
        <f aca="false">IFERROR(IF(OR(NOT(ISNUMBER('Price History'!L109)),NOT(ISNUMBER('Price History'!L108)),'Price History'!L108=0),"",'Price History'!L109/'Price History'!L108-1),"")</f>
        <v>0.0320488363220144</v>
      </c>
      <c r="M108" s="154" t="n">
        <f aca="false">IFERROR(IF(OR(NOT(ISNUMBER('Price History'!M109)),NOT(ISNUMBER('Price History'!M108)),'Price History'!M108=0),"",'Price History'!M109/'Price History'!M108-1),"")</f>
        <v>-0.0347159288950853</v>
      </c>
      <c r="N108" s="154" t="n">
        <f aca="false">IFERROR(IF(OR(NOT(ISNUMBER('Price History'!N109)),NOT(ISNUMBER('Price History'!N108)),'Price History'!N108=0),"",'Price History'!N109/'Price History'!N108-1),"")</f>
        <v>0.00683858843182295</v>
      </c>
      <c r="O108" s="154" t="n">
        <f aca="false">IFERROR(IF(OR(NOT(ISNUMBER('Price History'!O109)),NOT(ISNUMBER('Price History'!O108)),'Price History'!O108=0),"",'Price History'!O109/'Price History'!O108-1),"")</f>
        <v>0.00303214069132807</v>
      </c>
      <c r="P108" s="154" t="n">
        <f aca="false">IFERROR(IF(OR(NOT(ISNUMBER('Price History'!P109)),NOT(ISNUMBER('Price History'!P108)),'Price History'!P108=0),"",'Price History'!P109/'Price History'!P108-1),"")</f>
        <v>0.00767754318618041</v>
      </c>
      <c r="Q108" s="154" t="n">
        <f aca="false">IFERROR(IF(OR(NOT(ISNUMBER('Price History'!Q109)),NOT(ISNUMBER('Price History'!Q108)),'Price History'!Q108=0),"",'Price History'!Q109/'Price History'!Q108-1),"")</f>
        <v>0.000310125600868405</v>
      </c>
      <c r="R108" s="154" t="n">
        <f aca="false">IFERROR(IF(OR(NOT(ISNUMBER('Price History'!R109)),NOT(ISNUMBER('Price History'!R108)),'Price History'!R108=0),"",'Price History'!R109/'Price History'!R108-1),"")</f>
        <v>0.00158510005944112</v>
      </c>
      <c r="S108" s="154" t="n">
        <f aca="false">IFERROR(IF(OR(NOT(ISNUMBER('Price History'!S109)),NOT(ISNUMBER('Price History'!S108)),'Price History'!S108=0),"",'Price History'!S109/'Price History'!S108-1),"")</f>
        <v>-0.00952617627567931</v>
      </c>
      <c r="T108" s="154" t="n">
        <f aca="false">IFERROR(IF(OR(NOT(ISNUMBER('Price History'!T109)),NOT(ISNUMBER('Price History'!T108)),'Price History'!T108=0),"",'Price History'!T109/'Price History'!T108-1),"")</f>
        <v>0.00783783783783787</v>
      </c>
      <c r="U108" s="154" t="n">
        <f aca="false">IFERROR(IF(OR(NOT(ISNUMBER('Price History'!U109)),NOT(ISNUMBER('Price History'!U108)),'Price History'!U108=0),"",'Price History'!U109/'Price History'!U108-1),"")</f>
        <v>0.00535372848948379</v>
      </c>
      <c r="V108" s="155" t="n">
        <f aca="false">IFERROR(IF(OR(NOT(ISNUMBER('Price History'!V109)),NOT(ISNUMBER('Price History'!V108)),'Price History'!V108=0),"",'Price History'!V109/'Price History'!V108-1),"")</f>
        <v>-0.0124225435231631</v>
      </c>
      <c r="W108" s="156" t="n">
        <f aca="false">IFERROR('Price History'!B3+(INDEX('Price History'!B:B,MATCH(9.99E+307,'Returns (Calc)'!$A:$A)+1)-'Price History'!B3)*(ROW()-3)/(MATCH(9.99E+307,'Returns (Calc)'!$A:$A)-3),"")</f>
        <v>335.371012658228</v>
      </c>
      <c r="X108" s="156" t="n">
        <f aca="false">IFERROR('Price History'!C3+(INDEX('Price History'!C:C,MATCH(9.99E+307,'Returns (Calc)'!$A:$A)+1)-'Price History'!C3)*(ROW()-3)/(MATCH(9.99E+307,'Returns (Calc)'!$A:$A)-3),"")</f>
        <v>153.28664556962</v>
      </c>
      <c r="Y108" s="156" t="n">
        <f aca="false">IFERROR('Price History'!D3+(INDEX('Price History'!D:D,MATCH(9.99E+307,'Returns (Calc)'!$A:$A)+1)-'Price History'!D3)*(ROW()-3)/(MATCH(9.99E+307,'Returns (Calc)'!$A:$A)-3),"")</f>
        <v>1436.16506329114</v>
      </c>
      <c r="Z108" s="156" t="n">
        <f aca="false">IFERROR('Price History'!E3+(INDEX('Price History'!E:E,MATCH(9.99E+307,'Returns (Calc)'!$A:$A)+1)-'Price History'!E3)*(ROW()-3)/(MATCH(9.99E+307,'Returns (Calc)'!$A:$A)-3),"")</f>
        <v>263.517088607595</v>
      </c>
      <c r="AA108" s="156" t="n">
        <f aca="false">IFERROR('Price History'!F3+(INDEX('Price History'!F:F,MATCH(9.99E+307,'Returns (Calc)'!$A:$A)+1)-'Price History'!F3)*(ROW()-3)/(MATCH(9.99E+307,'Returns (Calc)'!$A:$A)-3),"")</f>
        <v>193.330886075949</v>
      </c>
      <c r="AB108" s="156" t="n">
        <f aca="false">IFERROR('Price History'!G3+(INDEX('Price History'!G:G,MATCH(9.99E+307,'Returns (Calc)'!$A:$A)+1)-'Price History'!G3)*(ROW()-3)/(MATCH(9.99E+307,'Returns (Calc)'!$A:$A)-3),"")</f>
        <v>152.367088607595</v>
      </c>
      <c r="AC108" s="156" t="n">
        <f aca="false">IFERROR('Price History'!H3+(INDEX('Price History'!H:H,MATCH(9.99E+307,'Returns (Calc)'!$A:$A)+1)-'Price History'!H3)*(ROW()-3)/(MATCH(9.99E+307,'Returns (Calc)'!$A:$A)-3),"")</f>
        <v>737.508101265823</v>
      </c>
      <c r="AD108" s="156" t="n">
        <f aca="false">IFERROR('Price History'!I3+(INDEX('Price History'!I:I,MATCH(9.99E+307,'Returns (Calc)'!$A:$A)+1)-'Price History'!I3)*(ROW()-3)/(MATCH(9.99E+307,'Returns (Calc)'!$A:$A)-3),"")</f>
        <v>170.155443037975</v>
      </c>
      <c r="AE108" s="156" t="n">
        <f aca="false">IFERROR('Price History'!J3+(INDEX('Price History'!J:J,MATCH(9.99E+307,'Returns (Calc)'!$A:$A)+1)-'Price History'!J3)*(ROW()-3)/(MATCH(9.99E+307,'Returns (Calc)'!$A:$A)-3),"")</f>
        <v>123.183987341772</v>
      </c>
      <c r="AF108" s="156" t="n">
        <f aca="false">IFERROR('Price History'!K3+(INDEX('Price History'!K:K,MATCH(9.99E+307,'Returns (Calc)'!$A:$A)+1)-'Price History'!K3)*(ROW()-3)/(MATCH(9.99E+307,'Returns (Calc)'!$A:$A)-3),"")</f>
        <v>130.57746835443</v>
      </c>
      <c r="AG108" s="156" t="n">
        <f aca="false">IFERROR('Price History'!L3+(INDEX('Price History'!L:L,MATCH(9.99E+307,'Returns (Calc)'!$A:$A)+1)-'Price History'!L3)*(ROW()-3)/(MATCH(9.99E+307,'Returns (Calc)'!$A:$A)-3),"")</f>
        <v>342.953481012658</v>
      </c>
      <c r="AH108" s="156" t="n">
        <f aca="false">IFERROR('Price History'!M3+(INDEX('Price History'!M:M,MATCH(9.99E+307,'Returns (Calc)'!$A:$A)+1)-'Price History'!M3)*(ROW()-3)/(MATCH(9.99E+307,'Returns (Calc)'!$A:$A)-3),"")</f>
        <v>180.341518987342</v>
      </c>
      <c r="AI108" s="156" t="n">
        <f aca="false">IFERROR('Price History'!N3+(INDEX('Price History'!N:N,MATCH(9.99E+307,'Returns (Calc)'!$A:$A)+1)-'Price History'!N3)*(ROW()-3)/(MATCH(9.99E+307,'Returns (Calc)'!$A:$A)-3),"")</f>
        <v>452.457911392405</v>
      </c>
      <c r="AJ108" s="156" t="n">
        <f aca="false">IFERROR('Price History'!O3+(INDEX('Price History'!O:O,MATCH(9.99E+307,'Returns (Calc)'!$A:$A)+1)-'Price History'!O3)*(ROW()-3)/(MATCH(9.99E+307,'Returns (Calc)'!$A:$A)-3),"")</f>
        <v>105.028987341772</v>
      </c>
      <c r="AK108" s="156" t="n">
        <f aca="false">IFERROR('Price History'!Q3+(INDEX('Price History'!Q:Q,MATCH(9.99E+307,'Returns (Calc)'!$A:$A)+1)-'Price History'!Q3)*(ROW()-3)/(MATCH(9.99E+307,'Returns (Calc)'!$A:$A)-3),"")</f>
        <v>46.1335443037975</v>
      </c>
      <c r="AL108" s="156" t="n">
        <f aca="false">IFERROR('Price History'!R3+(INDEX('Price History'!R:R,MATCH(9.99E+307,'Returns (Calc)'!$A:$A)+1)-'Price History'!R3)*(ROW()-3)/(MATCH(9.99E+307,'Returns (Calc)'!$A:$A)-3),"")</f>
        <v>52.1306329113924</v>
      </c>
      <c r="AM108" s="156" t="n">
        <f aca="false">IFERROR('Price History'!S3+(INDEX('Price History'!S:S,MATCH(9.99E+307,'Returns (Calc)'!$A:$A)+1)-'Price History'!S3)*(ROW()-3)/(MATCH(9.99E+307,'Returns (Calc)'!$A:$A)-3),"")</f>
        <v>121.16164556962</v>
      </c>
      <c r="AN108" s="156" t="n">
        <f aca="false">IFERROR('Price History'!T3+(INDEX('Price History'!T:T,MATCH(9.99E+307,'Returns (Calc)'!$A:$A)+1)-'Price History'!T3)*(ROW()-3)/(MATCH(9.99E+307,'Returns (Calc)'!$A:$A)-3),"")</f>
        <v>42.9039240506329</v>
      </c>
      <c r="AO108" s="157" t="n">
        <f aca="false">IFERROR('Price History'!V3+(INDEX('Price History'!V:V,MATCH(9.99E+307,'Returns (Calc)'!$A:$A)+1)-'Price History'!V3)*(ROW()-3)/(MATCH(9.99E+307,'Returns (Calc)'!$A:$A)-3),"")</f>
        <v>318.719556962025</v>
      </c>
      <c r="AP108" s="155" t="n">
        <f aca="false">IFERROR(IF(OR(NOT(ISNUMBER('Price History'!W109)),NOT(ISNUMBER('Price History'!W108)),'Price History'!W108=0),"",'Price History'!W109/'Price History'!W108-1),"")</f>
        <v>0.00233406272793579</v>
      </c>
      <c r="AQ108" s="155" t="str">
        <f aca="false">IFERROR(IF(OR(NOT(ISNUMBER('Price History'!X109)),NOT(ISNUMBER('Price History'!X108)),'Price History'!X108=0),"",'Price History'!X109/'Price History'!X108-1),"")</f>
        <v/>
      </c>
      <c r="AR108" s="155" t="n">
        <f aca="false">IFERROR(IF(OR(NOT(ISNUMBER('Price History'!Y109)),NOT(ISNUMBER('Price History'!Y108)),'Price History'!Y108=0),"",'Price History'!Y109/'Price History'!Y108-1),"")</f>
        <v>0.0013417672992142</v>
      </c>
      <c r="AS108" s="155" t="n">
        <f aca="false">IFERROR(IF(OR(NOT(ISNUMBER('Price History'!Z109)),NOT(ISNUMBER('Price History'!Z108)),'Price History'!Z108=0),"",'Price History'!Z109/'Price History'!Z108-1),"")</f>
        <v>-0.020459248381283</v>
      </c>
      <c r="AT108" s="155" t="n">
        <f aca="false">IFERROR(IF(OR(NOT(ISNUMBER('Price History'!AA109)),NOT(ISNUMBER('Price History'!AA108)),'Price History'!AA108=0),"",'Price History'!AA109/'Price History'!AA108-1),"")</f>
        <v>-0.0133659331703342</v>
      </c>
      <c r="AU108" s="155" t="n">
        <f aca="false">IFERROR(IF(OR(NOT(ISNUMBER('Price History'!AB109)),NOT(ISNUMBER('Price History'!AB108)),'Price History'!AB108=0),"",'Price History'!AB109/'Price History'!AB108-1),"")</f>
        <v>0.0449260232549766</v>
      </c>
    </row>
    <row r="109" customFormat="false" ht="15" hidden="false" customHeight="true" outlineLevel="0" collapsed="false">
      <c r="A109" s="153" t="n">
        <f aca="false">IF('Price History'!A110="","",'Price History'!A110)</f>
        <v>45933</v>
      </c>
      <c r="B109" s="154" t="n">
        <f aca="false">IFERROR(IF(OR(NOT(ISNUMBER('Price History'!B110)),NOT(ISNUMBER('Price History'!B109)),'Price History'!B109=0),"",'Price History'!B110/'Price History'!B109-1),"")</f>
        <v>-0.0378222382551267</v>
      </c>
      <c r="C109" s="154" t="n">
        <f aca="false">IFERROR(IF(OR(NOT(ISNUMBER('Price History'!C110)),NOT(ISNUMBER('Price History'!C109)),'Price History'!C109=0),"",'Price History'!C110/'Price History'!C109-1),"")</f>
        <v>0.0210526315789474</v>
      </c>
      <c r="D109" s="154" t="n">
        <f aca="false">IFERROR(IF(OR(NOT(ISNUMBER('Price History'!D110)),NOT(ISNUMBER('Price History'!D109)),'Price History'!D109=0),"",'Price History'!D110/'Price History'!D109-1),"")</f>
        <v>0.0848205312655377</v>
      </c>
      <c r="E109" s="154" t="n">
        <f aca="false">IFERROR(IF(OR(NOT(ISNUMBER('Price History'!E110)),NOT(ISNUMBER('Price History'!E109)),'Price History'!E109=0),"",'Price History'!E110/'Price History'!E109-1),"")</f>
        <v>0.0114738300307173</v>
      </c>
      <c r="F109" s="154" t="n">
        <f aca="false">IFERROR(IF(OR(NOT(ISNUMBER('Price History'!F110)),NOT(ISNUMBER('Price History'!F109)),'Price History'!F109=0),"",'Price History'!F110/'Price History'!F109-1),"")</f>
        <v>0.0175307411100034</v>
      </c>
      <c r="G109" s="154" t="n">
        <f aca="false">IFERROR(IF(OR(NOT(ISNUMBER('Price History'!G110)),NOT(ISNUMBER('Price History'!G109)),'Price History'!G109=0),"",'Price History'!G110/'Price History'!G109-1),"")</f>
        <v>0.0349518231626678</v>
      </c>
      <c r="H109" s="154" t="n">
        <f aca="false">IFERROR(IF(OR(NOT(ISNUMBER('Price History'!H110)),NOT(ISNUMBER('Price History'!H109)),'Price History'!H109=0),"",'Price History'!H110/'Price History'!H109-1),"")</f>
        <v>0.195070691631639</v>
      </c>
      <c r="I109" s="154" t="n">
        <f aca="false">IFERROR(IF(OR(NOT(ISNUMBER('Price History'!I110)),NOT(ISNUMBER('Price History'!I109)),'Price History'!I109=0),"",'Price History'!I110/'Price History'!I109-1),"")</f>
        <v>0.0529365436543654</v>
      </c>
      <c r="J109" s="154" t="n">
        <f aca="false">IFERROR(IF(OR(NOT(ISNUMBER('Price History'!J110)),NOT(ISNUMBER('Price History'!J109)),'Price History'!J109=0),"",'Price History'!J110/'Price History'!J109-1),"")</f>
        <v>0.0252009755216331</v>
      </c>
      <c r="K109" s="154" t="n">
        <f aca="false">IFERROR(IF(OR(NOT(ISNUMBER('Price History'!K110)),NOT(ISNUMBER('Price History'!K109)),'Price History'!K109=0),"",'Price History'!K110/'Price History'!K109-1),"")</f>
        <v>-0.025342118601115</v>
      </c>
      <c r="L109" s="154" t="n">
        <f aca="false">IFERROR(IF(OR(NOT(ISNUMBER('Price History'!L110)),NOT(ISNUMBER('Price History'!L109)),'Price History'!L109=0),"",'Price History'!L110/'Price History'!L109-1),"")</f>
        <v>0.0688724584103513</v>
      </c>
      <c r="M109" s="154" t="n">
        <f aca="false">IFERROR(IF(OR(NOT(ISNUMBER('Price History'!M110)),NOT(ISNUMBER('Price History'!M109)),'Price History'!M109=0),"",'Price History'!M110/'Price History'!M109-1),"")</f>
        <v>0.155701596013577</v>
      </c>
      <c r="N109" s="154" t="n">
        <f aca="false">IFERROR(IF(OR(NOT(ISNUMBER('Price History'!N110)),NOT(ISNUMBER('Price History'!N109)),'Price History'!N109=0),"",'Price History'!N110/'Price History'!N109-1),"")</f>
        <v>0.0455228910665215</v>
      </c>
      <c r="O109" s="154" t="n">
        <f aca="false">IFERROR(IF(OR(NOT(ISNUMBER('Price History'!O110)),NOT(ISNUMBER('Price History'!O109)),'Price History'!O109=0),"",'Price History'!O110/'Price History'!O109-1),"")</f>
        <v>0.00110842402257161</v>
      </c>
      <c r="P109" s="154" t="n">
        <f aca="false">IFERROR(IF(OR(NOT(ISNUMBER('Price History'!P110)),NOT(ISNUMBER('Price History'!P109)),'Price History'!P109=0),"",'Price History'!P110/'Price History'!P109-1),"")</f>
        <v>0.0123809523809524</v>
      </c>
      <c r="Q109" s="154" t="n">
        <f aca="false">IFERROR(IF(OR(NOT(ISNUMBER('Price History'!Q110)),NOT(ISNUMBER('Price History'!Q109)),'Price History'!Q109=0),"",'Price History'!Q110/'Price History'!Q109-1),"")</f>
        <v>0.003255309254379</v>
      </c>
      <c r="R109" s="154" t="n">
        <f aca="false">IFERROR(IF(OR(NOT(ISNUMBER('Price History'!R110)),NOT(ISNUMBER('Price History'!R109)),'Price History'!R109=0),"",'Price History'!R110/'Price History'!R109-1),"")</f>
        <v>0.00830860534124622</v>
      </c>
      <c r="S109" s="154" t="n">
        <f aca="false">IFERROR(IF(OR(NOT(ISNUMBER('Price History'!S110)),NOT(ISNUMBER('Price History'!S109)),'Price History'!S109=0),"",'Price History'!S110/'Price History'!S109-1),"")</f>
        <v>-0.00409801789746589</v>
      </c>
      <c r="T109" s="154" t="n">
        <f aca="false">IFERROR(IF(OR(NOT(ISNUMBER('Price History'!T110)),NOT(ISNUMBER('Price History'!T109)),'Price History'!T109=0),"",'Price History'!T110/'Price History'!T109-1),"")</f>
        <v>0.00348618932689737</v>
      </c>
      <c r="U109" s="154" t="n">
        <f aca="false">IFERROR(IF(OR(NOT(ISNUMBER('Price History'!U110)),NOT(ISNUMBER('Price History'!U109)),'Price History'!U109=0),"",'Price History'!U110/'Price History'!U109-1),"")</f>
        <v>0.00722708254089022</v>
      </c>
      <c r="V109" s="155" t="n">
        <f aca="false">IFERROR(IF(OR(NOT(ISNUMBER('Price History'!V110)),NOT(ISNUMBER('Price History'!V109)),'Price History'!V109=0),"",'Price History'!V110/'Price History'!V109-1),"")</f>
        <v>0.0369595745316562</v>
      </c>
      <c r="W109" s="156" t="n">
        <f aca="false">IFERROR('Price History'!B3+(INDEX('Price History'!B:B,MATCH(9.99E+307,'Returns (Calc)'!$A:$A)+1)-'Price History'!B3)*(ROW()-3)/(MATCH(9.99E+307,'Returns (Calc)'!$A:$A)-3),"")</f>
        <v>333.527974683544</v>
      </c>
      <c r="X109" s="156" t="n">
        <f aca="false">IFERROR('Price History'!C3+(INDEX('Price History'!C:C,MATCH(9.99E+307,'Returns (Calc)'!$A:$A)+1)-'Price History'!C3)*(ROW()-3)/(MATCH(9.99E+307,'Returns (Calc)'!$A:$A)-3),"")</f>
        <v>154.30670886076</v>
      </c>
      <c r="Y109" s="156" t="n">
        <f aca="false">IFERROR('Price History'!D3+(INDEX('Price History'!D:D,MATCH(9.99E+307,'Returns (Calc)'!$A:$A)+1)-'Price History'!D3)*(ROW()-3)/(MATCH(9.99E+307,'Returns (Calc)'!$A:$A)-3),"")</f>
        <v>1444.29987341772</v>
      </c>
      <c r="Z109" s="156" t="n">
        <f aca="false">IFERROR('Price History'!E3+(INDEX('Price History'!E:E,MATCH(9.99E+307,'Returns (Calc)'!$A:$A)+1)-'Price History'!E3)*(ROW()-3)/(MATCH(9.99E+307,'Returns (Calc)'!$A:$A)-3),"")</f>
        <v>265.24582278481</v>
      </c>
      <c r="AA109" s="156" t="n">
        <f aca="false">IFERROR('Price History'!F3+(INDEX('Price History'!F:F,MATCH(9.99E+307,'Returns (Calc)'!$A:$A)+1)-'Price History'!F3)*(ROW()-3)/(MATCH(9.99E+307,'Returns (Calc)'!$A:$A)-3),"")</f>
        <v>194.778227848101</v>
      </c>
      <c r="AB109" s="156" t="n">
        <f aca="false">IFERROR('Price History'!G3+(INDEX('Price History'!G:G,MATCH(9.99E+307,'Returns (Calc)'!$A:$A)+1)-'Price History'!G3)*(ROW()-3)/(MATCH(9.99E+307,'Returns (Calc)'!$A:$A)-3),"")</f>
        <v>153.39582278481</v>
      </c>
      <c r="AC109" s="156" t="n">
        <f aca="false">IFERROR('Price History'!H3+(INDEX('Price History'!H:H,MATCH(9.99E+307,'Returns (Calc)'!$A:$A)+1)-'Price History'!H3)*(ROW()-3)/(MATCH(9.99E+307,'Returns (Calc)'!$A:$A)-3),"")</f>
        <v>743.873797468355</v>
      </c>
      <c r="AD109" s="156" t="n">
        <f aca="false">IFERROR('Price History'!I3+(INDEX('Price History'!I:I,MATCH(9.99E+307,'Returns (Calc)'!$A:$A)+1)-'Price History'!I3)*(ROW()-3)/(MATCH(9.99E+307,'Returns (Calc)'!$A:$A)-3),"")</f>
        <v>171.359113924051</v>
      </c>
      <c r="AE109" s="156" t="n">
        <f aca="false">IFERROR('Price History'!J3+(INDEX('Price History'!J:J,MATCH(9.99E+307,'Returns (Calc)'!$A:$A)+1)-'Price History'!J3)*(ROW()-3)/(MATCH(9.99E+307,'Returns (Calc)'!$A:$A)-3),"")</f>
        <v>123.292025316456</v>
      </c>
      <c r="AF109" s="156" t="n">
        <f aca="false">IFERROR('Price History'!K3+(INDEX('Price History'!K:K,MATCH(9.99E+307,'Returns (Calc)'!$A:$A)+1)-'Price History'!K3)*(ROW()-3)/(MATCH(9.99E+307,'Returns (Calc)'!$A:$A)-3),"")</f>
        <v>131.675063291139</v>
      </c>
      <c r="AG109" s="156" t="n">
        <f aca="false">IFERROR('Price History'!L3+(INDEX('Price History'!L:L,MATCH(9.99E+307,'Returns (Calc)'!$A:$A)+1)-'Price History'!L3)*(ROW()-3)/(MATCH(9.99E+307,'Returns (Calc)'!$A:$A)-3),"")</f>
        <v>345.403037974684</v>
      </c>
      <c r="AH109" s="156" t="n">
        <f aca="false">IFERROR('Price History'!M3+(INDEX('Price History'!M:M,MATCH(9.99E+307,'Returns (Calc)'!$A:$A)+1)-'Price History'!M3)*(ROW()-3)/(MATCH(9.99E+307,'Returns (Calc)'!$A:$A)-3),"")</f>
        <v>181.696962025316</v>
      </c>
      <c r="AI109" s="156" t="n">
        <f aca="false">IFERROR('Price History'!N3+(INDEX('Price History'!N:N,MATCH(9.99E+307,'Returns (Calc)'!$A:$A)+1)-'Price History'!N3)*(ROW()-3)/(MATCH(9.99E+307,'Returns (Calc)'!$A:$A)-3),"")</f>
        <v>453.44417721519</v>
      </c>
      <c r="AJ109" s="156" t="n">
        <f aca="false">IFERROR('Price History'!O3+(INDEX('Price History'!O:O,MATCH(9.99E+307,'Returns (Calc)'!$A:$A)+1)-'Price History'!O3)*(ROW()-3)/(MATCH(9.99E+307,'Returns (Calc)'!$A:$A)-3),"")</f>
        <v>105.312025316456</v>
      </c>
      <c r="AK109" s="156" t="n">
        <f aca="false">IFERROR('Price History'!Q3+(INDEX('Price History'!Q:Q,MATCH(9.99E+307,'Returns (Calc)'!$A:$A)+1)-'Price History'!Q3)*(ROW()-3)/(MATCH(9.99E+307,'Returns (Calc)'!$A:$A)-3),"")</f>
        <v>46.5729113924051</v>
      </c>
      <c r="AL109" s="156" t="n">
        <f aca="false">IFERROR('Price History'!R3+(INDEX('Price History'!R:R,MATCH(9.99E+307,'Returns (Calc)'!$A:$A)+1)-'Price History'!R3)*(ROW()-3)/(MATCH(9.99E+307,'Returns (Calc)'!$A:$A)-3),"")</f>
        <v>52.2987341772152</v>
      </c>
      <c r="AM109" s="156" t="n">
        <f aca="false">IFERROR('Price History'!S3+(INDEX('Price History'!S:S,MATCH(9.99E+307,'Returns (Calc)'!$A:$A)+1)-'Price History'!S3)*(ROW()-3)/(MATCH(9.99E+307,'Returns (Calc)'!$A:$A)-3),"")</f>
        <v>121.766708860759</v>
      </c>
      <c r="AN109" s="156" t="n">
        <f aca="false">IFERROR('Price History'!T3+(INDEX('Price History'!T:T,MATCH(9.99E+307,'Returns (Calc)'!$A:$A)+1)-'Price History'!T3)*(ROW()-3)/(MATCH(9.99E+307,'Returns (Calc)'!$A:$A)-3),"")</f>
        <v>43.0721518987342</v>
      </c>
      <c r="AO109" s="157" t="n">
        <f aca="false">IFERROR('Price History'!V3+(INDEX('Price History'!V:V,MATCH(9.99E+307,'Returns (Calc)'!$A:$A)+1)-'Price History'!V3)*(ROW()-3)/(MATCH(9.99E+307,'Returns (Calc)'!$A:$A)-3),"")</f>
        <v>319.510886075949</v>
      </c>
      <c r="AP109" s="155" t="n">
        <f aca="false">IFERROR(IF(OR(NOT(ISNUMBER('Price History'!W110)),NOT(ISNUMBER('Price History'!W109)),'Price History'!W109=0),"",'Price History'!W110/'Price History'!W109-1),"")</f>
        <v>0.00545772085577068</v>
      </c>
      <c r="AQ109" s="155" t="str">
        <f aca="false">IFERROR(IF(OR(NOT(ISNUMBER('Price History'!X110)),NOT(ISNUMBER('Price History'!X109)),'Price History'!X109=0),"",'Price History'!X110/'Price History'!X109-1),"")</f>
        <v/>
      </c>
      <c r="AR109" s="155" t="n">
        <f aca="false">IFERROR(IF(OR(NOT(ISNUMBER('Price History'!Y110)),NOT(ISNUMBER('Price History'!Y109)),'Price History'!Y109=0),"",'Price History'!Y110/'Price History'!Y109-1),"")</f>
        <v>0.00803981623277172</v>
      </c>
      <c r="AS109" s="155" t="n">
        <f aca="false">IFERROR(IF(OR(NOT(ISNUMBER('Price History'!Z110)),NOT(ISNUMBER('Price History'!Z109)),'Price History'!Z109=0),"",'Price History'!Z110/'Price History'!Z109-1),"")</f>
        <v>0.00807523254625364</v>
      </c>
      <c r="AT109" s="155" t="n">
        <f aca="false">IFERROR(IF(OR(NOT(ISNUMBER('Price History'!AA110)),NOT(ISNUMBER('Price History'!AA109)),'Price History'!AA109=0),"",'Price History'!AA110/'Price History'!AA109-1),"")</f>
        <v>-0.0473319015364283</v>
      </c>
      <c r="AU109" s="155" t="n">
        <f aca="false">IFERROR(IF(OR(NOT(ISNUMBER('Price History'!AB110)),NOT(ISNUMBER('Price History'!AB109)),'Price History'!AB109=0),"",'Price History'!AB110/'Price History'!AB109-1),"")</f>
        <v>0.0207048609914906</v>
      </c>
    </row>
    <row r="110" customFormat="false" ht="15" hidden="false" customHeight="true" outlineLevel="0" collapsed="false">
      <c r="A110" s="153" t="n">
        <f aca="false">IF('Price History'!A111="","",'Price History'!A111)</f>
        <v>45940</v>
      </c>
      <c r="B110" s="154" t="n">
        <f aca="false">IFERROR(IF(OR(NOT(ISNUMBER('Price History'!B111)),NOT(ISNUMBER('Price History'!B110)),'Price History'!B110=0),"",'Price History'!B111/'Price History'!B110-1),"")</f>
        <v>-0.026619368979639</v>
      </c>
      <c r="C110" s="154" t="n">
        <f aca="false">IFERROR(IF(OR(NOT(ISNUMBER('Price History'!C111)),NOT(ISNUMBER('Price History'!C110)),'Price History'!C110=0),"",'Price History'!C111/'Price History'!C110-1),"")</f>
        <v>0.059106529209622</v>
      </c>
      <c r="D110" s="154" t="n">
        <f aca="false">IFERROR(IF(OR(NOT(ISNUMBER('Price History'!D111)),NOT(ISNUMBER('Price History'!D110)),'Price History'!D110=0),"",'Price History'!D111/'Price History'!D110-1),"")</f>
        <v>-0.0930402644640995</v>
      </c>
      <c r="E110" s="154" t="n">
        <f aca="false">IFERROR(IF(OR(NOT(ISNUMBER('Price History'!E111)),NOT(ISNUMBER('Price History'!E110)),'Price History'!E110=0),"",'Price History'!E111/'Price History'!E110-1),"")</f>
        <v>-0.040610950665436</v>
      </c>
      <c r="F110" s="154" t="n">
        <f aca="false">IFERROR(IF(OR(NOT(ISNUMBER('Price History'!F111)),NOT(ISNUMBER('Price History'!F110)),'Price History'!F110=0),"",'Price History'!F111/'Price History'!F110-1),"")</f>
        <v>0.00775700171470573</v>
      </c>
      <c r="G110" s="154" t="n">
        <f aca="false">IFERROR(IF(OR(NOT(ISNUMBER('Price History'!G111)),NOT(ISNUMBER('Price History'!G110)),'Price History'!G110=0),"",'Price History'!G111/'Price History'!G110-1),"")</f>
        <v>-0.107794815626141</v>
      </c>
      <c r="H110" s="154" t="n">
        <f aca="false">IFERROR(IF(OR(NOT(ISNUMBER('Price History'!H111)),NOT(ISNUMBER('Price History'!H110)),'Price History'!H110=0),"",'Price History'!H111/'Price History'!H110-1),"")</f>
        <v>-0.0332001065814016</v>
      </c>
      <c r="I110" s="154" t="n">
        <f aca="false">IFERROR(IF(OR(NOT(ISNUMBER('Price History'!I111)),NOT(ISNUMBER('Price History'!I110)),'Price History'!I110=0),"",'Price History'!I111/'Price History'!I110-1),"")</f>
        <v>-0.0237751776459902</v>
      </c>
      <c r="J110" s="154" t="n">
        <f aca="false">IFERROR(IF(OR(NOT(ISNUMBER('Price History'!J111)),NOT(ISNUMBER('Price History'!J110)),'Price History'!J110=0),"",'Price History'!J111/'Price History'!J110-1),"")</f>
        <v>-0.0498678414096916</v>
      </c>
      <c r="K110" s="154" t="n">
        <f aca="false">IFERROR(IF(OR(NOT(ISNUMBER('Price History'!K111)),NOT(ISNUMBER('Price History'!K110)),'Price History'!K110=0),"",'Price History'!K111/'Price History'!K110-1),"")</f>
        <v>0.0136938810885769</v>
      </c>
      <c r="L110" s="154" t="n">
        <f aca="false">IFERROR(IF(OR(NOT(ISNUMBER('Price History'!L111)),NOT(ISNUMBER('Price History'!L110)),'Price History'!L110=0),"",'Price History'!L111/'Price History'!L110-1),"")</f>
        <v>-0.0394632172379206</v>
      </c>
      <c r="M110" s="154" t="n">
        <f aca="false">IFERROR(IF(OR(NOT(ISNUMBER('Price History'!M111)),NOT(ISNUMBER('Price History'!M110)),'Price History'!M110=0),"",'Price History'!M111/'Price History'!M110-1),"")</f>
        <v>0.0549896894332314</v>
      </c>
      <c r="N110" s="154" t="n">
        <f aca="false">IFERROR(IF(OR(NOT(ISNUMBER('Price History'!N111)),NOT(ISNUMBER('Price History'!N110)),'Price History'!N110=0),"",'Price History'!N111/'Price History'!N110-1),"")</f>
        <v>0.0111331515001241</v>
      </c>
      <c r="O110" s="154" t="n">
        <f aca="false">IFERROR(IF(OR(NOT(ISNUMBER('Price History'!O111)),NOT(ISNUMBER('Price History'!O110)),'Price History'!O110=0),"",'Price History'!O111/'Price History'!O110-1),"")</f>
        <v>-0.054353296426774</v>
      </c>
      <c r="P110" s="154" t="n">
        <f aca="false">IFERROR(IF(OR(NOT(ISNUMBER('Price History'!P111)),NOT(ISNUMBER('Price History'!P110)),'Price History'!P110=0),"",'Price History'!P111/'Price History'!P110-1),"")</f>
        <v>-0.0345900571676677</v>
      </c>
      <c r="Q110" s="154" t="n">
        <f aca="false">IFERROR(IF(OR(NOT(ISNUMBER('Price History'!Q111)),NOT(ISNUMBER('Price History'!Q110)),'Price History'!Q110=0),"",'Price History'!Q111/'Price History'!Q110-1),"")</f>
        <v>-0.0126699629171817</v>
      </c>
      <c r="R110" s="154" t="n">
        <f aca="false">IFERROR(IF(OR(NOT(ISNUMBER('Price History'!R111)),NOT(ISNUMBER('Price History'!R110)),'Price History'!R110=0),"",'Price History'!R111/'Price History'!R110-1),"")</f>
        <v>-0.0166764763586423</v>
      </c>
      <c r="S110" s="154" t="n">
        <f aca="false">IFERROR(IF(OR(NOT(ISNUMBER('Price History'!S111)),NOT(ISNUMBER('Price History'!S110)),'Price History'!S110=0),"",'Price History'!S111/'Price History'!S110-1),"")</f>
        <v>-0.0131844138394356</v>
      </c>
      <c r="T110" s="154" t="n">
        <f aca="false">IFERROR(IF(OR(NOT(ISNUMBER('Price History'!T111)),NOT(ISNUMBER('Price History'!T110)),'Price History'!T110=0),"",'Price History'!T111/'Price History'!T110-1),"")</f>
        <v>-0.0331373597006949</v>
      </c>
      <c r="U110" s="154" t="n">
        <f aca="false">IFERROR(IF(OR(NOT(ISNUMBER('Price History'!U111)),NOT(ISNUMBER('Price History'!U110)),'Price History'!U110=0),"",'Price History'!U111/'Price History'!U110-1),"")</f>
        <v>-0.0317220543806647</v>
      </c>
      <c r="V110" s="155" t="n">
        <f aca="false">IFERROR(IF(OR(NOT(ISNUMBER('Price History'!V111)),NOT(ISNUMBER('Price History'!V110)),'Price History'!V110=0),"",'Price History'!V111/'Price History'!V110-1),"")</f>
        <v>-0.0176914654526594</v>
      </c>
      <c r="W110" s="156" t="n">
        <f aca="false">IFERROR('Price History'!B3+(INDEX('Price History'!B:B,MATCH(9.99E+307,'Returns (Calc)'!$A:$A)+1)-'Price History'!B3)*(ROW()-3)/(MATCH(9.99E+307,'Returns (Calc)'!$A:$A)-3),"")</f>
        <v>331.684936708861</v>
      </c>
      <c r="X110" s="156" t="n">
        <f aca="false">IFERROR('Price History'!C3+(INDEX('Price History'!C:C,MATCH(9.99E+307,'Returns (Calc)'!$A:$A)+1)-'Price History'!C3)*(ROW()-3)/(MATCH(9.99E+307,'Returns (Calc)'!$A:$A)-3),"")</f>
        <v>155.326772151899</v>
      </c>
      <c r="Y110" s="156" t="n">
        <f aca="false">IFERROR('Price History'!D3+(INDEX('Price History'!D:D,MATCH(9.99E+307,'Returns (Calc)'!$A:$A)+1)-'Price History'!D3)*(ROW()-3)/(MATCH(9.99E+307,'Returns (Calc)'!$A:$A)-3),"")</f>
        <v>1452.4346835443</v>
      </c>
      <c r="Z110" s="156" t="n">
        <f aca="false">IFERROR('Price History'!E3+(INDEX('Price History'!E:E,MATCH(9.99E+307,'Returns (Calc)'!$A:$A)+1)-'Price History'!E3)*(ROW()-3)/(MATCH(9.99E+307,'Returns (Calc)'!$A:$A)-3),"")</f>
        <v>266.974556962025</v>
      </c>
      <c r="AA110" s="156" t="n">
        <f aca="false">IFERROR('Price History'!F3+(INDEX('Price History'!F:F,MATCH(9.99E+307,'Returns (Calc)'!$A:$A)+1)-'Price History'!F3)*(ROW()-3)/(MATCH(9.99E+307,'Returns (Calc)'!$A:$A)-3),"")</f>
        <v>196.225569620253</v>
      </c>
      <c r="AB110" s="156" t="n">
        <f aca="false">IFERROR('Price History'!G3+(INDEX('Price History'!G:G,MATCH(9.99E+307,'Returns (Calc)'!$A:$A)+1)-'Price History'!G3)*(ROW()-3)/(MATCH(9.99E+307,'Returns (Calc)'!$A:$A)-3),"")</f>
        <v>154.424556962025</v>
      </c>
      <c r="AC110" s="156" t="n">
        <f aca="false">IFERROR('Price History'!H3+(INDEX('Price History'!H:H,MATCH(9.99E+307,'Returns (Calc)'!$A:$A)+1)-'Price History'!H3)*(ROW()-3)/(MATCH(9.99E+307,'Returns (Calc)'!$A:$A)-3),"")</f>
        <v>750.239493670886</v>
      </c>
      <c r="AD110" s="156" t="n">
        <f aca="false">IFERROR('Price History'!I3+(INDEX('Price History'!I:I,MATCH(9.99E+307,'Returns (Calc)'!$A:$A)+1)-'Price History'!I3)*(ROW()-3)/(MATCH(9.99E+307,'Returns (Calc)'!$A:$A)-3),"")</f>
        <v>172.562784810127</v>
      </c>
      <c r="AE110" s="156" t="n">
        <f aca="false">IFERROR('Price History'!J3+(INDEX('Price History'!J:J,MATCH(9.99E+307,'Returns (Calc)'!$A:$A)+1)-'Price History'!J3)*(ROW()-3)/(MATCH(9.99E+307,'Returns (Calc)'!$A:$A)-3),"")</f>
        <v>123.400063291139</v>
      </c>
      <c r="AF110" s="156" t="n">
        <f aca="false">IFERROR('Price History'!K3+(INDEX('Price History'!K:K,MATCH(9.99E+307,'Returns (Calc)'!$A:$A)+1)-'Price History'!K3)*(ROW()-3)/(MATCH(9.99E+307,'Returns (Calc)'!$A:$A)-3),"")</f>
        <v>132.772658227848</v>
      </c>
      <c r="AG110" s="156" t="n">
        <f aca="false">IFERROR('Price History'!L3+(INDEX('Price History'!L:L,MATCH(9.99E+307,'Returns (Calc)'!$A:$A)+1)-'Price History'!L3)*(ROW()-3)/(MATCH(9.99E+307,'Returns (Calc)'!$A:$A)-3),"")</f>
        <v>347.852594936709</v>
      </c>
      <c r="AH110" s="156" t="n">
        <f aca="false">IFERROR('Price History'!M3+(INDEX('Price History'!M:M,MATCH(9.99E+307,'Returns (Calc)'!$A:$A)+1)-'Price History'!M3)*(ROW()-3)/(MATCH(9.99E+307,'Returns (Calc)'!$A:$A)-3),"")</f>
        <v>183.052405063291</v>
      </c>
      <c r="AI110" s="156" t="n">
        <f aca="false">IFERROR('Price History'!N3+(INDEX('Price History'!N:N,MATCH(9.99E+307,'Returns (Calc)'!$A:$A)+1)-'Price History'!N3)*(ROW()-3)/(MATCH(9.99E+307,'Returns (Calc)'!$A:$A)-3),"")</f>
        <v>454.430443037975</v>
      </c>
      <c r="AJ110" s="156" t="n">
        <f aca="false">IFERROR('Price History'!O3+(INDEX('Price History'!O:O,MATCH(9.99E+307,'Returns (Calc)'!$A:$A)+1)-'Price History'!O3)*(ROW()-3)/(MATCH(9.99E+307,'Returns (Calc)'!$A:$A)-3),"")</f>
        <v>105.595063291139</v>
      </c>
      <c r="AK110" s="156" t="n">
        <f aca="false">IFERROR('Price History'!Q3+(INDEX('Price History'!Q:Q,MATCH(9.99E+307,'Returns (Calc)'!$A:$A)+1)-'Price History'!Q3)*(ROW()-3)/(MATCH(9.99E+307,'Returns (Calc)'!$A:$A)-3),"")</f>
        <v>47.0122784810127</v>
      </c>
      <c r="AL110" s="156" t="n">
        <f aca="false">IFERROR('Price History'!R3+(INDEX('Price History'!R:R,MATCH(9.99E+307,'Returns (Calc)'!$A:$A)+1)-'Price History'!R3)*(ROW()-3)/(MATCH(9.99E+307,'Returns (Calc)'!$A:$A)-3),"")</f>
        <v>52.466835443038</v>
      </c>
      <c r="AM110" s="156" t="n">
        <f aca="false">IFERROR('Price History'!S3+(INDEX('Price History'!S:S,MATCH(9.99E+307,'Returns (Calc)'!$A:$A)+1)-'Price History'!S3)*(ROW()-3)/(MATCH(9.99E+307,'Returns (Calc)'!$A:$A)-3),"")</f>
        <v>122.371772151899</v>
      </c>
      <c r="AN110" s="156" t="n">
        <f aca="false">IFERROR('Price History'!T3+(INDEX('Price History'!T:T,MATCH(9.99E+307,'Returns (Calc)'!$A:$A)+1)-'Price History'!T3)*(ROW()-3)/(MATCH(9.99E+307,'Returns (Calc)'!$A:$A)-3),"")</f>
        <v>43.2403797468354</v>
      </c>
      <c r="AO110" s="157" t="n">
        <f aca="false">IFERROR('Price History'!V3+(INDEX('Price History'!V:V,MATCH(9.99E+307,'Returns (Calc)'!$A:$A)+1)-'Price History'!V3)*(ROW()-3)/(MATCH(9.99E+307,'Returns (Calc)'!$A:$A)-3),"")</f>
        <v>320.302215189873</v>
      </c>
      <c r="AP110" s="155" t="n">
        <f aca="false">IFERROR(IF(OR(NOT(ISNUMBER('Price History'!W111)),NOT(ISNUMBER('Price History'!W110)),'Price History'!W110=0),"",'Price History'!W111/'Price History'!W110-1),"")</f>
        <v>-0.0288050951726134</v>
      </c>
      <c r="AQ110" s="155" t="str">
        <f aca="false">IFERROR(IF(OR(NOT(ISNUMBER('Price History'!X111)),NOT(ISNUMBER('Price History'!X110)),'Price History'!X110=0),"",'Price History'!X111/'Price History'!X110-1),"")</f>
        <v/>
      </c>
      <c r="AR110" s="155" t="n">
        <f aca="false">IFERROR(IF(OR(NOT(ISNUMBER('Price History'!Y111)),NOT(ISNUMBER('Price History'!Y110)),'Price History'!Y110=0),"",'Price History'!Y111/'Price History'!Y110-1),"")</f>
        <v>-0.0180402582605392</v>
      </c>
      <c r="AS110" s="155" t="n">
        <f aca="false">IFERROR(IF(OR(NOT(ISNUMBER('Price History'!Z111)),NOT(ISNUMBER('Price History'!Z110)),'Price History'!Z110=0),"",'Price History'!Z111/'Price History'!Z110-1),"")</f>
        <v>-0.0185560738186981</v>
      </c>
      <c r="AT110" s="155" t="n">
        <f aca="false">IFERROR(IF(OR(NOT(ISNUMBER('Price History'!AA111)),NOT(ISNUMBER('Price History'!AA110)),'Price History'!AA110=0),"",'Price History'!AA111/'Price History'!AA110-1),"")</f>
        <v>0.0579207491545999</v>
      </c>
      <c r="AU110" s="155" t="n">
        <f aca="false">IFERROR(IF(OR(NOT(ISNUMBER('Price History'!AB111)),NOT(ISNUMBER('Price History'!AB110)),'Price History'!AB110=0),"",'Price History'!AB111/'Price History'!AB110-1),"")</f>
        <v>-0.0327055488051843</v>
      </c>
    </row>
    <row r="111" customFormat="false" ht="15" hidden="false" customHeight="true" outlineLevel="0" collapsed="false">
      <c r="A111" s="153" t="n">
        <f aca="false">IF('Price History'!A112="","",'Price History'!A112)</f>
        <v>45947</v>
      </c>
      <c r="B111" s="154" t="n">
        <f aca="false">IFERROR(IF(OR(NOT(ISNUMBER('Price History'!B112)),NOT(ISNUMBER('Price History'!B111)),'Price History'!B111=0),"",'Price History'!B112/'Price History'!B111-1),"")</f>
        <v>-0.0125922194897929</v>
      </c>
      <c r="C111" s="154" t="n">
        <f aca="false">IFERROR(IF(OR(NOT(ISNUMBER('Price History'!C112)),NOT(ISNUMBER('Price History'!C111)),'Price History'!C111=0),"",'Price History'!C112/'Price History'!C111-1),"")</f>
        <v>-0.0713822193380922</v>
      </c>
      <c r="D111" s="154" t="n">
        <f aca="false">IFERROR(IF(OR(NOT(ISNUMBER('Price History'!D112)),NOT(ISNUMBER('Price History'!D111)),'Price History'!D111=0),"",'Price History'!D112/'Price History'!D111-1),"")</f>
        <v>0.0994236930950692</v>
      </c>
      <c r="E111" s="154" t="n">
        <f aca="false">IFERROR(IF(OR(NOT(ISNUMBER('Price History'!E112)),NOT(ISNUMBER('Price History'!E111)),'Price History'!E111=0),"",'Price History'!E112/'Price History'!E111-1),"")</f>
        <v>0.0760947149551563</v>
      </c>
      <c r="F111" s="154" t="n">
        <f aca="false">IFERROR(IF(OR(NOT(ISNUMBER('Price History'!F112)),NOT(ISNUMBER('Price History'!F111)),'Price History'!F111=0),"",'Price History'!F112/'Price History'!F111-1),"")</f>
        <v>-0.0183114568141306</v>
      </c>
      <c r="G111" s="154" t="n">
        <f aca="false">IFERROR(IF(OR(NOT(ISNUMBER('Price History'!G112)),NOT(ISNUMBER('Price History'!G111)),'Price History'!G111=0),"",'Price History'!G112/'Price History'!G111-1),"")</f>
        <v>0.126035805626598</v>
      </c>
      <c r="H111" s="154" t="n">
        <f aca="false">IFERROR(IF(OR(NOT(ISNUMBER('Price History'!H112)),NOT(ISNUMBER('Price History'!H111)),'Price History'!H111=0),"",'Price History'!H112/'Price History'!H111-1),"")</f>
        <v>0.114430603020615</v>
      </c>
      <c r="I111" s="154" t="n">
        <f aca="false">IFERROR(IF(OR(NOT(ISNUMBER('Price History'!I112)),NOT(ISNUMBER('Price History'!I111)),'Price History'!I111=0),"",'Price History'!I112/'Price History'!I111-1),"")</f>
        <v>0.00032837127845875</v>
      </c>
      <c r="J111" s="154" t="n">
        <f aca="false">IFERROR(IF(OR(NOT(ISNUMBER('Price History'!J112)),NOT(ISNUMBER('Price History'!J111)),'Price History'!J111=0),"",'Price History'!J112/'Price History'!J111-1),"")</f>
        <v>0.115541543026706</v>
      </c>
      <c r="K111" s="154" t="n">
        <f aca="false">IFERROR(IF(OR(NOT(ISNUMBER('Price History'!K112)),NOT(ISNUMBER('Price History'!K111)),'Price History'!K111=0),"",'Price History'!K112/'Price History'!K111-1),"")</f>
        <v>0.0154468764249887</v>
      </c>
      <c r="L111" s="154" t="n">
        <f aca="false">IFERROR(IF(OR(NOT(ISNUMBER('Price History'!L112)),NOT(ISNUMBER('Price History'!L111)),'Price History'!L111=0),"",'Price History'!L112/'Price History'!L111-1),"")</f>
        <v>0.0513826875990204</v>
      </c>
      <c r="M111" s="154" t="n">
        <f aca="false">IFERROR(IF(OR(NOT(ISNUMBER('Price History'!M112)),NOT(ISNUMBER('Price History'!M111)),'Price History'!M111=0),"",'Price History'!M112/'Price History'!M111-1),"")</f>
        <v>0.0294971272878042</v>
      </c>
      <c r="N111" s="154" t="n">
        <f aca="false">IFERROR(IF(OR(NOT(ISNUMBER('Price History'!N112)),NOT(ISNUMBER('Price History'!N111)),'Price History'!N111=0),"",'Price History'!N112/'Price History'!N111-1),"")</f>
        <v>0.022119228034037</v>
      </c>
      <c r="O111" s="154" t="n">
        <f aca="false">IFERROR(IF(OR(NOT(ISNUMBER('Price History'!O112)),NOT(ISNUMBER('Price History'!O111)),'Price History'!O111=0),"",'Price History'!O112/'Price History'!O111-1),"")</f>
        <v>0.0195848855774348</v>
      </c>
      <c r="P111" s="154" t="n">
        <f aca="false">IFERROR(IF(OR(NOT(ISNUMBER('Price History'!P112)),NOT(ISNUMBER('Price History'!P111)),'Price History'!P111=0),"",'Price History'!P112/'Price History'!P111-1),"")</f>
        <v>0.0146915523573945</v>
      </c>
      <c r="Q111" s="154" t="n">
        <f aca="false">IFERROR(IF(OR(NOT(ISNUMBER('Price History'!Q112)),NOT(ISNUMBER('Price History'!Q111)),'Price History'!Q111=0),"",'Price History'!Q112/'Price History'!Q111-1),"")</f>
        <v>0.00985915492957745</v>
      </c>
      <c r="R111" s="154" t="n">
        <f aca="false">IFERROR(IF(OR(NOT(ISNUMBER('Price History'!R112)),NOT(ISNUMBER('Price History'!R111)),'Price History'!R111=0),"",'Price History'!R112/'Price History'!R111-1),"")</f>
        <v>0.0205506783719074</v>
      </c>
      <c r="S111" s="154" t="n">
        <f aca="false">IFERROR(IF(OR(NOT(ISNUMBER('Price History'!S112)),NOT(ISNUMBER('Price History'!S111)),'Price History'!S111=0),"",'Price History'!S112/'Price History'!S111-1),"")</f>
        <v>0.0161688366947492</v>
      </c>
      <c r="T111" s="154" t="n">
        <f aca="false">IFERROR(IF(OR(NOT(ISNUMBER('Price History'!T112)),NOT(ISNUMBER('Price History'!T111)),'Price History'!T111=0),"",'Price History'!T112/'Price History'!T111-1),"")</f>
        <v>0.0140961857379767</v>
      </c>
      <c r="U111" s="154" t="n">
        <f aca="false">IFERROR(IF(OR(NOT(ISNUMBER('Price History'!U112)),NOT(ISNUMBER('Price History'!U111)),'Price History'!U111=0),"",'Price History'!U112/'Price History'!U111-1),"")</f>
        <v>0.00936037441497661</v>
      </c>
      <c r="V111" s="155" t="n">
        <f aca="false">IFERROR(IF(OR(NOT(ISNUMBER('Price History'!V112)),NOT(ISNUMBER('Price History'!V111)),'Price History'!V111=0),"",'Price History'!V112/'Price History'!V111-1),"")</f>
        <v>-0.00510383667722636</v>
      </c>
      <c r="W111" s="156" t="n">
        <f aca="false">IFERROR('Price History'!B3+(INDEX('Price History'!B:B,MATCH(9.99E+307,'Returns (Calc)'!$A:$A)+1)-'Price History'!B3)*(ROW()-3)/(MATCH(9.99E+307,'Returns (Calc)'!$A:$A)-3),"")</f>
        <v>329.841898734177</v>
      </c>
      <c r="X111" s="156" t="n">
        <f aca="false">IFERROR('Price History'!C3+(INDEX('Price History'!C:C,MATCH(9.99E+307,'Returns (Calc)'!$A:$A)+1)-'Price History'!C3)*(ROW()-3)/(MATCH(9.99E+307,'Returns (Calc)'!$A:$A)-3),"")</f>
        <v>156.346835443038</v>
      </c>
      <c r="Y111" s="156" t="n">
        <f aca="false">IFERROR('Price History'!D3+(INDEX('Price History'!D:D,MATCH(9.99E+307,'Returns (Calc)'!$A:$A)+1)-'Price History'!D3)*(ROW()-3)/(MATCH(9.99E+307,'Returns (Calc)'!$A:$A)-3),"")</f>
        <v>1460.56949367089</v>
      </c>
      <c r="Z111" s="156" t="n">
        <f aca="false">IFERROR('Price History'!E3+(INDEX('Price History'!E:E,MATCH(9.99E+307,'Returns (Calc)'!$A:$A)+1)-'Price History'!E3)*(ROW()-3)/(MATCH(9.99E+307,'Returns (Calc)'!$A:$A)-3),"")</f>
        <v>268.703291139241</v>
      </c>
      <c r="AA111" s="156" t="n">
        <f aca="false">IFERROR('Price History'!F3+(INDEX('Price History'!F:F,MATCH(9.99E+307,'Returns (Calc)'!$A:$A)+1)-'Price History'!F3)*(ROW()-3)/(MATCH(9.99E+307,'Returns (Calc)'!$A:$A)-3),"")</f>
        <v>197.672911392405</v>
      </c>
      <c r="AB111" s="156" t="n">
        <f aca="false">IFERROR('Price History'!G3+(INDEX('Price History'!G:G,MATCH(9.99E+307,'Returns (Calc)'!$A:$A)+1)-'Price History'!G3)*(ROW()-3)/(MATCH(9.99E+307,'Returns (Calc)'!$A:$A)-3),"")</f>
        <v>155.453291139241</v>
      </c>
      <c r="AC111" s="156" t="n">
        <f aca="false">IFERROR('Price History'!H3+(INDEX('Price History'!H:H,MATCH(9.99E+307,'Returns (Calc)'!$A:$A)+1)-'Price History'!H3)*(ROW()-3)/(MATCH(9.99E+307,'Returns (Calc)'!$A:$A)-3),"")</f>
        <v>756.605189873418</v>
      </c>
      <c r="AD111" s="156" t="n">
        <f aca="false">IFERROR('Price History'!I3+(INDEX('Price History'!I:I,MATCH(9.99E+307,'Returns (Calc)'!$A:$A)+1)-'Price History'!I3)*(ROW()-3)/(MATCH(9.99E+307,'Returns (Calc)'!$A:$A)-3),"")</f>
        <v>173.766455696203</v>
      </c>
      <c r="AE111" s="156" t="n">
        <f aca="false">IFERROR('Price History'!J3+(INDEX('Price History'!J:J,MATCH(9.99E+307,'Returns (Calc)'!$A:$A)+1)-'Price History'!J3)*(ROW()-3)/(MATCH(9.99E+307,'Returns (Calc)'!$A:$A)-3),"")</f>
        <v>123.508101265823</v>
      </c>
      <c r="AF111" s="156" t="n">
        <f aca="false">IFERROR('Price History'!K3+(INDEX('Price History'!K:K,MATCH(9.99E+307,'Returns (Calc)'!$A:$A)+1)-'Price History'!K3)*(ROW()-3)/(MATCH(9.99E+307,'Returns (Calc)'!$A:$A)-3),"")</f>
        <v>133.870253164557</v>
      </c>
      <c r="AG111" s="156" t="n">
        <f aca="false">IFERROR('Price History'!L3+(INDEX('Price History'!L:L,MATCH(9.99E+307,'Returns (Calc)'!$A:$A)+1)-'Price History'!L3)*(ROW()-3)/(MATCH(9.99E+307,'Returns (Calc)'!$A:$A)-3),"")</f>
        <v>350.302151898734</v>
      </c>
      <c r="AH111" s="156" t="n">
        <f aca="false">IFERROR('Price History'!M3+(INDEX('Price History'!M:M,MATCH(9.99E+307,'Returns (Calc)'!$A:$A)+1)-'Price History'!M3)*(ROW()-3)/(MATCH(9.99E+307,'Returns (Calc)'!$A:$A)-3),"")</f>
        <v>184.407848101266</v>
      </c>
      <c r="AI111" s="156" t="n">
        <f aca="false">IFERROR('Price History'!N3+(INDEX('Price History'!N:N,MATCH(9.99E+307,'Returns (Calc)'!$A:$A)+1)-'Price History'!N3)*(ROW()-3)/(MATCH(9.99E+307,'Returns (Calc)'!$A:$A)-3),"")</f>
        <v>455.41670886076</v>
      </c>
      <c r="AJ111" s="156" t="n">
        <f aca="false">IFERROR('Price History'!O3+(INDEX('Price History'!O:O,MATCH(9.99E+307,'Returns (Calc)'!$A:$A)+1)-'Price History'!O3)*(ROW()-3)/(MATCH(9.99E+307,'Returns (Calc)'!$A:$A)-3),"")</f>
        <v>105.878101265823</v>
      </c>
      <c r="AK111" s="156" t="n">
        <f aca="false">IFERROR('Price History'!Q3+(INDEX('Price History'!Q:Q,MATCH(9.99E+307,'Returns (Calc)'!$A:$A)+1)-'Price History'!Q3)*(ROW()-3)/(MATCH(9.99E+307,'Returns (Calc)'!$A:$A)-3),"")</f>
        <v>47.4516455696203</v>
      </c>
      <c r="AL111" s="156" t="n">
        <f aca="false">IFERROR('Price History'!R3+(INDEX('Price History'!R:R,MATCH(9.99E+307,'Returns (Calc)'!$A:$A)+1)-'Price History'!R3)*(ROW()-3)/(MATCH(9.99E+307,'Returns (Calc)'!$A:$A)-3),"")</f>
        <v>52.6349367088608</v>
      </c>
      <c r="AM111" s="156" t="n">
        <f aca="false">IFERROR('Price History'!S3+(INDEX('Price History'!S:S,MATCH(9.99E+307,'Returns (Calc)'!$A:$A)+1)-'Price History'!S3)*(ROW()-3)/(MATCH(9.99E+307,'Returns (Calc)'!$A:$A)-3),"")</f>
        <v>122.976835443038</v>
      </c>
      <c r="AN111" s="156" t="n">
        <f aca="false">IFERROR('Price History'!T3+(INDEX('Price History'!T:T,MATCH(9.99E+307,'Returns (Calc)'!$A:$A)+1)-'Price History'!T3)*(ROW()-3)/(MATCH(9.99E+307,'Returns (Calc)'!$A:$A)-3),"")</f>
        <v>43.4086075949367</v>
      </c>
      <c r="AO111" s="157" t="n">
        <f aca="false">IFERROR('Price History'!V3+(INDEX('Price History'!V:V,MATCH(9.99E+307,'Returns (Calc)'!$A:$A)+1)-'Price History'!V3)*(ROW()-3)/(MATCH(9.99E+307,'Returns (Calc)'!$A:$A)-3),"")</f>
        <v>321.093544303798</v>
      </c>
      <c r="AP111" s="155" t="n">
        <f aca="false">IFERROR(IF(OR(NOT(ISNUMBER('Price History'!W112)),NOT(ISNUMBER('Price History'!W111)),'Price History'!W111=0),"",'Price History'!W112/'Price History'!W111-1),"")</f>
        <v>0.0191519487294134</v>
      </c>
      <c r="AQ111" s="155" t="str">
        <f aca="false">IFERROR(IF(OR(NOT(ISNUMBER('Price History'!X112)),NOT(ISNUMBER('Price History'!X111)),'Price History'!X111=0),"",'Price History'!X112/'Price History'!X111-1),"")</f>
        <v/>
      </c>
      <c r="AR111" s="155" t="n">
        <f aca="false">IFERROR(IF(OR(NOT(ISNUMBER('Price History'!Y112)),NOT(ISNUMBER('Price History'!Y111)),'Price History'!Y111=0),"",'Price History'!Y112/'Price History'!Y111-1),"")</f>
        <v>0.0152775091858441</v>
      </c>
      <c r="AS111" s="155" t="n">
        <f aca="false">IFERROR(IF(OR(NOT(ISNUMBER('Price History'!Z112)),NOT(ISNUMBER('Price History'!Z111)),'Price History'!Z111=0),"",'Price History'!Z112/'Price History'!Z111-1),"")</f>
        <v>0.0296862623549266</v>
      </c>
      <c r="AT111" s="155" t="n">
        <f aca="false">IFERROR(IF(OR(NOT(ISNUMBER('Price History'!AA112)),NOT(ISNUMBER('Price History'!AA111)),'Price History'!AA111=0),"",'Price History'!AA112/'Price History'!AA111-1),"")</f>
        <v>-0.0169658224735678</v>
      </c>
      <c r="AU111" s="155" t="n">
        <f aca="false">IFERROR(IF(OR(NOT(ISNUMBER('Price History'!AB112)),NOT(ISNUMBER('Price History'!AB111)),'Price History'!AB111=0),"",'Price History'!AB112/'Price History'!AB111-1),"")</f>
        <v>-0.00997941309885186</v>
      </c>
    </row>
    <row r="112" customFormat="false" ht="15" hidden="false" customHeight="true" outlineLevel="0" collapsed="false">
      <c r="A112" s="153" t="n">
        <f aca="false">IF('Price History'!A113="","",'Price History'!A113)</f>
        <v>45954</v>
      </c>
      <c r="B112" s="154" t="n">
        <f aca="false">IFERROR(IF(OR(NOT(ISNUMBER('Price History'!B113)),NOT(ISNUMBER('Price History'!B112)),'Price History'!B112=0),"",'Price History'!B113/'Price History'!B112-1),"")</f>
        <v>0.0607933745423992</v>
      </c>
      <c r="C112" s="154" t="n">
        <f aca="false">IFERROR(IF(OR(NOT(ISNUMBER('Price History'!C113)),NOT(ISNUMBER('Price History'!C112)),'Price History'!C112=0),"",'Price History'!C113/'Price History'!C112-1),"")</f>
        <v>0.0749126484975542</v>
      </c>
      <c r="D112" s="154" t="n">
        <f aca="false">IFERROR(IF(OR(NOT(ISNUMBER('Price History'!D113)),NOT(ISNUMBER('Price History'!D112)),'Price History'!D112=0),"",'Price History'!D113/'Price History'!D112-1),"")</f>
        <v>0.00372605204737253</v>
      </c>
      <c r="E112" s="154" t="n">
        <f aca="false">IFERROR(IF(OR(NOT(ISNUMBER('Price History'!E113)),NOT(ISNUMBER('Price History'!E112)),'Price History'!E112=0),"",'Price History'!E113/'Price History'!E112-1),"")</f>
        <v>0.0137563085796684</v>
      </c>
      <c r="F112" s="154" t="n">
        <f aca="false">IFERROR(IF(OR(NOT(ISNUMBER('Price History'!F113)),NOT(ISNUMBER('Price History'!F112)),'Price History'!F112=0),"",'Price History'!F113/'Price History'!F112-1),"")</f>
        <v>0.0880653681082868</v>
      </c>
      <c r="G112" s="154" t="n">
        <f aca="false">IFERROR(IF(OR(NOT(ISNUMBER('Price History'!G113)),NOT(ISNUMBER('Price History'!G112)),'Price History'!G112=0),"",'Price History'!G113/'Price History'!G112-1),"")</f>
        <v>0.0688652675570094</v>
      </c>
      <c r="H112" s="154" t="n">
        <f aca="false">IFERROR(IF(OR(NOT(ISNUMBER('Price History'!H113)),NOT(ISNUMBER('Price History'!H112)),'Price History'!H112=0),"",'Price History'!H113/'Price History'!H112-1),"")</f>
        <v>0.082253437530913</v>
      </c>
      <c r="I112" s="154" t="n">
        <f aca="false">IFERROR(IF(OR(NOT(ISNUMBER('Price History'!I113)),NOT(ISNUMBER('Price History'!I112)),'Price History'!I112=0),"",'Price History'!I113/'Price History'!I112-1),"")</f>
        <v>0.0165773060509902</v>
      </c>
      <c r="J112" s="154" t="n">
        <f aca="false">IFERROR(IF(OR(NOT(ISNUMBER('Price History'!J113)),NOT(ISNUMBER('Price History'!J112)),'Price History'!J112=0),"",'Price History'!J113/'Price History'!J112-1),"")</f>
        <v>0.0189526184538653</v>
      </c>
      <c r="K112" s="154" t="n">
        <f aca="false">IFERROR(IF(OR(NOT(ISNUMBER('Price History'!K113)),NOT(ISNUMBER('Price History'!K112)),'Price History'!K112=0),"",'Price History'!K113/'Price History'!K112-1),"")</f>
        <v>0.0363738422677518</v>
      </c>
      <c r="L112" s="154" t="n">
        <f aca="false">IFERROR(IF(OR(NOT(ISNUMBER('Price History'!L113)),NOT(ISNUMBER('Price History'!L112)),'Price History'!L112=0),"",'Price History'!L113/'Price History'!L112-1),"")</f>
        <v>-0.000410972978526658</v>
      </c>
      <c r="M112" s="154" t="n">
        <f aca="false">IFERROR(IF(OR(NOT(ISNUMBER('Price History'!M113)),NOT(ISNUMBER('Price History'!M112)),'Price History'!M112=0),"",'Price History'!M113/'Price History'!M112-1),"")</f>
        <v>0.0693285771819805</v>
      </c>
      <c r="N112" s="154" t="n">
        <f aca="false">IFERROR(IF(OR(NOT(ISNUMBER('Price History'!N113)),NOT(ISNUMBER('Price History'!N112)),'Price History'!N112=0),"",'Price History'!N113/'Price History'!N112-1),"")</f>
        <v>0.0109882200523019</v>
      </c>
      <c r="O112" s="154" t="n">
        <f aca="false">IFERROR(IF(OR(NOT(ISNUMBER('Price History'!O113)),NOT(ISNUMBER('Price History'!O112)),'Price History'!O112=0),"",'Price History'!O113/'Price History'!O112-1),"")</f>
        <v>0.0294393986846226</v>
      </c>
      <c r="P112" s="154" t="n">
        <f aca="false">IFERROR(IF(OR(NOT(ISNUMBER('Price History'!P113)),NOT(ISNUMBER('Price History'!P112)),'Price History'!P112=0),"",'Price History'!P113/'Price History'!P112-1),"")</f>
        <v>0.0169904705621629</v>
      </c>
      <c r="Q112" s="154" t="n">
        <f aca="false">IFERROR(IF(OR(NOT(ISNUMBER('Price History'!Q113)),NOT(ISNUMBER('Price History'!Q112)),'Price History'!Q112=0),"",'Price History'!Q113/'Price History'!Q112-1),"")</f>
        <v>0.0100728343406169</v>
      </c>
      <c r="R112" s="154" t="n">
        <f aca="false">IFERROR(IF(OR(NOT(ISNUMBER('Price History'!R113)),NOT(ISNUMBER('Price History'!R112)),'Price History'!R112=0),"",'Price History'!R113/'Price History'!R112-1),"")</f>
        <v>0.0185728250244379</v>
      </c>
      <c r="S112" s="154" t="n">
        <f aca="false">IFERROR(IF(OR(NOT(ISNUMBER('Price History'!S113)),NOT(ISNUMBER('Price History'!S112)),'Price History'!S112=0),"",'Price History'!S113/'Price History'!S112-1),"")</f>
        <v>0.0107193702369985</v>
      </c>
      <c r="T112" s="154" t="n">
        <f aca="false">IFERROR(IF(OR(NOT(ISNUMBER('Price History'!T113)),NOT(ISNUMBER('Price History'!T112)),'Price History'!T112=0),"",'Price History'!T113/'Price History'!T112-1),"")</f>
        <v>0.0258926137912239</v>
      </c>
      <c r="U112" s="154" t="n">
        <f aca="false">IFERROR(IF(OR(NOT(ISNUMBER('Price History'!U113)),NOT(ISNUMBER('Price History'!U112)),'Price History'!U112=0),"",'Price History'!U113/'Price History'!U112-1),"")</f>
        <v>0.00888717156105101</v>
      </c>
      <c r="V112" s="155" t="n">
        <f aca="false">IFERROR(IF(OR(NOT(ISNUMBER('Price History'!V113)),NOT(ISNUMBER('Price History'!V112)),'Price History'!V112=0),"",'Price History'!V113/'Price History'!V112-1),"")</f>
        <v>0.0160386815260334</v>
      </c>
      <c r="W112" s="156" t="n">
        <f aca="false">IFERROR('Price History'!B3+(INDEX('Price History'!B:B,MATCH(9.99E+307,'Returns (Calc)'!$A:$A)+1)-'Price History'!B3)*(ROW()-3)/(MATCH(9.99E+307,'Returns (Calc)'!$A:$A)-3),"")</f>
        <v>327.998860759494</v>
      </c>
      <c r="X112" s="156" t="n">
        <f aca="false">IFERROR('Price History'!C3+(INDEX('Price History'!C:C,MATCH(9.99E+307,'Returns (Calc)'!$A:$A)+1)-'Price History'!C3)*(ROW()-3)/(MATCH(9.99E+307,'Returns (Calc)'!$A:$A)-3),"")</f>
        <v>157.366898734177</v>
      </c>
      <c r="Y112" s="156" t="n">
        <f aca="false">IFERROR('Price History'!D3+(INDEX('Price History'!D:D,MATCH(9.99E+307,'Returns (Calc)'!$A:$A)+1)-'Price History'!D3)*(ROW()-3)/(MATCH(9.99E+307,'Returns (Calc)'!$A:$A)-3),"")</f>
        <v>1468.70430379747</v>
      </c>
      <c r="Z112" s="156" t="n">
        <f aca="false">IFERROR('Price History'!E3+(INDEX('Price History'!E:E,MATCH(9.99E+307,'Returns (Calc)'!$A:$A)+1)-'Price History'!E3)*(ROW()-3)/(MATCH(9.99E+307,'Returns (Calc)'!$A:$A)-3),"")</f>
        <v>270.432025316456</v>
      </c>
      <c r="AA112" s="156" t="n">
        <f aca="false">IFERROR('Price History'!F3+(INDEX('Price History'!F:F,MATCH(9.99E+307,'Returns (Calc)'!$A:$A)+1)-'Price History'!F3)*(ROW()-3)/(MATCH(9.99E+307,'Returns (Calc)'!$A:$A)-3),"")</f>
        <v>199.120253164557</v>
      </c>
      <c r="AB112" s="156" t="n">
        <f aca="false">IFERROR('Price History'!G3+(INDEX('Price History'!G:G,MATCH(9.99E+307,'Returns (Calc)'!$A:$A)+1)-'Price History'!G3)*(ROW()-3)/(MATCH(9.99E+307,'Returns (Calc)'!$A:$A)-3),"")</f>
        <v>156.482025316456</v>
      </c>
      <c r="AC112" s="156" t="n">
        <f aca="false">IFERROR('Price History'!H3+(INDEX('Price History'!H:H,MATCH(9.99E+307,'Returns (Calc)'!$A:$A)+1)-'Price History'!H3)*(ROW()-3)/(MATCH(9.99E+307,'Returns (Calc)'!$A:$A)-3),"")</f>
        <v>762.970886075949</v>
      </c>
      <c r="AD112" s="156" t="n">
        <f aca="false">IFERROR('Price History'!I3+(INDEX('Price History'!I:I,MATCH(9.99E+307,'Returns (Calc)'!$A:$A)+1)-'Price History'!I3)*(ROW()-3)/(MATCH(9.99E+307,'Returns (Calc)'!$A:$A)-3),"")</f>
        <v>174.970126582278</v>
      </c>
      <c r="AE112" s="156" t="n">
        <f aca="false">IFERROR('Price History'!J3+(INDEX('Price History'!J:J,MATCH(9.99E+307,'Returns (Calc)'!$A:$A)+1)-'Price History'!J3)*(ROW()-3)/(MATCH(9.99E+307,'Returns (Calc)'!$A:$A)-3),"")</f>
        <v>123.616139240506</v>
      </c>
      <c r="AF112" s="156" t="n">
        <f aca="false">IFERROR('Price History'!K3+(INDEX('Price History'!K:K,MATCH(9.99E+307,'Returns (Calc)'!$A:$A)+1)-'Price History'!K3)*(ROW()-3)/(MATCH(9.99E+307,'Returns (Calc)'!$A:$A)-3),"")</f>
        <v>134.967848101266</v>
      </c>
      <c r="AG112" s="156" t="n">
        <f aca="false">IFERROR('Price History'!L3+(INDEX('Price History'!L:L,MATCH(9.99E+307,'Returns (Calc)'!$A:$A)+1)-'Price History'!L3)*(ROW()-3)/(MATCH(9.99E+307,'Returns (Calc)'!$A:$A)-3),"")</f>
        <v>352.75170886076</v>
      </c>
      <c r="AH112" s="156" t="n">
        <f aca="false">IFERROR('Price History'!M3+(INDEX('Price History'!M:M,MATCH(9.99E+307,'Returns (Calc)'!$A:$A)+1)-'Price History'!M3)*(ROW()-3)/(MATCH(9.99E+307,'Returns (Calc)'!$A:$A)-3),"")</f>
        <v>185.763291139241</v>
      </c>
      <c r="AI112" s="156" t="n">
        <f aca="false">IFERROR('Price History'!N3+(INDEX('Price History'!N:N,MATCH(9.99E+307,'Returns (Calc)'!$A:$A)+1)-'Price History'!N3)*(ROW()-3)/(MATCH(9.99E+307,'Returns (Calc)'!$A:$A)-3),"")</f>
        <v>456.402974683544</v>
      </c>
      <c r="AJ112" s="156" t="n">
        <f aca="false">IFERROR('Price History'!O3+(INDEX('Price History'!O:O,MATCH(9.99E+307,'Returns (Calc)'!$A:$A)+1)-'Price History'!O3)*(ROW()-3)/(MATCH(9.99E+307,'Returns (Calc)'!$A:$A)-3),"")</f>
        <v>106.161139240506</v>
      </c>
      <c r="AK112" s="156" t="n">
        <f aca="false">IFERROR('Price History'!Q3+(INDEX('Price History'!Q:Q,MATCH(9.99E+307,'Returns (Calc)'!$A:$A)+1)-'Price History'!Q3)*(ROW()-3)/(MATCH(9.99E+307,'Returns (Calc)'!$A:$A)-3),"")</f>
        <v>47.8910126582278</v>
      </c>
      <c r="AL112" s="156" t="n">
        <f aca="false">IFERROR('Price History'!R3+(INDEX('Price History'!R:R,MATCH(9.99E+307,'Returns (Calc)'!$A:$A)+1)-'Price History'!R3)*(ROW()-3)/(MATCH(9.99E+307,'Returns (Calc)'!$A:$A)-3),"")</f>
        <v>52.8030379746836</v>
      </c>
      <c r="AM112" s="156" t="n">
        <f aca="false">IFERROR('Price History'!S3+(INDEX('Price History'!S:S,MATCH(9.99E+307,'Returns (Calc)'!$A:$A)+1)-'Price History'!S3)*(ROW()-3)/(MATCH(9.99E+307,'Returns (Calc)'!$A:$A)-3),"")</f>
        <v>123.581898734177</v>
      </c>
      <c r="AN112" s="156" t="n">
        <f aca="false">IFERROR('Price History'!T3+(INDEX('Price History'!T:T,MATCH(9.99E+307,'Returns (Calc)'!$A:$A)+1)-'Price History'!T3)*(ROW()-3)/(MATCH(9.99E+307,'Returns (Calc)'!$A:$A)-3),"")</f>
        <v>43.576835443038</v>
      </c>
      <c r="AO112" s="157" t="n">
        <f aca="false">IFERROR('Price History'!V3+(INDEX('Price History'!V:V,MATCH(9.99E+307,'Returns (Calc)'!$A:$A)+1)-'Price History'!V3)*(ROW()-3)/(MATCH(9.99E+307,'Returns (Calc)'!$A:$A)-3),"")</f>
        <v>321.884873417722</v>
      </c>
      <c r="AP112" s="155" t="n">
        <f aca="false">IFERROR(IF(OR(NOT(ISNUMBER('Price History'!W113)),NOT(ISNUMBER('Price History'!W112)),'Price History'!W112=0),"",'Price History'!W113/'Price History'!W112-1),"")</f>
        <v>0.0108218777420299</v>
      </c>
      <c r="AQ112" s="155" t="str">
        <f aca="false">IFERROR(IF(OR(NOT(ISNUMBER('Price History'!X113)),NOT(ISNUMBER('Price History'!X112)),'Price History'!X112=0),"",'Price History'!X113/'Price History'!X112-1),"")</f>
        <v/>
      </c>
      <c r="AR112" s="155" t="n">
        <f aca="false">IFERROR(IF(OR(NOT(ISNUMBER('Price History'!Y113)),NOT(ISNUMBER('Price History'!Y112)),'Price History'!Y112=0),"",'Price History'!Y113/'Price History'!Y112-1),"")</f>
        <v>0.0104761904761905</v>
      </c>
      <c r="AS112" s="155" t="n">
        <f aca="false">IFERROR(IF(OR(NOT(ISNUMBER('Price History'!Z113)),NOT(ISNUMBER('Price History'!Z112)),'Price History'!Z112=0),"",'Price History'!Z113/'Price History'!Z112-1),"")</f>
        <v>0.0124084417539048</v>
      </c>
      <c r="AT112" s="155" t="n">
        <f aca="false">IFERROR(IF(OR(NOT(ISNUMBER('Price History'!AA113)),NOT(ISNUMBER('Price History'!AA112)),'Price History'!AA112=0),"",'Price History'!AA113/'Price History'!AA112-1),"")</f>
        <v>-0.0872936468234117</v>
      </c>
      <c r="AU112" s="155" t="n">
        <f aca="false">IFERROR(IF(OR(NOT(ISNUMBER('Price History'!AB113)),NOT(ISNUMBER('Price History'!AB112)),'Price History'!AB112=0),"",'Price History'!AB113/'Price History'!AB112-1),"")</f>
        <v>0.0327423959398019</v>
      </c>
    </row>
    <row r="113" customFormat="false" ht="15" hidden="false" customHeight="true" outlineLevel="0" collapsed="false">
      <c r="A113" s="153" t="n">
        <f aca="false">IF('Price History'!A114="","",'Price History'!A114)</f>
        <v>45961</v>
      </c>
      <c r="B113" s="154" t="n">
        <f aca="false">IFERROR(IF(OR(NOT(ISNUMBER('Price History'!B114)),NOT(ISNUMBER('Price History'!B113)),'Price History'!B113=0),"",'Price History'!B114/'Price History'!B113-1),"")</f>
        <v>-0.037367051369088</v>
      </c>
      <c r="C113" s="154" t="n">
        <f aca="false">IFERROR(IF(OR(NOT(ISNUMBER('Price History'!C114)),NOT(ISNUMBER('Price History'!C113)),'Price History'!C113=0),"",'Price History'!C114/'Price History'!C113-1),"")</f>
        <v>0.0251592770771032</v>
      </c>
      <c r="D113" s="154" t="n">
        <f aca="false">IFERROR(IF(OR(NOT(ISNUMBER('Price History'!D114)),NOT(ISNUMBER('Price History'!D113)),'Price History'!D113=0),"",'Price History'!D114/'Price History'!D113-1),"")</f>
        <v>0.0271157706023346</v>
      </c>
      <c r="E113" s="154" t="n">
        <f aca="false">IFERROR(IF(OR(NOT(ISNUMBER('Price History'!E114)),NOT(ISNUMBER('Price History'!E113)),'Price History'!E113=0),"",'Price History'!E114/'Price History'!E113-1),"")</f>
        <v>0.0437528447883477</v>
      </c>
      <c r="F113" s="154" t="n">
        <f aca="false">IFERROR(IF(OR(NOT(ISNUMBER('Price History'!F114)),NOT(ISNUMBER('Price History'!F113)),'Price History'!F113=0),"",'Price History'!F114/'Price History'!F113-1),"")</f>
        <v>0.029735265114162</v>
      </c>
      <c r="G113" s="154" t="n">
        <f aca="false">IFERROR(IF(OR(NOT(ISNUMBER('Price History'!G114)),NOT(ISNUMBER('Price History'!G113)),'Price History'!G113=0),"",'Price History'!G114/'Price History'!G113-1),"")</f>
        <v>0.0219294517637059</v>
      </c>
      <c r="H113" s="154" t="n">
        <f aca="false">IFERROR(IF(OR(NOT(ISNUMBER('Price History'!H114)),NOT(ISNUMBER('Price History'!H113)),'Price History'!H113=0),"",'Price History'!H114/'Price History'!H113-1),"")</f>
        <v>0.0216626296787168</v>
      </c>
      <c r="I113" s="154" t="n">
        <f aca="false">IFERROR(IF(OR(NOT(ISNUMBER('Price History'!I114)),NOT(ISNUMBER('Price History'!I113)),'Price History'!I113=0),"",'Price History'!I114/'Price History'!I113-1),"")</f>
        <v>0.0871858349927344</v>
      </c>
      <c r="J113" s="154" t="n">
        <f aca="false">IFERROR(IF(OR(NOT(ISNUMBER('Price History'!J114)),NOT(ISNUMBER('Price History'!J113)),'Price History'!J113=0),"",'Price History'!J114/'Price History'!J113-1),"")</f>
        <v>-0.0185185185185185</v>
      </c>
      <c r="K113" s="154" t="n">
        <f aca="false">IFERROR(IF(OR(NOT(ISNUMBER('Price History'!K114)),NOT(ISNUMBER('Price History'!K113)),'Price History'!K113=0),"",'Price History'!K114/'Price History'!K113-1),"")</f>
        <v>0.0857932080376971</v>
      </c>
      <c r="L113" s="154" t="n">
        <f aca="false">IFERROR(IF(OR(NOT(ISNUMBER('Price History'!L114)),NOT(ISNUMBER('Price History'!L113)),'Price History'!L113=0),"",'Price History'!L114/'Price History'!L113-1),"")</f>
        <v>0.0185356494329667</v>
      </c>
      <c r="M113" s="154" t="n">
        <f aca="false">IFERROR(IF(OR(NOT(ISNUMBER('Price History'!M114)),NOT(ISNUMBER('Price History'!M113)),'Price History'!M113=0),"",'Price History'!M114/'Price History'!M113-1),"")</f>
        <v>0.036532874206392</v>
      </c>
      <c r="N113" s="154" t="n">
        <f aca="false">IFERROR(IF(OR(NOT(ISNUMBER('Price History'!N114)),NOT(ISNUMBER('Price History'!N113)),'Price History'!N113=0),"",'Price History'!N114/'Price History'!N113-1),"")</f>
        <v>0.00991955195899297</v>
      </c>
      <c r="O113" s="154" t="n">
        <f aca="false">IFERROR(IF(OR(NOT(ISNUMBER('Price History'!O114)),NOT(ISNUMBER('Price History'!O113)),'Price History'!O113=0),"",'Price History'!O114/'Price History'!O113-1),"")</f>
        <v>-0.021194605009634</v>
      </c>
      <c r="P113" s="154" t="n">
        <f aca="false">IFERROR(IF(OR(NOT(ISNUMBER('Price History'!P114)),NOT(ISNUMBER('Price History'!P113)),'Price History'!P113=0),"",'Price History'!P114/'Price History'!P113-1),"")</f>
        <v>-0.0238250889808963</v>
      </c>
      <c r="Q113" s="154" t="n">
        <f aca="false">IFERROR(IF(OR(NOT(ISNUMBER('Price History'!Q114)),NOT(ISNUMBER('Price History'!Q113)),'Price History'!Q113=0),"",'Price History'!Q114/'Price History'!Q113-1),"")</f>
        <v>0.000613685179502888</v>
      </c>
      <c r="R113" s="154" t="n">
        <f aca="false">IFERROR(IF(OR(NOT(ISNUMBER('Price History'!R114)),NOT(ISNUMBER('Price History'!R113)),'Price History'!R113=0),"",'Price History'!R114/'Price History'!R113-1),"")</f>
        <v>0.00940499040307108</v>
      </c>
      <c r="S113" s="154" t="n">
        <f aca="false">IFERROR(IF(OR(NOT(ISNUMBER('Price History'!S114)),NOT(ISNUMBER('Price History'!S113)),'Price History'!S113=0),"",'Price History'!S114/'Price History'!S113-1),"")</f>
        <v>-8.28569061230855E-005</v>
      </c>
      <c r="T113" s="154" t="n">
        <f aca="false">IFERROR(IF(OR(NOT(ISNUMBER('Price History'!T114)),NOT(ISNUMBER('Price History'!T113)),'Price History'!T113=0),"",'Price History'!T114/'Price History'!T113-1),"")</f>
        <v>-0.00611052072263563</v>
      </c>
      <c r="U113" s="154" t="n">
        <f aca="false">IFERROR(IF(OR(NOT(ISNUMBER('Price History'!U114)),NOT(ISNUMBER('Price History'!U113)),'Price History'!U113=0),"",'Price History'!U114/'Price History'!U113-1),"")</f>
        <v>-0.0103408655687476</v>
      </c>
      <c r="V113" s="155" t="n">
        <f aca="false">IFERROR(IF(OR(NOT(ISNUMBER('Price History'!V114)),NOT(ISNUMBER('Price History'!V113)),'Price History'!V113=0),"",'Price History'!V114/'Price History'!V113-1),"")</f>
        <v>-0.0190934942835587</v>
      </c>
      <c r="W113" s="156" t="n">
        <f aca="false">IFERROR('Price History'!B3+(INDEX('Price History'!B:B,MATCH(9.99E+307,'Returns (Calc)'!$A:$A)+1)-'Price History'!B3)*(ROW()-3)/(MATCH(9.99E+307,'Returns (Calc)'!$A:$A)-3),"")</f>
        <v>326.15582278481</v>
      </c>
      <c r="X113" s="156" t="n">
        <f aca="false">IFERROR('Price History'!C3+(INDEX('Price History'!C:C,MATCH(9.99E+307,'Returns (Calc)'!$A:$A)+1)-'Price History'!C3)*(ROW()-3)/(MATCH(9.99E+307,'Returns (Calc)'!$A:$A)-3),"")</f>
        <v>158.386962025316</v>
      </c>
      <c r="Y113" s="156" t="n">
        <f aca="false">IFERROR('Price History'!D3+(INDEX('Price History'!D:D,MATCH(9.99E+307,'Returns (Calc)'!$A:$A)+1)-'Price History'!D3)*(ROW()-3)/(MATCH(9.99E+307,'Returns (Calc)'!$A:$A)-3),"")</f>
        <v>1476.83911392405</v>
      </c>
      <c r="Z113" s="156" t="n">
        <f aca="false">IFERROR('Price History'!E3+(INDEX('Price History'!E:E,MATCH(9.99E+307,'Returns (Calc)'!$A:$A)+1)-'Price History'!E3)*(ROW()-3)/(MATCH(9.99E+307,'Returns (Calc)'!$A:$A)-3),"")</f>
        <v>272.160759493671</v>
      </c>
      <c r="AA113" s="156" t="n">
        <f aca="false">IFERROR('Price History'!F3+(INDEX('Price History'!F:F,MATCH(9.99E+307,'Returns (Calc)'!$A:$A)+1)-'Price History'!F3)*(ROW()-3)/(MATCH(9.99E+307,'Returns (Calc)'!$A:$A)-3),"")</f>
        <v>200.567594936709</v>
      </c>
      <c r="AB113" s="156" t="n">
        <f aca="false">IFERROR('Price History'!G3+(INDEX('Price History'!G:G,MATCH(9.99E+307,'Returns (Calc)'!$A:$A)+1)-'Price History'!G3)*(ROW()-3)/(MATCH(9.99E+307,'Returns (Calc)'!$A:$A)-3),"")</f>
        <v>157.510759493671</v>
      </c>
      <c r="AC113" s="156" t="n">
        <f aca="false">IFERROR('Price History'!H3+(INDEX('Price History'!H:H,MATCH(9.99E+307,'Returns (Calc)'!$A:$A)+1)-'Price History'!H3)*(ROW()-3)/(MATCH(9.99E+307,'Returns (Calc)'!$A:$A)-3),"")</f>
        <v>769.336582278481</v>
      </c>
      <c r="AD113" s="156" t="n">
        <f aca="false">IFERROR('Price History'!I3+(INDEX('Price History'!I:I,MATCH(9.99E+307,'Returns (Calc)'!$A:$A)+1)-'Price History'!I3)*(ROW()-3)/(MATCH(9.99E+307,'Returns (Calc)'!$A:$A)-3),"")</f>
        <v>176.173797468354</v>
      </c>
      <c r="AE113" s="156" t="n">
        <f aca="false">IFERROR('Price History'!J3+(INDEX('Price History'!J:J,MATCH(9.99E+307,'Returns (Calc)'!$A:$A)+1)-'Price History'!J3)*(ROW()-3)/(MATCH(9.99E+307,'Returns (Calc)'!$A:$A)-3),"")</f>
        <v>123.72417721519</v>
      </c>
      <c r="AF113" s="156" t="n">
        <f aca="false">IFERROR('Price History'!K3+(INDEX('Price History'!K:K,MATCH(9.99E+307,'Returns (Calc)'!$A:$A)+1)-'Price History'!K3)*(ROW()-3)/(MATCH(9.99E+307,'Returns (Calc)'!$A:$A)-3),"")</f>
        <v>136.065443037975</v>
      </c>
      <c r="AG113" s="156" t="n">
        <f aca="false">IFERROR('Price History'!L3+(INDEX('Price History'!L:L,MATCH(9.99E+307,'Returns (Calc)'!$A:$A)+1)-'Price History'!L3)*(ROW()-3)/(MATCH(9.99E+307,'Returns (Calc)'!$A:$A)-3),"")</f>
        <v>355.201265822785</v>
      </c>
      <c r="AH113" s="156" t="n">
        <f aca="false">IFERROR('Price History'!M3+(INDEX('Price History'!M:M,MATCH(9.99E+307,'Returns (Calc)'!$A:$A)+1)-'Price History'!M3)*(ROW()-3)/(MATCH(9.99E+307,'Returns (Calc)'!$A:$A)-3),"")</f>
        <v>187.118734177215</v>
      </c>
      <c r="AI113" s="156" t="n">
        <f aca="false">IFERROR('Price History'!N3+(INDEX('Price History'!N:N,MATCH(9.99E+307,'Returns (Calc)'!$A:$A)+1)-'Price History'!N3)*(ROW()-3)/(MATCH(9.99E+307,'Returns (Calc)'!$A:$A)-3),"")</f>
        <v>457.389240506329</v>
      </c>
      <c r="AJ113" s="156" t="n">
        <f aca="false">IFERROR('Price History'!O3+(INDEX('Price History'!O:O,MATCH(9.99E+307,'Returns (Calc)'!$A:$A)+1)-'Price History'!O3)*(ROW()-3)/(MATCH(9.99E+307,'Returns (Calc)'!$A:$A)-3),"")</f>
        <v>106.44417721519</v>
      </c>
      <c r="AK113" s="156" t="n">
        <f aca="false">IFERROR('Price History'!Q3+(INDEX('Price History'!Q:Q,MATCH(9.99E+307,'Returns (Calc)'!$A:$A)+1)-'Price History'!Q3)*(ROW()-3)/(MATCH(9.99E+307,'Returns (Calc)'!$A:$A)-3),"")</f>
        <v>48.3303797468354</v>
      </c>
      <c r="AL113" s="156" t="n">
        <f aca="false">IFERROR('Price History'!R3+(INDEX('Price History'!R:R,MATCH(9.99E+307,'Returns (Calc)'!$A:$A)+1)-'Price History'!R3)*(ROW()-3)/(MATCH(9.99E+307,'Returns (Calc)'!$A:$A)-3),"")</f>
        <v>52.9711392405063</v>
      </c>
      <c r="AM113" s="156" t="n">
        <f aca="false">IFERROR('Price History'!S3+(INDEX('Price History'!S:S,MATCH(9.99E+307,'Returns (Calc)'!$A:$A)+1)-'Price History'!S3)*(ROW()-3)/(MATCH(9.99E+307,'Returns (Calc)'!$A:$A)-3),"")</f>
        <v>124.186962025316</v>
      </c>
      <c r="AN113" s="156" t="n">
        <f aca="false">IFERROR('Price History'!T3+(INDEX('Price History'!T:T,MATCH(9.99E+307,'Returns (Calc)'!$A:$A)+1)-'Price History'!T3)*(ROW()-3)/(MATCH(9.99E+307,'Returns (Calc)'!$A:$A)-3),"")</f>
        <v>43.7450632911392</v>
      </c>
      <c r="AO113" s="157" t="n">
        <f aca="false">IFERROR('Price History'!V3+(INDEX('Price History'!V:V,MATCH(9.99E+307,'Returns (Calc)'!$A:$A)+1)-'Price History'!V3)*(ROW()-3)/(MATCH(9.99E+307,'Returns (Calc)'!$A:$A)-3),"")</f>
        <v>322.676202531646</v>
      </c>
      <c r="AP113" s="155" t="n">
        <f aca="false">IFERROR(IF(OR(NOT(ISNUMBER('Price History'!W114)),NOT(ISNUMBER('Price History'!W113)),'Price History'!W113=0),"",'Price History'!W114/'Price History'!W113-1),"")</f>
        <v>-0.00737847222222232</v>
      </c>
      <c r="AQ113" s="155" t="str">
        <f aca="false">IFERROR(IF(OR(NOT(ISNUMBER('Price History'!X114)),NOT(ISNUMBER('Price History'!X113)),'Price History'!X113=0),"",'Price History'!X114/'Price History'!X113-1),"")</f>
        <v/>
      </c>
      <c r="AR113" s="155" t="n">
        <f aca="false">IFERROR(IF(OR(NOT(ISNUMBER('Price History'!Y114)),NOT(ISNUMBER('Price History'!Y113)),'Price History'!Y113=0),"",'Price History'!Y114/'Price History'!Y113-1),"")</f>
        <v>-0.00999057492931188</v>
      </c>
      <c r="AS113" s="155" t="n">
        <f aca="false">IFERROR(IF(OR(NOT(ISNUMBER('Price History'!Z114)),NOT(ISNUMBER('Price History'!Z113)),'Price History'!Z113=0),"",'Price History'!Z114/'Price History'!Z113-1),"")</f>
        <v>0.0167162206805418</v>
      </c>
      <c r="AT113" s="155" t="n">
        <f aca="false">IFERROR(IF(OR(NOT(ISNUMBER('Price History'!AA114)),NOT(ISNUMBER('Price History'!AA113)),'Price History'!AA113=0),"",'Price History'!AA114/'Price History'!AA113-1),"")</f>
        <v>0.0221065131999634</v>
      </c>
      <c r="AU113" s="155" t="n">
        <f aca="false">IFERROR(IF(OR(NOT(ISNUMBER('Price History'!AB114)),NOT(ISNUMBER('Price History'!AB113)),'Price History'!AB113=0),"",'Price History'!AB114/'Price History'!AB113-1),"")</f>
        <v>-0.00621118012422361</v>
      </c>
    </row>
    <row r="114" customFormat="false" ht="15" hidden="false" customHeight="true" outlineLevel="0" collapsed="false">
      <c r="A114" s="153" t="n">
        <f aca="false">IF('Price History'!A115="","",'Price History'!A115)</f>
        <v>45968</v>
      </c>
      <c r="B114" s="154" t="n">
        <f aca="false">IFERROR(IF(OR(NOT(ISNUMBER('Price History'!B115)),NOT(ISNUMBER('Price History'!B114)),'Price History'!B114=0),"",'Price History'!B115/'Price History'!B114-1),"")</f>
        <v>-0.0392583232934678</v>
      </c>
      <c r="C114" s="154" t="n">
        <f aca="false">IFERROR(IF(OR(NOT(ISNUMBER('Price History'!C115)),NOT(ISNUMBER('Price History'!C114)),'Price History'!C114=0),"",'Price History'!C115/'Price History'!C114-1),"")</f>
        <v>-0.146109455260321</v>
      </c>
      <c r="D114" s="154" t="n">
        <f aca="false">IFERROR(IF(OR(NOT(ISNUMBER('Price History'!D115)),NOT(ISNUMBER('Price History'!D114)),'Price History'!D114=0),"",'Price History'!D115/'Price History'!D114-1),"")</f>
        <v>-0.0399081742034018</v>
      </c>
      <c r="E114" s="154" t="n">
        <f aca="false">IFERROR(IF(OR(NOT(ISNUMBER('Price History'!E115)),NOT(ISNUMBER('Price History'!E114)),'Price History'!E114=0),"",'Price History'!E115/'Price History'!E114-1),"")</f>
        <v>-0.0546470427909511</v>
      </c>
      <c r="F114" s="154" t="n">
        <f aca="false">IFERROR(IF(OR(NOT(ISNUMBER('Price History'!F115)),NOT(ISNUMBER('Price History'!F114)),'Price History'!F114=0),"",'Price History'!F115/'Price History'!F114-1),"")</f>
        <v>-0.00589318600368327</v>
      </c>
      <c r="G114" s="154" t="n">
        <f aca="false">IFERROR(IF(OR(NOT(ISNUMBER('Price History'!G115)),NOT(ISNUMBER('Price History'!G114)),'Price History'!G114=0),"",'Price History'!G115/'Price History'!G114-1),"")</f>
        <v>-0.0127256092489395</v>
      </c>
      <c r="H114" s="154" t="n">
        <f aca="false">IFERROR(IF(OR(NOT(ISNUMBER('Price History'!H115)),NOT(ISNUMBER('Price History'!H114)),'Price History'!H114=0),"",'Price History'!H115/'Price History'!H114-1),"")</f>
        <v>0.0632520688883917</v>
      </c>
      <c r="I114" s="154" t="n">
        <f aca="false">IFERROR(IF(OR(NOT(ISNUMBER('Price History'!I115)),NOT(ISNUMBER('Price History'!I114)),'Price History'!I114=0),"",'Price History'!I115/'Price History'!I114-1),"")</f>
        <v>-0.0708380773229048</v>
      </c>
      <c r="J114" s="154" t="n">
        <f aca="false">IFERROR(IF(OR(NOT(ISNUMBER('Price History'!J115)),NOT(ISNUMBER('Price History'!J114)),'Price History'!J114=0),"",'Price History'!J115/'Price History'!J114-1),"")</f>
        <v>0.012218435707755</v>
      </c>
      <c r="K114" s="154" t="n">
        <f aca="false">IFERROR(IF(OR(NOT(ISNUMBER('Price History'!K115)),NOT(ISNUMBER('Price History'!K114)),'Price History'!K114=0),"",'Price History'!K115/'Price History'!K114-1),"")</f>
        <v>-0.112435775926573</v>
      </c>
      <c r="L114" s="154" t="n">
        <f aca="false">IFERROR(IF(OR(NOT(ISNUMBER('Price History'!L115)),NOT(ISNUMBER('Price History'!L114)),'Price History'!L114=0),"",'Price History'!L115/'Price History'!L114-1),"")</f>
        <v>-0.046353606027987</v>
      </c>
      <c r="M114" s="154" t="n">
        <f aca="false">IFERROR(IF(OR(NOT(ISNUMBER('Price History'!M115)),NOT(ISNUMBER('Price History'!M114)),'Price History'!M114=0),"",'Price History'!M115/'Price History'!M114-1),"")</f>
        <v>-0.0676875162211263</v>
      </c>
      <c r="N114" s="154" t="n">
        <f aca="false">IFERROR(IF(OR(NOT(ISNUMBER('Price History'!N115)),NOT(ISNUMBER('Price History'!N114)),'Price History'!N114=0),"",'Price History'!N115/'Price History'!N114-1),"")</f>
        <v>-0.0378316140705406</v>
      </c>
      <c r="O114" s="154" t="n">
        <f aca="false">IFERROR(IF(OR(NOT(ISNUMBER('Price History'!O115)),NOT(ISNUMBER('Price History'!O114)),'Price History'!O114=0),"",'Price History'!O115/'Price History'!O114-1),"")</f>
        <v>-0.000621632822213059</v>
      </c>
      <c r="P114" s="154" t="n">
        <f aca="false">IFERROR(IF(OR(NOT(ISNUMBER('Price History'!P115)),NOT(ISNUMBER('Price History'!P114)),'Price History'!P114=0),"",'Price History'!P115/'Price History'!P114-1),"")</f>
        <v>0.00744102983852968</v>
      </c>
      <c r="Q114" s="154" t="n">
        <f aca="false">IFERROR(IF(OR(NOT(ISNUMBER('Price History'!Q115)),NOT(ISNUMBER('Price History'!Q114)),'Price History'!Q114=0),"",'Price History'!Q115/'Price History'!Q114-1),"")</f>
        <v>-0.00505979760809561</v>
      </c>
      <c r="R114" s="154" t="n">
        <f aca="false">IFERROR(IF(OR(NOT(ISNUMBER('Price History'!R115)),NOT(ISNUMBER('Price History'!R114)),'Price History'!R114=0),"",'Price History'!R115/'Price History'!R114-1),"")</f>
        <v>-0.0155923179311657</v>
      </c>
      <c r="S114" s="154" t="n">
        <f aca="false">IFERROR(IF(OR(NOT(ISNUMBER('Price History'!S115)),NOT(ISNUMBER('Price History'!S114)),'Price History'!S114=0),"",'Price History'!S115/'Price History'!S114-1),"")</f>
        <v>-0.0260192243950945</v>
      </c>
      <c r="T114" s="154" t="n">
        <f aca="false">IFERROR(IF(OR(NOT(ISNUMBER('Price History'!T115)),NOT(ISNUMBER('Price History'!T114)),'Price History'!T114=0),"",'Price History'!T115/'Price History'!T114-1),"")</f>
        <v>0.00213846565089559</v>
      </c>
      <c r="U114" s="154" t="n">
        <f aca="false">IFERROR(IF(OR(NOT(ISNUMBER('Price History'!U115)),NOT(ISNUMBER('Price History'!U114)),'Price History'!U114=0),"",'Price History'!U115/'Price History'!U114-1),"")</f>
        <v>-0.00116099071207432</v>
      </c>
      <c r="V114" s="155" t="n">
        <f aca="false">IFERROR(IF(OR(NOT(ISNUMBER('Price History'!V115)),NOT(ISNUMBER('Price History'!V114)),'Price History'!V114=0),"",'Price History'!V115/'Price History'!V114-1),"")</f>
        <v>-0.0138740977399124</v>
      </c>
      <c r="W114" s="156" t="n">
        <f aca="false">IFERROR('Price History'!B3+(INDEX('Price History'!B:B,MATCH(9.99E+307,'Returns (Calc)'!$A:$A)+1)-'Price History'!B3)*(ROW()-3)/(MATCH(9.99E+307,'Returns (Calc)'!$A:$A)-3),"")</f>
        <v>324.312784810127</v>
      </c>
      <c r="X114" s="156" t="n">
        <f aca="false">IFERROR('Price History'!C3+(INDEX('Price History'!C:C,MATCH(9.99E+307,'Returns (Calc)'!$A:$A)+1)-'Price History'!C3)*(ROW()-3)/(MATCH(9.99E+307,'Returns (Calc)'!$A:$A)-3),"")</f>
        <v>159.407025316456</v>
      </c>
      <c r="Y114" s="156" t="n">
        <f aca="false">IFERROR('Price History'!D3+(INDEX('Price History'!D:D,MATCH(9.99E+307,'Returns (Calc)'!$A:$A)+1)-'Price History'!D3)*(ROW()-3)/(MATCH(9.99E+307,'Returns (Calc)'!$A:$A)-3),"")</f>
        <v>1484.97392405063</v>
      </c>
      <c r="Z114" s="156" t="n">
        <f aca="false">IFERROR('Price History'!E3+(INDEX('Price History'!E:E,MATCH(9.99E+307,'Returns (Calc)'!$A:$A)+1)-'Price History'!E3)*(ROW()-3)/(MATCH(9.99E+307,'Returns (Calc)'!$A:$A)-3),"")</f>
        <v>273.889493670886</v>
      </c>
      <c r="AA114" s="156" t="n">
        <f aca="false">IFERROR('Price History'!F3+(INDEX('Price History'!F:F,MATCH(9.99E+307,'Returns (Calc)'!$A:$A)+1)-'Price History'!F3)*(ROW()-3)/(MATCH(9.99E+307,'Returns (Calc)'!$A:$A)-3),"")</f>
        <v>202.014936708861</v>
      </c>
      <c r="AB114" s="156" t="n">
        <f aca="false">IFERROR('Price History'!G3+(INDEX('Price History'!G:G,MATCH(9.99E+307,'Returns (Calc)'!$A:$A)+1)-'Price History'!G3)*(ROW()-3)/(MATCH(9.99E+307,'Returns (Calc)'!$A:$A)-3),"")</f>
        <v>158.539493670886</v>
      </c>
      <c r="AC114" s="156" t="n">
        <f aca="false">IFERROR('Price History'!H3+(INDEX('Price History'!H:H,MATCH(9.99E+307,'Returns (Calc)'!$A:$A)+1)-'Price History'!H3)*(ROW()-3)/(MATCH(9.99E+307,'Returns (Calc)'!$A:$A)-3),"")</f>
        <v>775.702278481013</v>
      </c>
      <c r="AD114" s="156" t="n">
        <f aca="false">IFERROR('Price History'!I3+(INDEX('Price History'!I:I,MATCH(9.99E+307,'Returns (Calc)'!$A:$A)+1)-'Price History'!I3)*(ROW()-3)/(MATCH(9.99E+307,'Returns (Calc)'!$A:$A)-3),"")</f>
        <v>177.37746835443</v>
      </c>
      <c r="AE114" s="156" t="n">
        <f aca="false">IFERROR('Price History'!J3+(INDEX('Price History'!J:J,MATCH(9.99E+307,'Returns (Calc)'!$A:$A)+1)-'Price History'!J3)*(ROW()-3)/(MATCH(9.99E+307,'Returns (Calc)'!$A:$A)-3),"")</f>
        <v>123.832215189873</v>
      </c>
      <c r="AF114" s="156" t="n">
        <f aca="false">IFERROR('Price History'!K3+(INDEX('Price History'!K:K,MATCH(9.99E+307,'Returns (Calc)'!$A:$A)+1)-'Price History'!K3)*(ROW()-3)/(MATCH(9.99E+307,'Returns (Calc)'!$A:$A)-3),"")</f>
        <v>137.163037974684</v>
      </c>
      <c r="AG114" s="156" t="n">
        <f aca="false">IFERROR('Price History'!L3+(INDEX('Price History'!L:L,MATCH(9.99E+307,'Returns (Calc)'!$A:$A)+1)-'Price History'!L3)*(ROW()-3)/(MATCH(9.99E+307,'Returns (Calc)'!$A:$A)-3),"")</f>
        <v>357.65082278481</v>
      </c>
      <c r="AH114" s="156" t="n">
        <f aca="false">IFERROR('Price History'!M3+(INDEX('Price History'!M:M,MATCH(9.99E+307,'Returns (Calc)'!$A:$A)+1)-'Price History'!M3)*(ROW()-3)/(MATCH(9.99E+307,'Returns (Calc)'!$A:$A)-3),"")</f>
        <v>188.47417721519</v>
      </c>
      <c r="AI114" s="156" t="n">
        <f aca="false">IFERROR('Price History'!N3+(INDEX('Price History'!N:N,MATCH(9.99E+307,'Returns (Calc)'!$A:$A)+1)-'Price History'!N3)*(ROW()-3)/(MATCH(9.99E+307,'Returns (Calc)'!$A:$A)-3),"")</f>
        <v>458.375506329114</v>
      </c>
      <c r="AJ114" s="156" t="n">
        <f aca="false">IFERROR('Price History'!O3+(INDEX('Price History'!O:O,MATCH(9.99E+307,'Returns (Calc)'!$A:$A)+1)-'Price History'!O3)*(ROW()-3)/(MATCH(9.99E+307,'Returns (Calc)'!$A:$A)-3),"")</f>
        <v>106.727215189873</v>
      </c>
      <c r="AK114" s="156" t="n">
        <f aca="false">IFERROR('Price History'!Q3+(INDEX('Price History'!Q:Q,MATCH(9.99E+307,'Returns (Calc)'!$A:$A)+1)-'Price History'!Q3)*(ROW()-3)/(MATCH(9.99E+307,'Returns (Calc)'!$A:$A)-3),"")</f>
        <v>48.769746835443</v>
      </c>
      <c r="AL114" s="156" t="n">
        <f aca="false">IFERROR('Price History'!R3+(INDEX('Price History'!R:R,MATCH(9.99E+307,'Returns (Calc)'!$A:$A)+1)-'Price History'!R3)*(ROW()-3)/(MATCH(9.99E+307,'Returns (Calc)'!$A:$A)-3),"")</f>
        <v>53.1392405063291</v>
      </c>
      <c r="AM114" s="156" t="n">
        <f aca="false">IFERROR('Price History'!S3+(INDEX('Price History'!S:S,MATCH(9.99E+307,'Returns (Calc)'!$A:$A)+1)-'Price History'!S3)*(ROW()-3)/(MATCH(9.99E+307,'Returns (Calc)'!$A:$A)-3),"")</f>
        <v>124.792025316456</v>
      </c>
      <c r="AN114" s="156" t="n">
        <f aca="false">IFERROR('Price History'!T3+(INDEX('Price History'!T:T,MATCH(9.99E+307,'Returns (Calc)'!$A:$A)+1)-'Price History'!T3)*(ROW()-3)/(MATCH(9.99E+307,'Returns (Calc)'!$A:$A)-3),"")</f>
        <v>43.9132911392405</v>
      </c>
      <c r="AO114" s="157" t="n">
        <f aca="false">IFERROR('Price History'!V3+(INDEX('Price History'!V:V,MATCH(9.99E+307,'Returns (Calc)'!$A:$A)+1)-'Price History'!V3)*(ROW()-3)/(MATCH(9.99E+307,'Returns (Calc)'!$A:$A)-3),"")</f>
        <v>323.46753164557</v>
      </c>
      <c r="AP114" s="155" t="n">
        <f aca="false">IFERROR(IF(OR(NOT(ISNUMBER('Price History'!W115)),NOT(ISNUMBER('Price History'!W114)),'Price History'!W114=0),"",'Price History'!W115/'Price History'!W114-1),"")</f>
        <v>-0.00218627022299966</v>
      </c>
      <c r="AQ114" s="155" t="str">
        <f aca="false">IFERROR(IF(OR(NOT(ISNUMBER('Price History'!X115)),NOT(ISNUMBER('Price History'!X114)),'Price History'!X114=0),"",'Price History'!X115/'Price History'!X114-1),"")</f>
        <v/>
      </c>
      <c r="AR114" s="155" t="n">
        <f aca="false">IFERROR(IF(OR(NOT(ISNUMBER('Price History'!Y115)),NOT(ISNUMBER('Price History'!Y114)),'Price History'!Y114=0),"",'Price History'!Y115/'Price History'!Y114-1),"")</f>
        <v>-0.00152322924600168</v>
      </c>
      <c r="AS114" s="155" t="n">
        <f aca="false">IFERROR(IF(OR(NOT(ISNUMBER('Price History'!Z115)),NOT(ISNUMBER('Price History'!Z114)),'Price History'!Z114=0),"",'Price History'!Z115/'Price History'!Z114-1),"")</f>
        <v>-0.00542630621263329</v>
      </c>
      <c r="AT114" s="155" t="n">
        <f aca="false">IFERROR(IF(OR(NOT(ISNUMBER('Price History'!AA115)),NOT(ISNUMBER('Price History'!AA114)),'Price History'!AA114=0),"",'Price History'!AA115/'Price History'!AA114-1),"")</f>
        <v>-0.0135847707569935</v>
      </c>
      <c r="AU114" s="155" t="n">
        <f aca="false">IFERROR(IF(OR(NOT(ISNUMBER('Price History'!AB115)),NOT(ISNUMBER('Price History'!AB114)),'Price History'!AB114=0),"",'Price History'!AB115/'Price History'!AB114-1),"")</f>
        <v>0.0125686813186814</v>
      </c>
    </row>
    <row r="115" customFormat="false" ht="15" hidden="false" customHeight="true" outlineLevel="0" collapsed="false">
      <c r="A115" s="153" t="n">
        <f aca="false">IF('Price History'!A116="","",'Price History'!A116)</f>
        <v>45975</v>
      </c>
      <c r="B115" s="154" t="n">
        <f aca="false">IFERROR(IF(OR(NOT(ISNUMBER('Price History'!B116)),NOT(ISNUMBER('Price History'!B115)),'Price History'!B115=0),"",'Price History'!B116/'Price History'!B115-1),"")</f>
        <v>0.0127236580516898</v>
      </c>
      <c r="C115" s="154" t="n">
        <f aca="false">IFERROR(IF(OR(NOT(ISNUMBER('Price History'!C116)),NOT(ISNUMBER('Price History'!C115)),'Price History'!C115=0),"",'Price History'!C116/'Price History'!C115-1),"")</f>
        <v>-0.024359450427033</v>
      </c>
      <c r="D115" s="154" t="n">
        <f aca="false">IFERROR(IF(OR(NOT(ISNUMBER('Price History'!D116)),NOT(ISNUMBER('Price History'!D115)),'Price History'!D115=0),"",'Price History'!D116/'Price History'!D115-1),"")</f>
        <v>-0.00981128347001292</v>
      </c>
      <c r="E115" s="154" t="n">
        <f aca="false">IFERROR(IF(OR(NOT(ISNUMBER('Price History'!E116)),NOT(ISNUMBER('Price History'!E115)),'Price History'!E115=0),"",'Price History'!E116/'Price History'!E115-1),"")</f>
        <v>-0.0199509874585556</v>
      </c>
      <c r="F115" s="154" t="n">
        <f aca="false">IFERROR(IF(OR(NOT(ISNUMBER('Price History'!F116)),NOT(ISNUMBER('Price History'!F115)),'Price History'!F115=0),"",'Price History'!F116/'Price History'!F115-1),"")</f>
        <v>-0.00414968506854396</v>
      </c>
      <c r="G115" s="154" t="n">
        <f aca="false">IFERROR(IF(OR(NOT(ISNUMBER('Price History'!G116)),NOT(ISNUMBER('Price History'!G115)),'Price History'!G115=0),"",'Price History'!G116/'Price History'!G115-1),"")</f>
        <v>-0.0495366470092672</v>
      </c>
      <c r="H115" s="154" t="n">
        <f aca="false">IFERROR(IF(OR(NOT(ISNUMBER('Price History'!H116)),NOT(ISNUMBER('Price History'!H115)),'Price History'!H115=0),"",'Price History'!H116/'Price History'!H115-1),"")</f>
        <v>0.0374437292271446</v>
      </c>
      <c r="I115" s="154" t="n">
        <f aca="false">IFERROR(IF(OR(NOT(ISNUMBER('Price History'!I116)),NOT(ISNUMBER('Price History'!I115)),'Price History'!I115=0),"",'Price History'!I116/'Price History'!I115-1),"")</f>
        <v>0.0107618540223762</v>
      </c>
      <c r="J115" s="154" t="n">
        <f aca="false">IFERROR(IF(OR(NOT(ISNUMBER('Price History'!J116)),NOT(ISNUMBER('Price History'!J115)),'Price History'!J115=0),"",'Price History'!J116/'Price History'!J115-1),"")</f>
        <v>-0.0220890129742157</v>
      </c>
      <c r="K115" s="154" t="n">
        <f aca="false">IFERROR(IF(OR(NOT(ISNUMBER('Price History'!K116)),NOT(ISNUMBER('Price History'!K115)),'Price History'!K115=0),"",'Price History'!K116/'Price History'!K115-1),"")</f>
        <v>-0.0220311358399371</v>
      </c>
      <c r="L115" s="154" t="n">
        <f aca="false">IFERROR(IF(OR(NOT(ISNUMBER('Price History'!L116)),NOT(ISNUMBER('Price History'!L115)),'Price History'!L115=0),"",'Price History'!L116/'Price History'!L115-1),"")</f>
        <v>-0.0058553791887126</v>
      </c>
      <c r="M115" s="154" t="n">
        <f aca="false">IFERROR(IF(OR(NOT(ISNUMBER('Price History'!M116)),NOT(ISNUMBER('Price History'!M115)),'Price History'!M115=0),"",'Price History'!M116/'Price History'!M115-1),"")</f>
        <v>-0.0491063971939203</v>
      </c>
      <c r="N115" s="154" t="n">
        <f aca="false">IFERROR(IF(OR(NOT(ISNUMBER('Price History'!N116)),NOT(ISNUMBER('Price History'!N115)),'Price History'!N115=0),"",'Price History'!N116/'Price History'!N115-1),"")</f>
        <v>0.0675995799448066</v>
      </c>
      <c r="O115" s="154" t="n">
        <f aca="false">IFERROR(IF(OR(NOT(ISNUMBER('Price History'!O116)),NOT(ISNUMBER('Price History'!O115)),'Price History'!O115=0),"",'Price History'!O116/'Price History'!O115-1),"")</f>
        <v>-0.00145137880986934</v>
      </c>
      <c r="P115" s="154" t="n">
        <f aca="false">IFERROR(IF(OR(NOT(ISNUMBER('Price History'!P116)),NOT(ISNUMBER('Price History'!P115)),'Price History'!P115=0),"",'Price History'!P116/'Price History'!P115-1),"")</f>
        <v>0.00310214934633302</v>
      </c>
      <c r="Q115" s="154" t="n">
        <f aca="false">IFERROR(IF(OR(NOT(ISNUMBER('Price History'!Q116)),NOT(ISNUMBER('Price History'!Q115)),'Price History'!Q115=0),"",'Price History'!Q116/'Price History'!Q115-1),"")</f>
        <v>0.00154106950223443</v>
      </c>
      <c r="R115" s="154" t="n">
        <f aca="false">IFERROR(IF(OR(NOT(ISNUMBER('Price History'!R116)),NOT(ISNUMBER('Price History'!R115)),'Price History'!R115=0),"",'Price History'!R116/'Price History'!R115-1),"")</f>
        <v>0.0019316206297082</v>
      </c>
      <c r="S115" s="154" t="n">
        <f aca="false">IFERROR(IF(OR(NOT(ISNUMBER('Price History'!S116)),NOT(ISNUMBER('Price History'!S115)),'Price History'!S115=0),"",'Price History'!S116/'Price History'!S115-1),"")</f>
        <v>-0.00595541943168287</v>
      </c>
      <c r="T115" s="154" t="n">
        <f aca="false">IFERROR(IF(OR(NOT(ISNUMBER('Price History'!T116)),NOT(ISNUMBER('Price History'!T115)),'Price History'!T115=0),"",'Price History'!T116/'Price History'!T115-1),"")</f>
        <v>0.0112029874633235</v>
      </c>
      <c r="U115" s="154" t="n">
        <f aca="false">IFERROR(IF(OR(NOT(ISNUMBER('Price History'!U116)),NOT(ISNUMBER('Price History'!U115)),'Price History'!U115=0),"",'Price History'!U116/'Price History'!U115-1),"")</f>
        <v>0.0197597830298335</v>
      </c>
      <c r="V115" s="155" t="n">
        <f aca="false">IFERROR(IF(OR(NOT(ISNUMBER('Price History'!V116)),NOT(ISNUMBER('Price History'!V115)),'Price History'!V115=0),"",'Price History'!V116/'Price History'!V115-1),"")</f>
        <v>-0.0158992050397481</v>
      </c>
      <c r="W115" s="156" t="n">
        <f aca="false">IFERROR('Price History'!B3+(INDEX('Price History'!B:B,MATCH(9.99E+307,'Returns (Calc)'!$A:$A)+1)-'Price History'!B3)*(ROW()-3)/(MATCH(9.99E+307,'Returns (Calc)'!$A:$A)-3),"")</f>
        <v>322.469746835443</v>
      </c>
      <c r="X115" s="156" t="n">
        <f aca="false">IFERROR('Price History'!C3+(INDEX('Price History'!C:C,MATCH(9.99E+307,'Returns (Calc)'!$A:$A)+1)-'Price History'!C3)*(ROW()-3)/(MATCH(9.99E+307,'Returns (Calc)'!$A:$A)-3),"")</f>
        <v>160.427088607595</v>
      </c>
      <c r="Y115" s="156" t="n">
        <f aca="false">IFERROR('Price History'!D3+(INDEX('Price History'!D:D,MATCH(9.99E+307,'Returns (Calc)'!$A:$A)+1)-'Price History'!D3)*(ROW()-3)/(MATCH(9.99E+307,'Returns (Calc)'!$A:$A)-3),"")</f>
        <v>1493.10873417722</v>
      </c>
      <c r="Z115" s="156" t="n">
        <f aca="false">IFERROR('Price History'!E3+(INDEX('Price History'!E:E,MATCH(9.99E+307,'Returns (Calc)'!$A:$A)+1)-'Price History'!E3)*(ROW()-3)/(MATCH(9.99E+307,'Returns (Calc)'!$A:$A)-3),"")</f>
        <v>275.618227848101</v>
      </c>
      <c r="AA115" s="156" t="n">
        <f aca="false">IFERROR('Price History'!F3+(INDEX('Price History'!F:F,MATCH(9.99E+307,'Returns (Calc)'!$A:$A)+1)-'Price History'!F3)*(ROW()-3)/(MATCH(9.99E+307,'Returns (Calc)'!$A:$A)-3),"")</f>
        <v>203.462278481013</v>
      </c>
      <c r="AB115" s="156" t="n">
        <f aca="false">IFERROR('Price History'!G3+(INDEX('Price History'!G:G,MATCH(9.99E+307,'Returns (Calc)'!$A:$A)+1)-'Price History'!G3)*(ROW()-3)/(MATCH(9.99E+307,'Returns (Calc)'!$A:$A)-3),"")</f>
        <v>159.568227848101</v>
      </c>
      <c r="AC115" s="156" t="n">
        <f aca="false">IFERROR('Price History'!H3+(INDEX('Price History'!H:H,MATCH(9.99E+307,'Returns (Calc)'!$A:$A)+1)-'Price History'!H3)*(ROW()-3)/(MATCH(9.99E+307,'Returns (Calc)'!$A:$A)-3),"")</f>
        <v>782.067974683544</v>
      </c>
      <c r="AD115" s="156" t="n">
        <f aca="false">IFERROR('Price History'!I3+(INDEX('Price History'!I:I,MATCH(9.99E+307,'Returns (Calc)'!$A:$A)+1)-'Price History'!I3)*(ROW()-3)/(MATCH(9.99E+307,'Returns (Calc)'!$A:$A)-3),"")</f>
        <v>178.581139240506</v>
      </c>
      <c r="AE115" s="156" t="n">
        <f aca="false">IFERROR('Price History'!J3+(INDEX('Price History'!J:J,MATCH(9.99E+307,'Returns (Calc)'!$A:$A)+1)-'Price History'!J3)*(ROW()-3)/(MATCH(9.99E+307,'Returns (Calc)'!$A:$A)-3),"")</f>
        <v>123.940253164557</v>
      </c>
      <c r="AF115" s="156" t="n">
        <f aca="false">IFERROR('Price History'!K3+(INDEX('Price History'!K:K,MATCH(9.99E+307,'Returns (Calc)'!$A:$A)+1)-'Price History'!K3)*(ROW()-3)/(MATCH(9.99E+307,'Returns (Calc)'!$A:$A)-3),"")</f>
        <v>138.260632911392</v>
      </c>
      <c r="AG115" s="156" t="n">
        <f aca="false">IFERROR('Price History'!L3+(INDEX('Price History'!L:L,MATCH(9.99E+307,'Returns (Calc)'!$A:$A)+1)-'Price History'!L3)*(ROW()-3)/(MATCH(9.99E+307,'Returns (Calc)'!$A:$A)-3),"")</f>
        <v>360.100379746836</v>
      </c>
      <c r="AH115" s="156" t="n">
        <f aca="false">IFERROR('Price History'!M3+(INDEX('Price History'!M:M,MATCH(9.99E+307,'Returns (Calc)'!$A:$A)+1)-'Price History'!M3)*(ROW()-3)/(MATCH(9.99E+307,'Returns (Calc)'!$A:$A)-3),"")</f>
        <v>189.829620253165</v>
      </c>
      <c r="AI115" s="156" t="n">
        <f aca="false">IFERROR('Price History'!N3+(INDEX('Price History'!N:N,MATCH(9.99E+307,'Returns (Calc)'!$A:$A)+1)-'Price History'!N3)*(ROW()-3)/(MATCH(9.99E+307,'Returns (Calc)'!$A:$A)-3),"")</f>
        <v>459.361772151899</v>
      </c>
      <c r="AJ115" s="156" t="n">
        <f aca="false">IFERROR('Price History'!O3+(INDEX('Price History'!O:O,MATCH(9.99E+307,'Returns (Calc)'!$A:$A)+1)-'Price History'!O3)*(ROW()-3)/(MATCH(9.99E+307,'Returns (Calc)'!$A:$A)-3),"")</f>
        <v>107.010253164557</v>
      </c>
      <c r="AK115" s="156" t="n">
        <f aca="false">IFERROR('Price History'!Q3+(INDEX('Price History'!Q:Q,MATCH(9.99E+307,'Returns (Calc)'!$A:$A)+1)-'Price History'!Q3)*(ROW()-3)/(MATCH(9.99E+307,'Returns (Calc)'!$A:$A)-3),"")</f>
        <v>49.2091139240506</v>
      </c>
      <c r="AL115" s="156" t="n">
        <f aca="false">IFERROR('Price History'!R3+(INDEX('Price History'!R:R,MATCH(9.99E+307,'Returns (Calc)'!$A:$A)+1)-'Price History'!R3)*(ROW()-3)/(MATCH(9.99E+307,'Returns (Calc)'!$A:$A)-3),"")</f>
        <v>53.3073417721519</v>
      </c>
      <c r="AM115" s="156" t="n">
        <f aca="false">IFERROR('Price History'!S3+(INDEX('Price History'!S:S,MATCH(9.99E+307,'Returns (Calc)'!$A:$A)+1)-'Price History'!S3)*(ROW()-3)/(MATCH(9.99E+307,'Returns (Calc)'!$A:$A)-3),"")</f>
        <v>125.397088607595</v>
      </c>
      <c r="AN115" s="156" t="n">
        <f aca="false">IFERROR('Price History'!T3+(INDEX('Price History'!T:T,MATCH(9.99E+307,'Returns (Calc)'!$A:$A)+1)-'Price History'!T3)*(ROW()-3)/(MATCH(9.99E+307,'Returns (Calc)'!$A:$A)-3),"")</f>
        <v>44.0815189873418</v>
      </c>
      <c r="AO115" s="157" t="n">
        <f aca="false">IFERROR('Price History'!V3+(INDEX('Price History'!V:V,MATCH(9.99E+307,'Returns (Calc)'!$A:$A)+1)-'Price History'!V3)*(ROW()-3)/(MATCH(9.99E+307,'Returns (Calc)'!$A:$A)-3),"")</f>
        <v>324.258860759494</v>
      </c>
      <c r="AP115" s="155" t="n">
        <f aca="false">IFERROR(IF(OR(NOT(ISNUMBER('Price History'!W116)),NOT(ISNUMBER('Price History'!W115)),'Price History'!W115=0),"",'Price History'!W116/'Price History'!W115-1),"")</f>
        <v>0.00525854513584578</v>
      </c>
      <c r="AQ115" s="155" t="str">
        <f aca="false">IFERROR(IF(OR(NOT(ISNUMBER('Price History'!X116)),NOT(ISNUMBER('Price History'!X115)),'Price History'!X115=0),"",'Price History'!X116/'Price History'!X115-1),"")</f>
        <v/>
      </c>
      <c r="AR115" s="155" t="n">
        <f aca="false">IFERROR(IF(OR(NOT(ISNUMBER('Price History'!Y116)),NOT(ISNUMBER('Price History'!Y115)),'Price History'!Y115=0),"",'Price History'!Y116/'Price History'!Y115-1),"")</f>
        <v>0.00514874141876431</v>
      </c>
      <c r="AS115" s="155" t="n">
        <f aca="false">IFERROR(IF(OR(NOT(ISNUMBER('Price History'!Z116)),NOT(ISNUMBER('Price History'!Z115)),'Price History'!Z115=0),"",'Price History'!Z116/'Price History'!Z115-1),"")</f>
        <v>-0.00797151164690124</v>
      </c>
      <c r="AT115" s="155" t="n">
        <f aca="false">IFERROR(IF(OR(NOT(ISNUMBER('Price History'!AA116)),NOT(ISNUMBER('Price History'!AA115)),'Price History'!AA115=0),"",'Price History'!AA116/'Price History'!AA115-1),"")</f>
        <v>0.00770136812539635</v>
      </c>
      <c r="AU115" s="155" t="n">
        <f aca="false">IFERROR(IF(OR(NOT(ISNUMBER('Price History'!AB116)),NOT(ISNUMBER('Price History'!AB115)),'Price History'!AB115=0),"",'Price History'!AB116/'Price History'!AB115-1),"")</f>
        <v>-0.00508716000813947</v>
      </c>
    </row>
    <row r="116" customFormat="false" ht="15" hidden="false" customHeight="true" outlineLevel="0" collapsed="false">
      <c r="A116" s="153" t="n">
        <f aca="false">IF('Price History'!A117="","",'Price History'!A117)</f>
        <v>45982</v>
      </c>
      <c r="B116" s="154" t="n">
        <f aca="false">IFERROR(IF(OR(NOT(ISNUMBER('Price History'!B117)),NOT(ISNUMBER('Price History'!B116)),'Price History'!B116=0),"",'Price History'!B117/'Price History'!B116-1),"")</f>
        <v>-0.0208993989912718</v>
      </c>
      <c r="C116" s="154" t="n">
        <f aca="false">IFERROR(IF(OR(NOT(ISNUMBER('Price History'!C117)),NOT(ISNUMBER('Price History'!C116)),'Price History'!C116=0),"",'Price History'!C117/'Price History'!C116-1),"")</f>
        <v>-0.106112506660577</v>
      </c>
      <c r="D116" s="154" t="n">
        <f aca="false">IFERROR(IF(OR(NOT(ISNUMBER('Price History'!D117)),NOT(ISNUMBER('Price History'!D116)),'Price History'!D116=0),"",'Price History'!D117/'Price History'!D116-1),"")</f>
        <v>-0.0401329115818673</v>
      </c>
      <c r="E116" s="154" t="n">
        <f aca="false">IFERROR(IF(OR(NOT(ISNUMBER('Price History'!E117)),NOT(ISNUMBER('Price History'!E116)),'Price History'!E116=0),"",'Price History'!E117/'Price History'!E116-1),"")</f>
        <v>-0.00658959197481834</v>
      </c>
      <c r="F116" s="154" t="n">
        <f aca="false">IFERROR(IF(OR(NOT(ISNUMBER('Price History'!F117)),NOT(ISNUMBER('Price History'!F116)),'Price History'!F116=0),"",'Price History'!F117/'Price History'!F116-1),"")</f>
        <v>-0.0872088697075675</v>
      </c>
      <c r="G116" s="154" t="n">
        <f aca="false">IFERROR(IF(OR(NOT(ISNUMBER('Price History'!G117)),NOT(ISNUMBER('Price History'!G116)),'Price History'!G116=0),"",'Price History'!G117/'Price History'!G116-1),"")</f>
        <v>-0.0311115050522957</v>
      </c>
      <c r="H116" s="154" t="n">
        <f aca="false">IFERROR(IF(OR(NOT(ISNUMBER('Price History'!H117)),NOT(ISNUMBER('Price History'!H116)),'Price History'!H116=0),"",'Price History'!H117/'Price History'!H116-1),"")</f>
        <v>-0.159860497181556</v>
      </c>
      <c r="I116" s="154" t="n">
        <f aca="false">IFERROR(IF(OR(NOT(ISNUMBER('Price History'!I117)),NOT(ISNUMBER('Price History'!I116)),'Price History'!I116=0),"",'Price History'!I117/'Price History'!I116-1),"")</f>
        <v>-0.0594033312249631</v>
      </c>
      <c r="J116" s="154" t="n">
        <f aca="false">IFERROR(IF(OR(NOT(ISNUMBER('Price History'!J117)),NOT(ISNUMBER('Price History'!J116)),'Price History'!J116=0),"",'Price History'!J117/'Price History'!J116-1),"")</f>
        <v>0.0240994206062641</v>
      </c>
      <c r="K116" s="154" t="n">
        <f aca="false">IFERROR(IF(OR(NOT(ISNUMBER('Price History'!K117)),NOT(ISNUMBER('Price History'!K116)),'Price History'!K116=0),"",'Price History'!K117/'Price History'!K116-1),"")</f>
        <v>-0.110108614447446</v>
      </c>
      <c r="L116" s="154" t="n">
        <f aca="false">IFERROR(IF(OR(NOT(ISNUMBER('Price History'!L117)),NOT(ISNUMBER('Price History'!L116)),'Price History'!L116=0),"",'Price History'!L117/'Price History'!L116-1),"")</f>
        <v>-0.0342747658245812</v>
      </c>
      <c r="M116" s="154" t="n">
        <f aca="false">IFERROR(IF(OR(NOT(ISNUMBER('Price History'!M117)),NOT(ISNUMBER('Price History'!M116)),'Price History'!M116=0),"",'Price History'!M117/'Price History'!M116-1),"")</f>
        <v>-0.0651677498682592</v>
      </c>
      <c r="N116" s="154" t="n">
        <f aca="false">IFERROR(IF(OR(NOT(ISNUMBER('Price History'!N117)),NOT(ISNUMBER('Price History'!N116)),'Price History'!N116=0),"",'Price History'!N117/'Price History'!N116-1),"")</f>
        <v>-0.023767585496969</v>
      </c>
      <c r="O116" s="154" t="n">
        <f aca="false">IFERROR(IF(OR(NOT(ISNUMBER('Price History'!O117)),NOT(ISNUMBER('Price History'!O116)),'Price History'!O116=0),"",'Price History'!O117/'Price History'!O116-1),"")</f>
        <v>-0.00778654485049835</v>
      </c>
      <c r="P116" s="154" t="n">
        <f aca="false">IFERROR(IF(OR(NOT(ISNUMBER('Price History'!P117)),NOT(ISNUMBER('Price History'!P116)),'Price History'!P116=0),"",'Price History'!P117/'Price History'!P116-1),"")</f>
        <v>-0.00493336278624557</v>
      </c>
      <c r="Q116" s="154" t="n">
        <f aca="false">IFERROR(IF(OR(NOT(ISNUMBER('Price History'!Q117)),NOT(ISNUMBER('Price History'!Q116)),'Price History'!Q116=0),"",'Price History'!Q117/'Price History'!Q116-1),"")</f>
        <v>-0.00892444991537156</v>
      </c>
      <c r="R116" s="154" t="n">
        <f aca="false">IFERROR(IF(OR(NOT(ISNUMBER('Price History'!R117)),NOT(ISNUMBER('Price History'!R116)),'Price History'!R116=0),"",'Price History'!R117/'Price History'!R116-1),"")</f>
        <v>-0.0273761326392904</v>
      </c>
      <c r="S116" s="154" t="n">
        <f aca="false">IFERROR(IF(OR(NOT(ISNUMBER('Price History'!S117)),NOT(ISNUMBER('Price History'!S116)),'Price History'!S116=0),"",'Price History'!S117/'Price History'!S116-1),"")</f>
        <v>-0.029955494693598</v>
      </c>
      <c r="T116" s="154" t="n">
        <f aca="false">IFERROR(IF(OR(NOT(ISNUMBER('Price History'!T117)),NOT(ISNUMBER('Price History'!T116)),'Price History'!T116=0),"",'Price History'!T117/'Price History'!T116-1),"")</f>
        <v>-0.0200474808757584</v>
      </c>
      <c r="U116" s="154" t="n">
        <f aca="false">IFERROR(IF(OR(NOT(ISNUMBER('Price History'!U117)),NOT(ISNUMBER('Price History'!U116)),'Price History'!U116=0),"",'Price History'!U117/'Price History'!U116-1),"")</f>
        <v>-0.00531914893617025</v>
      </c>
      <c r="V116" s="155" t="n">
        <f aca="false">IFERROR(IF(OR(NOT(ISNUMBER('Price History'!V117)),NOT(ISNUMBER('Price History'!V116)),'Price History'!V116=0),"",'Price History'!V117/'Price History'!V116-1),"")</f>
        <v>-0.00618808108520053</v>
      </c>
      <c r="W116" s="156" t="n">
        <f aca="false">IFERROR('Price History'!B3+(INDEX('Price History'!B:B,MATCH(9.99E+307,'Returns (Calc)'!$A:$A)+1)-'Price History'!B3)*(ROW()-3)/(MATCH(9.99E+307,'Returns (Calc)'!$A:$A)-3),"")</f>
        <v>320.62670886076</v>
      </c>
      <c r="X116" s="156" t="n">
        <f aca="false">IFERROR('Price History'!C3+(INDEX('Price History'!C:C,MATCH(9.99E+307,'Returns (Calc)'!$A:$A)+1)-'Price History'!C3)*(ROW()-3)/(MATCH(9.99E+307,'Returns (Calc)'!$A:$A)-3),"")</f>
        <v>161.447151898734</v>
      </c>
      <c r="Y116" s="156" t="n">
        <f aca="false">IFERROR('Price History'!D3+(INDEX('Price History'!D:D,MATCH(9.99E+307,'Returns (Calc)'!$A:$A)+1)-'Price History'!D3)*(ROW()-3)/(MATCH(9.99E+307,'Returns (Calc)'!$A:$A)-3),"")</f>
        <v>1501.2435443038</v>
      </c>
      <c r="Z116" s="156" t="n">
        <f aca="false">IFERROR('Price History'!E3+(INDEX('Price History'!E:E,MATCH(9.99E+307,'Returns (Calc)'!$A:$A)+1)-'Price History'!E3)*(ROW()-3)/(MATCH(9.99E+307,'Returns (Calc)'!$A:$A)-3),"")</f>
        <v>277.346962025316</v>
      </c>
      <c r="AA116" s="156" t="n">
        <f aca="false">IFERROR('Price History'!F3+(INDEX('Price History'!F:F,MATCH(9.99E+307,'Returns (Calc)'!$A:$A)+1)-'Price History'!F3)*(ROW()-3)/(MATCH(9.99E+307,'Returns (Calc)'!$A:$A)-3),"")</f>
        <v>204.909620253165</v>
      </c>
      <c r="AB116" s="156" t="n">
        <f aca="false">IFERROR('Price History'!G3+(INDEX('Price History'!G:G,MATCH(9.99E+307,'Returns (Calc)'!$A:$A)+1)-'Price History'!G3)*(ROW()-3)/(MATCH(9.99E+307,'Returns (Calc)'!$A:$A)-3),"")</f>
        <v>160.596962025316</v>
      </c>
      <c r="AC116" s="156" t="n">
        <f aca="false">IFERROR('Price History'!H3+(INDEX('Price History'!H:H,MATCH(9.99E+307,'Returns (Calc)'!$A:$A)+1)-'Price History'!H3)*(ROW()-3)/(MATCH(9.99E+307,'Returns (Calc)'!$A:$A)-3),"")</f>
        <v>788.433670886076</v>
      </c>
      <c r="AD116" s="156" t="n">
        <f aca="false">IFERROR('Price History'!I3+(INDEX('Price History'!I:I,MATCH(9.99E+307,'Returns (Calc)'!$A:$A)+1)-'Price History'!I3)*(ROW()-3)/(MATCH(9.99E+307,'Returns (Calc)'!$A:$A)-3),"")</f>
        <v>179.784810126582</v>
      </c>
      <c r="AE116" s="156" t="n">
        <f aca="false">IFERROR('Price History'!J3+(INDEX('Price History'!J:J,MATCH(9.99E+307,'Returns (Calc)'!$A:$A)+1)-'Price History'!J3)*(ROW()-3)/(MATCH(9.99E+307,'Returns (Calc)'!$A:$A)-3),"")</f>
        <v>124.048291139241</v>
      </c>
      <c r="AF116" s="156" t="n">
        <f aca="false">IFERROR('Price History'!K3+(INDEX('Price History'!K:K,MATCH(9.99E+307,'Returns (Calc)'!$A:$A)+1)-'Price History'!K3)*(ROW()-3)/(MATCH(9.99E+307,'Returns (Calc)'!$A:$A)-3),"")</f>
        <v>139.358227848101</v>
      </c>
      <c r="AG116" s="156" t="n">
        <f aca="false">IFERROR('Price History'!L3+(INDEX('Price History'!L:L,MATCH(9.99E+307,'Returns (Calc)'!$A:$A)+1)-'Price History'!L3)*(ROW()-3)/(MATCH(9.99E+307,'Returns (Calc)'!$A:$A)-3),"")</f>
        <v>362.549936708861</v>
      </c>
      <c r="AH116" s="156" t="n">
        <f aca="false">IFERROR('Price History'!M3+(INDEX('Price History'!M:M,MATCH(9.99E+307,'Returns (Calc)'!$A:$A)+1)-'Price History'!M3)*(ROW()-3)/(MATCH(9.99E+307,'Returns (Calc)'!$A:$A)-3),"")</f>
        <v>191.185063291139</v>
      </c>
      <c r="AI116" s="156" t="n">
        <f aca="false">IFERROR('Price History'!N3+(INDEX('Price History'!N:N,MATCH(9.99E+307,'Returns (Calc)'!$A:$A)+1)-'Price History'!N3)*(ROW()-3)/(MATCH(9.99E+307,'Returns (Calc)'!$A:$A)-3),"")</f>
        <v>460.348037974684</v>
      </c>
      <c r="AJ116" s="156" t="n">
        <f aca="false">IFERROR('Price History'!O3+(INDEX('Price History'!O:O,MATCH(9.99E+307,'Returns (Calc)'!$A:$A)+1)-'Price History'!O3)*(ROW()-3)/(MATCH(9.99E+307,'Returns (Calc)'!$A:$A)-3),"")</f>
        <v>107.293291139241</v>
      </c>
      <c r="AK116" s="156" t="n">
        <f aca="false">IFERROR('Price History'!Q3+(INDEX('Price History'!Q:Q,MATCH(9.99E+307,'Returns (Calc)'!$A:$A)+1)-'Price History'!Q3)*(ROW()-3)/(MATCH(9.99E+307,'Returns (Calc)'!$A:$A)-3),"")</f>
        <v>49.6484810126582</v>
      </c>
      <c r="AL116" s="156" t="n">
        <f aca="false">IFERROR('Price History'!R3+(INDEX('Price History'!R:R,MATCH(9.99E+307,'Returns (Calc)'!$A:$A)+1)-'Price History'!R3)*(ROW()-3)/(MATCH(9.99E+307,'Returns (Calc)'!$A:$A)-3),"")</f>
        <v>53.4754430379747</v>
      </c>
      <c r="AM116" s="156" t="n">
        <f aca="false">IFERROR('Price History'!S3+(INDEX('Price History'!S:S,MATCH(9.99E+307,'Returns (Calc)'!$A:$A)+1)-'Price History'!S3)*(ROW()-3)/(MATCH(9.99E+307,'Returns (Calc)'!$A:$A)-3),"")</f>
        <v>126.002151898734</v>
      </c>
      <c r="AN116" s="156" t="n">
        <f aca="false">IFERROR('Price History'!T3+(INDEX('Price History'!T:T,MATCH(9.99E+307,'Returns (Calc)'!$A:$A)+1)-'Price History'!T3)*(ROW()-3)/(MATCH(9.99E+307,'Returns (Calc)'!$A:$A)-3),"")</f>
        <v>44.249746835443</v>
      </c>
      <c r="AO116" s="157" t="n">
        <f aca="false">IFERROR('Price History'!V3+(INDEX('Price History'!V:V,MATCH(9.99E+307,'Returns (Calc)'!$A:$A)+1)-'Price History'!V3)*(ROW()-3)/(MATCH(9.99E+307,'Returns (Calc)'!$A:$A)-3),"")</f>
        <v>325.050189873418</v>
      </c>
      <c r="AP116" s="155" t="n">
        <f aca="false">IFERROR(IF(OR(NOT(ISNUMBER('Price History'!W117)),NOT(ISNUMBER('Price History'!W116)),'Price History'!W116=0),"",'Price History'!W117/'Price History'!W116-1),"")</f>
        <v>-0.00646614356291764</v>
      </c>
      <c r="AQ116" s="155" t="str">
        <f aca="false">IFERROR(IF(OR(NOT(ISNUMBER('Price History'!X117)),NOT(ISNUMBER('Price History'!X116)),'Price History'!X116=0),"",'Price History'!X117/'Price History'!X116-1),"")</f>
        <v/>
      </c>
      <c r="AR116" s="155" t="n">
        <f aca="false">IFERROR(IF(OR(NOT(ISNUMBER('Price History'!Y117)),NOT(ISNUMBER('Price History'!Y116)),'Price History'!Y116=0),"",'Price History'!Y117/'Price History'!Y116-1),"")</f>
        <v>-0.00265604249667994</v>
      </c>
      <c r="AS116" s="155" t="n">
        <f aca="false">IFERROR(IF(OR(NOT(ISNUMBER('Price History'!Z117)),NOT(ISNUMBER('Price History'!Z116)),'Price History'!Z116=0),"",'Price History'!Z117/'Price History'!Z116-1),"")</f>
        <v>-0.0570064218672814</v>
      </c>
      <c r="AT116" s="155" t="n">
        <f aca="false">IFERROR(IF(OR(NOT(ISNUMBER('Price History'!AA117)),NOT(ISNUMBER('Price History'!AA116)),'Price History'!AA116=0),"",'Price History'!AA117/'Price History'!AA116-1),"")</f>
        <v>-0.0621291134688006</v>
      </c>
      <c r="AU116" s="155" t="n">
        <f aca="false">IFERROR(IF(OR(NOT(ISNUMBER('Price History'!AB117)),NOT(ISNUMBER('Price History'!AB116)),'Price History'!AB116=0),"",'Price History'!AB117/'Price History'!AB116-1),"")</f>
        <v>-0.168052904281429</v>
      </c>
    </row>
    <row r="117" customFormat="false" ht="15" hidden="false" customHeight="true" outlineLevel="0" collapsed="false">
      <c r="A117" s="153" t="n">
        <f aca="false">IF('Price History'!A118="","",'Price History'!A118)</f>
        <v>45989</v>
      </c>
      <c r="B117" s="154" t="n">
        <f aca="false">IFERROR(IF(OR(NOT(ISNUMBER('Price History'!B118)),NOT(ISNUMBER('Price History'!B117)),'Price History'!B117=0),"",'Price History'!B118/'Price History'!B117-1),"")</f>
        <v>-0.0125235201579321</v>
      </c>
      <c r="C117" s="154" t="n">
        <f aca="false">IFERROR(IF(OR(NOT(ISNUMBER('Price History'!C118)),NOT(ISNUMBER('Price History'!C117)),'Price History'!C117=0),"",'Price History'!C118/'Price History'!C117-1),"")</f>
        <v>0.112833177211956</v>
      </c>
      <c r="D117" s="154" t="n">
        <f aca="false">IFERROR(IF(OR(NOT(ISNUMBER('Price History'!D118)),NOT(ISNUMBER('Price History'!D117)),'Price History'!D117=0),"",'Price History'!D118/'Price History'!D117-1),"")</f>
        <v>0.0966578304485681</v>
      </c>
      <c r="E117" s="154" t="n">
        <f aca="false">IFERROR(IF(OR(NOT(ISNUMBER('Price History'!E118)),NOT(ISNUMBER('Price History'!E117)),'Price History'!E117=0),"",'Price History'!E118/'Price History'!E117-1),"")</f>
        <v>0.184488732269241</v>
      </c>
      <c r="F117" s="154" t="n">
        <f aca="false">IFERROR(IF(OR(NOT(ISNUMBER('Price History'!F118)),NOT(ISNUMBER('Price History'!F117)),'Price History'!F117=0),"",'Price History'!F118/'Price History'!F117-1),"")</f>
        <v>0.0376620200538029</v>
      </c>
      <c r="G117" s="154" t="n">
        <f aca="false">IFERROR(IF(OR(NOT(ISNUMBER('Price History'!G118)),NOT(ISNUMBER('Price History'!G117)),'Price History'!G117=0),"",'Price History'!G118/'Price History'!G117-1),"")</f>
        <v>0.0713566919769462</v>
      </c>
      <c r="H117" s="154" t="n">
        <f aca="false">IFERROR(IF(OR(NOT(ISNUMBER('Price History'!H118)),NOT(ISNUMBER('Price History'!H117)),'Price History'!H117=0),"",'Price History'!H118/'Price History'!H117-1),"")</f>
        <v>0.140367813872665</v>
      </c>
      <c r="I117" s="154" t="n">
        <f aca="false">IFERROR(IF(OR(NOT(ISNUMBER('Price History'!I118)),NOT(ISNUMBER('Price History'!I117)),'Price History'!I117=0),"",'Price History'!I118/'Price History'!I117-1),"")</f>
        <v>-0.0104791258055477</v>
      </c>
      <c r="J117" s="154" t="n">
        <f aca="false">IFERROR(IF(OR(NOT(ISNUMBER('Price History'!J118)),NOT(ISNUMBER('Price History'!J117)),'Price History'!J117=0),"",'Price History'!J118/'Price History'!J117-1),"")</f>
        <v>0.0218104296490653</v>
      </c>
      <c r="K117" s="154" t="n">
        <f aca="false">IFERROR(IF(OR(NOT(ISNUMBER('Price History'!K118)),NOT(ISNUMBER('Price History'!K117)),'Price History'!K117=0),"",'Price History'!K118/'Price History'!K117-1),"")</f>
        <v>0.0878269292864062</v>
      </c>
      <c r="L117" s="154" t="n">
        <f aca="false">IFERROR(IF(OR(NOT(ISNUMBER('Price History'!L118)),NOT(ISNUMBER('Price History'!L117)),'Price History'!L117=0),"",'Price History'!L118/'Price History'!L117-1),"")</f>
        <v>0.059813358806672</v>
      </c>
      <c r="M117" s="154" t="n">
        <f aca="false">IFERROR(IF(OR(NOT(ISNUMBER('Price History'!M118)),NOT(ISNUMBER('Price History'!M117)),'Price History'!M117=0),"",'Price History'!M118/'Price History'!M117-1),"")</f>
        <v>0.124953025178504</v>
      </c>
      <c r="N117" s="154" t="n">
        <f aca="false">IFERROR(IF(OR(NOT(ISNUMBER('Price History'!N118)),NOT(ISNUMBER('Price History'!N117)),'Price History'!N117=0),"",'Price History'!N118/'Price History'!N117-1),"")</f>
        <v>0.0160511763051834</v>
      </c>
      <c r="O117" s="154" t="n">
        <f aca="false">IFERROR(IF(OR(NOT(ISNUMBER('Price History'!O118)),NOT(ISNUMBER('Price History'!O117)),'Price History'!O117=0),"",'Price History'!O118/'Price History'!O117-1),"")</f>
        <v>0.0443653866276028</v>
      </c>
      <c r="P117" s="154" t="n">
        <f aca="false">IFERROR(IF(OR(NOT(ISNUMBER('Price History'!P118)),NOT(ISNUMBER('Price History'!P117)),'Price History'!P117=0),"",'Price History'!P118/'Price History'!P117-1),"")</f>
        <v>0.0257510729613735</v>
      </c>
      <c r="Q117" s="154" t="n">
        <f aca="false">IFERROR(IF(OR(NOT(ISNUMBER('Price History'!Q118)),NOT(ISNUMBER('Price History'!Q117)),'Price History'!Q117=0),"",'Price History'!Q118/'Price History'!Q117-1),"")</f>
        <v>0.0217357553174973</v>
      </c>
      <c r="R117" s="154" t="n">
        <f aca="false">IFERROR(IF(OR(NOT(ISNUMBER('Price History'!R118)),NOT(ISNUMBER('Price History'!R117)),'Price History'!R117=0),"",'Price History'!R118/'Price History'!R117-1),"")</f>
        <v>0.0457879088206143</v>
      </c>
      <c r="S117" s="154" t="n">
        <f aca="false">IFERROR(IF(OR(NOT(ISNUMBER('Price History'!S118)),NOT(ISNUMBER('Price History'!S117)),'Price History'!S117=0),"",'Price History'!S118/'Price History'!S117-1),"")</f>
        <v>0.0509087700723487</v>
      </c>
      <c r="T117" s="154" t="n">
        <f aca="false">IFERROR(IF(OR(NOT(ISNUMBER('Price History'!T118)),NOT(ISNUMBER('Price History'!T117)),'Price History'!T117=0),"",'Price History'!T118/'Price History'!T117-1),"")</f>
        <v>0.0341857335127862</v>
      </c>
      <c r="U117" s="154" t="n">
        <f aca="false">IFERROR(IF(OR(NOT(ISNUMBER('Price History'!U118)),NOT(ISNUMBER('Price History'!U117)),'Price History'!U117=0),"",'Price History'!U118/'Price History'!U117-1),"")</f>
        <v>0.0183346065699006</v>
      </c>
      <c r="V117" s="155" t="n">
        <f aca="false">IFERROR(IF(OR(NOT(ISNUMBER('Price History'!V118)),NOT(ISNUMBER('Price History'!V117)),'Price History'!V117=0),"",'Price History'!V118/'Price History'!V117-1),"")</f>
        <v>0.0196920434329182</v>
      </c>
      <c r="W117" s="156" t="n">
        <f aca="false">IFERROR('Price History'!B3+(INDEX('Price History'!B:B,MATCH(9.99E+307,'Returns (Calc)'!$A:$A)+1)-'Price History'!B3)*(ROW()-3)/(MATCH(9.99E+307,'Returns (Calc)'!$A:$A)-3),"")</f>
        <v>318.783670886076</v>
      </c>
      <c r="X117" s="156" t="n">
        <f aca="false">IFERROR('Price History'!C3+(INDEX('Price History'!C:C,MATCH(9.99E+307,'Returns (Calc)'!$A:$A)+1)-'Price History'!C3)*(ROW()-3)/(MATCH(9.99E+307,'Returns (Calc)'!$A:$A)-3),"")</f>
        <v>162.467215189873</v>
      </c>
      <c r="Y117" s="156" t="n">
        <f aca="false">IFERROR('Price History'!D3+(INDEX('Price History'!D:D,MATCH(9.99E+307,'Returns (Calc)'!$A:$A)+1)-'Price History'!D3)*(ROW()-3)/(MATCH(9.99E+307,'Returns (Calc)'!$A:$A)-3),"")</f>
        <v>1509.37835443038</v>
      </c>
      <c r="Z117" s="156" t="n">
        <f aca="false">IFERROR('Price History'!E3+(INDEX('Price History'!E:E,MATCH(9.99E+307,'Returns (Calc)'!$A:$A)+1)-'Price History'!E3)*(ROW()-3)/(MATCH(9.99E+307,'Returns (Calc)'!$A:$A)-3),"")</f>
        <v>279.075696202532</v>
      </c>
      <c r="AA117" s="156" t="n">
        <f aca="false">IFERROR('Price History'!F3+(INDEX('Price History'!F:F,MATCH(9.99E+307,'Returns (Calc)'!$A:$A)+1)-'Price History'!F3)*(ROW()-3)/(MATCH(9.99E+307,'Returns (Calc)'!$A:$A)-3),"")</f>
        <v>206.356962025316</v>
      </c>
      <c r="AB117" s="156" t="n">
        <f aca="false">IFERROR('Price History'!G3+(INDEX('Price History'!G:G,MATCH(9.99E+307,'Returns (Calc)'!$A:$A)+1)-'Price History'!G3)*(ROW()-3)/(MATCH(9.99E+307,'Returns (Calc)'!$A:$A)-3),"")</f>
        <v>161.625696202532</v>
      </c>
      <c r="AC117" s="156" t="n">
        <f aca="false">IFERROR('Price History'!H3+(INDEX('Price History'!H:H,MATCH(9.99E+307,'Returns (Calc)'!$A:$A)+1)-'Price History'!H3)*(ROW()-3)/(MATCH(9.99E+307,'Returns (Calc)'!$A:$A)-3),"")</f>
        <v>794.799367088608</v>
      </c>
      <c r="AD117" s="156" t="n">
        <f aca="false">IFERROR('Price History'!I3+(INDEX('Price History'!I:I,MATCH(9.99E+307,'Returns (Calc)'!$A:$A)+1)-'Price History'!I3)*(ROW()-3)/(MATCH(9.99E+307,'Returns (Calc)'!$A:$A)-3),"")</f>
        <v>180.988481012658</v>
      </c>
      <c r="AE117" s="156" t="n">
        <f aca="false">IFERROR('Price History'!J3+(INDEX('Price History'!J:J,MATCH(9.99E+307,'Returns (Calc)'!$A:$A)+1)-'Price History'!J3)*(ROW()-3)/(MATCH(9.99E+307,'Returns (Calc)'!$A:$A)-3),"")</f>
        <v>124.156329113924</v>
      </c>
      <c r="AF117" s="156" t="n">
        <f aca="false">IFERROR('Price History'!K3+(INDEX('Price History'!K:K,MATCH(9.99E+307,'Returns (Calc)'!$A:$A)+1)-'Price History'!K3)*(ROW()-3)/(MATCH(9.99E+307,'Returns (Calc)'!$A:$A)-3),"")</f>
        <v>140.45582278481</v>
      </c>
      <c r="AG117" s="156" t="n">
        <f aca="false">IFERROR('Price History'!L3+(INDEX('Price History'!L:L,MATCH(9.99E+307,'Returns (Calc)'!$A:$A)+1)-'Price History'!L3)*(ROW()-3)/(MATCH(9.99E+307,'Returns (Calc)'!$A:$A)-3),"")</f>
        <v>364.999493670886</v>
      </c>
      <c r="AH117" s="156" t="n">
        <f aca="false">IFERROR('Price History'!M3+(INDEX('Price History'!M:M,MATCH(9.99E+307,'Returns (Calc)'!$A:$A)+1)-'Price History'!M3)*(ROW()-3)/(MATCH(9.99E+307,'Returns (Calc)'!$A:$A)-3),"")</f>
        <v>192.540506329114</v>
      </c>
      <c r="AI117" s="156" t="n">
        <f aca="false">IFERROR('Price History'!N3+(INDEX('Price History'!N:N,MATCH(9.99E+307,'Returns (Calc)'!$A:$A)+1)-'Price History'!N3)*(ROW()-3)/(MATCH(9.99E+307,'Returns (Calc)'!$A:$A)-3),"")</f>
        <v>461.334303797468</v>
      </c>
      <c r="AJ117" s="156" t="n">
        <f aca="false">IFERROR('Price History'!O3+(INDEX('Price History'!O:O,MATCH(9.99E+307,'Returns (Calc)'!$A:$A)+1)-'Price History'!O3)*(ROW()-3)/(MATCH(9.99E+307,'Returns (Calc)'!$A:$A)-3),"")</f>
        <v>107.576329113924</v>
      </c>
      <c r="AK117" s="156" t="n">
        <f aca="false">IFERROR('Price History'!Q3+(INDEX('Price History'!Q:Q,MATCH(9.99E+307,'Returns (Calc)'!$A:$A)+1)-'Price History'!Q3)*(ROW()-3)/(MATCH(9.99E+307,'Returns (Calc)'!$A:$A)-3),"")</f>
        <v>50.0878481012658</v>
      </c>
      <c r="AL117" s="156" t="n">
        <f aca="false">IFERROR('Price History'!R3+(INDEX('Price History'!R:R,MATCH(9.99E+307,'Returns (Calc)'!$A:$A)+1)-'Price History'!R3)*(ROW()-3)/(MATCH(9.99E+307,'Returns (Calc)'!$A:$A)-3),"")</f>
        <v>53.6435443037975</v>
      </c>
      <c r="AM117" s="156" t="n">
        <f aca="false">IFERROR('Price History'!S3+(INDEX('Price History'!S:S,MATCH(9.99E+307,'Returns (Calc)'!$A:$A)+1)-'Price History'!S3)*(ROW()-3)/(MATCH(9.99E+307,'Returns (Calc)'!$A:$A)-3),"")</f>
        <v>126.607215189873</v>
      </c>
      <c r="AN117" s="156" t="n">
        <f aca="false">IFERROR('Price History'!T3+(INDEX('Price History'!T:T,MATCH(9.99E+307,'Returns (Calc)'!$A:$A)+1)-'Price History'!T3)*(ROW()-3)/(MATCH(9.99E+307,'Returns (Calc)'!$A:$A)-3),"")</f>
        <v>44.4179746835443</v>
      </c>
      <c r="AO117" s="157" t="n">
        <f aca="false">IFERROR('Price History'!V3+(INDEX('Price History'!V:V,MATCH(9.99E+307,'Returns (Calc)'!$A:$A)+1)-'Price History'!V3)*(ROW()-3)/(MATCH(9.99E+307,'Returns (Calc)'!$A:$A)-3),"")</f>
        <v>325.841518987342</v>
      </c>
      <c r="AP117" s="155" t="n">
        <f aca="false">IFERROR(IF(OR(NOT(ISNUMBER('Price History'!W118)),NOT(ISNUMBER('Price History'!W117)),'Price History'!W117=0),"",'Price History'!W118/'Price History'!W117-1),"")</f>
        <v>0.0380987202925047</v>
      </c>
      <c r="AQ117" s="155" t="str">
        <f aca="false">IFERROR(IF(OR(NOT(ISNUMBER('Price History'!X118)),NOT(ISNUMBER('Price History'!X117)),'Price History'!X117=0),"",'Price History'!X118/'Price History'!X117-1),"")</f>
        <v/>
      </c>
      <c r="AR117" s="155" t="n">
        <f aca="false">IFERROR(IF(OR(NOT(ISNUMBER('Price History'!Y118)),NOT(ISNUMBER('Price History'!Y117)),'Price History'!Y117=0),"",'Price History'!Y118/'Price History'!Y117-1),"")</f>
        <v>0.0233973749286664</v>
      </c>
      <c r="AS117" s="155" t="n">
        <f aca="false">IFERROR(IF(OR(NOT(ISNUMBER('Price History'!Z118)),NOT(ISNUMBER('Price History'!Z117)),'Price History'!Z117=0),"",'Price History'!Z118/'Price History'!Z117-1),"")</f>
        <v>0.0382761751763638</v>
      </c>
      <c r="AT117" s="155" t="n">
        <f aca="false">IFERROR(IF(OR(NOT(ISNUMBER('Price History'!AA118)),NOT(ISNUMBER('Price History'!AA117)),'Price History'!AA117=0),"",'Price History'!AA118/'Price History'!AA117-1),"")</f>
        <v>0.0313488639631867</v>
      </c>
      <c r="AU117" s="155" t="n">
        <f aca="false">IFERROR(IF(OR(NOT(ISNUMBER('Price History'!AB118)),NOT(ISNUMBER('Price History'!AB117)),'Price History'!AB117=0),"",'Price History'!AB118/'Price History'!AB117-1),"")</f>
        <v>-0.0154470212242892</v>
      </c>
    </row>
    <row r="118" customFormat="false" ht="15" hidden="false" customHeight="true" outlineLevel="0" collapsed="false">
      <c r="A118" s="153" t="n">
        <f aca="false">IF('Price History'!A119="","",'Price History'!A119)</f>
        <v>45996</v>
      </c>
      <c r="B118" s="154" t="n">
        <f aca="false">IFERROR(IF(OR(NOT(ISNUMBER('Price History'!B119)),NOT(ISNUMBER('Price History'!B118)),'Price History'!B118=0),"",'Price History'!B119/'Price History'!B118-1),"")</f>
        <v>0.0816230906194357</v>
      </c>
      <c r="C118" s="154" t="n">
        <f aca="false">IFERROR(IF(OR(NOT(ISNUMBER('Price History'!C119)),NOT(ISNUMBER('Price History'!C118)),'Price History'!C118=0),"",'Price History'!C119/'Price History'!C118-1),"")</f>
        <v>-0.015993265993266</v>
      </c>
      <c r="D118" s="154" t="n">
        <f aca="false">IFERROR(IF(OR(NOT(ISNUMBER('Price History'!D119)),NOT(ISNUMBER('Price History'!D118)),'Price History'!D118=0),"",'Price History'!D119/'Price History'!D118-1),"")</f>
        <v>0.0372346980368365</v>
      </c>
      <c r="E118" s="154" t="n">
        <f aca="false">IFERROR(IF(OR(NOT(ISNUMBER('Price History'!E119)),NOT(ISNUMBER('Price History'!E118)),'Price History'!E118=0),"",'Price History'!E119/'Price History'!E118-1),"")</f>
        <v>-0.0315757893947348</v>
      </c>
      <c r="F118" s="154" t="n">
        <f aca="false">IFERROR(IF(OR(NOT(ISNUMBER('Price History'!F119)),NOT(ISNUMBER('Price History'!F118)),'Price History'!F118=0),"",'Price History'!F119/'Price History'!F118-1),"")</f>
        <v>0.00565637520622198</v>
      </c>
      <c r="G118" s="154" t="n">
        <f aca="false">IFERROR(IF(OR(NOT(ISNUMBER('Price History'!G119)),NOT(ISNUMBER('Price History'!G118)),'Price History'!G118=0),"",'Price History'!G119/'Price History'!G118-1),"")</f>
        <v>0.0332166339339084</v>
      </c>
      <c r="H118" s="154" t="n">
        <f aca="false">IFERROR(IF(OR(NOT(ISNUMBER('Price History'!H119)),NOT(ISNUMBER('Price History'!H118)),'Price History'!H118=0),"",'Price History'!H119/'Price History'!H118-1),"")</f>
        <v>0.0031322751322751</v>
      </c>
      <c r="I118" s="154" t="n">
        <f aca="false">IFERROR(IF(OR(NOT(ISNUMBER('Price History'!I119)),NOT(ISNUMBER('Price History'!I118)),'Price History'!I118=0),"",'Price History'!I119/'Price History'!I118-1),"")</f>
        <v>0.0305810397553516</v>
      </c>
      <c r="J118" s="154" t="n">
        <f aca="false">IFERROR(IF(OR(NOT(ISNUMBER('Price History'!J119)),NOT(ISNUMBER('Price History'!J118)),'Price History'!J118=0),"",'Price History'!J119/'Price History'!J118-1),"")</f>
        <v>-0.00433317284545021</v>
      </c>
      <c r="K118" s="154" t="n">
        <f aca="false">IFERROR(IF(OR(NOT(ISNUMBER('Price History'!K119)),NOT(ISNUMBER('Price History'!K118)),'Price History'!K118=0),"",'Price History'!K119/'Price History'!K118-1),"")</f>
        <v>0.0790145443751855</v>
      </c>
      <c r="L118" s="154" t="n">
        <f aca="false">IFERROR(IF(OR(NOT(ISNUMBER('Price History'!L119)),NOT(ISNUMBER('Price History'!L118)),'Price History'!L118=0),"",'Price History'!L119/'Price History'!L118-1),"")</f>
        <v>0.0109893919434239</v>
      </c>
      <c r="M118" s="154" t="n">
        <f aca="false">IFERROR(IF(OR(NOT(ISNUMBER('Price History'!M119)),NOT(ISNUMBER('Price History'!M118)),'Price History'!M118=0),"",'Price History'!M119/'Price History'!M118-1),"")</f>
        <v>0.0516675018094759</v>
      </c>
      <c r="N118" s="154" t="n">
        <f aca="false">IFERROR(IF(OR(NOT(ISNUMBER('Price History'!N119)),NOT(ISNUMBER('Price History'!N118)),'Price History'!N118=0),"",'Price History'!N119/'Price History'!N118-1),"")</f>
        <v>0.0504370286663132</v>
      </c>
      <c r="O118" s="154" t="n">
        <f aca="false">IFERROR(IF(OR(NOT(ISNUMBER('Price History'!O119)),NOT(ISNUMBER('Price History'!O118)),'Price History'!O118=0),"",'Price History'!O119/'Price History'!O118-1),"")</f>
        <v>0.0175333132952611</v>
      </c>
      <c r="P118" s="154" t="n">
        <f aca="false">IFERROR(IF(OR(NOT(ISNUMBER('Price History'!P119)),NOT(ISNUMBER('Price History'!P118)),'Price History'!P118=0),"",'Price History'!P119/'Price History'!P118-1),"")</f>
        <v>-0.0119030442937528</v>
      </c>
      <c r="Q118" s="154" t="n">
        <f aca="false">IFERROR(IF(OR(NOT(ISNUMBER('Price History'!Q119)),NOT(ISNUMBER('Price History'!Q118)),'Price History'!Q118=0),"",'Price History'!Q119/'Price History'!Q118-1),"")</f>
        <v>0.00227928886187501</v>
      </c>
      <c r="R118" s="154" t="n">
        <f aca="false">IFERROR(IF(OR(NOT(ISNUMBER('Price History'!R119)),NOT(ISNUMBER('Price History'!R118)),'Price History'!R118=0),"",'Price History'!R119/'Price History'!R118-1),"")</f>
        <v>0.00966641394996226</v>
      </c>
      <c r="S118" s="154" t="n">
        <f aca="false">IFERROR(IF(OR(NOT(ISNUMBER('Price History'!S119)),NOT(ISNUMBER('Price History'!S118)),'Price History'!S118=0),"",'Price History'!S119/'Price History'!S118-1),"")</f>
        <v>0.00612878851481824</v>
      </c>
      <c r="T118" s="154" t="n">
        <f aca="false">IFERROR(IF(OR(NOT(ISNUMBER('Price History'!T119)),NOT(ISNUMBER('Price History'!T118)),'Price History'!T118=0),"",'Price History'!T119/'Price History'!T118-1),"")</f>
        <v>0.0156168662155127</v>
      </c>
      <c r="U118" s="154" t="n">
        <f aca="false">IFERROR(IF(OR(NOT(ISNUMBER('Price History'!U119)),NOT(ISNUMBER('Price History'!U118)),'Price History'!U118=0),"",'Price History'!U119/'Price History'!U118-1),"")</f>
        <v>0.00412603150787705</v>
      </c>
      <c r="V118" s="155" t="n">
        <f aca="false">IFERROR(IF(OR(NOT(ISNUMBER('Price History'!V119)),NOT(ISNUMBER('Price History'!V118)),'Price History'!V118=0),"",'Price History'!V119/'Price History'!V118-1),"")</f>
        <v>-0.00956563590422332</v>
      </c>
      <c r="W118" s="156" t="n">
        <f aca="false">IFERROR('Price History'!B3+(INDEX('Price History'!B:B,MATCH(9.99E+307,'Returns (Calc)'!$A:$A)+1)-'Price History'!B3)*(ROW()-3)/(MATCH(9.99E+307,'Returns (Calc)'!$A:$A)-3),"")</f>
        <v>316.940632911392</v>
      </c>
      <c r="X118" s="156" t="n">
        <f aca="false">IFERROR('Price History'!C3+(INDEX('Price History'!C:C,MATCH(9.99E+307,'Returns (Calc)'!$A:$A)+1)-'Price History'!C3)*(ROW()-3)/(MATCH(9.99E+307,'Returns (Calc)'!$A:$A)-3),"")</f>
        <v>163.487278481013</v>
      </c>
      <c r="Y118" s="156" t="n">
        <f aca="false">IFERROR('Price History'!D3+(INDEX('Price History'!D:D,MATCH(9.99E+307,'Returns (Calc)'!$A:$A)+1)-'Price History'!D3)*(ROW()-3)/(MATCH(9.99E+307,'Returns (Calc)'!$A:$A)-3),"")</f>
        <v>1517.51316455696</v>
      </c>
      <c r="Z118" s="156" t="n">
        <f aca="false">IFERROR('Price History'!E3+(INDEX('Price History'!E:E,MATCH(9.99E+307,'Returns (Calc)'!$A:$A)+1)-'Price History'!E3)*(ROW()-3)/(MATCH(9.99E+307,'Returns (Calc)'!$A:$A)-3),"")</f>
        <v>280.804430379747</v>
      </c>
      <c r="AA118" s="156" t="n">
        <f aca="false">IFERROR('Price History'!F3+(INDEX('Price History'!F:F,MATCH(9.99E+307,'Returns (Calc)'!$A:$A)+1)-'Price History'!F3)*(ROW()-3)/(MATCH(9.99E+307,'Returns (Calc)'!$A:$A)-3),"")</f>
        <v>207.804303797468</v>
      </c>
      <c r="AB118" s="156" t="n">
        <f aca="false">IFERROR('Price History'!G3+(INDEX('Price History'!G:G,MATCH(9.99E+307,'Returns (Calc)'!$A:$A)+1)-'Price History'!G3)*(ROW()-3)/(MATCH(9.99E+307,'Returns (Calc)'!$A:$A)-3),"")</f>
        <v>162.654430379747</v>
      </c>
      <c r="AC118" s="156" t="n">
        <f aca="false">IFERROR('Price History'!H3+(INDEX('Price History'!H:H,MATCH(9.99E+307,'Returns (Calc)'!$A:$A)+1)-'Price History'!H3)*(ROW()-3)/(MATCH(9.99E+307,'Returns (Calc)'!$A:$A)-3),"")</f>
        <v>801.165063291139</v>
      </c>
      <c r="AD118" s="156" t="n">
        <f aca="false">IFERROR('Price History'!I3+(INDEX('Price History'!I:I,MATCH(9.99E+307,'Returns (Calc)'!$A:$A)+1)-'Price History'!I3)*(ROW()-3)/(MATCH(9.99E+307,'Returns (Calc)'!$A:$A)-3),"")</f>
        <v>182.192151898734</v>
      </c>
      <c r="AE118" s="156" t="n">
        <f aca="false">IFERROR('Price History'!J3+(INDEX('Price History'!J:J,MATCH(9.99E+307,'Returns (Calc)'!$A:$A)+1)-'Price History'!J3)*(ROW()-3)/(MATCH(9.99E+307,'Returns (Calc)'!$A:$A)-3),"")</f>
        <v>124.264367088608</v>
      </c>
      <c r="AF118" s="156" t="n">
        <f aca="false">IFERROR('Price History'!K3+(INDEX('Price History'!K:K,MATCH(9.99E+307,'Returns (Calc)'!$A:$A)+1)-'Price History'!K3)*(ROW()-3)/(MATCH(9.99E+307,'Returns (Calc)'!$A:$A)-3),"")</f>
        <v>141.553417721519</v>
      </c>
      <c r="AG118" s="156" t="n">
        <f aca="false">IFERROR('Price History'!L3+(INDEX('Price History'!L:L,MATCH(9.99E+307,'Returns (Calc)'!$A:$A)+1)-'Price History'!L3)*(ROW()-3)/(MATCH(9.99E+307,'Returns (Calc)'!$A:$A)-3),"")</f>
        <v>367.449050632911</v>
      </c>
      <c r="AH118" s="156" t="n">
        <f aca="false">IFERROR('Price History'!M3+(INDEX('Price History'!M:M,MATCH(9.99E+307,'Returns (Calc)'!$A:$A)+1)-'Price History'!M3)*(ROW()-3)/(MATCH(9.99E+307,'Returns (Calc)'!$A:$A)-3),"")</f>
        <v>193.895949367089</v>
      </c>
      <c r="AI118" s="156" t="n">
        <f aca="false">IFERROR('Price History'!N3+(INDEX('Price History'!N:N,MATCH(9.99E+307,'Returns (Calc)'!$A:$A)+1)-'Price History'!N3)*(ROW()-3)/(MATCH(9.99E+307,'Returns (Calc)'!$A:$A)-3),"")</f>
        <v>462.320569620253</v>
      </c>
      <c r="AJ118" s="156" t="n">
        <f aca="false">IFERROR('Price History'!O3+(INDEX('Price History'!O:O,MATCH(9.99E+307,'Returns (Calc)'!$A:$A)+1)-'Price History'!O3)*(ROW()-3)/(MATCH(9.99E+307,'Returns (Calc)'!$A:$A)-3),"")</f>
        <v>107.859367088608</v>
      </c>
      <c r="AK118" s="156" t="n">
        <f aca="false">IFERROR('Price History'!Q3+(INDEX('Price History'!Q:Q,MATCH(9.99E+307,'Returns (Calc)'!$A:$A)+1)-'Price History'!Q3)*(ROW()-3)/(MATCH(9.99E+307,'Returns (Calc)'!$A:$A)-3),"")</f>
        <v>50.5272151898734</v>
      </c>
      <c r="AL118" s="156" t="n">
        <f aca="false">IFERROR('Price History'!R3+(INDEX('Price History'!R:R,MATCH(9.99E+307,'Returns (Calc)'!$A:$A)+1)-'Price History'!R3)*(ROW()-3)/(MATCH(9.99E+307,'Returns (Calc)'!$A:$A)-3),"")</f>
        <v>53.8116455696203</v>
      </c>
      <c r="AM118" s="156" t="n">
        <f aca="false">IFERROR('Price History'!S3+(INDEX('Price History'!S:S,MATCH(9.99E+307,'Returns (Calc)'!$A:$A)+1)-'Price History'!S3)*(ROW()-3)/(MATCH(9.99E+307,'Returns (Calc)'!$A:$A)-3),"")</f>
        <v>127.212278481013</v>
      </c>
      <c r="AN118" s="156" t="n">
        <f aca="false">IFERROR('Price History'!T3+(INDEX('Price History'!T:T,MATCH(9.99E+307,'Returns (Calc)'!$A:$A)+1)-'Price History'!T3)*(ROW()-3)/(MATCH(9.99E+307,'Returns (Calc)'!$A:$A)-3),"")</f>
        <v>44.5862025316456</v>
      </c>
      <c r="AO118" s="157" t="n">
        <f aca="false">IFERROR('Price History'!V3+(INDEX('Price History'!V:V,MATCH(9.99E+307,'Returns (Calc)'!$A:$A)+1)-'Price History'!V3)*(ROW()-3)/(MATCH(9.99E+307,'Returns (Calc)'!$A:$A)-3),"")</f>
        <v>326.632848101266</v>
      </c>
      <c r="AP118" s="155" t="n">
        <f aca="false">IFERROR(IF(OR(NOT(ISNUMBER('Price History'!W119)),NOT(ISNUMBER('Price History'!W118)),'Price History'!W118=0),"",'Price History'!W119/'Price History'!W118-1),"")</f>
        <v>-0.00154973231896305</v>
      </c>
      <c r="AQ118" s="155" t="str">
        <f aca="false">IFERROR(IF(OR(NOT(ISNUMBER('Price History'!X119)),NOT(ISNUMBER('Price History'!X118)),'Price History'!X118=0),"",'Price History'!X119/'Price History'!X118-1),"")</f>
        <v/>
      </c>
      <c r="AR118" s="155" t="n">
        <f aca="false">IFERROR(IF(OR(NOT(ISNUMBER('Price History'!Y119)),NOT(ISNUMBER('Price History'!Y118)),'Price History'!Y118=0),"",'Price History'!Y119/'Price History'!Y118-1),"")</f>
        <v>-0.00185873605947939</v>
      </c>
      <c r="AS118" s="155" t="n">
        <f aca="false">IFERROR(IF(OR(NOT(ISNUMBER('Price History'!Z119)),NOT(ISNUMBER('Price History'!Z118)),'Price History'!Z118=0),"",'Price History'!Z119/'Price History'!Z118-1),"")</f>
        <v>-0.0486041035990582</v>
      </c>
      <c r="AT118" s="155" t="n">
        <f aca="false">IFERROR(IF(OR(NOT(ISNUMBER('Price History'!AA119)),NOT(ISNUMBER('Price History'!AA118)),'Price History'!AA118=0),"",'Price History'!AA119/'Price History'!AA118-1),"")</f>
        <v>-0.0682282952221603</v>
      </c>
      <c r="AU118" s="155" t="n">
        <f aca="false">IFERROR(IF(OR(NOT(ISNUMBER('Price History'!AB119)),NOT(ISNUMBER('Price History'!AB118)),'Price History'!AB118=0),"",'Price History'!AB119/'Price History'!AB118-1),"")</f>
        <v>0.00711640101543964</v>
      </c>
    </row>
    <row r="119" customFormat="false" ht="15" hidden="false" customHeight="true" outlineLevel="0" collapsed="false">
      <c r="A119" s="153" t="n">
        <f aca="false">IF('Price History'!A120="","",'Price History'!A120)</f>
        <v>46003</v>
      </c>
      <c r="B119" s="154" t="n">
        <f aca="false">IFERROR(IF(OR(NOT(ISNUMBER('Price History'!B120)),NOT(ISNUMBER('Price History'!B119)),'Price History'!B119=0),"",'Price History'!B120/'Price History'!B119-1),"")</f>
        <v>0.0293709928955122</v>
      </c>
      <c r="C119" s="154" t="n">
        <f aca="false">IFERROR(IF(OR(NOT(ISNUMBER('Price History'!C120)),NOT(ISNUMBER('Price History'!C119)),'Price History'!C119=0),"",'Price History'!C120/'Price History'!C119-1),"")</f>
        <v>-0.0297845866708142</v>
      </c>
      <c r="D119" s="154" t="n">
        <f aca="false">IFERROR(IF(OR(NOT(ISNUMBER('Price History'!D120)),NOT(ISNUMBER('Price History'!D119)),'Price History'!D119=0),"",'Price History'!D120/'Price History'!D119-1),"")</f>
        <v>-0.0169345920801308</v>
      </c>
      <c r="E119" s="154" t="n">
        <f aca="false">IFERROR(IF(OR(NOT(ISNUMBER('Price History'!E120)),NOT(ISNUMBER('Price History'!E119)),'Price History'!E119=0),"",'Price History'!E120/'Price History'!E119-1),"")</f>
        <v>-0.0776796778190831</v>
      </c>
      <c r="F119" s="154" t="n">
        <f aca="false">IFERROR(IF(OR(NOT(ISNUMBER('Price History'!F120)),NOT(ISNUMBER('Price History'!F119)),'Price History'!F119=0),"",'Price History'!F120/'Price History'!F119-1),"")</f>
        <v>-0.0142176392469338</v>
      </c>
      <c r="G119" s="154" t="n">
        <f aca="false">IFERROR(IF(OR(NOT(ISNUMBER('Price History'!G120)),NOT(ISNUMBER('Price History'!G119)),'Price History'!G119=0),"",'Price History'!G120/'Price History'!G119-1),"")</f>
        <v>-0.0169421487603305</v>
      </c>
      <c r="H119" s="154" t="n">
        <f aca="false">IFERROR(IF(OR(NOT(ISNUMBER('Price History'!H120)),NOT(ISNUMBER('Price History'!H119)),'Price History'!H119=0),"",'Price History'!H120/'Price History'!H119-1),"")</f>
        <v>0.0164985864382463</v>
      </c>
      <c r="I119" s="154" t="n">
        <f aca="false">IFERROR(IF(OR(NOT(ISNUMBER('Price History'!I120)),NOT(ISNUMBER('Price History'!I119)),'Price History'!I119=0),"",'Price History'!I120/'Price History'!I119-1),"")</f>
        <v>-0.0404989559292228</v>
      </c>
      <c r="J119" s="154" t="n">
        <f aca="false">IFERROR(IF(OR(NOT(ISNUMBER('Price History'!J120)),NOT(ISNUMBER('Price History'!J119)),'Price History'!J119=0),"",'Price History'!J120/'Price History'!J119-1),"")</f>
        <v>0.0172469374597035</v>
      </c>
      <c r="K119" s="154" t="n">
        <f aca="false">IFERROR(IF(OR(NOT(ISNUMBER('Price History'!K120)),NOT(ISNUMBER('Price History'!K119)),'Price History'!K119=0),"",'Price History'!K120/'Price History'!K119-1),"")</f>
        <v>0.00995818661971826</v>
      </c>
      <c r="L119" s="154" t="n">
        <f aca="false">IFERROR(IF(OR(NOT(ISNUMBER('Price History'!L120)),NOT(ISNUMBER('Price History'!L119)),'Price History'!L119=0),"",'Price History'!L120/'Price History'!L119-1),"")</f>
        <v>-0.00641223468093133</v>
      </c>
      <c r="M119" s="154" t="n">
        <f aca="false">IFERROR(IF(OR(NOT(ISNUMBER('Price History'!M120)),NOT(ISNUMBER('Price History'!M119)),'Price History'!M119=0),"",'Price History'!M120/'Price History'!M119-1),"")</f>
        <v>-0.146805018794007</v>
      </c>
      <c r="N119" s="154" t="n">
        <f aca="false">IFERROR(IF(OR(NOT(ISNUMBER('Price History'!N120)),NOT(ISNUMBER('Price History'!N119)),'Price History'!N119=0),"",'Price History'!N120/'Price History'!N119-1),"")</f>
        <v>-0.00755247211732679</v>
      </c>
      <c r="O119" s="154" t="n">
        <f aca="false">IFERROR(IF(OR(NOT(ISNUMBER('Price History'!O120)),NOT(ISNUMBER('Price History'!O119)),'Price History'!O119=0),"",'Price History'!O120/'Price History'!O119-1),"")</f>
        <v>0.0214651437573847</v>
      </c>
      <c r="P119" s="154" t="n">
        <f aca="false">IFERROR(IF(OR(NOT(ISNUMBER('Price History'!P120)),NOT(ISNUMBER('Price History'!P119)),'Price History'!P119=0),"",'Price History'!P120/'Price History'!P119-1),"")</f>
        <v>0.0162079287435204</v>
      </c>
      <c r="Q119" s="154" t="n">
        <f aca="false">IFERROR(IF(OR(NOT(ISNUMBER('Price History'!Q120)),NOT(ISNUMBER('Price History'!Q119)),'Price History'!Q119=0),"",'Price History'!Q120/'Price History'!Q119-1),"")</f>
        <v>-0.00121285627653123</v>
      </c>
      <c r="R119" s="154" t="n">
        <f aca="false">IFERROR(IF(OR(NOT(ISNUMBER('Price History'!R120)),NOT(ISNUMBER('Price History'!R119)),'Price History'!R119=0),"",'Price History'!R120/'Price History'!R119-1),"")</f>
        <v>-0.0108879294161818</v>
      </c>
      <c r="S119" s="154" t="n">
        <f aca="false">IFERROR(IF(OR(NOT(ISNUMBER('Price History'!S120)),NOT(ISNUMBER('Price History'!S119)),'Price History'!S119=0),"",'Price History'!S120/'Price History'!S119-1),"")</f>
        <v>-0.0145193591455275</v>
      </c>
      <c r="T119" s="154" t="n">
        <f aca="false">IFERROR(IF(OR(NOT(ISNUMBER('Price History'!T120)),NOT(ISNUMBER('Price History'!T119)),'Price History'!T119=0),"",'Price History'!T120/'Price History'!T119-1),"")</f>
        <v>0.0107637109174781</v>
      </c>
      <c r="U119" s="154" t="n">
        <f aca="false">IFERROR(IF(OR(NOT(ISNUMBER('Price History'!U120)),NOT(ISNUMBER('Price History'!U119)),'Price History'!U119=0),"",'Price History'!U120/'Price History'!U119-1),"")</f>
        <v>0.00933881210310039</v>
      </c>
      <c r="V119" s="155" t="n">
        <f aca="false">IFERROR(IF(OR(NOT(ISNUMBER('Price History'!V120)),NOT(ISNUMBER('Price History'!V119)),'Price History'!V119=0),"",'Price History'!V120/'Price History'!V119-1),"")</f>
        <v>0.0500820020652373</v>
      </c>
      <c r="W119" s="156" t="n">
        <f aca="false">IFERROR('Price History'!B3+(INDEX('Price History'!B:B,MATCH(9.99E+307,'Returns (Calc)'!$A:$A)+1)-'Price History'!B3)*(ROW()-3)/(MATCH(9.99E+307,'Returns (Calc)'!$A:$A)-3),"")</f>
        <v>315.097594936709</v>
      </c>
      <c r="X119" s="156" t="n">
        <f aca="false">IFERROR('Price History'!C3+(INDEX('Price History'!C:C,MATCH(9.99E+307,'Returns (Calc)'!$A:$A)+1)-'Price History'!C3)*(ROW()-3)/(MATCH(9.99E+307,'Returns (Calc)'!$A:$A)-3),"")</f>
        <v>164.507341772152</v>
      </c>
      <c r="Y119" s="156" t="n">
        <f aca="false">IFERROR('Price History'!D3+(INDEX('Price History'!D:D,MATCH(9.99E+307,'Returns (Calc)'!$A:$A)+1)-'Price History'!D3)*(ROW()-3)/(MATCH(9.99E+307,'Returns (Calc)'!$A:$A)-3),"")</f>
        <v>1525.64797468354</v>
      </c>
      <c r="Z119" s="156" t="n">
        <f aca="false">IFERROR('Price History'!E3+(INDEX('Price History'!E:E,MATCH(9.99E+307,'Returns (Calc)'!$A:$A)+1)-'Price History'!E3)*(ROW()-3)/(MATCH(9.99E+307,'Returns (Calc)'!$A:$A)-3),"")</f>
        <v>282.533164556962</v>
      </c>
      <c r="AA119" s="156" t="n">
        <f aca="false">IFERROR('Price History'!F3+(INDEX('Price History'!F:F,MATCH(9.99E+307,'Returns (Calc)'!$A:$A)+1)-'Price History'!F3)*(ROW()-3)/(MATCH(9.99E+307,'Returns (Calc)'!$A:$A)-3),"")</f>
        <v>209.25164556962</v>
      </c>
      <c r="AB119" s="156" t="n">
        <f aca="false">IFERROR('Price History'!G3+(INDEX('Price History'!G:G,MATCH(9.99E+307,'Returns (Calc)'!$A:$A)+1)-'Price History'!G3)*(ROW()-3)/(MATCH(9.99E+307,'Returns (Calc)'!$A:$A)-3),"")</f>
        <v>163.683164556962</v>
      </c>
      <c r="AC119" s="156" t="n">
        <f aca="false">IFERROR('Price History'!H3+(INDEX('Price History'!H:H,MATCH(9.99E+307,'Returns (Calc)'!$A:$A)+1)-'Price History'!H3)*(ROW()-3)/(MATCH(9.99E+307,'Returns (Calc)'!$A:$A)-3),"")</f>
        <v>807.530759493671</v>
      </c>
      <c r="AD119" s="156" t="n">
        <f aca="false">IFERROR('Price History'!I3+(INDEX('Price History'!I:I,MATCH(9.99E+307,'Returns (Calc)'!$A:$A)+1)-'Price History'!I3)*(ROW()-3)/(MATCH(9.99E+307,'Returns (Calc)'!$A:$A)-3),"")</f>
        <v>183.39582278481</v>
      </c>
      <c r="AE119" s="156" t="n">
        <f aca="false">IFERROR('Price History'!J3+(INDEX('Price History'!J:J,MATCH(9.99E+307,'Returns (Calc)'!$A:$A)+1)-'Price History'!J3)*(ROW()-3)/(MATCH(9.99E+307,'Returns (Calc)'!$A:$A)-3),"")</f>
        <v>124.372405063291</v>
      </c>
      <c r="AF119" s="156" t="n">
        <f aca="false">IFERROR('Price History'!K3+(INDEX('Price History'!K:K,MATCH(9.99E+307,'Returns (Calc)'!$A:$A)+1)-'Price History'!K3)*(ROW()-3)/(MATCH(9.99E+307,'Returns (Calc)'!$A:$A)-3),"")</f>
        <v>142.651012658228</v>
      </c>
      <c r="AG119" s="156" t="n">
        <f aca="false">IFERROR('Price History'!L3+(INDEX('Price History'!L:L,MATCH(9.99E+307,'Returns (Calc)'!$A:$A)+1)-'Price History'!L3)*(ROW()-3)/(MATCH(9.99E+307,'Returns (Calc)'!$A:$A)-3),"")</f>
        <v>369.898607594937</v>
      </c>
      <c r="AH119" s="156" t="n">
        <f aca="false">IFERROR('Price History'!M3+(INDEX('Price History'!M:M,MATCH(9.99E+307,'Returns (Calc)'!$A:$A)+1)-'Price History'!M3)*(ROW()-3)/(MATCH(9.99E+307,'Returns (Calc)'!$A:$A)-3),"")</f>
        <v>195.251392405063</v>
      </c>
      <c r="AI119" s="156" t="n">
        <f aca="false">IFERROR('Price History'!N3+(INDEX('Price History'!N:N,MATCH(9.99E+307,'Returns (Calc)'!$A:$A)+1)-'Price History'!N3)*(ROW()-3)/(MATCH(9.99E+307,'Returns (Calc)'!$A:$A)-3),"")</f>
        <v>463.306835443038</v>
      </c>
      <c r="AJ119" s="156" t="n">
        <f aca="false">IFERROR('Price History'!O3+(INDEX('Price History'!O:O,MATCH(9.99E+307,'Returns (Calc)'!$A:$A)+1)-'Price History'!O3)*(ROW()-3)/(MATCH(9.99E+307,'Returns (Calc)'!$A:$A)-3),"")</f>
        <v>108.142405063291</v>
      </c>
      <c r="AK119" s="156" t="n">
        <f aca="false">IFERROR('Price History'!Q3+(INDEX('Price History'!Q:Q,MATCH(9.99E+307,'Returns (Calc)'!$A:$A)+1)-'Price History'!Q3)*(ROW()-3)/(MATCH(9.99E+307,'Returns (Calc)'!$A:$A)-3),"")</f>
        <v>50.966582278481</v>
      </c>
      <c r="AL119" s="156" t="n">
        <f aca="false">IFERROR('Price History'!R3+(INDEX('Price History'!R:R,MATCH(9.99E+307,'Returns (Calc)'!$A:$A)+1)-'Price History'!R3)*(ROW()-3)/(MATCH(9.99E+307,'Returns (Calc)'!$A:$A)-3),"")</f>
        <v>53.979746835443</v>
      </c>
      <c r="AM119" s="156" t="n">
        <f aca="false">IFERROR('Price History'!S3+(INDEX('Price History'!S:S,MATCH(9.99E+307,'Returns (Calc)'!$A:$A)+1)-'Price History'!S3)*(ROW()-3)/(MATCH(9.99E+307,'Returns (Calc)'!$A:$A)-3),"")</f>
        <v>127.817341772152</v>
      </c>
      <c r="AN119" s="156" t="n">
        <f aca="false">IFERROR('Price History'!T3+(INDEX('Price History'!T:T,MATCH(9.99E+307,'Returns (Calc)'!$A:$A)+1)-'Price History'!T3)*(ROW()-3)/(MATCH(9.99E+307,'Returns (Calc)'!$A:$A)-3),"")</f>
        <v>44.7544303797468</v>
      </c>
      <c r="AO119" s="157" t="n">
        <f aca="false">IFERROR('Price History'!V3+(INDEX('Price History'!V:V,MATCH(9.99E+307,'Returns (Calc)'!$A:$A)+1)-'Price History'!V3)*(ROW()-3)/(MATCH(9.99E+307,'Returns (Calc)'!$A:$A)-3),"")</f>
        <v>327.42417721519</v>
      </c>
      <c r="AP119" s="155" t="n">
        <f aca="false">IFERROR(IF(OR(NOT(ISNUMBER('Price History'!W120)),NOT(ISNUMBER('Price History'!W119)),'Price History'!W119=0),"",'Price History'!W120/'Price History'!W119-1),"")</f>
        <v>0.00550303372371941</v>
      </c>
      <c r="AQ119" s="155" t="str">
        <f aca="false">IFERROR(IF(OR(NOT(ISNUMBER('Price History'!X120)),NOT(ISNUMBER('Price History'!X119)),'Price History'!X119=0),"",'Price History'!X120/'Price History'!X119-1),"")</f>
        <v/>
      </c>
      <c r="AR119" s="155" t="n">
        <f aca="false">IFERROR(IF(OR(NOT(ISNUMBER('Price History'!Y120)),NOT(ISNUMBER('Price History'!Y119)),'Price History'!Y119=0),"",'Price History'!Y120/'Price History'!Y119-1),"")</f>
        <v>0.0052141527001861</v>
      </c>
      <c r="AS119" s="155" t="n">
        <f aca="false">IFERROR(IF(OR(NOT(ISNUMBER('Price History'!Z120)),NOT(ISNUMBER('Price History'!Z119)),'Price History'!Z119=0),"",'Price History'!Z120/'Price History'!Z119-1),"")</f>
        <v>0.0558953508926994</v>
      </c>
      <c r="AT119" s="155" t="n">
        <f aca="false">IFERROR(IF(OR(NOT(ISNUMBER('Price History'!AA120)),NOT(ISNUMBER('Price History'!AA119)),'Price History'!AA119=0),"",'Price History'!AA120/'Price History'!AA119-1),"")</f>
        <v>-0.0503790901835595</v>
      </c>
      <c r="AU119" s="155" t="n">
        <f aca="false">IFERROR(IF(OR(NOT(ISNUMBER('Price History'!AB120)),NOT(ISNUMBER('Price History'!AB119)),'Price History'!AB119=0),"",'Price History'!AB120/'Price History'!AB119-1),"")</f>
        <v>-0.0774380165289257</v>
      </c>
    </row>
    <row r="120" customFormat="false" ht="15" hidden="false" customHeight="true" outlineLevel="0" collapsed="false">
      <c r="A120" s="153" t="n">
        <f aca="false">IF('Price History'!A121="","",'Price History'!A121)</f>
        <v>46010</v>
      </c>
      <c r="B120" s="154" t="n">
        <f aca="false">IFERROR(IF(OR(NOT(ISNUMBER('Price History'!B121)),NOT(ISNUMBER('Price History'!B120)),'Price History'!B120=0),"",'Price History'!B121/'Price History'!B120-1),"")</f>
        <v>-0.00159919198720648</v>
      </c>
      <c r="C120" s="154" t="n">
        <f aca="false">IFERROR(IF(OR(NOT(ISNUMBER('Price History'!C121)),NOT(ISNUMBER('Price History'!C120)),'Price History'!C120=0),"",'Price History'!C121/'Price History'!C120-1),"")</f>
        <v>0.0509778775248477</v>
      </c>
      <c r="D120" s="154" t="n">
        <f aca="false">IFERROR(IF(OR(NOT(ISNUMBER('Price History'!D121)),NOT(ISNUMBER('Price History'!D120)),'Price History'!D120=0),"",'Price History'!D121/'Price History'!D120-1),"")</f>
        <v>-0.0229715156923993</v>
      </c>
      <c r="E120" s="154" t="n">
        <f aca="false">IFERROR(IF(OR(NOT(ISNUMBER('Price History'!E121)),NOT(ISNUMBER('Price History'!E120)),'Price History'!E120=0),"",'Price History'!E121/'Price History'!E120-1),"")</f>
        <v>-0.0543566490329441</v>
      </c>
      <c r="F120" s="154" t="n">
        <f aca="false">IFERROR(IF(OR(NOT(ISNUMBER('Price History'!F121)),NOT(ISNUMBER('Price History'!F120)),'Price History'!F120=0),"",'Price History'!F121/'Price History'!F120-1),"")</f>
        <v>-0.0465171566685158</v>
      </c>
      <c r="G120" s="154" t="n">
        <f aca="false">IFERROR(IF(OR(NOT(ISNUMBER('Price History'!G121)),NOT(ISNUMBER('Price History'!G120)),'Price History'!G120=0),"",'Price History'!G121/'Price History'!G120-1),"")</f>
        <v>0.0433795712484237</v>
      </c>
      <c r="H120" s="154" t="n">
        <f aca="false">IFERROR(IF(OR(NOT(ISNUMBER('Price History'!H121)),NOT(ISNUMBER('Price History'!H120)),'Price History'!H120=0),"",'Price History'!H121/'Price History'!H120-1),"")</f>
        <v>0.102781237027813</v>
      </c>
      <c r="I120" s="154" t="n">
        <f aca="false">IFERROR(IF(OR(NOT(ISNUMBER('Price History'!I121)),NOT(ISNUMBER('Price History'!I120)),'Price History'!I120=0),"",'Price History'!I121/'Price History'!I120-1),"")</f>
        <v>0.0341332111562911</v>
      </c>
      <c r="J120" s="154" t="n">
        <f aca="false">IFERROR(IF(OR(NOT(ISNUMBER('Price History'!J121)),NOT(ISNUMBER('Price History'!J120)),'Price History'!J120=0),"",'Price History'!J121/'Price History'!J120-1),"")</f>
        <v>-0.0150530819204564</v>
      </c>
      <c r="K120" s="154" t="n">
        <f aca="false">IFERROR(IF(OR(NOT(ISNUMBER('Price History'!K121)),NOT(ISNUMBER('Price History'!K120)),'Price History'!K120=0),"",'Price History'!K121/'Price History'!K120-1),"")</f>
        <v>0.0534401045922537</v>
      </c>
      <c r="L120" s="154" t="n">
        <f aca="false">IFERROR(IF(OR(NOT(ISNUMBER('Price History'!L121)),NOT(ISNUMBER('Price History'!L120)),'Price History'!L120=0),"",'Price History'!L121/'Price History'!L120-1),"")</f>
        <v>-0.0105604638321369</v>
      </c>
      <c r="M120" s="154" t="n">
        <f aca="false">IFERROR(IF(OR(NOT(ISNUMBER('Price History'!M121)),NOT(ISNUMBER('Price History'!M120)),'Price History'!M120=0),"",'Price History'!M121/'Price History'!M120-1),"")</f>
        <v>-0.00899726979399351</v>
      </c>
      <c r="N120" s="154" t="n">
        <f aca="false">IFERROR(IF(OR(NOT(ISNUMBER('Price History'!N121)),NOT(ISNUMBER('Price History'!N120)),'Price History'!N120=0),"",'Price History'!N121/'Price History'!N120-1),"")</f>
        <v>0.00920272542252887</v>
      </c>
      <c r="O120" s="154" t="n">
        <f aca="false">IFERROR(IF(OR(NOT(ISNUMBER('Price History'!O121)),NOT(ISNUMBER('Price History'!O120)),'Price History'!O120=0),"",'Price History'!O121/'Price History'!O120-1),"")</f>
        <v>-0.00906111432427215</v>
      </c>
      <c r="P120" s="154" t="n">
        <f aca="false">IFERROR(IF(OR(NOT(ISNUMBER('Price History'!P121)),NOT(ISNUMBER('Price History'!P120)),'Price History'!P120=0),"",'Price History'!P121/'Price History'!P120-1),"")</f>
        <v>-0.00459803146777771</v>
      </c>
      <c r="Q120" s="154" t="n">
        <f aca="false">IFERROR(IF(OR(NOT(ISNUMBER('Price History'!Q121)),NOT(ISNUMBER('Price History'!Q120)),'Price History'!Q120=0),"",'Price History'!Q121/'Price History'!Q120-1),"")</f>
        <v>0.00227686703096541</v>
      </c>
      <c r="R120" s="154" t="n">
        <f aca="false">IFERROR(IF(OR(NOT(ISNUMBER('Price History'!R121)),NOT(ISNUMBER('Price History'!R120)),'Price History'!R120=0),"",'Price History'!R121/'Price History'!R120-1),"")</f>
        <v>0.00740178401973801</v>
      </c>
      <c r="S120" s="154" t="n">
        <f aca="false">IFERROR(IF(OR(NOT(ISNUMBER('Price History'!S121)),NOT(ISNUMBER('Price History'!S120)),'Price History'!S120=0),"",'Price History'!S121/'Price History'!S120-1),"")</f>
        <v>0.0036409822184591</v>
      </c>
      <c r="T120" s="154" t="n">
        <f aca="false">IFERROR(IF(OR(NOT(ISNUMBER('Price History'!T121)),NOT(ISNUMBER('Price History'!T120)),'Price History'!T120=0),"",'Price History'!T121/'Price History'!T120-1),"")</f>
        <v>-0.00431034482758608</v>
      </c>
      <c r="U120" s="154" t="n">
        <f aca="false">IFERROR(IF(OR(NOT(ISNUMBER('Price History'!U121)),NOT(ISNUMBER('Price History'!U120)),'Price History'!U120=0),"",'Price History'!U121/'Price History'!U120-1),"")</f>
        <v>-0.00814211695040712</v>
      </c>
      <c r="V120" s="155" t="n">
        <f aca="false">IFERROR(IF(OR(NOT(ISNUMBER('Price History'!V121)),NOT(ISNUMBER('Price History'!V120)),'Price History'!V120=0),"",'Price History'!V121/'Price History'!V120-1),"")</f>
        <v>0.00410701373825018</v>
      </c>
      <c r="W120" s="156" t="n">
        <f aca="false">IFERROR('Price History'!B3+(INDEX('Price History'!B:B,MATCH(9.99E+307,'Returns (Calc)'!$A:$A)+1)-'Price History'!B3)*(ROW()-3)/(MATCH(9.99E+307,'Returns (Calc)'!$A:$A)-3),"")</f>
        <v>313.254556962025</v>
      </c>
      <c r="X120" s="156" t="n">
        <f aca="false">IFERROR('Price History'!C3+(INDEX('Price History'!C:C,MATCH(9.99E+307,'Returns (Calc)'!$A:$A)+1)-'Price History'!C3)*(ROW()-3)/(MATCH(9.99E+307,'Returns (Calc)'!$A:$A)-3),"")</f>
        <v>165.527405063291</v>
      </c>
      <c r="Y120" s="156" t="n">
        <f aca="false">IFERROR('Price History'!D3+(INDEX('Price History'!D:D,MATCH(9.99E+307,'Returns (Calc)'!$A:$A)+1)-'Price History'!D3)*(ROW()-3)/(MATCH(9.99E+307,'Returns (Calc)'!$A:$A)-3),"")</f>
        <v>1533.78278481013</v>
      </c>
      <c r="Z120" s="156" t="n">
        <f aca="false">IFERROR('Price History'!E3+(INDEX('Price History'!E:E,MATCH(9.99E+307,'Returns (Calc)'!$A:$A)+1)-'Price History'!E3)*(ROW()-3)/(MATCH(9.99E+307,'Returns (Calc)'!$A:$A)-3),"")</f>
        <v>284.261898734177</v>
      </c>
      <c r="AA120" s="156" t="n">
        <f aca="false">IFERROR('Price History'!F3+(INDEX('Price History'!F:F,MATCH(9.99E+307,'Returns (Calc)'!$A:$A)+1)-'Price History'!F3)*(ROW()-3)/(MATCH(9.99E+307,'Returns (Calc)'!$A:$A)-3),"")</f>
        <v>210.698987341772</v>
      </c>
      <c r="AB120" s="156" t="n">
        <f aca="false">IFERROR('Price History'!G3+(INDEX('Price History'!G:G,MATCH(9.99E+307,'Returns (Calc)'!$A:$A)+1)-'Price History'!G3)*(ROW()-3)/(MATCH(9.99E+307,'Returns (Calc)'!$A:$A)-3),"")</f>
        <v>164.711898734177</v>
      </c>
      <c r="AC120" s="156" t="n">
        <f aca="false">IFERROR('Price History'!H3+(INDEX('Price History'!H:H,MATCH(9.99E+307,'Returns (Calc)'!$A:$A)+1)-'Price History'!H3)*(ROW()-3)/(MATCH(9.99E+307,'Returns (Calc)'!$A:$A)-3),"")</f>
        <v>813.896455696203</v>
      </c>
      <c r="AD120" s="156" t="n">
        <f aca="false">IFERROR('Price History'!I3+(INDEX('Price History'!I:I,MATCH(9.99E+307,'Returns (Calc)'!$A:$A)+1)-'Price History'!I3)*(ROW()-3)/(MATCH(9.99E+307,'Returns (Calc)'!$A:$A)-3),"")</f>
        <v>184.599493670886</v>
      </c>
      <c r="AE120" s="156" t="n">
        <f aca="false">IFERROR('Price History'!J3+(INDEX('Price History'!J:J,MATCH(9.99E+307,'Returns (Calc)'!$A:$A)+1)-'Price History'!J3)*(ROW()-3)/(MATCH(9.99E+307,'Returns (Calc)'!$A:$A)-3),"")</f>
        <v>124.480443037975</v>
      </c>
      <c r="AF120" s="156" t="n">
        <f aca="false">IFERROR('Price History'!K3+(INDEX('Price History'!K:K,MATCH(9.99E+307,'Returns (Calc)'!$A:$A)+1)-'Price History'!K3)*(ROW()-3)/(MATCH(9.99E+307,'Returns (Calc)'!$A:$A)-3),"")</f>
        <v>143.748607594937</v>
      </c>
      <c r="AG120" s="156" t="n">
        <f aca="false">IFERROR('Price History'!L3+(INDEX('Price History'!L:L,MATCH(9.99E+307,'Returns (Calc)'!$A:$A)+1)-'Price History'!L3)*(ROW()-3)/(MATCH(9.99E+307,'Returns (Calc)'!$A:$A)-3),"")</f>
        <v>372.348164556962</v>
      </c>
      <c r="AH120" s="156" t="n">
        <f aca="false">IFERROR('Price History'!M3+(INDEX('Price History'!M:M,MATCH(9.99E+307,'Returns (Calc)'!$A:$A)+1)-'Price History'!M3)*(ROW()-3)/(MATCH(9.99E+307,'Returns (Calc)'!$A:$A)-3),"")</f>
        <v>196.606835443038</v>
      </c>
      <c r="AI120" s="156" t="n">
        <f aca="false">IFERROR('Price History'!N3+(INDEX('Price History'!N:N,MATCH(9.99E+307,'Returns (Calc)'!$A:$A)+1)-'Price History'!N3)*(ROW()-3)/(MATCH(9.99E+307,'Returns (Calc)'!$A:$A)-3),"")</f>
        <v>464.293101265823</v>
      </c>
      <c r="AJ120" s="156" t="n">
        <f aca="false">IFERROR('Price History'!O3+(INDEX('Price History'!O:O,MATCH(9.99E+307,'Returns (Calc)'!$A:$A)+1)-'Price History'!O3)*(ROW()-3)/(MATCH(9.99E+307,'Returns (Calc)'!$A:$A)-3),"")</f>
        <v>108.425443037975</v>
      </c>
      <c r="AK120" s="156" t="n">
        <f aca="false">IFERROR('Price History'!Q3+(INDEX('Price History'!Q:Q,MATCH(9.99E+307,'Returns (Calc)'!$A:$A)+1)-'Price History'!Q3)*(ROW()-3)/(MATCH(9.99E+307,'Returns (Calc)'!$A:$A)-3),"")</f>
        <v>51.4059493670886</v>
      </c>
      <c r="AL120" s="156" t="n">
        <f aca="false">IFERROR('Price History'!R3+(INDEX('Price History'!R:R,MATCH(9.99E+307,'Returns (Calc)'!$A:$A)+1)-'Price History'!R3)*(ROW()-3)/(MATCH(9.99E+307,'Returns (Calc)'!$A:$A)-3),"")</f>
        <v>54.1478481012658</v>
      </c>
      <c r="AM120" s="156" t="n">
        <f aca="false">IFERROR('Price History'!S3+(INDEX('Price History'!S:S,MATCH(9.99E+307,'Returns (Calc)'!$A:$A)+1)-'Price History'!S3)*(ROW()-3)/(MATCH(9.99E+307,'Returns (Calc)'!$A:$A)-3),"")</f>
        <v>128.422405063291</v>
      </c>
      <c r="AN120" s="156" t="n">
        <f aca="false">IFERROR('Price History'!T3+(INDEX('Price History'!T:T,MATCH(9.99E+307,'Returns (Calc)'!$A:$A)+1)-'Price History'!T3)*(ROW()-3)/(MATCH(9.99E+307,'Returns (Calc)'!$A:$A)-3),"")</f>
        <v>44.9226582278481</v>
      </c>
      <c r="AO120" s="157" t="n">
        <f aca="false">IFERROR('Price History'!V3+(INDEX('Price History'!V:V,MATCH(9.99E+307,'Returns (Calc)'!$A:$A)+1)-'Price History'!V3)*(ROW()-3)/(MATCH(9.99E+307,'Returns (Calc)'!$A:$A)-3),"")</f>
        <v>328.215506329114</v>
      </c>
      <c r="AP120" s="155" t="n">
        <f aca="false">IFERROR(IF(OR(NOT(ISNUMBER('Price History'!W121)),NOT(ISNUMBER('Price History'!W120)),'Price History'!W120=0),"",'Price History'!W121/'Price History'!W120-1),"")</f>
        <v>-0.0118579848442324</v>
      </c>
      <c r="AQ120" s="155" t="str">
        <f aca="false">IFERROR(IF(OR(NOT(ISNUMBER('Price History'!X121)),NOT(ISNUMBER('Price History'!X120)),'Price History'!X120=0),"",'Price History'!X121/'Price History'!X120-1),"")</f>
        <v/>
      </c>
      <c r="AR120" s="155" t="n">
        <f aca="false">IFERROR(IF(OR(NOT(ISNUMBER('Price History'!Y121)),NOT(ISNUMBER('Price History'!Y120)),'Price History'!Y120=0),"",'Price History'!Y121/'Price History'!Y120-1),"")</f>
        <v>-0.00333456835865131</v>
      </c>
      <c r="AS120" s="155" t="n">
        <f aca="false">IFERROR(IF(OR(NOT(ISNUMBER('Price History'!Z121)),NOT(ISNUMBER('Price History'!Z120)),'Price History'!Z120=0),"",'Price History'!Z121/'Price History'!Z120-1),"")</f>
        <v>0.0246768901091541</v>
      </c>
      <c r="AT120" s="155" t="n">
        <f aca="false">IFERROR(IF(OR(NOT(ISNUMBER('Price History'!AA121)),NOT(ISNUMBER('Price History'!AA120)),'Price History'!AA120=0),"",'Price History'!AA121/'Price History'!AA120-1),"")</f>
        <v>-0.00840424414329233</v>
      </c>
      <c r="AU120" s="155" t="n">
        <f aca="false">IFERROR(IF(OR(NOT(ISNUMBER('Price History'!AB121)),NOT(ISNUMBER('Price History'!AB120)),'Price History'!AB120=0),"",'Price History'!AB121/'Price History'!AB120-1),"")</f>
        <v>-0.00627071575741278</v>
      </c>
    </row>
    <row r="121" customFormat="false" ht="15" hidden="false" customHeight="true" outlineLevel="0" collapsed="false">
      <c r="A121" s="153" t="n">
        <f aca="false">IF('Price History'!A122="","",'Price History'!A122)</f>
        <v>46017</v>
      </c>
      <c r="B121" s="154" t="n">
        <f aca="false">IFERROR(IF(OR(NOT(ISNUMBER('Price History'!B122)),NOT(ISNUMBER('Price History'!B121)),'Price History'!B121=0),"",'Price History'!B122/'Price History'!B121-1),"")</f>
        <v>-0.00578879334569771</v>
      </c>
      <c r="C121" s="154" t="n">
        <f aca="false">IFERROR(IF(OR(NOT(ISNUMBER('Price History'!C122)),NOT(ISNUMBER('Price History'!C121)),'Price History'!C121=0),"",'Price History'!C122/'Price History'!C121-1),"")</f>
        <v>0.00549115314215976</v>
      </c>
      <c r="D121" s="154" t="n">
        <f aca="false">IFERROR(IF(OR(NOT(ISNUMBER('Price History'!D122)),NOT(ISNUMBER('Price History'!D121)),'Price History'!D121=0),"",'Price History'!D122/'Price History'!D121-1),"")</f>
        <v>0.0158425073979276</v>
      </c>
      <c r="E121" s="154" t="n">
        <f aca="false">IFERROR(IF(OR(NOT(ISNUMBER('Price History'!E122)),NOT(ISNUMBER('Price History'!E121)),'Price History'!E121=0),"",'Price History'!E122/'Price History'!E121-1),"")</f>
        <v>0.0365546840313749</v>
      </c>
      <c r="F121" s="154" t="n">
        <f aca="false">IFERROR(IF(OR(NOT(ISNUMBER('Price History'!F122)),NOT(ISNUMBER('Price History'!F121)),'Price History'!F121=0),"",'Price History'!F122/'Price History'!F121-1),"")</f>
        <v>-0.000166223404255317</v>
      </c>
      <c r="G121" s="154" t="n">
        <f aca="false">IFERROR(IF(OR(NOT(ISNUMBER('Price History'!G122)),NOT(ISNUMBER('Price History'!G121)),'Price History'!G121=0),"",'Price History'!G122/'Price History'!G121-1),"")</f>
        <v>0.0272339054064943</v>
      </c>
      <c r="H121" s="154" t="n">
        <f aca="false">IFERROR(IF(OR(NOT(ISNUMBER('Price History'!H122)),NOT(ISNUMBER('Price History'!H121)),'Price History'!H121=0),"",'Price History'!H122/'Price History'!H121-1),"")</f>
        <v>0.0709553564706766</v>
      </c>
      <c r="I121" s="154" t="n">
        <f aca="false">IFERROR(IF(OR(NOT(ISNUMBER('Price History'!I122)),NOT(ISNUMBER('Price History'!I121)),'Price History'!I121=0),"",'Price History'!I122/'Price History'!I121-1),"")</f>
        <v>0.0527219360912665</v>
      </c>
      <c r="J121" s="154" t="n">
        <f aca="false">IFERROR(IF(OR(NOT(ISNUMBER('Price History'!J122)),NOT(ISNUMBER('Price History'!J121)),'Price History'!J121=0),"",'Price History'!J122/'Price History'!J121-1),"")</f>
        <v>0.0115830115830118</v>
      </c>
      <c r="K121" s="154" t="n">
        <f aca="false">IFERROR(IF(OR(NOT(ISNUMBER('Price History'!K122)),NOT(ISNUMBER('Price History'!K121)),'Price History'!K121=0),"",'Price History'!K122/'Price History'!K121-1),"")</f>
        <v>-0.0241493432619712</v>
      </c>
      <c r="L121" s="154" t="n">
        <f aca="false">IFERROR(IF(OR(NOT(ISNUMBER('Price History'!L122)),NOT(ISNUMBER('Price History'!L121)),'Price History'!L121=0),"",'Price History'!L122/'Price History'!L121-1),"")</f>
        <v>0.0480641785838858</v>
      </c>
      <c r="M121" s="154" t="n">
        <f aca="false">IFERROR(IF(OR(NOT(ISNUMBER('Price History'!M122)),NOT(ISNUMBER('Price History'!M121)),'Price History'!M121=0),"",'Price History'!M122/'Price History'!M121-1),"")</f>
        <v>0.0485254523824432</v>
      </c>
      <c r="N121" s="154" t="n">
        <f aca="false">IFERROR(IF(OR(NOT(ISNUMBER('Price History'!N122)),NOT(ISNUMBER('Price History'!N121)),'Price History'!N121=0),"",'Price History'!N122/'Price History'!N121-1),"")</f>
        <v>0.0146865409907935</v>
      </c>
      <c r="O121" s="154" t="n">
        <f aca="false">IFERROR(IF(OR(NOT(ISNUMBER('Price History'!O122)),NOT(ISNUMBER('Price History'!O121)),'Price History'!O121=0),"",'Price History'!O122/'Price History'!O121-1),"")</f>
        <v>-0.000875486381322954</v>
      </c>
      <c r="P121" s="154" t="n">
        <f aca="false">IFERROR(IF(OR(NOT(ISNUMBER('Price History'!P122)),NOT(ISNUMBER('Price History'!P121)),'Price History'!P121=0),"",'Price History'!P122/'Price History'!P121-1),"")</f>
        <v>0.00526885600866112</v>
      </c>
      <c r="Q121" s="154" t="n">
        <f aca="false">IFERROR(IF(OR(NOT(ISNUMBER('Price History'!Q122)),NOT(ISNUMBER('Price History'!Q121)),'Price History'!Q121=0),"",'Price History'!Q122/'Price History'!Q121-1),"")</f>
        <v>0.0106012418597607</v>
      </c>
      <c r="R121" s="154" t="n">
        <f aca="false">IFERROR(IF(OR(NOT(ISNUMBER('Price History'!R122)),NOT(ISNUMBER('Price History'!R121)),'Price History'!R121=0),"",'Price History'!R122/'Price History'!R121-1),"")</f>
        <v>0.0124340617935192</v>
      </c>
      <c r="S121" s="154" t="n">
        <f aca="false">IFERROR(IF(OR(NOT(ISNUMBER('Price History'!S122)),NOT(ISNUMBER('Price History'!S121)),'Price History'!S121=0),"",'Price History'!S122/'Price History'!S121-1),"")</f>
        <v>0.0179701341432548</v>
      </c>
      <c r="T121" s="154" t="n">
        <f aca="false">IFERROR(IF(OR(NOT(ISNUMBER('Price History'!T122)),NOT(ISNUMBER('Price History'!T121)),'Price History'!T121=0),"",'Price History'!T122/'Price History'!T121-1),"")</f>
        <v>0.00662083015024195</v>
      </c>
      <c r="U121" s="154" t="n">
        <f aca="false">IFERROR(IF(OR(NOT(ISNUMBER('Price History'!U122)),NOT(ISNUMBER('Price History'!U121)),'Price History'!U121=0),"",'Price History'!U122/'Price History'!U121-1),"")</f>
        <v>0.00671641791044775</v>
      </c>
      <c r="V121" s="155" t="n">
        <f aca="false">IFERROR(IF(OR(NOT(ISNUMBER('Price History'!V122)),NOT(ISNUMBER('Price History'!V121)),'Price History'!V121=0),"",'Price History'!V122/'Price History'!V121-1),"")</f>
        <v>0.0164472736699599</v>
      </c>
      <c r="W121" s="156" t="n">
        <f aca="false">IFERROR('Price History'!B3+(INDEX('Price History'!B:B,MATCH(9.99E+307,'Returns (Calc)'!$A:$A)+1)-'Price History'!B3)*(ROW()-3)/(MATCH(9.99E+307,'Returns (Calc)'!$A:$A)-3),"")</f>
        <v>311.411518987342</v>
      </c>
      <c r="X121" s="156" t="n">
        <f aca="false">IFERROR('Price History'!C3+(INDEX('Price History'!C:C,MATCH(9.99E+307,'Returns (Calc)'!$A:$A)+1)-'Price History'!C3)*(ROW()-3)/(MATCH(9.99E+307,'Returns (Calc)'!$A:$A)-3),"")</f>
        <v>166.54746835443</v>
      </c>
      <c r="Y121" s="156" t="n">
        <f aca="false">IFERROR('Price History'!D3+(INDEX('Price History'!D:D,MATCH(9.99E+307,'Returns (Calc)'!$A:$A)+1)-'Price History'!D3)*(ROW()-3)/(MATCH(9.99E+307,'Returns (Calc)'!$A:$A)-3),"")</f>
        <v>1541.91759493671</v>
      </c>
      <c r="Z121" s="156" t="n">
        <f aca="false">IFERROR('Price History'!E3+(INDEX('Price History'!E:E,MATCH(9.99E+307,'Returns (Calc)'!$A:$A)+1)-'Price History'!E3)*(ROW()-3)/(MATCH(9.99E+307,'Returns (Calc)'!$A:$A)-3),"")</f>
        <v>285.990632911392</v>
      </c>
      <c r="AA121" s="156" t="n">
        <f aca="false">IFERROR('Price History'!F3+(INDEX('Price History'!F:F,MATCH(9.99E+307,'Returns (Calc)'!$A:$A)+1)-'Price History'!F3)*(ROW()-3)/(MATCH(9.99E+307,'Returns (Calc)'!$A:$A)-3),"")</f>
        <v>212.146329113924</v>
      </c>
      <c r="AB121" s="156" t="n">
        <f aca="false">IFERROR('Price History'!G3+(INDEX('Price History'!G:G,MATCH(9.99E+307,'Returns (Calc)'!$A:$A)+1)-'Price History'!G3)*(ROW()-3)/(MATCH(9.99E+307,'Returns (Calc)'!$A:$A)-3),"")</f>
        <v>165.740632911392</v>
      </c>
      <c r="AC121" s="156" t="n">
        <f aca="false">IFERROR('Price History'!H3+(INDEX('Price History'!H:H,MATCH(9.99E+307,'Returns (Calc)'!$A:$A)+1)-'Price History'!H3)*(ROW()-3)/(MATCH(9.99E+307,'Returns (Calc)'!$A:$A)-3),"")</f>
        <v>820.262151898734</v>
      </c>
      <c r="AD121" s="156" t="n">
        <f aca="false">IFERROR('Price History'!I3+(INDEX('Price History'!I:I,MATCH(9.99E+307,'Returns (Calc)'!$A:$A)+1)-'Price History'!I3)*(ROW()-3)/(MATCH(9.99E+307,'Returns (Calc)'!$A:$A)-3),"")</f>
        <v>185.803164556962</v>
      </c>
      <c r="AE121" s="156" t="n">
        <f aca="false">IFERROR('Price History'!J3+(INDEX('Price History'!J:J,MATCH(9.99E+307,'Returns (Calc)'!$A:$A)+1)-'Price History'!J3)*(ROW()-3)/(MATCH(9.99E+307,'Returns (Calc)'!$A:$A)-3),"")</f>
        <v>124.588481012658</v>
      </c>
      <c r="AF121" s="156" t="n">
        <f aca="false">IFERROR('Price History'!K3+(INDEX('Price History'!K:K,MATCH(9.99E+307,'Returns (Calc)'!$A:$A)+1)-'Price History'!K3)*(ROW()-3)/(MATCH(9.99E+307,'Returns (Calc)'!$A:$A)-3),"")</f>
        <v>144.846202531646</v>
      </c>
      <c r="AG121" s="156" t="n">
        <f aca="false">IFERROR('Price History'!L3+(INDEX('Price History'!L:L,MATCH(9.99E+307,'Returns (Calc)'!$A:$A)+1)-'Price History'!L3)*(ROW()-3)/(MATCH(9.99E+307,'Returns (Calc)'!$A:$A)-3),"")</f>
        <v>374.797721518987</v>
      </c>
      <c r="AH121" s="156" t="n">
        <f aca="false">IFERROR('Price History'!M3+(INDEX('Price History'!M:M,MATCH(9.99E+307,'Returns (Calc)'!$A:$A)+1)-'Price History'!M3)*(ROW()-3)/(MATCH(9.99E+307,'Returns (Calc)'!$A:$A)-3),"")</f>
        <v>197.962278481013</v>
      </c>
      <c r="AI121" s="156" t="n">
        <f aca="false">IFERROR('Price History'!N3+(INDEX('Price History'!N:N,MATCH(9.99E+307,'Returns (Calc)'!$A:$A)+1)-'Price History'!N3)*(ROW()-3)/(MATCH(9.99E+307,'Returns (Calc)'!$A:$A)-3),"")</f>
        <v>465.279367088608</v>
      </c>
      <c r="AJ121" s="156" t="n">
        <f aca="false">IFERROR('Price History'!O3+(INDEX('Price History'!O:O,MATCH(9.99E+307,'Returns (Calc)'!$A:$A)+1)-'Price History'!O3)*(ROW()-3)/(MATCH(9.99E+307,'Returns (Calc)'!$A:$A)-3),"")</f>
        <v>108.708481012658</v>
      </c>
      <c r="AK121" s="156" t="n">
        <f aca="false">IFERROR('Price History'!Q3+(INDEX('Price History'!Q:Q,MATCH(9.99E+307,'Returns (Calc)'!$A:$A)+1)-'Price History'!Q3)*(ROW()-3)/(MATCH(9.99E+307,'Returns (Calc)'!$A:$A)-3),"")</f>
        <v>51.8453164556962</v>
      </c>
      <c r="AL121" s="156" t="n">
        <f aca="false">IFERROR('Price History'!R3+(INDEX('Price History'!R:R,MATCH(9.99E+307,'Returns (Calc)'!$A:$A)+1)-'Price History'!R3)*(ROW()-3)/(MATCH(9.99E+307,'Returns (Calc)'!$A:$A)-3),"")</f>
        <v>54.3159493670886</v>
      </c>
      <c r="AM121" s="156" t="n">
        <f aca="false">IFERROR('Price History'!S3+(INDEX('Price History'!S:S,MATCH(9.99E+307,'Returns (Calc)'!$A:$A)+1)-'Price History'!S3)*(ROW()-3)/(MATCH(9.99E+307,'Returns (Calc)'!$A:$A)-3),"")</f>
        <v>129.02746835443</v>
      </c>
      <c r="AN121" s="156" t="n">
        <f aca="false">IFERROR('Price History'!T3+(INDEX('Price History'!T:T,MATCH(9.99E+307,'Returns (Calc)'!$A:$A)+1)-'Price History'!T3)*(ROW()-3)/(MATCH(9.99E+307,'Returns (Calc)'!$A:$A)-3),"")</f>
        <v>45.0908860759494</v>
      </c>
      <c r="AO121" s="157" t="n">
        <f aca="false">IFERROR('Price History'!V3+(INDEX('Price History'!V:V,MATCH(9.99E+307,'Returns (Calc)'!$A:$A)+1)-'Price History'!V3)*(ROW()-3)/(MATCH(9.99E+307,'Returns (Calc)'!$A:$A)-3),"")</f>
        <v>329.006835443038</v>
      </c>
      <c r="AP121" s="155" t="n">
        <f aca="false">IFERROR(IF(OR(NOT(ISNUMBER('Price History'!W122)),NOT(ISNUMBER('Price History'!W121)),'Price History'!W121=0),"",'Price History'!W122/'Price History'!W121-1),"")</f>
        <v>0.0122843144216431</v>
      </c>
      <c r="AQ121" s="155" t="n">
        <f aca="false">IFERROR(IF(OR(NOT(ISNUMBER('Price History'!X122)),NOT(ISNUMBER('Price History'!X121)),'Price History'!X121=0),"",'Price History'!X122/'Price History'!X121-1),"")</f>
        <v>0.0158550396375992</v>
      </c>
      <c r="AR121" s="155" t="n">
        <f aca="false">IFERROR(IF(OR(NOT(ISNUMBER('Price History'!Y122)),NOT(ISNUMBER('Price History'!Y121)),'Price History'!Y121=0),"",'Price History'!Y122/'Price History'!Y121-1),"")</f>
        <v>0.00836431226765799</v>
      </c>
      <c r="AS121" s="155" t="n">
        <f aca="false">IFERROR(IF(OR(NOT(ISNUMBER('Price History'!Z122)),NOT(ISNUMBER('Price History'!Z121)),'Price History'!Z121=0),"",'Price History'!Z122/'Price History'!Z121-1),"")</f>
        <v>0.0258144626343824</v>
      </c>
      <c r="AT121" s="155" t="n">
        <f aca="false">IFERROR(IF(OR(NOT(ISNUMBER('Price History'!AA122)),NOT(ISNUMBER('Price History'!AA121)),'Price History'!AA121=0),"",'Price History'!AA122/'Price History'!AA121-1),"")</f>
        <v>0.00084754740968318</v>
      </c>
      <c r="AU121" s="155" t="n">
        <f aca="false">IFERROR(IF(OR(NOT(ISNUMBER('Price History'!AB122)),NOT(ISNUMBER('Price History'!AB121)),'Price History'!AB121=0),"",'Price History'!AB122/'Price History'!AB121-1),"")</f>
        <v>0.0125754980618407</v>
      </c>
    </row>
    <row r="122" customFormat="false" ht="15" hidden="false" customHeight="true" outlineLevel="0" collapsed="false">
      <c r="A122" s="153" t="n">
        <f aca="false">IF('Price History'!A123="","",'Price History'!A123)</f>
        <v>46024</v>
      </c>
      <c r="B122" s="154" t="n">
        <f aca="false">IFERROR(IF(OR(NOT(ISNUMBER('Price History'!B123)),NOT(ISNUMBER('Price History'!B122)),'Price History'!B122=0),"",'Price History'!B123/'Price History'!B122-1),"")</f>
        <v>-0.0579423403052572</v>
      </c>
      <c r="C122" s="154" t="n">
        <f aca="false">IFERROR(IF(OR(NOT(ISNUMBER('Price History'!C123)),NOT(ISNUMBER('Price History'!C122)),'Price History'!C122=0),"",'Price History'!C123/'Price History'!C122-1),"")</f>
        <v>0.0133495145631066</v>
      </c>
      <c r="D122" s="154" t="n">
        <f aca="false">IFERROR(IF(OR(NOT(ISNUMBER('Price History'!D123)),NOT(ISNUMBER('Price History'!D122)),'Price History'!D122=0),"",'Price History'!D123/'Price History'!D122-1),"")</f>
        <v>0.0848616548959369</v>
      </c>
      <c r="E122" s="154" t="n">
        <f aca="false">IFERROR(IF(OR(NOT(ISNUMBER('Price History'!E123)),NOT(ISNUMBER('Price History'!E122)),'Price History'!E122=0),"",'Price History'!E123/'Price History'!E122-1),"")</f>
        <v>-0.0128212450028555</v>
      </c>
      <c r="F122" s="154" t="n">
        <f aca="false">IFERROR(IF(OR(NOT(ISNUMBER('Price History'!F123)),NOT(ISNUMBER('Price History'!F122)),'Price History'!F122=0),"",'Price History'!F123/'Price History'!F122-1),"")</f>
        <v>-0.0574397339983375</v>
      </c>
      <c r="G122" s="154" t="n">
        <f aca="false">IFERROR(IF(OR(NOT(ISNUMBER('Price History'!G123)),NOT(ISNUMBER('Price History'!G122)),'Price History'!G122=0),"",'Price History'!G123/'Price History'!G122-1),"")</f>
        <v>-0.00400031375009802</v>
      </c>
      <c r="H122" s="154" t="n">
        <f aca="false">IFERROR(IF(OR(NOT(ISNUMBER('Price History'!H123)),NOT(ISNUMBER('Price History'!H122)),'Price History'!H122=0),"",'Price History'!H123/'Price History'!H122-1),"")</f>
        <v>0.108010263259639</v>
      </c>
      <c r="I122" s="154" t="n">
        <f aca="false">IFERROR(IF(OR(NOT(ISNUMBER('Price History'!I123)),NOT(ISNUMBER('Price History'!I122)),'Price History'!I122=0),"",'Price History'!I123/'Price History'!I122-1),"")</f>
        <v>-0.00883791888053032</v>
      </c>
      <c r="J122" s="154" t="n">
        <f aca="false">IFERROR(IF(OR(NOT(ISNUMBER('Price History'!J123)),NOT(ISNUMBER('Price History'!J122)),'Price History'!J122=0),"",'Price History'!J123/'Price History'!J122-1),"")</f>
        <v>0.0027035623409668</v>
      </c>
      <c r="K122" s="154" t="n">
        <f aca="false">IFERROR(IF(OR(NOT(ISNUMBER('Price History'!K123)),NOT(ISNUMBER('Price History'!K122)),'Price History'!K122=0),"",'Price History'!K123/'Price History'!K122-1),"")</f>
        <v>-0.110486990620529</v>
      </c>
      <c r="L122" s="154" t="n">
        <f aca="false">IFERROR(IF(OR(NOT(ISNUMBER('Price History'!L123)),NOT(ISNUMBER('Price History'!L122)),'Price History'!L122=0),"",'Price History'!L123/'Price History'!L122-1),"")</f>
        <v>0.0553780617678381</v>
      </c>
      <c r="M122" s="154" t="n">
        <f aca="false">IFERROR(IF(OR(NOT(ISNUMBER('Price History'!M123)),NOT(ISNUMBER('Price History'!M122)),'Price History'!M122=0),"",'Price History'!M123/'Price History'!M122-1),"")</f>
        <v>0.0479517496715634</v>
      </c>
      <c r="N122" s="154" t="n">
        <f aca="false">IFERROR(IF(OR(NOT(ISNUMBER('Price History'!N123)),NOT(ISNUMBER('Price History'!N122)),'Price History'!N122=0),"",'Price History'!N123/'Price History'!N122-1),"")</f>
        <v>-0.0232663642255346</v>
      </c>
      <c r="O122" s="154" t="n">
        <f aca="false">IFERROR(IF(OR(NOT(ISNUMBER('Price History'!O123)),NOT(ISNUMBER('Price History'!O122)),'Price History'!O122=0),"",'Price History'!O123/'Price History'!O122-1),"")</f>
        <v>-0.00554960568591167</v>
      </c>
      <c r="P122" s="154" t="n">
        <f aca="false">IFERROR(IF(OR(NOT(ISNUMBER('Price History'!P123)),NOT(ISNUMBER('Price History'!P122)),'Price History'!P122=0),"",'Price History'!P123/'Price History'!P122-1),"")</f>
        <v>7.17978173463418E-005</v>
      </c>
      <c r="Q122" s="154" t="n">
        <f aca="false">IFERROR(IF(OR(NOT(ISNUMBER('Price History'!Q123)),NOT(ISNUMBER('Price History'!Q122)),'Price History'!Q122=0),"",'Price History'!Q123/'Price History'!Q122-1),"")</f>
        <v>-0.00824216993855831</v>
      </c>
      <c r="R122" s="154" t="n">
        <f aca="false">IFERROR(IF(OR(NOT(ISNUMBER('Price History'!R123)),NOT(ISNUMBER('Price History'!R122)),'Price History'!R122=0),"",'Price History'!R123/'Price History'!R122-1),"")</f>
        <v>-0.0115370301451434</v>
      </c>
      <c r="S122" s="154" t="n">
        <f aca="false">IFERROR(IF(OR(NOT(ISNUMBER('Price History'!S123)),NOT(ISNUMBER('Price History'!S122)),'Price History'!S122=0),"",'Price History'!S123/'Price History'!S122-1),"")</f>
        <v>-0.01408917619758</v>
      </c>
      <c r="T122" s="154" t="n">
        <f aca="false">IFERROR(IF(OR(NOT(ISNUMBER('Price History'!T123)),NOT(ISNUMBER('Price History'!T122)),'Price History'!T122=0),"",'Price History'!T123/'Price History'!T122-1),"")</f>
        <v>-0.00935997976220604</v>
      </c>
      <c r="U122" s="154" t="n">
        <f aca="false">IFERROR(IF(OR(NOT(ISNUMBER('Price History'!U123)),NOT(ISNUMBER('Price History'!U122)),'Price History'!U122=0),"",'Price History'!U123/'Price History'!U122-1),"")</f>
        <v>0.00296515937731656</v>
      </c>
      <c r="V122" s="155" t="n">
        <f aca="false">IFERROR(IF(OR(NOT(ISNUMBER('Price History'!V123)),NOT(ISNUMBER('Price History'!V122)),'Price History'!V122=0),"",'Price History'!V123/'Price History'!V122-1),"")</f>
        <v>-0.0240024937655859</v>
      </c>
      <c r="W122" s="156" t="n">
        <f aca="false">IFERROR('Price History'!B3+(INDEX('Price History'!B:B,MATCH(9.99E+307,'Returns (Calc)'!$A:$A)+1)-'Price History'!B3)*(ROW()-3)/(MATCH(9.99E+307,'Returns (Calc)'!$A:$A)-3),"")</f>
        <v>309.568481012658</v>
      </c>
      <c r="X122" s="156" t="n">
        <f aca="false">IFERROR('Price History'!C3+(INDEX('Price History'!C:C,MATCH(9.99E+307,'Returns (Calc)'!$A:$A)+1)-'Price History'!C3)*(ROW()-3)/(MATCH(9.99E+307,'Returns (Calc)'!$A:$A)-3),"")</f>
        <v>167.56753164557</v>
      </c>
      <c r="Y122" s="156" t="n">
        <f aca="false">IFERROR('Price History'!D3+(INDEX('Price History'!D:D,MATCH(9.99E+307,'Returns (Calc)'!$A:$A)+1)-'Price History'!D3)*(ROW()-3)/(MATCH(9.99E+307,'Returns (Calc)'!$A:$A)-3),"")</f>
        <v>1550.05240506329</v>
      </c>
      <c r="Z122" s="156" t="n">
        <f aca="false">IFERROR('Price History'!E3+(INDEX('Price History'!E:E,MATCH(9.99E+307,'Returns (Calc)'!$A:$A)+1)-'Price History'!E3)*(ROW()-3)/(MATCH(9.99E+307,'Returns (Calc)'!$A:$A)-3),"")</f>
        <v>287.719367088608</v>
      </c>
      <c r="AA122" s="156" t="n">
        <f aca="false">IFERROR('Price History'!F3+(INDEX('Price History'!F:F,MATCH(9.99E+307,'Returns (Calc)'!$A:$A)+1)-'Price History'!F3)*(ROW()-3)/(MATCH(9.99E+307,'Returns (Calc)'!$A:$A)-3),"")</f>
        <v>213.593670886076</v>
      </c>
      <c r="AB122" s="156" t="n">
        <f aca="false">IFERROR('Price History'!G3+(INDEX('Price History'!G:G,MATCH(9.99E+307,'Returns (Calc)'!$A:$A)+1)-'Price History'!G3)*(ROW()-3)/(MATCH(9.99E+307,'Returns (Calc)'!$A:$A)-3),"")</f>
        <v>166.769367088608</v>
      </c>
      <c r="AC122" s="156" t="n">
        <f aca="false">IFERROR('Price History'!H3+(INDEX('Price History'!H:H,MATCH(9.99E+307,'Returns (Calc)'!$A:$A)+1)-'Price History'!H3)*(ROW()-3)/(MATCH(9.99E+307,'Returns (Calc)'!$A:$A)-3),"")</f>
        <v>826.627848101266</v>
      </c>
      <c r="AD122" s="156" t="n">
        <f aca="false">IFERROR('Price History'!I3+(INDEX('Price History'!I:I,MATCH(9.99E+307,'Returns (Calc)'!$A:$A)+1)-'Price History'!I3)*(ROW()-3)/(MATCH(9.99E+307,'Returns (Calc)'!$A:$A)-3),"")</f>
        <v>187.006835443038</v>
      </c>
      <c r="AE122" s="156" t="n">
        <f aca="false">IFERROR('Price History'!J3+(INDEX('Price History'!J:J,MATCH(9.99E+307,'Returns (Calc)'!$A:$A)+1)-'Price History'!J3)*(ROW()-3)/(MATCH(9.99E+307,'Returns (Calc)'!$A:$A)-3),"")</f>
        <v>124.696518987342</v>
      </c>
      <c r="AF122" s="156" t="n">
        <f aca="false">IFERROR('Price History'!K3+(INDEX('Price History'!K:K,MATCH(9.99E+307,'Returns (Calc)'!$A:$A)+1)-'Price History'!K3)*(ROW()-3)/(MATCH(9.99E+307,'Returns (Calc)'!$A:$A)-3),"")</f>
        <v>145.943797468354</v>
      </c>
      <c r="AG122" s="156" t="n">
        <f aca="false">IFERROR('Price History'!L3+(INDEX('Price History'!L:L,MATCH(9.99E+307,'Returns (Calc)'!$A:$A)+1)-'Price History'!L3)*(ROW()-3)/(MATCH(9.99E+307,'Returns (Calc)'!$A:$A)-3),"")</f>
        <v>377.247278481013</v>
      </c>
      <c r="AH122" s="156" t="n">
        <f aca="false">IFERROR('Price History'!M3+(INDEX('Price History'!M:M,MATCH(9.99E+307,'Returns (Calc)'!$A:$A)+1)-'Price History'!M3)*(ROW()-3)/(MATCH(9.99E+307,'Returns (Calc)'!$A:$A)-3),"")</f>
        <v>199.317721518987</v>
      </c>
      <c r="AI122" s="156" t="n">
        <f aca="false">IFERROR('Price History'!N3+(INDEX('Price History'!N:N,MATCH(9.99E+307,'Returns (Calc)'!$A:$A)+1)-'Price History'!N3)*(ROW()-3)/(MATCH(9.99E+307,'Returns (Calc)'!$A:$A)-3),"")</f>
        <v>466.265632911392</v>
      </c>
      <c r="AJ122" s="156" t="n">
        <f aca="false">IFERROR('Price History'!O3+(INDEX('Price History'!O:O,MATCH(9.99E+307,'Returns (Calc)'!$A:$A)+1)-'Price History'!O3)*(ROW()-3)/(MATCH(9.99E+307,'Returns (Calc)'!$A:$A)-3),"")</f>
        <v>108.991518987342</v>
      </c>
      <c r="AK122" s="156" t="n">
        <f aca="false">IFERROR('Price History'!Q3+(INDEX('Price History'!Q:Q,MATCH(9.99E+307,'Returns (Calc)'!$A:$A)+1)-'Price History'!Q3)*(ROW()-3)/(MATCH(9.99E+307,'Returns (Calc)'!$A:$A)-3),"")</f>
        <v>52.2846835443038</v>
      </c>
      <c r="AL122" s="156" t="n">
        <f aca="false">IFERROR('Price History'!R3+(INDEX('Price History'!R:R,MATCH(9.99E+307,'Returns (Calc)'!$A:$A)+1)-'Price History'!R3)*(ROW()-3)/(MATCH(9.99E+307,'Returns (Calc)'!$A:$A)-3),"")</f>
        <v>54.4840506329114</v>
      </c>
      <c r="AM122" s="156" t="n">
        <f aca="false">IFERROR('Price History'!S3+(INDEX('Price History'!S:S,MATCH(9.99E+307,'Returns (Calc)'!$A:$A)+1)-'Price History'!S3)*(ROW()-3)/(MATCH(9.99E+307,'Returns (Calc)'!$A:$A)-3),"")</f>
        <v>129.63253164557</v>
      </c>
      <c r="AN122" s="156" t="n">
        <f aca="false">IFERROR('Price History'!T3+(INDEX('Price History'!T:T,MATCH(9.99E+307,'Returns (Calc)'!$A:$A)+1)-'Price History'!T3)*(ROW()-3)/(MATCH(9.99E+307,'Returns (Calc)'!$A:$A)-3),"")</f>
        <v>45.2591139240506</v>
      </c>
      <c r="AO122" s="157" t="n">
        <f aca="false">IFERROR('Price History'!V3+(INDEX('Price History'!V:V,MATCH(9.99E+307,'Returns (Calc)'!$A:$A)+1)-'Price History'!V3)*(ROW()-3)/(MATCH(9.99E+307,'Returns (Calc)'!$A:$A)-3),"")</f>
        <v>329.798164556962</v>
      </c>
      <c r="AP122" s="155" t="n">
        <f aca="false">IFERROR(IF(OR(NOT(ISNUMBER('Price History'!W123)),NOT(ISNUMBER('Price History'!W122)),'Price History'!W122=0),"",'Price History'!W123/'Price History'!W122-1),"")</f>
        <v>-0.00224466891133557</v>
      </c>
      <c r="AQ122" s="155" t="n">
        <f aca="false">IFERROR(IF(OR(NOT(ISNUMBER('Price History'!X123)),NOT(ISNUMBER('Price History'!X122)),'Price History'!X122=0),"",'Price History'!X123/'Price History'!X122-1),"")</f>
        <v>0.0102564102564102</v>
      </c>
      <c r="AR122" s="155" t="n">
        <f aca="false">IFERROR(IF(OR(NOT(ISNUMBER('Price History'!Y123)),NOT(ISNUMBER('Price History'!Y122)),'Price History'!Y122=0),"",'Price History'!Y123/'Price History'!Y122-1),"")</f>
        <v>-0.00479262672811054</v>
      </c>
      <c r="AS122" s="155" t="n">
        <f aca="false">IFERROR(IF(OR(NOT(ISNUMBER('Price History'!Z123)),NOT(ISNUMBER('Price History'!Z122)),'Price History'!Z122=0),"",'Price History'!Z123/'Price History'!Z122-1),"")</f>
        <v>0.0189532698372248</v>
      </c>
      <c r="AT122" s="155" t="n">
        <f aca="false">IFERROR(IF(OR(NOT(ISNUMBER('Price History'!AA123)),NOT(ISNUMBER('Price History'!AA122)),'Price History'!AA122=0),"",'Price History'!AA123/'Price History'!AA122-1),"")</f>
        <v>-0.0368370911400445</v>
      </c>
      <c r="AU122" s="155" t="n">
        <f aca="false">IFERROR(IF(OR(NOT(ISNUMBER('Price History'!AB123)),NOT(ISNUMBER('Price History'!AB122)),'Price History'!AB122=0),"",'Price History'!AB123/'Price History'!AB122-1),"")</f>
        <v>-0.0229690629868684</v>
      </c>
    </row>
    <row r="123" customFormat="false" ht="15" hidden="false" customHeight="true" outlineLevel="0" collapsed="false">
      <c r="A123" s="153" t="n">
        <f aca="false">IF('Price History'!A124="","",'Price History'!A124)</f>
        <v>46031</v>
      </c>
      <c r="B123" s="154" t="n">
        <f aca="false">IFERROR(IF(OR(NOT(ISNUMBER('Price History'!B124)),NOT(ISNUMBER('Price History'!B123)),'Price History'!B123=0),"",'Price History'!B124/'Price History'!B123-1),"")</f>
        <v>0.00195019501950178</v>
      </c>
      <c r="C123" s="154" t="n">
        <f aca="false">IFERROR(IF(OR(NOT(ISNUMBER('Price History'!C124)),NOT(ISNUMBER('Price History'!C123)),'Price History'!C123=0),"",'Price History'!C124/'Price History'!C123-1),"")</f>
        <v>-0.0801646706586826</v>
      </c>
      <c r="D123" s="154" t="n">
        <f aca="false">IFERROR(IF(OR(NOT(ISNUMBER('Price History'!D124)),NOT(ISNUMBER('Price History'!D123)),'Price History'!D123=0),"",'Price History'!D124/'Price History'!D123-1),"")</f>
        <v>0.0946020617844623</v>
      </c>
      <c r="E123" s="154" t="n">
        <f aca="false">IFERROR(IF(OR(NOT(ISNUMBER('Price History'!E124)),NOT(ISNUMBER('Price History'!E123)),'Price History'!E123=0),"",'Price History'!E124/'Price History'!E123-1),"")</f>
        <v>-0.00760753232478084</v>
      </c>
      <c r="F123" s="154" t="n">
        <f aca="false">IFERROR(IF(OR(NOT(ISNUMBER('Price History'!F124)),NOT(ISNUMBER('Price History'!F123)),'Price History'!F123=0),"",'Price History'!F124/'Price History'!F123-1),"")</f>
        <v>0.0375694505688333</v>
      </c>
      <c r="G123" s="154" t="n">
        <f aca="false">IFERROR(IF(OR(NOT(ISNUMBER('Price History'!G124)),NOT(ISNUMBER('Price History'!G123)),'Price History'!G123=0),"",'Price History'!G124/'Price History'!G123-1),"")</f>
        <v>0.0984406993227278</v>
      </c>
      <c r="H123" s="154" t="n">
        <f aca="false">IFERROR(IF(OR(NOT(ISNUMBER('Price History'!H124)),NOT(ISNUMBER('Price History'!H123)),'Price History'!H123=0),"",'Price History'!H124/'Price History'!H123-1),"")</f>
        <v>0.0940553229285623</v>
      </c>
      <c r="I123" s="154" t="n">
        <f aca="false">IFERROR(IF(OR(NOT(ISNUMBER('Price History'!I124)),NOT(ISNUMBER('Price History'!I123)),'Price History'!I123=0),"",'Price History'!I124/'Price History'!I123-1),"")</f>
        <v>-0.0211241441537073</v>
      </c>
      <c r="J123" s="154" t="n">
        <f aca="false">IFERROR(IF(OR(NOT(ISNUMBER('Price History'!J124)),NOT(ISNUMBER('Price History'!J123)),'Price History'!J123=0),"",'Price History'!J124/'Price History'!J123-1),"")</f>
        <v>0.00269627279936557</v>
      </c>
      <c r="K123" s="154" t="n">
        <f aca="false">IFERROR(IF(OR(NOT(ISNUMBER('Price History'!K124)),NOT(ISNUMBER('Price History'!K123)),'Price History'!K123=0),"",'Price History'!K124/'Price History'!K123-1),"")</f>
        <v>0.0573692362683189</v>
      </c>
      <c r="L123" s="154" t="n">
        <f aca="false">IFERROR(IF(OR(NOT(ISNUMBER('Price History'!L124)),NOT(ISNUMBER('Price History'!L123)),'Price History'!L123=0),"",'Price History'!L124/'Price History'!L123-1),"")</f>
        <v>0.0125819878910192</v>
      </c>
      <c r="M123" s="154" t="n">
        <f aca="false">IFERROR(IF(OR(NOT(ISNUMBER('Price History'!M124)),NOT(ISNUMBER('Price History'!M123)),'Price History'!M123=0),"",'Price History'!M124/'Price History'!M123-1),"")</f>
        <v>-0.0684939312781355</v>
      </c>
      <c r="N123" s="154" t="n">
        <f aca="false">IFERROR(IF(OR(NOT(ISNUMBER('Price History'!N124)),NOT(ISNUMBER('Price History'!N123)),'Price History'!N123=0),"",'Price History'!N124/'Price History'!N123-1),"")</f>
        <v>0.0259438657023423</v>
      </c>
      <c r="O123" s="154" t="n">
        <f aca="false">IFERROR(IF(OR(NOT(ISNUMBER('Price History'!O124)),NOT(ISNUMBER('Price History'!O123)),'Price History'!O123=0),"",'Price History'!O124/'Price History'!O123-1),"")</f>
        <v>0.0408263168200509</v>
      </c>
      <c r="P123" s="154" t="n">
        <f aca="false">IFERROR(IF(OR(NOT(ISNUMBER('Price History'!P124)),NOT(ISNUMBER('Price History'!P123)),'Price History'!P123=0),"",'Price History'!P124/'Price History'!P123-1),"")</f>
        <v>0.02096345753464</v>
      </c>
      <c r="Q123" s="154" t="n">
        <f aca="false">IFERROR(IF(OR(NOT(ISNUMBER('Price History'!Q124)),NOT(ISNUMBER('Price History'!Q123)),'Price History'!Q123=0),"",'Price History'!Q124/'Price History'!Q123-1),"")</f>
        <v>0.00906618313689922</v>
      </c>
      <c r="R123" s="154" t="n">
        <f aca="false">IFERROR(IF(OR(NOT(ISNUMBER('Price History'!R124)),NOT(ISNUMBER('Price History'!R123)),'Price History'!R123=0),"",'Price History'!R124/'Price History'!R123-1),"")</f>
        <v>0.0184487951807231</v>
      </c>
      <c r="S123" s="154" t="n">
        <f aca="false">IFERROR(IF(OR(NOT(ISNUMBER('Price History'!S124)),NOT(ISNUMBER('Price History'!S123)),'Price History'!S123=0),"",'Price History'!S124/'Price History'!S123-1),"")</f>
        <v>0.00294216543375936</v>
      </c>
      <c r="T123" s="154" t="n">
        <f aca="false">IFERROR(IF(OR(NOT(ISNUMBER('Price History'!T124)),NOT(ISNUMBER('Price History'!T123)),'Price History'!T123=0),"",'Price History'!T124/'Price History'!T123-1),"")</f>
        <v>0.025791624106231</v>
      </c>
      <c r="U123" s="154" t="n">
        <f aca="false">IFERROR(IF(OR(NOT(ISNUMBER('Price History'!U124)),NOT(ISNUMBER('Price History'!U123)),'Price History'!U123=0),"",'Price History'!U124/'Price History'!U123-1),"")</f>
        <v>0.0295639320029564</v>
      </c>
      <c r="V123" s="155" t="n">
        <f aca="false">IFERROR(IF(OR(NOT(ISNUMBER('Price History'!V124)),NOT(ISNUMBER('Price History'!V123)),'Price History'!V123=0),"",'Price History'!V124/'Price History'!V123-1),"")</f>
        <v>0.0094944978368805</v>
      </c>
      <c r="W123" s="156" t="n">
        <f aca="false">IFERROR('Price History'!B3+(INDEX('Price History'!B:B,MATCH(9.99E+307,'Returns (Calc)'!$A:$A)+1)-'Price History'!B3)*(ROW()-3)/(MATCH(9.99E+307,'Returns (Calc)'!$A:$A)-3),"")</f>
        <v>307.725443037975</v>
      </c>
      <c r="X123" s="156" t="n">
        <f aca="false">IFERROR('Price History'!C3+(INDEX('Price History'!C:C,MATCH(9.99E+307,'Returns (Calc)'!$A:$A)+1)-'Price History'!C3)*(ROW()-3)/(MATCH(9.99E+307,'Returns (Calc)'!$A:$A)-3),"")</f>
        <v>168.587594936709</v>
      </c>
      <c r="Y123" s="156" t="n">
        <f aca="false">IFERROR('Price History'!D3+(INDEX('Price History'!D:D,MATCH(9.99E+307,'Returns (Calc)'!$A:$A)+1)-'Price History'!D3)*(ROW()-3)/(MATCH(9.99E+307,'Returns (Calc)'!$A:$A)-3),"")</f>
        <v>1558.18721518987</v>
      </c>
      <c r="Z123" s="156" t="n">
        <f aca="false">IFERROR('Price History'!E3+(INDEX('Price History'!E:E,MATCH(9.99E+307,'Returns (Calc)'!$A:$A)+1)-'Price History'!E3)*(ROW()-3)/(MATCH(9.99E+307,'Returns (Calc)'!$A:$A)-3),"")</f>
        <v>289.448101265823</v>
      </c>
      <c r="AA123" s="156" t="n">
        <f aca="false">IFERROR('Price History'!F3+(INDEX('Price History'!F:F,MATCH(9.99E+307,'Returns (Calc)'!$A:$A)+1)-'Price History'!F3)*(ROW()-3)/(MATCH(9.99E+307,'Returns (Calc)'!$A:$A)-3),"")</f>
        <v>215.041012658228</v>
      </c>
      <c r="AB123" s="156" t="n">
        <f aca="false">IFERROR('Price History'!G3+(INDEX('Price History'!G:G,MATCH(9.99E+307,'Returns (Calc)'!$A:$A)+1)-'Price History'!G3)*(ROW()-3)/(MATCH(9.99E+307,'Returns (Calc)'!$A:$A)-3),"")</f>
        <v>167.798101265823</v>
      </c>
      <c r="AC123" s="156" t="n">
        <f aca="false">IFERROR('Price History'!H3+(INDEX('Price History'!H:H,MATCH(9.99E+307,'Returns (Calc)'!$A:$A)+1)-'Price History'!H3)*(ROW()-3)/(MATCH(9.99E+307,'Returns (Calc)'!$A:$A)-3),"")</f>
        <v>832.993544303798</v>
      </c>
      <c r="AD123" s="156" t="n">
        <f aca="false">IFERROR('Price History'!I3+(INDEX('Price History'!I:I,MATCH(9.99E+307,'Returns (Calc)'!$A:$A)+1)-'Price History'!I3)*(ROW()-3)/(MATCH(9.99E+307,'Returns (Calc)'!$A:$A)-3),"")</f>
        <v>188.210506329114</v>
      </c>
      <c r="AE123" s="156" t="n">
        <f aca="false">IFERROR('Price History'!J3+(INDEX('Price History'!J:J,MATCH(9.99E+307,'Returns (Calc)'!$A:$A)+1)-'Price History'!J3)*(ROW()-3)/(MATCH(9.99E+307,'Returns (Calc)'!$A:$A)-3),"")</f>
        <v>124.804556962025</v>
      </c>
      <c r="AF123" s="156" t="n">
        <f aca="false">IFERROR('Price History'!K3+(INDEX('Price History'!K:K,MATCH(9.99E+307,'Returns (Calc)'!$A:$A)+1)-'Price History'!K3)*(ROW()-3)/(MATCH(9.99E+307,'Returns (Calc)'!$A:$A)-3),"")</f>
        <v>147.041392405063</v>
      </c>
      <c r="AG123" s="156" t="n">
        <f aca="false">IFERROR('Price History'!L3+(INDEX('Price History'!L:L,MATCH(9.99E+307,'Returns (Calc)'!$A:$A)+1)-'Price History'!L3)*(ROW()-3)/(MATCH(9.99E+307,'Returns (Calc)'!$A:$A)-3),"")</f>
        <v>379.696835443038</v>
      </c>
      <c r="AH123" s="156" t="n">
        <f aca="false">IFERROR('Price History'!M3+(INDEX('Price History'!M:M,MATCH(9.99E+307,'Returns (Calc)'!$A:$A)+1)-'Price History'!M3)*(ROW()-3)/(MATCH(9.99E+307,'Returns (Calc)'!$A:$A)-3),"")</f>
        <v>200.673164556962</v>
      </c>
      <c r="AI123" s="156" t="n">
        <f aca="false">IFERROR('Price History'!N3+(INDEX('Price History'!N:N,MATCH(9.99E+307,'Returns (Calc)'!$A:$A)+1)-'Price History'!N3)*(ROW()-3)/(MATCH(9.99E+307,'Returns (Calc)'!$A:$A)-3),"")</f>
        <v>467.251898734177</v>
      </c>
      <c r="AJ123" s="156" t="n">
        <f aca="false">IFERROR('Price History'!O3+(INDEX('Price History'!O:O,MATCH(9.99E+307,'Returns (Calc)'!$A:$A)+1)-'Price History'!O3)*(ROW()-3)/(MATCH(9.99E+307,'Returns (Calc)'!$A:$A)-3),"")</f>
        <v>109.274556962025</v>
      </c>
      <c r="AK123" s="156" t="n">
        <f aca="false">IFERROR('Price History'!Q3+(INDEX('Price History'!Q:Q,MATCH(9.99E+307,'Returns (Calc)'!$A:$A)+1)-'Price History'!Q3)*(ROW()-3)/(MATCH(9.99E+307,'Returns (Calc)'!$A:$A)-3),"")</f>
        <v>52.7240506329114</v>
      </c>
      <c r="AL123" s="156" t="n">
        <f aca="false">IFERROR('Price History'!R3+(INDEX('Price History'!R:R,MATCH(9.99E+307,'Returns (Calc)'!$A:$A)+1)-'Price History'!R3)*(ROW()-3)/(MATCH(9.99E+307,'Returns (Calc)'!$A:$A)-3),"")</f>
        <v>54.6521518987342</v>
      </c>
      <c r="AM123" s="156" t="n">
        <f aca="false">IFERROR('Price History'!S3+(INDEX('Price History'!S:S,MATCH(9.99E+307,'Returns (Calc)'!$A:$A)+1)-'Price History'!S3)*(ROW()-3)/(MATCH(9.99E+307,'Returns (Calc)'!$A:$A)-3),"")</f>
        <v>130.237594936709</v>
      </c>
      <c r="AN123" s="156" t="n">
        <f aca="false">IFERROR('Price History'!T3+(INDEX('Price History'!T:T,MATCH(9.99E+307,'Returns (Calc)'!$A:$A)+1)-'Price History'!T3)*(ROW()-3)/(MATCH(9.99E+307,'Returns (Calc)'!$A:$A)-3),"")</f>
        <v>45.4273417721519</v>
      </c>
      <c r="AO123" s="157" t="n">
        <f aca="false">IFERROR('Price History'!V3+(INDEX('Price History'!V:V,MATCH(9.99E+307,'Returns (Calc)'!$A:$A)+1)-'Price History'!V3)*(ROW()-3)/(MATCH(9.99E+307,'Returns (Calc)'!$A:$A)-3),"")</f>
        <v>330.589493670886</v>
      </c>
      <c r="AP123" s="155" t="n">
        <f aca="false">IFERROR(IF(OR(NOT(ISNUMBER('Price History'!W124)),NOT(ISNUMBER('Price History'!W123)),'Price History'!W123=0),"",'Price History'!W124/'Price History'!W123-1),"")</f>
        <v>0.0172244094488188</v>
      </c>
      <c r="AQ123" s="155" t="n">
        <f aca="false">IFERROR(IF(OR(NOT(ISNUMBER('Price History'!X124)),NOT(ISNUMBER('Price History'!X123)),'Price History'!X123=0),"",'Price History'!X124/'Price History'!X123-1),"")</f>
        <v>-0.0200838666960936</v>
      </c>
      <c r="AR123" s="155" t="n">
        <f aca="false">IFERROR(IF(OR(NOT(ISNUMBER('Price History'!Y124)),NOT(ISNUMBER('Price History'!Y123)),'Price History'!Y123=0),"",'Price History'!Y124/'Price History'!Y123-1),"")</f>
        <v>0.0162993146879051</v>
      </c>
      <c r="AS123" s="155" t="n">
        <f aca="false">IFERROR(IF(OR(NOT(ISNUMBER('Price History'!Z124)),NOT(ISNUMBER('Price History'!Z123)),'Price History'!Z123=0),"",'Price History'!Z124/'Price History'!Z123-1),"")</f>
        <v>0.00262598474427911</v>
      </c>
      <c r="AT123" s="155" t="n">
        <f aca="false">IFERROR(IF(OR(NOT(ISNUMBER('Price History'!AA124)),NOT(ISNUMBER('Price History'!AA123)),'Price History'!AA123=0),"",'Price History'!AA124/'Price History'!AA123-1),"")</f>
        <v>-0.016815034619189</v>
      </c>
      <c r="AU123" s="155" t="n">
        <f aca="false">IFERROR(IF(OR(NOT(ISNUMBER('Price History'!AB124)),NOT(ISNUMBER('Price History'!AB123)),'Price History'!AB123=0),"",'Price History'!AB124/'Price History'!AB123-1),"")</f>
        <v>0.0939906146065881</v>
      </c>
    </row>
    <row r="124" customFormat="false" ht="15" hidden="false" customHeight="true" outlineLevel="0" collapsed="false">
      <c r="A124" s="153" t="n">
        <f aca="false">IF('Price History'!A125="","",'Price History'!A125)</f>
        <v>46038</v>
      </c>
      <c r="B124" s="154" t="n">
        <f aca="false">IFERROR(IF(OR(NOT(ISNUMBER('Price History'!B125)),NOT(ISNUMBER('Price History'!B124)),'Price History'!B124=0),"",'Price History'!B125/'Price History'!B124-1),"")</f>
        <v>-0.113280431202276</v>
      </c>
      <c r="C124" s="154" t="n">
        <f aca="false">IFERROR(IF(OR(NOT(ISNUMBER('Price History'!C125)),NOT(ISNUMBER('Price History'!C124)),'Price History'!C124=0),"",'Price History'!C125/'Price History'!C124-1),"")</f>
        <v>0.0564732687769551</v>
      </c>
      <c r="D124" s="154" t="n">
        <f aca="false">IFERROR(IF(OR(NOT(ISNUMBER('Price History'!D125)),NOT(ISNUMBER('Price History'!D124)),'Price History'!D124=0),"",'Price History'!D125/'Price History'!D124-1),"")</f>
        <v>0.0664778867162543</v>
      </c>
      <c r="E124" s="154" t="n">
        <f aca="false">IFERROR(IF(OR(NOT(ISNUMBER('Price History'!E125)),NOT(ISNUMBER('Price History'!E124)),'Price History'!E124=0),"",'Price History'!E125/'Price History'!E124-1),"")</f>
        <v>0.0195289728343244</v>
      </c>
      <c r="F124" s="154" t="n">
        <f aca="false">IFERROR(IF(OR(NOT(ISNUMBER('Price History'!F125)),NOT(ISNUMBER('Price History'!F124)),'Price History'!F124=0),"",'Price History'!F125/'Price History'!F124-1),"")</f>
        <v>-0.0355291117722057</v>
      </c>
      <c r="G124" s="154" t="n">
        <f aca="false">IFERROR(IF(OR(NOT(ISNUMBER('Price History'!G125)),NOT(ISNUMBER('Price History'!G124)),'Price History'!G124=0),"",'Price History'!G125/'Price History'!G124-1),"")</f>
        <v>0.1198738170347</v>
      </c>
      <c r="H124" s="154" t="n">
        <f aca="false">IFERROR(IF(OR(NOT(ISNUMBER('Price History'!H125)),NOT(ISNUMBER('Price History'!H124)),'Price History'!H124=0),"",'Price History'!H125/'Price History'!H124-1),"")</f>
        <v>0.0511757371915684</v>
      </c>
      <c r="I124" s="154" t="n">
        <f aca="false">IFERROR(IF(OR(NOT(ISNUMBER('Price History'!I125)),NOT(ISNUMBER('Price History'!I124)),'Price History'!I124=0),"",'Price History'!I125/'Price History'!I124-1),"")</f>
        <v>0.00742829257712963</v>
      </c>
      <c r="J124" s="154" t="n">
        <f aca="false">IFERROR(IF(OR(NOT(ISNUMBER('Price History'!J125)),NOT(ISNUMBER('Price History'!J124)),'Price History'!J124=0),"",'Price History'!J125/'Price History'!J124-1),"")</f>
        <v>0.0294210692818728</v>
      </c>
      <c r="K124" s="154" t="n">
        <f aca="false">IFERROR(IF(OR(NOT(ISNUMBER('Price History'!K125)),NOT(ISNUMBER('Price History'!K124)),'Price History'!K124=0),"",'Price History'!K125/'Price History'!K124-1),"")</f>
        <v>-0.0367908051157811</v>
      </c>
      <c r="L124" s="154" t="n">
        <f aca="false">IFERROR(IF(OR(NOT(ISNUMBER('Price History'!L125)),NOT(ISNUMBER('Price History'!L124)),'Price History'!L124=0),"",'Price History'!L125/'Price History'!L124-1),"")</f>
        <v>0.0579863598143939</v>
      </c>
      <c r="M124" s="154" t="n">
        <f aca="false">IFERROR(IF(OR(NOT(ISNUMBER('Price History'!M125)),NOT(ISNUMBER('Price History'!M124)),'Price History'!M124=0),"",'Price History'!M125/'Price History'!M124-1),"")</f>
        <v>0.0816051874961767</v>
      </c>
      <c r="N124" s="154" t="n">
        <f aca="false">IFERROR(IF(OR(NOT(ISNUMBER('Price History'!N125)),NOT(ISNUMBER('Price History'!N124)),'Price History'!N124=0),"",'Price History'!N125/'Price History'!N124-1),"")</f>
        <v>-0.0485060147458285</v>
      </c>
      <c r="O124" s="154" t="n">
        <f aca="false">IFERROR(IF(OR(NOT(ISNUMBER('Price History'!O125)),NOT(ISNUMBER('Price History'!O124)),'Price History'!O124=0),"",'Price History'!O125/'Price History'!O124-1),"")</f>
        <v>0.0110055498071677</v>
      </c>
      <c r="P124" s="154" t="n">
        <f aca="false">IFERROR(IF(OR(NOT(ISNUMBER('Price History'!P125)),NOT(ISNUMBER('Price History'!P124)),'Price History'!P124=0),"",'Price History'!P125/'Price History'!P124-1),"")</f>
        <v>0.013008930454961</v>
      </c>
      <c r="Q124" s="154" t="n">
        <f aca="false">IFERROR(IF(OR(NOT(ISNUMBER('Price History'!Q125)),NOT(ISNUMBER('Price History'!Q124)),'Price History'!Q124=0),"",'Price History'!Q125/'Price History'!Q124-1),"")</f>
        <v>-0.00449236298292899</v>
      </c>
      <c r="R124" s="154" t="n">
        <f aca="false">IFERROR(IF(OR(NOT(ISNUMBER('Price History'!R125)),NOT(ISNUMBER('Price History'!R124)),'Price History'!R124=0),"",'Price History'!R125/'Price History'!R124-1),"")</f>
        <v>-0.00406654343807766</v>
      </c>
      <c r="S124" s="154" t="n">
        <f aca="false">IFERROR(IF(OR(NOT(ISNUMBER('Price History'!S125)),NOT(ISNUMBER('Price History'!S124)),'Price History'!S124=0),"",'Price History'!S125/'Price History'!S124-1),"")</f>
        <v>-0.000251445813427176</v>
      </c>
      <c r="T124" s="154" t="n">
        <f aca="false">IFERROR(IF(OR(NOT(ISNUMBER('Price History'!T125)),NOT(ISNUMBER('Price History'!T124)),'Price History'!T124=0),"",'Price History'!T125/'Price History'!T124-1),"")</f>
        <v>-0.0204132437142146</v>
      </c>
      <c r="U124" s="154" t="n">
        <f aca="false">IFERROR(IF(OR(NOT(ISNUMBER('Price History'!U125)),NOT(ISNUMBER('Price History'!U124)),'Price History'!U124=0),"",'Price History'!U125/'Price History'!U124-1),"")</f>
        <v>0.0125628140703518</v>
      </c>
      <c r="V124" s="155" t="n">
        <f aca="false">IFERROR(IF(OR(NOT(ISNUMBER('Price History'!V125)),NOT(ISNUMBER('Price History'!V124)),'Price History'!V124=0),"",'Price History'!V125/'Price History'!V124-1),"")</f>
        <v>-0.0613782788771284</v>
      </c>
      <c r="W124" s="156" t="n">
        <f aca="false">IFERROR('Price History'!B3+(INDEX('Price History'!B:B,MATCH(9.99E+307,'Returns (Calc)'!$A:$A)+1)-'Price History'!B3)*(ROW()-3)/(MATCH(9.99E+307,'Returns (Calc)'!$A:$A)-3),"")</f>
        <v>305.882405063291</v>
      </c>
      <c r="X124" s="156" t="n">
        <f aca="false">IFERROR('Price History'!C3+(INDEX('Price History'!C:C,MATCH(9.99E+307,'Returns (Calc)'!$A:$A)+1)-'Price History'!C3)*(ROW()-3)/(MATCH(9.99E+307,'Returns (Calc)'!$A:$A)-3),"")</f>
        <v>169.607658227848</v>
      </c>
      <c r="Y124" s="156" t="n">
        <f aca="false">IFERROR('Price History'!D3+(INDEX('Price History'!D:D,MATCH(9.99E+307,'Returns (Calc)'!$A:$A)+1)-'Price History'!D3)*(ROW()-3)/(MATCH(9.99E+307,'Returns (Calc)'!$A:$A)-3),"")</f>
        <v>1566.32202531646</v>
      </c>
      <c r="Z124" s="156" t="n">
        <f aca="false">IFERROR('Price History'!E3+(INDEX('Price History'!E:E,MATCH(9.99E+307,'Returns (Calc)'!$A:$A)+1)-'Price History'!E3)*(ROW()-3)/(MATCH(9.99E+307,'Returns (Calc)'!$A:$A)-3),"")</f>
        <v>291.176835443038</v>
      </c>
      <c r="AA124" s="156" t="n">
        <f aca="false">IFERROR('Price History'!F3+(INDEX('Price History'!F:F,MATCH(9.99E+307,'Returns (Calc)'!$A:$A)+1)-'Price History'!F3)*(ROW()-3)/(MATCH(9.99E+307,'Returns (Calc)'!$A:$A)-3),"")</f>
        <v>216.48835443038</v>
      </c>
      <c r="AB124" s="156" t="n">
        <f aca="false">IFERROR('Price History'!G3+(INDEX('Price History'!G:G,MATCH(9.99E+307,'Returns (Calc)'!$A:$A)+1)-'Price History'!G3)*(ROW()-3)/(MATCH(9.99E+307,'Returns (Calc)'!$A:$A)-3),"")</f>
        <v>168.826835443038</v>
      </c>
      <c r="AC124" s="156" t="n">
        <f aca="false">IFERROR('Price History'!H3+(INDEX('Price History'!H:H,MATCH(9.99E+307,'Returns (Calc)'!$A:$A)+1)-'Price History'!H3)*(ROW()-3)/(MATCH(9.99E+307,'Returns (Calc)'!$A:$A)-3),"")</f>
        <v>839.359240506329</v>
      </c>
      <c r="AD124" s="156" t="n">
        <f aca="false">IFERROR('Price History'!I3+(INDEX('Price History'!I:I,MATCH(9.99E+307,'Returns (Calc)'!$A:$A)+1)-'Price History'!I3)*(ROW()-3)/(MATCH(9.99E+307,'Returns (Calc)'!$A:$A)-3),"")</f>
        <v>189.41417721519</v>
      </c>
      <c r="AE124" s="156" t="n">
        <f aca="false">IFERROR('Price History'!J3+(INDEX('Price History'!J:J,MATCH(9.99E+307,'Returns (Calc)'!$A:$A)+1)-'Price History'!J3)*(ROW()-3)/(MATCH(9.99E+307,'Returns (Calc)'!$A:$A)-3),"")</f>
        <v>124.912594936709</v>
      </c>
      <c r="AF124" s="156" t="n">
        <f aca="false">IFERROR('Price History'!K3+(INDEX('Price History'!K:K,MATCH(9.99E+307,'Returns (Calc)'!$A:$A)+1)-'Price History'!K3)*(ROW()-3)/(MATCH(9.99E+307,'Returns (Calc)'!$A:$A)-3),"")</f>
        <v>148.138987341772</v>
      </c>
      <c r="AG124" s="156" t="n">
        <f aca="false">IFERROR('Price History'!L3+(INDEX('Price History'!L:L,MATCH(9.99E+307,'Returns (Calc)'!$A:$A)+1)-'Price History'!L3)*(ROW()-3)/(MATCH(9.99E+307,'Returns (Calc)'!$A:$A)-3),"")</f>
        <v>382.146392405063</v>
      </c>
      <c r="AH124" s="156" t="n">
        <f aca="false">IFERROR('Price History'!M3+(INDEX('Price History'!M:M,MATCH(9.99E+307,'Returns (Calc)'!$A:$A)+1)-'Price History'!M3)*(ROW()-3)/(MATCH(9.99E+307,'Returns (Calc)'!$A:$A)-3),"")</f>
        <v>202.028607594937</v>
      </c>
      <c r="AI124" s="156" t="n">
        <f aca="false">IFERROR('Price History'!N3+(INDEX('Price History'!N:N,MATCH(9.99E+307,'Returns (Calc)'!$A:$A)+1)-'Price History'!N3)*(ROW()-3)/(MATCH(9.99E+307,'Returns (Calc)'!$A:$A)-3),"")</f>
        <v>468.238164556962</v>
      </c>
      <c r="AJ124" s="156" t="n">
        <f aca="false">IFERROR('Price History'!O3+(INDEX('Price History'!O:O,MATCH(9.99E+307,'Returns (Calc)'!$A:$A)+1)-'Price History'!O3)*(ROW()-3)/(MATCH(9.99E+307,'Returns (Calc)'!$A:$A)-3),"")</f>
        <v>109.557594936709</v>
      </c>
      <c r="AK124" s="156" t="n">
        <f aca="false">IFERROR('Price History'!Q3+(INDEX('Price History'!Q:Q,MATCH(9.99E+307,'Returns (Calc)'!$A:$A)+1)-'Price History'!Q3)*(ROW()-3)/(MATCH(9.99E+307,'Returns (Calc)'!$A:$A)-3),"")</f>
        <v>53.163417721519</v>
      </c>
      <c r="AL124" s="156" t="n">
        <f aca="false">IFERROR('Price History'!R3+(INDEX('Price History'!R:R,MATCH(9.99E+307,'Returns (Calc)'!$A:$A)+1)-'Price History'!R3)*(ROW()-3)/(MATCH(9.99E+307,'Returns (Calc)'!$A:$A)-3),"")</f>
        <v>54.820253164557</v>
      </c>
      <c r="AM124" s="156" t="n">
        <f aca="false">IFERROR('Price History'!S3+(INDEX('Price History'!S:S,MATCH(9.99E+307,'Returns (Calc)'!$A:$A)+1)-'Price History'!S3)*(ROW()-3)/(MATCH(9.99E+307,'Returns (Calc)'!$A:$A)-3),"")</f>
        <v>130.842658227848</v>
      </c>
      <c r="AN124" s="156" t="n">
        <f aca="false">IFERROR('Price History'!T3+(INDEX('Price History'!T:T,MATCH(9.99E+307,'Returns (Calc)'!$A:$A)+1)-'Price History'!T3)*(ROW()-3)/(MATCH(9.99E+307,'Returns (Calc)'!$A:$A)-3),"")</f>
        <v>45.5955696202532</v>
      </c>
      <c r="AO124" s="157" t="n">
        <f aca="false">IFERROR('Price History'!V3+(INDEX('Price History'!V:V,MATCH(9.99E+307,'Returns (Calc)'!$A:$A)+1)-'Price History'!V3)*(ROW()-3)/(MATCH(9.99E+307,'Returns (Calc)'!$A:$A)-3),"")</f>
        <v>331.38082278481</v>
      </c>
      <c r="AP124" s="155" t="n">
        <f aca="false">IFERROR(IF(OR(NOT(ISNUMBER('Price History'!W125)),NOT(ISNUMBER('Price History'!W124)),'Price History'!W124=0),"",'Price History'!W125/'Price History'!W124-1),"")</f>
        <v>0.010989010989011</v>
      </c>
      <c r="AQ124" s="155" t="n">
        <f aca="false">IFERROR(IF(OR(NOT(ISNUMBER('Price History'!X125)),NOT(ISNUMBER('Price History'!X124)),'Price History'!X124=0),"",'Price History'!X125/'Price History'!X124-1),"")</f>
        <v>0.029054054054054</v>
      </c>
      <c r="AR124" s="155" t="n">
        <f aca="false">IFERROR(IF(OR(NOT(ISNUMBER('Price History'!Y125)),NOT(ISNUMBER('Price History'!Y124)),'Price History'!Y124=0),"",'Price History'!Y125/'Price History'!Y124-1),"")</f>
        <v>0.00273373428102808</v>
      </c>
      <c r="AS124" s="155" t="n">
        <f aca="false">IFERROR(IF(OR(NOT(ISNUMBER('Price History'!Z125)),NOT(ISNUMBER('Price History'!Z124)),'Price History'!Z124=0),"",'Price History'!Z125/'Price History'!Z124-1),"")</f>
        <v>0.0109753055624844</v>
      </c>
      <c r="AT124" s="155" t="n">
        <f aca="false">IFERROR(IF(OR(NOT(ISNUMBER('Price History'!AA125)),NOT(ISNUMBER('Price History'!AA124)),'Price History'!AA124=0),"",'Price History'!AA125/'Price History'!AA124-1),"")</f>
        <v>-0.0163201430807064</v>
      </c>
      <c r="AU124" s="155" t="n">
        <f aca="false">IFERROR(IF(OR(NOT(ISNUMBER('Price History'!AB125)),NOT(ISNUMBER('Price History'!AB124)),'Price History'!AB124=0),"",'Price History'!AB125/'Price History'!AB124-1),"")</f>
        <v>-0.0745877061469266</v>
      </c>
    </row>
    <row r="125" customFormat="false" ht="15" hidden="false" customHeight="true" outlineLevel="0" collapsed="false">
      <c r="A125" s="153" t="n">
        <f aca="false">IF('Price History'!A126="","",'Price History'!A126)</f>
        <v>46045</v>
      </c>
      <c r="B125" s="154" t="n">
        <f aca="false">IFERROR(IF(OR(NOT(ISNUMBER('Price History'!B126)),NOT(ISNUMBER('Price History'!B125)),'Price History'!B125=0),"",'Price History'!B126/'Price History'!B125-1),"")</f>
        <v>0.0167161961367013</v>
      </c>
      <c r="C125" s="154" t="n">
        <f aca="false">IFERROR(IF(OR(NOT(ISNUMBER('Price History'!C126)),NOT(ISNUMBER('Price History'!C125)),'Price History'!C125=0),"",'Price History'!C126/'Price History'!C125-1),"")</f>
        <v>0.0501424940306554</v>
      </c>
      <c r="D125" s="154" t="n">
        <f aca="false">IFERROR(IF(OR(NOT(ISNUMBER('Price History'!D126)),NOT(ISNUMBER('Price History'!D125)),'Price History'!D125=0),"",'Price History'!D126/'Price History'!D125-1),"")</f>
        <v>0.0224322705185385</v>
      </c>
      <c r="E125" s="154" t="n">
        <f aca="false">IFERROR(IF(OR(NOT(ISNUMBER('Price History'!E126)),NOT(ISNUMBER('Price History'!E125)),'Price History'!E125=0),"",'Price History'!E126/'Price History'!E125-1),"")</f>
        <v>-0.0899994282120189</v>
      </c>
      <c r="F125" s="154" t="n">
        <f aca="false">IFERROR(IF(OR(NOT(ISNUMBER('Price History'!F126)),NOT(ISNUMBER('Price History'!F125)),'Price History'!F125=0),"",'Price History'!F126/'Price History'!F125-1),"")</f>
        <v>-0.00308451573103019</v>
      </c>
      <c r="G125" s="154" t="n">
        <f aca="false">IFERROR(IF(OR(NOT(ISNUMBER('Price History'!G126)),NOT(ISNUMBER('Price History'!G125)),'Price History'!G125=0),"",'Price History'!G126/'Price History'!G125-1),"")</f>
        <v>-0.0350832266325224</v>
      </c>
      <c r="H125" s="154" t="n">
        <f aca="false">IFERROR(IF(OR(NOT(ISNUMBER('Price History'!H126)),NOT(ISNUMBER('Price History'!H125)),'Price History'!H125=0),"",'Price History'!H126/'Price History'!H125-1),"")</f>
        <v>0.101726706018646</v>
      </c>
      <c r="I125" s="154" t="n">
        <f aca="false">IFERROR(IF(OR(NOT(ISNUMBER('Price History'!I126)),NOT(ISNUMBER('Price History'!I125)),'Price History'!I125=0),"",'Price History'!I126/'Price History'!I125-1),"")</f>
        <v>0.00769644779332612</v>
      </c>
      <c r="J125" s="154" t="n">
        <f aca="false">IFERROR(IF(OR(NOT(ISNUMBER('Price History'!J126)),NOT(ISNUMBER('Price History'!J125)),'Price History'!J125=0),"",'Price History'!J126/'Price History'!J125-1),"")</f>
        <v>-0.0454824830977258</v>
      </c>
      <c r="K125" s="154" t="n">
        <f aca="false">IFERROR(IF(OR(NOT(ISNUMBER('Price History'!K126)),NOT(ISNUMBER('Price History'!K125)),'Price History'!K125=0),"",'Price History'!K126/'Price History'!K125-1),"")</f>
        <v>-0.0079550772110436</v>
      </c>
      <c r="L125" s="154" t="n">
        <f aca="false">IFERROR(IF(OR(NOT(ISNUMBER('Price History'!L126)),NOT(ISNUMBER('Price History'!L125)),'Price History'!L125=0),"",'Price History'!L126/'Price History'!L125-1),"")</f>
        <v>-0.0219880493332941</v>
      </c>
      <c r="M125" s="154" t="n">
        <f aca="false">IFERROR(IF(OR(NOT(ISNUMBER('Price History'!M126)),NOT(ISNUMBER('Price History'!M125)),'Price History'!M125=0),"",'Price History'!M126/'Price History'!M125-1),"")</f>
        <v>0.0313896272835248</v>
      </c>
      <c r="N125" s="154" t="n">
        <f aca="false">IFERROR(IF(OR(NOT(ISNUMBER('Price History'!N126)),NOT(ISNUMBER('Price History'!N125)),'Price History'!N125=0),"",'Price History'!N126/'Price History'!N125-1),"")</f>
        <v>0.0612878375928947</v>
      </c>
      <c r="O125" s="154" t="n">
        <f aca="false">IFERROR(IF(OR(NOT(ISNUMBER('Price History'!O126)),NOT(ISNUMBER('Price History'!O125)),'Price History'!O125=0),"",'Price History'!O126/'Price History'!O125-1),"")</f>
        <v>-0.000186081131373417</v>
      </c>
      <c r="P125" s="154" t="n">
        <f aca="false">IFERROR(IF(OR(NOT(ISNUMBER('Price History'!P126)),NOT(ISNUMBER('Price History'!P125)),'Price History'!P125=0),"",'Price History'!P126/'Price History'!P125-1),"")</f>
        <v>0.0024989587671802</v>
      </c>
      <c r="Q125" s="154" t="n">
        <f aca="false">IFERROR(IF(OR(NOT(ISNUMBER('Price History'!Q126)),NOT(ISNUMBER('Price History'!Q125)),'Price History'!Q125=0),"",'Price History'!Q126/'Price History'!Q125-1),"")</f>
        <v>-0.000300842358604281</v>
      </c>
      <c r="R125" s="154" t="n">
        <f aca="false">IFERROR(IF(OR(NOT(ISNUMBER('Price History'!R126)),NOT(ISNUMBER('Price History'!R125)),'Price History'!R125=0),"",'Price History'!R126/'Price History'!R125-1),"")</f>
        <v>0.00519673348181127</v>
      </c>
      <c r="S125" s="154" t="n">
        <f aca="false">IFERROR(IF(OR(NOT(ISNUMBER('Price History'!S126)),NOT(ISNUMBER('Price History'!S125)),'Price History'!S125=0),"",'Price History'!S126/'Price History'!S125-1),"")</f>
        <v>-0.017270288397049</v>
      </c>
      <c r="T125" s="154" t="n">
        <f aca="false">IFERROR(IF(OR(NOT(ISNUMBER('Price History'!T126)),NOT(ISNUMBER('Price History'!T125)),'Price History'!T125=0),"",'Price History'!T126/'Price History'!T125-1),"")</f>
        <v>0.00635324015247774</v>
      </c>
      <c r="U125" s="154" t="n">
        <f aca="false">IFERROR(IF(OR(NOT(ISNUMBER('Price History'!U126)),NOT(ISNUMBER('Price History'!U125)),'Price History'!U125=0),"",'Price History'!U126/'Price History'!U125-1),"")</f>
        <v>0.00815313718539534</v>
      </c>
      <c r="V125" s="155" t="n">
        <f aca="false">IFERROR(IF(OR(NOT(ISNUMBER('Price History'!V126)),NOT(ISNUMBER('Price History'!V125)),'Price History'!V125=0),"",'Price History'!V126/'Price History'!V125-1),"")</f>
        <v>-0.00646564932279203</v>
      </c>
      <c r="W125" s="156" t="n">
        <f aca="false">IFERROR('Price History'!B3+(INDEX('Price History'!B:B,MATCH(9.99E+307,'Returns (Calc)'!$A:$A)+1)-'Price History'!B3)*(ROW()-3)/(MATCH(9.99E+307,'Returns (Calc)'!$A:$A)-3),"")</f>
        <v>304.039367088608</v>
      </c>
      <c r="X125" s="156" t="n">
        <f aca="false">IFERROR('Price History'!C3+(INDEX('Price History'!C:C,MATCH(9.99E+307,'Returns (Calc)'!$A:$A)+1)-'Price History'!C3)*(ROW()-3)/(MATCH(9.99E+307,'Returns (Calc)'!$A:$A)-3),"")</f>
        <v>170.627721518987</v>
      </c>
      <c r="Y125" s="156" t="n">
        <f aca="false">IFERROR('Price History'!D3+(INDEX('Price History'!D:D,MATCH(9.99E+307,'Returns (Calc)'!$A:$A)+1)-'Price History'!D3)*(ROW()-3)/(MATCH(9.99E+307,'Returns (Calc)'!$A:$A)-3),"")</f>
        <v>1574.45683544304</v>
      </c>
      <c r="Z125" s="156" t="n">
        <f aca="false">IFERROR('Price History'!E3+(INDEX('Price History'!E:E,MATCH(9.99E+307,'Returns (Calc)'!$A:$A)+1)-'Price History'!E3)*(ROW()-3)/(MATCH(9.99E+307,'Returns (Calc)'!$A:$A)-3),"")</f>
        <v>292.905569620253</v>
      </c>
      <c r="AA125" s="156" t="n">
        <f aca="false">IFERROR('Price History'!F3+(INDEX('Price History'!F:F,MATCH(9.99E+307,'Returns (Calc)'!$A:$A)+1)-'Price History'!F3)*(ROW()-3)/(MATCH(9.99E+307,'Returns (Calc)'!$A:$A)-3),"")</f>
        <v>217.935696202532</v>
      </c>
      <c r="AB125" s="156" t="n">
        <f aca="false">IFERROR('Price History'!G3+(INDEX('Price History'!G:G,MATCH(9.99E+307,'Returns (Calc)'!$A:$A)+1)-'Price History'!G3)*(ROW()-3)/(MATCH(9.99E+307,'Returns (Calc)'!$A:$A)-3),"")</f>
        <v>169.855569620253</v>
      </c>
      <c r="AC125" s="156" t="n">
        <f aca="false">IFERROR('Price History'!H3+(INDEX('Price History'!H:H,MATCH(9.99E+307,'Returns (Calc)'!$A:$A)+1)-'Price History'!H3)*(ROW()-3)/(MATCH(9.99E+307,'Returns (Calc)'!$A:$A)-3),"")</f>
        <v>845.724936708861</v>
      </c>
      <c r="AD125" s="156" t="n">
        <f aca="false">IFERROR('Price History'!I3+(INDEX('Price History'!I:I,MATCH(9.99E+307,'Returns (Calc)'!$A:$A)+1)-'Price History'!I3)*(ROW()-3)/(MATCH(9.99E+307,'Returns (Calc)'!$A:$A)-3),"")</f>
        <v>190.617848101266</v>
      </c>
      <c r="AE125" s="156" t="n">
        <f aca="false">IFERROR('Price History'!J3+(INDEX('Price History'!J:J,MATCH(9.99E+307,'Returns (Calc)'!$A:$A)+1)-'Price History'!J3)*(ROW()-3)/(MATCH(9.99E+307,'Returns (Calc)'!$A:$A)-3),"")</f>
        <v>125.020632911392</v>
      </c>
      <c r="AF125" s="156" t="n">
        <f aca="false">IFERROR('Price History'!K3+(INDEX('Price History'!K:K,MATCH(9.99E+307,'Returns (Calc)'!$A:$A)+1)-'Price History'!K3)*(ROW()-3)/(MATCH(9.99E+307,'Returns (Calc)'!$A:$A)-3),"")</f>
        <v>149.236582278481</v>
      </c>
      <c r="AG125" s="156" t="n">
        <f aca="false">IFERROR('Price History'!L3+(INDEX('Price History'!L:L,MATCH(9.99E+307,'Returns (Calc)'!$A:$A)+1)-'Price History'!L3)*(ROW()-3)/(MATCH(9.99E+307,'Returns (Calc)'!$A:$A)-3),"")</f>
        <v>384.595949367089</v>
      </c>
      <c r="AH125" s="156" t="n">
        <f aca="false">IFERROR('Price History'!M3+(INDEX('Price History'!M:M,MATCH(9.99E+307,'Returns (Calc)'!$A:$A)+1)-'Price History'!M3)*(ROW()-3)/(MATCH(9.99E+307,'Returns (Calc)'!$A:$A)-3),"")</f>
        <v>203.384050632911</v>
      </c>
      <c r="AI125" s="156" t="n">
        <f aca="false">IFERROR('Price History'!N3+(INDEX('Price History'!N:N,MATCH(9.99E+307,'Returns (Calc)'!$A:$A)+1)-'Price History'!N3)*(ROW()-3)/(MATCH(9.99E+307,'Returns (Calc)'!$A:$A)-3),"")</f>
        <v>469.224430379747</v>
      </c>
      <c r="AJ125" s="156" t="n">
        <f aca="false">IFERROR('Price History'!O3+(INDEX('Price History'!O:O,MATCH(9.99E+307,'Returns (Calc)'!$A:$A)+1)-'Price History'!O3)*(ROW()-3)/(MATCH(9.99E+307,'Returns (Calc)'!$A:$A)-3),"")</f>
        <v>109.840632911392</v>
      </c>
      <c r="AK125" s="156" t="n">
        <f aca="false">IFERROR('Price History'!Q3+(INDEX('Price History'!Q:Q,MATCH(9.99E+307,'Returns (Calc)'!$A:$A)+1)-'Price History'!Q3)*(ROW()-3)/(MATCH(9.99E+307,'Returns (Calc)'!$A:$A)-3),"")</f>
        <v>53.6027848101266</v>
      </c>
      <c r="AL125" s="156" t="n">
        <f aca="false">IFERROR('Price History'!R3+(INDEX('Price History'!R:R,MATCH(9.99E+307,'Returns (Calc)'!$A:$A)+1)-'Price History'!R3)*(ROW()-3)/(MATCH(9.99E+307,'Returns (Calc)'!$A:$A)-3),"")</f>
        <v>54.9883544303797</v>
      </c>
      <c r="AM125" s="156" t="n">
        <f aca="false">IFERROR('Price History'!S3+(INDEX('Price History'!S:S,MATCH(9.99E+307,'Returns (Calc)'!$A:$A)+1)-'Price History'!S3)*(ROW()-3)/(MATCH(9.99E+307,'Returns (Calc)'!$A:$A)-3),"")</f>
        <v>131.447721518987</v>
      </c>
      <c r="AN125" s="156" t="n">
        <f aca="false">IFERROR('Price History'!T3+(INDEX('Price History'!T:T,MATCH(9.99E+307,'Returns (Calc)'!$A:$A)+1)-'Price History'!T3)*(ROW()-3)/(MATCH(9.99E+307,'Returns (Calc)'!$A:$A)-3),"")</f>
        <v>45.7637974683544</v>
      </c>
      <c r="AO125" s="157" t="n">
        <f aca="false">IFERROR('Price History'!V3+(INDEX('Price History'!V:V,MATCH(9.99E+307,'Returns (Calc)'!$A:$A)+1)-'Price History'!V3)*(ROW()-3)/(MATCH(9.99E+307,'Returns (Calc)'!$A:$A)-3),"")</f>
        <v>332.172151898734</v>
      </c>
      <c r="AP125" s="155" t="n">
        <f aca="false">IFERROR(IF(OR(NOT(ISNUMBER('Price History'!W126)),NOT(ISNUMBER('Price History'!W125)),'Price History'!W125=0),"",'Price History'!W126/'Price History'!W125-1),"")</f>
        <v>-0.00792999726551813</v>
      </c>
      <c r="AQ125" s="155" t="n">
        <f aca="false">IFERROR(IF(OR(NOT(ISNUMBER('Price History'!X126)),NOT(ISNUMBER('Price History'!X125)),'Price History'!X125=0),"",'Price History'!X126/'Price History'!X125-1),"")</f>
        <v>0.0231998249069818</v>
      </c>
      <c r="AR125" s="155" t="n">
        <f aca="false">IFERROR(IF(OR(NOT(ISNUMBER('Price History'!Y126)),NOT(ISNUMBER('Price History'!Y125)),'Price History'!Y125=0),"",'Price History'!Y126/'Price History'!Y125-1),"")</f>
        <v>-0.000545256270447103</v>
      </c>
      <c r="AS125" s="155" t="n">
        <f aca="false">IFERROR(IF(OR(NOT(ISNUMBER('Price History'!Z126)),NOT(ISNUMBER('Price History'!Z125)),'Price History'!Z125=0),"",'Price History'!Z126/'Price History'!Z125-1),"")</f>
        <v>-0.0961016530964718</v>
      </c>
      <c r="AT125" s="155" t="n">
        <f aca="false">IFERROR(IF(OR(NOT(ISNUMBER('Price History'!AA126)),NOT(ISNUMBER('Price History'!AA125)),'Price History'!AA125=0),"",'Price History'!AA126/'Price History'!AA125-1),"")</f>
        <v>-0.0213636363636364</v>
      </c>
      <c r="AU125" s="155" t="n">
        <f aca="false">IFERROR(IF(OR(NOT(ISNUMBER('Price History'!AB126)),NOT(ISNUMBER('Price History'!AB125)),'Price History'!AB125=0),"",'Price History'!AB126/'Price History'!AB125-1),"")</f>
        <v>-0.000945051977858769</v>
      </c>
    </row>
    <row r="126" customFormat="false" ht="15" hidden="false" customHeight="true" outlineLevel="0" collapsed="false">
      <c r="A126" s="153" t="n">
        <f aca="false">IF('Price History'!A127="","",'Price History'!A127)</f>
        <v>46052</v>
      </c>
      <c r="B126" s="154" t="n">
        <f aca="false">IFERROR(IF(OR(NOT(ISNUMBER('Price History'!B127)),NOT(ISNUMBER('Price History'!B126)),'Price History'!B126=0),"",'Price History'!B127/'Price History'!B126-1),"")</f>
        <v>-0.025974025974026</v>
      </c>
      <c r="C126" s="154" t="n">
        <f aca="false">IFERROR(IF(OR(NOT(ISNUMBER('Price History'!C127)),NOT(ISNUMBER('Price History'!C126)),'Price History'!C126=0),"",'Price History'!C127/'Price History'!C126-1),"")</f>
        <v>0.0396068651899664</v>
      </c>
      <c r="D126" s="154" t="n">
        <f aca="false">IFERROR(IF(OR(NOT(ISNUMBER('Price History'!D127)),NOT(ISNUMBER('Price History'!D126)),'Price History'!D126=0),"",'Price History'!D127/'Price History'!D126-1),"")</f>
        <v>0.0244502314814814</v>
      </c>
      <c r="E126" s="154" t="n">
        <f aca="false">IFERROR(IF(OR(NOT(ISNUMBER('Price History'!E127)),NOT(ISNUMBER('Price History'!E126)),'Price History'!E126=0),"",'Price History'!E127/'Price History'!E126-1),"")</f>
        <v>0.0351240967640591</v>
      </c>
      <c r="F126" s="154" t="n">
        <f aca="false">IFERROR(IF(OR(NOT(ISNUMBER('Price History'!F127)),NOT(ISNUMBER('Price History'!F126)),'Price History'!F126=0),"",'Price History'!F127/'Price History'!F126-1),"")</f>
        <v>-0.0244872701555871</v>
      </c>
      <c r="G126" s="154" t="n">
        <f aca="false">IFERROR(IF(OR(NOT(ISNUMBER('Price History'!G127)),NOT(ISNUMBER('Price History'!G126)),'Price History'!G126=0),"",'Price History'!G127/'Price History'!G126-1),"")</f>
        <v>-0.0560642250530785</v>
      </c>
      <c r="H126" s="154" t="n">
        <f aca="false">IFERROR(IF(OR(NOT(ISNUMBER('Price History'!H127)),NOT(ISNUMBER('Price History'!H126)),'Price History'!H126=0),"",'Price History'!H127/'Price History'!H126-1),"")</f>
        <v>0.0381052526162935</v>
      </c>
      <c r="I126" s="154" t="n">
        <f aca="false">IFERROR(IF(OR(NOT(ISNUMBER('Price History'!I127)),NOT(ISNUMBER('Price History'!I126)),'Price History'!I126=0),"",'Price History'!I127/'Price History'!I126-1),"")</f>
        <v>0.0184265342092613</v>
      </c>
      <c r="J126" s="154" t="n">
        <f aca="false">IFERROR(IF(OR(NOT(ISNUMBER('Price History'!J127)),NOT(ISNUMBER('Price History'!J126)),'Price History'!J126=0),"",'Price History'!J127/'Price History'!J126-1),"")</f>
        <v>0.0268029620090149</v>
      </c>
      <c r="K126" s="154" t="n">
        <f aca="false">IFERROR(IF(OR(NOT(ISNUMBER('Price History'!K127)),NOT(ISNUMBER('Price History'!K126)),'Price History'!K126=0),"",'Price History'!K127/'Price History'!K126-1),"")</f>
        <v>-0.135672169811321</v>
      </c>
      <c r="L126" s="154" t="n">
        <f aca="false">IFERROR(IF(OR(NOT(ISNUMBER('Price History'!L127)),NOT(ISNUMBER('Price History'!L126)),'Price History'!L126=0),"",'Price History'!L127/'Price History'!L126-1),"")</f>
        <v>-0.0128814783603202</v>
      </c>
      <c r="M126" s="154" t="n">
        <f aca="false">IFERROR(IF(OR(NOT(ISNUMBER('Price History'!M127)),NOT(ISNUMBER('Price History'!M126)),'Price History'!M126=0),"",'Price History'!M127/'Price History'!M126-1),"")</f>
        <v>0.0202347005922352</v>
      </c>
      <c r="N126" s="154" t="n">
        <f aca="false">IFERROR(IF(OR(NOT(ISNUMBER('Price History'!N127)),NOT(ISNUMBER('Price History'!N126)),'Price History'!N126=0),"",'Price History'!N127/'Price History'!N126-1),"")</f>
        <v>0.0031809739330928</v>
      </c>
      <c r="O126" s="154" t="n">
        <f aca="false">IFERROR(IF(OR(NOT(ISNUMBER('Price History'!O127)),NOT(ISNUMBER('Price History'!O126)),'Price History'!O126=0),"",'Price History'!O127/'Price History'!O126-1),"")</f>
        <v>0.00725851479620321</v>
      </c>
      <c r="P126" s="154" t="n">
        <f aca="false">IFERROR(IF(OR(NOT(ISNUMBER('Price History'!P127)),NOT(ISNUMBER('Price History'!P126)),'Price History'!P126=0),"",'Price History'!P127/'Price History'!P126-1),"")</f>
        <v>0.0173798642847252</v>
      </c>
      <c r="Q126" s="154" t="n">
        <f aca="false">IFERROR(IF(OR(NOT(ISNUMBER('Price History'!Q127)),NOT(ISNUMBER('Price History'!Q126)),'Price History'!Q126=0),"",'Price History'!Q127/'Price History'!Q126-1),"")</f>
        <v>0.00361119470358129</v>
      </c>
      <c r="R126" s="154" t="n">
        <f aca="false">IFERROR(IF(OR(NOT(ISNUMBER('Price History'!R127)),NOT(ISNUMBER('Price History'!R126)),'Price History'!R126=0),"",'Price History'!R127/'Price History'!R126-1),"")</f>
        <v>0.00350812407680956</v>
      </c>
      <c r="S126" s="154" t="n">
        <f aca="false">IFERROR(IF(OR(NOT(ISNUMBER('Price History'!S127)),NOT(ISNUMBER('Price History'!S126)),'Price History'!S126=0),"",'Price History'!S127/'Price History'!S126-1),"")</f>
        <v>0.0164647671045897</v>
      </c>
      <c r="T126" s="154" t="n">
        <f aca="false">IFERROR(IF(OR(NOT(ISNUMBER('Price History'!T127)),NOT(ISNUMBER('Price History'!T126)),'Price History'!T126=0),"",'Price History'!T127/'Price History'!T126-1),"")</f>
        <v>-0.00984848484848488</v>
      </c>
      <c r="U126" s="154" t="n">
        <f aca="false">IFERROR(IF(OR(NOT(ISNUMBER('Price History'!U127)),NOT(ISNUMBER('Price History'!U126)),'Price History'!U126=0),"",'Price History'!U127/'Price History'!U126-1),"")</f>
        <v>0.0232067510548524</v>
      </c>
      <c r="V126" s="155" t="n">
        <f aca="false">IFERROR(IF(OR(NOT(ISNUMBER('Price History'!V127)),NOT(ISNUMBER('Price History'!V126)),'Price History'!V126=0),"",'Price History'!V127/'Price History'!V126-1),"")</f>
        <v>-0.013323875026987</v>
      </c>
      <c r="W126" s="156" t="n">
        <f aca="false">IFERROR('Price History'!B3+(INDEX('Price History'!B:B,MATCH(9.99E+307,'Returns (Calc)'!$A:$A)+1)-'Price History'!B3)*(ROW()-3)/(MATCH(9.99E+307,'Returns (Calc)'!$A:$A)-3),"")</f>
        <v>302.196329113924</v>
      </c>
      <c r="X126" s="156" t="n">
        <f aca="false">IFERROR('Price History'!C3+(INDEX('Price History'!C:C,MATCH(9.99E+307,'Returns (Calc)'!$A:$A)+1)-'Price History'!C3)*(ROW()-3)/(MATCH(9.99E+307,'Returns (Calc)'!$A:$A)-3),"")</f>
        <v>171.647784810127</v>
      </c>
      <c r="Y126" s="156" t="n">
        <f aca="false">IFERROR('Price History'!D3+(INDEX('Price History'!D:D,MATCH(9.99E+307,'Returns (Calc)'!$A:$A)+1)-'Price History'!D3)*(ROW()-3)/(MATCH(9.99E+307,'Returns (Calc)'!$A:$A)-3),"")</f>
        <v>1582.59164556962</v>
      </c>
      <c r="Z126" s="156" t="n">
        <f aca="false">IFERROR('Price History'!E3+(INDEX('Price History'!E:E,MATCH(9.99E+307,'Returns (Calc)'!$A:$A)+1)-'Price History'!E3)*(ROW()-3)/(MATCH(9.99E+307,'Returns (Calc)'!$A:$A)-3),"")</f>
        <v>294.634303797468</v>
      </c>
      <c r="AA126" s="156" t="n">
        <f aca="false">IFERROR('Price History'!F3+(INDEX('Price History'!F:F,MATCH(9.99E+307,'Returns (Calc)'!$A:$A)+1)-'Price History'!F3)*(ROW()-3)/(MATCH(9.99E+307,'Returns (Calc)'!$A:$A)-3),"")</f>
        <v>219.383037974684</v>
      </c>
      <c r="AB126" s="156" t="n">
        <f aca="false">IFERROR('Price History'!G3+(INDEX('Price History'!G:G,MATCH(9.99E+307,'Returns (Calc)'!$A:$A)+1)-'Price History'!G3)*(ROW()-3)/(MATCH(9.99E+307,'Returns (Calc)'!$A:$A)-3),"")</f>
        <v>170.884303797468</v>
      </c>
      <c r="AC126" s="156" t="n">
        <f aca="false">IFERROR('Price History'!H3+(INDEX('Price History'!H:H,MATCH(9.99E+307,'Returns (Calc)'!$A:$A)+1)-'Price History'!H3)*(ROW()-3)/(MATCH(9.99E+307,'Returns (Calc)'!$A:$A)-3),"")</f>
        <v>852.090632911393</v>
      </c>
      <c r="AD126" s="156" t="n">
        <f aca="false">IFERROR('Price History'!I3+(INDEX('Price History'!I:I,MATCH(9.99E+307,'Returns (Calc)'!$A:$A)+1)-'Price History'!I3)*(ROW()-3)/(MATCH(9.99E+307,'Returns (Calc)'!$A:$A)-3),"")</f>
        <v>191.821518987342</v>
      </c>
      <c r="AE126" s="156" t="n">
        <f aca="false">IFERROR('Price History'!J3+(INDEX('Price History'!J:J,MATCH(9.99E+307,'Returns (Calc)'!$A:$A)+1)-'Price History'!J3)*(ROW()-3)/(MATCH(9.99E+307,'Returns (Calc)'!$A:$A)-3),"")</f>
        <v>125.128670886076</v>
      </c>
      <c r="AF126" s="156" t="n">
        <f aca="false">IFERROR('Price History'!K3+(INDEX('Price History'!K:K,MATCH(9.99E+307,'Returns (Calc)'!$A:$A)+1)-'Price History'!K3)*(ROW()-3)/(MATCH(9.99E+307,'Returns (Calc)'!$A:$A)-3),"")</f>
        <v>150.33417721519</v>
      </c>
      <c r="AG126" s="156" t="n">
        <f aca="false">IFERROR('Price History'!L3+(INDEX('Price History'!L:L,MATCH(9.99E+307,'Returns (Calc)'!$A:$A)+1)-'Price History'!L3)*(ROW()-3)/(MATCH(9.99E+307,'Returns (Calc)'!$A:$A)-3),"")</f>
        <v>387.045506329114</v>
      </c>
      <c r="AH126" s="156" t="n">
        <f aca="false">IFERROR('Price History'!M3+(INDEX('Price History'!M:M,MATCH(9.99E+307,'Returns (Calc)'!$A:$A)+1)-'Price History'!M3)*(ROW()-3)/(MATCH(9.99E+307,'Returns (Calc)'!$A:$A)-3),"")</f>
        <v>204.739493670886</v>
      </c>
      <c r="AI126" s="156" t="n">
        <f aca="false">IFERROR('Price History'!N3+(INDEX('Price History'!N:N,MATCH(9.99E+307,'Returns (Calc)'!$A:$A)+1)-'Price History'!N3)*(ROW()-3)/(MATCH(9.99E+307,'Returns (Calc)'!$A:$A)-3),"")</f>
        <v>470.210696202532</v>
      </c>
      <c r="AJ126" s="156" t="n">
        <f aca="false">IFERROR('Price History'!O3+(INDEX('Price History'!O:O,MATCH(9.99E+307,'Returns (Calc)'!$A:$A)+1)-'Price History'!O3)*(ROW()-3)/(MATCH(9.99E+307,'Returns (Calc)'!$A:$A)-3),"")</f>
        <v>110.123670886076</v>
      </c>
      <c r="AK126" s="156" t="n">
        <f aca="false">IFERROR('Price History'!Q3+(INDEX('Price History'!Q:Q,MATCH(9.99E+307,'Returns (Calc)'!$A:$A)+1)-'Price History'!Q3)*(ROW()-3)/(MATCH(9.99E+307,'Returns (Calc)'!$A:$A)-3),"")</f>
        <v>54.0421518987342</v>
      </c>
      <c r="AL126" s="156" t="n">
        <f aca="false">IFERROR('Price History'!R3+(INDEX('Price History'!R:R,MATCH(9.99E+307,'Returns (Calc)'!$A:$A)+1)-'Price History'!R3)*(ROW()-3)/(MATCH(9.99E+307,'Returns (Calc)'!$A:$A)-3),"")</f>
        <v>55.1564556962025</v>
      </c>
      <c r="AM126" s="156" t="n">
        <f aca="false">IFERROR('Price History'!S3+(INDEX('Price History'!S:S,MATCH(9.99E+307,'Returns (Calc)'!$A:$A)+1)-'Price History'!S3)*(ROW()-3)/(MATCH(9.99E+307,'Returns (Calc)'!$A:$A)-3),"")</f>
        <v>132.052784810127</v>
      </c>
      <c r="AN126" s="156" t="n">
        <f aca="false">IFERROR('Price History'!T3+(INDEX('Price History'!T:T,MATCH(9.99E+307,'Returns (Calc)'!$A:$A)+1)-'Price History'!T3)*(ROW()-3)/(MATCH(9.99E+307,'Returns (Calc)'!$A:$A)-3),"")</f>
        <v>45.9320253164557</v>
      </c>
      <c r="AO126" s="157" t="n">
        <f aca="false">IFERROR('Price History'!V3+(INDEX('Price History'!V:V,MATCH(9.99E+307,'Returns (Calc)'!$A:$A)+1)-'Price History'!V3)*(ROW()-3)/(MATCH(9.99E+307,'Returns (Calc)'!$A:$A)-3),"")</f>
        <v>332.963481012658</v>
      </c>
      <c r="AP126" s="155" t="n">
        <f aca="false">IFERROR(IF(OR(NOT(ISNUMBER('Price History'!W127)),NOT(ISNUMBER('Price History'!W126)),'Price History'!W126=0),"",'Price History'!W127/'Price History'!W126-1),"")</f>
        <v>0.0153665931642777</v>
      </c>
      <c r="AQ126" s="155" t="n">
        <f aca="false">IFERROR(IF(OR(NOT(ISNUMBER('Price History'!X127)),NOT(ISNUMBER('Price History'!X126)),'Price History'!X126=0),"",'Price History'!X127/'Price History'!X126-1),"")</f>
        <v>0.0183957219251336</v>
      </c>
      <c r="AR126" s="155" t="n">
        <f aca="false">IFERROR(IF(OR(NOT(ISNUMBER('Price History'!Y127)),NOT(ISNUMBER('Price History'!Y126)),'Price History'!Y126=0),"",'Price History'!Y127/'Price History'!Y126-1),"")</f>
        <v>0.00309147117657749</v>
      </c>
      <c r="AS126" s="155" t="n">
        <f aca="false">IFERROR(IF(OR(NOT(ISNUMBER('Price History'!Z127)),NOT(ISNUMBER('Price History'!Z126)),'Price History'!Z126=0),"",'Price History'!Z127/'Price History'!Z126-1),"")</f>
        <v>0.0439470451753787</v>
      </c>
      <c r="AT126" s="155" t="n">
        <f aca="false">IFERROR(IF(OR(NOT(ISNUMBER('Price History'!AA127)),NOT(ISNUMBER('Price History'!AA126)),'Price History'!AA126=0),"",'Price History'!AA127/'Price History'!AA126-1),"")</f>
        <v>-0.0305387830933582</v>
      </c>
      <c r="AU126" s="155" t="n">
        <f aca="false">IFERROR(IF(OR(NOT(ISNUMBER('Price History'!AB127)),NOT(ISNUMBER('Price History'!AB126)),'Price History'!AB126=0),"",'Price History'!AB127/'Price History'!AB126-1),"")</f>
        <v>-0.0814414414414415</v>
      </c>
    </row>
    <row r="127" customFormat="false" ht="15" hidden="false" customHeight="true" outlineLevel="0" collapsed="false">
      <c r="A127" s="153" t="n">
        <f aca="false">IF('Price History'!A128="","",'Price History'!A128)</f>
        <v>46059</v>
      </c>
      <c r="B127" s="154" t="n">
        <f aca="false">IFERROR(IF(OR(NOT(ISNUMBER('Price History'!B128)),NOT(ISNUMBER('Price History'!B127)),'Price History'!B127=0),"",'Price History'!B128/'Price History'!B127-1),"")</f>
        <v>-0.0848081841432226</v>
      </c>
      <c r="C127" s="154" t="n">
        <f aca="false">IFERROR(IF(OR(NOT(ISNUMBER('Price History'!C128)),NOT(ISNUMBER('Price History'!C127)),'Price History'!C127=0),"",'Price History'!C128/'Price History'!C127-1),"")</f>
        <v>-0.0299844786228305</v>
      </c>
      <c r="D127" s="154" t="n">
        <f aca="false">IFERROR(IF(OR(NOT(ISNUMBER('Price History'!D128)),NOT(ISNUMBER('Price History'!D127)),'Price History'!D127=0),"",'Price History'!D128/'Price History'!D127-1),"")</f>
        <v>-0.00702584380737192</v>
      </c>
      <c r="E127" s="154" t="n">
        <f aca="false">IFERROR(IF(OR(NOT(ISNUMBER('Price History'!E128)),NOT(ISNUMBER('Price History'!E127)),'Price History'!E127=0),"",'Price History'!E128/'Price History'!E127-1),"")</f>
        <v>0.00491683865485015</v>
      </c>
      <c r="F127" s="154" t="n">
        <f aca="false">IFERROR(IF(OR(NOT(ISNUMBER('Price History'!F128)),NOT(ISNUMBER('Price History'!F127)),'Price History'!F127=0),"",'Price History'!F128/'Price History'!F127-1),"")</f>
        <v>-0.103942002718623</v>
      </c>
      <c r="G127" s="154" t="n">
        <f aca="false">IFERROR(IF(OR(NOT(ISNUMBER('Price History'!G128)),NOT(ISNUMBER('Price History'!G127)),'Price History'!G127=0),"",'Price History'!G128/'Price History'!G127-1),"")</f>
        <v>0.01047304421171</v>
      </c>
      <c r="H127" s="154" t="n">
        <f aca="false">IFERROR(IF(OR(NOT(ISNUMBER('Price History'!H128)),NOT(ISNUMBER('Price History'!H127)),'Price History'!H127=0),"",'Price History'!H128/'Price History'!H127-1),"")</f>
        <v>-0.0486687246768281</v>
      </c>
      <c r="I127" s="154" t="n">
        <f aca="false">IFERROR(IF(OR(NOT(ISNUMBER('Price History'!I128)),NOT(ISNUMBER('Price History'!I127)),'Price History'!I127=0),"",'Price History'!I128/'Price History'!I127-1),"")</f>
        <v>-0.0298930144745123</v>
      </c>
      <c r="J127" s="154" t="n">
        <f aca="false">IFERROR(IF(OR(NOT(ISNUMBER('Price History'!J128)),NOT(ISNUMBER('Price History'!J127)),'Price History'!J127=0),"",'Price History'!J128/'Price History'!J127-1),"")</f>
        <v>0.0489927098847691</v>
      </c>
      <c r="K127" s="154" t="n">
        <f aca="false">IFERROR(IF(OR(NOT(ISNUMBER('Price History'!K128)),NOT(ISNUMBER('Price History'!K127)),'Price History'!K127=0),"",'Price History'!K128/'Price History'!K127-1),"")</f>
        <v>-0.0729244832526093</v>
      </c>
      <c r="L127" s="154" t="n">
        <f aca="false">IFERROR(IF(OR(NOT(ISNUMBER('Price History'!L128)),NOT(ISNUMBER('Price History'!L127)),'Price History'!L127=0),"",'Price History'!L128/'Price History'!L127-1),"")</f>
        <v>0.0553387401670833</v>
      </c>
      <c r="M127" s="154" t="n">
        <f aca="false">IFERROR(IF(OR(NOT(ISNUMBER('Price History'!M128)),NOT(ISNUMBER('Price History'!M127)),'Price History'!M127=0),"",'Price History'!M128/'Price History'!M127-1),"")</f>
        <v>0.0504703036818059</v>
      </c>
      <c r="N127" s="154" t="n">
        <f aca="false">IFERROR(IF(OR(NOT(ISNUMBER('Price History'!N128)),NOT(ISNUMBER('Price History'!N127)),'Price History'!N127=0),"",'Price History'!N128/'Price History'!N127-1),"")</f>
        <v>0.0170674611619495</v>
      </c>
      <c r="O127" s="154" t="n">
        <f aca="false">IFERROR(IF(OR(NOT(ISNUMBER('Price History'!O128)),NOT(ISNUMBER('Price History'!O127)),'Price History'!O127=0),"",'Price History'!O128/'Price History'!O127-1),"")</f>
        <v>0.054138950480414</v>
      </c>
      <c r="P127" s="154" t="n">
        <f aca="false">IFERROR(IF(OR(NOT(ISNUMBER('Price History'!P128)),NOT(ISNUMBER('Price History'!P127)),'Price History'!P127=0),"",'Price History'!P128/'Price History'!P127-1),"")</f>
        <v>0.0330769754304769</v>
      </c>
      <c r="Q127" s="154" t="n">
        <f aca="false">IFERROR(IF(OR(NOT(ISNUMBER('Price History'!Q128)),NOT(ISNUMBER('Price History'!Q127)),'Price History'!Q127=0),"",'Price History'!Q128/'Price History'!Q127-1),"")</f>
        <v>0.00284857571214392</v>
      </c>
      <c r="R127" s="154" t="n">
        <f aca="false">IFERROR(IF(OR(NOT(ISNUMBER('Price History'!R128)),NOT(ISNUMBER('Price History'!R127)),'Price History'!R127=0),"",'Price History'!R128/'Price History'!R127-1),"")</f>
        <v>-0.0154553817847287</v>
      </c>
      <c r="S127" s="154" t="n">
        <f aca="false">IFERROR(IF(OR(NOT(ISNUMBER('Price History'!S128)),NOT(ISNUMBER('Price History'!S127)),'Price History'!S127=0),"",'Price History'!S128/'Price History'!S127-1),"")</f>
        <v>-0.000251783466219013</v>
      </c>
      <c r="T127" s="154" t="n">
        <f aca="false">IFERROR(IF(OR(NOT(ISNUMBER('Price History'!T128)),NOT(ISNUMBER('Price History'!T127)),'Price History'!T127=0),"",'Price History'!T128/'Price History'!T127-1),"")</f>
        <v>0.0244835501147667</v>
      </c>
      <c r="U127" s="154" t="n">
        <f aca="false">IFERROR(IF(OR(NOT(ISNUMBER('Price History'!U128)),NOT(ISNUMBER('Price History'!U127)),'Price History'!U127=0),"",'Price History'!U128/'Price History'!U127-1),"")</f>
        <v>0.0553264604810997</v>
      </c>
      <c r="V127" s="155" t="n">
        <f aca="false">IFERROR(IF(OR(NOT(ISNUMBER('Price History'!V128)),NOT(ISNUMBER('Price History'!V127)),'Price History'!V127=0),"",'Price History'!V128/'Price History'!V127-1),"")</f>
        <v>0.0302897689975306</v>
      </c>
      <c r="W127" s="156" t="n">
        <f aca="false">IFERROR('Price History'!B3+(INDEX('Price History'!B:B,MATCH(9.99E+307,'Returns (Calc)'!$A:$A)+1)-'Price History'!B3)*(ROW()-3)/(MATCH(9.99E+307,'Returns (Calc)'!$A:$A)-3),"")</f>
        <v>300.353291139241</v>
      </c>
      <c r="X127" s="156" t="n">
        <f aca="false">IFERROR('Price History'!C3+(INDEX('Price History'!C:C,MATCH(9.99E+307,'Returns (Calc)'!$A:$A)+1)-'Price History'!C3)*(ROW()-3)/(MATCH(9.99E+307,'Returns (Calc)'!$A:$A)-3),"")</f>
        <v>172.667848101266</v>
      </c>
      <c r="Y127" s="156" t="n">
        <f aca="false">IFERROR('Price History'!D3+(INDEX('Price History'!D:D,MATCH(9.99E+307,'Returns (Calc)'!$A:$A)+1)-'Price History'!D3)*(ROW()-3)/(MATCH(9.99E+307,'Returns (Calc)'!$A:$A)-3),"")</f>
        <v>1590.7264556962</v>
      </c>
      <c r="Z127" s="156" t="n">
        <f aca="false">IFERROR('Price History'!E3+(INDEX('Price History'!E:E,MATCH(9.99E+307,'Returns (Calc)'!$A:$A)+1)-'Price History'!E3)*(ROW()-3)/(MATCH(9.99E+307,'Returns (Calc)'!$A:$A)-3),"")</f>
        <v>296.363037974684</v>
      </c>
      <c r="AA127" s="156" t="n">
        <f aca="false">IFERROR('Price History'!F3+(INDEX('Price History'!F:F,MATCH(9.99E+307,'Returns (Calc)'!$A:$A)+1)-'Price History'!F3)*(ROW()-3)/(MATCH(9.99E+307,'Returns (Calc)'!$A:$A)-3),"")</f>
        <v>220.830379746835</v>
      </c>
      <c r="AB127" s="156" t="n">
        <f aca="false">IFERROR('Price History'!G3+(INDEX('Price History'!G:G,MATCH(9.99E+307,'Returns (Calc)'!$A:$A)+1)-'Price History'!G3)*(ROW()-3)/(MATCH(9.99E+307,'Returns (Calc)'!$A:$A)-3),"")</f>
        <v>171.913037974684</v>
      </c>
      <c r="AC127" s="156" t="n">
        <f aca="false">IFERROR('Price History'!H3+(INDEX('Price History'!H:H,MATCH(9.99E+307,'Returns (Calc)'!$A:$A)+1)-'Price History'!H3)*(ROW()-3)/(MATCH(9.99E+307,'Returns (Calc)'!$A:$A)-3),"")</f>
        <v>858.456329113924</v>
      </c>
      <c r="AD127" s="156" t="n">
        <f aca="false">IFERROR('Price History'!I3+(INDEX('Price History'!I:I,MATCH(9.99E+307,'Returns (Calc)'!$A:$A)+1)-'Price History'!I3)*(ROW()-3)/(MATCH(9.99E+307,'Returns (Calc)'!$A:$A)-3),"")</f>
        <v>193.025189873418</v>
      </c>
      <c r="AE127" s="156" t="n">
        <f aca="false">IFERROR('Price History'!J3+(INDEX('Price History'!J:J,MATCH(9.99E+307,'Returns (Calc)'!$A:$A)+1)-'Price History'!J3)*(ROW()-3)/(MATCH(9.99E+307,'Returns (Calc)'!$A:$A)-3),"")</f>
        <v>125.236708860759</v>
      </c>
      <c r="AF127" s="156" t="n">
        <f aca="false">IFERROR('Price History'!K3+(INDEX('Price History'!K:K,MATCH(9.99E+307,'Returns (Calc)'!$A:$A)+1)-'Price History'!K3)*(ROW()-3)/(MATCH(9.99E+307,'Returns (Calc)'!$A:$A)-3),"")</f>
        <v>151.431772151899</v>
      </c>
      <c r="AG127" s="156" t="n">
        <f aca="false">IFERROR('Price History'!L3+(INDEX('Price History'!L:L,MATCH(9.99E+307,'Returns (Calc)'!$A:$A)+1)-'Price History'!L3)*(ROW()-3)/(MATCH(9.99E+307,'Returns (Calc)'!$A:$A)-3),"")</f>
        <v>389.495063291139</v>
      </c>
      <c r="AH127" s="156" t="n">
        <f aca="false">IFERROR('Price History'!M3+(INDEX('Price History'!M:M,MATCH(9.99E+307,'Returns (Calc)'!$A:$A)+1)-'Price History'!M3)*(ROW()-3)/(MATCH(9.99E+307,'Returns (Calc)'!$A:$A)-3),"")</f>
        <v>206.094936708861</v>
      </c>
      <c r="AI127" s="156" t="n">
        <f aca="false">IFERROR('Price History'!N3+(INDEX('Price History'!N:N,MATCH(9.99E+307,'Returns (Calc)'!$A:$A)+1)-'Price History'!N3)*(ROW()-3)/(MATCH(9.99E+307,'Returns (Calc)'!$A:$A)-3),"")</f>
        <v>471.196962025316</v>
      </c>
      <c r="AJ127" s="156" t="n">
        <f aca="false">IFERROR('Price History'!O3+(INDEX('Price History'!O:O,MATCH(9.99E+307,'Returns (Calc)'!$A:$A)+1)-'Price History'!O3)*(ROW()-3)/(MATCH(9.99E+307,'Returns (Calc)'!$A:$A)-3),"")</f>
        <v>110.40670886076</v>
      </c>
      <c r="AK127" s="156" t="n">
        <f aca="false">IFERROR('Price History'!Q3+(INDEX('Price History'!Q:Q,MATCH(9.99E+307,'Returns (Calc)'!$A:$A)+1)-'Price History'!Q3)*(ROW()-3)/(MATCH(9.99E+307,'Returns (Calc)'!$A:$A)-3),"")</f>
        <v>54.4815189873418</v>
      </c>
      <c r="AL127" s="156" t="n">
        <f aca="false">IFERROR('Price History'!R3+(INDEX('Price History'!R:R,MATCH(9.99E+307,'Returns (Calc)'!$A:$A)+1)-'Price History'!R3)*(ROW()-3)/(MATCH(9.99E+307,'Returns (Calc)'!$A:$A)-3),"")</f>
        <v>55.3245569620253</v>
      </c>
      <c r="AM127" s="156" t="n">
        <f aca="false">IFERROR('Price History'!S3+(INDEX('Price History'!S:S,MATCH(9.99E+307,'Returns (Calc)'!$A:$A)+1)-'Price History'!S3)*(ROW()-3)/(MATCH(9.99E+307,'Returns (Calc)'!$A:$A)-3),"")</f>
        <v>132.657848101266</v>
      </c>
      <c r="AN127" s="156" t="n">
        <f aca="false">IFERROR('Price History'!T3+(INDEX('Price History'!T:T,MATCH(9.99E+307,'Returns (Calc)'!$A:$A)+1)-'Price History'!T3)*(ROW()-3)/(MATCH(9.99E+307,'Returns (Calc)'!$A:$A)-3),"")</f>
        <v>46.100253164557</v>
      </c>
      <c r="AO127" s="157" t="n">
        <f aca="false">IFERROR('Price History'!V3+(INDEX('Price History'!V:V,MATCH(9.99E+307,'Returns (Calc)'!$A:$A)+1)-'Price History'!V3)*(ROW()-3)/(MATCH(9.99E+307,'Returns (Calc)'!$A:$A)-3),"")</f>
        <v>333.754810126582</v>
      </c>
      <c r="AP127" s="155" t="n">
        <f aca="false">IFERROR(IF(OR(NOT(ISNUMBER('Price History'!W128)),NOT(ISNUMBER('Price History'!W127)),'Price History'!W127=0),"",'Price History'!W128/'Price History'!W127-1),"")</f>
        <v>0.0367153036986767</v>
      </c>
      <c r="AQ127" s="155" t="n">
        <f aca="false">IFERROR(IF(OR(NOT(ISNUMBER('Price History'!X128)),NOT(ISNUMBER('Price History'!X127)),'Price History'!X127=0),"",'Price History'!X128/'Price History'!X127-1),"")</f>
        <v>0.0193236714975846</v>
      </c>
      <c r="AR127" s="155" t="n">
        <f aca="false">IFERROR(IF(OR(NOT(ISNUMBER('Price History'!Y128)),NOT(ISNUMBER('Price History'!Y127)),'Price History'!Y127=0),"",'Price History'!Y128/'Price History'!Y127-1),"")</f>
        <v>0.015409717186367</v>
      </c>
      <c r="AS127" s="155" t="n">
        <f aca="false">IFERROR(IF(OR(NOT(ISNUMBER('Price History'!Z128)),NOT(ISNUMBER('Price History'!Z127)),'Price History'!Z127=0),"",'Price History'!Z128/'Price History'!Z127-1),"")</f>
        <v>0.0463132435612499</v>
      </c>
      <c r="AT127" s="155" t="n">
        <f aca="false">IFERROR(IF(OR(NOT(ISNUMBER('Price History'!AA128)),NOT(ISNUMBER('Price History'!AA127)),'Price History'!AA127=0),"",'Price History'!AA128/'Price History'!AA127-1),"")</f>
        <v>-0.0154509522098454</v>
      </c>
      <c r="AU127" s="155" t="n">
        <f aca="false">IFERROR(IF(OR(NOT(ISNUMBER('Price History'!AB128)),NOT(ISNUMBER('Price History'!AB127)),'Price History'!AB127=0),"",'Price History'!AB128/'Price History'!AB127-1),"")</f>
        <v>-0.0994017261671243</v>
      </c>
    </row>
    <row r="128" customFormat="false" ht="15" hidden="false" customHeight="true" outlineLevel="0" collapsed="false">
      <c r="A128" s="153" t="n">
        <f aca="false">IF('Price History'!A129="","",'Price History'!A129)</f>
        <v>46066</v>
      </c>
      <c r="B128" s="154" t="n">
        <f aca="false">IFERROR(IF(OR(NOT(ISNUMBER('Price History'!B129)),NOT(ISNUMBER('Price History'!B128)),'Price History'!B128=0),"",'Price History'!B129/'Price History'!B128-1),"")</f>
        <v>-0.016431924882629</v>
      </c>
      <c r="C128" s="154" t="n">
        <f aca="false">IFERROR(IF(OR(NOT(ISNUMBER('Price History'!C129)),NOT(ISNUMBER('Price History'!C128)),'Price History'!C128=0),"",'Price History'!C129/'Price History'!C128-1),"")</f>
        <v>0.0298203505709507</v>
      </c>
      <c r="D128" s="154" t="n">
        <f aca="false">IFERROR(IF(OR(NOT(ISNUMBER('Price History'!D129)),NOT(ISNUMBER('Price History'!D128)),'Price History'!D128=0),"",'Price History'!D129/'Price History'!D128-1),"")</f>
        <v>-0.00321422222222223</v>
      </c>
      <c r="E128" s="154" t="n">
        <f aca="false">IFERROR(IF(OR(NOT(ISNUMBER('Price History'!E129)),NOT(ISNUMBER('Price History'!E128)),'Price History'!E128=0),"",'Price History'!E129/'Price History'!E128-1),"")</f>
        <v>-0.0232860163092722</v>
      </c>
      <c r="F128" s="154" t="n">
        <f aca="false">IFERROR(IF(OR(NOT(ISNUMBER('Price History'!F129)),NOT(ISNUMBER('Price History'!F128)),'Price History'!F128=0),"",'Price History'!F129/'Price History'!F128-1),"")</f>
        <v>0.0862661812297736</v>
      </c>
      <c r="G128" s="154" t="n">
        <f aca="false">IFERROR(IF(OR(NOT(ISNUMBER('Price History'!G129)),NOT(ISNUMBER('Price History'!G128)),'Price History'!G128=0),"",'Price History'!G129/'Price History'!G128-1),"")</f>
        <v>0.0146772398441848</v>
      </c>
      <c r="H128" s="154" t="n">
        <f aca="false">IFERROR(IF(OR(NOT(ISNUMBER('Price History'!H129)),NOT(ISNUMBER('Price History'!H128)),'Price History'!H128=0),"",'Price History'!H129/'Price History'!H128-1),"")</f>
        <v>0.0429954875019014</v>
      </c>
      <c r="I128" s="154" t="n">
        <f aca="false">IFERROR(IF(OR(NOT(ISNUMBER('Price History'!I129)),NOT(ISNUMBER('Price History'!I128)),'Price History'!I128=0),"",'Price History'!I129/'Price History'!I128-1),"")</f>
        <v>-0.0140555735755217</v>
      </c>
      <c r="J128" s="154" t="n">
        <f aca="false">IFERROR(IF(OR(NOT(ISNUMBER('Price History'!J129)),NOT(ISNUMBER('Price History'!J128)),'Price History'!J128=0),"",'Price History'!J129/'Price History'!J128-1),"")</f>
        <v>0.0147212673740846</v>
      </c>
      <c r="K128" s="154" t="n">
        <f aca="false">IFERROR(IF(OR(NOT(ISNUMBER('Price History'!K129)),NOT(ISNUMBER('Price History'!K128)),'Price History'!K128=0),"",'Price History'!K129/'Price History'!K128-1),"")</f>
        <v>-0.0330389992641649</v>
      </c>
      <c r="L128" s="154" t="n">
        <f aca="false">IFERROR(IF(OR(NOT(ISNUMBER('Price History'!L129)),NOT(ISNUMBER('Price History'!L128)),'Price History'!L128=0),"",'Price History'!L129/'Price History'!L128-1),"")</f>
        <v>0.050183457082599</v>
      </c>
      <c r="M128" s="154" t="n">
        <f aca="false">IFERROR(IF(OR(NOT(ISNUMBER('Price History'!M129)),NOT(ISNUMBER('Price History'!M128)),'Price History'!M128=0),"",'Price History'!M129/'Price History'!M128-1),"")</f>
        <v>0.199191567744576</v>
      </c>
      <c r="N128" s="154" t="n">
        <f aca="false">IFERROR(IF(OR(NOT(ISNUMBER('Price History'!N129)),NOT(ISNUMBER('Price History'!N128)),'Price History'!N128=0),"",'Price History'!N129/'Price History'!N128-1),"")</f>
        <v>0.0283520254435889</v>
      </c>
      <c r="O128" s="154" t="n">
        <f aca="false">IFERROR(IF(OR(NOT(ISNUMBER('Price History'!O129)),NOT(ISNUMBER('Price History'!O128)),'Price History'!O128=0),"",'Price History'!O129/'Price History'!O128-1),"")</f>
        <v>-0.002541630148992</v>
      </c>
      <c r="P128" s="154" t="n">
        <f aca="false">IFERROR(IF(OR(NOT(ISNUMBER('Price History'!P129)),NOT(ISNUMBER('Price History'!P128)),'Price History'!P128=0),"",'Price History'!P129/'Price History'!P128-1),"")</f>
        <v>0.016074840239805</v>
      </c>
      <c r="Q128" s="154" t="n">
        <f aca="false">IFERROR(IF(OR(NOT(ISNUMBER('Price History'!Q129)),NOT(ISNUMBER('Price History'!Q128)),'Price History'!Q128=0),"",'Price History'!Q129/'Price History'!Q128-1),"")</f>
        <v>-0.00867095230976223</v>
      </c>
      <c r="R128" s="154" t="n">
        <f aca="false">IFERROR(IF(OR(NOT(ISNUMBER('Price History'!R129)),NOT(ISNUMBER('Price History'!R128)),'Price History'!R128=0),"",'Price History'!R129/'Price History'!R128-1),"")</f>
        <v>-0.00934404784152498</v>
      </c>
      <c r="S128" s="154" t="n">
        <f aca="false">IFERROR(IF(OR(NOT(ISNUMBER('Price History'!S129)),NOT(ISNUMBER('Price History'!S128)),'Price History'!S128=0),"",'Price History'!S129/'Price History'!S128-1),"")</f>
        <v>-0.0132639355271994</v>
      </c>
      <c r="T128" s="154" t="n">
        <f aca="false">IFERROR(IF(OR(NOT(ISNUMBER('Price History'!T129)),NOT(ISNUMBER('Price History'!T128)),'Price History'!T128=0),"",'Price History'!T129/'Price History'!T128-1),"")</f>
        <v>-0.0042320139407519</v>
      </c>
      <c r="U128" s="154" t="n">
        <f aca="false">IFERROR(IF(OR(NOT(ISNUMBER('Price History'!U129)),NOT(ISNUMBER('Price History'!U128)),'Price History'!U128=0),"",'Price History'!U129/'Price History'!U128-1),"")</f>
        <v>0.00455877564311291</v>
      </c>
      <c r="V128" s="155" t="n">
        <f aca="false">IFERROR(IF(OR(NOT(ISNUMBER('Price History'!V129)),NOT(ISNUMBER('Price History'!V128)),'Price History'!V128=0),"",'Price History'!V129/'Price History'!V128-1),"")</f>
        <v>-0.0508191747572816</v>
      </c>
      <c r="W128" s="156" t="n">
        <f aca="false">IFERROR('Price History'!B3+(INDEX('Price History'!B:B,MATCH(9.99E+307,'Returns (Calc)'!$A:$A)+1)-'Price History'!B3)*(ROW()-3)/(MATCH(9.99E+307,'Returns (Calc)'!$A:$A)-3),"")</f>
        <v>298.510253164557</v>
      </c>
      <c r="X128" s="156" t="n">
        <f aca="false">IFERROR('Price History'!C3+(INDEX('Price History'!C:C,MATCH(9.99E+307,'Returns (Calc)'!$A:$A)+1)-'Price History'!C3)*(ROW()-3)/(MATCH(9.99E+307,'Returns (Calc)'!$A:$A)-3),"")</f>
        <v>173.687911392405</v>
      </c>
      <c r="Y128" s="156" t="n">
        <f aca="false">IFERROR('Price History'!D3+(INDEX('Price History'!D:D,MATCH(9.99E+307,'Returns (Calc)'!$A:$A)+1)-'Price History'!D3)*(ROW()-3)/(MATCH(9.99E+307,'Returns (Calc)'!$A:$A)-3),"")</f>
        <v>1598.86126582278</v>
      </c>
      <c r="Z128" s="156" t="n">
        <f aca="false">IFERROR('Price History'!E3+(INDEX('Price History'!E:E,MATCH(9.99E+307,'Returns (Calc)'!$A:$A)+1)-'Price History'!E3)*(ROW()-3)/(MATCH(9.99E+307,'Returns (Calc)'!$A:$A)-3),"")</f>
        <v>298.091772151899</v>
      </c>
      <c r="AA128" s="156" t="n">
        <f aca="false">IFERROR('Price History'!F3+(INDEX('Price History'!F:F,MATCH(9.99E+307,'Returns (Calc)'!$A:$A)+1)-'Price History'!F3)*(ROW()-3)/(MATCH(9.99E+307,'Returns (Calc)'!$A:$A)-3),"")</f>
        <v>222.277721518987</v>
      </c>
      <c r="AB128" s="156" t="n">
        <f aca="false">IFERROR('Price History'!G3+(INDEX('Price History'!G:G,MATCH(9.99E+307,'Returns (Calc)'!$A:$A)+1)-'Price History'!G3)*(ROW()-3)/(MATCH(9.99E+307,'Returns (Calc)'!$A:$A)-3),"")</f>
        <v>172.941772151899</v>
      </c>
      <c r="AC128" s="156" t="n">
        <f aca="false">IFERROR('Price History'!H3+(INDEX('Price History'!H:H,MATCH(9.99E+307,'Returns (Calc)'!$A:$A)+1)-'Price History'!H3)*(ROW()-3)/(MATCH(9.99E+307,'Returns (Calc)'!$A:$A)-3),"")</f>
        <v>864.822025316456</v>
      </c>
      <c r="AD128" s="156" t="n">
        <f aca="false">IFERROR('Price History'!I3+(INDEX('Price History'!I:I,MATCH(9.99E+307,'Returns (Calc)'!$A:$A)+1)-'Price History'!I3)*(ROW()-3)/(MATCH(9.99E+307,'Returns (Calc)'!$A:$A)-3),"")</f>
        <v>194.228860759494</v>
      </c>
      <c r="AE128" s="156" t="n">
        <f aca="false">IFERROR('Price History'!J3+(INDEX('Price History'!J:J,MATCH(9.99E+307,'Returns (Calc)'!$A:$A)+1)-'Price History'!J3)*(ROW()-3)/(MATCH(9.99E+307,'Returns (Calc)'!$A:$A)-3),"")</f>
        <v>125.344746835443</v>
      </c>
      <c r="AF128" s="156" t="n">
        <f aca="false">IFERROR('Price History'!K3+(INDEX('Price History'!K:K,MATCH(9.99E+307,'Returns (Calc)'!$A:$A)+1)-'Price History'!K3)*(ROW()-3)/(MATCH(9.99E+307,'Returns (Calc)'!$A:$A)-3),"")</f>
        <v>152.529367088608</v>
      </c>
      <c r="AG128" s="156" t="n">
        <f aca="false">IFERROR('Price History'!L3+(INDEX('Price History'!L:L,MATCH(9.99E+307,'Returns (Calc)'!$A:$A)+1)-'Price History'!L3)*(ROW()-3)/(MATCH(9.99E+307,'Returns (Calc)'!$A:$A)-3),"")</f>
        <v>391.944620253165</v>
      </c>
      <c r="AH128" s="156" t="n">
        <f aca="false">IFERROR('Price History'!M3+(INDEX('Price History'!M:M,MATCH(9.99E+307,'Returns (Calc)'!$A:$A)+1)-'Price History'!M3)*(ROW()-3)/(MATCH(9.99E+307,'Returns (Calc)'!$A:$A)-3),"")</f>
        <v>207.450379746835</v>
      </c>
      <c r="AI128" s="156" t="n">
        <f aca="false">IFERROR('Price History'!N3+(INDEX('Price History'!N:N,MATCH(9.99E+307,'Returns (Calc)'!$A:$A)+1)-'Price History'!N3)*(ROW()-3)/(MATCH(9.99E+307,'Returns (Calc)'!$A:$A)-3),"")</f>
        <v>472.183227848101</v>
      </c>
      <c r="AJ128" s="156" t="n">
        <f aca="false">IFERROR('Price History'!O3+(INDEX('Price History'!O:O,MATCH(9.99E+307,'Returns (Calc)'!$A:$A)+1)-'Price History'!O3)*(ROW()-3)/(MATCH(9.99E+307,'Returns (Calc)'!$A:$A)-3),"")</f>
        <v>110.689746835443</v>
      </c>
      <c r="AK128" s="156" t="n">
        <f aca="false">IFERROR('Price History'!Q3+(INDEX('Price History'!Q:Q,MATCH(9.99E+307,'Returns (Calc)'!$A:$A)+1)-'Price History'!Q3)*(ROW()-3)/(MATCH(9.99E+307,'Returns (Calc)'!$A:$A)-3),"")</f>
        <v>54.9208860759494</v>
      </c>
      <c r="AL128" s="156" t="n">
        <f aca="false">IFERROR('Price History'!R3+(INDEX('Price History'!R:R,MATCH(9.99E+307,'Returns (Calc)'!$A:$A)+1)-'Price History'!R3)*(ROW()-3)/(MATCH(9.99E+307,'Returns (Calc)'!$A:$A)-3),"")</f>
        <v>55.4926582278481</v>
      </c>
      <c r="AM128" s="156" t="n">
        <f aca="false">IFERROR('Price History'!S3+(INDEX('Price History'!S:S,MATCH(9.99E+307,'Returns (Calc)'!$A:$A)+1)-'Price History'!S3)*(ROW()-3)/(MATCH(9.99E+307,'Returns (Calc)'!$A:$A)-3),"")</f>
        <v>133.262911392405</v>
      </c>
      <c r="AN128" s="156" t="n">
        <f aca="false">IFERROR('Price History'!T3+(INDEX('Price History'!T:T,MATCH(9.99E+307,'Returns (Calc)'!$A:$A)+1)-'Price History'!T3)*(ROW()-3)/(MATCH(9.99E+307,'Returns (Calc)'!$A:$A)-3),"")</f>
        <v>46.2684810126582</v>
      </c>
      <c r="AO128" s="157" t="n">
        <f aca="false">IFERROR('Price History'!V3+(INDEX('Price History'!V:V,MATCH(9.99E+307,'Returns (Calc)'!$A:$A)+1)-'Price History'!V3)*(ROW()-3)/(MATCH(9.99E+307,'Returns (Calc)'!$A:$A)-3),"")</f>
        <v>334.546139240506</v>
      </c>
      <c r="AP128" s="155" t="n">
        <f aca="false">IFERROR(IF(OR(NOT(ISNUMBER('Price History'!W129)),NOT(ISNUMBER('Price History'!W128)),'Price History'!W128=0),"",'Price History'!W129/'Price History'!W128-1),"")</f>
        <v>-0.00065462162869856</v>
      </c>
      <c r="AQ128" s="155" t="n">
        <f aca="false">IFERROR(IF(OR(NOT(ISNUMBER('Price History'!X129)),NOT(ISNUMBER('Price History'!X128)),'Price History'!X128=0),"",'Price History'!X129/'Price History'!X128-1),"")</f>
        <v>0.0389449824850607</v>
      </c>
      <c r="AR128" s="155" t="n">
        <f aca="false">IFERROR(IF(OR(NOT(ISNUMBER('Price History'!Y129)),NOT(ISNUMBER('Price History'!Y128)),'Price History'!Y128=0),"",'Price History'!Y129/'Price History'!Y128-1),"")</f>
        <v>0.00321371183717201</v>
      </c>
      <c r="AS128" s="155" t="n">
        <f aca="false">IFERROR(IF(OR(NOT(ISNUMBER('Price History'!Z129)),NOT(ISNUMBER('Price History'!Z128)),'Price History'!Z128=0),"",'Price History'!Z129/'Price History'!Z128-1),"")</f>
        <v>-0.0173991815824821</v>
      </c>
      <c r="AT128" s="155" t="n">
        <f aca="false">IFERROR(IF(OR(NOT(ISNUMBER('Price History'!AA129)),NOT(ISNUMBER('Price History'!AA128)),'Price History'!AA128=0),"",'Price History'!AA129/'Price History'!AA128-1),"")</f>
        <v>-0.0648418491484185</v>
      </c>
      <c r="AU128" s="155" t="n">
        <f aca="false">IFERROR(IF(OR(NOT(ISNUMBER('Price History'!AB129)),NOT(ISNUMBER('Price History'!AB128)),'Price History'!AB128=0),"",'Price History'!AB129/'Price History'!AB128-1),"")</f>
        <v>-0.0519466376259188</v>
      </c>
    </row>
    <row r="129" customFormat="false" ht="15" hidden="false" customHeight="true" outlineLevel="0" collapsed="false">
      <c r="A129" s="153" t="n">
        <f aca="false">IF('Price History'!A130="","",'Price History'!A130)</f>
        <v>46073</v>
      </c>
      <c r="B129" s="154" t="n">
        <f aca="false">IFERROR(IF(OR(NOT(ISNUMBER('Price History'!B130)),NOT(ISNUMBER('Price History'!B129)),'Price History'!B129=0),"",'Price History'!B130/'Price History'!B129-1),"")</f>
        <v>-0.0203053377277721</v>
      </c>
      <c r="C129" s="154" t="n">
        <f aca="false">IFERROR(IF(OR(NOT(ISNUMBER('Price History'!C130)),NOT(ISNUMBER('Price History'!C129)),'Price History'!C129=0),"",'Price History'!C130/'Price History'!C129-1),"")</f>
        <v>-0.0621512818701887</v>
      </c>
      <c r="D129" s="154" t="n">
        <f aca="false">IFERROR(IF(OR(NOT(ISNUMBER('Price History'!D130)),NOT(ISNUMBER('Price History'!D129)),'Price History'!D129=0),"",'Price History'!D130/'Price History'!D129-1),"")</f>
        <v>0.0447732444907365</v>
      </c>
      <c r="E129" s="154" t="n">
        <f aca="false">IFERROR(IF(OR(NOT(ISNUMBER('Price History'!E130)),NOT(ISNUMBER('Price History'!E129)),'Price History'!E129=0),"",'Price History'!E130/'Price History'!E129-1),"")</f>
        <v>0.0230062772503787</v>
      </c>
      <c r="F129" s="154" t="n">
        <f aca="false">IFERROR(IF(OR(NOT(ISNUMBER('Price History'!F130)),NOT(ISNUMBER('Price History'!F129)),'Price History'!F129=0),"",'Price History'!F130/'Price History'!F129-1),"")</f>
        <v>-0.0955218322316357</v>
      </c>
      <c r="G129" s="154" t="n">
        <f aca="false">IFERROR(IF(OR(NOT(ISNUMBER('Price History'!G130)),NOT(ISNUMBER('Price History'!G129)),'Price History'!G129=0),"",'Price History'!G130/'Price History'!G129-1),"")</f>
        <v>0.0231027627339413</v>
      </c>
      <c r="H129" s="154" t="n">
        <f aca="false">IFERROR(IF(OR(NOT(ISNUMBER('Price History'!H130)),NOT(ISNUMBER('Price History'!H129)),'Price History'!H129=0),"",'Price History'!H130/'Price History'!H129-1),"")</f>
        <v>0.0401050021875455</v>
      </c>
      <c r="I129" s="154" t="n">
        <f aca="false">IFERROR(IF(OR(NOT(ISNUMBER('Price History'!I130)),NOT(ISNUMBER('Price History'!I129)),'Price History'!I129=0),"",'Price History'!I130/'Price History'!I129-1),"")</f>
        <v>0.0383814014694595</v>
      </c>
      <c r="J129" s="154" t="n">
        <f aca="false">IFERROR(IF(OR(NOT(ISNUMBER('Price History'!J130)),NOT(ISNUMBER('Price History'!J129)),'Price History'!J129=0),"",'Price History'!J130/'Price History'!J129-1),"")</f>
        <v>0.0182634951027323</v>
      </c>
      <c r="K129" s="154" t="n">
        <f aca="false">IFERROR(IF(OR(NOT(ISNUMBER('Price History'!K130)),NOT(ISNUMBER('Price History'!K129)),'Price History'!K129=0),"",'Price History'!K130/'Price History'!K129-1),"")</f>
        <v>0.0291454227227761</v>
      </c>
      <c r="L129" s="154" t="n">
        <f aca="false">IFERROR(IF(OR(NOT(ISNUMBER('Price History'!L130)),NOT(ISNUMBER('Price History'!L129)),'Price History'!L129=0),"",'Price History'!L130/'Price History'!L129-1),"")</f>
        <v>0.0114167812929848</v>
      </c>
      <c r="M129" s="154" t="n">
        <f aca="false">IFERROR(IF(OR(NOT(ISNUMBER('Price History'!M130)),NOT(ISNUMBER('Price History'!M129)),'Price History'!M129=0),"",'Price History'!M130/'Price History'!M129-1),"")</f>
        <v>0.0392968383325512</v>
      </c>
      <c r="N129" s="154" t="n">
        <f aca="false">IFERROR(IF(OR(NOT(ISNUMBER('Price History'!N130)),NOT(ISNUMBER('Price History'!N129)),'Price History'!N129=0),"",'Price History'!N130/'Price History'!N129-1),"")</f>
        <v>-0.0296457566077279</v>
      </c>
      <c r="O129" s="154" t="n">
        <f aca="false">IFERROR(IF(OR(NOT(ISNUMBER('Price History'!O130)),NOT(ISNUMBER('Price History'!O129)),'Price History'!O129=0),"",'Price History'!O130/'Price History'!O129-1),"")</f>
        <v>0.00562340743344181</v>
      </c>
      <c r="P129" s="154" t="n">
        <f aca="false">IFERROR(IF(OR(NOT(ISNUMBER('Price History'!P130)),NOT(ISNUMBER('Price History'!P129)),'Price History'!P129=0),"",'Price History'!P130/'Price History'!P129-1),"")</f>
        <v>-0.00713220514815527</v>
      </c>
      <c r="Q129" s="154" t="n">
        <f aca="false">IFERROR(IF(OR(NOT(ISNUMBER('Price History'!Q130)),NOT(ISNUMBER('Price History'!Q129)),'Price History'!Q129=0),"",'Price History'!Q130/'Price History'!Q129-1),"")</f>
        <v>0.00678630674106473</v>
      </c>
      <c r="R129" s="154" t="n">
        <f aca="false">IFERROR(IF(OR(NOT(ISNUMBER('Price History'!R130)),NOT(ISNUMBER('Price History'!R129)),'Price History'!R129=0),"",'Price History'!R130/'Price History'!R129-1),"")</f>
        <v>0.0111299754763252</v>
      </c>
      <c r="S129" s="154" t="n">
        <f aca="false">IFERROR(IF(OR(NOT(ISNUMBER('Price History'!S130)),NOT(ISNUMBER('Price History'!S129)),'Price History'!S129=0),"",'Price History'!S130/'Price History'!S129-1),"")</f>
        <v>0.0144631614769439</v>
      </c>
      <c r="T129" s="154" t="n">
        <f aca="false">IFERROR(IF(OR(NOT(ISNUMBER('Price History'!T130)),NOT(ISNUMBER('Price History'!T129)),'Price History'!T129=0),"",'Price History'!T130/'Price History'!T129-1),"")</f>
        <v>0.002</v>
      </c>
      <c r="U129" s="154" t="n">
        <f aca="false">IFERROR(IF(OR(NOT(ISNUMBER('Price History'!U130)),NOT(ISNUMBER('Price History'!U129)),'Price History'!U129=0),"",'Price History'!U130/'Price History'!U129-1),"")</f>
        <v>0</v>
      </c>
      <c r="V129" s="155" t="n">
        <f aca="false">IFERROR(IF(OR(NOT(ISNUMBER('Price History'!V130)),NOT(ISNUMBER('Price History'!V129)),'Price History'!V129=0),"",'Price History'!V130/'Price History'!V129-1),"")</f>
        <v>0.0218635128655904</v>
      </c>
      <c r="W129" s="156" t="n">
        <f aca="false">IFERROR('Price History'!B3+(INDEX('Price History'!B:B,MATCH(9.99E+307,'Returns (Calc)'!$A:$A)+1)-'Price History'!B3)*(ROW()-3)/(MATCH(9.99E+307,'Returns (Calc)'!$A:$A)-3),"")</f>
        <v>296.667215189873</v>
      </c>
      <c r="X129" s="156" t="n">
        <f aca="false">IFERROR('Price History'!C3+(INDEX('Price History'!C:C,MATCH(9.99E+307,'Returns (Calc)'!$A:$A)+1)-'Price History'!C3)*(ROW()-3)/(MATCH(9.99E+307,'Returns (Calc)'!$A:$A)-3),"")</f>
        <v>174.707974683544</v>
      </c>
      <c r="Y129" s="156" t="n">
        <f aca="false">IFERROR('Price History'!D3+(INDEX('Price History'!D:D,MATCH(9.99E+307,'Returns (Calc)'!$A:$A)+1)-'Price History'!D3)*(ROW()-3)/(MATCH(9.99E+307,'Returns (Calc)'!$A:$A)-3),"")</f>
        <v>1606.99607594937</v>
      </c>
      <c r="Z129" s="156" t="n">
        <f aca="false">IFERROR('Price History'!E3+(INDEX('Price History'!E:E,MATCH(9.99E+307,'Returns (Calc)'!$A:$A)+1)-'Price History'!E3)*(ROW()-3)/(MATCH(9.99E+307,'Returns (Calc)'!$A:$A)-3),"")</f>
        <v>299.820506329114</v>
      </c>
      <c r="AA129" s="156" t="n">
        <f aca="false">IFERROR('Price History'!F3+(INDEX('Price History'!F:F,MATCH(9.99E+307,'Returns (Calc)'!$A:$A)+1)-'Price History'!F3)*(ROW()-3)/(MATCH(9.99E+307,'Returns (Calc)'!$A:$A)-3),"")</f>
        <v>223.725063291139</v>
      </c>
      <c r="AB129" s="156" t="n">
        <f aca="false">IFERROR('Price History'!G3+(INDEX('Price History'!G:G,MATCH(9.99E+307,'Returns (Calc)'!$A:$A)+1)-'Price History'!G3)*(ROW()-3)/(MATCH(9.99E+307,'Returns (Calc)'!$A:$A)-3),"")</f>
        <v>173.970506329114</v>
      </c>
      <c r="AC129" s="156" t="n">
        <f aca="false">IFERROR('Price History'!H3+(INDEX('Price History'!H:H,MATCH(9.99E+307,'Returns (Calc)'!$A:$A)+1)-'Price History'!H3)*(ROW()-3)/(MATCH(9.99E+307,'Returns (Calc)'!$A:$A)-3),"")</f>
        <v>871.187721518988</v>
      </c>
      <c r="AD129" s="156" t="n">
        <f aca="false">IFERROR('Price History'!I3+(INDEX('Price History'!I:I,MATCH(9.99E+307,'Returns (Calc)'!$A:$A)+1)-'Price History'!I3)*(ROW()-3)/(MATCH(9.99E+307,'Returns (Calc)'!$A:$A)-3),"")</f>
        <v>195.43253164557</v>
      </c>
      <c r="AE129" s="156" t="n">
        <f aca="false">IFERROR('Price History'!J3+(INDEX('Price History'!J:J,MATCH(9.99E+307,'Returns (Calc)'!$A:$A)+1)-'Price History'!J3)*(ROW()-3)/(MATCH(9.99E+307,'Returns (Calc)'!$A:$A)-3),"")</f>
        <v>125.452784810127</v>
      </c>
      <c r="AF129" s="156" t="n">
        <f aca="false">IFERROR('Price History'!K3+(INDEX('Price History'!K:K,MATCH(9.99E+307,'Returns (Calc)'!$A:$A)+1)-'Price History'!K3)*(ROW()-3)/(MATCH(9.99E+307,'Returns (Calc)'!$A:$A)-3),"")</f>
        <v>153.626962025316</v>
      </c>
      <c r="AG129" s="156" t="n">
        <f aca="false">IFERROR('Price History'!L3+(INDEX('Price History'!L:L,MATCH(9.99E+307,'Returns (Calc)'!$A:$A)+1)-'Price History'!L3)*(ROW()-3)/(MATCH(9.99E+307,'Returns (Calc)'!$A:$A)-3),"")</f>
        <v>394.39417721519</v>
      </c>
      <c r="AH129" s="156" t="n">
        <f aca="false">IFERROR('Price History'!M3+(INDEX('Price History'!M:M,MATCH(9.99E+307,'Returns (Calc)'!$A:$A)+1)-'Price History'!M3)*(ROW()-3)/(MATCH(9.99E+307,'Returns (Calc)'!$A:$A)-3),"")</f>
        <v>208.80582278481</v>
      </c>
      <c r="AI129" s="156" t="n">
        <f aca="false">IFERROR('Price History'!N3+(INDEX('Price History'!N:N,MATCH(9.99E+307,'Returns (Calc)'!$A:$A)+1)-'Price History'!N3)*(ROW()-3)/(MATCH(9.99E+307,'Returns (Calc)'!$A:$A)-3),"")</f>
        <v>473.169493670886</v>
      </c>
      <c r="AJ129" s="156" t="n">
        <f aca="false">IFERROR('Price History'!O3+(INDEX('Price History'!O:O,MATCH(9.99E+307,'Returns (Calc)'!$A:$A)+1)-'Price History'!O3)*(ROW()-3)/(MATCH(9.99E+307,'Returns (Calc)'!$A:$A)-3),"")</f>
        <v>110.972784810127</v>
      </c>
      <c r="AK129" s="156" t="n">
        <f aca="false">IFERROR('Price History'!Q3+(INDEX('Price History'!Q:Q,MATCH(9.99E+307,'Returns (Calc)'!$A:$A)+1)-'Price History'!Q3)*(ROW()-3)/(MATCH(9.99E+307,'Returns (Calc)'!$A:$A)-3),"")</f>
        <v>55.360253164557</v>
      </c>
      <c r="AL129" s="156" t="n">
        <f aca="false">IFERROR('Price History'!R3+(INDEX('Price History'!R:R,MATCH(9.99E+307,'Returns (Calc)'!$A:$A)+1)-'Price History'!R3)*(ROW()-3)/(MATCH(9.99E+307,'Returns (Calc)'!$A:$A)-3),"")</f>
        <v>55.6607594936709</v>
      </c>
      <c r="AM129" s="156" t="n">
        <f aca="false">IFERROR('Price History'!S3+(INDEX('Price History'!S:S,MATCH(9.99E+307,'Returns (Calc)'!$A:$A)+1)-'Price History'!S3)*(ROW()-3)/(MATCH(9.99E+307,'Returns (Calc)'!$A:$A)-3),"")</f>
        <v>133.867974683544</v>
      </c>
      <c r="AN129" s="156" t="n">
        <f aca="false">IFERROR('Price History'!T3+(INDEX('Price History'!T:T,MATCH(9.99E+307,'Returns (Calc)'!$A:$A)+1)-'Price History'!T3)*(ROW()-3)/(MATCH(9.99E+307,'Returns (Calc)'!$A:$A)-3),"")</f>
        <v>46.4367088607595</v>
      </c>
      <c r="AO129" s="157" t="n">
        <f aca="false">IFERROR('Price History'!V3+(INDEX('Price History'!V:V,MATCH(9.99E+307,'Returns (Calc)'!$A:$A)+1)-'Price History'!V3)*(ROW()-3)/(MATCH(9.99E+307,'Returns (Calc)'!$A:$A)-3),"")</f>
        <v>335.33746835443</v>
      </c>
      <c r="AP129" s="155" t="n">
        <f aca="false">IFERROR(IF(OR(NOT(ISNUMBER('Price History'!W130)),NOT(ISNUMBER('Price History'!W129)),'Price History'!W129=0),"",'Price History'!W130/'Price History'!W129-1),"")</f>
        <v>0.00124459583387915</v>
      </c>
      <c r="AQ129" s="155" t="n">
        <f aca="false">IFERROR(IF(OR(NOT(ISNUMBER('Price History'!X130)),NOT(ISNUMBER('Price History'!X129)),'Price History'!X129=0),"",'Price History'!X130/'Price History'!X129-1),"")</f>
        <v>0.00297500991669963</v>
      </c>
      <c r="AR129" s="155" t="n">
        <f aca="false">IFERROR(IF(OR(NOT(ISNUMBER('Price History'!Y130)),NOT(ISNUMBER('Price History'!Y129)),'Price History'!Y129=0),"",'Price History'!Y130/'Price History'!Y129-1),"")</f>
        <v>0.00320341697810989</v>
      </c>
      <c r="AS129" s="155" t="n">
        <f aca="false">IFERROR(IF(OR(NOT(ISNUMBER('Price History'!Z130)),NOT(ISNUMBER('Price History'!Z129)),'Price History'!Z129=0),"",'Price History'!Z130/'Price History'!Z129-1),"")</f>
        <v>0.0881548830111902</v>
      </c>
      <c r="AT129" s="155" t="n">
        <f aca="false">IFERROR(IF(OR(NOT(ISNUMBER('Price History'!AA130)),NOT(ISNUMBER('Price History'!AA129)),'Price History'!AA129=0),"",'Price History'!AA130/'Price History'!AA129-1),"")</f>
        <v>0.0234161571484324</v>
      </c>
      <c r="AU129" s="155" t="n">
        <f aca="false">IFERROR(IF(OR(NOT(ISNUMBER('Price History'!AB130)),NOT(ISNUMBER('Price History'!AB129)),'Price History'!AB129=0),"",'Price History'!AB130/'Price History'!AB129-1),"")</f>
        <v>0.0356096720464074</v>
      </c>
    </row>
    <row r="130" customFormat="false" ht="15" hidden="false" customHeight="true" outlineLevel="0" collapsed="false">
      <c r="A130" s="153" t="n">
        <f aca="false">IF('Price History'!A131="","",'Price History'!A131)</f>
        <v>46080</v>
      </c>
      <c r="B130" s="154" t="n">
        <f aca="false">IFERROR(IF(OR(NOT(ISNUMBER('Price History'!B131)),NOT(ISNUMBER('Price History'!B130)),'Price History'!B130=0),"",'Price History'!B131/'Price History'!B130-1),"")</f>
        <v>0.0146939406828817</v>
      </c>
      <c r="C130" s="154" t="n">
        <f aca="false">IFERROR(IF(OR(NOT(ISNUMBER('Price History'!C131)),NOT(ISNUMBER('Price History'!C130)),'Price History'!C130=0),"",'Price History'!C131/'Price History'!C130-1),"")</f>
        <v>0.00534678816175926</v>
      </c>
      <c r="D130" s="154" t="n">
        <f aca="false">IFERROR(IF(OR(NOT(ISNUMBER('Price History'!D131)),NOT(ISNUMBER('Price History'!D130)),'Price History'!D130=0),"",'Price History'!D131/'Price History'!D130-1),"")</f>
        <v>-0.0129464864901775</v>
      </c>
      <c r="E130" s="154" t="n">
        <f aca="false">IFERROR(IF(OR(NOT(ISNUMBER('Price History'!E131)),NOT(ISNUMBER('Price History'!E130)),'Price History'!E130=0),"",'Price History'!E131/'Price History'!E130-1),"")</f>
        <v>-0.0393857872623401</v>
      </c>
      <c r="F130" s="154" t="n">
        <f aca="false">IFERROR(IF(OR(NOT(ISNUMBER('Price History'!F131)),NOT(ISNUMBER('Price History'!F130)),'Price History'!F130=0),"",'Price History'!F131/'Price History'!F130-1),"")</f>
        <v>-0.042717447246526</v>
      </c>
      <c r="G130" s="154" t="n">
        <f aca="false">IFERROR(IF(OR(NOT(ISNUMBER('Price History'!G131)),NOT(ISNUMBER('Price History'!G130)),'Price History'!G130=0),"",'Price History'!G131/'Price History'!G130-1),"")</f>
        <v>0.0190967569016349</v>
      </c>
      <c r="H130" s="154" t="n">
        <f aca="false">IFERROR(IF(OR(NOT(ISNUMBER('Price History'!H131)),NOT(ISNUMBER('Price History'!H130)),'Price History'!H130=0),"",'Price History'!H131/'Price History'!H130-1),"")</f>
        <v>-0.036899420452421</v>
      </c>
      <c r="I130" s="154" t="n">
        <f aca="false">IFERROR(IF(OR(NOT(ISNUMBER('Price History'!I131)),NOT(ISNUMBER('Price History'!I130)),'Price History'!I130=0),"",'Price History'!I131/'Price History'!I130-1),"")</f>
        <v>-0.066532896821206</v>
      </c>
      <c r="J130" s="154" t="n">
        <f aca="false">IFERROR(IF(OR(NOT(ISNUMBER('Price History'!J131)),NOT(ISNUMBER('Price History'!J130)),'Price History'!J130=0),"",'Price History'!J131/'Price History'!J130-1),"")</f>
        <v>0.00752151587473771</v>
      </c>
      <c r="K130" s="154" t="n">
        <f aca="false">IFERROR(IF(OR(NOT(ISNUMBER('Price History'!K131)),NOT(ISNUMBER('Price History'!K130)),'Price History'!K130=0),"",'Price History'!K131/'Price History'!K130-1),"")</f>
        <v>0.014418811002662</v>
      </c>
      <c r="L130" s="154" t="n">
        <f aca="false">IFERROR(IF(OR(NOT(ISNUMBER('Price History'!L131)),NOT(ISNUMBER('Price History'!L130)),'Price History'!L130=0),"",'Price History'!L131/'Price History'!L130-1),"")</f>
        <v>0.0109071127430982</v>
      </c>
      <c r="M130" s="154" t="n">
        <f aca="false">IFERROR(IF(OR(NOT(ISNUMBER('Price History'!M131)),NOT(ISNUMBER('Price History'!M130)),'Price History'!M130=0),"",'Price History'!M131/'Price History'!M130-1),"")</f>
        <v>0.0456934066836356</v>
      </c>
      <c r="N130" s="154" t="n">
        <f aca="false">IFERROR(IF(OR(NOT(ISNUMBER('Price History'!N131)),NOT(ISNUMBER('Price History'!N130)),'Price History'!N130=0),"",'Price History'!N131/'Price History'!N130-1),"")</f>
        <v>0.0417907318096038</v>
      </c>
      <c r="O130" s="154" t="n">
        <f aca="false">IFERROR(IF(OR(NOT(ISNUMBER('Price History'!O131)),NOT(ISNUMBER('Price History'!O130)),'Price History'!O130=0),"",'Price History'!O131/'Price History'!O130-1),"")</f>
        <v>-0.0221930974224552</v>
      </c>
      <c r="P130" s="154" t="n">
        <f aca="false">IFERROR(IF(OR(NOT(ISNUMBER('Price History'!P131)),NOT(ISNUMBER('Price History'!P130)),'Price History'!P130=0),"",'Price History'!P131/'Price History'!P130-1),"")</f>
        <v>-0.0033305034937634</v>
      </c>
      <c r="Q130" s="154" t="n">
        <f aca="false">IFERROR(IF(OR(NOT(ISNUMBER('Price History'!Q131)),NOT(ISNUMBER('Price History'!Q130)),'Price History'!Q130=0),"",'Price History'!Q131/'Price History'!Q130-1),"")</f>
        <v>-0.00569203115638117</v>
      </c>
      <c r="R130" s="154" t="n">
        <f aca="false">IFERROR(IF(OR(NOT(ISNUMBER('Price History'!R131)),NOT(ISNUMBER('Price History'!R130)),'Price History'!R130=0),"",'Price History'!R131/'Price History'!R130-1),"")</f>
        <v>-0.00186567164179108</v>
      </c>
      <c r="S130" s="154" t="n">
        <f aca="false">IFERROR(IF(OR(NOT(ISNUMBER('Price History'!S131)),NOT(ISNUMBER('Price History'!S130)),'Price History'!S130=0),"",'Price History'!S131/'Price History'!S130-1),"")</f>
        <v>-0.00402549480040249</v>
      </c>
      <c r="T130" s="154" t="n">
        <f aca="false">IFERROR(IF(OR(NOT(ISNUMBER('Price History'!T131)),NOT(ISNUMBER('Price History'!T130)),'Price History'!T130=0),"",'Price History'!T131/'Price History'!T130-1),"")</f>
        <v>0.00349301397205593</v>
      </c>
      <c r="U130" s="154" t="n">
        <f aca="false">IFERROR(IF(OR(NOT(ISNUMBER('Price History'!U131)),NOT(ISNUMBER('Price History'!U130)),'Price History'!U130=0),"",'Price History'!U131/'Price History'!U130-1),"")</f>
        <v>0.00518638573743924</v>
      </c>
      <c r="V130" s="155" t="n">
        <f aca="false">IFERROR(IF(OR(NOT(ISNUMBER('Price History'!V131)),NOT(ISNUMBER('Price History'!V130)),'Price History'!V130=0),"",'Price History'!V131/'Price History'!V130-1),"")</f>
        <v>-0.00250242422346647</v>
      </c>
      <c r="W130" s="156" t="n">
        <f aca="false">IFERROR('Price History'!B3+(INDEX('Price History'!B:B,MATCH(9.99E+307,'Returns (Calc)'!$A:$A)+1)-'Price History'!B3)*(ROW()-3)/(MATCH(9.99E+307,'Returns (Calc)'!$A:$A)-3),"")</f>
        <v>294.82417721519</v>
      </c>
      <c r="X130" s="156" t="n">
        <f aca="false">IFERROR('Price History'!C3+(INDEX('Price History'!C:C,MATCH(9.99E+307,'Returns (Calc)'!$A:$A)+1)-'Price History'!C3)*(ROW()-3)/(MATCH(9.99E+307,'Returns (Calc)'!$A:$A)-3),"")</f>
        <v>175.728037974684</v>
      </c>
      <c r="Y130" s="156" t="n">
        <f aca="false">IFERROR('Price History'!D3+(INDEX('Price History'!D:D,MATCH(9.99E+307,'Returns (Calc)'!$A:$A)+1)-'Price History'!D3)*(ROW()-3)/(MATCH(9.99E+307,'Returns (Calc)'!$A:$A)-3),"")</f>
        <v>1615.13088607595</v>
      </c>
      <c r="Z130" s="156" t="n">
        <f aca="false">IFERROR('Price History'!E3+(INDEX('Price History'!E:E,MATCH(9.99E+307,'Returns (Calc)'!$A:$A)+1)-'Price History'!E3)*(ROW()-3)/(MATCH(9.99E+307,'Returns (Calc)'!$A:$A)-3),"")</f>
        <v>301.549240506329</v>
      </c>
      <c r="AA130" s="156" t="n">
        <f aca="false">IFERROR('Price History'!F3+(INDEX('Price History'!F:F,MATCH(9.99E+307,'Returns (Calc)'!$A:$A)+1)-'Price History'!F3)*(ROW()-3)/(MATCH(9.99E+307,'Returns (Calc)'!$A:$A)-3),"")</f>
        <v>225.172405063291</v>
      </c>
      <c r="AB130" s="156" t="n">
        <f aca="false">IFERROR('Price History'!G3+(INDEX('Price History'!G:G,MATCH(9.99E+307,'Returns (Calc)'!$A:$A)+1)-'Price History'!G3)*(ROW()-3)/(MATCH(9.99E+307,'Returns (Calc)'!$A:$A)-3),"")</f>
        <v>174.999240506329</v>
      </c>
      <c r="AC130" s="156" t="n">
        <f aca="false">IFERROR('Price History'!H3+(INDEX('Price History'!H:H,MATCH(9.99E+307,'Returns (Calc)'!$A:$A)+1)-'Price History'!H3)*(ROW()-3)/(MATCH(9.99E+307,'Returns (Calc)'!$A:$A)-3),"")</f>
        <v>877.553417721519</v>
      </c>
      <c r="AD130" s="156" t="n">
        <f aca="false">IFERROR('Price History'!I3+(INDEX('Price History'!I:I,MATCH(9.99E+307,'Returns (Calc)'!$A:$A)+1)-'Price History'!I3)*(ROW()-3)/(MATCH(9.99E+307,'Returns (Calc)'!$A:$A)-3),"")</f>
        <v>196.636202531646</v>
      </c>
      <c r="AE130" s="156" t="n">
        <f aca="false">IFERROR('Price History'!J3+(INDEX('Price History'!J:J,MATCH(9.99E+307,'Returns (Calc)'!$A:$A)+1)-'Price History'!J3)*(ROW()-3)/(MATCH(9.99E+307,'Returns (Calc)'!$A:$A)-3),"")</f>
        <v>125.56082278481</v>
      </c>
      <c r="AF130" s="156" t="n">
        <f aca="false">IFERROR('Price History'!K3+(INDEX('Price History'!K:K,MATCH(9.99E+307,'Returns (Calc)'!$A:$A)+1)-'Price History'!K3)*(ROW()-3)/(MATCH(9.99E+307,'Returns (Calc)'!$A:$A)-3),"")</f>
        <v>154.724556962025</v>
      </c>
      <c r="AG130" s="156" t="n">
        <f aca="false">IFERROR('Price History'!L3+(INDEX('Price History'!L:L,MATCH(9.99E+307,'Returns (Calc)'!$A:$A)+1)-'Price History'!L3)*(ROW()-3)/(MATCH(9.99E+307,'Returns (Calc)'!$A:$A)-3),"")</f>
        <v>396.843734177215</v>
      </c>
      <c r="AH130" s="156" t="n">
        <f aca="false">IFERROR('Price History'!M3+(INDEX('Price History'!M:M,MATCH(9.99E+307,'Returns (Calc)'!$A:$A)+1)-'Price History'!M3)*(ROW()-3)/(MATCH(9.99E+307,'Returns (Calc)'!$A:$A)-3),"")</f>
        <v>210.161265822785</v>
      </c>
      <c r="AI130" s="156" t="n">
        <f aca="false">IFERROR('Price History'!N3+(INDEX('Price History'!N:N,MATCH(9.99E+307,'Returns (Calc)'!$A:$A)+1)-'Price History'!N3)*(ROW()-3)/(MATCH(9.99E+307,'Returns (Calc)'!$A:$A)-3),"")</f>
        <v>474.155759493671</v>
      </c>
      <c r="AJ130" s="156" t="n">
        <f aca="false">IFERROR('Price History'!O3+(INDEX('Price History'!O:O,MATCH(9.99E+307,'Returns (Calc)'!$A:$A)+1)-'Price History'!O3)*(ROW()-3)/(MATCH(9.99E+307,'Returns (Calc)'!$A:$A)-3),"")</f>
        <v>111.25582278481</v>
      </c>
      <c r="AK130" s="156" t="n">
        <f aca="false">IFERROR('Price History'!Q3+(INDEX('Price History'!Q:Q,MATCH(9.99E+307,'Returns (Calc)'!$A:$A)+1)-'Price History'!Q3)*(ROW()-3)/(MATCH(9.99E+307,'Returns (Calc)'!$A:$A)-3),"")</f>
        <v>55.7996202531646</v>
      </c>
      <c r="AL130" s="156" t="n">
        <f aca="false">IFERROR('Price History'!R3+(INDEX('Price History'!R:R,MATCH(9.99E+307,'Returns (Calc)'!$A:$A)+1)-'Price History'!R3)*(ROW()-3)/(MATCH(9.99E+307,'Returns (Calc)'!$A:$A)-3),"")</f>
        <v>55.8288607594937</v>
      </c>
      <c r="AM130" s="156" t="n">
        <f aca="false">IFERROR('Price History'!S3+(INDEX('Price History'!S:S,MATCH(9.99E+307,'Returns (Calc)'!$A:$A)+1)-'Price History'!S3)*(ROW()-3)/(MATCH(9.99E+307,'Returns (Calc)'!$A:$A)-3),"")</f>
        <v>134.473037974684</v>
      </c>
      <c r="AN130" s="156" t="n">
        <f aca="false">IFERROR('Price History'!T3+(INDEX('Price History'!T:T,MATCH(9.99E+307,'Returns (Calc)'!$A:$A)+1)-'Price History'!T3)*(ROW()-3)/(MATCH(9.99E+307,'Returns (Calc)'!$A:$A)-3),"")</f>
        <v>46.6049367088608</v>
      </c>
      <c r="AO130" s="157" t="n">
        <f aca="false">IFERROR('Price History'!V3+(INDEX('Price History'!V:V,MATCH(9.99E+307,'Returns (Calc)'!$A:$A)+1)-'Price History'!V3)*(ROW()-3)/(MATCH(9.99E+307,'Returns (Calc)'!$A:$A)-3),"")</f>
        <v>336.128797468354</v>
      </c>
      <c r="AP130" s="155" t="n">
        <f aca="false">IFERROR(IF(OR(NOT(ISNUMBER('Price History'!W131)),NOT(ISNUMBER('Price History'!W130)),'Price History'!W130=0),"",'Price History'!W131/'Price History'!W130-1),"")</f>
        <v>-0.00327118089630352</v>
      </c>
      <c r="AQ130" s="155" t="n">
        <f aca="false">IFERROR(IF(OR(NOT(ISNUMBER('Price History'!X131)),NOT(ISNUMBER('Price History'!X130)),'Price History'!X130=0),"",'Price History'!X131/'Price History'!X130-1),"")</f>
        <v>0.0100850306505833</v>
      </c>
      <c r="AR130" s="155" t="n">
        <f aca="false">IFERROR(IF(OR(NOT(ISNUMBER('Price History'!Y131)),NOT(ISNUMBER('Price History'!Y130)),'Price History'!Y130=0),"",'Price History'!Y131/'Price History'!Y130-1),"")</f>
        <v>0.00638637573177214</v>
      </c>
      <c r="AS130" s="155" t="n">
        <f aca="false">IFERROR(IF(OR(NOT(ISNUMBER('Price History'!Z131)),NOT(ISNUMBER('Price History'!Z130)),'Price History'!Z130=0),"",'Price History'!Z131/'Price History'!Z130-1),"")</f>
        <v>-0.00277542434777545</v>
      </c>
      <c r="AT130" s="155" t="n">
        <f aca="false">IFERROR(IF(OR(NOT(ISNUMBER('Price History'!AA131)),NOT(ISNUMBER('Price History'!AA130)),'Price History'!AA130=0),"",'Price History'!AA131/'Price History'!AA130-1),"")</f>
        <v>0.22333799415279</v>
      </c>
      <c r="AU130" s="155" t="n">
        <f aca="false">IFERROR(IF(OR(NOT(ISNUMBER('Price History'!AB131)),NOT(ISNUMBER('Price History'!AB130)),'Price History'!AB130=0),"",'Price History'!AB131/'Price History'!AB130-1),"")</f>
        <v>0.00942820697687319</v>
      </c>
    </row>
    <row r="131" customFormat="false" ht="15" hidden="false" customHeight="true" outlineLevel="0" collapsed="false">
      <c r="A131" s="153" t="n">
        <f aca="false">IF('Price History'!A132="","",'Price History'!A132)</f>
        <v>46087</v>
      </c>
      <c r="B131" s="154" t="n">
        <f aca="false">IFERROR(IF(OR(NOT(ISNUMBER('Price History'!B132)),NOT(ISNUMBER('Price History'!B131)),'Price History'!B131=0),"",'Price History'!B132/'Price History'!B131-1),"")</f>
        <v>0.0808277123585228</v>
      </c>
      <c r="C131" s="154" t="n">
        <f aca="false">IFERROR(IF(OR(NOT(ISNUMBER('Price History'!C132)),NOT(ISNUMBER('Price History'!C131)),'Price History'!C131=0),"",'Price History'!C132/'Price History'!C131-1),"")</f>
        <v>-0.0045692883895132</v>
      </c>
      <c r="D131" s="154" t="n">
        <f aca="false">IFERROR(IF(OR(NOT(ISNUMBER('Price History'!D132)),NOT(ISNUMBER('Price History'!D131)),'Price History'!D131=0),"",'Price History'!D132/'Price History'!D131-1),"")</f>
        <v>-0.108755958022317</v>
      </c>
      <c r="E131" s="154" t="n">
        <f aca="false">IFERROR(IF(OR(NOT(ISNUMBER('Price History'!E132)),NOT(ISNUMBER('Price History'!E131)),'Price History'!E131=0),"",'Price History'!E132/'Price History'!E131-1),"")</f>
        <v>0.0342039018250473</v>
      </c>
      <c r="F131" s="154" t="n">
        <f aca="false">IFERROR(IF(OR(NOT(ISNUMBER('Price History'!F132)),NOT(ISNUMBER('Price History'!F131)),'Price History'!F131=0),"",'Price History'!F132/'Price History'!F131-1),"")</f>
        <v>0.153225806451613</v>
      </c>
      <c r="G131" s="154" t="n">
        <f aca="false">IFERROR(IF(OR(NOT(ISNUMBER('Price History'!G132)),NOT(ISNUMBER('Price History'!G131)),'Price History'!G131=0),"",'Price History'!G132/'Price History'!G131-1),"")</f>
        <v>-0.118087974225787</v>
      </c>
      <c r="H131" s="154" t="n">
        <f aca="false">IFERROR(IF(OR(NOT(ISNUMBER('Price History'!H132)),NOT(ISNUMBER('Price History'!H131)),'Price History'!H131=0),"",'Price History'!H132/'Price History'!H131-1),"")</f>
        <v>-0.102006648387645</v>
      </c>
      <c r="I131" s="154" t="n">
        <f aca="false">IFERROR(IF(OR(NOT(ISNUMBER('Price History'!I132)),NOT(ISNUMBER('Price History'!I131)),'Price History'!I131=0),"",'Price History'!I132/'Price History'!I131-1),"")</f>
        <v>0.00350718407059625</v>
      </c>
      <c r="J131" s="154" t="n">
        <f aca="false">IFERROR(IF(OR(NOT(ISNUMBER('Price History'!J132)),NOT(ISNUMBER('Price History'!J131)),'Price History'!J131=0),"",'Price History'!J132/'Price History'!J131-1),"")</f>
        <v>-0.0563491493790825</v>
      </c>
      <c r="K131" s="154" t="n">
        <f aca="false">IFERROR(IF(OR(NOT(ISNUMBER('Price History'!K132)),NOT(ISNUMBER('Price History'!K131)),'Price History'!K131=0),"",'Price History'!K132/'Price History'!K131-1),"")</f>
        <v>0.145564545520811</v>
      </c>
      <c r="L131" s="154" t="n">
        <f aca="false">IFERROR(IF(OR(NOT(ISNUMBER('Price History'!L132)),NOT(ISNUMBER('Price History'!L131)),'Price History'!L131=0),"",'Price History'!L132/'Price History'!L131-1),"")</f>
        <v>-0.0952752515740193</v>
      </c>
      <c r="M131" s="154" t="n">
        <f aca="false">IFERROR(IF(OR(NOT(ISNUMBER('Price History'!M132)),NOT(ISNUMBER('Price History'!M131)),'Price History'!M131=0),"",'Price History'!M132/'Price History'!M131-1),"")</f>
        <v>-0.051431039221075</v>
      </c>
      <c r="N131" s="154" t="n">
        <f aca="false">IFERROR(IF(OR(NOT(ISNUMBER('Price History'!N132)),NOT(ISNUMBER('Price History'!N131)),'Price History'!N131=0),"",'Price History'!N132/'Price History'!N131-1),"")</f>
        <v>-0.0807922226918664</v>
      </c>
      <c r="O131" s="154" t="n">
        <f aca="false">IFERROR(IF(OR(NOT(ISNUMBER('Price History'!O132)),NOT(ISNUMBER('Price History'!O131)),'Price History'!O131=0),"",'Price History'!O132/'Price History'!O131-1),"")</f>
        <v>-0.0383343758377267</v>
      </c>
      <c r="P131" s="154" t="n">
        <f aca="false">IFERROR(IF(OR(NOT(ISNUMBER('Price History'!P132)),NOT(ISNUMBER('Price History'!P131)),'Price History'!P131=0),"",'Price History'!P132/'Price History'!P131-1),"")</f>
        <v>-0.0247018739352641</v>
      </c>
      <c r="Q131" s="154" t="n">
        <f aca="false">IFERROR(IF(OR(NOT(ISNUMBER('Price History'!Q132)),NOT(ISNUMBER('Price History'!Q131)),'Price History'!Q131=0),"",'Price History'!Q132/'Price History'!Q131-1),"")</f>
        <v>-0.0112985839108165</v>
      </c>
      <c r="R131" s="154" t="n">
        <f aca="false">IFERROR(IF(OR(NOT(ISNUMBER('Price History'!R132)),NOT(ISNUMBER('Price History'!R131)),'Price History'!R131=0),"",'Price History'!R132/'Price History'!R131-1),"")</f>
        <v>-0.0119626168224299</v>
      </c>
      <c r="S131" s="154" t="n">
        <f aca="false">IFERROR(IF(OR(NOT(ISNUMBER('Price History'!S132)),NOT(ISNUMBER('Price History'!S131)),'Price History'!S131=0),"",'Price History'!S132/'Price History'!S131-1),"")</f>
        <v>-0.0103570225665207</v>
      </c>
      <c r="T131" s="154" t="n">
        <f aca="false">IFERROR(IF(OR(NOT(ISNUMBER('Price History'!T132)),NOT(ISNUMBER('Price History'!T131)),'Price History'!T131=0),"",'Price History'!T132/'Price History'!T131-1),"")</f>
        <v>-0.00919940328194924</v>
      </c>
      <c r="U131" s="154" t="n">
        <f aca="false">IFERROR(IF(OR(NOT(ISNUMBER('Price History'!U132)),NOT(ISNUMBER('Price History'!U131)),'Price History'!U131=0),"",'Price History'!U132/'Price History'!U131-1),"")</f>
        <v>-0.0203160270880361</v>
      </c>
      <c r="V131" s="155" t="n">
        <f aca="false">IFERROR(IF(OR(NOT(ISNUMBER('Price History'!V132)),NOT(ISNUMBER('Price History'!V131)),'Price History'!V131=0),"",'Price History'!V132/'Price History'!V131-1),"")</f>
        <v>-0.00868638088369023</v>
      </c>
      <c r="W131" s="156" t="n">
        <f aca="false">IFERROR('Price History'!B3+(INDEX('Price History'!B:B,MATCH(9.99E+307,'Returns (Calc)'!$A:$A)+1)-'Price History'!B3)*(ROW()-3)/(MATCH(9.99E+307,'Returns (Calc)'!$A:$A)-3),"")</f>
        <v>292.981139240506</v>
      </c>
      <c r="X131" s="156" t="n">
        <f aca="false">IFERROR('Price History'!C3+(INDEX('Price History'!C:C,MATCH(9.99E+307,'Returns (Calc)'!$A:$A)+1)-'Price History'!C3)*(ROW()-3)/(MATCH(9.99E+307,'Returns (Calc)'!$A:$A)-3),"")</f>
        <v>176.748101265823</v>
      </c>
      <c r="Y131" s="156" t="n">
        <f aca="false">IFERROR('Price History'!D3+(INDEX('Price History'!D:D,MATCH(9.99E+307,'Returns (Calc)'!$A:$A)+1)-'Price History'!D3)*(ROW()-3)/(MATCH(9.99E+307,'Returns (Calc)'!$A:$A)-3),"")</f>
        <v>1623.26569620253</v>
      </c>
      <c r="Z131" s="156" t="n">
        <f aca="false">IFERROR('Price History'!E3+(INDEX('Price History'!E:E,MATCH(9.99E+307,'Returns (Calc)'!$A:$A)+1)-'Price History'!E3)*(ROW()-3)/(MATCH(9.99E+307,'Returns (Calc)'!$A:$A)-3),"")</f>
        <v>303.277974683544</v>
      </c>
      <c r="AA131" s="156" t="n">
        <f aca="false">IFERROR('Price History'!F3+(INDEX('Price History'!F:F,MATCH(9.99E+307,'Returns (Calc)'!$A:$A)+1)-'Price History'!F3)*(ROW()-3)/(MATCH(9.99E+307,'Returns (Calc)'!$A:$A)-3),"")</f>
        <v>226.619746835443</v>
      </c>
      <c r="AB131" s="156" t="n">
        <f aca="false">IFERROR('Price History'!G3+(INDEX('Price History'!G:G,MATCH(9.99E+307,'Returns (Calc)'!$A:$A)+1)-'Price History'!G3)*(ROW()-3)/(MATCH(9.99E+307,'Returns (Calc)'!$A:$A)-3),"")</f>
        <v>176.027974683544</v>
      </c>
      <c r="AC131" s="156" t="n">
        <f aca="false">IFERROR('Price History'!H3+(INDEX('Price History'!H:H,MATCH(9.99E+307,'Returns (Calc)'!$A:$A)+1)-'Price History'!H3)*(ROW()-3)/(MATCH(9.99E+307,'Returns (Calc)'!$A:$A)-3),"")</f>
        <v>883.919113924051</v>
      </c>
      <c r="AD131" s="156" t="n">
        <f aca="false">IFERROR('Price History'!I3+(INDEX('Price History'!I:I,MATCH(9.99E+307,'Returns (Calc)'!$A:$A)+1)-'Price History'!I3)*(ROW()-3)/(MATCH(9.99E+307,'Returns (Calc)'!$A:$A)-3),"")</f>
        <v>197.839873417722</v>
      </c>
      <c r="AE131" s="156" t="n">
        <f aca="false">IFERROR('Price History'!J3+(INDEX('Price History'!J:J,MATCH(9.99E+307,'Returns (Calc)'!$A:$A)+1)-'Price History'!J3)*(ROW()-3)/(MATCH(9.99E+307,'Returns (Calc)'!$A:$A)-3),"")</f>
        <v>125.668860759494</v>
      </c>
      <c r="AF131" s="156" t="n">
        <f aca="false">IFERROR('Price History'!K3+(INDEX('Price History'!K:K,MATCH(9.99E+307,'Returns (Calc)'!$A:$A)+1)-'Price History'!K3)*(ROW()-3)/(MATCH(9.99E+307,'Returns (Calc)'!$A:$A)-3),"")</f>
        <v>155.822151898734</v>
      </c>
      <c r="AG131" s="156" t="n">
        <f aca="false">IFERROR('Price History'!L3+(INDEX('Price History'!L:L,MATCH(9.99E+307,'Returns (Calc)'!$A:$A)+1)-'Price History'!L3)*(ROW()-3)/(MATCH(9.99E+307,'Returns (Calc)'!$A:$A)-3),"")</f>
        <v>399.29329113924</v>
      </c>
      <c r="AH131" s="156" t="n">
        <f aca="false">IFERROR('Price History'!M3+(INDEX('Price History'!M:M,MATCH(9.99E+307,'Returns (Calc)'!$A:$A)+1)-'Price History'!M3)*(ROW()-3)/(MATCH(9.99E+307,'Returns (Calc)'!$A:$A)-3),"")</f>
        <v>211.51670886076</v>
      </c>
      <c r="AI131" s="156" t="n">
        <f aca="false">IFERROR('Price History'!N3+(INDEX('Price History'!N:N,MATCH(9.99E+307,'Returns (Calc)'!$A:$A)+1)-'Price History'!N3)*(ROW()-3)/(MATCH(9.99E+307,'Returns (Calc)'!$A:$A)-3),"")</f>
        <v>475.142025316456</v>
      </c>
      <c r="AJ131" s="156" t="n">
        <f aca="false">IFERROR('Price History'!O3+(INDEX('Price History'!O:O,MATCH(9.99E+307,'Returns (Calc)'!$A:$A)+1)-'Price History'!O3)*(ROW()-3)/(MATCH(9.99E+307,'Returns (Calc)'!$A:$A)-3),"")</f>
        <v>111.538860759494</v>
      </c>
      <c r="AK131" s="156" t="n">
        <f aca="false">IFERROR('Price History'!Q3+(INDEX('Price History'!Q:Q,MATCH(9.99E+307,'Returns (Calc)'!$A:$A)+1)-'Price History'!Q3)*(ROW()-3)/(MATCH(9.99E+307,'Returns (Calc)'!$A:$A)-3),"")</f>
        <v>56.2389873417722</v>
      </c>
      <c r="AL131" s="156" t="n">
        <f aca="false">IFERROR('Price History'!R3+(INDEX('Price History'!R:R,MATCH(9.99E+307,'Returns (Calc)'!$A:$A)+1)-'Price History'!R3)*(ROW()-3)/(MATCH(9.99E+307,'Returns (Calc)'!$A:$A)-3),"")</f>
        <v>55.9969620253165</v>
      </c>
      <c r="AM131" s="156" t="n">
        <f aca="false">IFERROR('Price History'!S3+(INDEX('Price History'!S:S,MATCH(9.99E+307,'Returns (Calc)'!$A:$A)+1)-'Price History'!S3)*(ROW()-3)/(MATCH(9.99E+307,'Returns (Calc)'!$A:$A)-3),"")</f>
        <v>135.078101265823</v>
      </c>
      <c r="AN131" s="156" t="n">
        <f aca="false">IFERROR('Price History'!T3+(INDEX('Price History'!T:T,MATCH(9.99E+307,'Returns (Calc)'!$A:$A)+1)-'Price History'!T3)*(ROW()-3)/(MATCH(9.99E+307,'Returns (Calc)'!$A:$A)-3),"")</f>
        <v>46.773164556962</v>
      </c>
      <c r="AO131" s="157" t="n">
        <f aca="false">IFERROR('Price History'!V3+(INDEX('Price History'!V:V,MATCH(9.99E+307,'Returns (Calc)'!$A:$A)+1)-'Price History'!V3)*(ROW()-3)/(MATCH(9.99E+307,'Returns (Calc)'!$A:$A)-3),"")</f>
        <v>336.920126582279</v>
      </c>
      <c r="AP131" s="155" t="n">
        <f aca="false">IFERROR(IF(OR(NOT(ISNUMBER('Price History'!W132)),NOT(ISNUMBER('Price History'!W131)),'Price History'!W131=0),"",'Price History'!W132/'Price History'!W131-1),"")</f>
        <v>-0.0278306531014111</v>
      </c>
      <c r="AQ131" s="155" t="n">
        <f aca="false">IFERROR(IF(OR(NOT(ISNUMBER('Price History'!X132)),NOT(ISNUMBER('Price History'!X131)),'Price History'!X131=0),"",'Price History'!X132/'Price History'!X131-1),"")</f>
        <v>0.00998433829287393</v>
      </c>
      <c r="AR131" s="155" t="n">
        <f aca="false">IFERROR(IF(OR(NOT(ISNUMBER('Price History'!Y132)),NOT(ISNUMBER('Price History'!Y131)),'Price History'!Y131=0),"",'Price History'!Y132/'Price History'!Y131-1),"")</f>
        <v>-0.024149479992949</v>
      </c>
      <c r="AS131" s="155" t="n">
        <f aca="false">IFERROR(IF(OR(NOT(ISNUMBER('Price History'!Z132)),NOT(ISNUMBER('Price History'!Z131)),'Price History'!Z131=0),"",'Price History'!Z132/'Price History'!Z131-1),"")</f>
        <v>-0.0559559383605788</v>
      </c>
      <c r="AT131" s="155" t="n">
        <f aca="false">IFERROR(IF(OR(NOT(ISNUMBER('Price History'!AA132)),NOT(ISNUMBER('Price History'!AA131)),'Price History'!AA131=0),"",'Price History'!AA132/'Price History'!AA131-1),"")</f>
        <v>0.0288861180382378</v>
      </c>
      <c r="AU131" s="155" t="n">
        <f aca="false">IFERROR(IF(OR(NOT(ISNUMBER('Price History'!AB132)),NOT(ISNUMBER('Price History'!AB131)),'Price History'!AB131=0),"",'Price History'!AB132/'Price History'!AB131-1),"")</f>
        <v>0.0740618647327072</v>
      </c>
    </row>
    <row r="132" customFormat="false" ht="15" hidden="false" customHeight="true" outlineLevel="0" collapsed="false">
      <c r="A132" s="153" t="n">
        <f aca="false">IF('Price History'!A133="","",'Price History'!A133)</f>
        <v>46094</v>
      </c>
      <c r="B132" s="154" t="n">
        <f aca="false">IFERROR(IF(OR(NOT(ISNUMBER('Price History'!B133)),NOT(ISNUMBER('Price History'!B132)),'Price History'!B132=0),"",'Price History'!B133/'Price History'!B132-1),"")</f>
        <v>-0.120936464283196</v>
      </c>
      <c r="C132" s="154" t="n">
        <f aca="false">IFERROR(IF(OR(NOT(ISNUMBER('Price History'!C133)),NOT(ISNUMBER('Price History'!C132)),'Price History'!C132=0),"",'Price History'!C133/'Price History'!C132-1),"")</f>
        <v>0.00511701407178866</v>
      </c>
      <c r="D132" s="154" t="n">
        <f aca="false">IFERROR(IF(OR(NOT(ISNUMBER('Price History'!D133)),NOT(ISNUMBER('Price History'!D132)),'Price History'!D132=0),"",'Price History'!D133/'Price History'!D132-1),"")</f>
        <v>0.0409059860904124</v>
      </c>
      <c r="E132" s="154" t="n">
        <f aca="false">IFERROR(IF(OR(NOT(ISNUMBER('Price History'!E133)),NOT(ISNUMBER('Price History'!E132)),'Price History'!E132=0),"",'Price History'!E133/'Price History'!E132-1),"")</f>
        <v>-0.0251924422673199</v>
      </c>
      <c r="F132" s="154" t="n">
        <f aca="false">IFERROR(IF(OR(NOT(ISNUMBER('Price History'!F133)),NOT(ISNUMBER('Price History'!F132)),'Price History'!F132=0),"",'Price History'!F133/'Price History'!F132-1),"")</f>
        <v>0.0297435897435898</v>
      </c>
      <c r="G132" s="154" t="n">
        <f aca="false">IFERROR(IF(OR(NOT(ISNUMBER('Price History'!G133)),NOT(ISNUMBER('Price History'!G132)),'Price History'!G132=0),"",'Price History'!G133/'Price History'!G132-1),"")</f>
        <v>0.0550958025795871</v>
      </c>
      <c r="H132" s="154" t="n">
        <f aca="false">IFERROR(IF(OR(NOT(ISNUMBER('Price History'!H133)),NOT(ISNUMBER('Price History'!H132)),'Price History'!H132=0),"",'Price History'!H133/'Price History'!H132-1),"")</f>
        <v>0.150774136020968</v>
      </c>
      <c r="I132" s="154" t="n">
        <f aca="false">IFERROR(IF(OR(NOT(ISNUMBER('Price History'!I133)),NOT(ISNUMBER('Price History'!I132)),'Price History'!I132=0),"",'Price History'!I133/'Price History'!I132-1),"")</f>
        <v>0.0137542277339346</v>
      </c>
      <c r="J132" s="154" t="n">
        <f aca="false">IFERROR(IF(OR(NOT(ISNUMBER('Price History'!J133)),NOT(ISNUMBER('Price History'!J132)),'Price History'!J132=0),"",'Price History'!J133/'Price History'!J132-1),"")</f>
        <v>-0.0207667731629394</v>
      </c>
      <c r="K132" s="154" t="n">
        <f aca="false">IFERROR(IF(OR(NOT(ISNUMBER('Price History'!K133)),NOT(ISNUMBER('Price History'!K132)),'Price History'!K132=0),"",'Price History'!K133/'Price History'!K132-1),"")</f>
        <v>-0.0395138712140495</v>
      </c>
      <c r="L132" s="154" t="n">
        <f aca="false">IFERROR(IF(OR(NOT(ISNUMBER('Price History'!L133)),NOT(ISNUMBER('Price History'!L132)),'Price History'!L132=0),"",'Price History'!L133/'Price History'!L132-1),"")</f>
        <v>-0.00172490706319695</v>
      </c>
      <c r="M132" s="154" t="n">
        <f aca="false">IFERROR(IF(OR(NOT(ISNUMBER('Price History'!M133)),NOT(ISNUMBER('Price History'!M132)),'Price History'!M132=0),"",'Price History'!M133/'Price History'!M132-1),"")</f>
        <v>0.0707338272422498</v>
      </c>
      <c r="N132" s="154" t="n">
        <f aca="false">IFERROR(IF(OR(NOT(ISNUMBER('Price History'!N133)),NOT(ISNUMBER('Price History'!N132)),'Price History'!N132=0),"",'Price History'!N133/'Price History'!N132-1),"")</f>
        <v>0.0276993146335589</v>
      </c>
      <c r="O132" s="154" t="n">
        <f aca="false">IFERROR(IF(OR(NOT(ISNUMBER('Price History'!O133)),NOT(ISNUMBER('Price History'!O132)),'Price History'!O132=0),"",'Price History'!O133/'Price History'!O132-1),"")</f>
        <v>-0.0191414235272255</v>
      </c>
      <c r="P132" s="154" t="n">
        <f aca="false">IFERROR(IF(OR(NOT(ISNUMBER('Price History'!P133)),NOT(ISNUMBER('Price History'!P132)),'Price History'!P132=0),"",'Price History'!P133/'Price History'!P132-1),"")</f>
        <v>-0.0121598925092375</v>
      </c>
      <c r="Q132" s="154" t="n">
        <f aca="false">IFERROR(IF(OR(NOT(ISNUMBER('Price History'!Q133)),NOT(ISNUMBER('Price History'!Q132)),'Price History'!Q132=0),"",'Price History'!Q133/'Price History'!Q132-1),"")</f>
        <v>-0.0134085022093554</v>
      </c>
      <c r="R132" s="154" t="n">
        <f aca="false">IFERROR(IF(OR(NOT(ISNUMBER('Price History'!R133)),NOT(ISNUMBER('Price History'!R132)),'Price History'!R132=0),"",'Price History'!R133/'Price History'!R132-1),"")</f>
        <v>-0.00510783200908049</v>
      </c>
      <c r="S132" s="154" t="n">
        <f aca="false">IFERROR(IF(OR(NOT(ISNUMBER('Price History'!S133)),NOT(ISNUMBER('Price History'!S132)),'Price History'!S132=0),"",'Price History'!S133/'Price History'!S132-1),"")</f>
        <v>-0.0173572704841317</v>
      </c>
      <c r="T132" s="154" t="n">
        <f aca="false">IFERROR(IF(OR(NOT(ISNUMBER('Price History'!T133)),NOT(ISNUMBER('Price History'!T132)),'Price History'!T132=0),"",'Price History'!T133/'Price History'!T132-1),"")</f>
        <v>-0.0215809284818067</v>
      </c>
      <c r="U132" s="154" t="n">
        <f aca="false">IFERROR(IF(OR(NOT(ISNUMBER('Price History'!U133)),NOT(ISNUMBER('Price History'!U132)),'Price History'!U132=0),"",'Price History'!U133/'Price History'!U132-1),"")</f>
        <v>-0.010533245556287</v>
      </c>
      <c r="V132" s="155" t="n">
        <f aca="false">IFERROR(IF(OR(NOT(ISNUMBER('Price History'!V133)),NOT(ISNUMBER('Price History'!V132)),'Price History'!V132=0),"",'Price History'!V133/'Price History'!V132-1),"")</f>
        <v>-0.0322029609009237</v>
      </c>
      <c r="W132" s="156" t="n">
        <f aca="false">IFERROR('Price History'!B3+(INDEX('Price History'!B:B,MATCH(9.99E+307,'Returns (Calc)'!$A:$A)+1)-'Price History'!B3)*(ROW()-3)/(MATCH(9.99E+307,'Returns (Calc)'!$A:$A)-3),"")</f>
        <v>291.138101265823</v>
      </c>
      <c r="X132" s="156" t="n">
        <f aca="false">IFERROR('Price History'!C3+(INDEX('Price History'!C:C,MATCH(9.99E+307,'Returns (Calc)'!$A:$A)+1)-'Price History'!C3)*(ROW()-3)/(MATCH(9.99E+307,'Returns (Calc)'!$A:$A)-3),"")</f>
        <v>177.768164556962</v>
      </c>
      <c r="Y132" s="156" t="n">
        <f aca="false">IFERROR('Price History'!D3+(INDEX('Price History'!D:D,MATCH(9.99E+307,'Returns (Calc)'!$A:$A)+1)-'Price History'!D3)*(ROW()-3)/(MATCH(9.99E+307,'Returns (Calc)'!$A:$A)-3),"")</f>
        <v>1631.40050632911</v>
      </c>
      <c r="Z132" s="156" t="n">
        <f aca="false">IFERROR('Price History'!E3+(INDEX('Price History'!E:E,MATCH(9.99E+307,'Returns (Calc)'!$A:$A)+1)-'Price History'!E3)*(ROW()-3)/(MATCH(9.99E+307,'Returns (Calc)'!$A:$A)-3),"")</f>
        <v>305.00670886076</v>
      </c>
      <c r="AA132" s="156" t="n">
        <f aca="false">IFERROR('Price History'!F3+(INDEX('Price History'!F:F,MATCH(9.99E+307,'Returns (Calc)'!$A:$A)+1)-'Price History'!F3)*(ROW()-3)/(MATCH(9.99E+307,'Returns (Calc)'!$A:$A)-3),"")</f>
        <v>228.067088607595</v>
      </c>
      <c r="AB132" s="156" t="n">
        <f aca="false">IFERROR('Price History'!G3+(INDEX('Price History'!G:G,MATCH(9.99E+307,'Returns (Calc)'!$A:$A)+1)-'Price History'!G3)*(ROW()-3)/(MATCH(9.99E+307,'Returns (Calc)'!$A:$A)-3),"")</f>
        <v>177.05670886076</v>
      </c>
      <c r="AC132" s="156" t="n">
        <f aca="false">IFERROR('Price History'!H3+(INDEX('Price History'!H:H,MATCH(9.99E+307,'Returns (Calc)'!$A:$A)+1)-'Price History'!H3)*(ROW()-3)/(MATCH(9.99E+307,'Returns (Calc)'!$A:$A)-3),"")</f>
        <v>890.284810126582</v>
      </c>
      <c r="AD132" s="156" t="n">
        <f aca="false">IFERROR('Price History'!I3+(INDEX('Price History'!I:I,MATCH(9.99E+307,'Returns (Calc)'!$A:$A)+1)-'Price History'!I3)*(ROW()-3)/(MATCH(9.99E+307,'Returns (Calc)'!$A:$A)-3),"")</f>
        <v>199.043544303797</v>
      </c>
      <c r="AE132" s="156" t="n">
        <f aca="false">IFERROR('Price History'!J3+(INDEX('Price History'!J:J,MATCH(9.99E+307,'Returns (Calc)'!$A:$A)+1)-'Price History'!J3)*(ROW()-3)/(MATCH(9.99E+307,'Returns (Calc)'!$A:$A)-3),"")</f>
        <v>125.776898734177</v>
      </c>
      <c r="AF132" s="156" t="n">
        <f aca="false">IFERROR('Price History'!K3+(INDEX('Price History'!K:K,MATCH(9.99E+307,'Returns (Calc)'!$A:$A)+1)-'Price History'!K3)*(ROW()-3)/(MATCH(9.99E+307,'Returns (Calc)'!$A:$A)-3),"")</f>
        <v>156.919746835443</v>
      </c>
      <c r="AG132" s="156" t="n">
        <f aca="false">IFERROR('Price History'!L3+(INDEX('Price History'!L:L,MATCH(9.99E+307,'Returns (Calc)'!$A:$A)+1)-'Price History'!L3)*(ROW()-3)/(MATCH(9.99E+307,'Returns (Calc)'!$A:$A)-3),"")</f>
        <v>401.742848101266</v>
      </c>
      <c r="AH132" s="156" t="n">
        <f aca="false">IFERROR('Price History'!M3+(INDEX('Price History'!M:M,MATCH(9.99E+307,'Returns (Calc)'!$A:$A)+1)-'Price History'!M3)*(ROW()-3)/(MATCH(9.99E+307,'Returns (Calc)'!$A:$A)-3),"")</f>
        <v>212.872151898734</v>
      </c>
      <c r="AI132" s="156" t="n">
        <f aca="false">IFERROR('Price History'!N3+(INDEX('Price History'!N:N,MATCH(9.99E+307,'Returns (Calc)'!$A:$A)+1)-'Price History'!N3)*(ROW()-3)/(MATCH(9.99E+307,'Returns (Calc)'!$A:$A)-3),"")</f>
        <v>476.128291139241</v>
      </c>
      <c r="AJ132" s="156" t="n">
        <f aca="false">IFERROR('Price History'!O3+(INDEX('Price History'!O:O,MATCH(9.99E+307,'Returns (Calc)'!$A:$A)+1)-'Price History'!O3)*(ROW()-3)/(MATCH(9.99E+307,'Returns (Calc)'!$A:$A)-3),"")</f>
        <v>111.821898734177</v>
      </c>
      <c r="AK132" s="156" t="n">
        <f aca="false">IFERROR('Price History'!Q3+(INDEX('Price History'!Q:Q,MATCH(9.99E+307,'Returns (Calc)'!$A:$A)+1)-'Price History'!Q3)*(ROW()-3)/(MATCH(9.99E+307,'Returns (Calc)'!$A:$A)-3),"")</f>
        <v>56.6783544303798</v>
      </c>
      <c r="AL132" s="156" t="n">
        <f aca="false">IFERROR('Price History'!R3+(INDEX('Price History'!R:R,MATCH(9.99E+307,'Returns (Calc)'!$A:$A)+1)-'Price History'!R3)*(ROW()-3)/(MATCH(9.99E+307,'Returns (Calc)'!$A:$A)-3),"")</f>
        <v>56.1650632911392</v>
      </c>
      <c r="AM132" s="156" t="n">
        <f aca="false">IFERROR('Price History'!S3+(INDEX('Price History'!S:S,MATCH(9.99E+307,'Returns (Calc)'!$A:$A)+1)-'Price History'!S3)*(ROW()-3)/(MATCH(9.99E+307,'Returns (Calc)'!$A:$A)-3),"")</f>
        <v>135.683164556962</v>
      </c>
      <c r="AN132" s="156" t="n">
        <f aca="false">IFERROR('Price History'!T3+(INDEX('Price History'!T:T,MATCH(9.99E+307,'Returns (Calc)'!$A:$A)+1)-'Price History'!T3)*(ROW()-3)/(MATCH(9.99E+307,'Returns (Calc)'!$A:$A)-3),"")</f>
        <v>46.9413924050633</v>
      </c>
      <c r="AO132" s="157" t="n">
        <f aca="false">IFERROR('Price History'!V3+(INDEX('Price History'!V:V,MATCH(9.99E+307,'Returns (Calc)'!$A:$A)+1)-'Price History'!V3)*(ROW()-3)/(MATCH(9.99E+307,'Returns (Calc)'!$A:$A)-3),"")</f>
        <v>337.711455696203</v>
      </c>
      <c r="AP132" s="155" t="n">
        <f aca="false">IFERROR(IF(OR(NOT(ISNUMBER('Price History'!W133)),NOT(ISNUMBER('Price History'!W132)),'Price History'!W132=0),"",'Price History'!W133/'Price History'!W132-1),"")</f>
        <v>-0.0153264465599893</v>
      </c>
      <c r="AQ132" s="155" t="n">
        <f aca="false">IFERROR(IF(OR(NOT(ISNUMBER('Price History'!X133)),NOT(ISNUMBER('Price History'!X132)),'Price History'!X132=0),"",'Price History'!X133/'Price History'!X132-1),"")</f>
        <v>-0.00426439232409392</v>
      </c>
      <c r="AR132" s="155" t="n">
        <f aca="false">IFERROR(IF(OR(NOT(ISNUMBER('Price History'!Y133)),NOT(ISNUMBER('Price History'!Y132)),'Price History'!Y132=0),"",'Price History'!Y133/'Price History'!Y132-1),"")</f>
        <v>-0.0171604046242775</v>
      </c>
      <c r="AS132" s="155" t="n">
        <f aca="false">IFERROR(IF(OR(NOT(ISNUMBER('Price History'!Z133)),NOT(ISNUMBER('Price History'!Z132)),'Price History'!Z132=0),"",'Price History'!Z133/'Price History'!Z132-1),"")</f>
        <v>-0.0711271102284012</v>
      </c>
      <c r="AT132" s="155" t="n">
        <f aca="false">IFERROR(IF(OR(NOT(ISNUMBER('Price History'!AA133)),NOT(ISNUMBER('Price History'!AA132)),'Price History'!AA132=0),"",'Price History'!AA133/'Price History'!AA132-1),"")</f>
        <v>-0.0374671783478084</v>
      </c>
      <c r="AU132" s="155" t="n">
        <f aca="false">IFERROR(IF(OR(NOT(ISNUMBER('Price History'!AB133)),NOT(ISNUMBER('Price History'!AB132)),'Price History'!AB132=0),"",'Price History'!AB133/'Price History'!AB132-1),"")</f>
        <v>-0.0849659829147271</v>
      </c>
    </row>
    <row r="133" customFormat="false" ht="15" hidden="false" customHeight="true" outlineLevel="0" collapsed="false">
      <c r="A133" s="153" t="n">
        <f aca="false">IF('Price History'!A134="","",'Price History'!A134)</f>
        <v>46101</v>
      </c>
      <c r="B133" s="154" t="n">
        <f aca="false">IFERROR(IF(OR(NOT(ISNUMBER('Price History'!B134)),NOT(ISNUMBER('Price History'!B133)),'Price History'!B133=0),"",'Price History'!B134/'Price History'!B133-1),"")</f>
        <v>-0.0046927643189475</v>
      </c>
      <c r="C133" s="154" t="n">
        <f aca="false">IFERROR(IF(OR(NOT(ISNUMBER('Price History'!C134)),NOT(ISNUMBER('Price History'!C133)),'Price History'!C133=0),"",'Price History'!C134/'Price History'!C133-1),"")</f>
        <v>-0.0175937710563749</v>
      </c>
      <c r="D133" s="154" t="n">
        <f aca="false">IFERROR(IF(OR(NOT(ISNUMBER('Price History'!D134)),NOT(ISNUMBER('Price History'!D133)),'Price History'!D133=0),"",'Price History'!D134/'Price History'!D133-1),"")</f>
        <v>-0.0211331672905698</v>
      </c>
      <c r="E133" s="154" t="n">
        <f aca="false">IFERROR(IF(OR(NOT(ISNUMBER('Price History'!E134)),NOT(ISNUMBER('Price History'!E133)),'Price History'!E133=0),"",'Price History'!E134/'Price History'!E133-1),"")</f>
        <v>-0.0361434501701051</v>
      </c>
      <c r="F133" s="154" t="n">
        <f aca="false">IFERROR(IF(OR(NOT(ISNUMBER('Price History'!F134)),NOT(ISNUMBER('Price History'!F133)),'Price History'!F133=0),"",'Price History'!F134/'Price History'!F133-1),"")</f>
        <v>-0.074157913799348</v>
      </c>
      <c r="G133" s="154" t="n">
        <f aca="false">IFERROR(IF(OR(NOT(ISNUMBER('Price History'!G134)),NOT(ISNUMBER('Price History'!G133)),'Price History'!G133=0),"",'Price History'!G134/'Price History'!G133-1),"")</f>
        <v>0.0564584511023176</v>
      </c>
      <c r="H133" s="154" t="n">
        <f aca="false">IFERROR(IF(OR(NOT(ISNUMBER('Price History'!H134)),NOT(ISNUMBER('Price History'!H133)),'Price History'!H133=0),"",'Price History'!H134/'Price History'!H133-1),"")</f>
        <v>-0.00758411796473257</v>
      </c>
      <c r="I133" s="154" t="n">
        <f aca="false">IFERROR(IF(OR(NOT(ISNUMBER('Price History'!I134)),NOT(ISNUMBER('Price History'!I133)),'Price History'!I133=0),"",'Price History'!I134/'Price History'!I133-1),"")</f>
        <v>-0.0418705516014235</v>
      </c>
      <c r="J133" s="154" t="n">
        <f aca="false">IFERROR(IF(OR(NOT(ISNUMBER('Price History'!J134)),NOT(ISNUMBER('Price History'!J133)),'Price History'!J133=0),"",'Price History'!J134/'Price History'!J133-1),"")</f>
        <v>-0.0205080400838964</v>
      </c>
      <c r="K133" s="154" t="n">
        <f aca="false">IFERROR(IF(OR(NOT(ISNUMBER('Price History'!K134)),NOT(ISNUMBER('Price History'!K133)),'Price History'!K133=0),"",'Price History'!K134/'Price History'!K133-1),"")</f>
        <v>-0.00178867174561104</v>
      </c>
      <c r="L133" s="154" t="n">
        <f aca="false">IFERROR(IF(OR(NOT(ISNUMBER('Price History'!L134)),NOT(ISNUMBER('Price History'!L133)),'Price History'!L133=0),"",'Price History'!L134/'Price History'!L133-1),"")</f>
        <v>-0.0240712604641464</v>
      </c>
      <c r="M133" s="154" t="n">
        <f aca="false">IFERROR(IF(OR(NOT(ISNUMBER('Price History'!M134)),NOT(ISNUMBER('Price History'!M133)),'Price History'!M133=0),"",'Price History'!M134/'Price History'!M133-1),"")</f>
        <v>-0.0113645148821028</v>
      </c>
      <c r="N133" s="154" t="n">
        <f aca="false">IFERROR(IF(OR(NOT(ISNUMBER('Price History'!N134)),NOT(ISNUMBER('Price History'!N133)),'Price History'!N133=0),"",'Price History'!N134/'Price History'!N133-1),"")</f>
        <v>-0.032684194826778</v>
      </c>
      <c r="O133" s="154" t="n">
        <f aca="false">IFERROR(IF(OR(NOT(ISNUMBER('Price History'!O134)),NOT(ISNUMBER('Price History'!O133)),'Price History'!O133=0),"",'Price History'!O134/'Price History'!O133-1),"")</f>
        <v>-0.00198938992042452</v>
      </c>
      <c r="P133" s="154" t="n">
        <f aca="false">IFERROR(IF(OR(NOT(ISNUMBER('Price History'!P134)),NOT(ISNUMBER('Price History'!P133)),'Price History'!P133=0),"",'Price History'!P134/'Price History'!P133-1),"")</f>
        <v>-0.0233949945593036</v>
      </c>
      <c r="Q133" s="154" t="n">
        <f aca="false">IFERROR(IF(OR(NOT(ISNUMBER('Price History'!Q134)),NOT(ISNUMBER('Price History'!Q133)),'Price History'!Q133=0),"",'Price History'!Q134/'Price History'!Q133-1),"")</f>
        <v>-0.0111196911196911</v>
      </c>
      <c r="R133" s="154" t="n">
        <f aca="false">IFERROR(IF(OR(NOT(ISNUMBER('Price History'!R134)),NOT(ISNUMBER('Price History'!R133)),'Price History'!R133=0),"",'Price History'!R134/'Price History'!R133-1),"")</f>
        <v>-0.0140711161817837</v>
      </c>
      <c r="S133" s="154" t="n">
        <f aca="false">IFERROR(IF(OR(NOT(ISNUMBER('Price History'!S134)),NOT(ISNUMBER('Price History'!S133)),'Price History'!S133=0),"",'Price History'!S134/'Price History'!S133-1),"")</f>
        <v>-0.0206944324183912</v>
      </c>
      <c r="T133" s="154" t="n">
        <f aca="false">IFERROR(IF(OR(NOT(ISNUMBER('Price History'!T134)),NOT(ISNUMBER('Price History'!T133)),'Price History'!T133=0),"",'Price History'!T134/'Price History'!T133-1),"")</f>
        <v>0.00102590407796876</v>
      </c>
      <c r="U133" s="154" t="n">
        <f aca="false">IFERROR(IF(OR(NOT(ISNUMBER('Price History'!U134)),NOT(ISNUMBER('Price History'!U133)),'Price History'!U133=0),"",'Price History'!U134/'Price History'!U133-1),"")</f>
        <v>-0.0133067198935461</v>
      </c>
      <c r="V133" s="155" t="n">
        <f aca="false">IFERROR(IF(OR(NOT(ISNUMBER('Price History'!V134)),NOT(ISNUMBER('Price History'!V133)),'Price History'!V133=0),"",'Price History'!V134/'Price History'!V133-1),"")</f>
        <v>-0.0179773811858535</v>
      </c>
      <c r="W133" s="156" t="n">
        <f aca="false">IFERROR('Price History'!B3+(INDEX('Price History'!B:B,MATCH(9.99E+307,'Returns (Calc)'!$A:$A)+1)-'Price History'!B3)*(ROW()-3)/(MATCH(9.99E+307,'Returns (Calc)'!$A:$A)-3),"")</f>
        <v>289.295063291139</v>
      </c>
      <c r="X133" s="156" t="n">
        <f aca="false">IFERROR('Price History'!C3+(INDEX('Price History'!C:C,MATCH(9.99E+307,'Returns (Calc)'!$A:$A)+1)-'Price History'!C3)*(ROW()-3)/(MATCH(9.99E+307,'Returns (Calc)'!$A:$A)-3),"")</f>
        <v>178.788227848101</v>
      </c>
      <c r="Y133" s="156" t="n">
        <f aca="false">IFERROR('Price History'!D3+(INDEX('Price History'!D:D,MATCH(9.99E+307,'Returns (Calc)'!$A:$A)+1)-'Price History'!D3)*(ROW()-3)/(MATCH(9.99E+307,'Returns (Calc)'!$A:$A)-3),"")</f>
        <v>1639.5353164557</v>
      </c>
      <c r="Z133" s="156" t="n">
        <f aca="false">IFERROR('Price History'!E3+(INDEX('Price History'!E:E,MATCH(9.99E+307,'Returns (Calc)'!$A:$A)+1)-'Price History'!E3)*(ROW()-3)/(MATCH(9.99E+307,'Returns (Calc)'!$A:$A)-3),"")</f>
        <v>306.735443037975</v>
      </c>
      <c r="AA133" s="156" t="n">
        <f aca="false">IFERROR('Price History'!F3+(INDEX('Price History'!F:F,MATCH(9.99E+307,'Returns (Calc)'!$A:$A)+1)-'Price History'!F3)*(ROW()-3)/(MATCH(9.99E+307,'Returns (Calc)'!$A:$A)-3),"")</f>
        <v>229.514430379747</v>
      </c>
      <c r="AB133" s="156" t="n">
        <f aca="false">IFERROR('Price History'!G3+(INDEX('Price History'!G:G,MATCH(9.99E+307,'Returns (Calc)'!$A:$A)+1)-'Price History'!G3)*(ROW()-3)/(MATCH(9.99E+307,'Returns (Calc)'!$A:$A)-3),"")</f>
        <v>178.085443037975</v>
      </c>
      <c r="AC133" s="156" t="n">
        <f aca="false">IFERROR('Price History'!H3+(INDEX('Price History'!H:H,MATCH(9.99E+307,'Returns (Calc)'!$A:$A)+1)-'Price History'!H3)*(ROW()-3)/(MATCH(9.99E+307,'Returns (Calc)'!$A:$A)-3),"")</f>
        <v>896.650506329114</v>
      </c>
      <c r="AD133" s="156" t="n">
        <f aca="false">IFERROR('Price History'!I3+(INDEX('Price History'!I:I,MATCH(9.99E+307,'Returns (Calc)'!$A:$A)+1)-'Price History'!I3)*(ROW()-3)/(MATCH(9.99E+307,'Returns (Calc)'!$A:$A)-3),"")</f>
        <v>200.247215189873</v>
      </c>
      <c r="AE133" s="156" t="n">
        <f aca="false">IFERROR('Price History'!J3+(INDEX('Price History'!J:J,MATCH(9.99E+307,'Returns (Calc)'!$A:$A)+1)-'Price History'!J3)*(ROW()-3)/(MATCH(9.99E+307,'Returns (Calc)'!$A:$A)-3),"")</f>
        <v>125.884936708861</v>
      </c>
      <c r="AF133" s="156" t="n">
        <f aca="false">IFERROR('Price History'!K3+(INDEX('Price History'!K:K,MATCH(9.99E+307,'Returns (Calc)'!$A:$A)+1)-'Price History'!K3)*(ROW()-3)/(MATCH(9.99E+307,'Returns (Calc)'!$A:$A)-3),"")</f>
        <v>158.017341772152</v>
      </c>
      <c r="AG133" s="156" t="n">
        <f aca="false">IFERROR('Price History'!L3+(INDEX('Price History'!L:L,MATCH(9.99E+307,'Returns (Calc)'!$A:$A)+1)-'Price History'!L3)*(ROW()-3)/(MATCH(9.99E+307,'Returns (Calc)'!$A:$A)-3),"")</f>
        <v>404.192405063291</v>
      </c>
      <c r="AH133" s="156" t="n">
        <f aca="false">IFERROR('Price History'!M3+(INDEX('Price History'!M:M,MATCH(9.99E+307,'Returns (Calc)'!$A:$A)+1)-'Price History'!M3)*(ROW()-3)/(MATCH(9.99E+307,'Returns (Calc)'!$A:$A)-3),"")</f>
        <v>214.227594936709</v>
      </c>
      <c r="AI133" s="156" t="n">
        <f aca="false">IFERROR('Price History'!N3+(INDEX('Price History'!N:N,MATCH(9.99E+307,'Returns (Calc)'!$A:$A)+1)-'Price History'!N3)*(ROW()-3)/(MATCH(9.99E+307,'Returns (Calc)'!$A:$A)-3),"")</f>
        <v>477.114556962025</v>
      </c>
      <c r="AJ133" s="156" t="n">
        <f aca="false">IFERROR('Price History'!O3+(INDEX('Price History'!O:O,MATCH(9.99E+307,'Returns (Calc)'!$A:$A)+1)-'Price History'!O3)*(ROW()-3)/(MATCH(9.99E+307,'Returns (Calc)'!$A:$A)-3),"")</f>
        <v>112.104936708861</v>
      </c>
      <c r="AK133" s="156" t="n">
        <f aca="false">IFERROR('Price History'!Q3+(INDEX('Price History'!Q:Q,MATCH(9.99E+307,'Returns (Calc)'!$A:$A)+1)-'Price History'!Q3)*(ROW()-3)/(MATCH(9.99E+307,'Returns (Calc)'!$A:$A)-3),"")</f>
        <v>57.1177215189873</v>
      </c>
      <c r="AL133" s="156" t="n">
        <f aca="false">IFERROR('Price History'!R3+(INDEX('Price History'!R:R,MATCH(9.99E+307,'Returns (Calc)'!$A:$A)+1)-'Price History'!R3)*(ROW()-3)/(MATCH(9.99E+307,'Returns (Calc)'!$A:$A)-3),"")</f>
        <v>56.333164556962</v>
      </c>
      <c r="AM133" s="156" t="n">
        <f aca="false">IFERROR('Price History'!S3+(INDEX('Price History'!S:S,MATCH(9.99E+307,'Returns (Calc)'!$A:$A)+1)-'Price History'!S3)*(ROW()-3)/(MATCH(9.99E+307,'Returns (Calc)'!$A:$A)-3),"")</f>
        <v>136.288227848101</v>
      </c>
      <c r="AN133" s="156" t="n">
        <f aca="false">IFERROR('Price History'!T3+(INDEX('Price History'!T:T,MATCH(9.99E+307,'Returns (Calc)'!$A:$A)+1)-'Price History'!T3)*(ROW()-3)/(MATCH(9.99E+307,'Returns (Calc)'!$A:$A)-3),"")</f>
        <v>47.1096202531646</v>
      </c>
      <c r="AO133" s="157" t="n">
        <f aca="false">IFERROR('Price History'!V3+(INDEX('Price History'!V:V,MATCH(9.99E+307,'Returns (Calc)'!$A:$A)+1)-'Price History'!V3)*(ROW()-3)/(MATCH(9.99E+307,'Returns (Calc)'!$A:$A)-3),"")</f>
        <v>338.502784810127</v>
      </c>
      <c r="AP133" s="155" t="n">
        <f aca="false">IFERROR(IF(OR(NOT(ISNUMBER('Price History'!W134)),NOT(ISNUMBER('Price History'!W133)),'Price History'!W133=0),"",'Price History'!W134/'Price History'!W133-1),"")</f>
        <v>-0.0161821173889195</v>
      </c>
      <c r="AQ133" s="155" t="n">
        <f aca="false">IFERROR(IF(OR(NOT(ISNUMBER('Price History'!X134)),NOT(ISNUMBER('Price History'!X133)),'Price History'!X133=0),"",'Price History'!X134/'Price History'!X133-1),"")</f>
        <v>0.0103173058205179</v>
      </c>
      <c r="AR133" s="155" t="n">
        <f aca="false">IFERROR(IF(OR(NOT(ISNUMBER('Price History'!Y134)),NOT(ISNUMBER('Price History'!Y133)),'Price History'!Y133=0),"",'Price History'!Y134/'Price History'!Y133-1),"")</f>
        <v>-0.0174600257305642</v>
      </c>
      <c r="AS133" s="155" t="n">
        <f aca="false">IFERROR(IF(OR(NOT(ISNUMBER('Price History'!Z134)),NOT(ISNUMBER('Price History'!Z133)),'Price History'!Z133=0),"",'Price History'!Z134/'Price History'!Z133-1),"")</f>
        <v>-0.0430642790324736</v>
      </c>
      <c r="AT133" s="155" t="n">
        <f aca="false">IFERROR(IF(OR(NOT(ISNUMBER('Price History'!AA134)),NOT(ISNUMBER('Price History'!AA133)),'Price History'!AA133=0),"",'Price History'!AA134/'Price History'!AA133-1),"")</f>
        <v>-0.0366173538978073</v>
      </c>
      <c r="AU133" s="155" t="n">
        <f aca="false">IFERROR(IF(OR(NOT(ISNUMBER('Price History'!AB134)),NOT(ISNUMBER('Price History'!AB133)),'Price History'!AB133=0),"",'Price History'!AB134/'Price History'!AB133-1),"")</f>
        <v>0.0290138640429338</v>
      </c>
    </row>
    <row r="134" customFormat="false" ht="15" hidden="false" customHeight="true" outlineLevel="0" collapsed="false">
      <c r="A134" s="153" t="n">
        <f aca="false">IF('Price History'!A135="","",'Price History'!A135)</f>
        <v>46108</v>
      </c>
      <c r="B134" s="154" t="n">
        <f aca="false">IFERROR(IF(OR(NOT(ISNUMBER('Price History'!B135)),NOT(ISNUMBER('Price History'!B134)),'Price History'!B134=0),"",'Price History'!B135/'Price History'!B134-1),"")</f>
        <v>-0.0536369131573645</v>
      </c>
      <c r="C134" s="154" t="n">
        <f aca="false">IFERROR(IF(OR(NOT(ISNUMBER('Price History'!C135)),NOT(ISNUMBER('Price History'!C134)),'Price History'!C134=0),"",'Price History'!C135/'Price History'!C134-1),"")</f>
        <v>-0.0796372504191435</v>
      </c>
      <c r="D134" s="154" t="n">
        <f aca="false">IFERROR(IF(OR(NOT(ISNUMBER('Price History'!D135)),NOT(ISNUMBER('Price History'!D134)),'Price History'!D134=0),"",'Price History'!D135/'Price History'!D134-1),"")</f>
        <v>-0.0112213182192157</v>
      </c>
      <c r="E134" s="154" t="n">
        <f aca="false">IFERROR(IF(OR(NOT(ISNUMBER('Price History'!E135)),NOT(ISNUMBER('Price History'!E134)),'Price History'!E134=0),"",'Price History'!E135/'Price History'!E134-1),"")</f>
        <v>-0.0296298694990447</v>
      </c>
      <c r="F134" s="154" t="n">
        <f aca="false">IFERROR(IF(OR(NOT(ISNUMBER('Price History'!F135)),NOT(ISNUMBER('Price History'!F134)),'Price History'!F134=0),"",'Price History'!F135/'Price History'!F134-1),"")</f>
        <v>-0.0964303178484107</v>
      </c>
      <c r="G134" s="154" t="n">
        <f aca="false">IFERROR(IF(OR(NOT(ISNUMBER('Price History'!G135)),NOT(ISNUMBER('Price History'!G134)),'Price History'!G134=0),"",'Price History'!G135/'Price History'!G134-1),"")</f>
        <v>-0.0370543776336031</v>
      </c>
      <c r="H134" s="154" t="n">
        <f aca="false">IFERROR(IF(OR(NOT(ISNUMBER('Price History'!H135)),NOT(ISNUMBER('Price History'!H134)),'Price History'!H134=0),"",'Price History'!H135/'Price History'!H134-1),"")</f>
        <v>-0.155302134103062</v>
      </c>
      <c r="I134" s="154" t="n">
        <f aca="false">IFERROR(IF(OR(NOT(ISNUMBER('Price History'!I135)),NOT(ISNUMBER('Price History'!I134)),'Price History'!I134=0),"",'Price History'!I135/'Price History'!I134-1),"")</f>
        <v>-0.0300040624455923</v>
      </c>
      <c r="J134" s="154" t="n">
        <f aca="false">IFERROR(IF(OR(NOT(ISNUMBER('Price History'!J135)),NOT(ISNUMBER('Price History'!J134)),'Price History'!J134=0),"",'Price History'!J135/'Price History'!J134-1),"")</f>
        <v>0.00689983345229583</v>
      </c>
      <c r="K134" s="154" t="n">
        <f aca="false">IFERROR(IF(OR(NOT(ISNUMBER('Price History'!K135)),NOT(ISNUMBER('Price History'!K134)),'Price History'!K134=0),"",'Price History'!K135/'Price History'!K134-1),"")</f>
        <v>-0.0505707459516858</v>
      </c>
      <c r="L134" s="154" t="n">
        <f aca="false">IFERROR(IF(OR(NOT(ISNUMBER('Price History'!L135)),NOT(ISNUMBER('Price History'!L134)),'Price History'!L134=0),"",'Price History'!L135/'Price History'!L134-1),"")</f>
        <v>-0.00760096462040949</v>
      </c>
      <c r="M134" s="154" t="n">
        <f aca="false">IFERROR(IF(OR(NOT(ISNUMBER('Price History'!M135)),NOT(ISNUMBER('Price History'!M134)),'Price History'!M134=0),"",'Price History'!M135/'Price History'!M134-1),"")</f>
        <v>-0.0187675946199561</v>
      </c>
      <c r="N134" s="154" t="n">
        <f aca="false">IFERROR(IF(OR(NOT(ISNUMBER('Price History'!N135)),NOT(ISNUMBER('Price History'!N134)),'Price History'!N134=0),"",'Price History'!N135/'Price History'!N134-1),"")</f>
        <v>-0.0461013215859031</v>
      </c>
      <c r="O134" s="154" t="n">
        <f aca="false">IFERROR(IF(OR(NOT(ISNUMBER('Price History'!O135)),NOT(ISNUMBER('Price History'!O134)),'Price History'!O134=0),"",'Price History'!O135/'Price History'!O134-1),"")</f>
        <v>0.0296155671570955</v>
      </c>
      <c r="P134" s="154" t="n">
        <f aca="false">IFERROR(IF(OR(NOT(ISNUMBER('Price History'!P135)),NOT(ISNUMBER('Price History'!P134)),'Price History'!P134=0),"",'Price History'!P135/'Price History'!P134-1),"")</f>
        <v>0.0244428969359334</v>
      </c>
      <c r="Q134" s="154" t="n">
        <f aca="false">IFERROR(IF(OR(NOT(ISNUMBER('Price History'!Q135)),NOT(ISNUMBER('Price History'!Q134)),'Price History'!Q134=0),"",'Price History'!Q135/'Price History'!Q134-1),"")</f>
        <v>-0.0128064969545526</v>
      </c>
      <c r="R134" s="154" t="n">
        <f aca="false">IFERROR(IF(OR(NOT(ISNUMBER('Price History'!R135)),NOT(ISNUMBER('Price History'!R134)),'Price History'!R134=0),"",'Price History'!R135/'Price History'!R134-1),"")</f>
        <v>-0.0293153326904533</v>
      </c>
      <c r="S134" s="154" t="n">
        <f aca="false">IFERROR(IF(OR(NOT(ISNUMBER('Price History'!S135)),NOT(ISNUMBER('Price History'!S134)),'Price History'!S134=0),"",'Price History'!S135/'Price History'!S134-1),"")</f>
        <v>-0.0277630415561451</v>
      </c>
      <c r="T134" s="154" t="n">
        <f aca="false">IFERROR(IF(OR(NOT(ISNUMBER('Price History'!T135)),NOT(ISNUMBER('Price History'!T134)),'Price History'!T134=0),"",'Price History'!T135/'Price History'!T134-1),"")</f>
        <v>-0.0122982321291315</v>
      </c>
      <c r="U134" s="154" t="n">
        <f aca="false">IFERROR(IF(OR(NOT(ISNUMBER('Price History'!U135)),NOT(ISNUMBER('Price History'!U134)),'Price History'!U134=0),"",'Price History'!U135/'Price History'!U134-1),"")</f>
        <v>0.0101146325016859</v>
      </c>
      <c r="V134" s="155" t="n">
        <f aca="false">IFERROR(IF(OR(NOT(ISNUMBER('Price History'!V135)),NOT(ISNUMBER('Price History'!V134)),'Price History'!V134=0),"",'Price History'!V135/'Price History'!V134-1),"")</f>
        <v>-0.0202369857542271</v>
      </c>
      <c r="W134" s="156" t="n">
        <f aca="false">IFERROR('Price History'!B3+(INDEX('Price History'!B:B,MATCH(9.99E+307,'Returns (Calc)'!$A:$A)+1)-'Price History'!B3)*(ROW()-3)/(MATCH(9.99E+307,'Returns (Calc)'!$A:$A)-3),"")</f>
        <v>287.452025316456</v>
      </c>
      <c r="X134" s="156" t="n">
        <f aca="false">IFERROR('Price History'!C3+(INDEX('Price History'!C:C,MATCH(9.99E+307,'Returns (Calc)'!$A:$A)+1)-'Price History'!C3)*(ROW()-3)/(MATCH(9.99E+307,'Returns (Calc)'!$A:$A)-3),"")</f>
        <v>179.80829113924</v>
      </c>
      <c r="Y134" s="156" t="n">
        <f aca="false">IFERROR('Price History'!D3+(INDEX('Price History'!D:D,MATCH(9.99E+307,'Returns (Calc)'!$A:$A)+1)-'Price History'!D3)*(ROW()-3)/(MATCH(9.99E+307,'Returns (Calc)'!$A:$A)-3),"")</f>
        <v>1647.67012658228</v>
      </c>
      <c r="Z134" s="156" t="n">
        <f aca="false">IFERROR('Price History'!E3+(INDEX('Price History'!E:E,MATCH(9.99E+307,'Returns (Calc)'!$A:$A)+1)-'Price History'!E3)*(ROW()-3)/(MATCH(9.99E+307,'Returns (Calc)'!$A:$A)-3),"")</f>
        <v>308.46417721519</v>
      </c>
      <c r="AA134" s="156" t="n">
        <f aca="false">IFERROR('Price History'!F3+(INDEX('Price History'!F:F,MATCH(9.99E+307,'Returns (Calc)'!$A:$A)+1)-'Price History'!F3)*(ROW()-3)/(MATCH(9.99E+307,'Returns (Calc)'!$A:$A)-3),"")</f>
        <v>230.961772151899</v>
      </c>
      <c r="AB134" s="156" t="n">
        <f aca="false">IFERROR('Price History'!G3+(INDEX('Price History'!G:G,MATCH(9.99E+307,'Returns (Calc)'!$A:$A)+1)-'Price History'!G3)*(ROW()-3)/(MATCH(9.99E+307,'Returns (Calc)'!$A:$A)-3),"")</f>
        <v>179.11417721519</v>
      </c>
      <c r="AC134" s="156" t="n">
        <f aca="false">IFERROR('Price History'!H3+(INDEX('Price History'!H:H,MATCH(9.99E+307,'Returns (Calc)'!$A:$A)+1)-'Price History'!H3)*(ROW()-3)/(MATCH(9.99E+307,'Returns (Calc)'!$A:$A)-3),"")</f>
        <v>903.016202531646</v>
      </c>
      <c r="AD134" s="156" t="n">
        <f aca="false">IFERROR('Price History'!I3+(INDEX('Price History'!I:I,MATCH(9.99E+307,'Returns (Calc)'!$A:$A)+1)-'Price History'!I3)*(ROW()-3)/(MATCH(9.99E+307,'Returns (Calc)'!$A:$A)-3),"")</f>
        <v>201.450886075949</v>
      </c>
      <c r="AE134" s="156" t="n">
        <f aca="false">IFERROR('Price History'!J3+(INDEX('Price History'!J:J,MATCH(9.99E+307,'Returns (Calc)'!$A:$A)+1)-'Price History'!J3)*(ROW()-3)/(MATCH(9.99E+307,'Returns (Calc)'!$A:$A)-3),"")</f>
        <v>125.992974683544</v>
      </c>
      <c r="AF134" s="156" t="n">
        <f aca="false">IFERROR('Price History'!K3+(INDEX('Price History'!K:K,MATCH(9.99E+307,'Returns (Calc)'!$A:$A)+1)-'Price History'!K3)*(ROW()-3)/(MATCH(9.99E+307,'Returns (Calc)'!$A:$A)-3),"")</f>
        <v>159.114936708861</v>
      </c>
      <c r="AG134" s="156" t="n">
        <f aca="false">IFERROR('Price History'!L3+(INDEX('Price History'!L:L,MATCH(9.99E+307,'Returns (Calc)'!$A:$A)+1)-'Price History'!L3)*(ROW()-3)/(MATCH(9.99E+307,'Returns (Calc)'!$A:$A)-3),"")</f>
        <v>406.641962025316</v>
      </c>
      <c r="AH134" s="156" t="n">
        <f aca="false">IFERROR('Price History'!M3+(INDEX('Price History'!M:M,MATCH(9.99E+307,'Returns (Calc)'!$A:$A)+1)-'Price History'!M3)*(ROW()-3)/(MATCH(9.99E+307,'Returns (Calc)'!$A:$A)-3),"")</f>
        <v>215.583037974684</v>
      </c>
      <c r="AI134" s="156" t="n">
        <f aca="false">IFERROR('Price History'!N3+(INDEX('Price History'!N:N,MATCH(9.99E+307,'Returns (Calc)'!$A:$A)+1)-'Price History'!N3)*(ROW()-3)/(MATCH(9.99E+307,'Returns (Calc)'!$A:$A)-3),"")</f>
        <v>478.10082278481</v>
      </c>
      <c r="AJ134" s="156" t="n">
        <f aca="false">IFERROR('Price History'!O3+(INDEX('Price History'!O:O,MATCH(9.99E+307,'Returns (Calc)'!$A:$A)+1)-'Price History'!O3)*(ROW()-3)/(MATCH(9.99E+307,'Returns (Calc)'!$A:$A)-3),"")</f>
        <v>112.387974683544</v>
      </c>
      <c r="AK134" s="156" t="n">
        <f aca="false">IFERROR('Price History'!Q3+(INDEX('Price History'!Q:Q,MATCH(9.99E+307,'Returns (Calc)'!$A:$A)+1)-'Price History'!Q3)*(ROW()-3)/(MATCH(9.99E+307,'Returns (Calc)'!$A:$A)-3),"")</f>
        <v>57.5570886075949</v>
      </c>
      <c r="AL134" s="156" t="n">
        <f aca="false">IFERROR('Price History'!R3+(INDEX('Price History'!R:R,MATCH(9.99E+307,'Returns (Calc)'!$A:$A)+1)-'Price History'!R3)*(ROW()-3)/(MATCH(9.99E+307,'Returns (Calc)'!$A:$A)-3),"")</f>
        <v>56.5012658227848</v>
      </c>
      <c r="AM134" s="156" t="n">
        <f aca="false">IFERROR('Price History'!S3+(INDEX('Price History'!S:S,MATCH(9.99E+307,'Returns (Calc)'!$A:$A)+1)-'Price History'!S3)*(ROW()-3)/(MATCH(9.99E+307,'Returns (Calc)'!$A:$A)-3),"")</f>
        <v>136.893291139241</v>
      </c>
      <c r="AN134" s="156" t="n">
        <f aca="false">IFERROR('Price History'!T3+(INDEX('Price History'!T:T,MATCH(9.99E+307,'Returns (Calc)'!$A:$A)+1)-'Price History'!T3)*(ROW()-3)/(MATCH(9.99E+307,'Returns (Calc)'!$A:$A)-3),"")</f>
        <v>47.2778481012658</v>
      </c>
      <c r="AO134" s="157" t="n">
        <f aca="false">IFERROR('Price History'!V3+(INDEX('Price History'!V:V,MATCH(9.99E+307,'Returns (Calc)'!$A:$A)+1)-'Price History'!V3)*(ROW()-3)/(MATCH(9.99E+307,'Returns (Calc)'!$A:$A)-3),"")</f>
        <v>339.294113924051</v>
      </c>
      <c r="AP134" s="155" t="n">
        <f aca="false">IFERROR(IF(OR(NOT(ISNUMBER('Price History'!W135)),NOT(ISNUMBER('Price History'!W134)),'Price History'!W134=0),"",'Price History'!W135/'Price History'!W134-1),"")</f>
        <v>0.00362419849456375</v>
      </c>
      <c r="AQ134" s="155" t="n">
        <f aca="false">IFERROR(IF(OR(NOT(ISNUMBER('Price History'!X135)),NOT(ISNUMBER('Price History'!X134)),'Price History'!X134=0),"",'Price History'!X135/'Price History'!X134-1),"")</f>
        <v>0.0263969171483622</v>
      </c>
      <c r="AR134" s="155" t="n">
        <f aca="false">IFERROR(IF(OR(NOT(ISNUMBER('Price History'!Y135)),NOT(ISNUMBER('Price History'!Y134)),'Price History'!Y134=0),"",'Price History'!Y135/'Price History'!Y134-1),"")</f>
        <v>-0.00972689861578757</v>
      </c>
      <c r="AS134" s="155" t="n">
        <f aca="false">IFERROR(IF(OR(NOT(ISNUMBER('Price History'!Z135)),NOT(ISNUMBER('Price History'!Z134)),'Price History'!Z134=0),"",'Price History'!Z135/'Price History'!Z134-1),"")</f>
        <v>-0.0138602799986036</v>
      </c>
      <c r="AT134" s="155" t="n">
        <f aca="false">IFERROR(IF(OR(NOT(ISNUMBER('Price History'!AA135)),NOT(ISNUMBER('Price History'!AA134)),'Price History'!AA134=0),"",'Price History'!AA135/'Price History'!AA134-1),"")</f>
        <v>0.0175343062513615</v>
      </c>
      <c r="AU134" s="155" t="n">
        <f aca="false">IFERROR(IF(OR(NOT(ISNUMBER('Price History'!AB135)),NOT(ISNUMBER('Price History'!AB134)),'Price History'!AB134=0),"",'Price History'!AB135/'Price History'!AB134-1),"")</f>
        <v>-0.0623675775520182</v>
      </c>
    </row>
    <row r="135" customFormat="false" ht="15" hidden="false" customHeight="true" outlineLevel="0" collapsed="false">
      <c r="A135" s="153" t="n">
        <f aca="false">IF('Price History'!A136="","",'Price History'!A136)</f>
        <v>46115</v>
      </c>
      <c r="B135" s="154" t="n">
        <f aca="false">IFERROR(IF(OR(NOT(ISNUMBER('Price History'!B136)),NOT(ISNUMBER('Price History'!B135)),'Price History'!B135=0),"",'Price History'!B136/'Price History'!B135-1),"")</f>
        <v>0.0344064043604155</v>
      </c>
      <c r="C135" s="154" t="n">
        <f aca="false">IFERROR(IF(OR(NOT(ISNUMBER('Price History'!C136)),NOT(ISNUMBER('Price History'!C135)),'Price History'!C135=0),"",'Price History'!C136/'Price History'!C135-1),"")</f>
        <v>0.0489359940382546</v>
      </c>
      <c r="D135" s="154" t="n">
        <f aca="false">IFERROR(IF(OR(NOT(ISNUMBER('Price History'!D136)),NOT(ISNUMBER('Price History'!D135)),'Price History'!D135=0),"",'Price History'!D136/'Price History'!D135-1),"")</f>
        <v>0.0113332562887631</v>
      </c>
      <c r="E135" s="154" t="n">
        <f aca="false">IFERROR(IF(OR(NOT(ISNUMBER('Price History'!E136)),NOT(ISNUMBER('Price History'!E135)),'Price History'!E135=0),"",'Price History'!E136/'Price History'!E135-1),"")</f>
        <v>0.0461189347927651</v>
      </c>
      <c r="F135" s="154" t="n">
        <f aca="false">IFERROR(IF(OR(NOT(ISNUMBER('Price History'!F136)),NOT(ISNUMBER('Price History'!F135)),'Price History'!F135=0),"",'Price History'!F136/'Price History'!F135-1),"")</f>
        <v>0.0799870115813399</v>
      </c>
      <c r="G135" s="154" t="n">
        <f aca="false">IFERROR(IF(OR(NOT(ISNUMBER('Price History'!G136)),NOT(ISNUMBER('Price History'!G135)),'Price History'!G135=0),"",'Price History'!G136/'Price History'!G135-1),"")</f>
        <v>0.0510523025630338</v>
      </c>
      <c r="H135" s="154" t="n">
        <f aca="false">IFERROR(IF(OR(NOT(ISNUMBER('Price History'!H136)),NOT(ISNUMBER('Price History'!H135)),'Price History'!H135=0),"",'Price History'!H136/'Price History'!H135-1),"")</f>
        <v>0.0256568259481262</v>
      </c>
      <c r="I135" s="154" t="n">
        <f aca="false">IFERROR(IF(OR(NOT(ISNUMBER('Price History'!I136)),NOT(ISNUMBER('Price History'!I135)),'Price History'!I135=0),"",'Price History'!I136/'Price History'!I135-1),"")</f>
        <v>0.0589326313270313</v>
      </c>
      <c r="J135" s="154" t="n">
        <f aca="false">IFERROR(IF(OR(NOT(ISNUMBER('Price History'!J136)),NOT(ISNUMBER('Price History'!J135)),'Price History'!J135=0),"",'Price History'!J136/'Price History'!J135-1),"")</f>
        <v>0.0378071833648392</v>
      </c>
      <c r="K135" s="154" t="n">
        <f aca="false">IFERROR(IF(OR(NOT(ISNUMBER('Price History'!K136)),NOT(ISNUMBER('Price History'!K135)),'Price History'!K135=0),"",'Price History'!K136/'Price History'!K135-1),"")</f>
        <v>0.0377464001118413</v>
      </c>
      <c r="L135" s="154" t="n">
        <f aca="false">IFERROR(IF(OR(NOT(ISNUMBER('Price History'!L136)),NOT(ISNUMBER('Price History'!L135)),'Price History'!L135=0),"",'Price History'!L136/'Price History'!L135-1),"")</f>
        <v>0.0376499538603505</v>
      </c>
      <c r="M135" s="154" t="n">
        <f aca="false">IFERROR(IF(OR(NOT(ISNUMBER('Price History'!M136)),NOT(ISNUMBER('Price History'!M135)),'Price History'!M135=0),"",'Price History'!M136/'Price History'!M135-1),"")</f>
        <v>0.0406837743066624</v>
      </c>
      <c r="N135" s="154" t="n">
        <f aca="false">IFERROR(IF(OR(NOT(ISNUMBER('Price History'!N136)),NOT(ISNUMBER('Price History'!N135)),'Price History'!N135=0),"",'Price History'!N136/'Price History'!N135-1),"")</f>
        <v>0.0130232987738703</v>
      </c>
      <c r="O135" s="154" t="n">
        <f aca="false">IFERROR(IF(OR(NOT(ISNUMBER('Price History'!O136)),NOT(ISNUMBER('Price History'!O135)),'Price History'!O135=0),"",'Price History'!O136/'Price History'!O135-1),"")</f>
        <v>0.0200977228726837</v>
      </c>
      <c r="P135" s="154" t="n">
        <f aca="false">IFERROR(IF(OR(NOT(ISNUMBER('Price History'!P136)),NOT(ISNUMBER('Price History'!P135)),'Price History'!P135=0),"",'Price History'!P136/'Price History'!P135-1),"")</f>
        <v>0.0144789613214602</v>
      </c>
      <c r="Q135" s="154" t="n">
        <f aca="false">IFERROR(IF(OR(NOT(ISNUMBER('Price History'!Q136)),NOT(ISNUMBER('Price History'!Q135)),'Price History'!Q135=0),"",'Price History'!Q136/'Price History'!Q135-1),"")</f>
        <v>0.0117070083847493</v>
      </c>
      <c r="R135" s="154" t="n">
        <f aca="false">IFERROR(IF(OR(NOT(ISNUMBER('Price History'!R136)),NOT(ISNUMBER('Price History'!R135)),'Price History'!R135=0),"",'Price History'!R136/'Price History'!R135-1),"")</f>
        <v>0.0375521557719054</v>
      </c>
      <c r="S135" s="154" t="n">
        <f aca="false">IFERROR(IF(OR(NOT(ISNUMBER('Price History'!S136)),NOT(ISNUMBER('Price History'!S135)),'Price History'!S135=0),"",'Price History'!S136/'Price History'!S135-1),"")</f>
        <v>0.0401964350672972</v>
      </c>
      <c r="T135" s="154" t="n">
        <f aca="false">IFERROR(IF(OR(NOT(ISNUMBER('Price History'!T136)),NOT(ISNUMBER('Price History'!T135)),'Price History'!T135=0),"",'Price History'!T136/'Price History'!T135-1),"")</f>
        <v>0.0280155642023348</v>
      </c>
      <c r="U135" s="154" t="n">
        <f aca="false">IFERROR(IF(OR(NOT(ISNUMBER('Price History'!U136)),NOT(ISNUMBER('Price History'!U135)),'Price History'!U135=0),"",'Price History'!U136/'Price History'!U135-1),"")</f>
        <v>0.00400534045393841</v>
      </c>
      <c r="V135" s="155" t="n">
        <f aca="false">IFERROR(IF(OR(NOT(ISNUMBER('Price History'!V136)),NOT(ISNUMBER('Price History'!V135)),'Price History'!V135=0),"",'Price History'!V136/'Price History'!V135-1),"")</f>
        <v>0.0178692757168093</v>
      </c>
      <c r="W135" s="156" t="n">
        <f aca="false">IFERROR('Price History'!B3+(INDEX('Price History'!B:B,MATCH(9.99E+307,'Returns (Calc)'!$A:$A)+1)-'Price History'!B3)*(ROW()-3)/(MATCH(9.99E+307,'Returns (Calc)'!$A:$A)-3),"")</f>
        <v>285.608987341772</v>
      </c>
      <c r="X135" s="156" t="n">
        <f aca="false">IFERROR('Price History'!C3+(INDEX('Price History'!C:C,MATCH(9.99E+307,'Returns (Calc)'!$A:$A)+1)-'Price History'!C3)*(ROW()-3)/(MATCH(9.99E+307,'Returns (Calc)'!$A:$A)-3),"")</f>
        <v>180.82835443038</v>
      </c>
      <c r="Y135" s="156" t="n">
        <f aca="false">IFERROR('Price History'!D3+(INDEX('Price History'!D:D,MATCH(9.99E+307,'Returns (Calc)'!$A:$A)+1)-'Price History'!D3)*(ROW()-3)/(MATCH(9.99E+307,'Returns (Calc)'!$A:$A)-3),"")</f>
        <v>1655.80493670886</v>
      </c>
      <c r="Z135" s="156" t="n">
        <f aca="false">IFERROR('Price History'!E3+(INDEX('Price History'!E:E,MATCH(9.99E+307,'Returns (Calc)'!$A:$A)+1)-'Price History'!E3)*(ROW()-3)/(MATCH(9.99E+307,'Returns (Calc)'!$A:$A)-3),"")</f>
        <v>310.192911392405</v>
      </c>
      <c r="AA135" s="156" t="n">
        <f aca="false">IFERROR('Price History'!F3+(INDEX('Price History'!F:F,MATCH(9.99E+307,'Returns (Calc)'!$A:$A)+1)-'Price History'!F3)*(ROW()-3)/(MATCH(9.99E+307,'Returns (Calc)'!$A:$A)-3),"")</f>
        <v>232.409113924051</v>
      </c>
      <c r="AB135" s="156" t="n">
        <f aca="false">IFERROR('Price History'!G3+(INDEX('Price History'!G:G,MATCH(9.99E+307,'Returns (Calc)'!$A:$A)+1)-'Price History'!G3)*(ROW()-3)/(MATCH(9.99E+307,'Returns (Calc)'!$A:$A)-3),"")</f>
        <v>180.142911392405</v>
      </c>
      <c r="AC135" s="156" t="n">
        <f aca="false">IFERROR('Price History'!H3+(INDEX('Price History'!H:H,MATCH(9.99E+307,'Returns (Calc)'!$A:$A)+1)-'Price History'!H3)*(ROW()-3)/(MATCH(9.99E+307,'Returns (Calc)'!$A:$A)-3),"")</f>
        <v>909.381898734177</v>
      </c>
      <c r="AD135" s="156" t="n">
        <f aca="false">IFERROR('Price History'!I3+(INDEX('Price History'!I:I,MATCH(9.99E+307,'Returns (Calc)'!$A:$A)+1)-'Price History'!I3)*(ROW()-3)/(MATCH(9.99E+307,'Returns (Calc)'!$A:$A)-3),"")</f>
        <v>202.654556962025</v>
      </c>
      <c r="AE135" s="156" t="n">
        <f aca="false">IFERROR('Price History'!J3+(INDEX('Price History'!J:J,MATCH(9.99E+307,'Returns (Calc)'!$A:$A)+1)-'Price History'!J3)*(ROW()-3)/(MATCH(9.99E+307,'Returns (Calc)'!$A:$A)-3),"")</f>
        <v>126.101012658228</v>
      </c>
      <c r="AF135" s="156" t="n">
        <f aca="false">IFERROR('Price History'!K3+(INDEX('Price History'!K:K,MATCH(9.99E+307,'Returns (Calc)'!$A:$A)+1)-'Price History'!K3)*(ROW()-3)/(MATCH(9.99E+307,'Returns (Calc)'!$A:$A)-3),"")</f>
        <v>160.21253164557</v>
      </c>
      <c r="AG135" s="156" t="n">
        <f aca="false">IFERROR('Price History'!L3+(INDEX('Price History'!L:L,MATCH(9.99E+307,'Returns (Calc)'!$A:$A)+1)-'Price History'!L3)*(ROW()-3)/(MATCH(9.99E+307,'Returns (Calc)'!$A:$A)-3),"")</f>
        <v>409.091518987342</v>
      </c>
      <c r="AH135" s="156" t="n">
        <f aca="false">IFERROR('Price History'!M3+(INDEX('Price History'!M:M,MATCH(9.99E+307,'Returns (Calc)'!$A:$A)+1)-'Price History'!M3)*(ROW()-3)/(MATCH(9.99E+307,'Returns (Calc)'!$A:$A)-3),"")</f>
        <v>216.938481012658</v>
      </c>
      <c r="AI135" s="156" t="n">
        <f aca="false">IFERROR('Price History'!N3+(INDEX('Price History'!N:N,MATCH(9.99E+307,'Returns (Calc)'!$A:$A)+1)-'Price History'!N3)*(ROW()-3)/(MATCH(9.99E+307,'Returns (Calc)'!$A:$A)-3),"")</f>
        <v>479.087088607595</v>
      </c>
      <c r="AJ135" s="156" t="n">
        <f aca="false">IFERROR('Price History'!O3+(INDEX('Price History'!O:O,MATCH(9.99E+307,'Returns (Calc)'!$A:$A)+1)-'Price History'!O3)*(ROW()-3)/(MATCH(9.99E+307,'Returns (Calc)'!$A:$A)-3),"")</f>
        <v>112.671012658228</v>
      </c>
      <c r="AK135" s="156" t="n">
        <f aca="false">IFERROR('Price History'!Q3+(INDEX('Price History'!Q:Q,MATCH(9.99E+307,'Returns (Calc)'!$A:$A)+1)-'Price History'!Q3)*(ROW()-3)/(MATCH(9.99E+307,'Returns (Calc)'!$A:$A)-3),"")</f>
        <v>57.9964556962025</v>
      </c>
      <c r="AL135" s="156" t="n">
        <f aca="false">IFERROR('Price History'!R3+(INDEX('Price History'!R:R,MATCH(9.99E+307,'Returns (Calc)'!$A:$A)+1)-'Price History'!R3)*(ROW()-3)/(MATCH(9.99E+307,'Returns (Calc)'!$A:$A)-3),"")</f>
        <v>56.6693670886076</v>
      </c>
      <c r="AM135" s="156" t="n">
        <f aca="false">IFERROR('Price History'!S3+(INDEX('Price History'!S:S,MATCH(9.99E+307,'Returns (Calc)'!$A:$A)+1)-'Price History'!S3)*(ROW()-3)/(MATCH(9.99E+307,'Returns (Calc)'!$A:$A)-3),"")</f>
        <v>137.49835443038</v>
      </c>
      <c r="AN135" s="156" t="n">
        <f aca="false">IFERROR('Price History'!T3+(INDEX('Price History'!T:T,MATCH(9.99E+307,'Returns (Calc)'!$A:$A)+1)-'Price History'!T3)*(ROW()-3)/(MATCH(9.99E+307,'Returns (Calc)'!$A:$A)-3),"")</f>
        <v>47.4460759493671</v>
      </c>
      <c r="AO135" s="157" t="n">
        <f aca="false">IFERROR('Price History'!V3+(INDEX('Price History'!V:V,MATCH(9.99E+307,'Returns (Calc)'!$A:$A)+1)-'Price History'!V3)*(ROW()-3)/(MATCH(9.99E+307,'Returns (Calc)'!$A:$A)-3),"")</f>
        <v>340.085443037975</v>
      </c>
      <c r="AP135" s="155" t="n">
        <f aca="false">IFERROR(IF(OR(NOT(ISNUMBER('Price History'!W136)),NOT(ISNUMBER('Price History'!W135)),'Price History'!W135=0),"",'Price History'!W136/'Price History'!W135-1),"")</f>
        <v>0.0165277777777777</v>
      </c>
      <c r="AQ135" s="155" t="n">
        <f aca="false">IFERROR(IF(OR(NOT(ISNUMBER('Price History'!X136)),NOT(ISNUMBER('Price History'!X135)),'Price History'!X135=0),"",'Price History'!X136/'Price History'!X135-1),"")</f>
        <v>-0.0183968462549278</v>
      </c>
      <c r="AR135" s="155" t="n">
        <f aca="false">IFERROR(IF(OR(NOT(ISNUMBER('Price History'!Y136)),NOT(ISNUMBER('Price History'!Y135)),'Price History'!Y135=0),"",'Price History'!Y136/'Price History'!Y135-1),"")</f>
        <v>0.0238005289006424</v>
      </c>
      <c r="AS135" s="155" t="n">
        <f aca="false">IFERROR(IF(OR(NOT(ISNUMBER('Price History'!Z136)),NOT(ISNUMBER('Price History'!Z135)),'Price History'!Z135=0),"",'Price History'!Z136/'Price History'!Z135-1),"")</f>
        <v>-0.00584153508461371</v>
      </c>
      <c r="AT135" s="155" t="n">
        <f aca="false">IFERROR(IF(OR(NOT(ISNUMBER('Price History'!AA136)),NOT(ISNUMBER('Price History'!AA135)),'Price History'!AA135=0),"",'Price History'!AA136/'Price History'!AA135-1),"")</f>
        <v>0.0559777373434656</v>
      </c>
      <c r="AU135" s="155" t="n">
        <f aca="false">IFERROR(IF(OR(NOT(ISNUMBER('Price History'!AB136)),NOT(ISNUMBER('Price History'!AB135)),'Price History'!AB135=0),"",'Price History'!AB136/'Price History'!AB135-1),"")</f>
        <v>0.0080537690480329</v>
      </c>
    </row>
    <row r="136" customFormat="false" ht="15" hidden="false" customHeight="true" outlineLevel="0" collapsed="false">
      <c r="A136" s="153" t="n">
        <f aca="false">IF('Price History'!A137="","",'Price History'!A137)</f>
        <v>46122</v>
      </c>
      <c r="B136" s="154" t="n">
        <f aca="false">IFERROR(IF(OR(NOT(ISNUMBER('Price History'!B137)),NOT(ISNUMBER('Price History'!B136)),'Price History'!B136=0),"",'Price History'!B137/'Price History'!B136-1),"")</f>
        <v>-0.07232833854767</v>
      </c>
      <c r="C136" s="154" t="n">
        <f aca="false">IFERROR(IF(OR(NOT(ISNUMBER('Price History'!C137)),NOT(ISNUMBER('Price History'!C136)),'Price History'!C136=0),"",'Price History'!C137/'Price History'!C136-1),"")</f>
        <v>0.163167035048942</v>
      </c>
      <c r="D136" s="154" t="n">
        <f aca="false">IFERROR(IF(OR(NOT(ISNUMBER('Price History'!D137)),NOT(ISNUMBER('Price History'!D136)),'Price History'!D136=0),"",'Price History'!D137/'Price History'!D136-1),"")</f>
        <v>0.122263190772934</v>
      </c>
      <c r="E136" s="154" t="n">
        <f aca="false">IFERROR(IF(OR(NOT(ISNUMBER('Price History'!E137)),NOT(ISNUMBER('Price History'!E136)),'Price History'!E136=0),"",'Price History'!E137/'Price History'!E136-1),"")</f>
        <v>0.181223682531581</v>
      </c>
      <c r="F136" s="154" t="n">
        <f aca="false">IFERROR(IF(OR(NOT(ISNUMBER('Price History'!F137)),NOT(ISNUMBER('Price History'!F136)),'Price History'!F136=0),"",'Price History'!F137/'Price History'!F136-1),"")</f>
        <v>-0.0504109039887753</v>
      </c>
      <c r="G136" s="154" t="n">
        <f aca="false">IFERROR(IF(OR(NOT(ISNUMBER('Price History'!G137)),NOT(ISNUMBER('Price History'!G136)),'Price History'!G136=0),"",'Price History'!G137/'Price History'!G136-1),"")</f>
        <v>0.145321173671689</v>
      </c>
      <c r="H136" s="154" t="n">
        <f aca="false">IFERROR(IF(OR(NOT(ISNUMBER('Price History'!H137)),NOT(ISNUMBER('Price History'!H136)),'Price History'!H136=0),"",'Price History'!H137/'Price History'!H136-1),"")</f>
        <v>0.14842427221585</v>
      </c>
      <c r="I136" s="154" t="n">
        <f aca="false">IFERROR(IF(OR(NOT(ISNUMBER('Price History'!I137)),NOT(ISNUMBER('Price History'!I136)),'Price History'!I136=0),"",'Price History'!I137/'Price History'!I136-1),"")</f>
        <v>0.0633369116899258</v>
      </c>
      <c r="J136" s="154" t="n">
        <f aca="false">IFERROR(IF(OR(NOT(ISNUMBER('Price History'!J137)),NOT(ISNUMBER('Price History'!J136)),'Price History'!J136=0),"",'Price History'!J137/'Price History'!J136-1),"")</f>
        <v>0.0255768063145112</v>
      </c>
      <c r="K136" s="154" t="n">
        <f aca="false">IFERROR(IF(OR(NOT(ISNUMBER('Price History'!K137)),NOT(ISNUMBER('Price History'!K136)),'Price History'!K136=0),"",'Price History'!K137/'Price History'!K136-1),"")</f>
        <v>-0.13741075037047</v>
      </c>
      <c r="L136" s="154" t="n">
        <f aca="false">IFERROR(IF(OR(NOT(ISNUMBER('Price History'!L137)),NOT(ISNUMBER('Price History'!L136)),'Price History'!L136=0),"",'Price History'!L137/'Price History'!L136-1),"")</f>
        <v>0.0930811644038656</v>
      </c>
      <c r="M136" s="154" t="n">
        <f aca="false">IFERROR(IF(OR(NOT(ISNUMBER('Price History'!M137)),NOT(ISNUMBER('Price History'!M136)),'Price History'!M136=0),"",'Price History'!M137/'Price History'!M136-1),"")</f>
        <v>0.129455909943715</v>
      </c>
      <c r="N136" s="154" t="n">
        <f aca="false">IFERROR(IF(OR(NOT(ISNUMBER('Price History'!N137)),NOT(ISNUMBER('Price History'!N136)),'Price History'!N136=0),"",'Price History'!N137/'Price History'!N136-1),"")</f>
        <v>-0.0055617606163525</v>
      </c>
      <c r="O136" s="154" t="n">
        <f aca="false">IFERROR(IF(OR(NOT(ISNUMBER('Price History'!O137)),NOT(ISNUMBER('Price History'!O136)),'Price History'!O136=0),"",'Price History'!O137/'Price History'!O136-1),"")</f>
        <v>0.029733393583371</v>
      </c>
      <c r="P136" s="154" t="n">
        <f aca="false">IFERROR(IF(OR(NOT(ISNUMBER('Price History'!P137)),NOT(ISNUMBER('Price History'!P136)),'Price History'!P136=0),"",'Price History'!P137/'Price History'!P136-1),"")</f>
        <v>0.00515947467166966</v>
      </c>
      <c r="Q136" s="154" t="n">
        <f aca="false">IFERROR(IF(OR(NOT(ISNUMBER('Price History'!Q137)),NOT(ISNUMBER('Price History'!Q136)),'Price History'!Q136=0),"",'Price History'!Q137/'Price History'!Q136-1),"")</f>
        <v>0.0203283815480844</v>
      </c>
      <c r="R136" s="154" t="n">
        <f aca="false">IFERROR(IF(OR(NOT(ISNUMBER('Price History'!R137)),NOT(ISNUMBER('Price History'!R136)),'Price History'!R136=0),"",'Price History'!R137/'Price History'!R136-1),"")</f>
        <v>0.0363845270011489</v>
      </c>
      <c r="S136" s="154" t="n">
        <f aca="false">IFERROR(IF(OR(NOT(ISNUMBER('Price History'!S137)),NOT(ISNUMBER('Price History'!S136)),'Price History'!S136=0),"",'Price History'!S137/'Price History'!S136-1),"")</f>
        <v>0.0749256863087953</v>
      </c>
      <c r="T136" s="154" t="n">
        <f aca="false">IFERROR(IF(OR(NOT(ISNUMBER('Price History'!T137)),NOT(ISNUMBER('Price History'!T136)),'Price History'!T136=0),"",'Price History'!T137/'Price History'!T136-1),"")</f>
        <v>-0.00428967953570536</v>
      </c>
      <c r="U136" s="154" t="n">
        <f aca="false">IFERROR(IF(OR(NOT(ISNUMBER('Price History'!U137)),NOT(ISNUMBER('Price History'!U136)),'Price History'!U136=0),"",'Price History'!U137/'Price History'!U136-1),"")</f>
        <v>0</v>
      </c>
      <c r="V136" s="155" t="n">
        <f aca="false">IFERROR(IF(OR(NOT(ISNUMBER('Price History'!V137)),NOT(ISNUMBER('Price History'!V136)),'Price History'!V136=0),"",'Price History'!V137/'Price History'!V136-1),"")</f>
        <v>0.0118483412322274</v>
      </c>
      <c r="W136" s="156" t="n">
        <f aca="false">IFERROR('Price History'!B3+(INDEX('Price History'!B:B,MATCH(9.99E+307,'Returns (Calc)'!$A:$A)+1)-'Price History'!B3)*(ROW()-3)/(MATCH(9.99E+307,'Returns (Calc)'!$A:$A)-3),"")</f>
        <v>283.765949367089</v>
      </c>
      <c r="X136" s="156" t="n">
        <f aca="false">IFERROR('Price History'!C3+(INDEX('Price History'!C:C,MATCH(9.99E+307,'Returns (Calc)'!$A:$A)+1)-'Price History'!C3)*(ROW()-3)/(MATCH(9.99E+307,'Returns (Calc)'!$A:$A)-3),"")</f>
        <v>181.848417721519</v>
      </c>
      <c r="Y136" s="156" t="n">
        <f aca="false">IFERROR('Price History'!D3+(INDEX('Price History'!D:D,MATCH(9.99E+307,'Returns (Calc)'!$A:$A)+1)-'Price History'!D3)*(ROW()-3)/(MATCH(9.99E+307,'Returns (Calc)'!$A:$A)-3),"")</f>
        <v>1663.93974683544</v>
      </c>
      <c r="Z136" s="156" t="n">
        <f aca="false">IFERROR('Price History'!E3+(INDEX('Price History'!E:E,MATCH(9.99E+307,'Returns (Calc)'!$A:$A)+1)-'Price History'!E3)*(ROW()-3)/(MATCH(9.99E+307,'Returns (Calc)'!$A:$A)-3),"")</f>
        <v>311.92164556962</v>
      </c>
      <c r="AA136" s="156" t="n">
        <f aca="false">IFERROR('Price History'!F3+(INDEX('Price History'!F:F,MATCH(9.99E+307,'Returns (Calc)'!$A:$A)+1)-'Price History'!F3)*(ROW()-3)/(MATCH(9.99E+307,'Returns (Calc)'!$A:$A)-3),"")</f>
        <v>233.856455696203</v>
      </c>
      <c r="AB136" s="156" t="n">
        <f aca="false">IFERROR('Price History'!G3+(INDEX('Price History'!G:G,MATCH(9.99E+307,'Returns (Calc)'!$A:$A)+1)-'Price History'!G3)*(ROW()-3)/(MATCH(9.99E+307,'Returns (Calc)'!$A:$A)-3),"")</f>
        <v>181.17164556962</v>
      </c>
      <c r="AC136" s="156" t="n">
        <f aca="false">IFERROR('Price History'!H3+(INDEX('Price History'!H:H,MATCH(9.99E+307,'Returns (Calc)'!$A:$A)+1)-'Price History'!H3)*(ROW()-3)/(MATCH(9.99E+307,'Returns (Calc)'!$A:$A)-3),"")</f>
        <v>915.747594936709</v>
      </c>
      <c r="AD136" s="156" t="n">
        <f aca="false">IFERROR('Price History'!I3+(INDEX('Price History'!I:I,MATCH(9.99E+307,'Returns (Calc)'!$A:$A)+1)-'Price History'!I3)*(ROW()-3)/(MATCH(9.99E+307,'Returns (Calc)'!$A:$A)-3),"")</f>
        <v>203.858227848101</v>
      </c>
      <c r="AE136" s="156" t="n">
        <f aca="false">IFERROR('Price History'!J3+(INDEX('Price History'!J:J,MATCH(9.99E+307,'Returns (Calc)'!$A:$A)+1)-'Price History'!J3)*(ROW()-3)/(MATCH(9.99E+307,'Returns (Calc)'!$A:$A)-3),"")</f>
        <v>126.209050632911</v>
      </c>
      <c r="AF136" s="156" t="n">
        <f aca="false">IFERROR('Price History'!K3+(INDEX('Price History'!K:K,MATCH(9.99E+307,'Returns (Calc)'!$A:$A)+1)-'Price History'!K3)*(ROW()-3)/(MATCH(9.99E+307,'Returns (Calc)'!$A:$A)-3),"")</f>
        <v>161.310126582278</v>
      </c>
      <c r="AG136" s="156" t="n">
        <f aca="false">IFERROR('Price History'!L3+(INDEX('Price History'!L:L,MATCH(9.99E+307,'Returns (Calc)'!$A:$A)+1)-'Price History'!L3)*(ROW()-3)/(MATCH(9.99E+307,'Returns (Calc)'!$A:$A)-3),"")</f>
        <v>411.541075949367</v>
      </c>
      <c r="AH136" s="156" t="n">
        <f aca="false">IFERROR('Price History'!M3+(INDEX('Price History'!M:M,MATCH(9.99E+307,'Returns (Calc)'!$A:$A)+1)-'Price History'!M3)*(ROW()-3)/(MATCH(9.99E+307,'Returns (Calc)'!$A:$A)-3),"")</f>
        <v>218.293924050633</v>
      </c>
      <c r="AI136" s="156" t="n">
        <f aca="false">IFERROR('Price History'!N3+(INDEX('Price History'!N:N,MATCH(9.99E+307,'Returns (Calc)'!$A:$A)+1)-'Price History'!N3)*(ROW()-3)/(MATCH(9.99E+307,'Returns (Calc)'!$A:$A)-3),"")</f>
        <v>480.07335443038</v>
      </c>
      <c r="AJ136" s="156" t="n">
        <f aca="false">IFERROR('Price History'!O3+(INDEX('Price History'!O:O,MATCH(9.99E+307,'Returns (Calc)'!$A:$A)+1)-'Price History'!O3)*(ROW()-3)/(MATCH(9.99E+307,'Returns (Calc)'!$A:$A)-3),"")</f>
        <v>112.954050632911</v>
      </c>
      <c r="AK136" s="156" t="n">
        <f aca="false">IFERROR('Price History'!Q3+(INDEX('Price History'!Q:Q,MATCH(9.99E+307,'Returns (Calc)'!$A:$A)+1)-'Price History'!Q3)*(ROW()-3)/(MATCH(9.99E+307,'Returns (Calc)'!$A:$A)-3),"")</f>
        <v>58.4358227848101</v>
      </c>
      <c r="AL136" s="156" t="n">
        <f aca="false">IFERROR('Price History'!R3+(INDEX('Price History'!R:R,MATCH(9.99E+307,'Returns (Calc)'!$A:$A)+1)-'Price History'!R3)*(ROW()-3)/(MATCH(9.99E+307,'Returns (Calc)'!$A:$A)-3),"")</f>
        <v>56.8374683544304</v>
      </c>
      <c r="AM136" s="156" t="n">
        <f aca="false">IFERROR('Price History'!S3+(INDEX('Price History'!S:S,MATCH(9.99E+307,'Returns (Calc)'!$A:$A)+1)-'Price History'!S3)*(ROW()-3)/(MATCH(9.99E+307,'Returns (Calc)'!$A:$A)-3),"")</f>
        <v>138.103417721519</v>
      </c>
      <c r="AN136" s="156" t="n">
        <f aca="false">IFERROR('Price History'!T3+(INDEX('Price History'!T:T,MATCH(9.99E+307,'Returns (Calc)'!$A:$A)+1)-'Price History'!T3)*(ROW()-3)/(MATCH(9.99E+307,'Returns (Calc)'!$A:$A)-3),"")</f>
        <v>47.6143037974684</v>
      </c>
      <c r="AO136" s="157" t="n">
        <f aca="false">IFERROR('Price History'!V3+(INDEX('Price History'!V:V,MATCH(9.99E+307,'Returns (Calc)'!$A:$A)+1)-'Price History'!V3)*(ROW()-3)/(MATCH(9.99E+307,'Returns (Calc)'!$A:$A)-3),"")</f>
        <v>340.876772151899</v>
      </c>
      <c r="AP136" s="155" t="n">
        <f aca="false">IFERROR(IF(OR(NOT(ISNUMBER('Price History'!W137)),NOT(ISNUMBER('Price History'!W136)),'Price History'!W136=0),"",'Price History'!W137/'Price History'!W136-1),"")</f>
        <v>0.0267112993578358</v>
      </c>
      <c r="AQ136" s="155" t="n">
        <f aca="false">IFERROR(IF(OR(NOT(ISNUMBER('Price History'!X137)),NOT(ISNUMBER('Price History'!X136)),'Price History'!X136=0),"",'Price History'!X137/'Price History'!X136-1),"")</f>
        <v>-0.00114744693057955</v>
      </c>
      <c r="AR136" s="155" t="n">
        <f aca="false">IFERROR(IF(OR(NOT(ISNUMBER('Price History'!Y137)),NOT(ISNUMBER('Price History'!Y136)),'Price History'!Y136=0),"",'Price History'!Y137/'Price History'!Y136-1),"")</f>
        <v>0.0193726937269372</v>
      </c>
      <c r="AS136" s="155" t="n">
        <f aca="false">IFERROR(IF(OR(NOT(ISNUMBER('Price History'!Z137)),NOT(ISNUMBER('Price History'!Z136)),'Price History'!Z136=0),"",'Price History'!Z137/'Price History'!Z136-1),"")</f>
        <v>0.0967202022719989</v>
      </c>
      <c r="AT136" s="155" t="n">
        <f aca="false">IFERROR(IF(OR(NOT(ISNUMBER('Price History'!AA137)),NOT(ISNUMBER('Price History'!AA136)),'Price History'!AA136=0),"",'Price History'!AA137/'Price History'!AA136-1),"")</f>
        <v>0.0440908169470911</v>
      </c>
      <c r="AU136" s="155" t="n">
        <f aca="false">IFERROR(IF(OR(NOT(ISNUMBER('Price History'!AB137)),NOT(ISNUMBER('Price History'!AB136)),'Price History'!AB136=0),"",'Price History'!AB137/'Price History'!AB136-1),"")</f>
        <v>-0.129612599149327</v>
      </c>
    </row>
    <row r="137" customFormat="false" ht="15" hidden="false" customHeight="true" outlineLevel="0" collapsed="false">
      <c r="A137" s="153" t="n">
        <f aca="false">IF('Price History'!A138="","",'Price History'!A138)</f>
        <v>46129</v>
      </c>
      <c r="B137" s="154" t="n">
        <f aca="false">IFERROR(IF(OR(NOT(ISNUMBER('Price History'!B138)),NOT(ISNUMBER('Price History'!B137)),'Price History'!B137=0),"",'Price History'!B138/'Price History'!B137-1),"")</f>
        <v>0.0847570445972932</v>
      </c>
      <c r="C137" s="154" t="n">
        <f aca="false">IFERROR(IF(OR(NOT(ISNUMBER('Price History'!C138)),NOT(ISNUMBER('Price History'!C137)),'Price History'!C137=0),"",'Price History'!C138/'Price History'!C137-1),"")</f>
        <v>0.114557176789956</v>
      </c>
      <c r="D137" s="154" t="n">
        <f aca="false">IFERROR(IF(OR(NOT(ISNUMBER('Price History'!D138)),NOT(ISNUMBER('Price History'!D137)),'Price History'!D137=0),"",'Price History'!D138/'Price History'!D137-1),"")</f>
        <v>-0.012497030173438</v>
      </c>
      <c r="E137" s="154" t="n">
        <f aca="false">IFERROR(IF(OR(NOT(ISNUMBER('Price History'!E138)),NOT(ISNUMBER('Price History'!E137)),'Price History'!E137=0),"",'Price History'!E138/'Price History'!E137-1),"")</f>
        <v>0.0941694347673445</v>
      </c>
      <c r="F137" s="154" t="n">
        <f aca="false">IFERROR(IF(OR(NOT(ISNUMBER('Price History'!F138)),NOT(ISNUMBER('Price History'!F137)),'Price History'!F137=0),"",'Price History'!F138/'Price History'!F137-1),"")</f>
        <v>0.118627968337731</v>
      </c>
      <c r="G137" s="154" t="n">
        <f aca="false">IFERROR(IF(OR(NOT(ISNUMBER('Price History'!G138)),NOT(ISNUMBER('Price History'!G137)),'Price History'!G137=0),"",'Price History'!G138/'Price History'!G137-1),"")</f>
        <v>0.0311580405054528</v>
      </c>
      <c r="H137" s="154" t="n">
        <f aca="false">IFERROR(IF(OR(NOT(ISNUMBER('Price History'!H138)),NOT(ISNUMBER('Price History'!H137)),'Price History'!H137=0),"",'Price History'!H138/'Price History'!H137-1),"")</f>
        <v>0.0819679927710271</v>
      </c>
      <c r="I137" s="154" t="n">
        <f aca="false">IFERROR(IF(OR(NOT(ISNUMBER('Price History'!I138)),NOT(ISNUMBER('Price History'!I137)),'Price History'!I137=0),"",'Price History'!I138/'Price History'!I137-1),"")</f>
        <v>0.069181721572795</v>
      </c>
      <c r="J137" s="154" t="n">
        <f aca="false">IFERROR(IF(OR(NOT(ISNUMBER('Price History'!J138)),NOT(ISNUMBER('Price History'!J137)),'Price History'!J137=0),"",'Price History'!J138/'Price History'!J137-1),"")</f>
        <v>0.0576481906312438</v>
      </c>
      <c r="K137" s="154" t="n">
        <f aca="false">IFERROR(IF(OR(NOT(ISNUMBER('Price History'!K138)),NOT(ISNUMBER('Price History'!K137)),'Price History'!K137=0),"",'Price History'!K138/'Price History'!K137-1),"")</f>
        <v>0.143136029985944</v>
      </c>
      <c r="L137" s="154" t="n">
        <f aca="false">IFERROR(IF(OR(NOT(ISNUMBER('Price History'!L138)),NOT(ISNUMBER('Price History'!L137)),'Price History'!L137=0),"",'Price History'!L138/'Price History'!L137-1),"")</f>
        <v>-0.0002440744155775</v>
      </c>
      <c r="M137" s="154" t="n">
        <f aca="false">IFERROR(IF(OR(NOT(ISNUMBER('Price History'!M138)),NOT(ISNUMBER('Price History'!M137)),'Price History'!M137=0),"",'Price History'!M138/'Price History'!M137-1),"")</f>
        <v>0.0414265373923655</v>
      </c>
      <c r="N137" s="154" t="n">
        <f aca="false">IFERROR(IF(OR(NOT(ISNUMBER('Price History'!N138)),NOT(ISNUMBER('Price History'!N137)),'Price History'!N137=0),"",'Price History'!N138/'Price History'!N137-1),"")</f>
        <v>0.0113003415316204</v>
      </c>
      <c r="O137" s="154" t="n">
        <f aca="false">IFERROR(IF(OR(NOT(ISNUMBER('Price History'!O138)),NOT(ISNUMBER('Price History'!O137)),'Price History'!O137=0),"",'Price History'!O138/'Price History'!O137-1),"")</f>
        <v>0.0243110408987186</v>
      </c>
      <c r="P137" s="154" t="n">
        <f aca="false">IFERROR(IF(OR(NOT(ISNUMBER('Price History'!P138)),NOT(ISNUMBER('Price History'!P137)),'Price History'!P137=0),"",'Price History'!P138/'Price History'!P137-1),"")</f>
        <v>0.00459969335377641</v>
      </c>
      <c r="Q137" s="154" t="n">
        <f aca="false">IFERROR(IF(OR(NOT(ISNUMBER('Price History'!Q138)),NOT(ISNUMBER('Price History'!Q137)),'Price History'!Q137=0),"",'Price History'!Q138/'Price History'!Q137-1),"")</f>
        <v>0.0257471264367817</v>
      </c>
      <c r="R137" s="154" t="n">
        <f aca="false">IFERROR(IF(OR(NOT(ISNUMBER('Price History'!R138)),NOT(ISNUMBER('Price History'!R137)),'Price History'!R137=0),"",'Price History'!R138/'Price History'!R137-1),"")</f>
        <v>0.018107908351811</v>
      </c>
      <c r="S137" s="154" t="n">
        <f aca="false">IFERROR(IF(OR(NOT(ISNUMBER('Price History'!S138)),NOT(ISNUMBER('Price History'!S137)),'Price History'!S137=0),"",'Price History'!S138/'Price History'!S137-1),"")</f>
        <v>0.0401789345262302</v>
      </c>
      <c r="T137" s="154" t="n">
        <f aca="false">IFERROR(IF(OR(NOT(ISNUMBER('Price History'!T138)),NOT(ISNUMBER('Price History'!T137)),'Price History'!T137=0),"",'Price History'!T138/'Price History'!T137-1),"")</f>
        <v>0.0534718702483528</v>
      </c>
      <c r="U137" s="154" t="n">
        <f aca="false">IFERROR(IF(OR(NOT(ISNUMBER('Price History'!U138)),NOT(ISNUMBER('Price History'!U137)),'Price History'!U137=0),"",'Price History'!U138/'Price History'!U137-1),"")</f>
        <v>0.0159574468085106</v>
      </c>
      <c r="V137" s="155" t="n">
        <f aca="false">IFERROR(IF(OR(NOT(ISNUMBER('Price History'!V138)),NOT(ISNUMBER('Price History'!V137)),'Price History'!V137=0),"",'Price History'!V138/'Price History'!V137-1),"")</f>
        <v>0.0415938252465613</v>
      </c>
      <c r="W137" s="156" t="n">
        <f aca="false">IFERROR('Price History'!B3+(INDEX('Price History'!B:B,MATCH(9.99E+307,'Returns (Calc)'!$A:$A)+1)-'Price History'!B3)*(ROW()-3)/(MATCH(9.99E+307,'Returns (Calc)'!$A:$A)-3),"")</f>
        <v>281.922911392405</v>
      </c>
      <c r="X137" s="156" t="n">
        <f aca="false">IFERROR('Price History'!C3+(INDEX('Price History'!C:C,MATCH(9.99E+307,'Returns (Calc)'!$A:$A)+1)-'Price History'!C3)*(ROW()-3)/(MATCH(9.99E+307,'Returns (Calc)'!$A:$A)-3),"")</f>
        <v>182.868481012658</v>
      </c>
      <c r="Y137" s="156" t="n">
        <f aca="false">IFERROR('Price History'!D3+(INDEX('Price History'!D:D,MATCH(9.99E+307,'Returns (Calc)'!$A:$A)+1)-'Price History'!D3)*(ROW()-3)/(MATCH(9.99E+307,'Returns (Calc)'!$A:$A)-3),"")</f>
        <v>1672.07455696203</v>
      </c>
      <c r="Z137" s="156" t="n">
        <f aca="false">IFERROR('Price History'!E3+(INDEX('Price History'!E:E,MATCH(9.99E+307,'Returns (Calc)'!$A:$A)+1)-'Price History'!E3)*(ROW()-3)/(MATCH(9.99E+307,'Returns (Calc)'!$A:$A)-3),"")</f>
        <v>313.650379746835</v>
      </c>
      <c r="AA137" s="156" t="n">
        <f aca="false">IFERROR('Price History'!F3+(INDEX('Price History'!F:F,MATCH(9.99E+307,'Returns (Calc)'!$A:$A)+1)-'Price History'!F3)*(ROW()-3)/(MATCH(9.99E+307,'Returns (Calc)'!$A:$A)-3),"")</f>
        <v>235.303797468354</v>
      </c>
      <c r="AB137" s="156" t="n">
        <f aca="false">IFERROR('Price History'!G3+(INDEX('Price History'!G:G,MATCH(9.99E+307,'Returns (Calc)'!$A:$A)+1)-'Price History'!G3)*(ROW()-3)/(MATCH(9.99E+307,'Returns (Calc)'!$A:$A)-3),"")</f>
        <v>182.200379746835</v>
      </c>
      <c r="AC137" s="156" t="n">
        <f aca="false">IFERROR('Price History'!H3+(INDEX('Price History'!H:H,MATCH(9.99E+307,'Returns (Calc)'!$A:$A)+1)-'Price History'!H3)*(ROW()-3)/(MATCH(9.99E+307,'Returns (Calc)'!$A:$A)-3),"")</f>
        <v>922.113291139241</v>
      </c>
      <c r="AD137" s="156" t="n">
        <f aca="false">IFERROR('Price History'!I3+(INDEX('Price History'!I:I,MATCH(9.99E+307,'Returns (Calc)'!$A:$A)+1)-'Price History'!I3)*(ROW()-3)/(MATCH(9.99E+307,'Returns (Calc)'!$A:$A)-3),"")</f>
        <v>205.061898734177</v>
      </c>
      <c r="AE137" s="156" t="n">
        <f aca="false">IFERROR('Price History'!J3+(INDEX('Price History'!J:J,MATCH(9.99E+307,'Returns (Calc)'!$A:$A)+1)-'Price History'!J3)*(ROW()-3)/(MATCH(9.99E+307,'Returns (Calc)'!$A:$A)-3),"")</f>
        <v>126.317088607595</v>
      </c>
      <c r="AF137" s="156" t="n">
        <f aca="false">IFERROR('Price History'!K3+(INDEX('Price History'!K:K,MATCH(9.99E+307,'Returns (Calc)'!$A:$A)+1)-'Price History'!K3)*(ROW()-3)/(MATCH(9.99E+307,'Returns (Calc)'!$A:$A)-3),"")</f>
        <v>162.407721518987</v>
      </c>
      <c r="AG137" s="156" t="n">
        <f aca="false">IFERROR('Price History'!L3+(INDEX('Price History'!L:L,MATCH(9.99E+307,'Returns (Calc)'!$A:$A)+1)-'Price History'!L3)*(ROW()-3)/(MATCH(9.99E+307,'Returns (Calc)'!$A:$A)-3),"")</f>
        <v>413.990632911392</v>
      </c>
      <c r="AH137" s="156" t="n">
        <f aca="false">IFERROR('Price History'!M3+(INDEX('Price History'!M:M,MATCH(9.99E+307,'Returns (Calc)'!$A:$A)+1)-'Price History'!M3)*(ROW()-3)/(MATCH(9.99E+307,'Returns (Calc)'!$A:$A)-3),"")</f>
        <v>219.649367088608</v>
      </c>
      <c r="AI137" s="156" t="n">
        <f aca="false">IFERROR('Price History'!N3+(INDEX('Price History'!N:N,MATCH(9.99E+307,'Returns (Calc)'!$A:$A)+1)-'Price History'!N3)*(ROW()-3)/(MATCH(9.99E+307,'Returns (Calc)'!$A:$A)-3),"")</f>
        <v>481.059620253165</v>
      </c>
      <c r="AJ137" s="156" t="n">
        <f aca="false">IFERROR('Price History'!O3+(INDEX('Price History'!O:O,MATCH(9.99E+307,'Returns (Calc)'!$A:$A)+1)-'Price History'!O3)*(ROW()-3)/(MATCH(9.99E+307,'Returns (Calc)'!$A:$A)-3),"")</f>
        <v>113.237088607595</v>
      </c>
      <c r="AK137" s="156" t="n">
        <f aca="false">IFERROR('Price History'!Q3+(INDEX('Price History'!Q:Q,MATCH(9.99E+307,'Returns (Calc)'!$A:$A)+1)-'Price History'!Q3)*(ROW()-3)/(MATCH(9.99E+307,'Returns (Calc)'!$A:$A)-3),"")</f>
        <v>58.8751898734177</v>
      </c>
      <c r="AL137" s="156" t="n">
        <f aca="false">IFERROR('Price History'!R3+(INDEX('Price History'!R:R,MATCH(9.99E+307,'Returns (Calc)'!$A:$A)+1)-'Price History'!R3)*(ROW()-3)/(MATCH(9.99E+307,'Returns (Calc)'!$A:$A)-3),"")</f>
        <v>57.0055696202532</v>
      </c>
      <c r="AM137" s="156" t="n">
        <f aca="false">IFERROR('Price History'!S3+(INDEX('Price History'!S:S,MATCH(9.99E+307,'Returns (Calc)'!$A:$A)+1)-'Price History'!S3)*(ROW()-3)/(MATCH(9.99E+307,'Returns (Calc)'!$A:$A)-3),"")</f>
        <v>138.708481012658</v>
      </c>
      <c r="AN137" s="156" t="n">
        <f aca="false">IFERROR('Price History'!T3+(INDEX('Price History'!T:T,MATCH(9.99E+307,'Returns (Calc)'!$A:$A)+1)-'Price History'!T3)*(ROW()-3)/(MATCH(9.99E+307,'Returns (Calc)'!$A:$A)-3),"")</f>
        <v>47.7825316455696</v>
      </c>
      <c r="AO137" s="157" t="n">
        <f aca="false">IFERROR('Price History'!V3+(INDEX('Price History'!V:V,MATCH(9.99E+307,'Returns (Calc)'!$A:$A)+1)-'Price History'!V3)*(ROW()-3)/(MATCH(9.99E+307,'Returns (Calc)'!$A:$A)-3),"")</f>
        <v>341.668101265823</v>
      </c>
      <c r="AP137" s="155" t="n">
        <f aca="false">IFERROR(IF(OR(NOT(ISNUMBER('Price History'!W138)),NOT(ISNUMBER('Price History'!W137)),'Price History'!W137=0),"",'Price History'!W138/'Price History'!W137-1),"")</f>
        <v>0.0200279459711226</v>
      </c>
      <c r="AQ137" s="155" t="n">
        <f aca="false">IFERROR(IF(OR(NOT(ISNUMBER('Price History'!X138)),NOT(ISNUMBER('Price History'!X137)),'Price History'!X137=0),"",'Price History'!X138/'Price History'!X137-1),"")</f>
        <v>-0.0250813708596591</v>
      </c>
      <c r="AR137" s="155" t="n">
        <f aca="false">IFERROR(IF(OR(NOT(ISNUMBER('Price History'!Y138)),NOT(ISNUMBER('Price History'!Y137)),'Price History'!Y137=0),"",'Price History'!Y138/'Price History'!Y137-1),"")</f>
        <v>0.00434389140271496</v>
      </c>
      <c r="AS137" s="155" t="n">
        <f aca="false">IFERROR(IF(OR(NOT(ISNUMBER('Price History'!Z138)),NOT(ISNUMBER('Price History'!Z137)),'Price History'!Z137=0),"",'Price History'!Z138/'Price History'!Z137-1),"")</f>
        <v>-0.0137026333733806</v>
      </c>
      <c r="AT137" s="155" t="n">
        <f aca="false">IFERROR(IF(OR(NOT(ISNUMBER('Price History'!AA138)),NOT(ISNUMBER('Price History'!AA137)),'Price History'!AA137=0),"",'Price History'!AA138/'Price History'!AA137-1),"")</f>
        <v>-0.0553344335501408</v>
      </c>
      <c r="AU137" s="155" t="n">
        <f aca="false">IFERROR(IF(OR(NOT(ISNUMBER('Price History'!AB138)),NOT(ISNUMBER('Price History'!AB137)),'Price History'!AB137=0),"",'Price History'!AB138/'Price History'!AB137-1),"")</f>
        <v>0.109093310440467</v>
      </c>
    </row>
    <row r="138" customFormat="false" ht="15" hidden="false" customHeight="true" outlineLevel="0" collapsed="false">
      <c r="A138" s="153" t="n">
        <f aca="false">IF('Price History'!A139="","",'Price History'!A139)</f>
        <v>46136</v>
      </c>
      <c r="B138" s="154" t="n">
        <f aca="false">IFERROR(IF(OR(NOT(ISNUMBER('Price History'!B139)),NOT(ISNUMBER('Price History'!B138)),'Price History'!B138=0),"",'Price History'!B139/'Price History'!B138-1),"")</f>
        <v>0.0040499079566374</v>
      </c>
      <c r="C138" s="154" t="n">
        <f aca="false">IFERROR(IF(OR(NOT(ISNUMBER('Price History'!C139)),NOT(ISNUMBER('Price History'!C138)),'Price History'!C138=0),"",'Price History'!C139/'Price History'!C138-1),"")</f>
        <v>0.0772087925470377</v>
      </c>
      <c r="D138" s="154" t="n">
        <f aca="false">IFERROR(IF(OR(NOT(ISNUMBER('Price History'!D139)),NOT(ISNUMBER('Price History'!D138)),'Price History'!D138=0),"",'Price History'!D139/'Price History'!D138-1),"")</f>
        <v>-0.00144355692426135</v>
      </c>
      <c r="E138" s="154" t="n">
        <f aca="false">IFERROR(IF(OR(NOT(ISNUMBER('Price History'!E139)),NOT(ISNUMBER('Price History'!E138)),'Price History'!E138=0),"",'Price History'!E139/'Price History'!E138-1),"")</f>
        <v>0.0398854773422845</v>
      </c>
      <c r="F138" s="154" t="n">
        <f aca="false">IFERROR(IF(OR(NOT(ISNUMBER('Price History'!F139)),NOT(ISNUMBER('Price History'!F138)),'Price History'!F138=0),"",'Price History'!F139/'Price History'!F138-1),"")</f>
        <v>0.0569865081611474</v>
      </c>
      <c r="G138" s="154" t="n">
        <f aca="false">IFERROR(IF(OR(NOT(ISNUMBER('Price History'!G139)),NOT(ISNUMBER('Price History'!G138)),'Price History'!G138=0),"",'Price History'!G139/'Price History'!G138-1),"")</f>
        <v>0.0801857758379496</v>
      </c>
      <c r="H138" s="154" t="n">
        <f aca="false">IFERROR(IF(OR(NOT(ISNUMBER('Price History'!H139)),NOT(ISNUMBER('Price History'!H138)),'Price History'!H138=0),"",'Price History'!H139/'Price History'!H138-1),"")</f>
        <v>0.0915164835164835</v>
      </c>
      <c r="I138" s="154" t="n">
        <f aca="false">IFERROR(IF(OR(NOT(ISNUMBER('Price History'!I139)),NOT(ISNUMBER('Price History'!I138)),'Price History'!I138=0),"",'Price History'!I139/'Price History'!I138-1),"")</f>
        <v>0.0327005267866019</v>
      </c>
      <c r="J138" s="154" t="n">
        <f aca="false">IFERROR(IF(OR(NOT(ISNUMBER('Price History'!J139)),NOT(ISNUMBER('Price History'!J138)),'Price History'!J138=0),"",'Price History'!J139/'Price History'!J138-1),"")</f>
        <v>-0.0207108872096277</v>
      </c>
      <c r="K138" s="154" t="n">
        <f aca="false">IFERROR(IF(OR(NOT(ISNUMBER('Price History'!K139)),NOT(ISNUMBER('Price History'!K138)),'Price History'!K138=0),"",'Price History'!K139/'Price History'!K138-1),"")</f>
        <v>-0.0225425233964067</v>
      </c>
      <c r="L138" s="154" t="n">
        <f aca="false">IFERROR(IF(OR(NOT(ISNUMBER('Price History'!L139)),NOT(ISNUMBER('Price History'!L138)),'Price History'!L138=0),"",'Price History'!L139/'Price History'!L138-1),"")</f>
        <v>0.0862606808626067</v>
      </c>
      <c r="M138" s="154" t="n">
        <f aca="false">IFERROR(IF(OR(NOT(ISNUMBER('Price History'!M139)),NOT(ISNUMBER('Price History'!M138)),'Price History'!M138=0),"",'Price History'!M139/'Price History'!M138-1),"")</f>
        <v>0.05244140625</v>
      </c>
      <c r="N138" s="154" t="n">
        <f aca="false">IFERROR(IF(OR(NOT(ISNUMBER('Price History'!N139)),NOT(ISNUMBER('Price History'!N138)),'Price History'!N138=0),"",'Price History'!N139/'Price History'!N138-1),"")</f>
        <v>-0.0247280145058929</v>
      </c>
      <c r="O138" s="154" t="n">
        <f aca="false">IFERROR(IF(OR(NOT(ISNUMBER('Price History'!O139)),NOT(ISNUMBER('Price History'!O138)),'Price History'!O138=0),"",'Price History'!O139/'Price History'!O138-1),"")</f>
        <v>0.0122525918944392</v>
      </c>
      <c r="P138" s="154" t="n">
        <f aca="false">IFERROR(IF(OR(NOT(ISNUMBER('Price History'!P139)),NOT(ISNUMBER('Price History'!P138)),'Price History'!P138=0),"",'Price History'!P139/'Price History'!P138-1),"")</f>
        <v>-0.00809555408095553</v>
      </c>
      <c r="Q138" s="154" t="n">
        <f aca="false">IFERROR(IF(OR(NOT(ISNUMBER('Price History'!Q139)),NOT(ISNUMBER('Price History'!Q138)),'Price History'!Q138=0),"",'Price History'!Q139/'Price History'!Q138-1),"")</f>
        <v>0.00224114746750326</v>
      </c>
      <c r="R138" s="154" t="n">
        <f aca="false">IFERROR(IF(OR(NOT(ISNUMBER('Price History'!R139)),NOT(ISNUMBER('Price History'!R138)),'Price History'!R138=0),"",'Price History'!R139/'Price History'!R138-1),"")</f>
        <v>0.00562613430127024</v>
      </c>
      <c r="S138" s="154" t="n">
        <f aca="false">IFERROR(IF(OR(NOT(ISNUMBER('Price History'!S139)),NOT(ISNUMBER('Price History'!S138)),'Price History'!S138=0),"",'Price History'!S139/'Price History'!S138-1),"")</f>
        <v>0.0250996950504339</v>
      </c>
      <c r="T138" s="154" t="n">
        <f aca="false">IFERROR(IF(OR(NOT(ISNUMBER('Price History'!T139)),NOT(ISNUMBER('Price History'!T138)),'Price History'!T138=0),"",'Price History'!T139/'Price History'!T138-1),"")</f>
        <v>-0.00553283617993738</v>
      </c>
      <c r="U138" s="154" t="n">
        <f aca="false">IFERROR(IF(OR(NOT(ISNUMBER('Price History'!U139)),NOT(ISNUMBER('Price History'!U138)),'Price History'!U138=0),"",'Price History'!U139/'Price History'!U138-1),"")</f>
        <v>0.00490837696335089</v>
      </c>
      <c r="V138" s="155" t="n">
        <f aca="false">IFERROR(IF(OR(NOT(ISNUMBER('Price History'!V139)),NOT(ISNUMBER('Price History'!V138)),'Price History'!V138=0),"",'Price History'!V139/'Price History'!V138-1),"")</f>
        <v>-0.0239723858382418</v>
      </c>
      <c r="W138" s="156" t="n">
        <f aca="false">IFERROR('Price History'!B3+(INDEX('Price History'!B:B,MATCH(9.99E+307,'Returns (Calc)'!$A:$A)+1)-'Price History'!B3)*(ROW()-3)/(MATCH(9.99E+307,'Returns (Calc)'!$A:$A)-3),"")</f>
        <v>280.079873417722</v>
      </c>
      <c r="X138" s="156" t="n">
        <f aca="false">IFERROR('Price History'!C3+(INDEX('Price History'!C:C,MATCH(9.99E+307,'Returns (Calc)'!$A:$A)+1)-'Price History'!C3)*(ROW()-3)/(MATCH(9.99E+307,'Returns (Calc)'!$A:$A)-3),"")</f>
        <v>183.888544303797</v>
      </c>
      <c r="Y138" s="156" t="n">
        <f aca="false">IFERROR('Price History'!D3+(INDEX('Price History'!D:D,MATCH(9.99E+307,'Returns (Calc)'!$A:$A)+1)-'Price History'!D3)*(ROW()-3)/(MATCH(9.99E+307,'Returns (Calc)'!$A:$A)-3),"")</f>
        <v>1680.20936708861</v>
      </c>
      <c r="Z138" s="156" t="n">
        <f aca="false">IFERROR('Price History'!E3+(INDEX('Price History'!E:E,MATCH(9.99E+307,'Returns (Calc)'!$A:$A)+1)-'Price History'!E3)*(ROW()-3)/(MATCH(9.99E+307,'Returns (Calc)'!$A:$A)-3),"")</f>
        <v>315.379113924051</v>
      </c>
      <c r="AA138" s="156" t="n">
        <f aca="false">IFERROR('Price History'!F3+(INDEX('Price History'!F:F,MATCH(9.99E+307,'Returns (Calc)'!$A:$A)+1)-'Price History'!F3)*(ROW()-3)/(MATCH(9.99E+307,'Returns (Calc)'!$A:$A)-3),"")</f>
        <v>236.751139240506</v>
      </c>
      <c r="AB138" s="156" t="n">
        <f aca="false">IFERROR('Price History'!G3+(INDEX('Price History'!G:G,MATCH(9.99E+307,'Returns (Calc)'!$A:$A)+1)-'Price History'!G3)*(ROW()-3)/(MATCH(9.99E+307,'Returns (Calc)'!$A:$A)-3),"")</f>
        <v>183.229113924051</v>
      </c>
      <c r="AC138" s="156" t="n">
        <f aca="false">IFERROR('Price History'!H3+(INDEX('Price History'!H:H,MATCH(9.99E+307,'Returns (Calc)'!$A:$A)+1)-'Price History'!H3)*(ROW()-3)/(MATCH(9.99E+307,'Returns (Calc)'!$A:$A)-3),"")</f>
        <v>928.478987341772</v>
      </c>
      <c r="AD138" s="156" t="n">
        <f aca="false">IFERROR('Price History'!I3+(INDEX('Price History'!I:I,MATCH(9.99E+307,'Returns (Calc)'!$A:$A)+1)-'Price History'!I3)*(ROW()-3)/(MATCH(9.99E+307,'Returns (Calc)'!$A:$A)-3),"")</f>
        <v>206.265569620253</v>
      </c>
      <c r="AE138" s="156" t="n">
        <f aca="false">IFERROR('Price History'!J3+(INDEX('Price History'!J:J,MATCH(9.99E+307,'Returns (Calc)'!$A:$A)+1)-'Price History'!J3)*(ROW()-3)/(MATCH(9.99E+307,'Returns (Calc)'!$A:$A)-3),"")</f>
        <v>126.425126582278</v>
      </c>
      <c r="AF138" s="156" t="n">
        <f aca="false">IFERROR('Price History'!K3+(INDEX('Price History'!K:K,MATCH(9.99E+307,'Returns (Calc)'!$A:$A)+1)-'Price History'!K3)*(ROW()-3)/(MATCH(9.99E+307,'Returns (Calc)'!$A:$A)-3),"")</f>
        <v>163.505316455696</v>
      </c>
      <c r="AG138" s="156" t="n">
        <f aca="false">IFERROR('Price History'!L3+(INDEX('Price History'!L:L,MATCH(9.99E+307,'Returns (Calc)'!$A:$A)+1)-'Price History'!L3)*(ROW()-3)/(MATCH(9.99E+307,'Returns (Calc)'!$A:$A)-3),"")</f>
        <v>416.440189873418</v>
      </c>
      <c r="AH138" s="156" t="n">
        <f aca="false">IFERROR('Price History'!M3+(INDEX('Price History'!M:M,MATCH(9.99E+307,'Returns (Calc)'!$A:$A)+1)-'Price History'!M3)*(ROW()-3)/(MATCH(9.99E+307,'Returns (Calc)'!$A:$A)-3),"")</f>
        <v>221.004810126582</v>
      </c>
      <c r="AI138" s="156" t="n">
        <f aca="false">IFERROR('Price History'!N3+(INDEX('Price History'!N:N,MATCH(9.99E+307,'Returns (Calc)'!$A:$A)+1)-'Price History'!N3)*(ROW()-3)/(MATCH(9.99E+307,'Returns (Calc)'!$A:$A)-3),"")</f>
        <v>482.045886075949</v>
      </c>
      <c r="AJ138" s="156" t="n">
        <f aca="false">IFERROR('Price History'!O3+(INDEX('Price History'!O:O,MATCH(9.99E+307,'Returns (Calc)'!$A:$A)+1)-'Price History'!O3)*(ROW()-3)/(MATCH(9.99E+307,'Returns (Calc)'!$A:$A)-3),"")</f>
        <v>113.520126582278</v>
      </c>
      <c r="AK138" s="156" t="n">
        <f aca="false">IFERROR('Price History'!Q3+(INDEX('Price History'!Q:Q,MATCH(9.99E+307,'Returns (Calc)'!$A:$A)+1)-'Price History'!Q3)*(ROW()-3)/(MATCH(9.99E+307,'Returns (Calc)'!$A:$A)-3),"")</f>
        <v>59.3145569620253</v>
      </c>
      <c r="AL138" s="156" t="n">
        <f aca="false">IFERROR('Price History'!R3+(INDEX('Price History'!R:R,MATCH(9.99E+307,'Returns (Calc)'!$A:$A)+1)-'Price History'!R3)*(ROW()-3)/(MATCH(9.99E+307,'Returns (Calc)'!$A:$A)-3),"")</f>
        <v>57.173670886076</v>
      </c>
      <c r="AM138" s="156" t="n">
        <f aca="false">IFERROR('Price History'!S3+(INDEX('Price History'!S:S,MATCH(9.99E+307,'Returns (Calc)'!$A:$A)+1)-'Price History'!S3)*(ROW()-3)/(MATCH(9.99E+307,'Returns (Calc)'!$A:$A)-3),"")</f>
        <v>139.313544303797</v>
      </c>
      <c r="AN138" s="156" t="n">
        <f aca="false">IFERROR('Price History'!T3+(INDEX('Price History'!T:T,MATCH(9.99E+307,'Returns (Calc)'!$A:$A)+1)-'Price History'!T3)*(ROW()-3)/(MATCH(9.99E+307,'Returns (Calc)'!$A:$A)-3),"")</f>
        <v>47.9507594936709</v>
      </c>
      <c r="AO138" s="157" t="n">
        <f aca="false">IFERROR('Price History'!V3+(INDEX('Price History'!V:V,MATCH(9.99E+307,'Returns (Calc)'!$A:$A)+1)-'Price History'!V3)*(ROW()-3)/(MATCH(9.99E+307,'Returns (Calc)'!$A:$A)-3),"")</f>
        <v>342.459430379747</v>
      </c>
      <c r="AP138" s="155" t="n">
        <f aca="false">IFERROR(IF(OR(NOT(ISNUMBER('Price History'!W139)),NOT(ISNUMBER('Price History'!W138)),'Price History'!W138=0),"",'Price History'!W139/'Price History'!W138-1),"")</f>
        <v>-0.00104370515329433</v>
      </c>
      <c r="AQ138" s="155" t="n">
        <f aca="false">IFERROR(IF(OR(NOT(ISNUMBER('Price History'!X139)),NOT(ISNUMBER('Price History'!X138)),'Price History'!X138=0),"",'Price History'!X139/'Price History'!X138-1),"")</f>
        <v>0.0133542812254517</v>
      </c>
      <c r="AR138" s="155" t="n">
        <f aca="false">IFERROR(IF(OR(NOT(ISNUMBER('Price History'!Y139)),NOT(ISNUMBER('Price History'!Y138)),'Price History'!Y138=0),"",'Price History'!Y139/'Price History'!Y138-1),"")</f>
        <v>-0.00810956929176432</v>
      </c>
      <c r="AS138" s="155" t="n">
        <f aca="false">IFERROR(IF(OR(NOT(ISNUMBER('Price History'!Z139)),NOT(ISNUMBER('Price History'!Z138)),'Price History'!Z138=0),"",'Price History'!Z139/'Price History'!Z138-1),"")</f>
        <v>-0.0641975308641976</v>
      </c>
      <c r="AT138" s="155" t="n">
        <f aca="false">IFERROR(IF(OR(NOT(ISNUMBER('Price History'!AA139)),NOT(ISNUMBER('Price History'!AA138)),'Price History'!AA138=0),"",'Price History'!AA139/'Price History'!AA138-1),"")</f>
        <v>-0.0500462439625938</v>
      </c>
      <c r="AU138" s="155" t="n">
        <f aca="false">IFERROR(IF(OR(NOT(ISNUMBER('Price History'!AB139)),NOT(ISNUMBER('Price History'!AB138)),'Price History'!AB138=0),"",'Price History'!AB139/'Price History'!AB138-1),"")</f>
        <v>-0.0406073236082167</v>
      </c>
    </row>
    <row r="139" customFormat="false" ht="15" hidden="false" customHeight="true" outlineLevel="0" collapsed="false">
      <c r="A139" s="153" t="n">
        <f aca="false">IF('Price History'!A140="","",'Price History'!A140)</f>
        <v>46143</v>
      </c>
      <c r="B139" s="154" t="n">
        <f aca="false">IFERROR(IF(OR(NOT(ISNUMBER('Price History'!B140)),NOT(ISNUMBER('Price History'!B139)),'Price History'!B139=0),"",'Price History'!B140/'Price History'!B139-1),"")</f>
        <v>0.0214716427640156</v>
      </c>
      <c r="C139" s="154" t="n">
        <f aca="false">IFERROR(IF(OR(NOT(ISNUMBER('Price History'!C140)),NOT(ISNUMBER('Price History'!C139)),'Price History'!C139=0),"",'Price History'!C140/'Price History'!C139-1),"")</f>
        <v>-0.0237974111129954</v>
      </c>
      <c r="D139" s="154" t="n">
        <f aca="false">IFERROR(IF(OR(NOT(ISNUMBER('Price History'!D140)),NOT(ISNUMBER('Price History'!D139)),'Price History'!D139=0),"",'Price History'!D140/'Price History'!D139-1),"")</f>
        <v>-0.0189035136028197</v>
      </c>
      <c r="E139" s="154" t="n">
        <f aca="false">IFERROR(IF(OR(NOT(ISNUMBER('Price History'!E140)),NOT(ISNUMBER('Price History'!E139)),'Price History'!E139=0),"",'Price History'!E140/'Price History'!E139-1),"")</f>
        <v>-0.00348903446311588</v>
      </c>
      <c r="F139" s="154" t="n">
        <f aca="false">IFERROR(IF(OR(NOT(ISNUMBER('Price History'!F140)),NOT(ISNUMBER('Price History'!F139)),'Price History'!F139=0),"",'Price History'!F140/'Price History'!F139-1),"")</f>
        <v>0.0167812193162544</v>
      </c>
      <c r="G139" s="154" t="n">
        <f aca="false">IFERROR(IF(OR(NOT(ISNUMBER('Price History'!G140)),NOT(ISNUMBER('Price History'!G139)),'Price History'!G139=0),"",'Price History'!G140/'Price History'!G139-1),"")</f>
        <v>-0.107905097389142</v>
      </c>
      <c r="H139" s="154" t="n">
        <f aca="false">IFERROR(IF(OR(NOT(ISNUMBER('Price History'!H140)),NOT(ISNUMBER('Price History'!H139)),'Price History'!H139=0),"",'Price History'!H140/'Price History'!H139-1),"")</f>
        <v>0.0915955219072164</v>
      </c>
      <c r="I139" s="154" t="n">
        <f aca="false">IFERROR(IF(OR(NOT(ISNUMBER('Price History'!I140)),NOT(ISNUMBER('Price History'!I139)),'Price History'!I139=0),"",'Price History'!I140/'Price History'!I139-1),"")</f>
        <v>-0.0471607314725698</v>
      </c>
      <c r="J139" s="154" t="n">
        <f aca="false">IFERROR(IF(OR(NOT(ISNUMBER('Price History'!J140)),NOT(ISNUMBER('Price History'!J139)),'Price History'!J139=0),"",'Price History'!J140/'Price History'!J139-1),"")</f>
        <v>-0.00478708202343536</v>
      </c>
      <c r="K139" s="154" t="n">
        <f aca="false">IFERROR(IF(OR(NOT(ISNUMBER('Price History'!K140)),NOT(ISNUMBER('Price History'!K139)),'Price History'!K139=0),"",'Price History'!K140/'Price History'!K139-1),"")</f>
        <v>0.00684883639667344</v>
      </c>
      <c r="L139" s="154" t="n">
        <f aca="false">IFERROR(IF(OR(NOT(ISNUMBER('Price History'!L140)),NOT(ISNUMBER('Price History'!L139)),'Price History'!L139=0),"",'Price History'!L140/'Price History'!L139-1),"")</f>
        <v>-0.011911599450618</v>
      </c>
      <c r="M139" s="154" t="n">
        <f aca="false">IFERROR(IF(OR(NOT(ISNUMBER('Price History'!M140)),NOT(ISNUMBER('Price History'!M139)),'Price History'!M139=0),"",'Price History'!M140/'Price History'!M139-1),"")</f>
        <v>0.0150010825523492</v>
      </c>
      <c r="N139" s="154" t="n">
        <f aca="false">IFERROR(IF(OR(NOT(ISNUMBER('Price History'!N140)),NOT(ISNUMBER('Price History'!N139)),'Price History'!N139=0),"",'Price History'!N140/'Price History'!N139-1),"")</f>
        <v>-0.0148039694159753</v>
      </c>
      <c r="O139" s="154" t="n">
        <f aca="false">IFERROR(IF(OR(NOT(ISNUMBER('Price History'!O140)),NOT(ISNUMBER('Price History'!O139)),'Price History'!O139=0),"",'Price History'!O140/'Price History'!O139-1),"")</f>
        <v>0.00837988826815628</v>
      </c>
      <c r="P139" s="154" t="n">
        <f aca="false">IFERROR(IF(OR(NOT(ISNUMBER('Price History'!P140)),NOT(ISNUMBER('Price History'!P139)),'Price History'!P139=0),"",'Price History'!P140/'Price History'!P139-1),"")</f>
        <v>0.017928819909018</v>
      </c>
      <c r="Q139" s="154" t="n">
        <f aca="false">IFERROR(IF(OR(NOT(ISNUMBER('Price History'!Q140)),NOT(ISNUMBER('Price History'!Q139)),'Price History'!Q139=0),"",'Price History'!Q140/'Price History'!Q139-1),"")</f>
        <v>0.00402504472271903</v>
      </c>
      <c r="R139" s="154" t="n">
        <f aca="false">IFERROR(IF(OR(NOT(ISNUMBER('Price History'!R140)),NOT(ISNUMBER('Price History'!R139)),'Price History'!R139=0),"",'Price History'!R140/'Price History'!R139-1),"")</f>
        <v>0.0079408049088614</v>
      </c>
      <c r="S139" s="154" t="n">
        <f aca="false">IFERROR(IF(OR(NOT(ISNUMBER('Price History'!S140)),NOT(ISNUMBER('Price History'!S139)),'Price History'!S139=0),"",'Price History'!S140/'Price History'!S139-1),"")</f>
        <v>0.0221205186880245</v>
      </c>
      <c r="T139" s="154" t="n">
        <f aca="false">IFERROR(IF(OR(NOT(ISNUMBER('Price History'!T140)),NOT(ISNUMBER('Price History'!T139)),'Price History'!T139=0),"",'Price History'!T140/'Price History'!T139-1),"")</f>
        <v>0.0256410256410256</v>
      </c>
      <c r="U139" s="154" t="n">
        <f aca="false">IFERROR(IF(OR(NOT(ISNUMBER('Price History'!U140)),NOT(ISNUMBER('Price History'!U139)),'Price History'!U139=0),"",'Price History'!U140/'Price History'!U139-1),"")</f>
        <v>0.0211657440573103</v>
      </c>
      <c r="V139" s="155" t="n">
        <f aca="false">IFERROR(IF(OR(NOT(ISNUMBER('Price History'!V140)),NOT(ISNUMBER('Price History'!V139)),'Price History'!V139=0),"",'Price History'!V140/'Price History'!V139-1),"")</f>
        <v>0.0601213458356316</v>
      </c>
      <c r="W139" s="156" t="n">
        <f aca="false">IFERROR('Price History'!B3+(INDEX('Price History'!B:B,MATCH(9.99E+307,'Returns (Calc)'!$A:$A)+1)-'Price History'!B3)*(ROW()-3)/(MATCH(9.99E+307,'Returns (Calc)'!$A:$A)-3),"")</f>
        <v>278.236835443038</v>
      </c>
      <c r="X139" s="156" t="n">
        <f aca="false">IFERROR('Price History'!C3+(INDEX('Price History'!C:C,MATCH(9.99E+307,'Returns (Calc)'!$A:$A)+1)-'Price History'!C3)*(ROW()-3)/(MATCH(9.99E+307,'Returns (Calc)'!$A:$A)-3),"")</f>
        <v>184.908607594937</v>
      </c>
      <c r="Y139" s="156" t="n">
        <f aca="false">IFERROR('Price History'!D3+(INDEX('Price History'!D:D,MATCH(9.99E+307,'Returns (Calc)'!$A:$A)+1)-'Price History'!D3)*(ROW()-3)/(MATCH(9.99E+307,'Returns (Calc)'!$A:$A)-3),"")</f>
        <v>1688.34417721519</v>
      </c>
      <c r="Z139" s="156" t="n">
        <f aca="false">IFERROR('Price History'!E3+(INDEX('Price History'!E:E,MATCH(9.99E+307,'Returns (Calc)'!$A:$A)+1)-'Price History'!E3)*(ROW()-3)/(MATCH(9.99E+307,'Returns (Calc)'!$A:$A)-3),"")</f>
        <v>317.107848101266</v>
      </c>
      <c r="AA139" s="156" t="n">
        <f aca="false">IFERROR('Price History'!F3+(INDEX('Price History'!F:F,MATCH(9.99E+307,'Returns (Calc)'!$A:$A)+1)-'Price History'!F3)*(ROW()-3)/(MATCH(9.99E+307,'Returns (Calc)'!$A:$A)-3),"")</f>
        <v>238.198481012658</v>
      </c>
      <c r="AB139" s="156" t="n">
        <f aca="false">IFERROR('Price History'!G3+(INDEX('Price History'!G:G,MATCH(9.99E+307,'Returns (Calc)'!$A:$A)+1)-'Price History'!G3)*(ROW()-3)/(MATCH(9.99E+307,'Returns (Calc)'!$A:$A)-3),"")</f>
        <v>184.257848101266</v>
      </c>
      <c r="AC139" s="156" t="n">
        <f aca="false">IFERROR('Price History'!H3+(INDEX('Price History'!H:H,MATCH(9.99E+307,'Returns (Calc)'!$A:$A)+1)-'Price History'!H3)*(ROW()-3)/(MATCH(9.99E+307,'Returns (Calc)'!$A:$A)-3),"")</f>
        <v>934.844683544304</v>
      </c>
      <c r="AD139" s="156" t="n">
        <f aca="false">IFERROR('Price History'!I3+(INDEX('Price History'!I:I,MATCH(9.99E+307,'Returns (Calc)'!$A:$A)+1)-'Price History'!I3)*(ROW()-3)/(MATCH(9.99E+307,'Returns (Calc)'!$A:$A)-3),"")</f>
        <v>207.469240506329</v>
      </c>
      <c r="AE139" s="156" t="n">
        <f aca="false">IFERROR('Price History'!J3+(INDEX('Price History'!J:J,MATCH(9.99E+307,'Returns (Calc)'!$A:$A)+1)-'Price History'!J3)*(ROW()-3)/(MATCH(9.99E+307,'Returns (Calc)'!$A:$A)-3),"")</f>
        <v>126.533164556962</v>
      </c>
      <c r="AF139" s="156" t="n">
        <f aca="false">IFERROR('Price History'!K3+(INDEX('Price History'!K:K,MATCH(9.99E+307,'Returns (Calc)'!$A:$A)+1)-'Price History'!K3)*(ROW()-3)/(MATCH(9.99E+307,'Returns (Calc)'!$A:$A)-3),"")</f>
        <v>164.602911392405</v>
      </c>
      <c r="AG139" s="156" t="n">
        <f aca="false">IFERROR('Price History'!L3+(INDEX('Price History'!L:L,MATCH(9.99E+307,'Returns (Calc)'!$A:$A)+1)-'Price History'!L3)*(ROW()-3)/(MATCH(9.99E+307,'Returns (Calc)'!$A:$A)-3),"")</f>
        <v>418.889746835443</v>
      </c>
      <c r="AH139" s="156" t="n">
        <f aca="false">IFERROR('Price History'!M3+(INDEX('Price History'!M:M,MATCH(9.99E+307,'Returns (Calc)'!$A:$A)+1)-'Price History'!M3)*(ROW()-3)/(MATCH(9.99E+307,'Returns (Calc)'!$A:$A)-3),"")</f>
        <v>222.360253164557</v>
      </c>
      <c r="AI139" s="156" t="n">
        <f aca="false">IFERROR('Price History'!N3+(INDEX('Price History'!N:N,MATCH(9.99E+307,'Returns (Calc)'!$A:$A)+1)-'Price History'!N3)*(ROW()-3)/(MATCH(9.99E+307,'Returns (Calc)'!$A:$A)-3),"")</f>
        <v>483.032151898734</v>
      </c>
      <c r="AJ139" s="156" t="n">
        <f aca="false">IFERROR('Price History'!O3+(INDEX('Price History'!O:O,MATCH(9.99E+307,'Returns (Calc)'!$A:$A)+1)-'Price History'!O3)*(ROW()-3)/(MATCH(9.99E+307,'Returns (Calc)'!$A:$A)-3),"")</f>
        <v>113.803164556962</v>
      </c>
      <c r="AK139" s="156" t="n">
        <f aca="false">IFERROR('Price History'!Q3+(INDEX('Price History'!Q:Q,MATCH(9.99E+307,'Returns (Calc)'!$A:$A)+1)-'Price History'!Q3)*(ROW()-3)/(MATCH(9.99E+307,'Returns (Calc)'!$A:$A)-3),"")</f>
        <v>59.7539240506329</v>
      </c>
      <c r="AL139" s="156" t="n">
        <f aca="false">IFERROR('Price History'!R3+(INDEX('Price History'!R:R,MATCH(9.99E+307,'Returns (Calc)'!$A:$A)+1)-'Price History'!R3)*(ROW()-3)/(MATCH(9.99E+307,'Returns (Calc)'!$A:$A)-3),"")</f>
        <v>57.3417721518987</v>
      </c>
      <c r="AM139" s="156" t="n">
        <f aca="false">IFERROR('Price History'!S3+(INDEX('Price History'!S:S,MATCH(9.99E+307,'Returns (Calc)'!$A:$A)+1)-'Price History'!S3)*(ROW()-3)/(MATCH(9.99E+307,'Returns (Calc)'!$A:$A)-3),"")</f>
        <v>139.918607594937</v>
      </c>
      <c r="AN139" s="156" t="n">
        <f aca="false">IFERROR('Price History'!T3+(INDEX('Price History'!T:T,MATCH(9.99E+307,'Returns (Calc)'!$A:$A)+1)-'Price History'!T3)*(ROW()-3)/(MATCH(9.99E+307,'Returns (Calc)'!$A:$A)-3),"")</f>
        <v>48.1189873417722</v>
      </c>
      <c r="AO139" s="157" t="n">
        <f aca="false">IFERROR('Price History'!V3+(INDEX('Price History'!V:V,MATCH(9.99E+307,'Returns (Calc)'!$A:$A)+1)-'Price History'!V3)*(ROW()-3)/(MATCH(9.99E+307,'Returns (Calc)'!$A:$A)-3),"")</f>
        <v>343.250759493671</v>
      </c>
      <c r="AP139" s="155" t="n">
        <f aca="false">IFERROR(IF(OR(NOT(ISNUMBER('Price History'!W140)),NOT(ISNUMBER('Price History'!W139)),'Price History'!W139=0),"",'Price History'!W140/'Price History'!W139-1),"")</f>
        <v>0.0101214574898787</v>
      </c>
      <c r="AQ139" s="155" t="n">
        <f aca="false">IFERROR(IF(OR(NOT(ISNUMBER('Price History'!X140)),NOT(ISNUMBER('Price History'!X139)),'Price History'!X139=0),"",'Price History'!X140/'Price History'!X139-1),"")</f>
        <v>0.0513565891472867</v>
      </c>
      <c r="AR139" s="155" t="n">
        <f aca="false">IFERROR(IF(OR(NOT(ISNUMBER('Price History'!Y140)),NOT(ISNUMBER('Price History'!Y139)),'Price History'!Y139=0),"",'Price History'!Y140/'Price History'!Y139-1),"")</f>
        <v>-0.000908430232558044</v>
      </c>
      <c r="AS139" s="155" t="n">
        <f aca="false">IFERROR(IF(OR(NOT(ISNUMBER('Price History'!Z140)),NOT(ISNUMBER('Price History'!Z139)),'Price History'!Z139=0),"",'Price History'!Z140/'Price History'!Z139-1),"")</f>
        <v>0.0066842568161829</v>
      </c>
      <c r="AT139" s="155" t="n">
        <f aca="false">IFERROR(IF(OR(NOT(ISNUMBER('Price History'!AA140)),NOT(ISNUMBER('Price History'!AA139)),'Price History'!AA139=0),"",'Price History'!AA140/'Price History'!AA139-1),"")</f>
        <v>-0.00411077455646902</v>
      </c>
      <c r="AU139" s="155" t="n">
        <f aca="false">IFERROR(IF(OR(NOT(ISNUMBER('Price History'!AB140)),NOT(ISNUMBER('Price History'!AB139)),'Price History'!AB139=0),"",'Price History'!AB140/'Price History'!AB139-1),"")</f>
        <v>0.064978588717185</v>
      </c>
    </row>
    <row r="140" customFormat="false" ht="15" hidden="false" customHeight="true" outlineLevel="0" collapsed="false">
      <c r="A140" s="153" t="n">
        <f aca="false">IF('Price History'!A141="","",'Price History'!A141)</f>
        <v>46150</v>
      </c>
      <c r="B140" s="154" t="n">
        <f aca="false">IFERROR(IF(OR(NOT(ISNUMBER('Price History'!B141)),NOT(ISNUMBER('Price History'!B140)),'Price History'!B140=0),"",'Price History'!B141/'Price History'!B140-1),"")</f>
        <v>0.00929360615850983</v>
      </c>
      <c r="C140" s="154" t="n">
        <f aca="false">IFERROR(IF(OR(NOT(ISNUMBER('Price History'!C141)),NOT(ISNUMBER('Price History'!C140)),'Price History'!C140=0),"",'Price History'!C141/'Price History'!C140-1),"")</f>
        <v>-0.179096699478865</v>
      </c>
      <c r="D140" s="154" t="n">
        <f aca="false">IFERROR(IF(OR(NOT(ISNUMBER('Price History'!D141)),NOT(ISNUMBER('Price History'!D140)),'Price History'!D140=0),"",'Price History'!D141/'Price History'!D140-1),"")</f>
        <v>0.115620483026705</v>
      </c>
      <c r="E140" s="154" t="n">
        <f aca="false">IFERROR(IF(OR(NOT(ISNUMBER('Price History'!E141)),NOT(ISNUMBER('Price History'!E140)),'Price History'!E140=0),"",'Price History'!E141/'Price History'!E140-1),"")</f>
        <v>0.0206978682862926</v>
      </c>
      <c r="F140" s="154" t="n">
        <f aca="false">IFERROR(IF(OR(NOT(ISNUMBER('Price History'!F141)),NOT(ISNUMBER('Price History'!F140)),'Price History'!F140=0),"",'Price History'!F141/'Price History'!F140-1),"")</f>
        <v>0.158282854885436</v>
      </c>
      <c r="G140" s="154" t="n">
        <f aca="false">IFERROR(IF(OR(NOT(ISNUMBER('Price History'!G141)),NOT(ISNUMBER('Price History'!G140)),'Price History'!G140=0),"",'Price History'!G141/'Price History'!G140-1),"")</f>
        <v>0.0828058765460775</v>
      </c>
      <c r="H140" s="154" t="n">
        <f aca="false">IFERROR(IF(OR(NOT(ISNUMBER('Price History'!H141)),NOT(ISNUMBER('Price History'!H140)),'Price History'!H140=0),"",'Price History'!H141/'Price History'!H140-1),"")</f>
        <v>0.377344917270765</v>
      </c>
      <c r="I140" s="154" t="n">
        <f aca="false">IFERROR(IF(OR(NOT(ISNUMBER('Price History'!I141)),NOT(ISNUMBER('Price History'!I140)),'Price History'!I140=0),"",'Price History'!I141/'Price History'!I140-1),"")</f>
        <v>0.0843939393939395</v>
      </c>
      <c r="J140" s="154" t="n">
        <f aca="false">IFERROR(IF(OR(NOT(ISNUMBER('Price History'!J141)),NOT(ISNUMBER('Price History'!J140)),'Price History'!J140=0),"",'Price History'!J141/'Price History'!J140-1),"")</f>
        <v>0.0188814703137339</v>
      </c>
      <c r="K140" s="154" t="n">
        <f aca="false">IFERROR(IF(OR(NOT(ISNUMBER('Price History'!K141)),NOT(ISNUMBER('Price History'!K140)),'Price History'!K140=0),"",'Price History'!K141/'Price History'!K140-1),"")</f>
        <v>-0.0435205108627749</v>
      </c>
      <c r="L140" s="154" t="n">
        <f aca="false">IFERROR(IF(OR(NOT(ISNUMBER('Price History'!L141)),NOT(ISNUMBER('Price History'!L140)),'Price History'!L140=0),"",'Price History'!L141/'Price History'!L140-1),"")</f>
        <v>0.0352304892842701</v>
      </c>
      <c r="M140" s="154" t="n">
        <f aca="false">IFERROR(IF(OR(NOT(ISNUMBER('Price History'!M141)),NOT(ISNUMBER('Price History'!M140)),'Price History'!M140=0),"",'Price History'!M141/'Price History'!M140-1),"")</f>
        <v>0.03553144807411</v>
      </c>
      <c r="N140" s="154" t="n">
        <f aca="false">IFERROR(IF(OR(NOT(ISNUMBER('Price History'!N141)),NOT(ISNUMBER('Price History'!N140)),'Price History'!N140=0),"",'Price History'!N141/'Price History'!N140-1),"")</f>
        <v>0.0139177203245895</v>
      </c>
      <c r="O140" s="154" t="n">
        <f aca="false">IFERROR(IF(OR(NOT(ISNUMBER('Price History'!O141)),NOT(ISNUMBER('Price History'!O140)),'Price History'!O140=0),"",'Price History'!O141/'Price History'!O140-1),"")</f>
        <v>-0.00100730294636109</v>
      </c>
      <c r="P140" s="154" t="n">
        <f aca="false">IFERROR(IF(OR(NOT(ISNUMBER('Price History'!P141)),NOT(ISNUMBER('Price History'!P140)),'Price History'!P140=0),"",'Price History'!P141/'Price History'!P140-1),"")</f>
        <v>-0.0151813880126183</v>
      </c>
      <c r="Q140" s="154" t="n">
        <f aca="false">IFERROR(IF(OR(NOT(ISNUMBER('Price History'!Q141)),NOT(ISNUMBER('Price History'!Q140)),'Price History'!Q140=0),"",'Price History'!Q141/'Price History'!Q140-1),"")</f>
        <v>0.00193021529324433</v>
      </c>
      <c r="R140" s="154" t="n">
        <f aca="false">IFERROR(IF(OR(NOT(ISNUMBER('Price History'!R141)),NOT(ISNUMBER('Price History'!R140)),'Price History'!R140=0),"",'Price History'!R141/'Price History'!R140-1),"")</f>
        <v>0.0127126230975829</v>
      </c>
      <c r="S140" s="154" t="n">
        <f aca="false">IFERROR(IF(OR(NOT(ISNUMBER('Price History'!S141)),NOT(ISNUMBER('Price History'!S140)),'Price History'!S140=0),"",'Price History'!S141/'Price History'!S140-1),"")</f>
        <v>0.0698507462686568</v>
      </c>
      <c r="T140" s="154" t="n">
        <f aca="false">IFERROR(IF(OR(NOT(ISNUMBER('Price History'!T141)),NOT(ISNUMBER('Price History'!T140)),'Price History'!T140=0),"",'Price History'!T141/'Price History'!T140-1),"")</f>
        <v>0.0245283018867923</v>
      </c>
      <c r="U140" s="154" t="n">
        <f aca="false">IFERROR(IF(OR(NOT(ISNUMBER('Price History'!U141)),NOT(ISNUMBER('Price History'!U140)),'Price History'!U140=0),"",'Price History'!U141/'Price History'!U140-1),"")</f>
        <v>-0.00765306122448972</v>
      </c>
      <c r="V140" s="155" t="n">
        <f aca="false">IFERROR(IF(OR(NOT(ISNUMBER('Price History'!V141)),NOT(ISNUMBER('Price History'!V140)),'Price History'!V140=0),"",'Price History'!V141/'Price History'!V140-1),"")</f>
        <v>-0.0281569443594295</v>
      </c>
      <c r="W140" s="156" t="n">
        <f aca="false">IFERROR('Price History'!B3+(INDEX('Price History'!B:B,MATCH(9.99E+307,'Returns (Calc)'!$A:$A)+1)-'Price History'!B3)*(ROW()-3)/(MATCH(9.99E+307,'Returns (Calc)'!$A:$A)-3),"")</f>
        <v>276.393797468354</v>
      </c>
      <c r="X140" s="156" t="n">
        <f aca="false">IFERROR('Price History'!C3+(INDEX('Price History'!C:C,MATCH(9.99E+307,'Returns (Calc)'!$A:$A)+1)-'Price History'!C3)*(ROW()-3)/(MATCH(9.99E+307,'Returns (Calc)'!$A:$A)-3),"")</f>
        <v>185.928670886076</v>
      </c>
      <c r="Y140" s="156" t="n">
        <f aca="false">IFERROR('Price History'!D3+(INDEX('Price History'!D:D,MATCH(9.99E+307,'Returns (Calc)'!$A:$A)+1)-'Price History'!D3)*(ROW()-3)/(MATCH(9.99E+307,'Returns (Calc)'!$A:$A)-3),"")</f>
        <v>1696.47898734177</v>
      </c>
      <c r="Z140" s="156" t="n">
        <f aca="false">IFERROR('Price History'!E3+(INDEX('Price History'!E:E,MATCH(9.99E+307,'Returns (Calc)'!$A:$A)+1)-'Price History'!E3)*(ROW()-3)/(MATCH(9.99E+307,'Returns (Calc)'!$A:$A)-3),"")</f>
        <v>318.836582278481</v>
      </c>
      <c r="AA140" s="156" t="n">
        <f aca="false">IFERROR('Price History'!F3+(INDEX('Price History'!F:F,MATCH(9.99E+307,'Returns (Calc)'!$A:$A)+1)-'Price History'!F3)*(ROW()-3)/(MATCH(9.99E+307,'Returns (Calc)'!$A:$A)-3),"")</f>
        <v>239.64582278481</v>
      </c>
      <c r="AB140" s="156" t="n">
        <f aca="false">IFERROR('Price History'!G3+(INDEX('Price History'!G:G,MATCH(9.99E+307,'Returns (Calc)'!$A:$A)+1)-'Price History'!G3)*(ROW()-3)/(MATCH(9.99E+307,'Returns (Calc)'!$A:$A)-3),"")</f>
        <v>185.286582278481</v>
      </c>
      <c r="AC140" s="156" t="n">
        <f aca="false">IFERROR('Price History'!H3+(INDEX('Price History'!H:H,MATCH(9.99E+307,'Returns (Calc)'!$A:$A)+1)-'Price History'!H3)*(ROW()-3)/(MATCH(9.99E+307,'Returns (Calc)'!$A:$A)-3),"")</f>
        <v>941.210379746836</v>
      </c>
      <c r="AD140" s="156" t="n">
        <f aca="false">IFERROR('Price History'!I3+(INDEX('Price History'!I:I,MATCH(9.99E+307,'Returns (Calc)'!$A:$A)+1)-'Price History'!I3)*(ROW()-3)/(MATCH(9.99E+307,'Returns (Calc)'!$A:$A)-3),"")</f>
        <v>208.672911392405</v>
      </c>
      <c r="AE140" s="156" t="n">
        <f aca="false">IFERROR('Price History'!J3+(INDEX('Price History'!J:J,MATCH(9.99E+307,'Returns (Calc)'!$A:$A)+1)-'Price History'!J3)*(ROW()-3)/(MATCH(9.99E+307,'Returns (Calc)'!$A:$A)-3),"")</f>
        <v>126.641202531646</v>
      </c>
      <c r="AF140" s="156" t="n">
        <f aca="false">IFERROR('Price History'!K3+(INDEX('Price History'!K:K,MATCH(9.99E+307,'Returns (Calc)'!$A:$A)+1)-'Price History'!K3)*(ROW()-3)/(MATCH(9.99E+307,'Returns (Calc)'!$A:$A)-3),"")</f>
        <v>165.700506329114</v>
      </c>
      <c r="AG140" s="156" t="n">
        <f aca="false">IFERROR('Price History'!L3+(INDEX('Price History'!L:L,MATCH(9.99E+307,'Returns (Calc)'!$A:$A)+1)-'Price History'!L3)*(ROW()-3)/(MATCH(9.99E+307,'Returns (Calc)'!$A:$A)-3),"")</f>
        <v>421.339303797468</v>
      </c>
      <c r="AH140" s="156" t="n">
        <f aca="false">IFERROR('Price History'!M3+(INDEX('Price History'!M:M,MATCH(9.99E+307,'Returns (Calc)'!$A:$A)+1)-'Price History'!M3)*(ROW()-3)/(MATCH(9.99E+307,'Returns (Calc)'!$A:$A)-3),"")</f>
        <v>223.715696202532</v>
      </c>
      <c r="AI140" s="156" t="n">
        <f aca="false">IFERROR('Price History'!N3+(INDEX('Price History'!N:N,MATCH(9.99E+307,'Returns (Calc)'!$A:$A)+1)-'Price History'!N3)*(ROW()-3)/(MATCH(9.99E+307,'Returns (Calc)'!$A:$A)-3),"")</f>
        <v>484.018417721519</v>
      </c>
      <c r="AJ140" s="156" t="n">
        <f aca="false">IFERROR('Price History'!O3+(INDEX('Price History'!O:O,MATCH(9.99E+307,'Returns (Calc)'!$A:$A)+1)-'Price History'!O3)*(ROW()-3)/(MATCH(9.99E+307,'Returns (Calc)'!$A:$A)-3),"")</f>
        <v>114.086202531646</v>
      </c>
      <c r="AK140" s="156" t="n">
        <f aca="false">IFERROR('Price History'!Q3+(INDEX('Price History'!Q:Q,MATCH(9.99E+307,'Returns (Calc)'!$A:$A)+1)-'Price History'!Q3)*(ROW()-3)/(MATCH(9.99E+307,'Returns (Calc)'!$A:$A)-3),"")</f>
        <v>60.1932911392405</v>
      </c>
      <c r="AL140" s="156" t="n">
        <f aca="false">IFERROR('Price History'!R3+(INDEX('Price History'!R:R,MATCH(9.99E+307,'Returns (Calc)'!$A:$A)+1)-'Price History'!R3)*(ROW()-3)/(MATCH(9.99E+307,'Returns (Calc)'!$A:$A)-3),"")</f>
        <v>57.5098734177215</v>
      </c>
      <c r="AM140" s="156" t="n">
        <f aca="false">IFERROR('Price History'!S3+(INDEX('Price History'!S:S,MATCH(9.99E+307,'Returns (Calc)'!$A:$A)+1)-'Price History'!S3)*(ROW()-3)/(MATCH(9.99E+307,'Returns (Calc)'!$A:$A)-3),"")</f>
        <v>140.523670886076</v>
      </c>
      <c r="AN140" s="156" t="n">
        <f aca="false">IFERROR('Price History'!T3+(INDEX('Price History'!T:T,MATCH(9.99E+307,'Returns (Calc)'!$A:$A)+1)-'Price History'!T3)*(ROW()-3)/(MATCH(9.99E+307,'Returns (Calc)'!$A:$A)-3),"")</f>
        <v>48.2872151898734</v>
      </c>
      <c r="AO140" s="157" t="n">
        <f aca="false">IFERROR('Price History'!V3+(INDEX('Price History'!V:V,MATCH(9.99E+307,'Returns (Calc)'!$A:$A)+1)-'Price History'!V3)*(ROW()-3)/(MATCH(9.99E+307,'Returns (Calc)'!$A:$A)-3),"")</f>
        <v>344.042088607595</v>
      </c>
      <c r="AP140" s="155" t="n">
        <f aca="false">IFERROR(IF(OR(NOT(ISNUMBER('Price History'!W141)),NOT(ISNUMBER('Price History'!W140)),'Price History'!W140=0),"",'Price History'!W141/'Price History'!W140-1),"")</f>
        <v>-0.00672312366668815</v>
      </c>
      <c r="AQ140" s="155" t="n">
        <f aca="false">IFERROR(IF(OR(NOT(ISNUMBER('Price History'!X141)),NOT(ISNUMBER('Price History'!X140)),'Price History'!X140=0),"",'Price History'!X141/'Price History'!X140-1),"")</f>
        <v>-0.0352073732718894</v>
      </c>
      <c r="AR140" s="155" t="n">
        <f aca="false">IFERROR(IF(OR(NOT(ISNUMBER('Price History'!Y141)),NOT(ISNUMBER('Price History'!Y140)),'Price History'!Y140=0),"",'Price History'!Y141/'Price History'!Y140-1),"")</f>
        <v>-0.0152755046372068</v>
      </c>
      <c r="AS140" s="155" t="n">
        <f aca="false">IFERROR(IF(OR(NOT(ISNUMBER('Price History'!Z141)),NOT(ISNUMBER('Price History'!Z140)),'Price History'!Z140=0),"",'Price History'!Z141/'Price History'!Z140-1),"")</f>
        <v>0.0371483487681286</v>
      </c>
      <c r="AT140" s="155" t="n">
        <f aca="false">IFERROR(IF(OR(NOT(ISNUMBER('Price History'!AA141)),NOT(ISNUMBER('Price History'!AA140)),'Price History'!AA140=0),"",'Price History'!AA141/'Price History'!AA140-1),"")</f>
        <v>-0.0496415381273083</v>
      </c>
      <c r="AU140" s="155" t="n">
        <f aca="false">IFERROR(IF(OR(NOT(ISNUMBER('Price History'!AB141)),NOT(ISNUMBER('Price History'!AB140)),'Price History'!AB140=0),"",'Price History'!AB141/'Price History'!AB140-1),"")</f>
        <v>-0.0306526806526806</v>
      </c>
    </row>
    <row r="141" customFormat="false" ht="15" hidden="false" customHeight="true" outlineLevel="0" collapsed="false">
      <c r="A141" s="153" t="n">
        <f aca="false">IF('Price History'!A142="","",'Price History'!A142)</f>
        <v>46157</v>
      </c>
      <c r="B141" s="154" t="n">
        <f aca="false">IFERROR(IF(OR(NOT(ISNUMBER('Price History'!B142)),NOT(ISNUMBER('Price History'!B141)),'Price History'!B141=0),"",'Price History'!B142/'Price History'!B141-1),"")</f>
        <v>-0.0214985773000316</v>
      </c>
      <c r="C141" s="154" t="n">
        <f aca="false">IFERROR(IF(OR(NOT(ISNUMBER('Price History'!C142)),NOT(ISNUMBER('Price History'!C141)),'Price History'!C141=0),"",'Price History'!C142/'Price History'!C141-1),"")</f>
        <v>0.00141073569866679</v>
      </c>
      <c r="D141" s="154" t="n">
        <f aca="false">IFERROR(IF(OR(NOT(ISNUMBER('Price History'!D142)),NOT(ISNUMBER('Price History'!D141)),'Price History'!D141=0),"",'Price History'!D142/'Price History'!D141-1),"")</f>
        <v>-0.0566618028126494</v>
      </c>
      <c r="E141" s="154" t="n">
        <f aca="false">IFERROR(IF(OR(NOT(ISNUMBER('Price History'!E142)),NOT(ISNUMBER('Price History'!E141)),'Price History'!E141=0),"",'Price History'!E142/'Price History'!E141-1),"")</f>
        <v>-0.011177486348999</v>
      </c>
      <c r="F141" s="154" t="n">
        <f aca="false">IFERROR(IF(OR(NOT(ISNUMBER('Price History'!F142)),NOT(ISNUMBER('Price History'!F141)),'Price History'!F141=0),"",'Price History'!F142/'Price History'!F141-1),"")</f>
        <v>0.12566318023344</v>
      </c>
      <c r="G141" s="154" t="n">
        <f aca="false">IFERROR(IF(OR(NOT(ISNUMBER('Price History'!G142)),NOT(ISNUMBER('Price History'!G141)),'Price History'!G141=0),"",'Price History'!G142/'Price History'!G141-1),"")</f>
        <v>-0.0346972703383922</v>
      </c>
      <c r="H141" s="154" t="n">
        <f aca="false">IFERROR(IF(OR(NOT(ISNUMBER('Price History'!H142)),NOT(ISNUMBER('Price History'!H141)),'Price History'!H141=0),"",'Price History'!H142/'Price History'!H141-1),"")</f>
        <v>-0.0296638542922192</v>
      </c>
      <c r="I141" s="154" t="n">
        <f aca="false">IFERROR(IF(OR(NOT(ISNUMBER('Price History'!I142)),NOT(ISNUMBER('Price History'!I141)),'Price History'!I141=0),"",'Price History'!I142/'Price History'!I141-1),"")</f>
        <v>0.0470401937497089</v>
      </c>
      <c r="J141" s="154" t="n">
        <f aca="false">IFERROR(IF(OR(NOT(ISNUMBER('Price History'!J142)),NOT(ISNUMBER('Price History'!J141)),'Price History'!J141=0),"",'Price History'!J142/'Price History'!J141-1),"")</f>
        <v>-0.0246617812852311</v>
      </c>
      <c r="K141" s="154" t="n">
        <f aca="false">IFERROR(IF(OR(NOT(ISNUMBER('Price History'!K142)),NOT(ISNUMBER('Price History'!K141)),'Price History'!K141=0),"",'Price History'!K142/'Price History'!K141-1),"")</f>
        <v>-0.0276487663280116</v>
      </c>
      <c r="L141" s="154" t="n">
        <f aca="false">IFERROR(IF(OR(NOT(ISNUMBER('Price History'!L142)),NOT(ISNUMBER('Price History'!L141)),'Price History'!L141=0),"",'Price History'!L142/'Price History'!L141-1),"")</f>
        <v>-0.0177969825692106</v>
      </c>
      <c r="M141" s="154" t="n">
        <f aca="false">IFERROR(IF(OR(NOT(ISNUMBER('Price History'!M142)),NOT(ISNUMBER('Price History'!M141)),'Price History'!M141=0),"",'Price History'!M142/'Price History'!M141-1),"")</f>
        <v>0.0910776293331763</v>
      </c>
      <c r="N141" s="154" t="n">
        <f aca="false">IFERROR(IF(OR(NOT(ISNUMBER('Price History'!N142)),NOT(ISNUMBER('Price History'!N141)),'Price History'!N141=0),"",'Price History'!N142/'Price History'!N141-1),"")</f>
        <v>0.0165883393048252</v>
      </c>
      <c r="O141" s="154" t="n">
        <f aca="false">IFERROR(IF(OR(NOT(ISNUMBER('Price History'!O142)),NOT(ISNUMBER('Price History'!O141)),'Price History'!O141=0),"",'Price History'!O142/'Price History'!O141-1),"")</f>
        <v>-0.0215948239643728</v>
      </c>
      <c r="P141" s="154" t="n">
        <f aca="false">IFERROR(IF(OR(NOT(ISNUMBER('Price History'!P142)),NOT(ISNUMBER('Price History'!P141)),'Price History'!P141=0),"",'Price History'!P142/'Price History'!P141-1),"")</f>
        <v>-0.00867534200867526</v>
      </c>
      <c r="Q141" s="154" t="n">
        <f aca="false">IFERROR(IF(OR(NOT(ISNUMBER('Price History'!Q142)),NOT(ISNUMBER('Price History'!Q141)),'Price History'!Q141=0),"",'Price History'!Q142/'Price History'!Q141-1),"")</f>
        <v>0.000296384113811499</v>
      </c>
      <c r="R141" s="154" t="n">
        <f aca="false">IFERROR(IF(OR(NOT(ISNUMBER('Price History'!R142)),NOT(ISNUMBER('Price History'!R141)),'Price History'!R141=0),"",'Price History'!R142/'Price History'!R141-1),"")</f>
        <v>0.0026520509193777</v>
      </c>
      <c r="S141" s="154" t="n">
        <f aca="false">IFERROR(IF(OR(NOT(ISNUMBER('Price History'!S142)),NOT(ISNUMBER('Price History'!S141)),'Price History'!S141=0),"",'Price History'!S142/'Price History'!S141-1),"")</f>
        <v>-0.0023018973214286</v>
      </c>
      <c r="T141" s="154" t="n">
        <f aca="false">IFERROR(IF(OR(NOT(ISNUMBER('Price History'!T142)),NOT(ISNUMBER('Price History'!T141)),'Price History'!T141=0),"",'Price History'!T142/'Price History'!T141-1),"")</f>
        <v>-0.0257826887661141</v>
      </c>
      <c r="U141" s="154" t="n">
        <f aca="false">IFERROR(IF(OR(NOT(ISNUMBER('Price History'!U142)),NOT(ISNUMBER('Price History'!U141)),'Price History'!U141=0),"",'Price History'!U142/'Price History'!U141-1),"")</f>
        <v>0.0032133676092545</v>
      </c>
      <c r="V141" s="155" t="n">
        <f aca="false">IFERROR(IF(OR(NOT(ISNUMBER('Price History'!V142)),NOT(ISNUMBER('Price History'!V141)),'Price History'!V141=0),"",'Price History'!V142/'Price History'!V141-1),"")</f>
        <v>0.0239654846633495</v>
      </c>
      <c r="W141" s="156" t="n">
        <f aca="false">IFERROR('Price History'!B3+(INDEX('Price History'!B:B,MATCH(9.99E+307,'Returns (Calc)'!$A:$A)+1)-'Price History'!B3)*(ROW()-3)/(MATCH(9.99E+307,'Returns (Calc)'!$A:$A)-3),"")</f>
        <v>274.550759493671</v>
      </c>
      <c r="X141" s="156" t="n">
        <f aca="false">IFERROR('Price History'!C3+(INDEX('Price History'!C:C,MATCH(9.99E+307,'Returns (Calc)'!$A:$A)+1)-'Price History'!C3)*(ROW()-3)/(MATCH(9.99E+307,'Returns (Calc)'!$A:$A)-3),"")</f>
        <v>186.948734177215</v>
      </c>
      <c r="Y141" s="156" t="n">
        <f aca="false">IFERROR('Price History'!D3+(INDEX('Price History'!D:D,MATCH(9.99E+307,'Returns (Calc)'!$A:$A)+1)-'Price History'!D3)*(ROW()-3)/(MATCH(9.99E+307,'Returns (Calc)'!$A:$A)-3),"")</f>
        <v>1704.61379746835</v>
      </c>
      <c r="Z141" s="156" t="n">
        <f aca="false">IFERROR('Price History'!E3+(INDEX('Price History'!E:E,MATCH(9.99E+307,'Returns (Calc)'!$A:$A)+1)-'Price History'!E3)*(ROW()-3)/(MATCH(9.99E+307,'Returns (Calc)'!$A:$A)-3),"")</f>
        <v>320.565316455696</v>
      </c>
      <c r="AA141" s="156" t="n">
        <f aca="false">IFERROR('Price History'!F3+(INDEX('Price History'!F:F,MATCH(9.99E+307,'Returns (Calc)'!$A:$A)+1)-'Price History'!F3)*(ROW()-3)/(MATCH(9.99E+307,'Returns (Calc)'!$A:$A)-3),"")</f>
        <v>241.093164556962</v>
      </c>
      <c r="AB141" s="156" t="n">
        <f aca="false">IFERROR('Price History'!G3+(INDEX('Price History'!G:G,MATCH(9.99E+307,'Returns (Calc)'!$A:$A)+1)-'Price History'!G3)*(ROW()-3)/(MATCH(9.99E+307,'Returns (Calc)'!$A:$A)-3),"")</f>
        <v>186.315316455696</v>
      </c>
      <c r="AC141" s="156" t="n">
        <f aca="false">IFERROR('Price History'!H3+(INDEX('Price History'!H:H,MATCH(9.99E+307,'Returns (Calc)'!$A:$A)+1)-'Price History'!H3)*(ROW()-3)/(MATCH(9.99E+307,'Returns (Calc)'!$A:$A)-3),"")</f>
        <v>947.576075949367</v>
      </c>
      <c r="AD141" s="156" t="n">
        <f aca="false">IFERROR('Price History'!I3+(INDEX('Price History'!I:I,MATCH(9.99E+307,'Returns (Calc)'!$A:$A)+1)-'Price History'!I3)*(ROW()-3)/(MATCH(9.99E+307,'Returns (Calc)'!$A:$A)-3),"")</f>
        <v>209.876582278481</v>
      </c>
      <c r="AE141" s="156" t="n">
        <f aca="false">IFERROR('Price History'!J3+(INDEX('Price History'!J:J,MATCH(9.99E+307,'Returns (Calc)'!$A:$A)+1)-'Price History'!J3)*(ROW()-3)/(MATCH(9.99E+307,'Returns (Calc)'!$A:$A)-3),"")</f>
        <v>126.749240506329</v>
      </c>
      <c r="AF141" s="156" t="n">
        <f aca="false">IFERROR('Price History'!K3+(INDEX('Price History'!K:K,MATCH(9.99E+307,'Returns (Calc)'!$A:$A)+1)-'Price History'!K3)*(ROW()-3)/(MATCH(9.99E+307,'Returns (Calc)'!$A:$A)-3),"")</f>
        <v>166.798101265823</v>
      </c>
      <c r="AG141" s="156" t="n">
        <f aca="false">IFERROR('Price History'!L3+(INDEX('Price History'!L:L,MATCH(9.99E+307,'Returns (Calc)'!$A:$A)+1)-'Price History'!L3)*(ROW()-3)/(MATCH(9.99E+307,'Returns (Calc)'!$A:$A)-3),"")</f>
        <v>423.788860759494</v>
      </c>
      <c r="AH141" s="156" t="n">
        <f aca="false">IFERROR('Price History'!M3+(INDEX('Price History'!M:M,MATCH(9.99E+307,'Returns (Calc)'!$A:$A)+1)-'Price History'!M3)*(ROW()-3)/(MATCH(9.99E+307,'Returns (Calc)'!$A:$A)-3),"")</f>
        <v>225.071139240506</v>
      </c>
      <c r="AI141" s="156" t="n">
        <f aca="false">IFERROR('Price History'!N3+(INDEX('Price History'!N:N,MATCH(9.99E+307,'Returns (Calc)'!$A:$A)+1)-'Price History'!N3)*(ROW()-3)/(MATCH(9.99E+307,'Returns (Calc)'!$A:$A)-3),"")</f>
        <v>485.004683544304</v>
      </c>
      <c r="AJ141" s="156" t="n">
        <f aca="false">IFERROR('Price History'!O3+(INDEX('Price History'!O:O,MATCH(9.99E+307,'Returns (Calc)'!$A:$A)+1)-'Price History'!O3)*(ROW()-3)/(MATCH(9.99E+307,'Returns (Calc)'!$A:$A)-3),"")</f>
        <v>114.369240506329</v>
      </c>
      <c r="AK141" s="156" t="n">
        <f aca="false">IFERROR('Price History'!Q3+(INDEX('Price History'!Q:Q,MATCH(9.99E+307,'Returns (Calc)'!$A:$A)+1)-'Price History'!Q3)*(ROW()-3)/(MATCH(9.99E+307,'Returns (Calc)'!$A:$A)-3),"")</f>
        <v>60.6326582278481</v>
      </c>
      <c r="AL141" s="156" t="n">
        <f aca="false">IFERROR('Price History'!R3+(INDEX('Price History'!R:R,MATCH(9.99E+307,'Returns (Calc)'!$A:$A)+1)-'Price History'!R3)*(ROW()-3)/(MATCH(9.99E+307,'Returns (Calc)'!$A:$A)-3),"")</f>
        <v>57.6779746835443</v>
      </c>
      <c r="AM141" s="156" t="n">
        <f aca="false">IFERROR('Price History'!S3+(INDEX('Price History'!S:S,MATCH(9.99E+307,'Returns (Calc)'!$A:$A)+1)-'Price History'!S3)*(ROW()-3)/(MATCH(9.99E+307,'Returns (Calc)'!$A:$A)-3),"")</f>
        <v>141.128734177215</v>
      </c>
      <c r="AN141" s="156" t="n">
        <f aca="false">IFERROR('Price History'!T3+(INDEX('Price History'!T:T,MATCH(9.99E+307,'Returns (Calc)'!$A:$A)+1)-'Price History'!T3)*(ROW()-3)/(MATCH(9.99E+307,'Returns (Calc)'!$A:$A)-3),"")</f>
        <v>48.4554430379747</v>
      </c>
      <c r="AO141" s="157" t="n">
        <f aca="false">IFERROR('Price History'!V3+(INDEX('Price History'!V:V,MATCH(9.99E+307,'Returns (Calc)'!$A:$A)+1)-'Price History'!V3)*(ROW()-3)/(MATCH(9.99E+307,'Returns (Calc)'!$A:$A)-3),"")</f>
        <v>344.833417721519</v>
      </c>
      <c r="AP141" s="155" t="n">
        <f aca="false">IFERROR(IF(OR(NOT(ISNUMBER('Price History'!W142)),NOT(ISNUMBER('Price History'!W141)),'Price History'!W141=0),"",'Price History'!W142/'Price History'!W141-1),"")</f>
        <v>0.00195248942401549</v>
      </c>
      <c r="AQ141" s="155" t="n">
        <f aca="false">IFERROR(IF(OR(NOT(ISNUMBER('Price History'!X142)),NOT(ISNUMBER('Price History'!X141)),'Price History'!X141=0),"",'Price History'!X142/'Price History'!X141-1),"")</f>
        <v>0.0412686282002293</v>
      </c>
      <c r="AR141" s="155" t="n">
        <f aca="false">IFERROR(IF(OR(NOT(ISNUMBER('Price History'!Y142)),NOT(ISNUMBER('Price History'!Y141)),'Price History'!Y141=0),"",'Price History'!Y142/'Price History'!Y141-1),"")</f>
        <v>-0.00110803324099718</v>
      </c>
      <c r="AS141" s="155" t="n">
        <f aca="false">IFERROR(IF(OR(NOT(ISNUMBER('Price History'!Z142)),NOT(ISNUMBER('Price History'!Z141)),'Price History'!Z141=0),"",'Price History'!Z142/'Price History'!Z141-1),"")</f>
        <v>-0.0525641889615202</v>
      </c>
      <c r="AT141" s="155" t="n">
        <f aca="false">IFERROR(IF(OR(NOT(ISNUMBER('Price History'!AA142)),NOT(ISNUMBER('Price History'!AA141)),'Price History'!AA141=0),"",'Price History'!AA142/'Price History'!AA141-1),"")</f>
        <v>-0.00537204251914503</v>
      </c>
      <c r="AU141" s="155" t="n">
        <f aca="false">IFERROR(IF(OR(NOT(ISNUMBER('Price History'!AB142)),NOT(ISNUMBER('Price History'!AB141)),'Price History'!AB141=0),"",'Price History'!AB142/'Price History'!AB141-1),"")</f>
        <v>-0.0449681375495972</v>
      </c>
    </row>
    <row r="142" customFormat="false" ht="15" hidden="false" customHeight="true" outlineLevel="0" collapsed="false">
      <c r="A142" s="153" t="n">
        <f aca="false">IF('Price History'!A143="","",'Price History'!A143)</f>
        <v>46164</v>
      </c>
      <c r="B142" s="154" t="n">
        <f aca="false">IFERROR(IF(OR(NOT(ISNUMBER('Price History'!B143)),NOT(ISNUMBER('Price History'!B142)),'Price History'!B142=0),"",'Price History'!B143/'Price History'!B142-1),"")</f>
        <v>-0.011470113085622</v>
      </c>
      <c r="C142" s="154" t="n">
        <f aca="false">IFERROR(IF(OR(NOT(ISNUMBER('Price History'!C143)),NOT(ISNUMBER('Price History'!C142)),'Price History'!C142=0),"",'Price History'!C143/'Price History'!C142-1),"")</f>
        <v>0.0849475241248152</v>
      </c>
      <c r="D142" s="154" t="n">
        <f aca="false">IFERROR(IF(OR(NOT(ISNUMBER('Price History'!D143)),NOT(ISNUMBER('Price History'!D142)),'Price History'!D142=0),"",'Price History'!D143/'Price History'!D142-1),"")</f>
        <v>0.0872875649222933</v>
      </c>
      <c r="E142" s="154" t="n">
        <f aca="false">IFERROR(IF(OR(NOT(ISNUMBER('Price History'!E143)),NOT(ISNUMBER('Price History'!E142)),'Price History'!E142=0),"",'Price History'!E143/'Price History'!E142-1),"")</f>
        <v>-0.0260058997050147</v>
      </c>
      <c r="F142" s="154" t="n">
        <f aca="false">IFERROR(IF(OR(NOT(ISNUMBER('Price History'!F143)),NOT(ISNUMBER('Price History'!F142)),'Price History'!F142=0),"",'Price History'!F143/'Price History'!F142-1),"")</f>
        <v>0.116819283598169</v>
      </c>
      <c r="G142" s="154" t="n">
        <f aca="false">IFERROR(IF(OR(NOT(ISNUMBER('Price History'!G143)),NOT(ISNUMBER('Price History'!G142)),'Price History'!G142=0),"",'Price History'!G143/'Price History'!G142-1),"")</f>
        <v>0.0478888888888889</v>
      </c>
      <c r="H142" s="154" t="n">
        <f aca="false">IFERROR(IF(OR(NOT(ISNUMBER('Price History'!H143)),NOT(ISNUMBER('Price History'!H142)),'Price History'!H142=0),"",'Price History'!H143/'Price History'!H142-1),"")</f>
        <v>0.0363397971154511</v>
      </c>
      <c r="I142" s="154" t="n">
        <f aca="false">IFERROR(IF(OR(NOT(ISNUMBER('Price History'!I143)),NOT(ISNUMBER('Price History'!I142)),'Price History'!I142=0),"",'Price History'!I143/'Price History'!I142-1),"")</f>
        <v>-0.0443485610070726</v>
      </c>
      <c r="J142" s="154" t="n">
        <f aca="false">IFERROR(IF(OR(NOT(ISNUMBER('Price History'!J143)),NOT(ISNUMBER('Price History'!J142)),'Price History'!J142=0),"",'Price History'!J143/'Price History'!J142-1),"")</f>
        <v>0.0382170206617543</v>
      </c>
      <c r="K142" s="154" t="n">
        <f aca="false">IFERROR(IF(OR(NOT(ISNUMBER('Price History'!K143)),NOT(ISNUMBER('Price History'!K142)),'Price History'!K142=0),"",'Price History'!K143/'Price History'!K142-1),"")</f>
        <v>0.0215687737890886</v>
      </c>
      <c r="L142" s="154" t="n">
        <f aca="false">IFERROR(IF(OR(NOT(ISNUMBER('Price History'!L143)),NOT(ISNUMBER('Price History'!L142)),'Price History'!L142=0),"",'Price History'!L143/'Price History'!L142-1),"")</f>
        <v>0.000422538712002707</v>
      </c>
      <c r="M142" s="154" t="n">
        <f aca="false">IFERROR(IF(OR(NOT(ISNUMBER('Price History'!M143)),NOT(ISNUMBER('Price History'!M142)),'Price History'!M142=0),"",'Price History'!M143/'Price History'!M142-1),"")</f>
        <v>-0.117215524449119</v>
      </c>
      <c r="N142" s="154" t="n">
        <f aca="false">IFERROR(IF(OR(NOT(ISNUMBER('Price History'!N143)),NOT(ISNUMBER('Price History'!N142)),'Price History'!N142=0),"",'Price History'!N143/'Price History'!N142-1),"")</f>
        <v>-0.00556127703398557</v>
      </c>
      <c r="O142" s="154" t="n">
        <f aca="false">IFERROR(IF(OR(NOT(ISNUMBER('Price History'!O143)),NOT(ISNUMBER('Price History'!O142)),'Price History'!O142=0),"",'Price History'!O143/'Price History'!O142-1),"")</f>
        <v>0.0237031947784268</v>
      </c>
      <c r="P142" s="154" t="n">
        <f aca="false">IFERROR(IF(OR(NOT(ISNUMBER('Price History'!P143)),NOT(ISNUMBER('Price History'!P142)),'Price History'!P142=0),"",'Price History'!P143/'Price History'!P142-1),"")</f>
        <v>0.0317738135307977</v>
      </c>
      <c r="Q142" s="154" t="n">
        <f aca="false">IFERROR(IF(OR(NOT(ISNUMBER('Price History'!Q143)),NOT(ISNUMBER('Price History'!Q142)),'Price History'!Q142=0),"",'Price History'!Q143/'Price History'!Q142-1),"")</f>
        <v>0.000740740740740709</v>
      </c>
      <c r="R142" s="154" t="n">
        <f aca="false">IFERROR(IF(OR(NOT(ISNUMBER('Price History'!R143)),NOT(ISNUMBER('Price History'!R142)),'Price History'!R142=0),"",'Price History'!R143/'Price History'!R142-1),"")</f>
        <v>0.00740610121671659</v>
      </c>
      <c r="S142" s="154" t="n">
        <f aca="false">IFERROR(IF(OR(NOT(ISNUMBER('Price History'!S143)),NOT(ISNUMBER('Price History'!S142)),'Price History'!S142=0),"",'Price History'!S143/'Price History'!S142-1),"")</f>
        <v>0.0101377333426553</v>
      </c>
      <c r="T142" s="154" t="n">
        <f aca="false">IFERROR(IF(OR(NOT(ISNUMBER('Price History'!T143)),NOT(ISNUMBER('Price History'!T142)),'Price History'!T142=0),"",'Price History'!T143/'Price History'!T142-1),"")</f>
        <v>0.0396975425330812</v>
      </c>
      <c r="U142" s="154" t="n">
        <f aca="false">IFERROR(IF(OR(NOT(ISNUMBER('Price History'!U143)),NOT(ISNUMBER('Price History'!U142)),'Price History'!U142=0),"",'Price History'!U143/'Price History'!U142-1),"")</f>
        <v>0.0349135169762973</v>
      </c>
      <c r="V142" s="155" t="n">
        <f aca="false">IFERROR(IF(OR(NOT(ISNUMBER('Price History'!V143)),NOT(ISNUMBER('Price History'!V142)),'Price History'!V142=0),"",'Price History'!V143/'Price History'!V142-1),"")</f>
        <v>0.00959557127479616</v>
      </c>
      <c r="W142" s="156" t="n">
        <f aca="false">IFERROR('Price History'!B3+(INDEX('Price History'!B:B,MATCH(9.99E+307,'Returns (Calc)'!$A:$A)+1)-'Price History'!B3)*(ROW()-3)/(MATCH(9.99E+307,'Returns (Calc)'!$A:$A)-3),"")</f>
        <v>272.707721518987</v>
      </c>
      <c r="X142" s="156" t="n">
        <f aca="false">IFERROR('Price History'!C3+(INDEX('Price History'!C:C,MATCH(9.99E+307,'Returns (Calc)'!$A:$A)+1)-'Price History'!C3)*(ROW()-3)/(MATCH(9.99E+307,'Returns (Calc)'!$A:$A)-3),"")</f>
        <v>187.968797468354</v>
      </c>
      <c r="Y142" s="156" t="n">
        <f aca="false">IFERROR('Price History'!D3+(INDEX('Price History'!D:D,MATCH(9.99E+307,'Returns (Calc)'!$A:$A)+1)-'Price History'!D3)*(ROW()-3)/(MATCH(9.99E+307,'Returns (Calc)'!$A:$A)-3),"")</f>
        <v>1712.74860759494</v>
      </c>
      <c r="Z142" s="156" t="n">
        <f aca="false">IFERROR('Price History'!E3+(INDEX('Price History'!E:E,MATCH(9.99E+307,'Returns (Calc)'!$A:$A)+1)-'Price History'!E3)*(ROW()-3)/(MATCH(9.99E+307,'Returns (Calc)'!$A:$A)-3),"")</f>
        <v>322.294050632911</v>
      </c>
      <c r="AA142" s="156" t="n">
        <f aca="false">IFERROR('Price History'!F3+(INDEX('Price History'!F:F,MATCH(9.99E+307,'Returns (Calc)'!$A:$A)+1)-'Price History'!F3)*(ROW()-3)/(MATCH(9.99E+307,'Returns (Calc)'!$A:$A)-3),"")</f>
        <v>242.540506329114</v>
      </c>
      <c r="AB142" s="156" t="n">
        <f aca="false">IFERROR('Price History'!G3+(INDEX('Price History'!G:G,MATCH(9.99E+307,'Returns (Calc)'!$A:$A)+1)-'Price History'!G3)*(ROW()-3)/(MATCH(9.99E+307,'Returns (Calc)'!$A:$A)-3),"")</f>
        <v>187.344050632911</v>
      </c>
      <c r="AC142" s="156" t="n">
        <f aca="false">IFERROR('Price History'!H3+(INDEX('Price History'!H:H,MATCH(9.99E+307,'Returns (Calc)'!$A:$A)+1)-'Price History'!H3)*(ROW()-3)/(MATCH(9.99E+307,'Returns (Calc)'!$A:$A)-3),"")</f>
        <v>953.941772151899</v>
      </c>
      <c r="AD142" s="156" t="n">
        <f aca="false">IFERROR('Price History'!I3+(INDEX('Price History'!I:I,MATCH(9.99E+307,'Returns (Calc)'!$A:$A)+1)-'Price History'!I3)*(ROW()-3)/(MATCH(9.99E+307,'Returns (Calc)'!$A:$A)-3),"")</f>
        <v>211.080253164557</v>
      </c>
      <c r="AE142" s="156" t="n">
        <f aca="false">IFERROR('Price History'!J3+(INDEX('Price History'!J:J,MATCH(9.99E+307,'Returns (Calc)'!$A:$A)+1)-'Price History'!J3)*(ROW()-3)/(MATCH(9.99E+307,'Returns (Calc)'!$A:$A)-3),"")</f>
        <v>126.857278481013</v>
      </c>
      <c r="AF142" s="156" t="n">
        <f aca="false">IFERROR('Price History'!K3+(INDEX('Price History'!K:K,MATCH(9.99E+307,'Returns (Calc)'!$A:$A)+1)-'Price History'!K3)*(ROW()-3)/(MATCH(9.99E+307,'Returns (Calc)'!$A:$A)-3),"")</f>
        <v>167.895696202532</v>
      </c>
      <c r="AG142" s="156" t="n">
        <f aca="false">IFERROR('Price History'!L3+(INDEX('Price History'!L:L,MATCH(9.99E+307,'Returns (Calc)'!$A:$A)+1)-'Price History'!L3)*(ROW()-3)/(MATCH(9.99E+307,'Returns (Calc)'!$A:$A)-3),"")</f>
        <v>426.238417721519</v>
      </c>
      <c r="AH142" s="156" t="n">
        <f aca="false">IFERROR('Price History'!M3+(INDEX('Price History'!M:M,MATCH(9.99E+307,'Returns (Calc)'!$A:$A)+1)-'Price History'!M3)*(ROW()-3)/(MATCH(9.99E+307,'Returns (Calc)'!$A:$A)-3),"")</f>
        <v>226.426582278481</v>
      </c>
      <c r="AI142" s="156" t="n">
        <f aca="false">IFERROR('Price History'!N3+(INDEX('Price History'!N:N,MATCH(9.99E+307,'Returns (Calc)'!$A:$A)+1)-'Price History'!N3)*(ROW()-3)/(MATCH(9.99E+307,'Returns (Calc)'!$A:$A)-3),"")</f>
        <v>485.990949367089</v>
      </c>
      <c r="AJ142" s="156" t="n">
        <f aca="false">IFERROR('Price History'!O3+(INDEX('Price History'!O:O,MATCH(9.99E+307,'Returns (Calc)'!$A:$A)+1)-'Price History'!O3)*(ROW()-3)/(MATCH(9.99E+307,'Returns (Calc)'!$A:$A)-3),"")</f>
        <v>114.652278481013</v>
      </c>
      <c r="AK142" s="156" t="n">
        <f aca="false">IFERROR('Price History'!Q3+(INDEX('Price History'!Q:Q,MATCH(9.99E+307,'Returns (Calc)'!$A:$A)+1)-'Price History'!Q3)*(ROW()-3)/(MATCH(9.99E+307,'Returns (Calc)'!$A:$A)-3),"")</f>
        <v>61.0720253164557</v>
      </c>
      <c r="AL142" s="156" t="n">
        <f aca="false">IFERROR('Price History'!R3+(INDEX('Price History'!R:R,MATCH(9.99E+307,'Returns (Calc)'!$A:$A)+1)-'Price History'!R3)*(ROW()-3)/(MATCH(9.99E+307,'Returns (Calc)'!$A:$A)-3),"")</f>
        <v>57.8460759493671</v>
      </c>
      <c r="AM142" s="156" t="n">
        <f aca="false">IFERROR('Price History'!S3+(INDEX('Price History'!S:S,MATCH(9.99E+307,'Returns (Calc)'!$A:$A)+1)-'Price History'!S3)*(ROW()-3)/(MATCH(9.99E+307,'Returns (Calc)'!$A:$A)-3),"")</f>
        <v>141.733797468354</v>
      </c>
      <c r="AN142" s="156" t="n">
        <f aca="false">IFERROR('Price History'!T3+(INDEX('Price History'!T:T,MATCH(9.99E+307,'Returns (Calc)'!$A:$A)+1)-'Price History'!T3)*(ROW()-3)/(MATCH(9.99E+307,'Returns (Calc)'!$A:$A)-3),"")</f>
        <v>48.623670886076</v>
      </c>
      <c r="AO142" s="157" t="n">
        <f aca="false">IFERROR('Price History'!V3+(INDEX('Price History'!V:V,MATCH(9.99E+307,'Returns (Calc)'!$A:$A)+1)-'Price History'!V3)*(ROW()-3)/(MATCH(9.99E+307,'Returns (Calc)'!$A:$A)-3),"")</f>
        <v>345.624746835443</v>
      </c>
      <c r="AP142" s="155" t="n">
        <f aca="false">IFERROR(IF(OR(NOT(ISNUMBER('Price History'!W143)),NOT(ISNUMBER('Price History'!W142)),'Price History'!W142=0),"",'Price History'!W143/'Price History'!W142-1),"")</f>
        <v>0.0188372848327378</v>
      </c>
      <c r="AQ142" s="155" t="n">
        <f aca="false">IFERROR(IF(OR(NOT(ISNUMBER('Price History'!X143)),NOT(ISNUMBER('Price History'!X142)),'Price History'!X142=0),"",'Price History'!X143/'Price History'!X142-1),"")</f>
        <v>0.00807339449541278</v>
      </c>
      <c r="AR142" s="155" t="n">
        <f aca="false">IFERROR(IF(OR(NOT(ISNUMBER('Price History'!Y143)),NOT(ISNUMBER('Price History'!Y142)),'Price History'!Y142=0),"",'Price History'!Y143/'Price History'!Y142-1),"")</f>
        <v>0.00776483638380476</v>
      </c>
      <c r="AS142" s="155" t="n">
        <f aca="false">IFERROR(IF(OR(NOT(ISNUMBER('Price History'!Z143)),NOT(ISNUMBER('Price History'!Z142)),'Price History'!Z142=0),"",'Price History'!Z143/'Price History'!Z142-1),"")</f>
        <v>0.0756810583967564</v>
      </c>
      <c r="AT142" s="155" t="n">
        <f aca="false">IFERROR(IF(OR(NOT(ISNUMBER('Price History'!AA143)),NOT(ISNUMBER('Price History'!AA142)),'Price History'!AA142=0),"",'Price History'!AA143/'Price History'!AA142-1),"")</f>
        <v>0.0181567455757297</v>
      </c>
      <c r="AU142" s="155" t="n">
        <f aca="false">IFERROR(IF(OR(NOT(ISNUMBER('Price History'!AB143)),NOT(ISNUMBER('Price History'!AB142)),'Price History'!AB142=0),"",'Price History'!AB143/'Price History'!AB142-1),"")</f>
        <v>0.00824625456376671</v>
      </c>
    </row>
    <row r="143" customFormat="false" ht="15" hidden="false" customHeight="true" outlineLevel="0" collapsed="false">
      <c r="A143" s="153" t="n">
        <f aca="false">IF('Price History'!A144="","",'Price History'!A144)</f>
        <v>46171</v>
      </c>
      <c r="B143" s="154" t="n">
        <f aca="false">IFERROR(IF(OR(NOT(ISNUMBER('Price History'!B144)),NOT(ISNUMBER('Price History'!B143)),'Price History'!B143=0),"",'Price History'!B144/'Price History'!B143-1),"")</f>
        <v>0.0590374244157541</v>
      </c>
      <c r="C143" s="154" t="n">
        <f aca="false">IFERROR(IF(OR(NOT(ISNUMBER('Price History'!C144)),NOT(ISNUMBER('Price History'!C143)),'Price History'!C143=0),"",'Price History'!C144/'Price History'!C143-1),"")</f>
        <v>0.0353177952346946</v>
      </c>
      <c r="D143" s="154" t="n">
        <f aca="false">IFERROR(IF(OR(NOT(ISNUMBER('Price History'!D144)),NOT(ISNUMBER('Price History'!D143)),'Price History'!D143=0),"",'Price History'!D144/'Price History'!D143-1),"")</f>
        <v>-0.0123314467221407</v>
      </c>
      <c r="E143" s="154" t="n">
        <f aca="false">IFERROR(IF(OR(NOT(ISNUMBER('Price History'!E144)),NOT(ISNUMBER('Price History'!E143)),'Price History'!E143=0),"",'Price History'!E144/'Price History'!E143-1),"")</f>
        <v>0.0787924308870205</v>
      </c>
      <c r="F143" s="154" t="n">
        <f aca="false">IFERROR(IF(OR(NOT(ISNUMBER('Price History'!F144)),NOT(ISNUMBER('Price History'!F143)),'Price History'!F143=0),"",'Price History'!F144/'Price History'!F143-1),"")</f>
        <v>0.10176644360041</v>
      </c>
      <c r="G143" s="154" t="n">
        <f aca="false">IFERROR(IF(OR(NOT(ISNUMBER('Price History'!G144)),NOT(ISNUMBER('Price History'!G143)),'Price History'!G143=0),"",'Price History'!G144/'Price History'!G143-1),"")</f>
        <v>0.0176545435266673</v>
      </c>
      <c r="H143" s="154" t="n">
        <f aca="false">IFERROR(IF(OR(NOT(ISNUMBER('Price History'!H144)),NOT(ISNUMBER('Price History'!H143)),'Price History'!H143=0),"",'Price History'!H144/'Price History'!H143-1),"")</f>
        <v>0.292949605795866</v>
      </c>
      <c r="I143" s="154" t="n">
        <f aca="false">IFERROR(IF(OR(NOT(ISNUMBER('Price History'!I144)),NOT(ISNUMBER('Price History'!I143)),'Price History'!I143=0),"",'Price History'!I144/'Price History'!I143-1),"")</f>
        <v>-0.019456339601564</v>
      </c>
      <c r="J143" s="154" t="n">
        <f aca="false">IFERROR(IF(OR(NOT(ISNUMBER('Price History'!J144)),NOT(ISNUMBER('Price History'!J143)),'Price History'!J143=0),"",'Price History'!J144/'Price History'!J143-1),"")</f>
        <v>-0.0167002992136943</v>
      </c>
      <c r="K143" s="154" t="n">
        <f aca="false">IFERROR(IF(OR(NOT(ISNUMBER('Price History'!K144)),NOT(ISNUMBER('Price History'!K143)),'Price History'!K143=0),"",'Price History'!K144/'Price History'!K143-1),"")</f>
        <v>0.143629456458211</v>
      </c>
      <c r="L143" s="154" t="n">
        <f aca="false">IFERROR(IF(OR(NOT(ISNUMBER('Price History'!L144)),NOT(ISNUMBER('Price History'!L143)),'Price History'!L143=0),"",'Price History'!L144/'Price History'!L143-1),"")</f>
        <v>0.0344347826086957</v>
      </c>
      <c r="M143" s="154" t="n">
        <f aca="false">IFERROR(IF(OR(NOT(ISNUMBER('Price History'!M144)),NOT(ISNUMBER('Price History'!M143)),'Price History'!M143=0),"",'Price History'!M144/'Price History'!M143-1),"")</f>
        <v>-0.0358681372399254</v>
      </c>
      <c r="N143" s="154" t="n">
        <f aca="false">IFERROR(IF(OR(NOT(ISNUMBER('Price History'!N144)),NOT(ISNUMBER('Price History'!N143)),'Price History'!N143=0),"",'Price History'!N144/'Price History'!N143-1),"")</f>
        <v>0.0299640983153826</v>
      </c>
      <c r="O143" s="154" t="n">
        <f aca="false">IFERROR(IF(OR(NOT(ISNUMBER('Price History'!O144)),NOT(ISNUMBER('Price History'!O143)),'Price History'!O143=0),"",'Price History'!O144/'Price History'!O143-1),"")</f>
        <v>0.000167785234899354</v>
      </c>
      <c r="P143" s="154" t="n">
        <f aca="false">IFERROR(IF(OR(NOT(ISNUMBER('Price History'!P144)),NOT(ISNUMBER('Price History'!P143)),'Price History'!P143=0),"",'Price History'!P144/'Price History'!P143-1),"")</f>
        <v>-0.00508905852417307</v>
      </c>
      <c r="Q143" s="154" t="n">
        <f aca="false">IFERROR(IF(OR(NOT(ISNUMBER('Price History'!Q144)),NOT(ISNUMBER('Price History'!Q143)),'Price History'!Q143=0),"",'Price History'!Q144/'Price History'!Q143-1),"")</f>
        <v>0.00429311621021467</v>
      </c>
      <c r="R143" s="154" t="n">
        <f aca="false">IFERROR(IF(OR(NOT(ISNUMBER('Price History'!R144)),NOT(ISNUMBER('Price History'!R143)),'Price History'!R143=0),"",'Price History'!R144/'Price History'!R143-1),"")</f>
        <v>0.0155785051636619</v>
      </c>
      <c r="S143" s="154" t="n">
        <f aca="false">IFERROR(IF(OR(NOT(ISNUMBER('Price History'!S144)),NOT(ISNUMBER('Price History'!S143)),'Price History'!S143=0),"",'Price History'!S144/'Price History'!S143-1),"")</f>
        <v>0.0389673311184942</v>
      </c>
      <c r="T143" s="154" t="n">
        <f aca="false">IFERROR(IF(OR(NOT(ISNUMBER('Price History'!T144)),NOT(ISNUMBER('Price History'!T143)),'Price History'!T143=0),"",'Price History'!T144/'Price History'!T143-1),"")</f>
        <v>0.0540909090909092</v>
      </c>
      <c r="U143" s="154" t="n">
        <f aca="false">IFERROR(IF(OR(NOT(ISNUMBER('Price History'!U144)),NOT(ISNUMBER('Price History'!U143)),'Price History'!U143=0),"",'Price History'!U144/'Price History'!U143-1),"")</f>
        <v>-0.0099040544722997</v>
      </c>
      <c r="V143" s="155" t="n">
        <f aca="false">IFERROR(IF(OR(NOT(ISNUMBER('Price History'!V144)),NOT(ISNUMBER('Price History'!V143)),'Price History'!V143=0),"",'Price History'!V144/'Price History'!V143-1),"")</f>
        <v>-0.00767660767051503</v>
      </c>
      <c r="W143" s="156" t="n">
        <f aca="false">IFERROR('Price History'!B3+(INDEX('Price History'!B:B,MATCH(9.99E+307,'Returns (Calc)'!$A:$A)+1)-'Price History'!B3)*(ROW()-3)/(MATCH(9.99E+307,'Returns (Calc)'!$A:$A)-3),"")</f>
        <v>270.864683544304</v>
      </c>
      <c r="X143" s="156" t="n">
        <f aca="false">IFERROR('Price History'!C3+(INDEX('Price History'!C:C,MATCH(9.99E+307,'Returns (Calc)'!$A:$A)+1)-'Price History'!C3)*(ROW()-3)/(MATCH(9.99E+307,'Returns (Calc)'!$A:$A)-3),"")</f>
        <v>188.988860759494</v>
      </c>
      <c r="Y143" s="156" t="n">
        <f aca="false">IFERROR('Price History'!D3+(INDEX('Price History'!D:D,MATCH(9.99E+307,'Returns (Calc)'!$A:$A)+1)-'Price History'!D3)*(ROW()-3)/(MATCH(9.99E+307,'Returns (Calc)'!$A:$A)-3),"")</f>
        <v>1720.88341772152</v>
      </c>
      <c r="Z143" s="156" t="n">
        <f aca="false">IFERROR('Price History'!E3+(INDEX('Price History'!E:E,MATCH(9.99E+307,'Returns (Calc)'!$A:$A)+1)-'Price History'!E3)*(ROW()-3)/(MATCH(9.99E+307,'Returns (Calc)'!$A:$A)-3),"")</f>
        <v>324.022784810127</v>
      </c>
      <c r="AA143" s="156" t="n">
        <f aca="false">IFERROR('Price History'!F3+(INDEX('Price History'!F:F,MATCH(9.99E+307,'Returns (Calc)'!$A:$A)+1)-'Price History'!F3)*(ROW()-3)/(MATCH(9.99E+307,'Returns (Calc)'!$A:$A)-3),"")</f>
        <v>243.987848101266</v>
      </c>
      <c r="AB143" s="156" t="n">
        <f aca="false">IFERROR('Price History'!G3+(INDEX('Price History'!G:G,MATCH(9.99E+307,'Returns (Calc)'!$A:$A)+1)-'Price History'!G3)*(ROW()-3)/(MATCH(9.99E+307,'Returns (Calc)'!$A:$A)-3),"")</f>
        <v>188.372784810127</v>
      </c>
      <c r="AC143" s="156" t="n">
        <f aca="false">IFERROR('Price History'!H3+(INDEX('Price History'!H:H,MATCH(9.99E+307,'Returns (Calc)'!$A:$A)+1)-'Price History'!H3)*(ROW()-3)/(MATCH(9.99E+307,'Returns (Calc)'!$A:$A)-3),"")</f>
        <v>960.307468354431</v>
      </c>
      <c r="AD143" s="156" t="n">
        <f aca="false">IFERROR('Price History'!I3+(INDEX('Price History'!I:I,MATCH(9.99E+307,'Returns (Calc)'!$A:$A)+1)-'Price History'!I3)*(ROW()-3)/(MATCH(9.99E+307,'Returns (Calc)'!$A:$A)-3),"")</f>
        <v>212.283924050633</v>
      </c>
      <c r="AE143" s="156" t="n">
        <f aca="false">IFERROR('Price History'!J3+(INDEX('Price History'!J:J,MATCH(9.99E+307,'Returns (Calc)'!$A:$A)+1)-'Price History'!J3)*(ROW()-3)/(MATCH(9.99E+307,'Returns (Calc)'!$A:$A)-3),"")</f>
        <v>126.965316455696</v>
      </c>
      <c r="AF143" s="156" t="n">
        <f aca="false">IFERROR('Price History'!K3+(INDEX('Price History'!K:K,MATCH(9.99E+307,'Returns (Calc)'!$A:$A)+1)-'Price History'!K3)*(ROW()-3)/(MATCH(9.99E+307,'Returns (Calc)'!$A:$A)-3),"")</f>
        <v>168.993291139241</v>
      </c>
      <c r="AG143" s="156" t="n">
        <f aca="false">IFERROR('Price History'!L3+(INDEX('Price History'!L:L,MATCH(9.99E+307,'Returns (Calc)'!$A:$A)+1)-'Price History'!L3)*(ROW()-3)/(MATCH(9.99E+307,'Returns (Calc)'!$A:$A)-3),"")</f>
        <v>428.687974683544</v>
      </c>
      <c r="AH143" s="156" t="n">
        <f aca="false">IFERROR('Price History'!M3+(INDEX('Price History'!M:M,MATCH(9.99E+307,'Returns (Calc)'!$A:$A)+1)-'Price History'!M3)*(ROW()-3)/(MATCH(9.99E+307,'Returns (Calc)'!$A:$A)-3),"")</f>
        <v>227.782025316456</v>
      </c>
      <c r="AI143" s="156" t="n">
        <f aca="false">IFERROR('Price History'!N3+(INDEX('Price History'!N:N,MATCH(9.99E+307,'Returns (Calc)'!$A:$A)+1)-'Price History'!N3)*(ROW()-3)/(MATCH(9.99E+307,'Returns (Calc)'!$A:$A)-3),"")</f>
        <v>486.977215189873</v>
      </c>
      <c r="AJ143" s="156" t="n">
        <f aca="false">IFERROR('Price History'!O3+(INDEX('Price History'!O:O,MATCH(9.99E+307,'Returns (Calc)'!$A:$A)+1)-'Price History'!O3)*(ROW()-3)/(MATCH(9.99E+307,'Returns (Calc)'!$A:$A)-3),"")</f>
        <v>114.935316455696</v>
      </c>
      <c r="AK143" s="156" t="n">
        <f aca="false">IFERROR('Price History'!Q3+(INDEX('Price History'!Q:Q,MATCH(9.99E+307,'Returns (Calc)'!$A:$A)+1)-'Price History'!Q3)*(ROW()-3)/(MATCH(9.99E+307,'Returns (Calc)'!$A:$A)-3),"")</f>
        <v>61.5113924050633</v>
      </c>
      <c r="AL143" s="156" t="n">
        <f aca="false">IFERROR('Price History'!R3+(INDEX('Price History'!R:R,MATCH(9.99E+307,'Returns (Calc)'!$A:$A)+1)-'Price History'!R3)*(ROW()-3)/(MATCH(9.99E+307,'Returns (Calc)'!$A:$A)-3),"")</f>
        <v>58.0141772151899</v>
      </c>
      <c r="AM143" s="156" t="n">
        <f aca="false">IFERROR('Price History'!S3+(INDEX('Price History'!S:S,MATCH(9.99E+307,'Returns (Calc)'!$A:$A)+1)-'Price History'!S3)*(ROW()-3)/(MATCH(9.99E+307,'Returns (Calc)'!$A:$A)-3),"")</f>
        <v>142.338860759494</v>
      </c>
      <c r="AN143" s="156" t="n">
        <f aca="false">IFERROR('Price History'!T3+(INDEX('Price History'!T:T,MATCH(9.99E+307,'Returns (Calc)'!$A:$A)+1)-'Price History'!T3)*(ROW()-3)/(MATCH(9.99E+307,'Returns (Calc)'!$A:$A)-3),"")</f>
        <v>48.7918987341772</v>
      </c>
      <c r="AO143" s="157" t="n">
        <f aca="false">IFERROR('Price History'!V3+(INDEX('Price History'!V:V,MATCH(9.99E+307,'Returns (Calc)'!$A:$A)+1)-'Price History'!V3)*(ROW()-3)/(MATCH(9.99E+307,'Returns (Calc)'!$A:$A)-3),"")</f>
        <v>346.416075949367</v>
      </c>
      <c r="AP143" s="155" t="n">
        <f aca="false">IFERROR(IF(OR(NOT(ISNUMBER('Price History'!W144)),NOT(ISNUMBER('Price History'!W143)),'Price History'!W143=0),"",'Price History'!W144/'Price History'!W143-1),"")</f>
        <v>0.00312400382531086</v>
      </c>
      <c r="AQ143" s="155" t="n">
        <f aca="false">IFERROR(IF(OR(NOT(ISNUMBER('Price History'!X144)),NOT(ISNUMBER('Price History'!X143)),'Price History'!X143=0),"",'Price History'!X144/'Price History'!X143-1),"")</f>
        <v>-0.0536949399344739</v>
      </c>
      <c r="AR143" s="155" t="n">
        <f aca="false">IFERROR(IF(OR(NOT(ISNUMBER('Price History'!Y144)),NOT(ISNUMBER('Price History'!Y143)),'Price History'!Y143=0),"",'Price History'!Y144/'Price History'!Y143-1),"")</f>
        <v>-0.00513667217024405</v>
      </c>
      <c r="AS143" s="155" t="n">
        <f aca="false">IFERROR(IF(OR(NOT(ISNUMBER('Price History'!Z144)),NOT(ISNUMBER('Price History'!Z143)),'Price History'!Z143=0),"",'Price History'!Z144/'Price History'!Z143-1),"")</f>
        <v>0.0691000462871125</v>
      </c>
      <c r="AT143" s="155" t="n">
        <f aca="false">IFERROR(IF(OR(NOT(ISNUMBER('Price History'!AA144)),NOT(ISNUMBER('Price History'!AA143)),'Price History'!AA143=0),"",'Price History'!AA144/'Price History'!AA143-1),"")</f>
        <v>-0.0291196388261851</v>
      </c>
      <c r="AU143" s="155" t="n">
        <f aca="false">IFERROR(IF(OR(NOT(ISNUMBER('Price History'!AB144)),NOT(ISNUMBER('Price History'!AB143)),'Price History'!AB143=0),"",'Price History'!AB144/'Price History'!AB143-1),"")</f>
        <v>0.0884685022163951</v>
      </c>
    </row>
    <row r="144" customFormat="false" ht="15" hidden="false" customHeight="true" outlineLevel="0" collapsed="false">
      <c r="A144" s="153" t="n">
        <f aca="false">IF('Price History'!A145="","",'Price History'!A145)</f>
        <v>46178</v>
      </c>
      <c r="B144" s="154" t="n">
        <f aca="false">IFERROR(IF(OR(NOT(ISNUMBER('Price History'!B145)),NOT(ISNUMBER('Price History'!B144)),'Price History'!B144=0),"",'Price History'!B145/'Price History'!B144-1),"")</f>
        <v>-0.0299756953821225</v>
      </c>
      <c r="C144" s="154" t="n">
        <f aca="false">IFERROR(IF(OR(NOT(ISNUMBER('Price History'!C145)),NOT(ISNUMBER('Price History'!C144)),'Price History'!C144=0),"",'Price History'!C145/'Price History'!C144-1),"")</f>
        <v>-0.032608014046529</v>
      </c>
      <c r="D144" s="154" t="n">
        <f aca="false">IFERROR(IF(OR(NOT(ISNUMBER('Price History'!D145)),NOT(ISNUMBER('Price History'!D144)),'Price History'!D144=0),"",'Price History'!D145/'Price History'!D144-1),"")</f>
        <v>0.0179675664936547</v>
      </c>
      <c r="E144" s="154" t="n">
        <f aca="false">IFERROR(IF(OR(NOT(ISNUMBER('Price History'!E145)),NOT(ISNUMBER('Price History'!E144)),'Price History'!E144=0),"",'Price History'!E145/'Price History'!E144-1),"")</f>
        <v>-0.136619876473891</v>
      </c>
      <c r="F144" s="154" t="n">
        <f aca="false">IFERROR(IF(OR(NOT(ISNUMBER('Price History'!F145)),NOT(ISNUMBER('Price History'!F144)),'Price History'!F144=0),"",'Price History'!F145/'Price History'!F144-1),"")</f>
        <v>-0.0820246238030097</v>
      </c>
      <c r="G144" s="154" t="n">
        <f aca="false">IFERROR(IF(OR(NOT(ISNUMBER('Price History'!G145)),NOT(ISNUMBER('Price History'!G144)),'Price History'!G144=0),"",'Price History'!G145/'Price History'!G144-1),"")</f>
        <v>0.00390726751758264</v>
      </c>
      <c r="H144" s="154" t="n">
        <f aca="false">IFERROR(IF(OR(NOT(ISNUMBER('Price History'!H145)),NOT(ISNUMBER('Price History'!H144)),'Price History'!H144=0),"",'Price History'!H145/'Price History'!H144-1),"")</f>
        <v>-0.110181799454087</v>
      </c>
      <c r="I144" s="154" t="n">
        <f aca="false">IFERROR(IF(OR(NOT(ISNUMBER('Price History'!I145)),NOT(ISNUMBER('Price History'!I144)),'Price History'!I144=0),"",'Price History'!I145/'Price History'!I144-1),"")</f>
        <v>-0.0274850469951581</v>
      </c>
      <c r="J144" s="154" t="n">
        <f aca="false">IFERROR(IF(OR(NOT(ISNUMBER('Price History'!J145)),NOT(ISNUMBER('Price History'!J144)),'Price History'!J144=0),"",'Price History'!J145/'Price History'!J144-1),"")</f>
        <v>0.0075012384120019</v>
      </c>
      <c r="K144" s="154" t="n">
        <f aca="false">IFERROR(IF(OR(NOT(ISNUMBER('Price History'!K145)),NOT(ISNUMBER('Price History'!K144)),'Price History'!K144=0),"",'Price History'!K145/'Price History'!K144-1),"")</f>
        <v>-0.134214897150888</v>
      </c>
      <c r="L144" s="154" t="n">
        <f aca="false">IFERROR(IF(OR(NOT(ISNUMBER('Price History'!L145)),NOT(ISNUMBER('Price History'!L144)),'Price History'!L144=0),"",'Price History'!L145/'Price History'!L144-1),"")</f>
        <v>-0.00785378038236151</v>
      </c>
      <c r="M144" s="154" t="n">
        <f aca="false">IFERROR(IF(OR(NOT(ISNUMBER('Price History'!M145)),NOT(ISNUMBER('Price History'!M144)),'Price History'!M144=0),"",'Price History'!M145/'Price History'!M144-1),"")</f>
        <v>-0.048166809265773</v>
      </c>
      <c r="N144" s="154" t="n">
        <f aca="false">IFERROR(IF(OR(NOT(ISNUMBER('Price History'!N145)),NOT(ISNUMBER('Price History'!N144)),'Price History'!N144=0),"",'Price History'!N145/'Price History'!N144-1),"")</f>
        <v>-0.00158645037315108</v>
      </c>
      <c r="O144" s="154" t="n">
        <f aca="false">IFERROR(IF(OR(NOT(ISNUMBER('Price History'!O145)),NOT(ISNUMBER('Price History'!O144)),'Price History'!O144=0),"",'Price History'!O145/'Price History'!O144-1),"")</f>
        <v>-0.00293574903539673</v>
      </c>
      <c r="P144" s="154" t="n">
        <f aca="false">IFERROR(IF(OR(NOT(ISNUMBER('Price History'!P145)),NOT(ISNUMBER('Price History'!P144)),'Price History'!P144=0),"",'Price History'!P145/'Price History'!P144-1),"")</f>
        <v>0.0028198570398057</v>
      </c>
      <c r="Q144" s="154" t="n">
        <f aca="false">IFERROR(IF(OR(NOT(ISNUMBER('Price History'!Q145)),NOT(ISNUMBER('Price History'!Q144)),'Price History'!Q144=0),"",'Price History'!Q145/'Price History'!Q144-1),"")</f>
        <v>-0.0104658018867926</v>
      </c>
      <c r="R144" s="154" t="n">
        <f aca="false">IFERROR(IF(OR(NOT(ISNUMBER('Price History'!R145)),NOT(ISNUMBER('Price History'!R144)),'Price History'!R144=0),"",'Price History'!R145/'Price History'!R144-1),"")</f>
        <v>-0.0279214064115823</v>
      </c>
      <c r="S144" s="154" t="n">
        <f aca="false">IFERROR(IF(OR(NOT(ISNUMBER('Price History'!S145)),NOT(ISNUMBER('Price History'!S144)),'Price History'!S144=0),"",'Price History'!S145/'Price History'!S144-1),"")</f>
        <v>-0.041902604756512</v>
      </c>
      <c r="T144" s="154" t="n">
        <f aca="false">IFERROR(IF(OR(NOT(ISNUMBER('Price History'!T145)),NOT(ISNUMBER('Price History'!T144)),'Price History'!T144=0),"",'Price History'!T145/'Price History'!T144-1),"")</f>
        <v>-0.011211729193618</v>
      </c>
      <c r="U144" s="154" t="n">
        <f aca="false">IFERROR(IF(OR(NOT(ISNUMBER('Price History'!U145)),NOT(ISNUMBER('Price History'!U144)),'Price History'!U144=0),"",'Price History'!U145/'Price History'!U144-1),"")</f>
        <v>-0.00625195373554233</v>
      </c>
      <c r="V144" s="155" t="n">
        <f aca="false">IFERROR(IF(OR(NOT(ISNUMBER('Price History'!V145)),NOT(ISNUMBER('Price History'!V144)),'Price History'!V144=0),"",'Price History'!V145/'Price History'!V144-1),"")</f>
        <v>-0.00853415195702212</v>
      </c>
      <c r="W144" s="156" t="n">
        <f aca="false">IFERROR('Price History'!B3+(INDEX('Price History'!B:B,MATCH(9.99E+307,'Returns (Calc)'!$A:$A)+1)-'Price History'!B3)*(ROW()-3)/(MATCH(9.99E+307,'Returns (Calc)'!$A:$A)-3),"")</f>
        <v>269.02164556962</v>
      </c>
      <c r="X144" s="156" t="n">
        <f aca="false">IFERROR('Price History'!C3+(INDEX('Price History'!C:C,MATCH(9.99E+307,'Returns (Calc)'!$A:$A)+1)-'Price History'!C3)*(ROW()-3)/(MATCH(9.99E+307,'Returns (Calc)'!$A:$A)-3),"")</f>
        <v>190.008924050633</v>
      </c>
      <c r="Y144" s="156" t="n">
        <f aca="false">IFERROR('Price History'!D3+(INDEX('Price History'!D:D,MATCH(9.99E+307,'Returns (Calc)'!$A:$A)+1)-'Price History'!D3)*(ROW()-3)/(MATCH(9.99E+307,'Returns (Calc)'!$A:$A)-3),"")</f>
        <v>1729.0182278481</v>
      </c>
      <c r="Z144" s="156" t="n">
        <f aca="false">IFERROR('Price History'!E3+(INDEX('Price History'!E:E,MATCH(9.99E+307,'Returns (Calc)'!$A:$A)+1)-'Price History'!E3)*(ROW()-3)/(MATCH(9.99E+307,'Returns (Calc)'!$A:$A)-3),"")</f>
        <v>325.751518987342</v>
      </c>
      <c r="AA144" s="156" t="n">
        <f aca="false">IFERROR('Price History'!F3+(INDEX('Price History'!F:F,MATCH(9.99E+307,'Returns (Calc)'!$A:$A)+1)-'Price History'!F3)*(ROW()-3)/(MATCH(9.99E+307,'Returns (Calc)'!$A:$A)-3),"")</f>
        <v>245.435189873418</v>
      </c>
      <c r="AB144" s="156" t="n">
        <f aca="false">IFERROR('Price History'!G3+(INDEX('Price History'!G:G,MATCH(9.99E+307,'Returns (Calc)'!$A:$A)+1)-'Price History'!G3)*(ROW()-3)/(MATCH(9.99E+307,'Returns (Calc)'!$A:$A)-3),"")</f>
        <v>189.401518987342</v>
      </c>
      <c r="AC144" s="156" t="n">
        <f aca="false">IFERROR('Price History'!H3+(INDEX('Price History'!H:H,MATCH(9.99E+307,'Returns (Calc)'!$A:$A)+1)-'Price History'!H3)*(ROW()-3)/(MATCH(9.99E+307,'Returns (Calc)'!$A:$A)-3),"")</f>
        <v>966.673164556962</v>
      </c>
      <c r="AD144" s="156" t="n">
        <f aca="false">IFERROR('Price History'!I3+(INDEX('Price History'!I:I,MATCH(9.99E+307,'Returns (Calc)'!$A:$A)+1)-'Price History'!I3)*(ROW()-3)/(MATCH(9.99E+307,'Returns (Calc)'!$A:$A)-3),"")</f>
        <v>213.487594936709</v>
      </c>
      <c r="AE144" s="156" t="n">
        <f aca="false">IFERROR('Price History'!J3+(INDEX('Price History'!J:J,MATCH(9.99E+307,'Returns (Calc)'!$A:$A)+1)-'Price History'!J3)*(ROW()-3)/(MATCH(9.99E+307,'Returns (Calc)'!$A:$A)-3),"")</f>
        <v>127.07335443038</v>
      </c>
      <c r="AF144" s="156" t="n">
        <f aca="false">IFERROR('Price History'!K3+(INDEX('Price History'!K:K,MATCH(9.99E+307,'Returns (Calc)'!$A:$A)+1)-'Price History'!K3)*(ROW()-3)/(MATCH(9.99E+307,'Returns (Calc)'!$A:$A)-3),"")</f>
        <v>170.090886075949</v>
      </c>
      <c r="AG144" s="156" t="n">
        <f aca="false">IFERROR('Price History'!L3+(INDEX('Price History'!L:L,MATCH(9.99E+307,'Returns (Calc)'!$A:$A)+1)-'Price History'!L3)*(ROW()-3)/(MATCH(9.99E+307,'Returns (Calc)'!$A:$A)-3),"")</f>
        <v>431.13753164557</v>
      </c>
      <c r="AH144" s="156" t="n">
        <f aca="false">IFERROR('Price History'!M3+(INDEX('Price History'!M:M,MATCH(9.99E+307,'Returns (Calc)'!$A:$A)+1)-'Price History'!M3)*(ROW()-3)/(MATCH(9.99E+307,'Returns (Calc)'!$A:$A)-3),"")</f>
        <v>229.13746835443</v>
      </c>
      <c r="AI144" s="156" t="n">
        <f aca="false">IFERROR('Price History'!N3+(INDEX('Price History'!N:N,MATCH(9.99E+307,'Returns (Calc)'!$A:$A)+1)-'Price History'!N3)*(ROW()-3)/(MATCH(9.99E+307,'Returns (Calc)'!$A:$A)-3),"")</f>
        <v>487.963481012658</v>
      </c>
      <c r="AJ144" s="156" t="n">
        <f aca="false">IFERROR('Price History'!O3+(INDEX('Price History'!O:O,MATCH(9.99E+307,'Returns (Calc)'!$A:$A)+1)-'Price History'!O3)*(ROW()-3)/(MATCH(9.99E+307,'Returns (Calc)'!$A:$A)-3),"")</f>
        <v>115.21835443038</v>
      </c>
      <c r="AK144" s="156" t="n">
        <f aca="false">IFERROR('Price History'!Q3+(INDEX('Price History'!Q:Q,MATCH(9.99E+307,'Returns (Calc)'!$A:$A)+1)-'Price History'!Q3)*(ROW()-3)/(MATCH(9.99E+307,'Returns (Calc)'!$A:$A)-3),"")</f>
        <v>61.9507594936709</v>
      </c>
      <c r="AL144" s="156" t="n">
        <f aca="false">IFERROR('Price History'!R3+(INDEX('Price History'!R:R,MATCH(9.99E+307,'Returns (Calc)'!$A:$A)+1)-'Price History'!R3)*(ROW()-3)/(MATCH(9.99E+307,'Returns (Calc)'!$A:$A)-3),"")</f>
        <v>58.1822784810127</v>
      </c>
      <c r="AM144" s="156" t="n">
        <f aca="false">IFERROR('Price History'!S3+(INDEX('Price History'!S:S,MATCH(9.99E+307,'Returns (Calc)'!$A:$A)+1)-'Price History'!S3)*(ROW()-3)/(MATCH(9.99E+307,'Returns (Calc)'!$A:$A)-3),"")</f>
        <v>142.943924050633</v>
      </c>
      <c r="AN144" s="156" t="n">
        <f aca="false">IFERROR('Price History'!T3+(INDEX('Price History'!T:T,MATCH(9.99E+307,'Returns (Calc)'!$A:$A)+1)-'Price History'!T3)*(ROW()-3)/(MATCH(9.99E+307,'Returns (Calc)'!$A:$A)-3),"")</f>
        <v>48.9601265822785</v>
      </c>
      <c r="AO144" s="157" t="n">
        <f aca="false">IFERROR('Price History'!V3+(INDEX('Price History'!V:V,MATCH(9.99E+307,'Returns (Calc)'!$A:$A)+1)-'Price History'!V3)*(ROW()-3)/(MATCH(9.99E+307,'Returns (Calc)'!$A:$A)-3),"")</f>
        <v>347.207405063291</v>
      </c>
      <c r="AP144" s="155" t="n">
        <f aca="false">IFERROR(IF(OR(NOT(ISNUMBER('Price History'!W145)),NOT(ISNUMBER('Price History'!W144)),'Price History'!W144=0),"",'Price History'!W145/'Price History'!W144-1),"")</f>
        <v>-0.0059743231219016</v>
      </c>
      <c r="AQ144" s="155" t="n">
        <f aca="false">IFERROR(IF(OR(NOT(ISNUMBER('Price History'!X145)),NOT(ISNUMBER('Price History'!X144)),'Price History'!X144=0),"",'Price History'!X145/'Price History'!X144-1),"")</f>
        <v>0.0234660511636853</v>
      </c>
      <c r="AR144" s="155" t="n">
        <f aca="false">IFERROR(IF(OR(NOT(ISNUMBER('Price History'!Y145)),NOT(ISNUMBER('Price History'!Y144)),'Price History'!Y144=0),"",'Price History'!Y145/'Price History'!Y144-1),"")</f>
        <v>-0.00239719712336339</v>
      </c>
      <c r="AS144" s="155" t="n">
        <f aca="false">IFERROR(IF(OR(NOT(ISNUMBER('Price History'!Z145)),NOT(ISNUMBER('Price History'!Z144)),'Price History'!Z144=0),"",'Price History'!Z145/'Price History'!Z144-1),"")</f>
        <v>0.0130813953488371</v>
      </c>
      <c r="AT144" s="155" t="n">
        <f aca="false">IFERROR(IF(OR(NOT(ISNUMBER('Price History'!AA145)),NOT(ISNUMBER('Price History'!AA144)),'Price History'!AA144=0),"",'Price History'!AA145/'Price History'!AA144-1),"")</f>
        <v>-0.0446407812136711</v>
      </c>
      <c r="AU144" s="155" t="n">
        <f aca="false">IFERROR(IF(OR(NOT(ISNUMBER('Price History'!AB145)),NOT(ISNUMBER('Price History'!AB144)),'Price History'!AB144=0),"",'Price History'!AB145/'Price History'!AB144-1),"")</f>
        <v>-0.0099231386945049</v>
      </c>
    </row>
    <row r="145" customFormat="false" ht="15" hidden="false" customHeight="true" outlineLevel="0" collapsed="false">
      <c r="A145" s="153" t="n">
        <f aca="false">IF('Price History'!A146="","",'Price History'!A146)</f>
        <v>46185</v>
      </c>
      <c r="B145" s="154" t="n">
        <f aca="false">IFERROR(IF(OR(NOT(ISNUMBER('Price History'!B146)),NOT(ISNUMBER('Price History'!B145)),'Price History'!B145=0),"",'Price History'!B146/'Price History'!B145-1),"")</f>
        <v>-0.188593700286351</v>
      </c>
      <c r="C145" s="154" t="n">
        <f aca="false">IFERROR(IF(OR(NOT(ISNUMBER('Price History'!C146)),NOT(ISNUMBER('Price History'!C145)),'Price History'!C145=0),"",'Price History'!C146/'Price History'!C145-1),"")</f>
        <v>0.0581448110455693</v>
      </c>
      <c r="D145" s="154" t="n">
        <f aca="false">IFERROR(IF(OR(NOT(ISNUMBER('Price History'!D146)),NOT(ISNUMBER('Price History'!D145)),'Price History'!D145=0),"",'Price History'!D146/'Price History'!D145-1),"")</f>
        <v>0.135104475427233</v>
      </c>
      <c r="E145" s="154" t="n">
        <f aca="false">IFERROR(IF(OR(NOT(ISNUMBER('Price History'!E146)),NOT(ISNUMBER('Price History'!E145)),'Price History'!E145=0),"",'Price History'!E146/'Price History'!E145-1),"")</f>
        <v>-0.00949482337027219</v>
      </c>
      <c r="F145" s="154" t="n">
        <f aca="false">IFERROR(IF(OR(NOT(ISNUMBER('Price History'!F146)),NOT(ISNUMBER('Price History'!F145)),'Price History'!F145=0),"",'Price History'!F146/'Price History'!F145-1),"")</f>
        <v>0.0175250357653791</v>
      </c>
      <c r="G145" s="154" t="n">
        <f aca="false">IFERROR(IF(OR(NOT(ISNUMBER('Price History'!G146)),NOT(ISNUMBER('Price History'!G145)),'Price History'!G145=0),"",'Price History'!G146/'Price History'!G145-1),"")</f>
        <v>0.319408406850026</v>
      </c>
      <c r="H145" s="154" t="n">
        <f aca="false">IFERROR(IF(OR(NOT(ISNUMBER('Price History'!H146)),NOT(ISNUMBER('Price History'!H145)),'Price History'!H145=0),"",'Price History'!H146/'Price History'!H145-1),"")</f>
        <v>0.136106866694448</v>
      </c>
      <c r="I145" s="154" t="n">
        <f aca="false">IFERROR(IF(OR(NOT(ISNUMBER('Price History'!I146)),NOT(ISNUMBER('Price History'!I145)),'Price History'!I145=0),"",'Price History'!I146/'Price History'!I145-1),"")</f>
        <v>0.000439302972616851</v>
      </c>
      <c r="J145" s="154" t="n">
        <f aca="false">IFERROR(IF(OR(NOT(ISNUMBER('Price History'!J146)),NOT(ISNUMBER('Price History'!J145)),'Price History'!J145=0),"",'Price History'!J146/'Price History'!J145-1),"")</f>
        <v>0.0290791599353795</v>
      </c>
      <c r="K145" s="154" t="n">
        <f aca="false">IFERROR(IF(OR(NOT(ISNUMBER('Price History'!K146)),NOT(ISNUMBER('Price History'!K145)),'Price History'!K145=0),"",'Price History'!K146/'Price History'!K145-1),"")</f>
        <v>-0.0556334390909762</v>
      </c>
      <c r="L145" s="154" t="n">
        <f aca="false">IFERROR(IF(OR(NOT(ISNUMBER('Price History'!L146)),NOT(ISNUMBER('Price History'!L145)),'Price History'!L145=0),"",'Price History'!L146/'Price History'!L145-1),"")</f>
        <v>0.0235057735602413</v>
      </c>
      <c r="M145" s="154" t="n">
        <f aca="false">IFERROR(IF(OR(NOT(ISNUMBER('Price History'!M146)),NOT(ISNUMBER('Price History'!M145)),'Price History'!M145=0),"",'Price History'!M146/'Price History'!M145-1),"")</f>
        <v>0.00785697639577854</v>
      </c>
      <c r="N145" s="154" t="n">
        <f aca="false">IFERROR(IF(OR(NOT(ISNUMBER('Price History'!N146)),NOT(ISNUMBER('Price History'!N145)),'Price History'!N145=0),"",'Price History'!N146/'Price History'!N145-1),"")</f>
        <v>-0.0042521764429424</v>
      </c>
      <c r="O145" s="154" t="n">
        <f aca="false">IFERROR(IF(OR(NOT(ISNUMBER('Price History'!O146)),NOT(ISNUMBER('Price History'!O145)),'Price History'!O145=0),"",'Price History'!O146/'Price History'!O145-1),"")</f>
        <v>0.0429040127870783</v>
      </c>
      <c r="P145" s="154" t="n">
        <f aca="false">IFERROR(IF(OR(NOT(ISNUMBER('Price History'!P146)),NOT(ISNUMBER('Price History'!P145)),'Price History'!P145=0),"",'Price History'!P146/'Price History'!P145-1),"")</f>
        <v>0.0221030604237511</v>
      </c>
      <c r="Q145" s="154" t="n">
        <f aca="false">IFERROR(IF(OR(NOT(ISNUMBER('Price History'!Q146)),NOT(ISNUMBER('Price History'!Q145)),'Price History'!Q145=0),"",'Price History'!Q146/'Price History'!Q145-1),"")</f>
        <v>0.000446894086101546</v>
      </c>
      <c r="R145" s="154" t="n">
        <f aca="false">IFERROR(IF(OR(NOT(ISNUMBER('Price History'!R146)),NOT(ISNUMBER('Price History'!R145)),'Price History'!R145=0),"",'Price History'!R146/'Price History'!R145-1),"")</f>
        <v>0.0163120567375887</v>
      </c>
      <c r="S145" s="154" t="n">
        <f aca="false">IFERROR(IF(OR(NOT(ISNUMBER('Price History'!S146)),NOT(ISNUMBER('Price History'!S145)),'Price History'!S145=0),"",'Price History'!S146/'Price History'!S145-1),"")</f>
        <v>0.0568766513697678</v>
      </c>
      <c r="T145" s="154" t="n">
        <f aca="false">IFERROR(IF(OR(NOT(ISNUMBER('Price History'!T146)),NOT(ISNUMBER('Price History'!T145)),'Price History'!T145=0),"",'Price History'!T146/'Price History'!T145-1),"")</f>
        <v>0.00610553859572605</v>
      </c>
      <c r="U145" s="154" t="n">
        <f aca="false">IFERROR(IF(OR(NOT(ISNUMBER('Price History'!U146)),NOT(ISNUMBER('Price History'!U145)),'Price History'!U145=0),"",'Price History'!U146/'Price History'!U145-1),"")</f>
        <v>0.0160427807486629</v>
      </c>
      <c r="V145" s="155" t="n">
        <f aca="false">IFERROR(IF(OR(NOT(ISNUMBER('Price History'!V146)),NOT(ISNUMBER('Price History'!V145)),'Price History'!V145=0),"",'Price History'!V146/'Price History'!V145-1),"")</f>
        <v>-0.00365359011672917</v>
      </c>
      <c r="W145" s="156" t="n">
        <f aca="false">IFERROR('Price History'!B3+(INDEX('Price History'!B:B,MATCH(9.99E+307,'Returns (Calc)'!$A:$A)+1)-'Price History'!B3)*(ROW()-3)/(MATCH(9.99E+307,'Returns (Calc)'!$A:$A)-3),"")</f>
        <v>267.178607594937</v>
      </c>
      <c r="X145" s="156" t="n">
        <f aca="false">IFERROR('Price History'!C3+(INDEX('Price History'!C:C,MATCH(9.99E+307,'Returns (Calc)'!$A:$A)+1)-'Price History'!C3)*(ROW()-3)/(MATCH(9.99E+307,'Returns (Calc)'!$A:$A)-3),"")</f>
        <v>191.028987341772</v>
      </c>
      <c r="Y145" s="156" t="n">
        <f aca="false">IFERROR('Price History'!D3+(INDEX('Price History'!D:D,MATCH(9.99E+307,'Returns (Calc)'!$A:$A)+1)-'Price History'!D3)*(ROW()-3)/(MATCH(9.99E+307,'Returns (Calc)'!$A:$A)-3),"")</f>
        <v>1737.15303797468</v>
      </c>
      <c r="Z145" s="156" t="n">
        <f aca="false">IFERROR('Price History'!E3+(INDEX('Price History'!E:E,MATCH(9.99E+307,'Returns (Calc)'!$A:$A)+1)-'Price History'!E3)*(ROW()-3)/(MATCH(9.99E+307,'Returns (Calc)'!$A:$A)-3),"")</f>
        <v>327.480253164557</v>
      </c>
      <c r="AA145" s="156" t="n">
        <f aca="false">IFERROR('Price History'!F3+(INDEX('Price History'!F:F,MATCH(9.99E+307,'Returns (Calc)'!$A:$A)+1)-'Price History'!F3)*(ROW()-3)/(MATCH(9.99E+307,'Returns (Calc)'!$A:$A)-3),"")</f>
        <v>246.88253164557</v>
      </c>
      <c r="AB145" s="156" t="n">
        <f aca="false">IFERROR('Price History'!G3+(INDEX('Price History'!G:G,MATCH(9.99E+307,'Returns (Calc)'!$A:$A)+1)-'Price History'!G3)*(ROW()-3)/(MATCH(9.99E+307,'Returns (Calc)'!$A:$A)-3),"")</f>
        <v>190.430253164557</v>
      </c>
      <c r="AC145" s="156" t="n">
        <f aca="false">IFERROR('Price History'!H3+(INDEX('Price History'!H:H,MATCH(9.99E+307,'Returns (Calc)'!$A:$A)+1)-'Price History'!H3)*(ROW()-3)/(MATCH(9.99E+307,'Returns (Calc)'!$A:$A)-3),"")</f>
        <v>973.038860759494</v>
      </c>
      <c r="AD145" s="156" t="n">
        <f aca="false">IFERROR('Price History'!I3+(INDEX('Price History'!I:I,MATCH(9.99E+307,'Returns (Calc)'!$A:$A)+1)-'Price History'!I3)*(ROW()-3)/(MATCH(9.99E+307,'Returns (Calc)'!$A:$A)-3),"")</f>
        <v>214.691265822785</v>
      </c>
      <c r="AE145" s="156" t="n">
        <f aca="false">IFERROR('Price History'!J3+(INDEX('Price History'!J:J,MATCH(9.99E+307,'Returns (Calc)'!$A:$A)+1)-'Price History'!J3)*(ROW()-3)/(MATCH(9.99E+307,'Returns (Calc)'!$A:$A)-3),"")</f>
        <v>127.181392405063</v>
      </c>
      <c r="AF145" s="156" t="n">
        <f aca="false">IFERROR('Price History'!K3+(INDEX('Price History'!K:K,MATCH(9.99E+307,'Returns (Calc)'!$A:$A)+1)-'Price History'!K3)*(ROW()-3)/(MATCH(9.99E+307,'Returns (Calc)'!$A:$A)-3),"")</f>
        <v>171.188481012658</v>
      </c>
      <c r="AG145" s="156" t="n">
        <f aca="false">IFERROR('Price History'!L3+(INDEX('Price History'!L:L,MATCH(9.99E+307,'Returns (Calc)'!$A:$A)+1)-'Price History'!L3)*(ROW()-3)/(MATCH(9.99E+307,'Returns (Calc)'!$A:$A)-3),"")</f>
        <v>433.587088607595</v>
      </c>
      <c r="AH145" s="156" t="n">
        <f aca="false">IFERROR('Price History'!M3+(INDEX('Price History'!M:M,MATCH(9.99E+307,'Returns (Calc)'!$A:$A)+1)-'Price History'!M3)*(ROW()-3)/(MATCH(9.99E+307,'Returns (Calc)'!$A:$A)-3),"")</f>
        <v>230.492911392405</v>
      </c>
      <c r="AI145" s="156" t="n">
        <f aca="false">IFERROR('Price History'!N3+(INDEX('Price History'!N:N,MATCH(9.99E+307,'Returns (Calc)'!$A:$A)+1)-'Price History'!N3)*(ROW()-3)/(MATCH(9.99E+307,'Returns (Calc)'!$A:$A)-3),"")</f>
        <v>488.949746835443</v>
      </c>
      <c r="AJ145" s="156" t="n">
        <f aca="false">IFERROR('Price History'!O3+(INDEX('Price History'!O:O,MATCH(9.99E+307,'Returns (Calc)'!$A:$A)+1)-'Price History'!O3)*(ROW()-3)/(MATCH(9.99E+307,'Returns (Calc)'!$A:$A)-3),"")</f>
        <v>115.501392405063</v>
      </c>
      <c r="AK145" s="156" t="n">
        <f aca="false">IFERROR('Price History'!Q3+(INDEX('Price History'!Q:Q,MATCH(9.99E+307,'Returns (Calc)'!$A:$A)+1)-'Price History'!Q3)*(ROW()-3)/(MATCH(9.99E+307,'Returns (Calc)'!$A:$A)-3),"")</f>
        <v>62.3901265822785</v>
      </c>
      <c r="AL145" s="156" t="n">
        <f aca="false">IFERROR('Price History'!R3+(INDEX('Price History'!R:R,MATCH(9.99E+307,'Returns (Calc)'!$A:$A)+1)-'Price History'!R3)*(ROW()-3)/(MATCH(9.99E+307,'Returns (Calc)'!$A:$A)-3),"")</f>
        <v>58.3503797468354</v>
      </c>
      <c r="AM145" s="156" t="n">
        <f aca="false">IFERROR('Price History'!S3+(INDEX('Price History'!S:S,MATCH(9.99E+307,'Returns (Calc)'!$A:$A)+1)-'Price History'!S3)*(ROW()-3)/(MATCH(9.99E+307,'Returns (Calc)'!$A:$A)-3),"")</f>
        <v>143.548987341772</v>
      </c>
      <c r="AN145" s="156" t="n">
        <f aca="false">IFERROR('Price History'!T3+(INDEX('Price History'!T:T,MATCH(9.99E+307,'Returns (Calc)'!$A:$A)+1)-'Price History'!T3)*(ROW()-3)/(MATCH(9.99E+307,'Returns (Calc)'!$A:$A)-3),"")</f>
        <v>49.1283544303797</v>
      </c>
      <c r="AO145" s="157" t="n">
        <f aca="false">IFERROR('Price History'!V3+(INDEX('Price History'!V:V,MATCH(9.99E+307,'Returns (Calc)'!$A:$A)+1)-'Price History'!V3)*(ROW()-3)/(MATCH(9.99E+307,'Returns (Calc)'!$A:$A)-3),"")</f>
        <v>347.998734177215</v>
      </c>
      <c r="AP145" s="155" t="n">
        <f aca="false">IFERROR(IF(OR(NOT(ISNUMBER('Price History'!W146)),NOT(ISNUMBER('Price History'!W145)),'Price History'!W145=0),"",'Price History'!W146/'Price History'!W145-1),"")</f>
        <v>0.0131713554987212</v>
      </c>
      <c r="AQ145" s="155" t="n">
        <f aca="false">IFERROR(IF(OR(NOT(ISNUMBER('Price History'!X146)),NOT(ISNUMBER('Price History'!X145)),'Price History'!X145=0),"",'Price History'!X146/'Price History'!X145-1),"")</f>
        <v>0.00638977635782734</v>
      </c>
      <c r="AR145" s="155" t="n">
        <f aca="false">IFERROR(IF(OR(NOT(ISNUMBER('Price History'!Y146)),NOT(ISNUMBER('Price History'!Y145)),'Price History'!Y145=0),"",'Price History'!Y146/'Price History'!Y145-1),"")</f>
        <v>0.0094269870609982</v>
      </c>
      <c r="AS145" s="155" t="n">
        <f aca="false">IFERROR(IF(OR(NOT(ISNUMBER('Price History'!Z146)),NOT(ISNUMBER('Price History'!Z145)),'Price History'!Z145=0),"",'Price History'!Z146/'Price History'!Z145-1),"")</f>
        <v>0.0222534265392718</v>
      </c>
      <c r="AT145" s="155" t="n">
        <f aca="false">IFERROR(IF(OR(NOT(ISNUMBER('Price History'!AA146)),NOT(ISNUMBER('Price History'!AA145)),'Price History'!AA145=0),"",'Price History'!AA146/'Price History'!AA145-1),"")</f>
        <v>-0.0223898758822099</v>
      </c>
      <c r="AU145" s="155" t="n">
        <f aca="false">IFERROR(IF(OR(NOT(ISNUMBER('Price History'!AB146)),NOT(ISNUMBER('Price History'!AB145)),'Price History'!AB145=0),"",'Price History'!AB146/'Price History'!AB145-1),"")</f>
        <v>-0.0757198308325128</v>
      </c>
    </row>
    <row r="146" customFormat="false" ht="15" hidden="false" customHeight="true" outlineLevel="0" collapsed="false">
      <c r="A146" s="153" t="n">
        <f aca="false">IF('Price History'!A147="","",'Price History'!A147)</f>
        <v>46192</v>
      </c>
      <c r="B146" s="154" t="n">
        <f aca="false">IFERROR(IF(OR(NOT(ISNUMBER('Price History'!B147)),NOT(ISNUMBER('Price History'!B146)),'Price History'!B146=0),"",'Price History'!B147/'Price History'!B146-1),"")</f>
        <v>-0.0434271149887266</v>
      </c>
      <c r="C146" s="154" t="n">
        <f aca="false">IFERROR(IF(OR(NOT(ISNUMBER('Price History'!C147)),NOT(ISNUMBER('Price History'!C146)),'Price History'!C146=0),"",'Price History'!C147/'Price History'!C146-1),"")</f>
        <v>0.0393898554275911</v>
      </c>
      <c r="D146" s="154" t="n">
        <f aca="false">IFERROR(IF(OR(NOT(ISNUMBER('Price History'!D147)),NOT(ISNUMBER('Price History'!D146)),'Price History'!D146=0),"",'Price History'!D147/'Price History'!D146-1),"")</f>
        <v>0.0354890013647549</v>
      </c>
      <c r="E146" s="154" t="n">
        <f aca="false">IFERROR(IF(OR(NOT(ISNUMBER('Price History'!E147)),NOT(ISNUMBER('Price History'!E146)),'Price History'!E146=0),"",'Price History'!E147/'Price History'!E146-1),"")</f>
        <v>0.0766341886178008</v>
      </c>
      <c r="F146" s="154" t="n">
        <f aca="false">IFERROR(IF(OR(NOT(ISNUMBER('Price History'!F147)),NOT(ISNUMBER('Price History'!F146)),'Price History'!F146=0),"",'Price History'!F147/'Price History'!F146-1),"")</f>
        <v>0.00298769771529006</v>
      </c>
      <c r="G146" s="154" t="n">
        <f aca="false">IFERROR(IF(OR(NOT(ISNUMBER('Price History'!G147)),NOT(ISNUMBER('Price History'!G146)),'Price History'!G146=0),"",'Price History'!G147/'Price History'!G146-1),"")</f>
        <v>0.0197443461160274</v>
      </c>
      <c r="H146" s="154" t="n">
        <f aca="false">IFERROR(IF(OR(NOT(ISNUMBER('Price History'!H147)),NOT(ISNUMBER('Price History'!H146)),'Price History'!H146=0),"",'Price History'!H147/'Price History'!H146-1),"")</f>
        <v>0.155238114645528</v>
      </c>
      <c r="I146" s="154" t="n">
        <f aca="false">IFERROR(IF(OR(NOT(ISNUMBER('Price History'!I147)),NOT(ISNUMBER('Price History'!I146)),'Price History'!I146=0),"",'Price History'!I147/'Price History'!I146-1),"")</f>
        <v>0.0267857142857142</v>
      </c>
      <c r="J146" s="154" t="n">
        <f aca="false">IFERROR(IF(OR(NOT(ISNUMBER('Price History'!J147)),NOT(ISNUMBER('Price History'!J146)),'Price History'!J146=0),"",'Price History'!J147/'Price History'!J146-1),"")</f>
        <v>-0.0483243464609924</v>
      </c>
      <c r="K146" s="154" t="n">
        <f aca="false">IFERROR(IF(OR(NOT(ISNUMBER('Price History'!K147)),NOT(ISNUMBER('Price History'!K146)),'Price History'!K146=0),"",'Price History'!K147/'Price History'!K146-1),"")</f>
        <v>0.00375029299163998</v>
      </c>
      <c r="L146" s="154" t="n">
        <f aca="false">IFERROR(IF(OR(NOT(ISNUMBER('Price History'!L147)),NOT(ISNUMBER('Price History'!L146)),'Price History'!L146=0),"",'Price History'!L147/'Price History'!L146-1),"")</f>
        <v>0.0900662251655628</v>
      </c>
      <c r="M146" s="154" t="n">
        <f aca="false">IFERROR(IF(OR(NOT(ISNUMBER('Price History'!M147)),NOT(ISNUMBER('Price History'!M146)),'Price History'!M146=0),"",'Price History'!M147/'Price History'!M146-1),"")</f>
        <v>0.0998909919730453</v>
      </c>
      <c r="N146" s="154" t="n">
        <f aca="false">IFERROR(IF(OR(NOT(ISNUMBER('Price History'!N147)),NOT(ISNUMBER('Price History'!N146)),'Price History'!N146=0),"",'Price History'!N147/'Price History'!N146-1),"")</f>
        <v>0.0150585485357246</v>
      </c>
      <c r="O146" s="154" t="n">
        <f aca="false">IFERROR(IF(OR(NOT(ISNUMBER('Price History'!O147)),NOT(ISNUMBER('Price History'!O146)),'Price History'!O146=0),"",'Price History'!O147/'Price History'!O146-1),"")</f>
        <v>-0.0191175284342987</v>
      </c>
      <c r="P146" s="154" t="n">
        <f aca="false">IFERROR(IF(OR(NOT(ISNUMBER('Price History'!P147)),NOT(ISNUMBER('Price History'!P146)),'Price History'!P146=0),"",'Price History'!P147/'Price History'!P146-1),"")</f>
        <v>-0.027191298784389</v>
      </c>
      <c r="Q146" s="154" t="n">
        <f aca="false">IFERROR(IF(OR(NOT(ISNUMBER('Price History'!Q147)),NOT(ISNUMBER('Price History'!Q146)),'Price History'!Q146=0),"",'Price History'!Q147/'Price History'!Q146-1),"")</f>
        <v>0.0083382966051222</v>
      </c>
      <c r="R146" s="154" t="n">
        <f aca="false">IFERROR(IF(OR(NOT(ISNUMBER('Price History'!R147)),NOT(ISNUMBER('Price History'!R146)),'Price History'!R146=0),"",'Price History'!R147/'Price History'!R146-1),"")</f>
        <v>0.0247732030704815</v>
      </c>
      <c r="S146" s="154" t="n">
        <f aca="false">IFERROR(IF(OR(NOT(ISNUMBER('Price History'!S147)),NOT(ISNUMBER('Price History'!S146)),'Price History'!S146=0),"",'Price History'!S147/'Price History'!S146-1),"")</f>
        <v>0.0486184210526315</v>
      </c>
      <c r="T146" s="154" t="n">
        <f aca="false">IFERROR(IF(OR(NOT(ISNUMBER('Price History'!T147)),NOT(ISNUMBER('Price History'!T146)),'Price History'!T146=0),"",'Price History'!T147/'Price History'!T146-1),"")</f>
        <v>-0.0223233636757694</v>
      </c>
      <c r="U146" s="154" t="n">
        <f aca="false">IFERROR(IF(OR(NOT(ISNUMBER('Price History'!U147)),NOT(ISNUMBER('Price History'!U146)),'Price History'!U146=0),"",'Price History'!U147/'Price History'!U146-1),"")</f>
        <v>-0.0291021671826625</v>
      </c>
      <c r="V146" s="155" t="n">
        <f aca="false">IFERROR(IF(OR(NOT(ISNUMBER('Price History'!V147)),NOT(ISNUMBER('Price History'!V146)),'Price History'!V146=0),"",'Price History'!V147/'Price History'!V146-1),"")</f>
        <v>0.0150408651605083</v>
      </c>
      <c r="W146" s="156" t="n">
        <f aca="false">IFERROR('Price History'!B3+(INDEX('Price History'!B:B,MATCH(9.99E+307,'Returns (Calc)'!$A:$A)+1)-'Price History'!B3)*(ROW()-3)/(MATCH(9.99E+307,'Returns (Calc)'!$A:$A)-3),"")</f>
        <v>265.335569620253</v>
      </c>
      <c r="X146" s="156" t="n">
        <f aca="false">IFERROR('Price History'!C3+(INDEX('Price History'!C:C,MATCH(9.99E+307,'Returns (Calc)'!$A:$A)+1)-'Price History'!C3)*(ROW()-3)/(MATCH(9.99E+307,'Returns (Calc)'!$A:$A)-3),"")</f>
        <v>192.049050632911</v>
      </c>
      <c r="Y146" s="156" t="n">
        <f aca="false">IFERROR('Price History'!D3+(INDEX('Price History'!D:D,MATCH(9.99E+307,'Returns (Calc)'!$A:$A)+1)-'Price History'!D3)*(ROW()-3)/(MATCH(9.99E+307,'Returns (Calc)'!$A:$A)-3),"")</f>
        <v>1745.28784810127</v>
      </c>
      <c r="Z146" s="156" t="n">
        <f aca="false">IFERROR('Price History'!E3+(INDEX('Price History'!E:E,MATCH(9.99E+307,'Returns (Calc)'!$A:$A)+1)-'Price History'!E3)*(ROW()-3)/(MATCH(9.99E+307,'Returns (Calc)'!$A:$A)-3),"")</f>
        <v>329.208987341772</v>
      </c>
      <c r="AA146" s="156" t="n">
        <f aca="false">IFERROR('Price History'!F3+(INDEX('Price History'!F:F,MATCH(9.99E+307,'Returns (Calc)'!$A:$A)+1)-'Price History'!F3)*(ROW()-3)/(MATCH(9.99E+307,'Returns (Calc)'!$A:$A)-3),"")</f>
        <v>248.329873417722</v>
      </c>
      <c r="AB146" s="156" t="n">
        <f aca="false">IFERROR('Price History'!G3+(INDEX('Price History'!G:G,MATCH(9.99E+307,'Returns (Calc)'!$A:$A)+1)-'Price History'!G3)*(ROW()-3)/(MATCH(9.99E+307,'Returns (Calc)'!$A:$A)-3),"")</f>
        <v>191.458987341772</v>
      </c>
      <c r="AC146" s="156" t="n">
        <f aca="false">IFERROR('Price History'!H3+(INDEX('Price History'!H:H,MATCH(9.99E+307,'Returns (Calc)'!$A:$A)+1)-'Price History'!H3)*(ROW()-3)/(MATCH(9.99E+307,'Returns (Calc)'!$A:$A)-3),"")</f>
        <v>979.404556962025</v>
      </c>
      <c r="AD146" s="156" t="n">
        <f aca="false">IFERROR('Price History'!I3+(INDEX('Price History'!I:I,MATCH(9.99E+307,'Returns (Calc)'!$A:$A)+1)-'Price History'!I3)*(ROW()-3)/(MATCH(9.99E+307,'Returns (Calc)'!$A:$A)-3),"")</f>
        <v>215.894936708861</v>
      </c>
      <c r="AE146" s="156" t="n">
        <f aca="false">IFERROR('Price History'!J3+(INDEX('Price History'!J:J,MATCH(9.99E+307,'Returns (Calc)'!$A:$A)+1)-'Price History'!J3)*(ROW()-3)/(MATCH(9.99E+307,'Returns (Calc)'!$A:$A)-3),"")</f>
        <v>127.289430379747</v>
      </c>
      <c r="AF146" s="156" t="n">
        <f aca="false">IFERROR('Price History'!K3+(INDEX('Price History'!K:K,MATCH(9.99E+307,'Returns (Calc)'!$A:$A)+1)-'Price History'!K3)*(ROW()-3)/(MATCH(9.99E+307,'Returns (Calc)'!$A:$A)-3),"")</f>
        <v>172.286075949367</v>
      </c>
      <c r="AG146" s="156" t="n">
        <f aca="false">IFERROR('Price History'!L3+(INDEX('Price History'!L:L,MATCH(9.99E+307,'Returns (Calc)'!$A:$A)+1)-'Price History'!L3)*(ROW()-3)/(MATCH(9.99E+307,'Returns (Calc)'!$A:$A)-3),"")</f>
        <v>436.03664556962</v>
      </c>
      <c r="AH146" s="156" t="n">
        <f aca="false">IFERROR('Price History'!M3+(INDEX('Price History'!M:M,MATCH(9.99E+307,'Returns (Calc)'!$A:$A)+1)-'Price History'!M3)*(ROW()-3)/(MATCH(9.99E+307,'Returns (Calc)'!$A:$A)-3),"")</f>
        <v>231.84835443038</v>
      </c>
      <c r="AI146" s="156" t="n">
        <f aca="false">IFERROR('Price History'!N3+(INDEX('Price History'!N:N,MATCH(9.99E+307,'Returns (Calc)'!$A:$A)+1)-'Price History'!N3)*(ROW()-3)/(MATCH(9.99E+307,'Returns (Calc)'!$A:$A)-3),"")</f>
        <v>489.936012658228</v>
      </c>
      <c r="AJ146" s="156" t="n">
        <f aca="false">IFERROR('Price History'!O3+(INDEX('Price History'!O:O,MATCH(9.99E+307,'Returns (Calc)'!$A:$A)+1)-'Price History'!O3)*(ROW()-3)/(MATCH(9.99E+307,'Returns (Calc)'!$A:$A)-3),"")</f>
        <v>115.784430379747</v>
      </c>
      <c r="AK146" s="156" t="n">
        <f aca="false">IFERROR('Price History'!Q3+(INDEX('Price History'!Q:Q,MATCH(9.99E+307,'Returns (Calc)'!$A:$A)+1)-'Price History'!Q3)*(ROW()-3)/(MATCH(9.99E+307,'Returns (Calc)'!$A:$A)-3),"")</f>
        <v>62.8294936708861</v>
      </c>
      <c r="AL146" s="156" t="n">
        <f aca="false">IFERROR('Price History'!R3+(INDEX('Price History'!R:R,MATCH(9.99E+307,'Returns (Calc)'!$A:$A)+1)-'Price History'!R3)*(ROW()-3)/(MATCH(9.99E+307,'Returns (Calc)'!$A:$A)-3),"")</f>
        <v>58.5184810126582</v>
      </c>
      <c r="AM146" s="156" t="n">
        <f aca="false">IFERROR('Price History'!S3+(INDEX('Price History'!S:S,MATCH(9.99E+307,'Returns (Calc)'!$A:$A)+1)-'Price History'!S3)*(ROW()-3)/(MATCH(9.99E+307,'Returns (Calc)'!$A:$A)-3),"")</f>
        <v>144.154050632911</v>
      </c>
      <c r="AN146" s="156" t="n">
        <f aca="false">IFERROR('Price History'!T3+(INDEX('Price History'!T:T,MATCH(9.99E+307,'Returns (Calc)'!$A:$A)+1)-'Price History'!T3)*(ROW()-3)/(MATCH(9.99E+307,'Returns (Calc)'!$A:$A)-3),"")</f>
        <v>49.296582278481</v>
      </c>
      <c r="AO146" s="157" t="n">
        <f aca="false">IFERROR('Price History'!V3+(INDEX('Price History'!V:V,MATCH(9.99E+307,'Returns (Calc)'!$A:$A)+1)-'Price History'!V3)*(ROW()-3)/(MATCH(9.99E+307,'Returns (Calc)'!$A:$A)-3),"")</f>
        <v>348.790063291139</v>
      </c>
      <c r="AP146" s="155" t="n">
        <f aca="false">IFERROR(IF(OR(NOT(ISNUMBER('Price History'!W147)),NOT(ISNUMBER('Price History'!W146)),'Price History'!W146=0),"",'Price History'!W147/'Price History'!W146-1),"")</f>
        <v>-0.00706802978669696</v>
      </c>
      <c r="AQ146" s="155" t="n">
        <f aca="false">IFERROR(IF(OR(NOT(ISNUMBER('Price History'!X147)),NOT(ISNUMBER('Price History'!X146)),'Price History'!X146=0),"",'Price History'!X147/'Price History'!X146-1),"")</f>
        <v>-0.0220354808590103</v>
      </c>
      <c r="AR146" s="155" t="n">
        <f aca="false">IFERROR(IF(OR(NOT(ISNUMBER('Price History'!Y147)),NOT(ISNUMBER('Price History'!Y146)),'Price History'!Y146=0),"",'Price History'!Y147/'Price History'!Y146-1),"")</f>
        <v>0.00109869987181832</v>
      </c>
      <c r="AS146" s="155" t="n">
        <f aca="false">IFERROR(IF(OR(NOT(ISNUMBER('Price History'!Z147)),NOT(ISNUMBER('Price History'!Z146)),'Price History'!Z146=0),"",'Price History'!Z147/'Price History'!Z146-1),"")</f>
        <v>0.0666208791208791</v>
      </c>
      <c r="AT146" s="155" t="n">
        <f aca="false">IFERROR(IF(OR(NOT(ISNUMBER('Price History'!AA147)),NOT(ISNUMBER('Price History'!AA146)),'Price History'!AA146=0),"",'Price History'!AA147/'Price History'!AA146-1),"")</f>
        <v>-0.0368434154841922</v>
      </c>
      <c r="AU146" s="155" t="n">
        <f aca="false">IFERROR(IF(OR(NOT(ISNUMBER('Price History'!AB147)),NOT(ISNUMBER('Price History'!AB146)),'Price History'!AB146=0),"",'Price History'!AB147/'Price History'!AB146-1),"")</f>
        <v>-0.0391124482888303</v>
      </c>
    </row>
    <row r="147" customFormat="false" ht="15" hidden="false" customHeight="true" outlineLevel="0" collapsed="false">
      <c r="A147" s="153" t="n">
        <f aca="false">IF('Price History'!A148="","",'Price History'!A148)</f>
        <v>46199</v>
      </c>
      <c r="B147" s="154" t="n">
        <f aca="false">IFERROR(IF(OR(NOT(ISNUMBER('Price History'!B148)),NOT(ISNUMBER('Price History'!B147)),'Price History'!B147=0),"",'Price History'!B148/'Price History'!B147-1),"")</f>
        <v>0.0387886862061897</v>
      </c>
      <c r="C147" s="154" t="n">
        <f aca="false">IFERROR(IF(OR(NOT(ISNUMBER('Price History'!C148)),NOT(ISNUMBER('Price History'!C147)),'Price History'!C147=0),"",'Price History'!C148/'Price History'!C147-1),"")</f>
        <v>-0.0711380915895562</v>
      </c>
      <c r="D147" s="154" t="n">
        <f aca="false">IFERROR(IF(OR(NOT(ISNUMBER('Price History'!D148)),NOT(ISNUMBER('Price History'!D147)),'Price History'!D147=0),"",'Price History'!D148/'Price History'!D147-1),"")</f>
        <v>-0.0699930987603714</v>
      </c>
      <c r="E147" s="154" t="n">
        <f aca="false">IFERROR(IF(OR(NOT(ISNUMBER('Price History'!E148)),NOT(ISNUMBER('Price History'!E147)),'Price History'!E147=0),"",'Price History'!E148/'Price History'!E147-1),"")</f>
        <v>-0.111208683985852</v>
      </c>
      <c r="F147" s="154" t="n">
        <f aca="false">IFERROR(IF(OR(NOT(ISNUMBER('Price History'!F148)),NOT(ISNUMBER('Price History'!F147)),'Price History'!F147=0),"",'Price History'!F148/'Price History'!F147-1),"")</f>
        <v>0.0237135681327025</v>
      </c>
      <c r="G147" s="154" t="n">
        <f aca="false">IFERROR(IF(OR(NOT(ISNUMBER('Price History'!G148)),NOT(ISNUMBER('Price History'!G147)),'Price History'!G147=0),"",'Price History'!G148/'Price History'!G147-1),"")</f>
        <v>-0.0420796852701816</v>
      </c>
      <c r="H147" s="154" t="n">
        <f aca="false">IFERROR(IF(OR(NOT(ISNUMBER('Price History'!H148)),NOT(ISNUMBER('Price History'!H147)),'Price History'!H147=0),"",'Price History'!H148/'Price History'!H147-1),"")</f>
        <v>-0.00146407719038277</v>
      </c>
      <c r="I147" s="154" t="n">
        <f aca="false">IFERROR(IF(OR(NOT(ISNUMBER('Price History'!I148)),NOT(ISNUMBER('Price History'!I147)),'Price History'!I147=0),"",'Price History'!I148/'Price History'!I147-1),"")</f>
        <v>-0.0861962461392254</v>
      </c>
      <c r="J147" s="154" t="n">
        <f aca="false">IFERROR(IF(OR(NOT(ISNUMBER('Price History'!J148)),NOT(ISNUMBER('Price History'!J147)),'Price History'!J147=0),"",'Price History'!J148/'Price History'!J147-1),"")</f>
        <v>-0.00401635229147246</v>
      </c>
      <c r="K147" s="154" t="n">
        <f aca="false">IFERROR(IF(OR(NOT(ISNUMBER('Price History'!K148)),NOT(ISNUMBER('Price History'!K147)),'Price History'!K147=0),"",'Price History'!K148/'Price History'!K147-1),"")</f>
        <v>-0.120962092317273</v>
      </c>
      <c r="L147" s="154" t="n">
        <f aca="false">IFERROR(IF(OR(NOT(ISNUMBER('Price History'!L148)),NOT(ISNUMBER('Price History'!L147)),'Price History'!L147=0),"",'Price History'!L148/'Price History'!L147-1),"")</f>
        <v>-0.0644202395417463</v>
      </c>
      <c r="M147" s="154" t="n">
        <f aca="false">IFERROR(IF(OR(NOT(ISNUMBER('Price History'!M148)),NOT(ISNUMBER('Price History'!M147)),'Price History'!M147=0),"",'Price History'!M148/'Price History'!M147-1),"")</f>
        <v>-0.0873652280986276</v>
      </c>
      <c r="N147" s="154" t="n">
        <f aca="false">IFERROR(IF(OR(NOT(ISNUMBER('Price History'!N148)),NOT(ISNUMBER('Price History'!N147)),'Price History'!N147=0),"",'Price History'!N148/'Price History'!N147-1),"")</f>
        <v>0.0879259570887674</v>
      </c>
      <c r="O147" s="154" t="n">
        <f aca="false">IFERROR(IF(OR(NOT(ISNUMBER('Price History'!O148)),NOT(ISNUMBER('Price History'!O147)),'Price History'!O147=0),"",'Price History'!O148/'Price History'!O147-1),"")</f>
        <v>0.0240953947368421</v>
      </c>
      <c r="P147" s="154" t="n">
        <f aca="false">IFERROR(IF(OR(NOT(ISNUMBER('Price History'!P148)),NOT(ISNUMBER('Price History'!P147)),'Price History'!P147=0),"",'Price History'!P148/'Price History'!P147-1),"")</f>
        <v>0.0317000986517593</v>
      </c>
      <c r="Q147" s="154" t="n">
        <f aca="false">IFERROR(IF(OR(NOT(ISNUMBER('Price History'!Q148)),NOT(ISNUMBER('Price History'!Q147)),'Price History'!Q147=0),"",'Price History'!Q148/'Price History'!Q147-1),"")</f>
        <v>-0.0107796810395748</v>
      </c>
      <c r="R147" s="154" t="n">
        <f aca="false">IFERROR(IF(OR(NOT(ISNUMBER('Price History'!R148)),NOT(ISNUMBER('Price History'!R147)),'Price History'!R147=0),"",'Price History'!R148/'Price History'!R147-1),"")</f>
        <v>-0.031324480762683</v>
      </c>
      <c r="S147" s="154" t="n">
        <f aca="false">IFERROR(IF(OR(NOT(ISNUMBER('Price History'!S148)),NOT(ISNUMBER('Price History'!S147)),'Price History'!S147=0),"",'Price History'!S148/'Price History'!S147-1),"")</f>
        <v>-0.0341301210866428</v>
      </c>
      <c r="T147" s="154" t="n">
        <f aca="false">IFERROR(IF(OR(NOT(ISNUMBER('Price History'!T148)),NOT(ISNUMBER('Price History'!T147)),'Price History'!T147=0),"",'Price History'!T148/'Price History'!T147-1),"")</f>
        <v>0.0206162713367324</v>
      </c>
      <c r="U147" s="154" t="n">
        <f aca="false">IFERROR(IF(OR(NOT(ISNUMBER('Price History'!U148)),NOT(ISNUMBER('Price History'!U147)),'Price History'!U147=0),"",'Price History'!U148/'Price History'!U147-1),"")</f>
        <v>0.0153061224489797</v>
      </c>
      <c r="V147" s="155" t="n">
        <f aca="false">IFERROR(IF(OR(NOT(ISNUMBER('Price History'!V148)),NOT(ISNUMBER('Price History'!V147)),'Price History'!V147=0),"",'Price History'!V148/'Price History'!V147-1),"")</f>
        <v>0.0274928818540858</v>
      </c>
      <c r="W147" s="156" t="n">
        <f aca="false">IFERROR('Price History'!B3+(INDEX('Price History'!B:B,MATCH(9.99E+307,'Returns (Calc)'!$A:$A)+1)-'Price History'!B3)*(ROW()-3)/(MATCH(9.99E+307,'Returns (Calc)'!$A:$A)-3),"")</f>
        <v>263.49253164557</v>
      </c>
      <c r="X147" s="156" t="n">
        <f aca="false">IFERROR('Price History'!C3+(INDEX('Price History'!C:C,MATCH(9.99E+307,'Returns (Calc)'!$A:$A)+1)-'Price History'!C3)*(ROW()-3)/(MATCH(9.99E+307,'Returns (Calc)'!$A:$A)-3),"")</f>
        <v>193.069113924051</v>
      </c>
      <c r="Y147" s="156" t="n">
        <f aca="false">IFERROR('Price History'!D3+(INDEX('Price History'!D:D,MATCH(9.99E+307,'Returns (Calc)'!$A:$A)+1)-'Price History'!D3)*(ROW()-3)/(MATCH(9.99E+307,'Returns (Calc)'!$A:$A)-3),"")</f>
        <v>1753.42265822785</v>
      </c>
      <c r="Z147" s="156" t="n">
        <f aca="false">IFERROR('Price History'!E3+(INDEX('Price History'!E:E,MATCH(9.99E+307,'Returns (Calc)'!$A:$A)+1)-'Price History'!E3)*(ROW()-3)/(MATCH(9.99E+307,'Returns (Calc)'!$A:$A)-3),"")</f>
        <v>330.937721518987</v>
      </c>
      <c r="AA147" s="156" t="n">
        <f aca="false">IFERROR('Price History'!F3+(INDEX('Price History'!F:F,MATCH(9.99E+307,'Returns (Calc)'!$A:$A)+1)-'Price History'!F3)*(ROW()-3)/(MATCH(9.99E+307,'Returns (Calc)'!$A:$A)-3),"")</f>
        <v>249.777215189873</v>
      </c>
      <c r="AB147" s="156" t="n">
        <f aca="false">IFERROR('Price History'!G3+(INDEX('Price History'!G:G,MATCH(9.99E+307,'Returns (Calc)'!$A:$A)+1)-'Price History'!G3)*(ROW()-3)/(MATCH(9.99E+307,'Returns (Calc)'!$A:$A)-3),"")</f>
        <v>192.487721518987</v>
      </c>
      <c r="AC147" s="156" t="n">
        <f aca="false">IFERROR('Price History'!H3+(INDEX('Price History'!H:H,MATCH(9.99E+307,'Returns (Calc)'!$A:$A)+1)-'Price History'!H3)*(ROW()-3)/(MATCH(9.99E+307,'Returns (Calc)'!$A:$A)-3),"")</f>
        <v>985.770253164557</v>
      </c>
      <c r="AD147" s="156" t="n">
        <f aca="false">IFERROR('Price History'!I3+(INDEX('Price History'!I:I,MATCH(9.99E+307,'Returns (Calc)'!$A:$A)+1)-'Price History'!I3)*(ROW()-3)/(MATCH(9.99E+307,'Returns (Calc)'!$A:$A)-3),"")</f>
        <v>217.098607594937</v>
      </c>
      <c r="AE147" s="156" t="n">
        <f aca="false">IFERROR('Price History'!J3+(INDEX('Price History'!J:J,MATCH(9.99E+307,'Returns (Calc)'!$A:$A)+1)-'Price History'!J3)*(ROW()-3)/(MATCH(9.99E+307,'Returns (Calc)'!$A:$A)-3),"")</f>
        <v>127.39746835443</v>
      </c>
      <c r="AF147" s="156" t="n">
        <f aca="false">IFERROR('Price History'!K3+(INDEX('Price History'!K:K,MATCH(9.99E+307,'Returns (Calc)'!$A:$A)+1)-'Price History'!K3)*(ROW()-3)/(MATCH(9.99E+307,'Returns (Calc)'!$A:$A)-3),"")</f>
        <v>173.383670886076</v>
      </c>
      <c r="AG147" s="156" t="n">
        <f aca="false">IFERROR('Price History'!L3+(INDEX('Price History'!L:L,MATCH(9.99E+307,'Returns (Calc)'!$A:$A)+1)-'Price History'!L3)*(ROW()-3)/(MATCH(9.99E+307,'Returns (Calc)'!$A:$A)-3),"")</f>
        <v>438.486202531646</v>
      </c>
      <c r="AH147" s="156" t="n">
        <f aca="false">IFERROR('Price History'!M3+(INDEX('Price History'!M:M,MATCH(9.99E+307,'Returns (Calc)'!$A:$A)+1)-'Price History'!M3)*(ROW()-3)/(MATCH(9.99E+307,'Returns (Calc)'!$A:$A)-3),"")</f>
        <v>233.203797468354</v>
      </c>
      <c r="AI147" s="156" t="n">
        <f aca="false">IFERROR('Price History'!N3+(INDEX('Price History'!N:N,MATCH(9.99E+307,'Returns (Calc)'!$A:$A)+1)-'Price History'!N3)*(ROW()-3)/(MATCH(9.99E+307,'Returns (Calc)'!$A:$A)-3),"")</f>
        <v>490.922278481013</v>
      </c>
      <c r="AJ147" s="156" t="n">
        <f aca="false">IFERROR('Price History'!O3+(INDEX('Price History'!O:O,MATCH(9.99E+307,'Returns (Calc)'!$A:$A)+1)-'Price History'!O3)*(ROW()-3)/(MATCH(9.99E+307,'Returns (Calc)'!$A:$A)-3),"")</f>
        <v>116.06746835443</v>
      </c>
      <c r="AK147" s="156" t="n">
        <f aca="false">IFERROR('Price History'!Q3+(INDEX('Price History'!Q:Q,MATCH(9.99E+307,'Returns (Calc)'!$A:$A)+1)-'Price History'!Q3)*(ROW()-3)/(MATCH(9.99E+307,'Returns (Calc)'!$A:$A)-3),"")</f>
        <v>63.2688607594937</v>
      </c>
      <c r="AL147" s="156" t="n">
        <f aca="false">IFERROR('Price History'!R3+(INDEX('Price History'!R:R,MATCH(9.99E+307,'Returns (Calc)'!$A:$A)+1)-'Price History'!R3)*(ROW()-3)/(MATCH(9.99E+307,'Returns (Calc)'!$A:$A)-3),"")</f>
        <v>58.686582278481</v>
      </c>
      <c r="AM147" s="156" t="n">
        <f aca="false">IFERROR('Price History'!S3+(INDEX('Price History'!S:S,MATCH(9.99E+307,'Returns (Calc)'!$A:$A)+1)-'Price History'!S3)*(ROW()-3)/(MATCH(9.99E+307,'Returns (Calc)'!$A:$A)-3),"")</f>
        <v>144.759113924051</v>
      </c>
      <c r="AN147" s="156" t="n">
        <f aca="false">IFERROR('Price History'!T3+(INDEX('Price History'!T:T,MATCH(9.99E+307,'Returns (Calc)'!$A:$A)+1)-'Price History'!T3)*(ROW()-3)/(MATCH(9.99E+307,'Returns (Calc)'!$A:$A)-3),"")</f>
        <v>49.4648101265823</v>
      </c>
      <c r="AO147" s="157" t="n">
        <f aca="false">IFERROR('Price History'!V3+(INDEX('Price History'!V:V,MATCH(9.99E+307,'Returns (Calc)'!$A:$A)+1)-'Price History'!V3)*(ROW()-3)/(MATCH(9.99E+307,'Returns (Calc)'!$A:$A)-3),"")</f>
        <v>349.581392405063</v>
      </c>
      <c r="AP147" s="155" t="n">
        <f aca="false">IFERROR(IF(OR(NOT(ISNUMBER('Price History'!W148)),NOT(ISNUMBER('Price History'!W147)),'Price History'!W147=0),"",'Price History'!W148/'Price History'!W147-1),"")</f>
        <v>6.35566289564071E-005</v>
      </c>
      <c r="AQ147" s="155" t="n">
        <f aca="false">IFERROR(IF(OR(NOT(ISNUMBER('Price History'!X148)),NOT(ISNUMBER('Price History'!X147)),'Price History'!X147=0),"",'Price History'!X148/'Price History'!X147-1),"")</f>
        <v>0.0330341798739737</v>
      </c>
      <c r="AR147" s="155" t="n">
        <f aca="false">IFERROR(IF(OR(NOT(ISNUMBER('Price History'!Y148)),NOT(ISNUMBER('Price History'!Y147)),'Price History'!Y147=0),"",'Price History'!Y148/'Price History'!Y147-1),"")</f>
        <v>0.0010974940552404</v>
      </c>
      <c r="AS147" s="155" t="n">
        <f aca="false">IFERROR(IF(OR(NOT(ISNUMBER('Price History'!Z148)),NOT(ISNUMBER('Price History'!Z147)),'Price History'!Z147=0),"",'Price History'!Z148/'Price History'!Z147-1),"")</f>
        <v>0.0317758055936617</v>
      </c>
      <c r="AT147" s="155" t="n">
        <f aca="false">IFERROR(IF(OR(NOT(ISNUMBER('Price History'!AA148)),NOT(ISNUMBER('Price History'!AA147)),'Price History'!AA147=0),"",'Price History'!AA148/'Price History'!AA147-1),"")</f>
        <v>-0.0461359524424915</v>
      </c>
      <c r="AU147" s="155" t="n">
        <f aca="false">IFERROR(IF(OR(NOT(ISNUMBER('Price History'!AB148)),NOT(ISNUMBER('Price History'!AB147)),'Price History'!AB147=0),"",'Price History'!AB148/'Price History'!AB147-1),"")</f>
        <v>0.117808219178082</v>
      </c>
    </row>
    <row r="148" customFormat="false" ht="15" hidden="false" customHeight="true" outlineLevel="0" collapsed="false">
      <c r="A148" s="153" t="n">
        <f aca="false">IF('Price History'!A149="","",'Price History'!A149)</f>
        <v>46206</v>
      </c>
      <c r="B148" s="154" t="n">
        <f aca="false">IFERROR(IF(OR(NOT(ISNUMBER('Price History'!B149)),NOT(ISNUMBER('Price History'!B148)),'Price History'!B148=0),"",'Price History'!B149/'Price History'!B148-1),"")</f>
        <v>0.0838060474522764</v>
      </c>
      <c r="C148" s="154" t="n">
        <f aca="false">IFERROR(IF(OR(NOT(ISNUMBER('Price History'!C149)),NOT(ISNUMBER('Price History'!C148)),'Price History'!C148=0),"",'Price History'!C149/'Price History'!C148-1),"")</f>
        <v>0.0151649746192895</v>
      </c>
      <c r="D148" s="154" t="n">
        <f aca="false">IFERROR(IF(OR(NOT(ISNUMBER('Price History'!D149)),NOT(ISNUMBER('Price History'!D148)),'Price History'!D148=0),"",'Price History'!D149/'Price History'!D148-1),"")</f>
        <v>-0.0140992021424985</v>
      </c>
      <c r="E148" s="154" t="n">
        <f aca="false">IFERROR(IF(OR(NOT(ISNUMBER('Price History'!E149)),NOT(ISNUMBER('Price History'!E148)),'Price History'!E148=0),"",'Price History'!E149/'Price History'!E148-1),"")</f>
        <v>-0.012542540344714</v>
      </c>
      <c r="F148" s="154" t="n">
        <f aca="false">IFERROR(IF(OR(NOT(ISNUMBER('Price History'!F149)),NOT(ISNUMBER('Price History'!F148)),'Price History'!F148=0),"",'Price History'!F149/'Price History'!F148-1),"")</f>
        <v>0.106749586352485</v>
      </c>
      <c r="G148" s="154" t="n">
        <f aca="false">IFERROR(IF(OR(NOT(ISNUMBER('Price History'!G149)),NOT(ISNUMBER('Price History'!G148)),'Price History'!G148=0),"",'Price History'!G149/'Price History'!G148-1),"")</f>
        <v>-0.0526654855854405</v>
      </c>
      <c r="H148" s="154" t="n">
        <f aca="false">IFERROR(IF(OR(NOT(ISNUMBER('Price History'!H149)),NOT(ISNUMBER('Price History'!H148)),'Price History'!H148=0),"",'Price History'!H149/'Price History'!H148-1),"")</f>
        <v>-0.138452162238553</v>
      </c>
      <c r="I148" s="154" t="n">
        <f aca="false">IFERROR(IF(OR(NOT(ISNUMBER('Price History'!I149)),NOT(ISNUMBER('Price History'!I148)),'Price History'!I148=0),"",'Price History'!I149/'Price History'!I148-1),"")</f>
        <v>0.0119598564817223</v>
      </c>
      <c r="J148" s="154" t="n">
        <f aca="false">IFERROR(IF(OR(NOT(ISNUMBER('Price History'!J149)),NOT(ISNUMBER('Price History'!J148)),'Price History'!J148=0),"",'Price History'!J149/'Price History'!J148-1),"")</f>
        <v>-0.00388852883992219</v>
      </c>
      <c r="K148" s="154" t="n">
        <f aca="false">IFERROR(IF(OR(NOT(ISNUMBER('Price History'!K149)),NOT(ISNUMBER('Price History'!K148)),'Price History'!K148=0),"",'Price History'!K149/'Price History'!K148-1),"")</f>
        <v>0.144957053041707</v>
      </c>
      <c r="L148" s="154" t="n">
        <f aca="false">IFERROR(IF(OR(NOT(ISNUMBER('Price History'!L149)),NOT(ISNUMBER('Price History'!L148)),'Price History'!L148=0),"",'Price History'!L149/'Price History'!L148-1),"")</f>
        <v>0.0041976854750807</v>
      </c>
      <c r="M148" s="154" t="n">
        <f aca="false">IFERROR(IF(OR(NOT(ISNUMBER('Price History'!M149)),NOT(ISNUMBER('Price History'!M148)),'Price History'!M148=0),"",'Price History'!M149/'Price History'!M148-1),"")</f>
        <v>-0.0112544425431091</v>
      </c>
      <c r="N148" s="154" t="n">
        <f aca="false">IFERROR(IF(OR(NOT(ISNUMBER('Price History'!N149)),NOT(ISNUMBER('Price History'!N148)),'Price History'!N148=0),"",'Price History'!N149/'Price History'!N148-1),"")</f>
        <v>0.074693694793829</v>
      </c>
      <c r="O148" s="154" t="n">
        <f aca="false">IFERROR(IF(OR(NOT(ISNUMBER('Price History'!O149)),NOT(ISNUMBER('Price History'!O148)),'Price History'!O148=0),"",'Price History'!O149/'Price History'!O148-1),"")</f>
        <v>-0.0114028748092829</v>
      </c>
      <c r="P148" s="154" t="n">
        <f aca="false">IFERROR(IF(OR(NOT(ISNUMBER('Price History'!P149)),NOT(ISNUMBER('Price History'!P148)),'Price History'!P148=0),"",'Price History'!P149/'Price History'!P148-1),"")</f>
        <v>0.00580098170459609</v>
      </c>
      <c r="Q148" s="154" t="n">
        <f aca="false">IFERROR(IF(OR(NOT(ISNUMBER('Price History'!Q149)),NOT(ISNUMBER('Price History'!Q148)),'Price History'!Q148=0),"",'Price History'!Q149/'Price History'!Q148-1),"")</f>
        <v>0.007613076578594</v>
      </c>
      <c r="R148" s="154" t="n">
        <f aca="false">IFERROR(IF(OR(NOT(ISNUMBER('Price History'!R149)),NOT(ISNUMBER('Price History'!R148)),'Price History'!R148=0),"",'Price History'!R149/'Price History'!R148-1),"")</f>
        <v>0.0100175746924429</v>
      </c>
      <c r="S148" s="154" t="n">
        <f aca="false">IFERROR(IF(OR(NOT(ISNUMBER('Price History'!S149)),NOT(ISNUMBER('Price History'!S148)),'Price History'!S148=0),"",'Price History'!S149/'Price History'!S148-1),"")</f>
        <v>-0.0218902240987332</v>
      </c>
      <c r="T148" s="154" t="n">
        <f aca="false">IFERROR(IF(OR(NOT(ISNUMBER('Price History'!T149)),NOT(ISNUMBER('Price History'!T148)),'Price History'!T148=0),"",'Price History'!T149/'Price History'!T148-1),"")</f>
        <v>0.0175933970460469</v>
      </c>
      <c r="U148" s="154" t="n">
        <f aca="false">IFERROR(IF(OR(NOT(ISNUMBER('Price History'!U149)),NOT(ISNUMBER('Price History'!U148)),'Price History'!U148=0),"",'Price History'!U149/'Price History'!U148-1),"")</f>
        <v>0.00910804020100509</v>
      </c>
      <c r="V148" s="155" t="n">
        <f aca="false">IFERROR(IF(OR(NOT(ISNUMBER('Price History'!V149)),NOT(ISNUMBER('Price History'!V148)),'Price History'!V148=0),"",'Price History'!V149/'Price History'!V148-1),"")</f>
        <v>0.0770239265814485</v>
      </c>
      <c r="W148" s="156" t="n">
        <f aca="false">IFERROR('Price History'!B3+(INDEX('Price History'!B:B,MATCH(9.99E+307,'Returns (Calc)'!$A:$A)+1)-'Price History'!B3)*(ROW()-3)/(MATCH(9.99E+307,'Returns (Calc)'!$A:$A)-3),"")</f>
        <v>261.649493670886</v>
      </c>
      <c r="X148" s="156" t="n">
        <f aca="false">IFERROR('Price History'!C3+(INDEX('Price History'!C:C,MATCH(9.99E+307,'Returns (Calc)'!$A:$A)+1)-'Price History'!C3)*(ROW()-3)/(MATCH(9.99E+307,'Returns (Calc)'!$A:$A)-3),"")</f>
        <v>194.08917721519</v>
      </c>
      <c r="Y148" s="156" t="n">
        <f aca="false">IFERROR('Price History'!D3+(INDEX('Price History'!D:D,MATCH(9.99E+307,'Returns (Calc)'!$A:$A)+1)-'Price History'!D3)*(ROW()-3)/(MATCH(9.99E+307,'Returns (Calc)'!$A:$A)-3),"")</f>
        <v>1761.55746835443</v>
      </c>
      <c r="Z148" s="156" t="n">
        <f aca="false">IFERROR('Price History'!E3+(INDEX('Price History'!E:E,MATCH(9.99E+307,'Returns (Calc)'!$A:$A)+1)-'Price History'!E3)*(ROW()-3)/(MATCH(9.99E+307,'Returns (Calc)'!$A:$A)-3),"")</f>
        <v>332.666455696203</v>
      </c>
      <c r="AA148" s="156" t="n">
        <f aca="false">IFERROR('Price History'!F3+(INDEX('Price History'!F:F,MATCH(9.99E+307,'Returns (Calc)'!$A:$A)+1)-'Price History'!F3)*(ROW()-3)/(MATCH(9.99E+307,'Returns (Calc)'!$A:$A)-3),"")</f>
        <v>251.224556962025</v>
      </c>
      <c r="AB148" s="156" t="n">
        <f aca="false">IFERROR('Price History'!G3+(INDEX('Price History'!G:G,MATCH(9.99E+307,'Returns (Calc)'!$A:$A)+1)-'Price History'!G3)*(ROW()-3)/(MATCH(9.99E+307,'Returns (Calc)'!$A:$A)-3),"")</f>
        <v>193.516455696203</v>
      </c>
      <c r="AC148" s="156" t="n">
        <f aca="false">IFERROR('Price History'!H3+(INDEX('Price History'!H:H,MATCH(9.99E+307,'Returns (Calc)'!$A:$A)+1)-'Price History'!H3)*(ROW()-3)/(MATCH(9.99E+307,'Returns (Calc)'!$A:$A)-3),"")</f>
        <v>992.135949367089</v>
      </c>
      <c r="AD148" s="156" t="n">
        <f aca="false">IFERROR('Price History'!I3+(INDEX('Price History'!I:I,MATCH(9.99E+307,'Returns (Calc)'!$A:$A)+1)-'Price History'!I3)*(ROW()-3)/(MATCH(9.99E+307,'Returns (Calc)'!$A:$A)-3),"")</f>
        <v>218.302278481013</v>
      </c>
      <c r="AE148" s="156" t="n">
        <f aca="false">IFERROR('Price History'!J3+(INDEX('Price History'!J:J,MATCH(9.99E+307,'Returns (Calc)'!$A:$A)+1)-'Price History'!J3)*(ROW()-3)/(MATCH(9.99E+307,'Returns (Calc)'!$A:$A)-3),"")</f>
        <v>127.505506329114</v>
      </c>
      <c r="AF148" s="156" t="n">
        <f aca="false">IFERROR('Price History'!K3+(INDEX('Price History'!K:K,MATCH(9.99E+307,'Returns (Calc)'!$A:$A)+1)-'Price History'!K3)*(ROW()-3)/(MATCH(9.99E+307,'Returns (Calc)'!$A:$A)-3),"")</f>
        <v>174.481265822785</v>
      </c>
      <c r="AG148" s="156" t="n">
        <f aca="false">IFERROR('Price History'!L3+(INDEX('Price History'!L:L,MATCH(9.99E+307,'Returns (Calc)'!$A:$A)+1)-'Price History'!L3)*(ROW()-3)/(MATCH(9.99E+307,'Returns (Calc)'!$A:$A)-3),"")</f>
        <v>440.935759493671</v>
      </c>
      <c r="AH148" s="156" t="n">
        <f aca="false">IFERROR('Price History'!M3+(INDEX('Price History'!M:M,MATCH(9.99E+307,'Returns (Calc)'!$A:$A)+1)-'Price History'!M3)*(ROW()-3)/(MATCH(9.99E+307,'Returns (Calc)'!$A:$A)-3),"")</f>
        <v>234.559240506329</v>
      </c>
      <c r="AI148" s="156" t="n">
        <f aca="false">IFERROR('Price History'!N3+(INDEX('Price History'!N:N,MATCH(9.99E+307,'Returns (Calc)'!$A:$A)+1)-'Price History'!N3)*(ROW()-3)/(MATCH(9.99E+307,'Returns (Calc)'!$A:$A)-3),"")</f>
        <v>491.908544303798</v>
      </c>
      <c r="AJ148" s="156" t="n">
        <f aca="false">IFERROR('Price History'!O3+(INDEX('Price History'!O:O,MATCH(9.99E+307,'Returns (Calc)'!$A:$A)+1)-'Price History'!O3)*(ROW()-3)/(MATCH(9.99E+307,'Returns (Calc)'!$A:$A)-3),"")</f>
        <v>116.350506329114</v>
      </c>
      <c r="AK148" s="156" t="n">
        <f aca="false">IFERROR('Price History'!Q3+(INDEX('Price History'!Q:Q,MATCH(9.99E+307,'Returns (Calc)'!$A:$A)+1)-'Price History'!Q3)*(ROW()-3)/(MATCH(9.99E+307,'Returns (Calc)'!$A:$A)-3),"")</f>
        <v>63.7082278481013</v>
      </c>
      <c r="AL148" s="156" t="n">
        <f aca="false">IFERROR('Price History'!R3+(INDEX('Price History'!R:R,MATCH(9.99E+307,'Returns (Calc)'!$A:$A)+1)-'Price History'!R3)*(ROW()-3)/(MATCH(9.99E+307,'Returns (Calc)'!$A:$A)-3),"")</f>
        <v>58.8546835443038</v>
      </c>
      <c r="AM148" s="156" t="n">
        <f aca="false">IFERROR('Price History'!S3+(INDEX('Price History'!S:S,MATCH(9.99E+307,'Returns (Calc)'!$A:$A)+1)-'Price History'!S3)*(ROW()-3)/(MATCH(9.99E+307,'Returns (Calc)'!$A:$A)-3),"")</f>
        <v>145.36417721519</v>
      </c>
      <c r="AN148" s="156" t="n">
        <f aca="false">IFERROR('Price History'!T3+(INDEX('Price History'!T:T,MATCH(9.99E+307,'Returns (Calc)'!$A:$A)+1)-'Price History'!T3)*(ROW()-3)/(MATCH(9.99E+307,'Returns (Calc)'!$A:$A)-3),"")</f>
        <v>49.6330379746835</v>
      </c>
      <c r="AO148" s="157" t="n">
        <f aca="false">IFERROR('Price History'!V3+(INDEX('Price History'!V:V,MATCH(9.99E+307,'Returns (Calc)'!$A:$A)+1)-'Price History'!V3)*(ROW()-3)/(MATCH(9.99E+307,'Returns (Calc)'!$A:$A)-3),"")</f>
        <v>350.372721518987</v>
      </c>
      <c r="AP148" s="155" t="n">
        <f aca="false">IFERROR(IF(OR(NOT(ISNUMBER('Price History'!W149)),NOT(ISNUMBER('Price History'!W148)),'Price History'!W148=0),"",'Price History'!W149/'Price History'!W148-1),"")</f>
        <v>0.00794407372100414</v>
      </c>
      <c r="AQ148" s="155" t="n">
        <f aca="false">IFERROR(IF(OR(NOT(ISNUMBER('Price History'!X149)),NOT(ISNUMBER('Price History'!X148)),'Price History'!X148=0),"",'Price History'!X149/'Price History'!X148-1),"")</f>
        <v>-0.0181146025878004</v>
      </c>
      <c r="AR148" s="155" t="n">
        <f aca="false">IFERROR(IF(OR(NOT(ISNUMBER('Price History'!Y149)),NOT(ISNUMBER('Price History'!Y148)),'Price History'!Y148=0),"",'Price History'!Y149/'Price History'!Y148-1),"")</f>
        <v>0.0166270783847982</v>
      </c>
      <c r="AS148" s="155" t="n">
        <f aca="false">IFERROR(IF(OR(NOT(ISNUMBER('Price History'!Z149)),NOT(ISNUMBER('Price History'!Z148)),'Price History'!Z148=0),"",'Price History'!Z149/'Price History'!Z148-1),"")</f>
        <v>0.0230911162967384</v>
      </c>
      <c r="AT148" s="155" t="n">
        <f aca="false">IFERROR(IF(OR(NOT(ISNUMBER('Price History'!AA149)),NOT(ISNUMBER('Price History'!AA148)),'Price History'!AA148=0),"",'Price History'!AA149/'Price History'!AA148-1),"")</f>
        <v>0.0520254708034142</v>
      </c>
      <c r="AU148" s="155" t="n">
        <f aca="false">IFERROR(IF(OR(NOT(ISNUMBER('Price History'!AB149)),NOT(ISNUMBER('Price History'!AB148)),'Price History'!AB148=0),"",'Price History'!AB149/'Price History'!AB148-1),"")</f>
        <v>0.124766573295985</v>
      </c>
    </row>
    <row r="149" customFormat="false" ht="15" hidden="false" customHeight="true" outlineLevel="0" collapsed="false">
      <c r="A149" s="153" t="n">
        <f aca="false">IF('Price History'!A150="","",'Price History'!A150)</f>
        <v>46213</v>
      </c>
      <c r="B149" s="154" t="n">
        <f aca="false">IFERROR(IF(OR(NOT(ISNUMBER('Price History'!B150)),NOT(ISNUMBER('Price History'!B149)),'Price History'!B149=0),"",'Price History'!B150/'Price History'!B149-1),"")</f>
        <v>0.0178408884034225</v>
      </c>
      <c r="C149" s="154" t="n">
        <f aca="false">IFERROR(IF(OR(NOT(ISNUMBER('Price History'!C150)),NOT(ISNUMBER('Price History'!C149)),'Price History'!C149=0),"",'Price History'!C150/'Price History'!C149-1),"")</f>
        <v>0.168573035814738</v>
      </c>
      <c r="D149" s="154" t="n">
        <f aca="false">IFERROR(IF(OR(NOT(ISNUMBER('Price History'!D150)),NOT(ISNUMBER('Price History'!D149)),'Price History'!D149=0),"",'Price History'!D150/'Price History'!D149-1),"")</f>
        <v>0.015828820110581</v>
      </c>
      <c r="E149" s="154" t="n">
        <f aca="false">IFERROR(IF(OR(NOT(ISNUMBER('Price History'!E150)),NOT(ISNUMBER('Price History'!E149)),'Price History'!E149=0),"",'Price History'!E150/'Price History'!E149-1),"")</f>
        <v>0.109647294254982</v>
      </c>
      <c r="F149" s="154" t="n">
        <f aca="false">IFERROR(IF(OR(NOT(ISNUMBER('Price History'!F150)),NOT(ISNUMBER('Price History'!F149)),'Price History'!F149=0),"",'Price History'!F150/'Price History'!F149-1),"")</f>
        <v>-0.0350551603258067</v>
      </c>
      <c r="G149" s="154" t="n">
        <f aca="false">IFERROR(IF(OR(NOT(ISNUMBER('Price History'!G150)),NOT(ISNUMBER('Price History'!G149)),'Price History'!G149=0),"",'Price History'!G150/'Price History'!G149-1),"")</f>
        <v>-0.0170860251615097</v>
      </c>
      <c r="H149" s="154" t="n">
        <f aca="false">IFERROR(IF(OR(NOT(ISNUMBER('Price History'!H150)),NOT(ISNUMBER('Price History'!H149)),'Price History'!H149=0),"",'Price History'!H150/'Price History'!H149-1),"")</f>
        <v>0.00398806655662742</v>
      </c>
      <c r="I149" s="154" t="n">
        <f aca="false">IFERROR(IF(OR(NOT(ISNUMBER('Price History'!I150)),NOT(ISNUMBER('Price History'!I149)),'Price History'!I149=0),"",'Price History'!I150/'Price History'!I149-1),"")</f>
        <v>0.0827809465084013</v>
      </c>
      <c r="J149" s="154" t="n">
        <f aca="false">IFERROR(IF(OR(NOT(ISNUMBER('Price History'!J150)),NOT(ISNUMBER('Price History'!J149)),'Price History'!J149=0),"",'Price History'!J150/'Price History'!J149-1),"")</f>
        <v>0.0103375984963492</v>
      </c>
      <c r="K149" s="154" t="n">
        <f aca="false">IFERROR(IF(OR(NOT(ISNUMBER('Price History'!K150)),NOT(ISNUMBER('Price History'!K149)),'Price History'!K149=0),"",'Price History'!K150/'Price History'!K149-1),"")</f>
        <v>-0.0194122196442382</v>
      </c>
      <c r="L149" s="154" t="n">
        <f aca="false">IFERROR(IF(OR(NOT(ISNUMBER('Price History'!L150)),NOT(ISNUMBER('Price History'!L149)),'Price History'!L149=0),"",'Price History'!L150/'Price History'!L149-1),"")</f>
        <v>-0.000115473441108627</v>
      </c>
      <c r="M149" s="154" t="n">
        <f aca="false">IFERROR(IF(OR(NOT(ISNUMBER('Price History'!M150)),NOT(ISNUMBER('Price History'!M149)),'Price History'!M149=0),"",'Price History'!M150/'Price History'!M149-1),"")</f>
        <v>0.0609731744658191</v>
      </c>
      <c r="N149" s="154" t="n">
        <f aca="false">IFERROR(IF(OR(NOT(ISNUMBER('Price History'!N150)),NOT(ISNUMBER('Price History'!N149)),'Price History'!N149=0),"",'Price History'!N150/'Price History'!N149-1),"")</f>
        <v>-0.0807703961821074</v>
      </c>
      <c r="O149" s="154" t="n">
        <f aca="false">IFERROR(IF(OR(NOT(ISNUMBER('Price History'!O150)),NOT(ISNUMBER('Price History'!O149)),'Price History'!O149=0),"",'Price History'!O150/'Price History'!O149-1),"")</f>
        <v>0.00357403947689061</v>
      </c>
      <c r="P149" s="154" t="n">
        <f aca="false">IFERROR(IF(OR(NOT(ISNUMBER('Price History'!P150)),NOT(ISNUMBER('Price History'!P149)),'Price History'!P149=0),"",'Price History'!P150/'Price History'!P149-1),"")</f>
        <v>0.00234503739383962</v>
      </c>
      <c r="Q149" s="154" t="n">
        <f aca="false">IFERROR(IF(OR(NOT(ISNUMBER('Price History'!Q150)),NOT(ISNUMBER('Price History'!Q149)),'Price History'!Q149=0),"",'Price History'!Q150/'Price History'!Q149-1),"")</f>
        <v>0.0109629629629628</v>
      </c>
      <c r="R149" s="154" t="n">
        <f aca="false">IFERROR(IF(OR(NOT(ISNUMBER('Price History'!R150)),NOT(ISNUMBER('Price History'!R149)),'Price History'!R149=0),"",'Price History'!R150/'Price History'!R149-1),"")</f>
        <v>0.0187924134330955</v>
      </c>
      <c r="S149" s="154" t="n">
        <f aca="false">IFERROR(IF(OR(NOT(ISNUMBER('Price History'!S150)),NOT(ISNUMBER('Price History'!S149)),'Price History'!S149=0),"",'Price History'!S150/'Price History'!S149-1),"")</f>
        <v>0.0193916854827998</v>
      </c>
      <c r="T149" s="154" t="n">
        <f aca="false">IFERROR(IF(OR(NOT(ISNUMBER('Price History'!T150)),NOT(ISNUMBER('Price History'!T149)),'Price History'!T149=0),"",'Price History'!T150/'Price History'!T149-1),"")</f>
        <v>0.0089647812166489</v>
      </c>
      <c r="U149" s="154" t="n">
        <f aca="false">IFERROR(IF(OR(NOT(ISNUMBER('Price History'!U150)),NOT(ISNUMBER('Price History'!U149)),'Price History'!U149=0),"",'Price History'!U150/'Price History'!U149-1),"")</f>
        <v>0.000311235605353177</v>
      </c>
      <c r="V149" s="155" t="n">
        <f aca="false">IFERROR(IF(OR(NOT(ISNUMBER('Price History'!V150)),NOT(ISNUMBER('Price History'!V149)),'Price History'!V149=0),"",'Price History'!V150/'Price History'!V149-1),"")</f>
        <v>-0.0363525701322415</v>
      </c>
      <c r="W149" s="156" t="n">
        <f aca="false">IFERROR('Price History'!B3+(INDEX('Price History'!B:B,MATCH(9.99E+307,'Returns (Calc)'!$A:$A)+1)-'Price History'!B3)*(ROW()-3)/(MATCH(9.99E+307,'Returns (Calc)'!$A:$A)-3),"")</f>
        <v>259.806455696203</v>
      </c>
      <c r="X149" s="156" t="n">
        <f aca="false">IFERROR('Price History'!C3+(INDEX('Price History'!C:C,MATCH(9.99E+307,'Returns (Calc)'!$A:$A)+1)-'Price History'!C3)*(ROW()-3)/(MATCH(9.99E+307,'Returns (Calc)'!$A:$A)-3),"")</f>
        <v>195.109240506329</v>
      </c>
      <c r="Y149" s="156" t="n">
        <f aca="false">IFERROR('Price History'!D3+(INDEX('Price History'!D:D,MATCH(9.99E+307,'Returns (Calc)'!$A:$A)+1)-'Price History'!D3)*(ROW()-3)/(MATCH(9.99E+307,'Returns (Calc)'!$A:$A)-3),"")</f>
        <v>1769.69227848101</v>
      </c>
      <c r="Z149" s="156" t="n">
        <f aca="false">IFERROR('Price History'!E3+(INDEX('Price History'!E:E,MATCH(9.99E+307,'Returns (Calc)'!$A:$A)+1)-'Price History'!E3)*(ROW()-3)/(MATCH(9.99E+307,'Returns (Calc)'!$A:$A)-3),"")</f>
        <v>334.395189873418</v>
      </c>
      <c r="AA149" s="156" t="n">
        <f aca="false">IFERROR('Price History'!F3+(INDEX('Price History'!F:F,MATCH(9.99E+307,'Returns (Calc)'!$A:$A)+1)-'Price History'!F3)*(ROW()-3)/(MATCH(9.99E+307,'Returns (Calc)'!$A:$A)-3),"")</f>
        <v>252.671898734177</v>
      </c>
      <c r="AB149" s="156" t="n">
        <f aca="false">IFERROR('Price History'!G3+(INDEX('Price History'!G:G,MATCH(9.99E+307,'Returns (Calc)'!$A:$A)+1)-'Price History'!G3)*(ROW()-3)/(MATCH(9.99E+307,'Returns (Calc)'!$A:$A)-3),"")</f>
        <v>194.545189873418</v>
      </c>
      <c r="AC149" s="156" t="n">
        <f aca="false">IFERROR('Price History'!H3+(INDEX('Price History'!H:H,MATCH(9.99E+307,'Returns (Calc)'!$A:$A)+1)-'Price History'!H3)*(ROW()-3)/(MATCH(9.99E+307,'Returns (Calc)'!$A:$A)-3),"")</f>
        <v>998.50164556962</v>
      </c>
      <c r="AD149" s="156" t="n">
        <f aca="false">IFERROR('Price History'!I3+(INDEX('Price History'!I:I,MATCH(9.99E+307,'Returns (Calc)'!$A:$A)+1)-'Price History'!I3)*(ROW()-3)/(MATCH(9.99E+307,'Returns (Calc)'!$A:$A)-3),"")</f>
        <v>219.505949367089</v>
      </c>
      <c r="AE149" s="156" t="n">
        <f aca="false">IFERROR('Price History'!J3+(INDEX('Price History'!J:J,MATCH(9.99E+307,'Returns (Calc)'!$A:$A)+1)-'Price History'!J3)*(ROW()-3)/(MATCH(9.99E+307,'Returns (Calc)'!$A:$A)-3),"")</f>
        <v>127.613544303797</v>
      </c>
      <c r="AF149" s="156" t="n">
        <f aca="false">IFERROR('Price History'!K3+(INDEX('Price History'!K:K,MATCH(9.99E+307,'Returns (Calc)'!$A:$A)+1)-'Price History'!K3)*(ROW()-3)/(MATCH(9.99E+307,'Returns (Calc)'!$A:$A)-3),"")</f>
        <v>175.578860759494</v>
      </c>
      <c r="AG149" s="156" t="n">
        <f aca="false">IFERROR('Price History'!L3+(INDEX('Price History'!L:L,MATCH(9.99E+307,'Returns (Calc)'!$A:$A)+1)-'Price History'!L3)*(ROW()-3)/(MATCH(9.99E+307,'Returns (Calc)'!$A:$A)-3),"")</f>
        <v>443.385316455696</v>
      </c>
      <c r="AH149" s="156" t="n">
        <f aca="false">IFERROR('Price History'!M3+(INDEX('Price History'!M:M,MATCH(9.99E+307,'Returns (Calc)'!$A:$A)+1)-'Price History'!M3)*(ROW()-3)/(MATCH(9.99E+307,'Returns (Calc)'!$A:$A)-3),"")</f>
        <v>235.914683544304</v>
      </c>
      <c r="AI149" s="156" t="n">
        <f aca="false">IFERROR('Price History'!N3+(INDEX('Price History'!N:N,MATCH(9.99E+307,'Returns (Calc)'!$A:$A)+1)-'Price History'!N3)*(ROW()-3)/(MATCH(9.99E+307,'Returns (Calc)'!$A:$A)-3),"")</f>
        <v>492.894810126582</v>
      </c>
      <c r="AJ149" s="156" t="n">
        <f aca="false">IFERROR('Price History'!O3+(INDEX('Price History'!O:O,MATCH(9.99E+307,'Returns (Calc)'!$A:$A)+1)-'Price History'!O3)*(ROW()-3)/(MATCH(9.99E+307,'Returns (Calc)'!$A:$A)-3),"")</f>
        <v>116.633544303797</v>
      </c>
      <c r="AK149" s="156" t="n">
        <f aca="false">IFERROR('Price History'!Q3+(INDEX('Price History'!Q:Q,MATCH(9.99E+307,'Returns (Calc)'!$A:$A)+1)-'Price History'!Q3)*(ROW()-3)/(MATCH(9.99E+307,'Returns (Calc)'!$A:$A)-3),"")</f>
        <v>64.1475949367089</v>
      </c>
      <c r="AL149" s="156" t="n">
        <f aca="false">IFERROR('Price History'!R3+(INDEX('Price History'!R:R,MATCH(9.99E+307,'Returns (Calc)'!$A:$A)+1)-'Price History'!R3)*(ROW()-3)/(MATCH(9.99E+307,'Returns (Calc)'!$A:$A)-3),"")</f>
        <v>59.0227848101266</v>
      </c>
      <c r="AM149" s="156" t="n">
        <f aca="false">IFERROR('Price History'!S3+(INDEX('Price History'!S:S,MATCH(9.99E+307,'Returns (Calc)'!$A:$A)+1)-'Price History'!S3)*(ROW()-3)/(MATCH(9.99E+307,'Returns (Calc)'!$A:$A)-3),"")</f>
        <v>145.969240506329</v>
      </c>
      <c r="AN149" s="156" t="n">
        <f aca="false">IFERROR('Price History'!T3+(INDEX('Price History'!T:T,MATCH(9.99E+307,'Returns (Calc)'!$A:$A)+1)-'Price History'!T3)*(ROW()-3)/(MATCH(9.99E+307,'Returns (Calc)'!$A:$A)-3),"")</f>
        <v>49.8012658227848</v>
      </c>
      <c r="AO149" s="157" t="n">
        <f aca="false">IFERROR('Price History'!V3+(INDEX('Price History'!V:V,MATCH(9.99E+307,'Returns (Calc)'!$A:$A)+1)-'Price History'!V3)*(ROW()-3)/(MATCH(9.99E+307,'Returns (Calc)'!$A:$A)-3),"")</f>
        <v>351.164050632911</v>
      </c>
      <c r="AP149" s="155" t="n">
        <f aca="false">IFERROR(IF(OR(NOT(ISNUMBER('Price History'!W150)),NOT(ISNUMBER('Price History'!W149)),'Price History'!W149=0),"",'Price History'!W150/'Price History'!W149-1),"")</f>
        <v>0.00989911727616644</v>
      </c>
      <c r="AQ149" s="155" t="n">
        <f aca="false">IFERROR(IF(OR(NOT(ISNUMBER('Price History'!X150)),NOT(ISNUMBER('Price History'!X149)),'Price History'!X149=0),"",'Price History'!X150/'Price History'!X149-1),"")</f>
        <v>0.00790662650602414</v>
      </c>
      <c r="AR149" s="155" t="n">
        <f aca="false">IFERROR(IF(OR(NOT(ISNUMBER('Price History'!Y150)),NOT(ISNUMBER('Price History'!Y149)),'Price History'!Y149=0),"",'Price History'!Y150/'Price History'!Y149-1),"")</f>
        <v>0.000898634076204052</v>
      </c>
      <c r="AS149" s="155" t="n">
        <f aca="false">IFERROR(IF(OR(NOT(ISNUMBER('Price History'!Z150)),NOT(ISNUMBER('Price History'!Z149)),'Price History'!Z149=0),"",'Price History'!Z150/'Price History'!Z149-1),"")</f>
        <v>-0.0471555496618487</v>
      </c>
      <c r="AT149" s="155" t="n">
        <f aca="false">IFERROR(IF(OR(NOT(ISNUMBER('Price History'!AA150)),NOT(ISNUMBER('Price History'!AA149)),'Price History'!AA149=0),"",'Price History'!AA150/'Price History'!AA149-1),"")</f>
        <v>-0.0551191242755956</v>
      </c>
      <c r="AU149" s="155" t="n">
        <f aca="false">IFERROR(IF(OR(NOT(ISNUMBER('Price History'!AB150)),NOT(ISNUMBER('Price History'!AB149)),'Price History'!AB149=0),"",'Price History'!AB150/'Price History'!AB149-1),"")</f>
        <v>-0.0135934419425132</v>
      </c>
    </row>
    <row r="150" customFormat="false" ht="15" hidden="false" customHeight="true" outlineLevel="0" collapsed="false">
      <c r="A150" s="153" t="n">
        <f aca="false">IF('Price History'!A151="","",'Price History'!A151)</f>
        <v>46220</v>
      </c>
      <c r="B150" s="154" t="n">
        <f aca="false">IFERROR(IF(OR(NOT(ISNUMBER('Price History'!B151)),NOT(ISNUMBER('Price History'!B150)),'Price History'!B150=0),"",'Price History'!B151/'Price History'!B150-1),"")</f>
        <v>0.0608567340368449</v>
      </c>
      <c r="C150" s="154" t="n">
        <f aca="false">IFERROR(IF(OR(NOT(ISNUMBER('Price History'!C151)),NOT(ISNUMBER('Price History'!C150)),'Price History'!C150=0),"",'Price History'!C151/'Price History'!C150-1),"")</f>
        <v>-0.0981493367565254</v>
      </c>
      <c r="D150" s="154" t="n">
        <f aca="false">IFERROR(IF(OR(NOT(ISNUMBER('Price History'!D151)),NOT(ISNUMBER('Price History'!D150)),'Price History'!D150=0),"",'Price History'!D151/'Price History'!D150-1),"")</f>
        <v>-0.0276768802228413</v>
      </c>
      <c r="E150" s="154" t="n">
        <f aca="false">IFERROR(IF(OR(NOT(ISNUMBER('Price History'!E151)),NOT(ISNUMBER('Price History'!E150)),'Price History'!E150=0),"",'Price History'!E151/'Price History'!E150-1),"")</f>
        <v>-0.0728383929465984</v>
      </c>
      <c r="F150" s="154" t="n">
        <f aca="false">IFERROR(IF(OR(NOT(ISNUMBER('Price History'!F151)),NOT(ISNUMBER('Price History'!F150)),'Price History'!F150=0),"",'Price History'!F151/'Price History'!F150-1),"")</f>
        <v>0.0849449727534994</v>
      </c>
      <c r="G150" s="154" t="n">
        <f aca="false">IFERROR(IF(OR(NOT(ISNUMBER('Price History'!G151)),NOT(ISNUMBER('Price History'!G150)),'Price History'!G150=0),"",'Price History'!G151/'Price History'!G150-1),"")</f>
        <v>-0.0810775750237828</v>
      </c>
      <c r="H150" s="154" t="n">
        <f aca="false">IFERROR(IF(OR(NOT(ISNUMBER('Price History'!H151)),NOT(ISNUMBER('Price History'!H150)),'Price History'!H150=0),"",'Price History'!H151/'Price History'!H150-1),"")</f>
        <v>-0.133105279281119</v>
      </c>
      <c r="I150" s="154" t="n">
        <f aca="false">IFERROR(IF(OR(NOT(ISNUMBER('Price History'!I151)),NOT(ISNUMBER('Price History'!I150)),'Price History'!I150=0),"",'Price History'!I151/'Price History'!I150-1),"")</f>
        <v>-0.0386294608959756</v>
      </c>
      <c r="J150" s="154" t="n">
        <f aca="false">IFERROR(IF(OR(NOT(ISNUMBER('Price History'!J151)),NOT(ISNUMBER('Price History'!J150)),'Price History'!J150=0),"",'Price History'!J151/'Price History'!J150-1),"")</f>
        <v>0.0633228391528335</v>
      </c>
      <c r="K150" s="154" t="n">
        <f aca="false">IFERROR(IF(OR(NOT(ISNUMBER('Price History'!K151)),NOT(ISNUMBER('Price History'!K150)),'Price History'!K150=0),"",'Price History'!K151/'Price History'!K150-1),"")</f>
        <v>0.0440886505244893</v>
      </c>
      <c r="L150" s="154" t="n">
        <f aca="false">IFERROR(IF(OR(NOT(ISNUMBER('Price History'!L151)),NOT(ISNUMBER('Price History'!L150)),'Price History'!L150=0),"",'Price History'!L151/'Price History'!L150-1),"")</f>
        <v>-0.0823420718327751</v>
      </c>
      <c r="M150" s="154" t="n">
        <f aca="false">IFERROR(IF(OR(NOT(ISNUMBER('Price History'!M151)),NOT(ISNUMBER('Price History'!M150)),'Price History'!M150=0),"",'Price History'!M151/'Price History'!M150-1),"")</f>
        <v>-0.0918815484032874</v>
      </c>
      <c r="N150" s="154" t="n">
        <f aca="false">IFERROR(IF(OR(NOT(ISNUMBER('Price History'!N151)),NOT(ISNUMBER('Price History'!N150)),'Price History'!N150=0),"",'Price History'!N151/'Price History'!N150-1),"")</f>
        <v>0.000535651743958532</v>
      </c>
      <c r="O150" s="154" t="n">
        <f aca="false">IFERROR(IF(OR(NOT(ISNUMBER('Price History'!O151)),NOT(ISNUMBER('Price History'!O150)),'Price History'!O150=0),"",'Price History'!O151/'Price History'!O150-1),"")</f>
        <v>0.0112505058680696</v>
      </c>
      <c r="P150" s="154" t="n">
        <f aca="false">IFERROR(IF(OR(NOT(ISNUMBER('Price History'!P151)),NOT(ISNUMBER('Price History'!P150)),'Price History'!P150=0),"",'Price History'!P151/'Price History'!P150-1),"")</f>
        <v>0.01492254189061</v>
      </c>
      <c r="Q150" s="154" t="n">
        <f aca="false">IFERROR(IF(OR(NOT(ISNUMBER('Price History'!Q151)),NOT(ISNUMBER('Price History'!Q150)),'Price History'!Q150=0),"",'Price History'!Q151/'Price History'!Q150-1),"")</f>
        <v>-0.00923212192262601</v>
      </c>
      <c r="R150" s="154" t="n">
        <f aca="false">IFERROR(IF(OR(NOT(ISNUMBER('Price History'!R151)),NOT(ISNUMBER('Price History'!R150)),'Price History'!R150=0),"",'Price History'!R151/'Price History'!R150-1),"")</f>
        <v>-0.0329632792485055</v>
      </c>
      <c r="S150" s="154" t="n">
        <f aca="false">IFERROR(IF(OR(NOT(ISNUMBER('Price History'!S151)),NOT(ISNUMBER('Price History'!S150)),'Price History'!S150=0),"",'Price History'!S151/'Price History'!S150-1),"")</f>
        <v>-0.0641042345276873</v>
      </c>
      <c r="T150" s="154" t="n">
        <f aca="false">IFERROR(IF(OR(NOT(ISNUMBER('Price History'!T151)),NOT(ISNUMBER('Price History'!T150)),'Price History'!T150=0),"",'Price History'!T151/'Price History'!T150-1),"")</f>
        <v>0.00867357732176854</v>
      </c>
      <c r="U150" s="154" t="n">
        <f aca="false">IFERROR(IF(OR(NOT(ISNUMBER('Price History'!U151)),NOT(ISNUMBER('Price History'!U150)),'Price History'!U150=0),"",'Price History'!U151/'Price History'!U150-1),"")</f>
        <v>0.0158680771624145</v>
      </c>
      <c r="V150" s="155" t="n">
        <f aca="false">IFERROR(IF(OR(NOT(ISNUMBER('Price History'!V151)),NOT(ISNUMBER('Price History'!V150)),'Price History'!V150=0),"",'Price History'!V151/'Price History'!V150-1),"")</f>
        <v>0.0275034451079468</v>
      </c>
      <c r="W150" s="156" t="n">
        <f aca="false">IFERROR('Price History'!B3+(INDEX('Price History'!B:B,MATCH(9.99E+307,'Returns (Calc)'!$A:$A)+1)-'Price History'!B3)*(ROW()-3)/(MATCH(9.99E+307,'Returns (Calc)'!$A:$A)-3),"")</f>
        <v>257.963417721519</v>
      </c>
      <c r="X150" s="156" t="n">
        <f aca="false">IFERROR('Price History'!C3+(INDEX('Price History'!C:C,MATCH(9.99E+307,'Returns (Calc)'!$A:$A)+1)-'Price History'!C3)*(ROW()-3)/(MATCH(9.99E+307,'Returns (Calc)'!$A:$A)-3),"")</f>
        <v>196.129303797468</v>
      </c>
      <c r="Y150" s="156" t="n">
        <f aca="false">IFERROR('Price History'!D3+(INDEX('Price History'!D:D,MATCH(9.99E+307,'Returns (Calc)'!$A:$A)+1)-'Price History'!D3)*(ROW()-3)/(MATCH(9.99E+307,'Returns (Calc)'!$A:$A)-3),"")</f>
        <v>1777.8270886076</v>
      </c>
      <c r="Z150" s="156" t="n">
        <f aca="false">IFERROR('Price History'!E3+(INDEX('Price History'!E:E,MATCH(9.99E+307,'Returns (Calc)'!$A:$A)+1)-'Price History'!E3)*(ROW()-3)/(MATCH(9.99E+307,'Returns (Calc)'!$A:$A)-3),"")</f>
        <v>336.123924050633</v>
      </c>
      <c r="AA150" s="156" t="n">
        <f aca="false">IFERROR('Price History'!F3+(INDEX('Price History'!F:F,MATCH(9.99E+307,'Returns (Calc)'!$A:$A)+1)-'Price History'!F3)*(ROW()-3)/(MATCH(9.99E+307,'Returns (Calc)'!$A:$A)-3),"")</f>
        <v>254.119240506329</v>
      </c>
      <c r="AB150" s="156" t="n">
        <f aca="false">IFERROR('Price History'!G3+(INDEX('Price History'!G:G,MATCH(9.99E+307,'Returns (Calc)'!$A:$A)+1)-'Price History'!G3)*(ROW()-3)/(MATCH(9.99E+307,'Returns (Calc)'!$A:$A)-3),"")</f>
        <v>195.573924050633</v>
      </c>
      <c r="AC150" s="156" t="n">
        <f aca="false">IFERROR('Price History'!H3+(INDEX('Price History'!H:H,MATCH(9.99E+307,'Returns (Calc)'!$A:$A)+1)-'Price History'!H3)*(ROW()-3)/(MATCH(9.99E+307,'Returns (Calc)'!$A:$A)-3),"")</f>
        <v>1004.86734177215</v>
      </c>
      <c r="AD150" s="156" t="n">
        <f aca="false">IFERROR('Price History'!I3+(INDEX('Price History'!I:I,MATCH(9.99E+307,'Returns (Calc)'!$A:$A)+1)-'Price History'!I3)*(ROW()-3)/(MATCH(9.99E+307,'Returns (Calc)'!$A:$A)-3),"")</f>
        <v>220.709620253165</v>
      </c>
      <c r="AE150" s="156" t="n">
        <f aca="false">IFERROR('Price History'!J3+(INDEX('Price History'!J:J,MATCH(9.99E+307,'Returns (Calc)'!$A:$A)+1)-'Price History'!J3)*(ROW()-3)/(MATCH(9.99E+307,'Returns (Calc)'!$A:$A)-3),"")</f>
        <v>127.721582278481</v>
      </c>
      <c r="AF150" s="156" t="n">
        <f aca="false">IFERROR('Price History'!K3+(INDEX('Price History'!K:K,MATCH(9.99E+307,'Returns (Calc)'!$A:$A)+1)-'Price History'!K3)*(ROW()-3)/(MATCH(9.99E+307,'Returns (Calc)'!$A:$A)-3),"")</f>
        <v>176.676455696203</v>
      </c>
      <c r="AG150" s="156" t="n">
        <f aca="false">IFERROR('Price History'!L3+(INDEX('Price History'!L:L,MATCH(9.99E+307,'Returns (Calc)'!$A:$A)+1)-'Price History'!L3)*(ROW()-3)/(MATCH(9.99E+307,'Returns (Calc)'!$A:$A)-3),"")</f>
        <v>445.834873417722</v>
      </c>
      <c r="AH150" s="156" t="n">
        <f aca="false">IFERROR('Price History'!M3+(INDEX('Price History'!M:M,MATCH(9.99E+307,'Returns (Calc)'!$A:$A)+1)-'Price History'!M3)*(ROW()-3)/(MATCH(9.99E+307,'Returns (Calc)'!$A:$A)-3),"")</f>
        <v>237.270126582279</v>
      </c>
      <c r="AI150" s="156" t="n">
        <f aca="false">IFERROR('Price History'!N3+(INDEX('Price History'!N:N,MATCH(9.99E+307,'Returns (Calc)'!$A:$A)+1)-'Price History'!N3)*(ROW()-3)/(MATCH(9.99E+307,'Returns (Calc)'!$A:$A)-3),"")</f>
        <v>493.881075949367</v>
      </c>
      <c r="AJ150" s="156" t="n">
        <f aca="false">IFERROR('Price History'!O3+(INDEX('Price History'!O:O,MATCH(9.99E+307,'Returns (Calc)'!$A:$A)+1)-'Price History'!O3)*(ROW()-3)/(MATCH(9.99E+307,'Returns (Calc)'!$A:$A)-3),"")</f>
        <v>116.916582278481</v>
      </c>
      <c r="AK150" s="156" t="n">
        <f aca="false">IFERROR('Price History'!Q3+(INDEX('Price History'!Q:Q,MATCH(9.99E+307,'Returns (Calc)'!$A:$A)+1)-'Price History'!Q3)*(ROW()-3)/(MATCH(9.99E+307,'Returns (Calc)'!$A:$A)-3),"")</f>
        <v>64.5869620253165</v>
      </c>
      <c r="AL150" s="156" t="n">
        <f aca="false">IFERROR('Price History'!R3+(INDEX('Price History'!R:R,MATCH(9.99E+307,'Returns (Calc)'!$A:$A)+1)-'Price History'!R3)*(ROW()-3)/(MATCH(9.99E+307,'Returns (Calc)'!$A:$A)-3),"")</f>
        <v>59.1908860759494</v>
      </c>
      <c r="AM150" s="156" t="n">
        <f aca="false">IFERROR('Price History'!S3+(INDEX('Price History'!S:S,MATCH(9.99E+307,'Returns (Calc)'!$A:$A)+1)-'Price History'!S3)*(ROW()-3)/(MATCH(9.99E+307,'Returns (Calc)'!$A:$A)-3),"")</f>
        <v>146.574303797468</v>
      </c>
      <c r="AN150" s="156" t="n">
        <f aca="false">IFERROR('Price History'!T3+(INDEX('Price History'!T:T,MATCH(9.99E+307,'Returns (Calc)'!$A:$A)+1)-'Price History'!T3)*(ROW()-3)/(MATCH(9.99E+307,'Returns (Calc)'!$A:$A)-3),"")</f>
        <v>49.9694936708861</v>
      </c>
      <c r="AO150" s="157" t="n">
        <f aca="false">IFERROR('Price History'!V3+(INDEX('Price History'!V:V,MATCH(9.99E+307,'Returns (Calc)'!$A:$A)+1)-'Price History'!V3)*(ROW()-3)/(MATCH(9.99E+307,'Returns (Calc)'!$A:$A)-3),"")</f>
        <v>351.955379746835</v>
      </c>
      <c r="AP150" s="155" t="n">
        <f aca="false">IFERROR(IF(OR(NOT(ISNUMBER('Price History'!W151)),NOT(ISNUMBER('Price History'!W150)),'Price History'!W150=0),"",'Price History'!W151/'Price History'!W150-1),"")</f>
        <v>-0.00555659611662596</v>
      </c>
      <c r="AQ150" s="155" t="n">
        <f aca="false">IFERROR(IF(OR(NOT(ISNUMBER('Price History'!X151)),NOT(ISNUMBER('Price History'!X150)),'Price History'!X150=0),"",'Price History'!X151/'Price History'!X150-1),"")</f>
        <v>0.0138214419125888</v>
      </c>
      <c r="AR150" s="155" t="n">
        <f aca="false">IFERROR(IF(OR(NOT(ISNUMBER('Price History'!Y151)),NOT(ISNUMBER('Price History'!Y150)),'Price History'!Y150=0),"",'Price History'!Y151/'Price History'!Y150-1),"")</f>
        <v>-0.00359130903214211</v>
      </c>
      <c r="AS150" s="155" t="n">
        <f aca="false">IFERROR(IF(OR(NOT(ISNUMBER('Price History'!Z151)),NOT(ISNUMBER('Price History'!Z150)),'Price History'!Z150=0),"",'Price History'!Z151/'Price History'!Z150-1),"")</f>
        <v>-0.0290589250424472</v>
      </c>
      <c r="AT150" s="155" t="n">
        <f aca="false">IFERROR(IF(OR(NOT(ISNUMBER('Price History'!AA151)),NOT(ISNUMBER('Price History'!AA150)),'Price History'!AA150=0),"",'Price History'!AA151/'Price History'!AA150-1),"")</f>
        <v>-0.0602426059697424</v>
      </c>
      <c r="AU150" s="155" t="n">
        <f aca="false">IFERROR(IF(OR(NOT(ISNUMBER('Price History'!AB151)),NOT(ISNUMBER('Price History'!AB150)),'Price History'!AB150=0),"",'Price History'!AB151/'Price History'!AB150-1),"")</f>
        <v>0.0276667367978118</v>
      </c>
    </row>
    <row r="151" customFormat="false" ht="15" hidden="false" customHeight="true" outlineLevel="0" collapsed="false">
      <c r="A151" s="153" t="n">
        <f aca="false">IF('Price History'!A152="","",'Price History'!A152)</f>
        <v>46227</v>
      </c>
      <c r="B151" s="154" t="n">
        <f aca="false">IFERROR(IF(OR(NOT(ISNUMBER('Price History'!B152)),NOT(ISNUMBER('Price History'!B151)),'Price History'!B151=0),"",'Price History'!B152/'Price History'!B151-1),"")</f>
        <v>-0.0511696522655426</v>
      </c>
      <c r="C151" s="154" t="n">
        <f aca="false">IFERROR(IF(OR(NOT(ISNUMBER('Price History'!C152)),NOT(ISNUMBER('Price History'!C151)),'Price History'!C151=0),"",'Price History'!C152/'Price History'!C151-1),"")</f>
        <v>0.0319079532649309</v>
      </c>
      <c r="D151" s="154" t="n">
        <f aca="false">IFERROR(IF(OR(NOT(ISNUMBER('Price History'!D152)),NOT(ISNUMBER('Price History'!D151)),'Price History'!D151=0),"",'Price History'!D152/'Price History'!D151-1),"")</f>
        <v>0.00544312790777624</v>
      </c>
      <c r="E151" s="154" t="n">
        <f aca="false">IFERROR(IF(OR(NOT(ISNUMBER('Price History'!E152)),NOT(ISNUMBER('Price History'!E151)),'Price History'!E151=0),"",'Price History'!E152/'Price History'!E151-1),"")</f>
        <v>0.029905986600389</v>
      </c>
      <c r="F151" s="154" t="n">
        <f aca="false">IFERROR(IF(OR(NOT(ISNUMBER('Price History'!F152)),NOT(ISNUMBER('Price History'!F151)),'Price History'!F151=0),"",'Price History'!F152/'Price History'!F151-1),"")</f>
        <v>-0.0974985227496553</v>
      </c>
      <c r="G151" s="154" t="n">
        <f aca="false">IFERROR(IF(OR(NOT(ISNUMBER('Price History'!G152)),NOT(ISNUMBER('Price History'!G151)),'Price History'!G151=0),"",'Price History'!G152/'Price History'!G151-1),"")</f>
        <v>-0.0104936238294668</v>
      </c>
      <c r="H151" s="154" t="n">
        <f aca="false">IFERROR(IF(OR(NOT(ISNUMBER('Price History'!H152)),NOT(ISNUMBER('Price History'!H151)),'Price History'!H151=0),"",'Price History'!H152/'Price History'!H151-1),"")</f>
        <v>0.0848106484480828</v>
      </c>
      <c r="I151" s="154" t="n">
        <f aca="false">IFERROR(IF(OR(NOT(ISNUMBER('Price History'!I152)),NOT(ISNUMBER('Price History'!I151)),'Price History'!I151=0),"",'Price History'!I152/'Price History'!I151-1),"")</f>
        <v>0.0198933754566097</v>
      </c>
      <c r="J151" s="154" t="n">
        <f aca="false">IFERROR(IF(OR(NOT(ISNUMBER('Price History'!J152)),NOT(ISNUMBER('Price History'!J151)),'Price History'!J151=0),"",'Price History'!J152/'Price History'!J151-1),"")</f>
        <v>-0.0144001076643565</v>
      </c>
      <c r="K151" s="154" t="n">
        <f aca="false">IFERROR(IF(OR(NOT(ISNUMBER('Price History'!K152)),NOT(ISNUMBER('Price History'!K151)),'Price History'!K151=0),"",'Price History'!K152/'Price History'!K151-1),"")</f>
        <v>-0.0714609457621996</v>
      </c>
      <c r="L151" s="154" t="n">
        <f aca="false">IFERROR(IF(OR(NOT(ISNUMBER('Price History'!L152)),NOT(ISNUMBER('Price History'!L151)),'Price History'!L151=0),"",'Price History'!L152/'Price History'!L151-1),"")</f>
        <v>0.0126604580921217</v>
      </c>
      <c r="M151" s="154" t="n">
        <f aca="false">IFERROR(IF(OR(NOT(ISNUMBER('Price History'!M152)),NOT(ISNUMBER('Price History'!M151)),'Price History'!M151=0),"",'Price History'!M152/'Price History'!M151-1),"")</f>
        <v>0.00276348060382059</v>
      </c>
      <c r="N151" s="154" t="n">
        <f aca="false">IFERROR(IF(OR(NOT(ISNUMBER('Price History'!N152)),NOT(ISNUMBER('Price History'!N151)),'Price History'!N151=0),"",'Price History'!N152/'Price History'!N151-1),"")</f>
        <v>-0.0170699063111294</v>
      </c>
      <c r="O151" s="154" t="n">
        <f aca="false">IFERROR(IF(OR(NOT(ISNUMBER('Price History'!O152)),NOT(ISNUMBER('Price History'!O151)),'Price History'!O151=0),"",'Price History'!O152/'Price History'!O151-1),"")</f>
        <v>-0.000560268929085894</v>
      </c>
      <c r="P151" s="154" t="n">
        <f aca="false">IFERROR(IF(OR(NOT(ISNUMBER('Price History'!P152)),NOT(ISNUMBER('Price History'!P151)),'Price History'!P151=0),"",'Price History'!P152/'Price History'!P151-1),"")</f>
        <v>0.00716466263784188</v>
      </c>
      <c r="Q151" s="154" t="n">
        <f aca="false">IFERROR(IF(OR(NOT(ISNUMBER('Price History'!Q152)),NOT(ISNUMBER('Price History'!Q151)),'Price History'!Q151=0),"",'Price History'!Q152/'Price History'!Q151-1),"")</f>
        <v>-0.00177488537198645</v>
      </c>
      <c r="R151" s="154" t="n">
        <f aca="false">IFERROR(IF(OR(NOT(ISNUMBER('Price History'!R152)),NOT(ISNUMBER('Price History'!R151)),'Price History'!R151=0),"",'Price History'!R152/'Price History'!R151-1),"")</f>
        <v>-0.00936064994701513</v>
      </c>
      <c r="S151" s="154" t="n">
        <f aca="false">IFERROR(IF(OR(NOT(ISNUMBER('Price History'!S152)),NOT(ISNUMBER('Price History'!S151)),'Price History'!S151=0),"",'Price History'!S152/'Price History'!S151-1),"")</f>
        <v>0.0181678964221079</v>
      </c>
      <c r="T151" s="154" t="n">
        <f aca="false">IFERROR(IF(OR(NOT(ISNUMBER('Price History'!T152)),NOT(ISNUMBER('Price History'!T151)),'Price History'!T151=0),"",'Price History'!T152/'Price History'!T151-1),"")</f>
        <v>0.00692114093959728</v>
      </c>
      <c r="U151" s="154" t="n">
        <f aca="false">IFERROR(IF(OR(NOT(ISNUMBER('Price History'!U152)),NOT(ISNUMBER('Price History'!U151)),'Price History'!U151=0),"",'Price History'!U152/'Price History'!U151-1),"")</f>
        <v>0.0116385911179173</v>
      </c>
      <c r="V151" s="155" t="n">
        <f aca="false">IFERROR(IF(OR(NOT(ISNUMBER('Price History'!V152)),NOT(ISNUMBER('Price History'!V151)),'Price History'!V151=0),"",'Price History'!V152/'Price History'!V151-1),"")</f>
        <v>-0.00787929589270742</v>
      </c>
      <c r="W151" s="156" t="n">
        <f aca="false">IFERROR('Price History'!B3+(INDEX('Price History'!B:B,MATCH(9.99E+307,'Returns (Calc)'!$A:$A)+1)-'Price History'!B3)*(ROW()-3)/(MATCH(9.99E+307,'Returns (Calc)'!$A:$A)-3),"")</f>
        <v>256.120379746835</v>
      </c>
      <c r="X151" s="156" t="n">
        <f aca="false">IFERROR('Price History'!C3+(INDEX('Price History'!C:C,MATCH(9.99E+307,'Returns (Calc)'!$A:$A)+1)-'Price History'!C3)*(ROW()-3)/(MATCH(9.99E+307,'Returns (Calc)'!$A:$A)-3),"")</f>
        <v>197.149367088608</v>
      </c>
      <c r="Y151" s="156" t="n">
        <f aca="false">IFERROR('Price History'!D3+(INDEX('Price History'!D:D,MATCH(9.99E+307,'Returns (Calc)'!$A:$A)+1)-'Price History'!D3)*(ROW()-3)/(MATCH(9.99E+307,'Returns (Calc)'!$A:$A)-3),"")</f>
        <v>1785.96189873418</v>
      </c>
      <c r="Z151" s="156" t="n">
        <f aca="false">IFERROR('Price History'!E3+(INDEX('Price History'!E:E,MATCH(9.99E+307,'Returns (Calc)'!$A:$A)+1)-'Price History'!E3)*(ROW()-3)/(MATCH(9.99E+307,'Returns (Calc)'!$A:$A)-3),"")</f>
        <v>337.852658227848</v>
      </c>
      <c r="AA151" s="156" t="n">
        <f aca="false">IFERROR('Price History'!F3+(INDEX('Price History'!F:F,MATCH(9.99E+307,'Returns (Calc)'!$A:$A)+1)-'Price History'!F3)*(ROW()-3)/(MATCH(9.99E+307,'Returns (Calc)'!$A:$A)-3),"")</f>
        <v>255.566582278481</v>
      </c>
      <c r="AB151" s="156" t="n">
        <f aca="false">IFERROR('Price History'!G3+(INDEX('Price History'!G:G,MATCH(9.99E+307,'Returns (Calc)'!$A:$A)+1)-'Price History'!G3)*(ROW()-3)/(MATCH(9.99E+307,'Returns (Calc)'!$A:$A)-3),"")</f>
        <v>196.602658227848</v>
      </c>
      <c r="AC151" s="156" t="n">
        <f aca="false">IFERROR('Price History'!H3+(INDEX('Price History'!H:H,MATCH(9.99E+307,'Returns (Calc)'!$A:$A)+1)-'Price History'!H3)*(ROW()-3)/(MATCH(9.99E+307,'Returns (Calc)'!$A:$A)-3),"")</f>
        <v>1011.23303797468</v>
      </c>
      <c r="AD151" s="156" t="n">
        <f aca="false">IFERROR('Price History'!I3+(INDEX('Price History'!I:I,MATCH(9.99E+307,'Returns (Calc)'!$A:$A)+1)-'Price History'!I3)*(ROW()-3)/(MATCH(9.99E+307,'Returns (Calc)'!$A:$A)-3),"")</f>
        <v>221.913291139241</v>
      </c>
      <c r="AE151" s="156" t="n">
        <f aca="false">IFERROR('Price History'!J3+(INDEX('Price History'!J:J,MATCH(9.99E+307,'Returns (Calc)'!$A:$A)+1)-'Price History'!J3)*(ROW()-3)/(MATCH(9.99E+307,'Returns (Calc)'!$A:$A)-3),"")</f>
        <v>127.829620253165</v>
      </c>
      <c r="AF151" s="156" t="n">
        <f aca="false">IFERROR('Price History'!K3+(INDEX('Price History'!K:K,MATCH(9.99E+307,'Returns (Calc)'!$A:$A)+1)-'Price History'!K3)*(ROW()-3)/(MATCH(9.99E+307,'Returns (Calc)'!$A:$A)-3),"")</f>
        <v>177.774050632911</v>
      </c>
      <c r="AG151" s="156" t="n">
        <f aca="false">IFERROR('Price History'!L3+(INDEX('Price History'!L:L,MATCH(9.99E+307,'Returns (Calc)'!$A:$A)+1)-'Price History'!L3)*(ROW()-3)/(MATCH(9.99E+307,'Returns (Calc)'!$A:$A)-3),"")</f>
        <v>448.284430379747</v>
      </c>
      <c r="AH151" s="156" t="n">
        <f aca="false">IFERROR('Price History'!M3+(INDEX('Price History'!M:M,MATCH(9.99E+307,'Returns (Calc)'!$A:$A)+1)-'Price History'!M3)*(ROW()-3)/(MATCH(9.99E+307,'Returns (Calc)'!$A:$A)-3),"")</f>
        <v>238.625569620253</v>
      </c>
      <c r="AI151" s="156" t="n">
        <f aca="false">IFERROR('Price History'!N3+(INDEX('Price History'!N:N,MATCH(9.99E+307,'Returns (Calc)'!$A:$A)+1)-'Price History'!N3)*(ROW()-3)/(MATCH(9.99E+307,'Returns (Calc)'!$A:$A)-3),"")</f>
        <v>494.867341772152</v>
      </c>
      <c r="AJ151" s="156" t="n">
        <f aca="false">IFERROR('Price History'!O3+(INDEX('Price History'!O:O,MATCH(9.99E+307,'Returns (Calc)'!$A:$A)+1)-'Price History'!O3)*(ROW()-3)/(MATCH(9.99E+307,'Returns (Calc)'!$A:$A)-3),"")</f>
        <v>117.199620253165</v>
      </c>
      <c r="AK151" s="156" t="n">
        <f aca="false">IFERROR('Price History'!Q3+(INDEX('Price History'!Q:Q,MATCH(9.99E+307,'Returns (Calc)'!$A:$A)+1)-'Price History'!Q3)*(ROW()-3)/(MATCH(9.99E+307,'Returns (Calc)'!$A:$A)-3),"")</f>
        <v>65.0263291139241</v>
      </c>
      <c r="AL151" s="156" t="n">
        <f aca="false">IFERROR('Price History'!R3+(INDEX('Price History'!R:R,MATCH(9.99E+307,'Returns (Calc)'!$A:$A)+1)-'Price History'!R3)*(ROW()-3)/(MATCH(9.99E+307,'Returns (Calc)'!$A:$A)-3),"")</f>
        <v>59.3589873417722</v>
      </c>
      <c r="AM151" s="156" t="n">
        <f aca="false">IFERROR('Price History'!S3+(INDEX('Price History'!S:S,MATCH(9.99E+307,'Returns (Calc)'!$A:$A)+1)-'Price History'!S3)*(ROW()-3)/(MATCH(9.99E+307,'Returns (Calc)'!$A:$A)-3),"")</f>
        <v>147.179367088608</v>
      </c>
      <c r="AN151" s="156" t="n">
        <f aca="false">IFERROR('Price History'!T3+(INDEX('Price History'!T:T,MATCH(9.99E+307,'Returns (Calc)'!$A:$A)+1)-'Price History'!T3)*(ROW()-3)/(MATCH(9.99E+307,'Returns (Calc)'!$A:$A)-3),"")</f>
        <v>50.1377215189873</v>
      </c>
      <c r="AO151" s="157" t="n">
        <f aca="false">IFERROR('Price History'!V3+(INDEX('Price History'!V:V,MATCH(9.99E+307,'Returns (Calc)'!$A:$A)+1)-'Price History'!V3)*(ROW()-3)/(MATCH(9.99E+307,'Returns (Calc)'!$A:$A)-3),"")</f>
        <v>352.74670886076</v>
      </c>
      <c r="AP151" s="155" t="n">
        <f aca="false">IFERROR(IF(OR(NOT(ISNUMBER('Price History'!W152)),NOT(ISNUMBER('Price History'!W151)),'Price History'!W151=0),"",'Price History'!W152/'Price History'!W151-1),"")</f>
        <v>0.0128704168759417</v>
      </c>
      <c r="AQ151" s="155" t="n">
        <f aca="false">IFERROR(IF(OR(NOT(ISNUMBER('Price History'!X152)),NOT(ISNUMBER('Price History'!X151)),'Price History'!X151=0),"",'Price History'!X152/'Price History'!X151-1),"")</f>
        <v>-0.00018422991893885</v>
      </c>
      <c r="AR151" s="155" t="n">
        <f aca="false">IFERROR(IF(OR(NOT(ISNUMBER('Price History'!Y152)),NOT(ISNUMBER('Price History'!Y151)),'Price History'!Y151=0),"",'Price History'!Y152/'Price History'!Y151-1),"")</f>
        <v>0.00432510362227423</v>
      </c>
      <c r="AS151" s="155" t="n">
        <f aca="false">IFERROR(IF(OR(NOT(ISNUMBER('Price History'!Z152)),NOT(ISNUMBER('Price History'!Z151)),'Price History'!Z151=0),"",'Price History'!Z152/'Price History'!Z151-1),"")</f>
        <v>0.0140469569704442</v>
      </c>
      <c r="AT151" s="155" t="n">
        <f aca="false">IFERROR(IF(OR(NOT(ISNUMBER('Price History'!AA152)),NOT(ISNUMBER('Price History'!AA151)),'Price History'!AA151=0),"",'Price History'!AA152/'Price History'!AA151-1),"")</f>
        <v>0.0165337200870195</v>
      </c>
      <c r="AU151" s="155" t="n">
        <f aca="false">IFERROR(IF(OR(NOT(ISNUMBER('Price History'!AB152)),NOT(ISNUMBER('Price History'!AB151)),'Price History'!AB151=0),"",'Price History'!AB152/'Price History'!AB151-1),"")</f>
        <v>-0.0467806326133687</v>
      </c>
    </row>
    <row r="152" customFormat="false" ht="15" hidden="false" customHeight="true" outlineLevel="0" collapsed="false">
      <c r="A152" s="153" t="n">
        <f aca="false">IF('Price History'!A153="","",'Price History'!A153)</f>
        <v>46234</v>
      </c>
      <c r="B152" s="154" t="n">
        <f aca="false">IFERROR(IF(OR(NOT(ISNUMBER('Price History'!B153)),NOT(ISNUMBER('Price History'!B152)),'Price History'!B152=0),"",'Price History'!B153/'Price History'!B152-1),"")</f>
        <v>0.112389498467416</v>
      </c>
      <c r="C152" s="154" t="n">
        <f aca="false">IFERROR(IF(OR(NOT(ISNUMBER('Price History'!C153)),NOT(ISNUMBER('Price History'!C152)),'Price History'!C152=0),"",'Price History'!C153/'Price History'!C152-1),"")</f>
        <v>0.0365538249324673</v>
      </c>
      <c r="D152" s="154" t="n">
        <f aca="false">IFERROR(IF(OR(NOT(ISNUMBER('Price History'!D153)),NOT(ISNUMBER('Price History'!D152)),'Price History'!D152=0),"",'Price History'!D153/'Price History'!D152-1),"")</f>
        <v>-0.071699661503744</v>
      </c>
      <c r="E152" s="154" t="n">
        <f aca="false">IFERROR(IF(OR(NOT(ISNUMBER('Price History'!E153)),NOT(ISNUMBER('Price History'!E152)),'Price History'!E152=0),"",'Price History'!E153/'Price History'!E152-1),"")</f>
        <v>0.019253469034441</v>
      </c>
      <c r="F152" s="154" t="n">
        <f aca="false">IFERROR(IF(OR(NOT(ISNUMBER('Price History'!F153)),NOT(ISNUMBER('Price History'!F152)),'Price History'!F152=0),"",'Price History'!F153/'Price History'!F152-1),"")</f>
        <v>0.0413574858140551</v>
      </c>
      <c r="G152" s="154" t="n">
        <f aca="false">IFERROR(IF(OR(NOT(ISNUMBER('Price History'!G153)),NOT(ISNUMBER('Price History'!G152)),'Price History'!G152=0),"",'Price History'!G153/'Price History'!G152-1),"")</f>
        <v>-0.1315864561537</v>
      </c>
      <c r="H152" s="154" t="n">
        <f aca="false">IFERROR(IF(OR(NOT(ISNUMBER('Price History'!H153)),NOT(ISNUMBER('Price History'!H152)),'Price History'!H152=0),"",'Price History'!H153/'Price History'!H152-1),"")</f>
        <v>-0.106324990498941</v>
      </c>
      <c r="I152" s="154" t="n">
        <f aca="false">IFERROR(IF(OR(NOT(ISNUMBER('Price History'!I153)),NOT(ISNUMBER('Price History'!I152)),'Price History'!I152=0),"",'Price History'!I153/'Price History'!I152-1),"")</f>
        <v>-0.0294274236484198</v>
      </c>
      <c r="J152" s="154" t="n">
        <f aca="false">IFERROR(IF(OR(NOT(ISNUMBER('Price History'!J153)),NOT(ISNUMBER('Price History'!J152)),'Price History'!J152=0),"",'Price History'!J153/'Price History'!J152-1),"")</f>
        <v>-0.0204820099679115</v>
      </c>
      <c r="K152" s="154" t="n">
        <f aca="false">IFERROR(IF(OR(NOT(ISNUMBER('Price History'!K153)),NOT(ISNUMBER('Price History'!K152)),'Price History'!K152=0),"",'Price History'!K153/'Price History'!K152-1),"")</f>
        <v>0.00113895216400906</v>
      </c>
      <c r="L152" s="154" t="n">
        <f aca="false">IFERROR(IF(OR(NOT(ISNUMBER('Price History'!L153)),NOT(ISNUMBER('Price History'!L152)),'Price History'!L152=0),"",'Price History'!L153/'Price History'!L152-1),"")</f>
        <v>0.00208783834165982</v>
      </c>
      <c r="M152" s="154" t="n">
        <f aca="false">IFERROR(IF(OR(NOT(ISNUMBER('Price History'!M153)),NOT(ISNUMBER('Price History'!M152)),'Price History'!M152=0),"",'Price History'!M153/'Price History'!M152-1),"")</f>
        <v>-0.16803885769403</v>
      </c>
      <c r="N152" s="154" t="n">
        <f aca="false">IFERROR(IF(OR(NOT(ISNUMBER('Price History'!N153)),NOT(ISNUMBER('Price History'!N152)),'Price History'!N152=0),"",'Price History'!N153/'Price History'!N152-1),"")</f>
        <v>-0.000544662309368227</v>
      </c>
      <c r="O152" s="154" t="n">
        <f aca="false">IFERROR(IF(OR(NOT(ISNUMBER('Price History'!O153)),NOT(ISNUMBER('Price History'!O152)),'Price History'!O152=0),"",'Price History'!O153/'Price History'!O152-1),"")</f>
        <v>0</v>
      </c>
      <c r="P152" s="154" t="n">
        <f aca="false">IFERROR(IF(OR(NOT(ISNUMBER('Price History'!P153)),NOT(ISNUMBER('Price History'!P152)),'Price History'!P152=0),"",'Price History'!P153/'Price History'!P152-1),"")</f>
        <v>-0.0109489051094891</v>
      </c>
      <c r="Q152" s="154" t="n">
        <f aca="false">IFERROR(IF(OR(NOT(ISNUMBER('Price History'!Q153)),NOT(ISNUMBER('Price History'!Q152)),'Price History'!Q152=0),"",'Price History'!Q153/'Price History'!Q152-1),"")</f>
        <v>0.0128907986368352</v>
      </c>
      <c r="R152" s="154" t="n">
        <f aca="false">IFERROR(IF(OR(NOT(ISNUMBER('Price History'!R153)),NOT(ISNUMBER('Price History'!R152)),'Price History'!R152=0),"",'Price History'!R153/'Price History'!R152-1),"")</f>
        <v>0.00499197717953281</v>
      </c>
      <c r="S152" s="154" t="n">
        <f aca="false">IFERROR(IF(OR(NOT(ISNUMBER('Price History'!S153)),NOT(ISNUMBER('Price History'!S152)),'Price History'!S152=0),"",'Price History'!S153/'Price History'!S152-1),"")</f>
        <v>-0.0182539139946675</v>
      </c>
      <c r="T152" s="154" t="n">
        <f aca="false">IFERROR(IF(OR(NOT(ISNUMBER('Price History'!T153)),NOT(ISNUMBER('Price History'!T152)),'Price History'!T152=0),"",'Price History'!T153/'Price History'!T152-1),"")</f>
        <v>0.0333263903353469</v>
      </c>
      <c r="U152" s="154" t="n">
        <f aca="false">IFERROR(IF(OR(NOT(ISNUMBER('Price History'!U153)),NOT(ISNUMBER('Price History'!U152)),'Price History'!U152=0),"",'Price History'!U153/'Price History'!U152-1),"")</f>
        <v>0.00544959128065403</v>
      </c>
      <c r="V152" s="155" t="n">
        <f aca="false">IFERROR(IF(OR(NOT(ISNUMBER('Price History'!V153)),NOT(ISNUMBER('Price History'!V152)),'Price History'!V152=0),"",'Price History'!V153/'Price History'!V152-1),"")</f>
        <v>0.0292046862678834</v>
      </c>
      <c r="W152" s="156" t="n">
        <f aca="false">IFERROR('Price History'!B3+(INDEX('Price History'!B:B,MATCH(9.99E+307,'Returns (Calc)'!$A:$A)+1)-'Price History'!B3)*(ROW()-3)/(MATCH(9.99E+307,'Returns (Calc)'!$A:$A)-3),"")</f>
        <v>254.277341772152</v>
      </c>
      <c r="X152" s="156" t="n">
        <f aca="false">IFERROR('Price History'!C3+(INDEX('Price History'!C:C,MATCH(9.99E+307,'Returns (Calc)'!$A:$A)+1)-'Price History'!C3)*(ROW()-3)/(MATCH(9.99E+307,'Returns (Calc)'!$A:$A)-3),"")</f>
        <v>198.169430379747</v>
      </c>
      <c r="Y152" s="156" t="n">
        <f aca="false">IFERROR('Price History'!D3+(INDEX('Price History'!D:D,MATCH(9.99E+307,'Returns (Calc)'!$A:$A)+1)-'Price History'!D3)*(ROW()-3)/(MATCH(9.99E+307,'Returns (Calc)'!$A:$A)-3),"")</f>
        <v>1794.09670886076</v>
      </c>
      <c r="Z152" s="156" t="n">
        <f aca="false">IFERROR('Price History'!E3+(INDEX('Price History'!E:E,MATCH(9.99E+307,'Returns (Calc)'!$A:$A)+1)-'Price History'!E3)*(ROW()-3)/(MATCH(9.99E+307,'Returns (Calc)'!$A:$A)-3),"")</f>
        <v>339.581392405063</v>
      </c>
      <c r="AA152" s="156" t="n">
        <f aca="false">IFERROR('Price History'!F3+(INDEX('Price History'!F:F,MATCH(9.99E+307,'Returns (Calc)'!$A:$A)+1)-'Price History'!F3)*(ROW()-3)/(MATCH(9.99E+307,'Returns (Calc)'!$A:$A)-3),"")</f>
        <v>257.013924050633</v>
      </c>
      <c r="AB152" s="156" t="n">
        <f aca="false">IFERROR('Price History'!G3+(INDEX('Price History'!G:G,MATCH(9.99E+307,'Returns (Calc)'!$A:$A)+1)-'Price History'!G3)*(ROW()-3)/(MATCH(9.99E+307,'Returns (Calc)'!$A:$A)-3),"")</f>
        <v>197.631392405063</v>
      </c>
      <c r="AC152" s="156" t="n">
        <f aca="false">IFERROR('Price History'!H3+(INDEX('Price History'!H:H,MATCH(9.99E+307,'Returns (Calc)'!$A:$A)+1)-'Price History'!H3)*(ROW()-3)/(MATCH(9.99E+307,'Returns (Calc)'!$A:$A)-3),"")</f>
        <v>1017.59873417722</v>
      </c>
      <c r="AD152" s="156" t="n">
        <f aca="false">IFERROR('Price History'!I3+(INDEX('Price History'!I:I,MATCH(9.99E+307,'Returns (Calc)'!$A:$A)+1)-'Price History'!I3)*(ROW()-3)/(MATCH(9.99E+307,'Returns (Calc)'!$A:$A)-3),"")</f>
        <v>223.116962025316</v>
      </c>
      <c r="AE152" s="156" t="n">
        <f aca="false">IFERROR('Price History'!J3+(INDEX('Price History'!J:J,MATCH(9.99E+307,'Returns (Calc)'!$A:$A)+1)-'Price History'!J3)*(ROW()-3)/(MATCH(9.99E+307,'Returns (Calc)'!$A:$A)-3),"")</f>
        <v>127.937658227848</v>
      </c>
      <c r="AF152" s="156" t="n">
        <f aca="false">IFERROR('Price History'!K3+(INDEX('Price History'!K:K,MATCH(9.99E+307,'Returns (Calc)'!$A:$A)+1)-'Price History'!K3)*(ROW()-3)/(MATCH(9.99E+307,'Returns (Calc)'!$A:$A)-3),"")</f>
        <v>178.87164556962</v>
      </c>
      <c r="AG152" s="156" t="n">
        <f aca="false">IFERROR('Price History'!L3+(INDEX('Price History'!L:L,MATCH(9.99E+307,'Returns (Calc)'!$A:$A)+1)-'Price History'!L3)*(ROW()-3)/(MATCH(9.99E+307,'Returns (Calc)'!$A:$A)-3),"")</f>
        <v>450.733987341772</v>
      </c>
      <c r="AH152" s="156" t="n">
        <f aca="false">IFERROR('Price History'!M3+(INDEX('Price History'!M:M,MATCH(9.99E+307,'Returns (Calc)'!$A:$A)+1)-'Price History'!M3)*(ROW()-3)/(MATCH(9.99E+307,'Returns (Calc)'!$A:$A)-3),"")</f>
        <v>239.981012658228</v>
      </c>
      <c r="AI152" s="156" t="n">
        <f aca="false">IFERROR('Price History'!N3+(INDEX('Price History'!N:N,MATCH(9.99E+307,'Returns (Calc)'!$A:$A)+1)-'Price History'!N3)*(ROW()-3)/(MATCH(9.99E+307,'Returns (Calc)'!$A:$A)-3),"")</f>
        <v>495.853607594937</v>
      </c>
      <c r="AJ152" s="156" t="n">
        <f aca="false">IFERROR('Price History'!O3+(INDEX('Price History'!O:O,MATCH(9.99E+307,'Returns (Calc)'!$A:$A)+1)-'Price History'!O3)*(ROW()-3)/(MATCH(9.99E+307,'Returns (Calc)'!$A:$A)-3),"")</f>
        <v>117.482658227848</v>
      </c>
      <c r="AK152" s="156" t="n">
        <f aca="false">IFERROR('Price History'!Q3+(INDEX('Price History'!Q:Q,MATCH(9.99E+307,'Returns (Calc)'!$A:$A)+1)-'Price History'!Q3)*(ROW()-3)/(MATCH(9.99E+307,'Returns (Calc)'!$A:$A)-3),"")</f>
        <v>65.4656962025317</v>
      </c>
      <c r="AL152" s="156" t="n">
        <f aca="false">IFERROR('Price History'!R3+(INDEX('Price History'!R:R,MATCH(9.99E+307,'Returns (Calc)'!$A:$A)+1)-'Price History'!R3)*(ROW()-3)/(MATCH(9.99E+307,'Returns (Calc)'!$A:$A)-3),"")</f>
        <v>59.5270886075949</v>
      </c>
      <c r="AM152" s="156" t="n">
        <f aca="false">IFERROR('Price History'!S3+(INDEX('Price History'!S:S,MATCH(9.99E+307,'Returns (Calc)'!$A:$A)+1)-'Price History'!S3)*(ROW()-3)/(MATCH(9.99E+307,'Returns (Calc)'!$A:$A)-3),"")</f>
        <v>147.784430379747</v>
      </c>
      <c r="AN152" s="156" t="n">
        <f aca="false">IFERROR('Price History'!T3+(INDEX('Price History'!T:T,MATCH(9.99E+307,'Returns (Calc)'!$A:$A)+1)-'Price History'!T3)*(ROW()-3)/(MATCH(9.99E+307,'Returns (Calc)'!$A:$A)-3),"")</f>
        <v>50.3059493670886</v>
      </c>
      <c r="AO152" s="157" t="n">
        <f aca="false">IFERROR('Price History'!V3+(INDEX('Price History'!V:V,MATCH(9.99E+307,'Returns (Calc)'!$A:$A)+1)-'Price History'!V3)*(ROW()-3)/(MATCH(9.99E+307,'Returns (Calc)'!$A:$A)-3),"")</f>
        <v>353.538037974684</v>
      </c>
      <c r="AP152" s="155" t="n">
        <f aca="false">IFERROR(IF(OR(NOT(ISNUMBER('Price History'!W153)),NOT(ISNUMBER('Price History'!W152)),'Price History'!W152=0),"",'Price History'!W153/'Price History'!W152-1),"")</f>
        <v>-0.00161160354552792</v>
      </c>
      <c r="AQ152" s="155" t="n">
        <f aca="false">IFERROR(IF(OR(NOT(ISNUMBER('Price History'!X153)),NOT(ISNUMBER('Price History'!X152)),'Price History'!X152=0),"",'Price History'!X153/'Price History'!X152-1),"")</f>
        <v>-0.0217431361709969</v>
      </c>
      <c r="AR152" s="155" t="n">
        <f aca="false">IFERROR(IF(OR(NOT(ISNUMBER('Price History'!Y153)),NOT(ISNUMBER('Price History'!Y152)),'Price History'!Y152=0),"",'Price History'!Y153/'Price History'!Y152-1),"")</f>
        <v>0.0111250672887135</v>
      </c>
      <c r="AS152" s="155" t="n">
        <f aca="false">IFERROR(IF(OR(NOT(ISNUMBER('Price History'!Z153)),NOT(ISNUMBER('Price History'!Z152)),'Price History'!Z152=0),"",'Price History'!Z153/'Price History'!Z152-1),"")</f>
        <v>0.0179232748141236</v>
      </c>
      <c r="AT152" s="155" t="n">
        <f aca="false">IFERROR(IF(OR(NOT(ISNUMBER('Price History'!AA153)),NOT(ISNUMBER('Price History'!AA152)),'Price History'!AA152=0),"",'Price History'!AA153/'Price History'!AA152-1),"")</f>
        <v>0.0231131402482521</v>
      </c>
      <c r="AU152" s="155" t="n">
        <f aca="false">IFERROR(IF(OR(NOT(ISNUMBER('Price History'!AB153)),NOT(ISNUMBER('Price History'!AB152)),'Price History'!AB152=0),"",'Price History'!AB153/'Price History'!AB152-1),"")</f>
        <v>0.0941795532646048</v>
      </c>
    </row>
    <row r="153" customFormat="false" ht="15" hidden="false" customHeight="true" outlineLevel="0" collapsed="false">
      <c r="A153" s="153" t="n">
        <f aca="false">IF('Price History'!A154="","",'Price History'!A154)</f>
        <v>46241</v>
      </c>
      <c r="B153" s="154" t="n">
        <f aca="false">IFERROR(IF(OR(NOT(ISNUMBER('Price History'!B154)),NOT(ISNUMBER('Price History'!B153)),'Price History'!B153=0),"",'Price History'!B154/'Price History'!B153-1),"")</f>
        <v>0.0591030709636196</v>
      </c>
      <c r="C153" s="154" t="n">
        <f aca="false">IFERROR(IF(OR(NOT(ISNUMBER('Price History'!C154)),NOT(ISNUMBER('Price History'!C153)),'Price History'!C153=0),"",'Price History'!C154/'Price History'!C153-1),"")</f>
        <v>0.046132520099806</v>
      </c>
      <c r="D153" s="154" t="n">
        <f aca="false">IFERROR(IF(OR(NOT(ISNUMBER('Price History'!D154)),NOT(ISNUMBER('Price History'!D153)),'Price History'!D153=0),"",'Price History'!D154/'Price History'!D153-1),"")</f>
        <v>0.0687476979742174</v>
      </c>
      <c r="E153" s="154" t="n">
        <f aca="false">IFERROR(IF(OR(NOT(ISNUMBER('Price History'!E154)),NOT(ISNUMBER('Price History'!E153)),'Price History'!E153=0),"",'Price History'!E154/'Price History'!E153-1),"")</f>
        <v>0.0988496281236329</v>
      </c>
      <c r="F153" s="154" t="n">
        <f aca="false">IFERROR(IF(OR(NOT(ISNUMBER('Price History'!F154)),NOT(ISNUMBER('Price History'!F153)),'Price History'!F153=0),"",'Price History'!F154/'Price History'!F153-1),"")</f>
        <v>0.123441265849314</v>
      </c>
      <c r="G153" s="154" t="n">
        <f aca="false">IFERROR(IF(OR(NOT(ISNUMBER('Price History'!G154)),NOT(ISNUMBER('Price History'!G153)),'Price History'!G153=0),"",'Price History'!G154/'Price History'!G153-1),"")</f>
        <v>0.0836755927933846</v>
      </c>
      <c r="H153" s="154" t="n">
        <f aca="false">IFERROR(IF(OR(NOT(ISNUMBER('Price History'!H154)),NOT(ISNUMBER('Price History'!H153)),'Price History'!H153=0),"",'Price History'!H154/'Price History'!H153-1),"")</f>
        <v>0.066267329258958</v>
      </c>
      <c r="I153" s="154" t="n">
        <f aca="false">IFERROR(IF(OR(NOT(ISNUMBER('Price History'!I154)),NOT(ISNUMBER('Price History'!I153)),'Price History'!I153=0),"",'Price History'!I154/'Price History'!I153-1),"")</f>
        <v>0.115593676756595</v>
      </c>
      <c r="J153" s="154" t="n">
        <f aca="false">IFERROR(IF(OR(NOT(ISNUMBER('Price History'!J154)),NOT(ISNUMBER('Price History'!J153)),'Price History'!J153=0),"",'Price History'!J154/'Price History'!J153-1),"")</f>
        <v>-0.0307381334076811</v>
      </c>
      <c r="K153" s="154" t="n">
        <f aca="false">IFERROR(IF(OR(NOT(ISNUMBER('Price History'!K154)),NOT(ISNUMBER('Price History'!K153)),'Price History'!K153=0),"",'Price History'!K154/'Price History'!K153-1),"")</f>
        <v>0.397773443848529</v>
      </c>
      <c r="L153" s="154" t="n">
        <f aca="false">IFERROR(IF(OR(NOT(ISNUMBER('Price History'!L154)),NOT(ISNUMBER('Price History'!L153)),'Price History'!L153=0),"",'Price History'!L154/'Price History'!L153-1),"")</f>
        <v>0.0390654066522806</v>
      </c>
      <c r="M153" s="154" t="n">
        <f aca="false">IFERROR(IF(OR(NOT(ISNUMBER('Price History'!M154)),NOT(ISNUMBER('Price History'!M153)),'Price History'!M153=0),"",'Price History'!M154/'Price History'!M153-1),"")</f>
        <v>0.127613763405242</v>
      </c>
      <c r="N153" s="154" t="n">
        <f aca="false">IFERROR(IF(OR(NOT(ISNUMBER('Price History'!N154)),NOT(ISNUMBER('Price History'!N153)),'Price History'!N153=0),"",'Price History'!N154/'Price History'!N153-1),"")</f>
        <v>0.0397610563823096</v>
      </c>
      <c r="O153" s="154" t="n">
        <f aca="false">IFERROR(IF(OR(NOT(ISNUMBER('Price History'!O154)),NOT(ISNUMBER('Price History'!O153)),'Price History'!O153=0),"",'Price History'!O154/'Price History'!O153-1),"")</f>
        <v>0.0128133258588932</v>
      </c>
      <c r="P153" s="154" t="n">
        <f aca="false">IFERROR(IF(OR(NOT(ISNUMBER('Price History'!P154)),NOT(ISNUMBER('Price History'!P153)),'Price History'!P153=0),"",'Price History'!P154/'Price History'!P153-1),"")</f>
        <v>0.00431546688348261</v>
      </c>
      <c r="Q153" s="154" t="n">
        <f aca="false">IFERROR(IF(OR(NOT(ISNUMBER('Price History'!Q154)),NOT(ISNUMBER('Price History'!Q153)),'Price History'!Q153=0),"",'Price History'!Q154/'Price History'!Q153-1),"")</f>
        <v>0.0206260971328263</v>
      </c>
      <c r="R153" s="154" t="n">
        <f aca="false">IFERROR(IF(OR(NOT(ISNUMBER('Price History'!R154)),NOT(ISNUMBER('Price History'!R153)),'Price History'!R153=0),"",'Price History'!R154/'Price History'!R153-1),"")</f>
        <v>0.0381408550647508</v>
      </c>
      <c r="S153" s="154" t="n">
        <f aca="false">IFERROR(IF(OR(NOT(ISNUMBER('Price History'!S154)),NOT(ISNUMBER('Price History'!S153)),'Price History'!S153=0),"",'Price History'!S154/'Price History'!S153-1),"")</f>
        <v>0.0407381615598885</v>
      </c>
      <c r="T153" s="154" t="n">
        <f aca="false">IFERROR(IF(OR(NOT(ISNUMBER('Price History'!T154)),NOT(ISNUMBER('Price History'!T153)),'Price History'!T153=0),"",'Price History'!T154/'Price History'!T153-1),"")</f>
        <v>0.0352751461398912</v>
      </c>
      <c r="U153" s="154" t="n">
        <f aca="false">IFERROR(IF(OR(NOT(ISNUMBER('Price History'!U154)),NOT(ISNUMBER('Price History'!U153)),'Price History'!U153=0),"",'Price History'!U154/'Price History'!U153-1),"")</f>
        <v>0.0126467931345982</v>
      </c>
      <c r="V153" s="155" t="n">
        <f aca="false">IFERROR(IF(OR(NOT(ISNUMBER('Price History'!V154)),NOT(ISNUMBER('Price History'!V153)),'Price History'!V153=0),"",'Price History'!V154/'Price History'!V153-1),"")</f>
        <v>-0.00990559584074435</v>
      </c>
      <c r="W153" s="156" t="n">
        <f aca="false">IFERROR('Price History'!B3+(INDEX('Price History'!B:B,MATCH(9.99E+307,'Returns (Calc)'!$A:$A)+1)-'Price History'!B3)*(ROW()-3)/(MATCH(9.99E+307,'Returns (Calc)'!$A:$A)-3),"")</f>
        <v>252.434303797468</v>
      </c>
      <c r="X153" s="156" t="n">
        <f aca="false">IFERROR('Price History'!C3+(INDEX('Price History'!C:C,MATCH(9.99E+307,'Returns (Calc)'!$A:$A)+1)-'Price History'!C3)*(ROW()-3)/(MATCH(9.99E+307,'Returns (Calc)'!$A:$A)-3),"")</f>
        <v>199.189493670886</v>
      </c>
      <c r="Y153" s="156" t="n">
        <f aca="false">IFERROR('Price History'!D3+(INDEX('Price History'!D:D,MATCH(9.99E+307,'Returns (Calc)'!$A:$A)+1)-'Price History'!D3)*(ROW()-3)/(MATCH(9.99E+307,'Returns (Calc)'!$A:$A)-3),"")</f>
        <v>1802.23151898734</v>
      </c>
      <c r="Z153" s="156" t="n">
        <f aca="false">IFERROR('Price History'!E3+(INDEX('Price History'!E:E,MATCH(9.99E+307,'Returns (Calc)'!$A:$A)+1)-'Price History'!E3)*(ROW()-3)/(MATCH(9.99E+307,'Returns (Calc)'!$A:$A)-3),"")</f>
        <v>341.310126582279</v>
      </c>
      <c r="AA153" s="156" t="n">
        <f aca="false">IFERROR('Price History'!F3+(INDEX('Price History'!F:F,MATCH(9.99E+307,'Returns (Calc)'!$A:$A)+1)-'Price History'!F3)*(ROW()-3)/(MATCH(9.99E+307,'Returns (Calc)'!$A:$A)-3),"")</f>
        <v>258.461265822785</v>
      </c>
      <c r="AB153" s="156" t="n">
        <f aca="false">IFERROR('Price History'!G3+(INDEX('Price History'!G:G,MATCH(9.99E+307,'Returns (Calc)'!$A:$A)+1)-'Price History'!G3)*(ROW()-3)/(MATCH(9.99E+307,'Returns (Calc)'!$A:$A)-3),"")</f>
        <v>198.660126582278</v>
      </c>
      <c r="AC153" s="156" t="n">
        <f aca="false">IFERROR('Price History'!H3+(INDEX('Price History'!H:H,MATCH(9.99E+307,'Returns (Calc)'!$A:$A)+1)-'Price History'!H3)*(ROW()-3)/(MATCH(9.99E+307,'Returns (Calc)'!$A:$A)-3),"")</f>
        <v>1023.96443037975</v>
      </c>
      <c r="AD153" s="156" t="n">
        <f aca="false">IFERROR('Price History'!I3+(INDEX('Price History'!I:I,MATCH(9.99E+307,'Returns (Calc)'!$A:$A)+1)-'Price History'!I3)*(ROW()-3)/(MATCH(9.99E+307,'Returns (Calc)'!$A:$A)-3),"")</f>
        <v>224.320632911392</v>
      </c>
      <c r="AE153" s="156" t="n">
        <f aca="false">IFERROR('Price History'!J3+(INDEX('Price History'!J:J,MATCH(9.99E+307,'Returns (Calc)'!$A:$A)+1)-'Price History'!J3)*(ROW()-3)/(MATCH(9.99E+307,'Returns (Calc)'!$A:$A)-3),"")</f>
        <v>128.045696202532</v>
      </c>
      <c r="AF153" s="156" t="n">
        <f aca="false">IFERROR('Price History'!K3+(INDEX('Price History'!K:K,MATCH(9.99E+307,'Returns (Calc)'!$A:$A)+1)-'Price History'!K3)*(ROW()-3)/(MATCH(9.99E+307,'Returns (Calc)'!$A:$A)-3),"")</f>
        <v>179.969240506329</v>
      </c>
      <c r="AG153" s="156" t="n">
        <f aca="false">IFERROR('Price History'!L3+(INDEX('Price History'!L:L,MATCH(9.99E+307,'Returns (Calc)'!$A:$A)+1)-'Price History'!L3)*(ROW()-3)/(MATCH(9.99E+307,'Returns (Calc)'!$A:$A)-3),"")</f>
        <v>453.183544303797</v>
      </c>
      <c r="AH153" s="156" t="n">
        <f aca="false">IFERROR('Price History'!M3+(INDEX('Price History'!M:M,MATCH(9.99E+307,'Returns (Calc)'!$A:$A)+1)-'Price History'!M3)*(ROW()-3)/(MATCH(9.99E+307,'Returns (Calc)'!$A:$A)-3),"")</f>
        <v>241.336455696203</v>
      </c>
      <c r="AI153" s="156" t="n">
        <f aca="false">IFERROR('Price History'!N3+(INDEX('Price History'!N:N,MATCH(9.99E+307,'Returns (Calc)'!$A:$A)+1)-'Price History'!N3)*(ROW()-3)/(MATCH(9.99E+307,'Returns (Calc)'!$A:$A)-3),"")</f>
        <v>496.839873417722</v>
      </c>
      <c r="AJ153" s="156" t="n">
        <f aca="false">IFERROR('Price History'!O3+(INDEX('Price History'!O:O,MATCH(9.99E+307,'Returns (Calc)'!$A:$A)+1)-'Price History'!O3)*(ROW()-3)/(MATCH(9.99E+307,'Returns (Calc)'!$A:$A)-3),"")</f>
        <v>117.765696202532</v>
      </c>
      <c r="AK153" s="156" t="n">
        <f aca="false">IFERROR('Price History'!Q3+(INDEX('Price History'!Q:Q,MATCH(9.99E+307,'Returns (Calc)'!$A:$A)+1)-'Price History'!Q3)*(ROW()-3)/(MATCH(9.99E+307,'Returns (Calc)'!$A:$A)-3),"")</f>
        <v>65.9050632911392</v>
      </c>
      <c r="AL153" s="156" t="n">
        <f aca="false">IFERROR('Price History'!R3+(INDEX('Price History'!R:R,MATCH(9.99E+307,'Returns (Calc)'!$A:$A)+1)-'Price History'!R3)*(ROW()-3)/(MATCH(9.99E+307,'Returns (Calc)'!$A:$A)-3),"")</f>
        <v>59.6951898734177</v>
      </c>
      <c r="AM153" s="156" t="n">
        <f aca="false">IFERROR('Price History'!S3+(INDEX('Price History'!S:S,MATCH(9.99E+307,'Returns (Calc)'!$A:$A)+1)-'Price History'!S3)*(ROW()-3)/(MATCH(9.99E+307,'Returns (Calc)'!$A:$A)-3),"")</f>
        <v>148.389493670886</v>
      </c>
      <c r="AN153" s="156" t="n">
        <f aca="false">IFERROR('Price History'!T3+(INDEX('Price History'!T:T,MATCH(9.99E+307,'Returns (Calc)'!$A:$A)+1)-'Price History'!T3)*(ROW()-3)/(MATCH(9.99E+307,'Returns (Calc)'!$A:$A)-3),"")</f>
        <v>50.4741772151899</v>
      </c>
      <c r="AO153" s="157" t="n">
        <f aca="false">IFERROR('Price History'!V3+(INDEX('Price History'!V:V,MATCH(9.99E+307,'Returns (Calc)'!$A:$A)+1)-'Price History'!V3)*(ROW()-3)/(MATCH(9.99E+307,'Returns (Calc)'!$A:$A)-3),"")</f>
        <v>354.329367088608</v>
      </c>
      <c r="AP153" s="155" t="n">
        <f aca="false">IFERROR(IF(OR(NOT(ISNUMBER('Price History'!W154)),NOT(ISNUMBER('Price History'!W153)),'Price History'!W153=0),"",'Price History'!W154/'Price History'!W153-1),"")</f>
        <v>0.0226609548643448</v>
      </c>
      <c r="AQ153" s="155" t="n">
        <f aca="false">IFERROR(IF(OR(NOT(ISNUMBER('Price History'!X154)),NOT(ISNUMBER('Price History'!X153)),'Price History'!X153=0),"",'Price History'!X154/'Price History'!X153-1),"")</f>
        <v>-0.0261819551704653</v>
      </c>
      <c r="AR153" s="155" t="n">
        <f aca="false">IFERROR(IF(OR(NOT(ISNUMBER('Price History'!Y154)),NOT(ISNUMBER('Price History'!Y153)),'Price History'!Y153=0),"",'Price History'!Y154/'Price History'!Y153-1),"")</f>
        <v>0.00905057675244003</v>
      </c>
      <c r="AS153" s="155" t="n">
        <f aca="false">IFERROR(IF(OR(NOT(ISNUMBER('Price History'!Z154)),NOT(ISNUMBER('Price History'!Z153)),'Price History'!Z153=0),"",'Price History'!Z154/'Price History'!Z153-1),"")</f>
        <v>0.0278001499708389</v>
      </c>
      <c r="AT153" s="155" t="n">
        <f aca="false">IFERROR(IF(OR(NOT(ISNUMBER('Price History'!AA154)),NOT(ISNUMBER('Price History'!AA153)),'Price History'!AA153=0),"",'Price History'!AA154/'Price History'!AA153-1),"")</f>
        <v>0.0338864872402733</v>
      </c>
      <c r="AU153" s="155" t="n">
        <f aca="false">IFERROR(IF(OR(NOT(ISNUMBER('Price History'!AB154)),NOT(ISNUMBER('Price History'!AB153)),'Price History'!AB153=0),"",'Price History'!AB154/'Price History'!AB153-1),"")</f>
        <v>0.130974580429875</v>
      </c>
    </row>
    <row r="154" customFormat="false" ht="15" hidden="false" customHeight="true" outlineLevel="0" collapsed="false">
      <c r="A154" s="153" t="n">
        <f aca="false">IF('Price History'!A155="","",'Price History'!A155)</f>
        <v>46248</v>
      </c>
      <c r="B154" s="154" t="n">
        <f aca="false">IFERROR(IF(OR(NOT(ISNUMBER('Price History'!B155)),NOT(ISNUMBER('Price History'!B154)),'Price History'!B154=0),"",'Price History'!B155/'Price History'!B154-1),"")</f>
        <v>-0.00448701029372944</v>
      </c>
      <c r="C154" s="154" t="n">
        <f aca="false">IFERROR(IF(OR(NOT(ISNUMBER('Price History'!C155)),NOT(ISNUMBER('Price History'!C154)),'Price History'!C154=0),"",'Price History'!C155/'Price History'!C154-1),"")</f>
        <v>0.0537976360841681</v>
      </c>
      <c r="D154" s="154" t="n">
        <f aca="false">IFERROR(IF(OR(NOT(ISNUMBER('Price History'!D155)),NOT(ISNUMBER('Price History'!D154)),'Price History'!D154=0),"",'Price History'!D155/'Price History'!D154-1),"")</f>
        <v>0.059213436033521</v>
      </c>
      <c r="E154" s="154" t="n">
        <f aca="false">IFERROR(IF(OR(NOT(ISNUMBER('Price History'!E155)),NOT(ISNUMBER('Price History'!E154)),'Price History'!E154=0),"",'Price History'!E155/'Price History'!E154-1),"")</f>
        <v>-0.0812684434868145</v>
      </c>
      <c r="F154" s="154" t="n">
        <f aca="false">IFERROR(IF(OR(NOT(ISNUMBER('Price History'!F155)),NOT(ISNUMBER('Price History'!F154)),'Price History'!F154=0),"",'Price History'!F155/'Price History'!F154-1),"")</f>
        <v>0.0117992724559277</v>
      </c>
      <c r="G154" s="154" t="n">
        <f aca="false">IFERROR(IF(OR(NOT(ISNUMBER('Price History'!G155)),NOT(ISNUMBER('Price History'!G154)),'Price History'!G154=0),"",'Price History'!G155/'Price History'!G154-1),"")</f>
        <v>0.028298549699328</v>
      </c>
      <c r="H154" s="154" t="n">
        <f aca="false">IFERROR(IF(OR(NOT(ISNUMBER('Price History'!H155)),NOT(ISNUMBER('Price History'!H154)),'Price History'!H154=0),"",'Price History'!H155/'Price History'!H154-1),"")</f>
        <v>0.107216518340417</v>
      </c>
      <c r="I154" s="154" t="n">
        <f aca="false">IFERROR(IF(OR(NOT(ISNUMBER('Price History'!I155)),NOT(ISNUMBER('Price History'!I154)),'Price History'!I154=0),"",'Price History'!I155/'Price History'!I154-1),"")</f>
        <v>0.00536408743462524</v>
      </c>
      <c r="J154" s="154" t="n">
        <f aca="false">IFERROR(IF(OR(NOT(ISNUMBER('Price History'!J155)),NOT(ISNUMBER('Price History'!J154)),'Price History'!J154=0),"",'Price History'!J155/'Price History'!J154-1),"")</f>
        <v>0.00618438084280149</v>
      </c>
      <c r="K154" s="154" t="n">
        <f aca="false">IFERROR(IF(OR(NOT(ISNUMBER('Price History'!K155)),NOT(ISNUMBER('Price History'!K154)),'Price History'!K154=0),"",'Price History'!K155/'Price History'!K154-1),"")</f>
        <v>0.0118016394395675</v>
      </c>
      <c r="L154" s="154" t="n">
        <f aca="false">IFERROR(IF(OR(NOT(ISNUMBER('Price History'!L155)),NOT(ISNUMBER('Price History'!L154)),'Price History'!L154=0),"",'Price History'!L155/'Price History'!L154-1),"")</f>
        <v>0.0150147999618064</v>
      </c>
      <c r="M154" s="154" t="n">
        <f aca="false">IFERROR(IF(OR(NOT(ISNUMBER('Price History'!M155)),NOT(ISNUMBER('Price History'!M154)),'Price History'!M154=0),"",'Price History'!M155/'Price History'!M154-1),"")</f>
        <v>0.0787280138067785</v>
      </c>
      <c r="N154" s="154" t="n">
        <f aca="false">IFERROR(IF(OR(NOT(ISNUMBER('Price History'!N155)),NOT(ISNUMBER('Price History'!N154)),'Price History'!N154=0),"",'Price History'!N155/'Price History'!N154-1),"")</f>
        <v>0.0195133751285101</v>
      </c>
      <c r="O154" s="154" t="n">
        <f aca="false">IFERROR(IF(OR(NOT(ISNUMBER('Price History'!O155)),NOT(ISNUMBER('Price History'!O154)),'Price History'!O154=0),"",'Price History'!O155/'Price History'!O154-1),"")</f>
        <v>0.0145489048786274</v>
      </c>
      <c r="P154" s="154" t="n">
        <f aca="false">IFERROR(IF(OR(NOT(ISNUMBER('Price History'!P155)),NOT(ISNUMBER('Price History'!P154)),'Price History'!P154=0),"",'Price History'!P155/'Price History'!P154-1),"")</f>
        <v>0.0222319093286836</v>
      </c>
      <c r="Q154" s="154" t="n">
        <f aca="false">IFERROR(IF(OR(NOT(ISNUMBER('Price History'!Q155)),NOT(ISNUMBER('Price History'!Q154)),'Price History'!Q154=0),"",'Price History'!Q155/'Price History'!Q154-1),"")</f>
        <v>0.00415651426114394</v>
      </c>
      <c r="R154" s="154" t="n">
        <f aca="false">IFERROR(IF(OR(NOT(ISNUMBER('Price History'!R155)),NOT(ISNUMBER('Price History'!R154)),'Price History'!R154=0),"",'Price History'!R155/'Price History'!R154-1),"")</f>
        <v>0.013157894736842</v>
      </c>
      <c r="S154" s="154" t="n">
        <f aca="false">IFERROR(IF(OR(NOT(ISNUMBER('Price History'!S155)),NOT(ISNUMBER('Price History'!S154)),'Price History'!S154=0),"",'Price History'!S155/'Price History'!S154-1),"")</f>
        <v>0.0241552358648378</v>
      </c>
      <c r="T154" s="154" t="n">
        <f aca="false">IFERROR(IF(OR(NOT(ISNUMBER('Price History'!T155)),NOT(ISNUMBER('Price History'!T154)),'Price History'!T154=0),"",'Price History'!T155/'Price History'!T154-1),"")</f>
        <v>0.043613707165109</v>
      </c>
      <c r="U154" s="154" t="n">
        <f aca="false">IFERROR(IF(OR(NOT(ISNUMBER('Price History'!U155)),NOT(ISNUMBER('Price History'!U154)),'Price History'!U154=0),"",'Price History'!U155/'Price History'!U154-1),"")</f>
        <v>0.0184359203092477</v>
      </c>
      <c r="V154" s="155" t="n">
        <f aca="false">IFERROR(IF(OR(NOT(ISNUMBER('Price History'!V155)),NOT(ISNUMBER('Price History'!V154)),'Price History'!V154=0),"",'Price History'!V155/'Price History'!V154-1),"")</f>
        <v>0.0064118508691926</v>
      </c>
      <c r="W154" s="156" t="n">
        <f aca="false">IFERROR('Price History'!B3+(INDEX('Price History'!B:B,MATCH(9.99E+307,'Returns (Calc)'!$A:$A)+1)-'Price History'!B3)*(ROW()-3)/(MATCH(9.99E+307,'Returns (Calc)'!$A:$A)-3),"")</f>
        <v>250.591265822785</v>
      </c>
      <c r="X154" s="156" t="n">
        <f aca="false">IFERROR('Price History'!C3+(INDEX('Price History'!C:C,MATCH(9.99E+307,'Returns (Calc)'!$A:$A)+1)-'Price History'!C3)*(ROW()-3)/(MATCH(9.99E+307,'Returns (Calc)'!$A:$A)-3),"")</f>
        <v>200.209556962025</v>
      </c>
      <c r="Y154" s="156" t="n">
        <f aca="false">IFERROR('Price History'!D3+(INDEX('Price History'!D:D,MATCH(9.99E+307,'Returns (Calc)'!$A:$A)+1)-'Price History'!D3)*(ROW()-3)/(MATCH(9.99E+307,'Returns (Calc)'!$A:$A)-3),"")</f>
        <v>1810.36632911392</v>
      </c>
      <c r="Z154" s="156" t="n">
        <f aca="false">IFERROR('Price History'!E3+(INDEX('Price History'!E:E,MATCH(9.99E+307,'Returns (Calc)'!$A:$A)+1)-'Price History'!E3)*(ROW()-3)/(MATCH(9.99E+307,'Returns (Calc)'!$A:$A)-3),"")</f>
        <v>343.038860759494</v>
      </c>
      <c r="AA154" s="156" t="n">
        <f aca="false">IFERROR('Price History'!F3+(INDEX('Price History'!F:F,MATCH(9.99E+307,'Returns (Calc)'!$A:$A)+1)-'Price History'!F3)*(ROW()-3)/(MATCH(9.99E+307,'Returns (Calc)'!$A:$A)-3),"")</f>
        <v>259.908607594937</v>
      </c>
      <c r="AB154" s="156" t="n">
        <f aca="false">IFERROR('Price History'!G3+(INDEX('Price History'!G:G,MATCH(9.99E+307,'Returns (Calc)'!$A:$A)+1)-'Price History'!G3)*(ROW()-3)/(MATCH(9.99E+307,'Returns (Calc)'!$A:$A)-3),"")</f>
        <v>199.688860759494</v>
      </c>
      <c r="AC154" s="156" t="n">
        <f aca="false">IFERROR('Price History'!H3+(INDEX('Price History'!H:H,MATCH(9.99E+307,'Returns (Calc)'!$A:$A)+1)-'Price History'!H3)*(ROW()-3)/(MATCH(9.99E+307,'Returns (Calc)'!$A:$A)-3),"")</f>
        <v>1030.33012658228</v>
      </c>
      <c r="AD154" s="156" t="n">
        <f aca="false">IFERROR('Price History'!I3+(INDEX('Price History'!I:I,MATCH(9.99E+307,'Returns (Calc)'!$A:$A)+1)-'Price History'!I3)*(ROW()-3)/(MATCH(9.99E+307,'Returns (Calc)'!$A:$A)-3),"")</f>
        <v>225.524303797468</v>
      </c>
      <c r="AE154" s="156" t="n">
        <f aca="false">IFERROR('Price History'!J3+(INDEX('Price History'!J:J,MATCH(9.99E+307,'Returns (Calc)'!$A:$A)+1)-'Price History'!J3)*(ROW()-3)/(MATCH(9.99E+307,'Returns (Calc)'!$A:$A)-3),"")</f>
        <v>128.153734177215</v>
      </c>
      <c r="AF154" s="156" t="n">
        <f aca="false">IFERROR('Price History'!K3+(INDEX('Price History'!K:K,MATCH(9.99E+307,'Returns (Calc)'!$A:$A)+1)-'Price History'!K3)*(ROW()-3)/(MATCH(9.99E+307,'Returns (Calc)'!$A:$A)-3),"")</f>
        <v>181.066835443038</v>
      </c>
      <c r="AG154" s="156" t="n">
        <f aca="false">IFERROR('Price History'!L3+(INDEX('Price History'!L:L,MATCH(9.99E+307,'Returns (Calc)'!$A:$A)+1)-'Price History'!L3)*(ROW()-3)/(MATCH(9.99E+307,'Returns (Calc)'!$A:$A)-3),"")</f>
        <v>455.633101265823</v>
      </c>
      <c r="AH154" s="156" t="n">
        <f aca="false">IFERROR('Price History'!M3+(INDEX('Price History'!M:M,MATCH(9.99E+307,'Returns (Calc)'!$A:$A)+1)-'Price History'!M3)*(ROW()-3)/(MATCH(9.99E+307,'Returns (Calc)'!$A:$A)-3),"")</f>
        <v>242.691898734177</v>
      </c>
      <c r="AI154" s="156" t="n">
        <f aca="false">IFERROR('Price History'!N3+(INDEX('Price History'!N:N,MATCH(9.99E+307,'Returns (Calc)'!$A:$A)+1)-'Price History'!N3)*(ROW()-3)/(MATCH(9.99E+307,'Returns (Calc)'!$A:$A)-3),"")</f>
        <v>497.826139240506</v>
      </c>
      <c r="AJ154" s="156" t="n">
        <f aca="false">IFERROR('Price History'!O3+(INDEX('Price History'!O:O,MATCH(9.99E+307,'Returns (Calc)'!$A:$A)+1)-'Price History'!O3)*(ROW()-3)/(MATCH(9.99E+307,'Returns (Calc)'!$A:$A)-3),"")</f>
        <v>118.048734177215</v>
      </c>
      <c r="AK154" s="156" t="n">
        <f aca="false">IFERROR('Price History'!Q3+(INDEX('Price History'!Q:Q,MATCH(9.99E+307,'Returns (Calc)'!$A:$A)+1)-'Price History'!Q3)*(ROW()-3)/(MATCH(9.99E+307,'Returns (Calc)'!$A:$A)-3),"")</f>
        <v>66.3444303797468</v>
      </c>
      <c r="AL154" s="156" t="n">
        <f aca="false">IFERROR('Price History'!R3+(INDEX('Price History'!R:R,MATCH(9.99E+307,'Returns (Calc)'!$A:$A)+1)-'Price History'!R3)*(ROW()-3)/(MATCH(9.99E+307,'Returns (Calc)'!$A:$A)-3),"")</f>
        <v>59.8632911392405</v>
      </c>
      <c r="AM154" s="156" t="n">
        <f aca="false">IFERROR('Price History'!S3+(INDEX('Price History'!S:S,MATCH(9.99E+307,'Returns (Calc)'!$A:$A)+1)-'Price History'!S3)*(ROW()-3)/(MATCH(9.99E+307,'Returns (Calc)'!$A:$A)-3),"")</f>
        <v>148.994556962025</v>
      </c>
      <c r="AN154" s="156" t="n">
        <f aca="false">IFERROR('Price History'!T3+(INDEX('Price History'!T:T,MATCH(9.99E+307,'Returns (Calc)'!$A:$A)+1)-'Price History'!T3)*(ROW()-3)/(MATCH(9.99E+307,'Returns (Calc)'!$A:$A)-3),"")</f>
        <v>50.6424050632911</v>
      </c>
      <c r="AO154" s="157" t="n">
        <f aca="false">IFERROR('Price History'!V3+(INDEX('Price History'!V:V,MATCH(9.99E+307,'Returns (Calc)'!$A:$A)+1)-'Price History'!V3)*(ROW()-3)/(MATCH(9.99E+307,'Returns (Calc)'!$A:$A)-3),"")</f>
        <v>355.120696202532</v>
      </c>
      <c r="AP154" s="155" t="n">
        <f aca="false">IFERROR(IF(OR(NOT(ISNUMBER('Price History'!W155)),NOT(ISNUMBER('Price History'!W154)),'Price History'!W154=0),"",'Price History'!W155/'Price History'!W154-1),"")</f>
        <v>0.00534239922292379</v>
      </c>
      <c r="AQ154" s="155" t="n">
        <f aca="false">IFERROR(IF(OR(NOT(ISNUMBER('Price History'!X155)),NOT(ISNUMBER('Price History'!X154)),'Price History'!X154=0),"",'Price History'!X155/'Price History'!X154-1),"")</f>
        <v>0.0396518375241779</v>
      </c>
      <c r="AR154" s="155" t="n">
        <f aca="false">IFERROR(IF(OR(NOT(ISNUMBER('Price History'!Y155)),NOT(ISNUMBER('Price History'!Y154)),'Price History'!Y154=0),"",'Price History'!Y155/'Price History'!Y154-1),"")</f>
        <v>0.00773830460780856</v>
      </c>
      <c r="AS154" s="155" t="n">
        <f aca="false">IFERROR(IF(OR(NOT(ISNUMBER('Price History'!Z155)),NOT(ISNUMBER('Price History'!Z154)),'Price History'!Z154=0),"",'Price History'!Z155/'Price History'!Z154-1),"")</f>
        <v>-0.00459360138348464</v>
      </c>
      <c r="AT154" s="155" t="n">
        <f aca="false">IFERROR(IF(OR(NOT(ISNUMBER('Price History'!AA155)),NOT(ISNUMBER('Price History'!AA154)),'Price History'!AA154=0),"",'Price History'!AA155/'Price History'!AA154-1),"")</f>
        <v>0.0542217426490423</v>
      </c>
      <c r="AU154" s="155" t="n">
        <f aca="false">IFERROR(IF(OR(NOT(ISNUMBER('Price History'!AB155)),NOT(ISNUMBER('Price History'!AB154)),'Price History'!AB154=0),"",'Price History'!AB155/'Price History'!AB154-1),"")</f>
        <v>0.0576213823925023</v>
      </c>
    </row>
    <row r="155" customFormat="false" ht="15" hidden="false" customHeight="true" outlineLevel="0" collapsed="false">
      <c r="A155" s="153" t="n">
        <f aca="false">IF('Price History'!A156="","",'Price History'!A156)</f>
        <v>46255</v>
      </c>
      <c r="B155" s="154" t="n">
        <f aca="false">IFERROR(IF(OR(NOT(ISNUMBER('Price History'!B156)),NOT(ISNUMBER('Price History'!B155)),'Price History'!B155=0),"",'Price History'!B156/'Price History'!B155-1),"")</f>
        <v>0.0427240360578745</v>
      </c>
      <c r="C155" s="154" t="n">
        <f aca="false">IFERROR(IF(OR(NOT(ISNUMBER('Price History'!C156)),NOT(ISNUMBER('Price History'!C155)),'Price History'!C155=0),"",'Price History'!C156/'Price History'!C155-1),"")</f>
        <v>-0.0511517955940045</v>
      </c>
      <c r="D155" s="154" t="n">
        <f aca="false">IFERROR(IF(OR(NOT(ISNUMBER('Price History'!D156)),NOT(ISNUMBER('Price History'!D155)),'Price History'!D155=0),"",'Price History'!D156/'Price History'!D155-1),"")</f>
        <v>-0.0435555941173919</v>
      </c>
      <c r="E155" s="154" t="n">
        <f aca="false">IFERROR(IF(OR(NOT(ISNUMBER('Price History'!E156)),NOT(ISNUMBER('Price History'!E155)),'Price History'!E155=0),"",'Price History'!E156/'Price History'!E155-1),"")</f>
        <v>-0.0624553890078515</v>
      </c>
      <c r="F155" s="154" t="n">
        <f aca="false">IFERROR(IF(OR(NOT(ISNUMBER('Price History'!F156)),NOT(ISNUMBER('Price History'!F155)),'Price History'!F155=0),"",'Price History'!F156/'Price History'!F155-1),"")</f>
        <v>-0.115233924867481</v>
      </c>
      <c r="G155" s="154" t="n">
        <f aca="false">IFERROR(IF(OR(NOT(ISNUMBER('Price History'!G156)),NOT(ISNUMBER('Price History'!G155)),'Price History'!G155=0),"",'Price History'!G156/'Price History'!G155-1),"")</f>
        <v>-0.095827804806133</v>
      </c>
      <c r="H155" s="154" t="n">
        <f aca="false">IFERROR(IF(OR(NOT(ISNUMBER('Price History'!H156)),NOT(ISNUMBER('Price History'!H155)),'Price History'!H155=0),"",'Price History'!H156/'Price History'!H155-1),"")</f>
        <v>-0.00502233291480558</v>
      </c>
      <c r="I155" s="154" t="n">
        <f aca="false">IFERROR(IF(OR(NOT(ISNUMBER('Price History'!I156)),NOT(ISNUMBER('Price History'!I155)),'Price History'!I155=0),"",'Price History'!I156/'Price History'!I155-1),"")</f>
        <v>-0.0463741051976346</v>
      </c>
      <c r="J155" s="154" t="n">
        <f aca="false">IFERROR(IF(OR(NOT(ISNUMBER('Price History'!J156)),NOT(ISNUMBER('Price History'!J155)),'Price History'!J155=0),"",'Price History'!J156/'Price History'!J155-1),"")</f>
        <v>0.00543167524299615</v>
      </c>
      <c r="K155" s="154" t="n">
        <f aca="false">IFERROR(IF(OR(NOT(ISNUMBER('Price History'!K156)),NOT(ISNUMBER('Price History'!K155)),'Price History'!K155=0),"",'Price History'!K156/'Price History'!K155-1),"")</f>
        <v>0.0339002528154448</v>
      </c>
      <c r="L155" s="154" t="n">
        <f aca="false">IFERROR(IF(OR(NOT(ISNUMBER('Price History'!L156)),NOT(ISNUMBER('Price History'!L155)),'Price History'!L155=0),"",'Price History'!L156/'Price History'!L155-1),"")</f>
        <v>-0.0173561299122786</v>
      </c>
      <c r="M155" s="154" t="n">
        <f aca="false">IFERROR(IF(OR(NOT(ISNUMBER('Price History'!M156)),NOT(ISNUMBER('Price History'!M155)),'Price History'!M155=0),"",'Price History'!M156/'Price History'!M155-1),"")</f>
        <v>-0.108520270960275</v>
      </c>
      <c r="N155" s="154" t="n">
        <f aca="false">IFERROR(IF(OR(NOT(ISNUMBER('Price History'!N156)),NOT(ISNUMBER('Price History'!N155)),'Price History'!N155=0),"",'Price History'!N156/'Price History'!N155-1),"")</f>
        <v>0.0836381611468116</v>
      </c>
      <c r="O155" s="154" t="n">
        <f aca="false">IFERROR(IF(OR(NOT(ISNUMBER('Price History'!O156)),NOT(ISNUMBER('Price History'!O155)),'Price History'!O155=0),"",'Price History'!O156/'Price History'!O155-1),"")</f>
        <v>-0.0176915283298261</v>
      </c>
      <c r="P155" s="154" t="n">
        <f aca="false">IFERROR(IF(OR(NOT(ISNUMBER('Price History'!P156)),NOT(ISNUMBER('Price History'!P155)),'Price History'!P155=0),"",'Price History'!P156/'Price History'!P155-1),"")</f>
        <v>-0.00852878464818763</v>
      </c>
      <c r="Q155" s="154" t="n">
        <f aca="false">IFERROR(IF(OR(NOT(ISNUMBER('Price History'!Q156)),NOT(ISNUMBER('Price History'!Q155)),'Price History'!Q155=0),"",'Price History'!Q156/'Price History'!Q155-1),"")</f>
        <v>-0.0105623751070513</v>
      </c>
      <c r="R155" s="154" t="n">
        <f aca="false">IFERROR(IF(OR(NOT(ISNUMBER('Price History'!R156)),NOT(ISNUMBER('Price History'!R155)),'Price History'!R155=0),"",'Price History'!R156/'Price History'!R155-1),"")</f>
        <v>-0.0114690504300894</v>
      </c>
      <c r="S155" s="154" t="n">
        <f aca="false">IFERROR(IF(OR(NOT(ISNUMBER('Price History'!S156)),NOT(ISNUMBER('Price History'!S155)),'Price History'!S155=0),"",'Price History'!S156/'Price History'!S155-1),"")</f>
        <v>-0.0298575721939108</v>
      </c>
      <c r="T155" s="154" t="n">
        <f aca="false">IFERROR(IF(OR(NOT(ISNUMBER('Price History'!T156)),NOT(ISNUMBER('Price History'!T155)),'Price History'!T155=0),"",'Price History'!T156/'Price History'!T155-1),"")</f>
        <v>0.0324626865671642</v>
      </c>
      <c r="U155" s="154" t="n">
        <f aca="false">IFERROR(IF(OR(NOT(ISNUMBER('Price History'!U156)),NOT(ISNUMBER('Price History'!U155)),'Price History'!U155=0),"",'Price History'!U156/'Price History'!U155-1),"")</f>
        <v>0.016934306569343</v>
      </c>
      <c r="V155" s="155" t="n">
        <f aca="false">IFERROR(IF(OR(NOT(ISNUMBER('Price History'!V156)),NOT(ISNUMBER('Price History'!V155)),'Price History'!V155=0),"",'Price History'!V156/'Price History'!V155-1),"")</f>
        <v>0.0189207744061515</v>
      </c>
      <c r="W155" s="156" t="n">
        <f aca="false">IFERROR('Price History'!B3+(INDEX('Price History'!B:B,MATCH(9.99E+307,'Returns (Calc)'!$A:$A)+1)-'Price History'!B3)*(ROW()-3)/(MATCH(9.99E+307,'Returns (Calc)'!$A:$A)-3),"")</f>
        <v>248.748227848101</v>
      </c>
      <c r="X155" s="156" t="n">
        <f aca="false">IFERROR('Price History'!C3+(INDEX('Price History'!C:C,MATCH(9.99E+307,'Returns (Calc)'!$A:$A)+1)-'Price History'!C3)*(ROW()-3)/(MATCH(9.99E+307,'Returns (Calc)'!$A:$A)-3),"")</f>
        <v>201.229620253165</v>
      </c>
      <c r="Y155" s="156" t="n">
        <f aca="false">IFERROR('Price History'!D3+(INDEX('Price History'!D:D,MATCH(9.99E+307,'Returns (Calc)'!$A:$A)+1)-'Price History'!D3)*(ROW()-3)/(MATCH(9.99E+307,'Returns (Calc)'!$A:$A)-3),"")</f>
        <v>1818.50113924051</v>
      </c>
      <c r="Z155" s="156" t="n">
        <f aca="false">IFERROR('Price History'!E3+(INDEX('Price History'!E:E,MATCH(9.99E+307,'Returns (Calc)'!$A:$A)+1)-'Price History'!E3)*(ROW()-3)/(MATCH(9.99E+307,'Returns (Calc)'!$A:$A)-3),"")</f>
        <v>344.767594936709</v>
      </c>
      <c r="AA155" s="156" t="n">
        <f aca="false">IFERROR('Price History'!F3+(INDEX('Price History'!F:F,MATCH(9.99E+307,'Returns (Calc)'!$A:$A)+1)-'Price History'!F3)*(ROW()-3)/(MATCH(9.99E+307,'Returns (Calc)'!$A:$A)-3),"")</f>
        <v>261.355949367089</v>
      </c>
      <c r="AB155" s="156" t="n">
        <f aca="false">IFERROR('Price History'!G3+(INDEX('Price History'!G:G,MATCH(9.99E+307,'Returns (Calc)'!$A:$A)+1)-'Price History'!G3)*(ROW()-3)/(MATCH(9.99E+307,'Returns (Calc)'!$A:$A)-3),"")</f>
        <v>200.717594936709</v>
      </c>
      <c r="AC155" s="156" t="n">
        <f aca="false">IFERROR('Price History'!H3+(INDEX('Price History'!H:H,MATCH(9.99E+307,'Returns (Calc)'!$A:$A)+1)-'Price History'!H3)*(ROW()-3)/(MATCH(9.99E+307,'Returns (Calc)'!$A:$A)-3),"")</f>
        <v>1036.69582278481</v>
      </c>
      <c r="AD155" s="156" t="n">
        <f aca="false">IFERROR('Price History'!I3+(INDEX('Price History'!I:I,MATCH(9.99E+307,'Returns (Calc)'!$A:$A)+1)-'Price History'!I3)*(ROW()-3)/(MATCH(9.99E+307,'Returns (Calc)'!$A:$A)-3),"")</f>
        <v>226.727974683544</v>
      </c>
      <c r="AE155" s="156" t="n">
        <f aca="false">IFERROR('Price History'!J3+(INDEX('Price History'!J:J,MATCH(9.99E+307,'Returns (Calc)'!$A:$A)+1)-'Price History'!J3)*(ROW()-3)/(MATCH(9.99E+307,'Returns (Calc)'!$A:$A)-3),"")</f>
        <v>128.261772151899</v>
      </c>
      <c r="AF155" s="156" t="n">
        <f aca="false">IFERROR('Price History'!K3+(INDEX('Price History'!K:K,MATCH(9.99E+307,'Returns (Calc)'!$A:$A)+1)-'Price History'!K3)*(ROW()-3)/(MATCH(9.99E+307,'Returns (Calc)'!$A:$A)-3),"")</f>
        <v>182.164430379747</v>
      </c>
      <c r="AG155" s="156" t="n">
        <f aca="false">IFERROR('Price History'!L3+(INDEX('Price History'!L:L,MATCH(9.99E+307,'Returns (Calc)'!$A:$A)+1)-'Price History'!L3)*(ROW()-3)/(MATCH(9.99E+307,'Returns (Calc)'!$A:$A)-3),"")</f>
        <v>458.082658227848</v>
      </c>
      <c r="AH155" s="156" t="n">
        <f aca="false">IFERROR('Price History'!M3+(INDEX('Price History'!M:M,MATCH(9.99E+307,'Returns (Calc)'!$A:$A)+1)-'Price History'!M3)*(ROW()-3)/(MATCH(9.99E+307,'Returns (Calc)'!$A:$A)-3),"")</f>
        <v>244.047341772152</v>
      </c>
      <c r="AI155" s="156" t="n">
        <f aca="false">IFERROR('Price History'!N3+(INDEX('Price History'!N:N,MATCH(9.99E+307,'Returns (Calc)'!$A:$A)+1)-'Price History'!N3)*(ROW()-3)/(MATCH(9.99E+307,'Returns (Calc)'!$A:$A)-3),"")</f>
        <v>498.812405063291</v>
      </c>
      <c r="AJ155" s="156" t="n">
        <f aca="false">IFERROR('Price History'!O3+(INDEX('Price History'!O:O,MATCH(9.99E+307,'Returns (Calc)'!$A:$A)+1)-'Price History'!O3)*(ROW()-3)/(MATCH(9.99E+307,'Returns (Calc)'!$A:$A)-3),"")</f>
        <v>118.331772151899</v>
      </c>
      <c r="AK155" s="156" t="n">
        <f aca="false">IFERROR('Price History'!Q3+(INDEX('Price History'!Q:Q,MATCH(9.99E+307,'Returns (Calc)'!$A:$A)+1)-'Price History'!Q3)*(ROW()-3)/(MATCH(9.99E+307,'Returns (Calc)'!$A:$A)-3),"")</f>
        <v>66.7837974683544</v>
      </c>
      <c r="AL155" s="156" t="n">
        <f aca="false">IFERROR('Price History'!R3+(INDEX('Price History'!R:R,MATCH(9.99E+307,'Returns (Calc)'!$A:$A)+1)-'Price History'!R3)*(ROW()-3)/(MATCH(9.99E+307,'Returns (Calc)'!$A:$A)-3),"")</f>
        <v>60.0313924050633</v>
      </c>
      <c r="AM155" s="156" t="n">
        <f aca="false">IFERROR('Price History'!S3+(INDEX('Price History'!S:S,MATCH(9.99E+307,'Returns (Calc)'!$A:$A)+1)-'Price History'!S3)*(ROW()-3)/(MATCH(9.99E+307,'Returns (Calc)'!$A:$A)-3),"")</f>
        <v>149.599620253165</v>
      </c>
      <c r="AN155" s="156" t="n">
        <f aca="false">IFERROR('Price History'!T3+(INDEX('Price History'!T:T,MATCH(9.99E+307,'Returns (Calc)'!$A:$A)+1)-'Price History'!T3)*(ROW()-3)/(MATCH(9.99E+307,'Returns (Calc)'!$A:$A)-3),"")</f>
        <v>50.8106329113924</v>
      </c>
      <c r="AO155" s="157" t="n">
        <f aca="false">IFERROR('Price History'!V3+(INDEX('Price History'!V:V,MATCH(9.99E+307,'Returns (Calc)'!$A:$A)+1)-'Price History'!V3)*(ROW()-3)/(MATCH(9.99E+307,'Returns (Calc)'!$A:$A)-3),"")</f>
        <v>355.912025316456</v>
      </c>
      <c r="AP155" s="155" t="n">
        <f aca="false">IFERROR(IF(OR(NOT(ISNUMBER('Price History'!W156)),NOT(ISNUMBER('Price History'!W155)),'Price History'!W155=0),"",'Price History'!W156/'Price History'!W155-1),"")</f>
        <v>-0.00929951690821251</v>
      </c>
      <c r="AQ155" s="155" t="n">
        <f aca="false">IFERROR(IF(OR(NOT(ISNUMBER('Price History'!X156)),NOT(ISNUMBER('Price History'!X155)),'Price History'!X155=0),"",'Price History'!X156/'Price History'!X155-1),"")</f>
        <v>-0.00967441860465124</v>
      </c>
      <c r="AR155" s="155" t="n">
        <f aca="false">IFERROR(IF(OR(NOT(ISNUMBER('Price History'!Y156)),NOT(ISNUMBER('Price History'!Y155)),'Price History'!Y155=0),"",'Price History'!Y156/'Price History'!Y155-1),"")</f>
        <v>-0.00174520069808015</v>
      </c>
      <c r="AS155" s="155" t="n">
        <f aca="false">IFERROR(IF(OR(NOT(ISNUMBER('Price History'!Z156)),NOT(ISNUMBER('Price History'!Z155)),'Price History'!Z155=0),"",'Price History'!Z156/'Price History'!Z155-1),"")</f>
        <v>-0.0543189098213801</v>
      </c>
      <c r="AT155" s="155" t="n">
        <f aca="false">IFERROR(IF(OR(NOT(ISNUMBER('Price History'!AA156)),NOT(ISNUMBER('Price History'!AA155)),'Price History'!AA155=0),"",'Price History'!AA156/'Price History'!AA155-1),"")</f>
        <v>0.0182958034800411</v>
      </c>
      <c r="AU155" s="155" t="n">
        <f aca="false">IFERROR(IF(OR(NOT(ISNUMBER('Price History'!AB156)),NOT(ISNUMBER('Price History'!AB155)),'Price History'!AB155=0),"",'Price History'!AB156/'Price History'!AB155-1),"")</f>
        <v>0.0170256410256411</v>
      </c>
    </row>
    <row r="156" customFormat="false" ht="15" hidden="false" customHeight="true" outlineLevel="0" collapsed="false">
      <c r="A156" s="153" t="n">
        <f aca="false">IF('Price History'!A157="","",'Price History'!A157)</f>
        <v>46262</v>
      </c>
      <c r="B156" s="154" t="n">
        <f aca="false">IFERROR(IF(OR(NOT(ISNUMBER('Price History'!B157)),NOT(ISNUMBER('Price History'!B156)),'Price History'!B156=0),"",'Price History'!B157/'Price History'!B156-1),"")</f>
        <v>0.0589175444969123</v>
      </c>
      <c r="C156" s="154" t="n">
        <f aca="false">IFERROR(IF(OR(NOT(ISNUMBER('Price History'!C157)),NOT(ISNUMBER('Price History'!C156)),'Price History'!C156=0),"",'Price History'!C157/'Price History'!C156-1),"")</f>
        <v>0.0356745295520806</v>
      </c>
      <c r="D156" s="154" t="n">
        <f aca="false">IFERROR(IF(OR(NOT(ISNUMBER('Price History'!D157)),NOT(ISNUMBER('Price History'!D156)),'Price History'!D156=0),"",'Price History'!D157/'Price History'!D156-1),"")</f>
        <v>-0.0383272100512541</v>
      </c>
      <c r="E156" s="154" t="n">
        <f aca="false">IFERROR(IF(OR(NOT(ISNUMBER('Price History'!E157)),NOT(ISNUMBER('Price History'!E156)),'Price History'!E156=0),"",'Price History'!E157/'Price History'!E156-1),"")</f>
        <v>0.000924465713198153</v>
      </c>
      <c r="F156" s="154" t="n">
        <f aca="false">IFERROR(IF(OR(NOT(ISNUMBER('Price History'!F157)),NOT(ISNUMBER('Price History'!F156)),'Price History'!F156=0),"",'Price History'!F157/'Price History'!F156-1),"")</f>
        <v>0.137796301120083</v>
      </c>
      <c r="G156" s="154" t="n">
        <f aca="false">IFERROR(IF(OR(NOT(ISNUMBER('Price History'!G157)),NOT(ISNUMBER('Price History'!G156)),'Price History'!G156=0),"",'Price History'!G157/'Price History'!G156-1),"")</f>
        <v>-0.0459264090439698</v>
      </c>
      <c r="H156" s="154" t="n">
        <f aca="false">IFERROR(IF(OR(NOT(ISNUMBER('Price History'!H157)),NOT(ISNUMBER('Price History'!H156)),'Price History'!H156=0),"",'Price History'!H157/'Price History'!H156-1),"")</f>
        <v>-0.0350855416951116</v>
      </c>
      <c r="I156" s="154" t="n">
        <f aca="false">IFERROR(IF(OR(NOT(ISNUMBER('Price History'!I157)),NOT(ISNUMBER('Price History'!I156)),'Price History'!I156=0),"",'Price History'!I157/'Price History'!I156-1),"")</f>
        <v>0.0131947034688549</v>
      </c>
      <c r="J156" s="154" t="n">
        <f aca="false">IFERROR(IF(OR(NOT(ISNUMBER('Price History'!J157)),NOT(ISNUMBER('Price History'!J156)),'Price History'!J156=0),"",'Price History'!J157/'Price History'!J156-1),"")</f>
        <v>-0.00774808075063982</v>
      </c>
      <c r="K156" s="154" t="n">
        <f aca="false">IFERROR(IF(OR(NOT(ISNUMBER('Price History'!K157)),NOT(ISNUMBER('Price History'!K156)),'Price History'!K156=0),"",'Price History'!K157/'Price History'!K156-1),"")</f>
        <v>0.0352895409580971</v>
      </c>
      <c r="L156" s="154" t="n">
        <f aca="false">IFERROR(IF(OR(NOT(ISNUMBER('Price History'!L157)),NOT(ISNUMBER('Price History'!L156)),'Price History'!L156=0),"",'Price History'!L157/'Price History'!L156-1),"")</f>
        <v>-0.00342244453485874</v>
      </c>
      <c r="M156" s="154" t="n">
        <f aca="false">IFERROR(IF(OR(NOT(ISNUMBER('Price History'!M157)),NOT(ISNUMBER('Price History'!M156)),'Price History'!M156=0),"",'Price History'!M157/'Price History'!M156-1),"")</f>
        <v>-0.0185955935698194</v>
      </c>
      <c r="N156" s="154" t="n">
        <f aca="false">IFERROR(IF(OR(NOT(ISNUMBER('Price History'!N157)),NOT(ISNUMBER('Price History'!N156)),'Price History'!N156=0),"",'Price History'!N157/'Price History'!N156-1),"")</f>
        <v>-0.0116047805857128</v>
      </c>
      <c r="O156" s="154" t="n">
        <f aca="false">IFERROR(IF(OR(NOT(ISNUMBER('Price History'!O157)),NOT(ISNUMBER('Price History'!O156)),'Price History'!O156=0),"",'Price History'!O157/'Price History'!O156-1),"")</f>
        <v>-0.00698191050460184</v>
      </c>
      <c r="P156" s="154" t="n">
        <f aca="false">IFERROR(IF(OR(NOT(ISNUMBER('Price History'!P157)),NOT(ISNUMBER('Price History'!P156)),'Price History'!P156=0),"",'Price History'!P157/'Price History'!P156-1),"")</f>
        <v>-0.00178187403993846</v>
      </c>
      <c r="Q156" s="154" t="n">
        <f aca="false">IFERROR(IF(OR(NOT(ISNUMBER('Price History'!Q157)),NOT(ISNUMBER('Price History'!Q156)),'Price History'!Q156=0),"",'Price History'!Q157/'Price History'!Q156-1),"")</f>
        <v>0.0040392383150607</v>
      </c>
      <c r="R156" s="154" t="n">
        <f aca="false">IFERROR(IF(OR(NOT(ISNUMBER('Price History'!R157)),NOT(ISNUMBER('Price History'!R156)),'Price History'!R156=0),"",'Price History'!R157/'Price History'!R156-1),"")</f>
        <v>0.00528919979525688</v>
      </c>
      <c r="S156" s="154" t="n">
        <f aca="false">IFERROR(IF(OR(NOT(ISNUMBER('Price History'!S157)),NOT(ISNUMBER('Price History'!S156)),'Price History'!S156=0),"",'Price History'!S157/'Price History'!S156-1),"")</f>
        <v>-0.0131321974543741</v>
      </c>
      <c r="T156" s="154" t="n">
        <f aca="false">IFERROR(IF(OR(NOT(ISNUMBER('Price History'!T157)),NOT(ISNUMBER('Price History'!T156)),'Price History'!T156=0),"",'Price History'!T157/'Price History'!T156-1),"")</f>
        <v>0.00379472352728572</v>
      </c>
      <c r="U156" s="154" t="n">
        <f aca="false">IFERROR(IF(OR(NOT(ISNUMBER('Price History'!U157)),NOT(ISNUMBER('Price History'!U156)),'Price History'!U156=0),"",'Price History'!U157/'Price History'!U156-1),"")</f>
        <v>-0.00602928509905254</v>
      </c>
      <c r="V156" s="155" t="n">
        <f aca="false">IFERROR(IF(OR(NOT(ISNUMBER('Price History'!V157)),NOT(ISNUMBER('Price History'!V156)),'Price History'!V156=0),"",'Price History'!V157/'Price History'!V156-1),"")</f>
        <v>0.0284605433376455</v>
      </c>
      <c r="W156" s="156" t="n">
        <f aca="false">IFERROR('Price History'!B3+(INDEX('Price History'!B:B,MATCH(9.99E+307,'Returns (Calc)'!$A:$A)+1)-'Price History'!B3)*(ROW()-3)/(MATCH(9.99E+307,'Returns (Calc)'!$A:$A)-3),"")</f>
        <v>246.905189873418</v>
      </c>
      <c r="X156" s="156" t="n">
        <f aca="false">IFERROR('Price History'!C3+(INDEX('Price History'!C:C,MATCH(9.99E+307,'Returns (Calc)'!$A:$A)+1)-'Price History'!C3)*(ROW()-3)/(MATCH(9.99E+307,'Returns (Calc)'!$A:$A)-3),"")</f>
        <v>202.249683544304</v>
      </c>
      <c r="Y156" s="156" t="n">
        <f aca="false">IFERROR('Price History'!D3+(INDEX('Price History'!D:D,MATCH(9.99E+307,'Returns (Calc)'!$A:$A)+1)-'Price History'!D3)*(ROW()-3)/(MATCH(9.99E+307,'Returns (Calc)'!$A:$A)-3),"")</f>
        <v>1826.63594936709</v>
      </c>
      <c r="Z156" s="156" t="n">
        <f aca="false">IFERROR('Price History'!E3+(INDEX('Price History'!E:E,MATCH(9.99E+307,'Returns (Calc)'!$A:$A)+1)-'Price History'!E3)*(ROW()-3)/(MATCH(9.99E+307,'Returns (Calc)'!$A:$A)-3),"")</f>
        <v>346.496329113924</v>
      </c>
      <c r="AA156" s="156" t="n">
        <f aca="false">IFERROR('Price History'!F3+(INDEX('Price History'!F:F,MATCH(9.99E+307,'Returns (Calc)'!$A:$A)+1)-'Price History'!F3)*(ROW()-3)/(MATCH(9.99E+307,'Returns (Calc)'!$A:$A)-3),"")</f>
        <v>262.803291139241</v>
      </c>
      <c r="AB156" s="156" t="n">
        <f aca="false">IFERROR('Price History'!G3+(INDEX('Price History'!G:G,MATCH(9.99E+307,'Returns (Calc)'!$A:$A)+1)-'Price History'!G3)*(ROW()-3)/(MATCH(9.99E+307,'Returns (Calc)'!$A:$A)-3),"")</f>
        <v>201.746329113924</v>
      </c>
      <c r="AC156" s="156" t="n">
        <f aca="false">IFERROR('Price History'!H3+(INDEX('Price History'!H:H,MATCH(9.99E+307,'Returns (Calc)'!$A:$A)+1)-'Price History'!H3)*(ROW()-3)/(MATCH(9.99E+307,'Returns (Calc)'!$A:$A)-3),"")</f>
        <v>1043.06151898734</v>
      </c>
      <c r="AD156" s="156" t="n">
        <f aca="false">IFERROR('Price History'!I3+(INDEX('Price History'!I:I,MATCH(9.99E+307,'Returns (Calc)'!$A:$A)+1)-'Price History'!I3)*(ROW()-3)/(MATCH(9.99E+307,'Returns (Calc)'!$A:$A)-3),"")</f>
        <v>227.93164556962</v>
      </c>
      <c r="AE156" s="156" t="n">
        <f aca="false">IFERROR('Price History'!J3+(INDEX('Price History'!J:J,MATCH(9.99E+307,'Returns (Calc)'!$A:$A)+1)-'Price History'!J3)*(ROW()-3)/(MATCH(9.99E+307,'Returns (Calc)'!$A:$A)-3),"")</f>
        <v>128.369810126582</v>
      </c>
      <c r="AF156" s="156" t="n">
        <f aca="false">IFERROR('Price History'!K3+(INDEX('Price History'!K:K,MATCH(9.99E+307,'Returns (Calc)'!$A:$A)+1)-'Price History'!K3)*(ROW()-3)/(MATCH(9.99E+307,'Returns (Calc)'!$A:$A)-3),"")</f>
        <v>183.262025316456</v>
      </c>
      <c r="AG156" s="156" t="n">
        <f aca="false">IFERROR('Price History'!L3+(INDEX('Price History'!L:L,MATCH(9.99E+307,'Returns (Calc)'!$A:$A)+1)-'Price History'!L3)*(ROW()-3)/(MATCH(9.99E+307,'Returns (Calc)'!$A:$A)-3),"")</f>
        <v>460.532215189873</v>
      </c>
      <c r="AH156" s="156" t="n">
        <f aca="false">IFERROR('Price History'!M3+(INDEX('Price History'!M:M,MATCH(9.99E+307,'Returns (Calc)'!$A:$A)+1)-'Price History'!M3)*(ROW()-3)/(MATCH(9.99E+307,'Returns (Calc)'!$A:$A)-3),"")</f>
        <v>245.402784810127</v>
      </c>
      <c r="AI156" s="156" t="n">
        <f aca="false">IFERROR('Price History'!N3+(INDEX('Price History'!N:N,MATCH(9.99E+307,'Returns (Calc)'!$A:$A)+1)-'Price History'!N3)*(ROW()-3)/(MATCH(9.99E+307,'Returns (Calc)'!$A:$A)-3),"")</f>
        <v>499.798670886076</v>
      </c>
      <c r="AJ156" s="156" t="n">
        <f aca="false">IFERROR('Price History'!O3+(INDEX('Price History'!O:O,MATCH(9.99E+307,'Returns (Calc)'!$A:$A)+1)-'Price History'!O3)*(ROW()-3)/(MATCH(9.99E+307,'Returns (Calc)'!$A:$A)-3),"")</f>
        <v>118.614810126582</v>
      </c>
      <c r="AK156" s="156" t="n">
        <f aca="false">IFERROR('Price History'!Q3+(INDEX('Price History'!Q:Q,MATCH(9.99E+307,'Returns (Calc)'!$A:$A)+1)-'Price History'!Q3)*(ROW()-3)/(MATCH(9.99E+307,'Returns (Calc)'!$A:$A)-3),"")</f>
        <v>67.223164556962</v>
      </c>
      <c r="AL156" s="156" t="n">
        <f aca="false">IFERROR('Price History'!R3+(INDEX('Price History'!R:R,MATCH(9.99E+307,'Returns (Calc)'!$A:$A)+1)-'Price History'!R3)*(ROW()-3)/(MATCH(9.99E+307,'Returns (Calc)'!$A:$A)-3),"")</f>
        <v>60.1994936708861</v>
      </c>
      <c r="AM156" s="156" t="n">
        <f aca="false">IFERROR('Price History'!S3+(INDEX('Price History'!S:S,MATCH(9.99E+307,'Returns (Calc)'!$A:$A)+1)-'Price History'!S3)*(ROW()-3)/(MATCH(9.99E+307,'Returns (Calc)'!$A:$A)-3),"")</f>
        <v>150.204683544304</v>
      </c>
      <c r="AN156" s="156" t="n">
        <f aca="false">IFERROR('Price History'!T3+(INDEX('Price History'!T:T,MATCH(9.99E+307,'Returns (Calc)'!$A:$A)+1)-'Price History'!T3)*(ROW()-3)/(MATCH(9.99E+307,'Returns (Calc)'!$A:$A)-3),"")</f>
        <v>50.9788607594937</v>
      </c>
      <c r="AO156" s="157" t="n">
        <f aca="false">IFERROR('Price History'!V3+(INDEX('Price History'!V:V,MATCH(9.99E+307,'Returns (Calc)'!$A:$A)+1)-'Price History'!V3)*(ROW()-3)/(MATCH(9.99E+307,'Returns (Calc)'!$A:$A)-3),"")</f>
        <v>356.70335443038</v>
      </c>
      <c r="AP156" s="155" t="n">
        <f aca="false">IFERROR(IF(OR(NOT(ISNUMBER('Price History'!W157)),NOT(ISNUMBER('Price History'!W156)),'Price History'!W156=0),"",'Price History'!W157/'Price History'!W156-1),"")</f>
        <v>-0.0043886383030598</v>
      </c>
      <c r="AQ156" s="155" t="n">
        <f aca="false">IFERROR(IF(OR(NOT(ISNUMBER('Price History'!X157)),NOT(ISNUMBER('Price History'!X156)),'Price History'!X156=0),"",'Price History'!X157/'Price History'!X156-1),"")</f>
        <v>0.00770242344542549</v>
      </c>
      <c r="AR156" s="155" t="n">
        <f aca="false">IFERROR(IF(OR(NOT(ISNUMBER('Price History'!Y157)),NOT(ISNUMBER('Price History'!Y156)),'Price History'!Y156=0),"",'Price History'!Y157/'Price History'!Y156-1),"")</f>
        <v>-0.00227272727272732</v>
      </c>
      <c r="AS156" s="155" t="n">
        <f aca="false">IFERROR(IF(OR(NOT(ISNUMBER('Price History'!Z157)),NOT(ISNUMBER('Price History'!Z156)),'Price History'!Z156=0),"",'Price History'!Z157/'Price History'!Z156-1),"")</f>
        <v>-0.0166202600683182</v>
      </c>
      <c r="AT156" s="155" t="n">
        <f aca="false">IFERROR(IF(OR(NOT(ISNUMBER('Price History'!AA157)),NOT(ISNUMBER('Price History'!AA156)),'Price History'!AA156=0),"",'Price History'!AA157/'Price History'!AA156-1),"")</f>
        <v>0.0267621560497549</v>
      </c>
      <c r="AU156" s="155" t="n">
        <f aca="false">IFERROR(IF(OR(NOT(ISNUMBER('Price History'!AB157)),NOT(ISNUMBER('Price History'!AB156)),'Price History'!AB156=0),"",'Price History'!AB157/'Price History'!AB156-1),"")</f>
        <v>0.116135538523598</v>
      </c>
    </row>
    <row r="157" customFormat="false" ht="15" hidden="false" customHeight="true" outlineLevel="0" collapsed="false">
      <c r="A157" s="153" t="n">
        <f aca="false">IF('Price History'!A158="","",'Price History'!A158)</f>
        <v>46269</v>
      </c>
      <c r="B157" s="154" t="n">
        <f aca="false">IFERROR(IF(OR(NOT(ISNUMBER('Price History'!B158)),NOT(ISNUMBER('Price History'!B157)),'Price History'!B157=0),"",'Price History'!B158/'Price History'!B157-1),"")</f>
        <v>-0.0857917124039517</v>
      </c>
      <c r="C157" s="154" t="n">
        <f aca="false">IFERROR(IF(OR(NOT(ISNUMBER('Price History'!C158)),NOT(ISNUMBER('Price History'!C157)),'Price History'!C157=0),"",'Price History'!C158/'Price History'!C157-1),"")</f>
        <v>-0.00818916982290918</v>
      </c>
      <c r="D157" s="154" t="n">
        <f aca="false">IFERROR(IF(OR(NOT(ISNUMBER('Price History'!D158)),NOT(ISNUMBER('Price History'!D157)),'Price History'!D157=0),"",'Price History'!D158/'Price History'!D157-1),"")</f>
        <v>0.011036694651448</v>
      </c>
      <c r="E157" s="154" t="n">
        <f aca="false">IFERROR(IF(OR(NOT(ISNUMBER('Price History'!E158)),NOT(ISNUMBER('Price History'!E157)),'Price History'!E157=0),"",'Price History'!E158/'Price History'!E157-1),"")</f>
        <v>-0.0295284146473976</v>
      </c>
      <c r="F157" s="154" t="n">
        <f aca="false">IFERROR(IF(OR(NOT(ISNUMBER('Price History'!F158)),NOT(ISNUMBER('Price History'!F157)),'Price History'!F157=0),"",'Price History'!F158/'Price History'!F157-1),"")</f>
        <v>-0.0242673992673993</v>
      </c>
      <c r="G157" s="154" t="n">
        <f aca="false">IFERROR(IF(OR(NOT(ISNUMBER('Price History'!G158)),NOT(ISNUMBER('Price History'!G157)),'Price History'!G157=0),"",'Price History'!G158/'Price History'!G157-1),"")</f>
        <v>0.0573088754699784</v>
      </c>
      <c r="H157" s="154" t="n">
        <f aca="false">IFERROR(IF(OR(NOT(ISNUMBER('Price History'!H158)),NOT(ISNUMBER('Price History'!H157)),'Price History'!H157=0),"",'Price History'!H158/'Price History'!H157-1),"")</f>
        <v>0.0897562335184272</v>
      </c>
      <c r="I157" s="154" t="n">
        <f aca="false">IFERROR(IF(OR(NOT(ISNUMBER('Price History'!I158)),NOT(ISNUMBER('Price History'!I157)),'Price History'!I157=0),"",'Price History'!I158/'Price History'!I157-1),"")</f>
        <v>0.0588560121485435</v>
      </c>
      <c r="J157" s="154" t="n">
        <f aca="false">IFERROR(IF(OR(NOT(ISNUMBER('Price History'!J158)),NOT(ISNUMBER('Price History'!J157)),'Price History'!J157=0),"",'Price History'!J158/'Price History'!J157-1),"")</f>
        <v>-0.0238555770470665</v>
      </c>
      <c r="K157" s="154" t="n">
        <f aca="false">IFERROR(IF(OR(NOT(ISNUMBER('Price History'!K158)),NOT(ISNUMBER('Price History'!K157)),'Price History'!K157=0),"",'Price History'!K158/'Price History'!K157-1),"")</f>
        <v>-0.0642009769713886</v>
      </c>
      <c r="L157" s="154" t="n">
        <f aca="false">IFERROR(IF(OR(NOT(ISNUMBER('Price History'!L158)),NOT(ISNUMBER('Price History'!L157)),'Price History'!L157=0),"",'Price History'!L158/'Price History'!L157-1),"")</f>
        <v>0.0272814601344862</v>
      </c>
      <c r="M157" s="154" t="n">
        <f aca="false">IFERROR(IF(OR(NOT(ISNUMBER('Price History'!M158)),NOT(ISNUMBER('Price History'!M157)),'Price History'!M157=0),"",'Price History'!M158/'Price History'!M157-1),"")</f>
        <v>0.0911991284724925</v>
      </c>
      <c r="N157" s="154" t="n">
        <f aca="false">IFERROR(IF(OR(NOT(ISNUMBER('Price History'!N158)),NOT(ISNUMBER('Price History'!N157)),'Price History'!N157=0),"",'Price History'!N158/'Price History'!N157-1),"")</f>
        <v>0.0081781092506783</v>
      </c>
      <c r="O157" s="154" t="n">
        <f aca="false">IFERROR(IF(OR(NOT(ISNUMBER('Price History'!O158)),NOT(ISNUMBER('Price History'!O157)),'Price History'!O157=0),"",'Price History'!O158/'Price History'!O157-1),"")</f>
        <v>0.0108660914030041</v>
      </c>
      <c r="P157" s="154" t="n">
        <f aca="false">IFERROR(IF(OR(NOT(ISNUMBER('Price History'!P158)),NOT(ISNUMBER('Price History'!P157)),'Price History'!P157=0),"",'Price History'!P158/'Price History'!P157-1),"")</f>
        <v>0.00276991259386916</v>
      </c>
      <c r="Q157" s="154" t="n">
        <f aca="false">IFERROR(IF(OR(NOT(ISNUMBER('Price History'!Q158)),NOT(ISNUMBER('Price History'!Q157)),'Price History'!Q157=0),"",'Price History'!Q158/'Price History'!Q157-1),"")</f>
        <v>0.000431034482758719</v>
      </c>
      <c r="R157" s="154" t="n">
        <f aca="false">IFERROR(IF(OR(NOT(ISNUMBER('Price History'!R158)),NOT(ISNUMBER('Price History'!R157)),'Price History'!R157=0),"",'Price History'!R158/'Price History'!R157-1),"")</f>
        <v>0.00678886625933473</v>
      </c>
      <c r="S157" s="154" t="n">
        <f aca="false">IFERROR(IF(OR(NOT(ISNUMBER('Price History'!S158)),NOT(ISNUMBER('Price History'!S157)),'Price History'!S157=0),"",'Price History'!S158/'Price History'!S157-1),"")</f>
        <v>0.0200627814931076</v>
      </c>
      <c r="T157" s="154" t="n">
        <f aca="false">IFERROR(IF(OR(NOT(ISNUMBER('Price History'!T158)),NOT(ISNUMBER('Price History'!T157)),'Price History'!T157=0),"",'Price History'!T158/'Price History'!T157-1),"")</f>
        <v>-0.00666066606660665</v>
      </c>
      <c r="U157" s="154" t="n">
        <f aca="false">IFERROR(IF(OR(NOT(ISNUMBER('Price History'!U158)),NOT(ISNUMBER('Price History'!U157)),'Price History'!U157=0),"",'Price History'!U158/'Price History'!U157-1),"")</f>
        <v>-0.00288850375505467</v>
      </c>
      <c r="V157" s="155" t="n">
        <f aca="false">IFERROR(IF(OR(NOT(ISNUMBER('Price History'!V158)),NOT(ISNUMBER('Price History'!V157)),'Price History'!V157=0),"",'Price History'!V158/'Price History'!V157-1),"")</f>
        <v>-0.0171121593291406</v>
      </c>
      <c r="W157" s="156" t="n">
        <f aca="false">IFERROR('Price History'!B3+(INDEX('Price History'!B:B,MATCH(9.99E+307,'Returns (Calc)'!$A:$A)+1)-'Price History'!B3)*(ROW()-3)/(MATCH(9.99E+307,'Returns (Calc)'!$A:$A)-3),"")</f>
        <v>245.062151898734</v>
      </c>
      <c r="X157" s="156" t="n">
        <f aca="false">IFERROR('Price History'!C3+(INDEX('Price History'!C:C,MATCH(9.99E+307,'Returns (Calc)'!$A:$A)+1)-'Price History'!C3)*(ROW()-3)/(MATCH(9.99E+307,'Returns (Calc)'!$A:$A)-3),"")</f>
        <v>203.269746835443</v>
      </c>
      <c r="Y157" s="156" t="n">
        <f aca="false">IFERROR('Price History'!D3+(INDEX('Price History'!D:D,MATCH(9.99E+307,'Returns (Calc)'!$A:$A)+1)-'Price History'!D3)*(ROW()-3)/(MATCH(9.99E+307,'Returns (Calc)'!$A:$A)-3),"")</f>
        <v>1834.77075949367</v>
      </c>
      <c r="Z157" s="156" t="n">
        <f aca="false">IFERROR('Price History'!E3+(INDEX('Price History'!E:E,MATCH(9.99E+307,'Returns (Calc)'!$A:$A)+1)-'Price History'!E3)*(ROW()-3)/(MATCH(9.99E+307,'Returns (Calc)'!$A:$A)-3),"")</f>
        <v>348.225063291139</v>
      </c>
      <c r="AA157" s="156" t="n">
        <f aca="false">IFERROR('Price History'!F3+(INDEX('Price History'!F:F,MATCH(9.99E+307,'Returns (Calc)'!$A:$A)+1)-'Price History'!F3)*(ROW()-3)/(MATCH(9.99E+307,'Returns (Calc)'!$A:$A)-3),"")</f>
        <v>264.250632911392</v>
      </c>
      <c r="AB157" s="156" t="n">
        <f aca="false">IFERROR('Price History'!G3+(INDEX('Price History'!G:G,MATCH(9.99E+307,'Returns (Calc)'!$A:$A)+1)-'Price History'!G3)*(ROW()-3)/(MATCH(9.99E+307,'Returns (Calc)'!$A:$A)-3),"")</f>
        <v>202.775063291139</v>
      </c>
      <c r="AC157" s="156" t="n">
        <f aca="false">IFERROR('Price History'!H3+(INDEX('Price History'!H:H,MATCH(9.99E+307,'Returns (Calc)'!$A:$A)+1)-'Price History'!H3)*(ROW()-3)/(MATCH(9.99E+307,'Returns (Calc)'!$A:$A)-3),"")</f>
        <v>1049.42721518987</v>
      </c>
      <c r="AD157" s="156" t="n">
        <f aca="false">IFERROR('Price History'!I3+(INDEX('Price History'!I:I,MATCH(9.99E+307,'Returns (Calc)'!$A:$A)+1)-'Price History'!I3)*(ROW()-3)/(MATCH(9.99E+307,'Returns (Calc)'!$A:$A)-3),"")</f>
        <v>229.135316455696</v>
      </c>
      <c r="AE157" s="156" t="n">
        <f aca="false">IFERROR('Price History'!J3+(INDEX('Price History'!J:J,MATCH(9.99E+307,'Returns (Calc)'!$A:$A)+1)-'Price History'!J3)*(ROW()-3)/(MATCH(9.99E+307,'Returns (Calc)'!$A:$A)-3),"")</f>
        <v>128.477848101266</v>
      </c>
      <c r="AF157" s="156" t="n">
        <f aca="false">IFERROR('Price History'!K3+(INDEX('Price History'!K:K,MATCH(9.99E+307,'Returns (Calc)'!$A:$A)+1)-'Price History'!K3)*(ROW()-3)/(MATCH(9.99E+307,'Returns (Calc)'!$A:$A)-3),"")</f>
        <v>184.359620253165</v>
      </c>
      <c r="AG157" s="156" t="n">
        <f aca="false">IFERROR('Price History'!L3+(INDEX('Price History'!L:L,MATCH(9.99E+307,'Returns (Calc)'!$A:$A)+1)-'Price History'!L3)*(ROW()-3)/(MATCH(9.99E+307,'Returns (Calc)'!$A:$A)-3),"")</f>
        <v>462.981772151899</v>
      </c>
      <c r="AH157" s="156" t="n">
        <f aca="false">IFERROR('Price History'!M3+(INDEX('Price History'!M:M,MATCH(9.99E+307,'Returns (Calc)'!$A:$A)+1)-'Price History'!M3)*(ROW()-3)/(MATCH(9.99E+307,'Returns (Calc)'!$A:$A)-3),"")</f>
        <v>246.758227848101</v>
      </c>
      <c r="AI157" s="156" t="n">
        <f aca="false">IFERROR('Price History'!N3+(INDEX('Price History'!N:N,MATCH(9.99E+307,'Returns (Calc)'!$A:$A)+1)-'Price History'!N3)*(ROW()-3)/(MATCH(9.99E+307,'Returns (Calc)'!$A:$A)-3),"")</f>
        <v>500.784936708861</v>
      </c>
      <c r="AJ157" s="156" t="n">
        <f aca="false">IFERROR('Price History'!O3+(INDEX('Price History'!O:O,MATCH(9.99E+307,'Returns (Calc)'!$A:$A)+1)-'Price History'!O3)*(ROW()-3)/(MATCH(9.99E+307,'Returns (Calc)'!$A:$A)-3),"")</f>
        <v>118.897848101266</v>
      </c>
      <c r="AK157" s="156" t="n">
        <f aca="false">IFERROR('Price History'!Q3+(INDEX('Price History'!Q:Q,MATCH(9.99E+307,'Returns (Calc)'!$A:$A)+1)-'Price History'!Q3)*(ROW()-3)/(MATCH(9.99E+307,'Returns (Calc)'!$A:$A)-3),"")</f>
        <v>67.6625316455696</v>
      </c>
      <c r="AL157" s="156" t="n">
        <f aca="false">IFERROR('Price History'!R3+(INDEX('Price History'!R:R,MATCH(9.99E+307,'Returns (Calc)'!$A:$A)+1)-'Price History'!R3)*(ROW()-3)/(MATCH(9.99E+307,'Returns (Calc)'!$A:$A)-3),"")</f>
        <v>60.3675949367089</v>
      </c>
      <c r="AM157" s="156" t="n">
        <f aca="false">IFERROR('Price History'!S3+(INDEX('Price History'!S:S,MATCH(9.99E+307,'Returns (Calc)'!$A:$A)+1)-'Price History'!S3)*(ROW()-3)/(MATCH(9.99E+307,'Returns (Calc)'!$A:$A)-3),"")</f>
        <v>150.809746835443</v>
      </c>
      <c r="AN157" s="156" t="n">
        <f aca="false">IFERROR('Price History'!T3+(INDEX('Price History'!T:T,MATCH(9.99E+307,'Returns (Calc)'!$A:$A)+1)-'Price History'!T3)*(ROW()-3)/(MATCH(9.99E+307,'Returns (Calc)'!$A:$A)-3),"")</f>
        <v>51.1470886075949</v>
      </c>
      <c r="AO157" s="157" t="n">
        <f aca="false">IFERROR('Price History'!V3+(INDEX('Price History'!V:V,MATCH(9.99E+307,'Returns (Calc)'!$A:$A)+1)-'Price History'!V3)*(ROW()-3)/(MATCH(9.99E+307,'Returns (Calc)'!$A:$A)-3),"")</f>
        <v>357.494683544304</v>
      </c>
      <c r="AP157" s="155" t="n">
        <f aca="false">IFERROR(IF(OR(NOT(ISNUMBER('Price History'!W158)),NOT(ISNUMBER('Price History'!W157)),'Price History'!W157=0),"",'Price History'!W158/'Price History'!W157-1),"")</f>
        <v>-0.000122443981878329</v>
      </c>
      <c r="AQ157" s="155" t="n">
        <f aca="false">IFERROR(IF(OR(NOT(ISNUMBER('Price History'!X158)),NOT(ISNUMBER('Price History'!X157)),'Price History'!X157=0),"",'Price History'!X158/'Price History'!X157-1),"")</f>
        <v>0.00652498135719615</v>
      </c>
      <c r="AR157" s="155" t="n">
        <f aca="false">IFERROR(IF(OR(NOT(ISNUMBER('Price History'!Y158)),NOT(ISNUMBER('Price History'!Y157)),'Price History'!Y157=0),"",'Price History'!Y158/'Price History'!Y157-1),"")</f>
        <v>-0.00350446819695116</v>
      </c>
      <c r="AS157" s="155" t="n">
        <f aca="false">IFERROR(IF(OR(NOT(ISNUMBER('Price History'!Z158)),NOT(ISNUMBER('Price History'!Z157)),'Price History'!Z157=0),"",'Price History'!Z158/'Price History'!Z157-1),"")</f>
        <v>-0.0159378831221904</v>
      </c>
      <c r="AT157" s="155" t="n">
        <f aca="false">IFERROR(IF(OR(NOT(ISNUMBER('Price History'!AA158)),NOT(ISNUMBER('Price History'!AA157)),'Price History'!AA157=0),"",'Price History'!AA158/'Price History'!AA157-1),"")</f>
        <v>-0.0424620655898189</v>
      </c>
      <c r="AU157" s="155" t="n">
        <f aca="false">IFERROR(IF(OR(NOT(ISNUMBER('Price History'!AB158)),NOT(ISNUMBER('Price History'!AB157)),'Price History'!AB157=0),"",'Price History'!AB158/'Price History'!AB157-1),"")</f>
        <v>-0.00578264483718249</v>
      </c>
    </row>
    <row r="158" customFormat="false" ht="15" hidden="false" customHeight="true" outlineLevel="0" collapsed="false">
      <c r="A158" s="153" t="n">
        <f aca="false">IF('Price History'!A159="","",'Price History'!A159)</f>
        <v>46276</v>
      </c>
      <c r="B158" s="154" t="n">
        <f aca="false">IFERROR(IF(OR(NOT(ISNUMBER('Price History'!B159)),NOT(ISNUMBER('Price History'!B158)),'Price History'!B158=0),"",'Price History'!B159/'Price History'!B158-1),"")</f>
        <v>-0.0535814791189824</v>
      </c>
      <c r="C158" s="154" t="n">
        <f aca="false">IFERROR(IF(OR(NOT(ISNUMBER('Price History'!C159)),NOT(ISNUMBER('Price History'!C158)),'Price History'!C158=0),"",'Price History'!C159/'Price History'!C158-1),"")</f>
        <v>0.0299824543296523</v>
      </c>
      <c r="D158" s="154" t="n">
        <f aca="false">IFERROR(IF(OR(NOT(ISNUMBER('Price History'!D159)),NOT(ISNUMBER('Price History'!D158)),'Price History'!D158=0),"",'Price History'!D159/'Price History'!D158-1),"")</f>
        <v>-0.00966831498413889</v>
      </c>
      <c r="E158" s="154" t="n">
        <f aca="false">IFERROR(IF(OR(NOT(ISNUMBER('Price History'!E159)),NOT(ISNUMBER('Price History'!E158)),'Price History'!E158=0),"",'Price History'!E159/'Price History'!E158-1),"")</f>
        <v>0.0114205738278517</v>
      </c>
      <c r="F158" s="154" t="n">
        <f aca="false">IFERROR(IF(OR(NOT(ISNUMBER('Price History'!F159)),NOT(ISNUMBER('Price History'!F158)),'Price History'!F158=0),"",'Price History'!F159/'Price History'!F158-1),"")</f>
        <v>-0.0298451431252932</v>
      </c>
      <c r="G158" s="154" t="n">
        <f aca="false">IFERROR(IF(OR(NOT(ISNUMBER('Price History'!G159)),NOT(ISNUMBER('Price History'!G158)),'Price History'!G158=0),"",'Price History'!G159/'Price History'!G158-1),"")</f>
        <v>-0.0267241379310346</v>
      </c>
      <c r="H158" s="154" t="n">
        <f aca="false">IFERROR(IF(OR(NOT(ISNUMBER('Price History'!H159)),NOT(ISNUMBER('Price History'!H158)),'Price History'!H158=0),"",'Price History'!H159/'Price History'!H158-1),"")</f>
        <v>-0.0406555248428571</v>
      </c>
      <c r="I158" s="154" t="n">
        <f aca="false">IFERROR(IF(OR(NOT(ISNUMBER('Price History'!I159)),NOT(ISNUMBER('Price History'!I158)),'Price History'!I158=0),"",'Price History'!I159/'Price History'!I158-1),"")</f>
        <v>-0.0513255106475445</v>
      </c>
      <c r="J158" s="154" t="n">
        <f aca="false">IFERROR(IF(OR(NOT(ISNUMBER('Price History'!J159)),NOT(ISNUMBER('Price History'!J158)),'Price History'!J158=0),"",'Price History'!J159/'Price History'!J158-1),"")</f>
        <v>-0.011595479230882</v>
      </c>
      <c r="K158" s="154" t="n">
        <f aca="false">IFERROR(IF(OR(NOT(ISNUMBER('Price History'!K159)),NOT(ISNUMBER('Price History'!K158)),'Price History'!K158=0),"",'Price History'!K159/'Price History'!K158-1),"")</f>
        <v>-0.0407273561635979</v>
      </c>
      <c r="L158" s="154" t="n">
        <f aca="false">IFERROR(IF(OR(NOT(ISNUMBER('Price History'!L159)),NOT(ISNUMBER('Price History'!L158)),'Price History'!L158=0),"",'Price History'!L159/'Price History'!L158-1),"")</f>
        <v>0.0100991210024313</v>
      </c>
      <c r="M158" s="154" t="n">
        <f aca="false">IFERROR(IF(OR(NOT(ISNUMBER('Price History'!M159)),NOT(ISNUMBER('Price History'!M158)),'Price History'!M158=0),"",'Price History'!M159/'Price History'!M158-1),"")</f>
        <v>-0.0836482920915638</v>
      </c>
      <c r="N158" s="154" t="n">
        <f aca="false">IFERROR(IF(OR(NOT(ISNUMBER('Price History'!N159)),NOT(ISNUMBER('Price History'!N158)),'Price History'!N158=0),"",'Price History'!N159/'Price History'!N158-1),"")</f>
        <v>-0.056178129348861</v>
      </c>
      <c r="O158" s="154" t="n">
        <f aca="false">IFERROR(IF(OR(NOT(ISNUMBER('Price History'!O159)),NOT(ISNUMBER('Price History'!O158)),'Price History'!O158=0),"",'Price History'!O159/'Price History'!O158-1),"")</f>
        <v>-0.0159658552007588</v>
      </c>
      <c r="P158" s="154" t="n">
        <f aca="false">IFERROR(IF(OR(NOT(ISNUMBER('Price History'!P159)),NOT(ISNUMBER('Price History'!P158)),'Price History'!P158=0),"",'Price History'!P159/'Price History'!P158-1),"")</f>
        <v>-0.01154011417347</v>
      </c>
      <c r="Q158" s="154" t="n">
        <f aca="false">IFERROR(IF(OR(NOT(ISNUMBER('Price History'!Q159)),NOT(ISNUMBER('Price History'!Q158)),'Price History'!Q158=0),"",'Price History'!Q159/'Price History'!Q158-1),"")</f>
        <v>-0.00689358035329579</v>
      </c>
      <c r="R158" s="154" t="n">
        <f aca="false">IFERROR(IF(OR(NOT(ISNUMBER('Price History'!R159)),NOT(ISNUMBER('Price History'!R158)),'Price History'!R158=0),"",'Price History'!R159/'Price History'!R158-1),"")</f>
        <v>-0.00151719487525293</v>
      </c>
      <c r="S158" s="154" t="n">
        <f aca="false">IFERROR(IF(OR(NOT(ISNUMBER('Price History'!S159)),NOT(ISNUMBER('Price History'!S158)),'Price History'!S158=0),"",'Price History'!S159/'Price History'!S158-1),"")</f>
        <v>-0.00943270002675944</v>
      </c>
      <c r="T158" s="154" t="n">
        <f aca="false">IFERROR(IF(OR(NOT(ISNUMBER('Price History'!T159)),NOT(ISNUMBER('Price History'!T158)),'Price History'!T158=0),"",'Price History'!T159/'Price History'!T158-1),"")</f>
        <v>-0.0235592606016672</v>
      </c>
      <c r="U158" s="154" t="n">
        <f aca="false">IFERROR(IF(OR(NOT(ISNUMBER('Price History'!U159)),NOT(ISNUMBER('Price History'!U158)),'Price History'!U158=0),"",'Price History'!U159/'Price History'!U158-1),"")</f>
        <v>-0.0194090382387022</v>
      </c>
      <c r="V158" s="155" t="n">
        <f aca="false">IFERROR(IF(OR(NOT(ISNUMBER('Price History'!V159)),NOT(ISNUMBER('Price History'!V158)),'Price History'!V158=0),"",'Price History'!V159/'Price History'!V158-1),"")</f>
        <v>-0.0123177006958701</v>
      </c>
      <c r="W158" s="157" t="n">
        <f aca="false">IFERROR('Price History'!B3+(INDEX('Price History'!B:B,MATCH(9.99E+307,'Returns (Calc)'!$A:$A)+1)-'Price History'!B3)*(ROW()-3)/(MATCH(9.99E+307,'Returns (Calc)'!$A:$A)-3),"")</f>
        <v>243.219113924051</v>
      </c>
      <c r="X158" s="157" t="n">
        <f aca="false">IFERROR('Price History'!C3+(INDEX('Price History'!C:C,MATCH(9.99E+307,'Returns (Calc)'!$A:$A)+1)-'Price History'!C3)*(ROW()-3)/(MATCH(9.99E+307,'Returns (Calc)'!$A:$A)-3),"")</f>
        <v>204.289810126582</v>
      </c>
      <c r="Y158" s="157" t="n">
        <f aca="false">IFERROR('Price History'!D3+(INDEX('Price History'!D:D,MATCH(9.99E+307,'Returns (Calc)'!$A:$A)+1)-'Price History'!D3)*(ROW()-3)/(MATCH(9.99E+307,'Returns (Calc)'!$A:$A)-3),"")</f>
        <v>1842.90556962025</v>
      </c>
      <c r="Z158" s="157" t="n">
        <f aca="false">IFERROR('Price History'!E3+(INDEX('Price History'!E:E,MATCH(9.99E+307,'Returns (Calc)'!$A:$A)+1)-'Price History'!E3)*(ROW()-3)/(MATCH(9.99E+307,'Returns (Calc)'!$A:$A)-3),"")</f>
        <v>349.953797468354</v>
      </c>
      <c r="AA158" s="157" t="n">
        <f aca="false">IFERROR('Price History'!F3+(INDEX('Price History'!F:F,MATCH(9.99E+307,'Returns (Calc)'!$A:$A)+1)-'Price History'!F3)*(ROW()-3)/(MATCH(9.99E+307,'Returns (Calc)'!$A:$A)-3),"")</f>
        <v>265.697974683544</v>
      </c>
      <c r="AB158" s="157" t="n">
        <f aca="false">IFERROR('Price History'!G3+(INDEX('Price History'!G:G,MATCH(9.99E+307,'Returns (Calc)'!$A:$A)+1)-'Price History'!G3)*(ROW()-3)/(MATCH(9.99E+307,'Returns (Calc)'!$A:$A)-3),"")</f>
        <v>203.803797468354</v>
      </c>
      <c r="AC158" s="157" t="n">
        <f aca="false">IFERROR('Price History'!H3+(INDEX('Price History'!H:H,MATCH(9.99E+307,'Returns (Calc)'!$A:$A)+1)-'Price History'!H3)*(ROW()-3)/(MATCH(9.99E+307,'Returns (Calc)'!$A:$A)-3),"")</f>
        <v>1055.79291139241</v>
      </c>
      <c r="AD158" s="157" t="n">
        <f aca="false">IFERROR('Price History'!I3+(INDEX('Price History'!I:I,MATCH(9.99E+307,'Returns (Calc)'!$A:$A)+1)-'Price History'!I3)*(ROW()-3)/(MATCH(9.99E+307,'Returns (Calc)'!$A:$A)-3),"")</f>
        <v>230.338987341772</v>
      </c>
      <c r="AE158" s="157" t="n">
        <f aca="false">IFERROR('Price History'!J3+(INDEX('Price History'!J:J,MATCH(9.99E+307,'Returns (Calc)'!$A:$A)+1)-'Price History'!J3)*(ROW()-3)/(MATCH(9.99E+307,'Returns (Calc)'!$A:$A)-3),"")</f>
        <v>128.585886075949</v>
      </c>
      <c r="AF158" s="157" t="n">
        <f aca="false">IFERROR('Price History'!K3+(INDEX('Price History'!K:K,MATCH(9.99E+307,'Returns (Calc)'!$A:$A)+1)-'Price History'!K3)*(ROW()-3)/(MATCH(9.99E+307,'Returns (Calc)'!$A:$A)-3),"")</f>
        <v>185.457215189873</v>
      </c>
      <c r="AG158" s="157" t="n">
        <f aca="false">IFERROR('Price History'!L3+(INDEX('Price History'!L:L,MATCH(9.99E+307,'Returns (Calc)'!$A:$A)+1)-'Price History'!L3)*(ROW()-3)/(MATCH(9.99E+307,'Returns (Calc)'!$A:$A)-3),"")</f>
        <v>465.431329113924</v>
      </c>
      <c r="AH158" s="157" t="n">
        <f aca="false">IFERROR('Price History'!M3+(INDEX('Price History'!M:M,MATCH(9.99E+307,'Returns (Calc)'!$A:$A)+1)-'Price History'!M3)*(ROW()-3)/(MATCH(9.99E+307,'Returns (Calc)'!$A:$A)-3),"")</f>
        <v>248.113670886076</v>
      </c>
      <c r="AI158" s="157" t="n">
        <f aca="false">IFERROR('Price History'!N3+(INDEX('Price History'!N:N,MATCH(9.99E+307,'Returns (Calc)'!$A:$A)+1)-'Price History'!N3)*(ROW()-3)/(MATCH(9.99E+307,'Returns (Calc)'!$A:$A)-3),"")</f>
        <v>501.771202531646</v>
      </c>
      <c r="AJ158" s="157" t="n">
        <f aca="false">IFERROR('Price History'!O3+(INDEX('Price History'!O:O,MATCH(9.99E+307,'Returns (Calc)'!$A:$A)+1)-'Price History'!O3)*(ROW()-3)/(MATCH(9.99E+307,'Returns (Calc)'!$A:$A)-3),"")</f>
        <v>119.180886075949</v>
      </c>
      <c r="AK158" s="157" t="n">
        <f aca="false">IFERROR('Price History'!Q3+(INDEX('Price History'!Q:Q,MATCH(9.99E+307,'Returns (Calc)'!$A:$A)+1)-'Price History'!Q3)*(ROW()-3)/(MATCH(9.99E+307,'Returns (Calc)'!$A:$A)-3),"")</f>
        <v>68.1018987341772</v>
      </c>
      <c r="AL158" s="157" t="n">
        <f aca="false">IFERROR('Price History'!R3+(INDEX('Price History'!R:R,MATCH(9.99E+307,'Returns (Calc)'!$A:$A)+1)-'Price History'!R3)*(ROW()-3)/(MATCH(9.99E+307,'Returns (Calc)'!$A:$A)-3),"")</f>
        <v>60.5356962025316</v>
      </c>
      <c r="AM158" s="157" t="n">
        <f aca="false">IFERROR('Price History'!S3+(INDEX('Price History'!S:S,MATCH(9.99E+307,'Returns (Calc)'!$A:$A)+1)-'Price History'!S3)*(ROW()-3)/(MATCH(9.99E+307,'Returns (Calc)'!$A:$A)-3),"")</f>
        <v>151.414810126582</v>
      </c>
      <c r="AN158" s="157" t="n">
        <f aca="false">IFERROR('Price History'!T3+(INDEX('Price History'!T:T,MATCH(9.99E+307,'Returns (Calc)'!$A:$A)+1)-'Price History'!T3)*(ROW()-3)/(MATCH(9.99E+307,'Returns (Calc)'!$A:$A)-3),"")</f>
        <v>51.3153164556962</v>
      </c>
      <c r="AO158" s="157" t="n">
        <f aca="false">IFERROR('Price History'!V3+(INDEX('Price History'!V:V,MATCH(9.99E+307,'Returns (Calc)'!$A:$A)+1)-'Price History'!V3)*(ROW()-3)/(MATCH(9.99E+307,'Returns (Calc)'!$A:$A)-3),"")</f>
        <v>358.286012658228</v>
      </c>
      <c r="AP158" s="155" t="n">
        <f aca="false">IFERROR(IF(OR(NOT(ISNUMBER('Price History'!W159)),NOT(ISNUMBER('Price History'!W158)),'Price History'!W158=0),"",'Price History'!W159/'Price History'!W158-1),"")</f>
        <v>-0.00795983345579221</v>
      </c>
      <c r="AQ158" s="155" t="n">
        <f aca="false">IFERROR(IF(OR(NOT(ISNUMBER('Price History'!X159)),NOT(ISNUMBER('Price History'!X158)),'Price History'!X158=0),"",'Price History'!X159/'Price History'!X158-1),"")</f>
        <v>-0.0116688275606595</v>
      </c>
      <c r="AR158" s="155" t="n">
        <f aca="false">IFERROR(IF(OR(NOT(ISNUMBER('Price History'!Y159)),NOT(ISNUMBER('Price History'!Y158)),'Price History'!Y158=0),"",'Price History'!Y159/'Price History'!Y158-1),"")</f>
        <v>-0.00984701951819933</v>
      </c>
      <c r="AS158" s="155" t="n">
        <f aca="false">IFERROR(IF(OR(NOT(ISNUMBER('Price History'!Z159)),NOT(ISNUMBER('Price History'!Z158)),'Price History'!Z158=0),"",'Price History'!Z159/'Price History'!Z158-1),"")</f>
        <v>-0.0399264356905552</v>
      </c>
      <c r="AT158" s="155" t="n">
        <f aca="false">IFERROR(IF(OR(NOT(ISNUMBER('Price History'!AA159)),NOT(ISNUMBER('Price History'!AA158)),'Price History'!AA158=0),"",'Price History'!AA159/'Price History'!AA158-1),"")</f>
        <v>-0.0108626198083066</v>
      </c>
      <c r="AU158" s="155" t="n">
        <f aca="false">IFERROR(IF(OR(NOT(ISNUMBER('Price History'!AB159)),NOT(ISNUMBER('Price History'!AB158)),'Price History'!AB158=0),"",'Price History'!AB159/'Price History'!AB158-1),"")</f>
        <v>-0.0461303573375986</v>
      </c>
    </row>
    <row r="159" customFormat="false" ht="15" hidden="false" customHeight="true" outlineLevel="0" collapsed="false">
      <c r="A159" s="153" t="n">
        <f aca="false">IF('Price History'!A160="","",'Price History'!A160)</f>
        <v>46283</v>
      </c>
      <c r="B159" s="154" t="n">
        <f aca="false">IFERROR(IF(OR(NOT(ISNUMBER('Price History'!B160)),NOT(ISNUMBER('Price History'!B159)),'Price History'!B159=0),"",'Price History'!B160/'Price History'!B159-1),"")</f>
        <v>-0.0131229433453594</v>
      </c>
      <c r="C159" s="154" t="n">
        <f aca="false">IFERROR(IF(OR(NOT(ISNUMBER('Price History'!C160)),NOT(ISNUMBER('Price History'!C159)),'Price History'!C159=0),"",'Price History'!C160/'Price History'!C159-1),"")</f>
        <v>-0.00100205421113286</v>
      </c>
      <c r="D159" s="154" t="n">
        <f aca="false">IFERROR(IF(OR(NOT(ISNUMBER('Price History'!D160)),NOT(ISNUMBER('Price History'!D159)),'Price History'!D159=0),"",'Price History'!D160/'Price History'!D159-1),"")</f>
        <v>-0.0108225872931754</v>
      </c>
      <c r="E159" s="154" t="n">
        <f aca="false">IFERROR(IF(OR(NOT(ISNUMBER('Price History'!E160)),NOT(ISNUMBER('Price History'!E159)),'Price History'!E159=0),"",'Price History'!E160/'Price History'!E159-1),"")</f>
        <v>-0.0120942075111394</v>
      </c>
      <c r="F159" s="154" t="n">
        <f aca="false">IFERROR(IF(OR(NOT(ISNUMBER('Price History'!F160)),NOT(ISNUMBER('Price History'!F159)),'Price History'!F159=0),"",'Price History'!F160/'Price History'!F159-1),"")</f>
        <v>0.14951146367418</v>
      </c>
      <c r="G159" s="154" t="n">
        <f aca="false">IFERROR(IF(OR(NOT(ISNUMBER('Price History'!G160)),NOT(ISNUMBER('Price History'!G159)),'Price History'!G159=0),"",'Price History'!G160/'Price History'!G159-1),"")</f>
        <v>-0.0202059344552701</v>
      </c>
      <c r="H159" s="154" t="n">
        <f aca="false">IFERROR(IF(OR(NOT(ISNUMBER('Price History'!H160)),NOT(ISNUMBER('Price History'!H159)),'Price History'!H159=0),"",'Price History'!H160/'Price History'!H159-1),"")</f>
        <v>0.0415684022722145</v>
      </c>
      <c r="I159" s="154" t="n">
        <f aca="false">IFERROR(IF(OR(NOT(ISNUMBER('Price History'!I160)),NOT(ISNUMBER('Price History'!I159)),'Price History'!I159=0),"",'Price History'!I160/'Price History'!I159-1),"")</f>
        <v>0.0182326263227817</v>
      </c>
      <c r="J159" s="154" t="n">
        <f aca="false">IFERROR(IF(OR(NOT(ISNUMBER('Price History'!J160)),NOT(ISNUMBER('Price History'!J159)),'Price History'!J159=0),"",'Price History'!J160/'Price History'!J159-1),"")</f>
        <v>0.00118800118800122</v>
      </c>
      <c r="K159" s="154" t="n">
        <f aca="false">IFERROR(IF(OR(NOT(ISNUMBER('Price History'!K160)),NOT(ISNUMBER('Price History'!K159)),'Price History'!K159=0),"",'Price History'!K160/'Price History'!K159-1),"")</f>
        <v>0.0622495963642886</v>
      </c>
      <c r="L159" s="154" t="n">
        <f aca="false">IFERROR(IF(OR(NOT(ISNUMBER('Price History'!L160)),NOT(ISNUMBER('Price History'!L159)),'Price History'!L159=0),"",'Price History'!L160/'Price History'!L159-1),"")</f>
        <v>0.00599426032216255</v>
      </c>
      <c r="M159" s="154" t="n">
        <f aca="false">IFERROR(IF(OR(NOT(ISNUMBER('Price History'!M160)),NOT(ISNUMBER('Price History'!M159)),'Price History'!M159=0),"",'Price History'!M160/'Price History'!M159-1),"")</f>
        <v>-0.0296108949416343</v>
      </c>
      <c r="N159" s="154" t="n">
        <f aca="false">IFERROR(IF(OR(NOT(ISNUMBER('Price History'!N160)),NOT(ISNUMBER('Price History'!N159)),'Price History'!N159=0),"",'Price History'!N160/'Price History'!N159-1),"")</f>
        <v>-0.0137746391432564</v>
      </c>
      <c r="O159" s="154" t="n">
        <f aca="false">IFERROR(IF(OR(NOT(ISNUMBER('Price History'!O160)),NOT(ISNUMBER('Price History'!O159)),'Price History'!O159=0),"",'Price History'!O160/'Price History'!O159-1),"")</f>
        <v>-0.0204016064257029</v>
      </c>
      <c r="P159" s="154" t="n">
        <f aca="false">IFERROR(IF(OR(NOT(ISNUMBER('Price History'!P160)),NOT(ISNUMBER('Price History'!P159)),'Price History'!P159=0),"",'Price History'!P160/'Price History'!P159-1),"")</f>
        <v>-0.0173259641060671</v>
      </c>
      <c r="Q159" s="154" t="n">
        <f aca="false">IFERROR(IF(OR(NOT(ISNUMBER('Price History'!Q160)),NOT(ISNUMBER('Price History'!Q159)),'Price History'!Q159=0),"",'Price History'!Q160/'Price History'!Q159-1),"")</f>
        <v>-0.00231381055676083</v>
      </c>
      <c r="R159" s="154" t="n">
        <f aca="false">IFERROR(IF(OR(NOT(ISNUMBER('Price History'!R160)),NOT(ISNUMBER('Price History'!R159)),'Price History'!R159=0),"",'Price History'!R160/'Price History'!R159-1),"")</f>
        <v>0.00759750126625036</v>
      </c>
      <c r="S159" s="154" t="n">
        <f aca="false">IFERROR(IF(OR(NOT(ISNUMBER('Price History'!S160)),NOT(ISNUMBER('Price History'!S159)),'Price History'!S159=0),"",'Price History'!S160/'Price History'!S159-1),"")</f>
        <v>0.00607820625379896</v>
      </c>
      <c r="T159" s="154" t="n">
        <f aca="false">IFERROR(IF(OR(NOT(ISNUMBER('Price History'!T160)),NOT(ISNUMBER('Price History'!T159)),'Price History'!T159=0),"",'Price History'!T160/'Price History'!T159-1),"")</f>
        <v>-0.016332590942836</v>
      </c>
      <c r="U159" s="154" t="n">
        <f aca="false">IFERROR(IF(OR(NOT(ISNUMBER('Price History'!U160)),NOT(ISNUMBER('Price History'!U159)),'Price History'!U159=0),"",'Price History'!U160/'Price History'!U159-1),"")</f>
        <v>-0.0129985228951257</v>
      </c>
      <c r="V159" s="155" t="n">
        <f aca="false">IFERROR(IF(OR(NOT(ISNUMBER('Price History'!V160)),NOT(ISNUMBER('Price History'!V159)),'Price History'!V159=0),"",'Price History'!V160/'Price History'!V159-1),"")</f>
        <v>-0.00583074638952619</v>
      </c>
      <c r="W159" s="157" t="n">
        <f aca="false">IFERROR('Price History'!B3+(INDEX('Price History'!B:B,MATCH(9.99E+307,'Returns (Calc)'!$A:$A)+1)-'Price History'!B3)*(ROW()-3)/(MATCH(9.99E+307,'Returns (Calc)'!$A:$A)-3),"")</f>
        <v>241.376075949367</v>
      </c>
      <c r="X159" s="157" t="n">
        <f aca="false">IFERROR('Price History'!C3+(INDEX('Price History'!C:C,MATCH(9.99E+307,'Returns (Calc)'!$A:$A)+1)-'Price History'!C3)*(ROW()-3)/(MATCH(9.99E+307,'Returns (Calc)'!$A:$A)-3),"")</f>
        <v>205.309873417722</v>
      </c>
      <c r="Y159" s="157" t="n">
        <f aca="false">IFERROR('Price History'!D3+(INDEX('Price History'!D:D,MATCH(9.99E+307,'Returns (Calc)'!$A:$A)+1)-'Price History'!D3)*(ROW()-3)/(MATCH(9.99E+307,'Returns (Calc)'!$A:$A)-3),"")</f>
        <v>1851.04037974684</v>
      </c>
      <c r="Z159" s="157" t="n">
        <f aca="false">IFERROR('Price History'!E3+(INDEX('Price History'!E:E,MATCH(9.99E+307,'Returns (Calc)'!$A:$A)+1)-'Price History'!E3)*(ROW()-3)/(MATCH(9.99E+307,'Returns (Calc)'!$A:$A)-3),"")</f>
        <v>351.68253164557</v>
      </c>
      <c r="AA159" s="157" t="n">
        <f aca="false">IFERROR('Price History'!F3+(INDEX('Price History'!F:F,MATCH(9.99E+307,'Returns (Calc)'!$A:$A)+1)-'Price History'!F3)*(ROW()-3)/(MATCH(9.99E+307,'Returns (Calc)'!$A:$A)-3),"")</f>
        <v>267.145316455696</v>
      </c>
      <c r="AB159" s="157" t="n">
        <f aca="false">IFERROR('Price History'!G3+(INDEX('Price History'!G:G,MATCH(9.99E+307,'Returns (Calc)'!$A:$A)+1)-'Price History'!G3)*(ROW()-3)/(MATCH(9.99E+307,'Returns (Calc)'!$A:$A)-3),"")</f>
        <v>204.83253164557</v>
      </c>
      <c r="AC159" s="157" t="n">
        <f aca="false">IFERROR('Price History'!H3+(INDEX('Price History'!H:H,MATCH(9.99E+307,'Returns (Calc)'!$A:$A)+1)-'Price History'!H3)*(ROW()-3)/(MATCH(9.99E+307,'Returns (Calc)'!$A:$A)-3),"")</f>
        <v>1062.15860759494</v>
      </c>
      <c r="AD159" s="157" t="n">
        <f aca="false">IFERROR('Price History'!I3+(INDEX('Price History'!I:I,MATCH(9.99E+307,'Returns (Calc)'!$A:$A)+1)-'Price History'!I3)*(ROW()-3)/(MATCH(9.99E+307,'Returns (Calc)'!$A:$A)-3),"")</f>
        <v>231.542658227848</v>
      </c>
      <c r="AE159" s="157" t="n">
        <f aca="false">IFERROR('Price History'!J3+(INDEX('Price History'!J:J,MATCH(9.99E+307,'Returns (Calc)'!$A:$A)+1)-'Price History'!J3)*(ROW()-3)/(MATCH(9.99E+307,'Returns (Calc)'!$A:$A)-3),"")</f>
        <v>128.693924050633</v>
      </c>
      <c r="AF159" s="157" t="n">
        <f aca="false">IFERROR('Price History'!K3+(INDEX('Price History'!K:K,MATCH(9.99E+307,'Returns (Calc)'!$A:$A)+1)-'Price History'!K3)*(ROW()-3)/(MATCH(9.99E+307,'Returns (Calc)'!$A:$A)-3),"")</f>
        <v>186.554810126582</v>
      </c>
      <c r="AG159" s="157" t="n">
        <f aca="false">IFERROR('Price History'!L3+(INDEX('Price History'!L:L,MATCH(9.99E+307,'Returns (Calc)'!$A:$A)+1)-'Price History'!L3)*(ROW()-3)/(MATCH(9.99E+307,'Returns (Calc)'!$A:$A)-3),"")</f>
        <v>467.880886075949</v>
      </c>
      <c r="AH159" s="157" t="n">
        <f aca="false">IFERROR('Price History'!M3+(INDEX('Price History'!M:M,MATCH(9.99E+307,'Returns (Calc)'!$A:$A)+1)-'Price History'!M3)*(ROW()-3)/(MATCH(9.99E+307,'Returns (Calc)'!$A:$A)-3),"")</f>
        <v>249.469113924051</v>
      </c>
      <c r="AI159" s="157" t="n">
        <f aca="false">IFERROR('Price History'!N3+(INDEX('Price History'!N:N,MATCH(9.99E+307,'Returns (Calc)'!$A:$A)+1)-'Price History'!N3)*(ROW()-3)/(MATCH(9.99E+307,'Returns (Calc)'!$A:$A)-3),"")</f>
        <v>502.75746835443</v>
      </c>
      <c r="AJ159" s="157" t="n">
        <f aca="false">IFERROR('Price History'!O3+(INDEX('Price History'!O:O,MATCH(9.99E+307,'Returns (Calc)'!$A:$A)+1)-'Price History'!O3)*(ROW()-3)/(MATCH(9.99E+307,'Returns (Calc)'!$A:$A)-3),"")</f>
        <v>119.463924050633</v>
      </c>
      <c r="AK159" s="157" t="n">
        <f aca="false">IFERROR('Price History'!Q3+(INDEX('Price History'!Q:Q,MATCH(9.99E+307,'Returns (Calc)'!$A:$A)+1)-'Price History'!Q3)*(ROW()-3)/(MATCH(9.99E+307,'Returns (Calc)'!$A:$A)-3),"")</f>
        <v>68.5412658227848</v>
      </c>
      <c r="AL159" s="157" t="n">
        <f aca="false">IFERROR('Price History'!R3+(INDEX('Price History'!R:R,MATCH(9.99E+307,'Returns (Calc)'!$A:$A)+1)-'Price History'!R3)*(ROW()-3)/(MATCH(9.99E+307,'Returns (Calc)'!$A:$A)-3),"")</f>
        <v>60.7037974683544</v>
      </c>
      <c r="AM159" s="157" t="n">
        <f aca="false">IFERROR('Price History'!S3+(INDEX('Price History'!S:S,MATCH(9.99E+307,'Returns (Calc)'!$A:$A)+1)-'Price History'!S3)*(ROW()-3)/(MATCH(9.99E+307,'Returns (Calc)'!$A:$A)-3),"")</f>
        <v>152.019873417722</v>
      </c>
      <c r="AN159" s="157" t="n">
        <f aca="false">IFERROR('Price History'!T3+(INDEX('Price History'!T:T,MATCH(9.99E+307,'Returns (Calc)'!$A:$A)+1)-'Price History'!T3)*(ROW()-3)/(MATCH(9.99E+307,'Returns (Calc)'!$A:$A)-3),"")</f>
        <v>51.4835443037975</v>
      </c>
      <c r="AO159" s="157" t="n">
        <f aca="false">IFERROR('Price History'!V3+(INDEX('Price History'!V:V,MATCH(9.99E+307,'Returns (Calc)'!$A:$A)+1)-'Price History'!V3)*(ROW()-3)/(MATCH(9.99E+307,'Returns (Calc)'!$A:$A)-3),"")</f>
        <v>359.077341772152</v>
      </c>
      <c r="AP159" s="155" t="n">
        <f aca="false">IFERROR(IF(OR(NOT(ISNUMBER('Price History'!W160)),NOT(ISNUMBER('Price History'!W159)),'Price History'!W159=0),"",'Price History'!W160/'Price History'!W159-1),"")</f>
        <v>-0.0170349339587707</v>
      </c>
      <c r="AQ159" s="155" t="n">
        <f aca="false">IFERROR(IF(OR(NOT(ISNUMBER('Price History'!X160)),NOT(ISNUMBER('Price History'!X159)),'Price History'!X159=0),"",'Price History'!X160/'Price History'!X159-1),"")</f>
        <v>-0.0103073463268365</v>
      </c>
      <c r="AR159" s="155" t="n">
        <f aca="false">IFERROR(IF(OR(NOT(ISNUMBER('Price History'!Y160)),NOT(ISNUMBER('Price History'!Y159)),'Price History'!Y159=0),"",'Price History'!Y160/'Price History'!Y159-1),"")</f>
        <v>-0.0072811223583733</v>
      </c>
      <c r="AS159" s="155" t="n">
        <f aca="false">IFERROR(IF(OR(NOT(ISNUMBER('Price History'!Z160)),NOT(ISNUMBER('Price History'!Z159)),'Price History'!Z159=0),"",'Price History'!Z160/'Price History'!Z159-1),"")</f>
        <v>-0.0290119260952854</v>
      </c>
      <c r="AT159" s="155" t="n">
        <f aca="false">IFERROR(IF(OR(NOT(ISNUMBER('Price History'!AA160)),NOT(ISNUMBER('Price History'!AA159)),'Price History'!AA159=0),"",'Price History'!AA160/'Price History'!AA159-1),"")</f>
        <v>-0.0724806201550388</v>
      </c>
      <c r="AU159" s="155" t="n">
        <f aca="false">IFERROR(IF(OR(NOT(ISNUMBER('Price History'!AB160)),NOT(ISNUMBER('Price History'!AB159)),'Price History'!AB159=0),"",'Price History'!AB160/'Price History'!AB159-1),"")</f>
        <v>-0.00834603658536581</v>
      </c>
    </row>
    <row r="160" customFormat="false" ht="15" hidden="false" customHeight="true" outlineLevel="0" collapsed="false">
      <c r="A160" s="153" t="n">
        <f aca="false">IF('Price History'!A161="","",'Price History'!A161)</f>
        <v>46290</v>
      </c>
      <c r="B160" s="154" t="n">
        <f aca="false">IFERROR(IF(OR(NOT(ISNUMBER('Price History'!B161)),NOT(ISNUMBER('Price History'!B160)),'Price History'!B160=0),"",'Price History'!B161/'Price History'!B160-1),"")</f>
        <v>-0.0540334243933793</v>
      </c>
      <c r="C160" s="154" t="n">
        <f aca="false">IFERROR(IF(OR(NOT(ISNUMBER('Price History'!C161)),NOT(ISNUMBER('Price History'!C160)),'Price History'!C160=0),"",'Price History'!C161/'Price History'!C160-1),"")</f>
        <v>0.0359095240483476</v>
      </c>
      <c r="D160" s="154" t="n">
        <f aca="false">IFERROR(IF(OR(NOT(ISNUMBER('Price History'!D161)),NOT(ISNUMBER('Price History'!D160)),'Price History'!D160=0),"",'Price History'!D161/'Price History'!D160-1),"")</f>
        <v>0.038108957569408</v>
      </c>
      <c r="E160" s="154" t="n">
        <f aca="false">IFERROR(IF(OR(NOT(ISNUMBER('Price History'!E161)),NOT(ISNUMBER('Price History'!E160)),'Price History'!E160=0),"",'Price History'!E161/'Price History'!E160-1),"")</f>
        <v>-0.0116259524876736</v>
      </c>
      <c r="F160" s="154" t="n">
        <f aca="false">IFERROR(IF(OR(NOT(ISNUMBER('Price History'!F161)),NOT(ISNUMBER('Price History'!F160)),'Price History'!F160=0),"",'Price History'!F161/'Price History'!F160-1),"")</f>
        <v>0.0609299389859035</v>
      </c>
      <c r="G160" s="154" t="n">
        <f aca="false">IFERROR(IF(OR(NOT(ISNUMBER('Price History'!G161)),NOT(ISNUMBER('Price History'!G160)),'Price History'!G160=0),"",'Price History'!G161/'Price History'!G160-1),"")</f>
        <v>0.061754901406859</v>
      </c>
      <c r="H160" s="154" t="n">
        <f aca="false">IFERROR(IF(OR(NOT(ISNUMBER('Price History'!H161)),NOT(ISNUMBER('Price History'!H160)),'Price History'!H160=0),"",'Price History'!H161/'Price History'!H160-1),"")</f>
        <v>0.0654459539279386</v>
      </c>
      <c r="I160" s="154" t="n">
        <f aca="false">IFERROR(IF(OR(NOT(ISNUMBER('Price History'!I161)),NOT(ISNUMBER('Price History'!I160)),'Price History'!I160=0),"",'Price History'!I161/'Price History'!I160-1),"")</f>
        <v>0.0125972915823098</v>
      </c>
      <c r="J160" s="154" t="n">
        <f aca="false">IFERROR(IF(OR(NOT(ISNUMBER('Price History'!J161)),NOT(ISNUMBER('Price History'!J160)),'Price History'!J160=0),"",'Price History'!J161/'Price History'!J160-1),"")</f>
        <v>-0.0132749925838029</v>
      </c>
      <c r="K160" s="154" t="n">
        <f aca="false">IFERROR(IF(OR(NOT(ISNUMBER('Price History'!K161)),NOT(ISNUMBER('Price History'!K160)),'Price History'!K160=0),"",'Price History'!K161/'Price History'!K160-1),"")</f>
        <v>0.0677212339563162</v>
      </c>
      <c r="L160" s="154" t="n">
        <f aca="false">IFERROR(IF(OR(NOT(ISNUMBER('Price History'!L161)),NOT(ISNUMBER('Price History'!L160)),'Price History'!L160=0),"",'Price History'!L161/'Price History'!L160-1),"")</f>
        <v>0.0366714979179608</v>
      </c>
      <c r="M160" s="154" t="n">
        <f aca="false">IFERROR(IF(OR(NOT(ISNUMBER('Price History'!M161)),NOT(ISNUMBER('Price History'!M160)),'Price History'!M160=0),"",'Price History'!M161/'Price History'!M160-1),"")</f>
        <v>0.0155980592646057</v>
      </c>
      <c r="N160" s="154" t="n">
        <f aca="false">IFERROR(IF(OR(NOT(ISNUMBER('Price History'!N161)),NOT(ISNUMBER('Price History'!N160)),'Price History'!N160=0),"",'Price History'!N161/'Price History'!N160-1),"")</f>
        <v>0.0351142935830351</v>
      </c>
      <c r="O160" s="154" t="n">
        <f aca="false">IFERROR(IF(OR(NOT(ISNUMBER('Price History'!O161)),NOT(ISNUMBER('Price History'!O160)),'Price History'!O160=0),"",'Price History'!O161/'Price History'!O160-1),"")</f>
        <v>-0.0127090849458839</v>
      </c>
      <c r="P160" s="154" t="n">
        <f aca="false">IFERROR(IF(OR(NOT(ISNUMBER('Price History'!P161)),NOT(ISNUMBER('Price History'!P160)),'Price History'!P160=0),"",'Price History'!P161/'Price History'!P160-1),"")</f>
        <v>-0.0221814964610719</v>
      </c>
      <c r="Q160" s="154" t="n">
        <f aca="false">IFERROR(IF(OR(NOT(ISNUMBER('Price History'!Q161)),NOT(ISNUMBER('Price History'!Q160)),'Price History'!Q160=0),"",'Price History'!Q161/'Price History'!Q160-1),"")</f>
        <v>0.00855196405276137</v>
      </c>
      <c r="R160" s="154" t="n">
        <f aca="false">IFERROR(IF(OR(NOT(ISNUMBER('Price History'!R161)),NOT(ISNUMBER('Price History'!R160)),'Price History'!R160=0),"",'Price History'!R161/'Price History'!R160-1),"")</f>
        <v>0.0165884718498659</v>
      </c>
      <c r="S160" s="154" t="n">
        <f aca="false">IFERROR(IF(OR(NOT(ISNUMBER('Price History'!S161)),NOT(ISNUMBER('Price History'!S160)),'Price History'!S160=0),"",'Price History'!S161/'Price History'!S160-1),"")</f>
        <v>0.0265154057863999</v>
      </c>
      <c r="T160" s="154" t="n">
        <f aca="false">IFERROR(IF(OR(NOT(ISNUMBER('Price History'!T161)),NOT(ISNUMBER('Price History'!T160)),'Price History'!T160=0),"",'Price History'!T161/'Price History'!T160-1),"")</f>
        <v>-0.0264150943396226</v>
      </c>
      <c r="U160" s="154" t="n">
        <f aca="false">IFERROR(IF(OR(NOT(ISNUMBER('Price History'!U161)),NOT(ISNUMBER('Price History'!U160)),'Price History'!U160=0),"",'Price History'!U161/'Price History'!U160-1),"")</f>
        <v>-0.00598623166716539</v>
      </c>
      <c r="V160" s="155" t="n">
        <f aca="false">IFERROR(IF(OR(NOT(ISNUMBER('Price History'!V161)),NOT(ISNUMBER('Price History'!V160)),'Price History'!V160=0),"",'Price History'!V161/'Price History'!V160-1),"")</f>
        <v>-0.00247087892693265</v>
      </c>
      <c r="W160" s="157" t="n">
        <f aca="false">IFERROR('Price History'!B3+(INDEX('Price History'!B:B,MATCH(9.99E+307,'Returns (Calc)'!$A:$A)+1)-'Price History'!B3)*(ROW()-3)/(MATCH(9.99E+307,'Returns (Calc)'!$A:$A)-3),"")</f>
        <v>239.533037974684</v>
      </c>
      <c r="X160" s="157" t="n">
        <f aca="false">IFERROR('Price History'!C3+(INDEX('Price History'!C:C,MATCH(9.99E+307,'Returns (Calc)'!$A:$A)+1)-'Price History'!C3)*(ROW()-3)/(MATCH(9.99E+307,'Returns (Calc)'!$A:$A)-3),"")</f>
        <v>206.329936708861</v>
      </c>
      <c r="Y160" s="157" t="n">
        <f aca="false">IFERROR('Price History'!D3+(INDEX('Price History'!D:D,MATCH(9.99E+307,'Returns (Calc)'!$A:$A)+1)-'Price History'!D3)*(ROW()-3)/(MATCH(9.99E+307,'Returns (Calc)'!$A:$A)-3),"")</f>
        <v>1859.17518987342</v>
      </c>
      <c r="Z160" s="157" t="n">
        <f aca="false">IFERROR('Price History'!E3+(INDEX('Price History'!E:E,MATCH(9.99E+307,'Returns (Calc)'!$A:$A)+1)-'Price History'!E3)*(ROW()-3)/(MATCH(9.99E+307,'Returns (Calc)'!$A:$A)-3),"")</f>
        <v>353.411265822785</v>
      </c>
      <c r="AA160" s="157" t="n">
        <f aca="false">IFERROR('Price History'!F3+(INDEX('Price History'!F:F,MATCH(9.99E+307,'Returns (Calc)'!$A:$A)+1)-'Price History'!F3)*(ROW()-3)/(MATCH(9.99E+307,'Returns (Calc)'!$A:$A)-3),"")</f>
        <v>268.592658227848</v>
      </c>
      <c r="AB160" s="157" t="n">
        <f aca="false">IFERROR('Price History'!G3+(INDEX('Price History'!G:G,MATCH(9.99E+307,'Returns (Calc)'!$A:$A)+1)-'Price History'!G3)*(ROW()-3)/(MATCH(9.99E+307,'Returns (Calc)'!$A:$A)-3),"")</f>
        <v>205.861265822785</v>
      </c>
      <c r="AC160" s="157" t="n">
        <f aca="false">IFERROR('Price History'!H3+(INDEX('Price History'!H:H,MATCH(9.99E+307,'Returns (Calc)'!$A:$A)+1)-'Price History'!H3)*(ROW()-3)/(MATCH(9.99E+307,'Returns (Calc)'!$A:$A)-3),"")</f>
        <v>1068.52430379747</v>
      </c>
      <c r="AD160" s="157" t="n">
        <f aca="false">IFERROR('Price History'!I3+(INDEX('Price History'!I:I,MATCH(9.99E+307,'Returns (Calc)'!$A:$A)+1)-'Price History'!I3)*(ROW()-3)/(MATCH(9.99E+307,'Returns (Calc)'!$A:$A)-3),"")</f>
        <v>232.746329113924</v>
      </c>
      <c r="AE160" s="157" t="n">
        <f aca="false">IFERROR('Price History'!J3+(INDEX('Price History'!J:J,MATCH(9.99E+307,'Returns (Calc)'!$A:$A)+1)-'Price History'!J3)*(ROW()-3)/(MATCH(9.99E+307,'Returns (Calc)'!$A:$A)-3),"")</f>
        <v>128.801962025316</v>
      </c>
      <c r="AF160" s="157" t="n">
        <f aca="false">IFERROR('Price History'!K3+(INDEX('Price History'!K:K,MATCH(9.99E+307,'Returns (Calc)'!$A:$A)+1)-'Price History'!K3)*(ROW()-3)/(MATCH(9.99E+307,'Returns (Calc)'!$A:$A)-3),"")</f>
        <v>187.652405063291</v>
      </c>
      <c r="AG160" s="157" t="n">
        <f aca="false">IFERROR('Price History'!L3+(INDEX('Price History'!L:L,MATCH(9.99E+307,'Returns (Calc)'!$A:$A)+1)-'Price History'!L3)*(ROW()-3)/(MATCH(9.99E+307,'Returns (Calc)'!$A:$A)-3),"")</f>
        <v>470.330443037975</v>
      </c>
      <c r="AH160" s="157" t="n">
        <f aca="false">IFERROR('Price History'!M3+(INDEX('Price History'!M:M,MATCH(9.99E+307,'Returns (Calc)'!$A:$A)+1)-'Price History'!M3)*(ROW()-3)/(MATCH(9.99E+307,'Returns (Calc)'!$A:$A)-3),"")</f>
        <v>250.824556962025</v>
      </c>
      <c r="AI160" s="157" t="n">
        <f aca="false">IFERROR('Price History'!N3+(INDEX('Price History'!N:N,MATCH(9.99E+307,'Returns (Calc)'!$A:$A)+1)-'Price History'!N3)*(ROW()-3)/(MATCH(9.99E+307,'Returns (Calc)'!$A:$A)-3),"")</f>
        <v>503.743734177215</v>
      </c>
      <c r="AJ160" s="157" t="n">
        <f aca="false">IFERROR('Price History'!O3+(INDEX('Price History'!O:O,MATCH(9.99E+307,'Returns (Calc)'!$A:$A)+1)-'Price History'!O3)*(ROW()-3)/(MATCH(9.99E+307,'Returns (Calc)'!$A:$A)-3),"")</f>
        <v>119.746962025316</v>
      </c>
      <c r="AK160" s="157" t="n">
        <f aca="false">IFERROR('Price History'!Q3+(INDEX('Price History'!Q:Q,MATCH(9.99E+307,'Returns (Calc)'!$A:$A)+1)-'Price History'!Q3)*(ROW()-3)/(MATCH(9.99E+307,'Returns (Calc)'!$A:$A)-3),"")</f>
        <v>68.9806329113924</v>
      </c>
      <c r="AL160" s="157" t="n">
        <f aca="false">IFERROR('Price History'!R3+(INDEX('Price History'!R:R,MATCH(9.99E+307,'Returns (Calc)'!$A:$A)+1)-'Price History'!R3)*(ROW()-3)/(MATCH(9.99E+307,'Returns (Calc)'!$A:$A)-3),"")</f>
        <v>60.8718987341772</v>
      </c>
      <c r="AM160" s="157" t="n">
        <f aca="false">IFERROR('Price History'!S3+(INDEX('Price History'!S:S,MATCH(9.99E+307,'Returns (Calc)'!$A:$A)+1)-'Price History'!S3)*(ROW()-3)/(MATCH(9.99E+307,'Returns (Calc)'!$A:$A)-3),"")</f>
        <v>152.624936708861</v>
      </c>
      <c r="AN160" s="157" t="n">
        <f aca="false">IFERROR('Price History'!T3+(INDEX('Price History'!T:T,MATCH(9.99E+307,'Returns (Calc)'!$A:$A)+1)-'Price History'!T3)*(ROW()-3)/(MATCH(9.99E+307,'Returns (Calc)'!$A:$A)-3),"")</f>
        <v>51.6517721518987</v>
      </c>
      <c r="AO160" s="157" t="n">
        <f aca="false">IFERROR('Price History'!V3+(INDEX('Price History'!V:V,MATCH(9.99E+307,'Returns (Calc)'!$A:$A)+1)-'Price History'!V3)*(ROW()-3)/(MATCH(9.99E+307,'Returns (Calc)'!$A:$A)-3),"")</f>
        <v>359.868670886076</v>
      </c>
      <c r="AP160" s="155" t="n">
        <f aca="false">IFERROR(IF(OR(NOT(ISNUMBER('Price History'!W161)),NOT(ISNUMBER('Price History'!W160)),'Price History'!W160=0),"",'Price History'!W161/'Price History'!W160-1),"")</f>
        <v>-0.00992088408891112</v>
      </c>
      <c r="AQ160" s="155" t="n">
        <f aca="false">IFERROR(IF(OR(NOT(ISNUMBER('Price History'!X161)),NOT(ISNUMBER('Price History'!X160)),'Price History'!X160=0),"",'Price History'!X161/'Price History'!X160-1),"")</f>
        <v>-0.0323802310168528</v>
      </c>
      <c r="AR160" s="155" t="n">
        <f aca="false">IFERROR(IF(OR(NOT(ISNUMBER('Price History'!Y161)),NOT(ISNUMBER('Price History'!Y160)),'Price History'!Y160=0),"",'Price History'!Y161/'Price History'!Y160-1),"")</f>
        <v>0.00930232558139532</v>
      </c>
      <c r="AS160" s="155" t="n">
        <f aca="false">IFERROR(IF(OR(NOT(ISNUMBER('Price History'!Z161)),NOT(ISNUMBER('Price History'!Z160)),'Price History'!Z160=0),"",'Price History'!Z161/'Price History'!Z160-1),"")</f>
        <v>0.040792948738346</v>
      </c>
      <c r="AT160" s="155" t="n">
        <f aca="false">IFERROR(IF(OR(NOT(ISNUMBER('Price History'!AA161)),NOT(ISNUMBER('Price History'!AA160)),'Price History'!AA160=0),"",'Price History'!AA161/'Price History'!AA160-1),"")</f>
        <v>-0.00891489065329432</v>
      </c>
      <c r="AU160" s="155" t="n">
        <f aca="false">IFERROR(IF(OR(NOT(ISNUMBER('Price History'!AB161)),NOT(ISNUMBER('Price History'!AB160)),'Price History'!AB160=0),"",'Price History'!AB161/'Price History'!AB160-1),"")</f>
        <v>0.0786672303139773</v>
      </c>
    </row>
    <row r="161" customFormat="false" ht="15" hidden="false" customHeight="true" outlineLevel="0" collapsed="false">
      <c r="A161" s="153" t="n">
        <f aca="false">IF('Price History'!A162="","",'Price History'!A162)</f>
        <v>46297</v>
      </c>
      <c r="B161" s="154" t="n">
        <f aca="false">IFERROR(IF(OR(NOT(ISNUMBER('Price History'!B162)),NOT(ISNUMBER('Price History'!B161)),'Price History'!B161=0),"",'Price History'!B162/'Price History'!B161-1),"")</f>
        <v>0.0094279526054275</v>
      </c>
      <c r="C161" s="154" t="n">
        <f aca="false">IFERROR(IF(OR(NOT(ISNUMBER('Price History'!C162)),NOT(ISNUMBER('Price History'!C161)),'Price History'!C161=0),"",'Price History'!C162/'Price History'!C161-1),"")</f>
        <v>0.00387315419995149</v>
      </c>
      <c r="D161" s="154" t="n">
        <f aca="false">IFERROR(IF(OR(NOT(ISNUMBER('Price History'!D162)),NOT(ISNUMBER('Price History'!D161)),'Price History'!D161=0),"",'Price History'!D162/'Price History'!D161-1),"")</f>
        <v>0.0707421126873631</v>
      </c>
      <c r="E161" s="154" t="n">
        <f aca="false">IFERROR(IF(OR(NOT(ISNUMBER('Price History'!E162)),NOT(ISNUMBER('Price History'!E161)),'Price History'!E161=0),"",'Price History'!E162/'Price History'!E161-1),"")</f>
        <v>0.00660412119837872</v>
      </c>
      <c r="F161" s="154" t="n">
        <f aca="false">IFERROR(IF(OR(NOT(ISNUMBER('Price History'!F162)),NOT(ISNUMBER('Price History'!F161)),'Price History'!F161=0),"",'Price History'!F162/'Price History'!F161-1),"")</f>
        <v>0.0710347836433587</v>
      </c>
      <c r="G161" s="154" t="n">
        <f aca="false">IFERROR(IF(OR(NOT(ISNUMBER('Price History'!G162)),NOT(ISNUMBER('Price History'!G161)),'Price History'!G161=0),"",'Price History'!G162/'Price History'!G161-1),"")</f>
        <v>0.100947211579395</v>
      </c>
      <c r="H161" s="154" t="n">
        <f aca="false">IFERROR(IF(OR(NOT(ISNUMBER('Price History'!H162)),NOT(ISNUMBER('Price History'!H161)),'Price History'!H161=0),"",'Price History'!H162/'Price History'!H161-1),"")</f>
        <v>-0.00682817755109577</v>
      </c>
      <c r="I161" s="154" t="n">
        <f aca="false">IFERROR(IF(OR(NOT(ISNUMBER('Price History'!I162)),NOT(ISNUMBER('Price History'!I161)),'Price History'!I161=0),"",'Price History'!I162/'Price History'!I161-1),"")</f>
        <v>0.0394543919669437</v>
      </c>
      <c r="J161" s="154" t="n">
        <f aca="false">IFERROR(IF(OR(NOT(ISNUMBER('Price History'!J162)),NOT(ISNUMBER('Price History'!J161)),'Price History'!J161=0),"",'Price History'!J162/'Price History'!J161-1),"")</f>
        <v>-0.0311161217587375</v>
      </c>
      <c r="K161" s="154" t="n">
        <f aca="false">IFERROR(IF(OR(NOT(ISNUMBER('Price History'!K162)),NOT(ISNUMBER('Price History'!K161)),'Price History'!K161=0),"",'Price History'!K162/'Price History'!K161-1),"")</f>
        <v>-0.00485052986766488</v>
      </c>
      <c r="L161" s="154" t="n">
        <f aca="false">IFERROR(IF(OR(NOT(ISNUMBER('Price History'!L162)),NOT(ISNUMBER('Price History'!L161)),'Price History'!L161=0),"",'Price History'!L162/'Price History'!L161-1),"")</f>
        <v>0.0491999733694324</v>
      </c>
      <c r="M161" s="154" t="n">
        <f aca="false">IFERROR(IF(OR(NOT(ISNUMBER('Price History'!M162)),NOT(ISNUMBER('Price History'!M161)),'Price History'!M161=0),"",'Price History'!M162/'Price History'!M161-1),"")</f>
        <v>-0.00434301958307015</v>
      </c>
      <c r="N161" s="154" t="n">
        <f aca="false">IFERROR(IF(OR(NOT(ISNUMBER('Price History'!N162)),NOT(ISNUMBER('Price History'!N161)),'Price History'!N161=0),"",'Price History'!N162/'Price History'!N161-1),"")</f>
        <v>-0.0407837473156085</v>
      </c>
      <c r="O161" s="154" t="n">
        <f aca="false">IFERROR(IF(OR(NOT(ISNUMBER('Price History'!O162)),NOT(ISNUMBER('Price History'!O161)),'Price History'!O161=0),"",'Price History'!O162/'Price History'!O161-1),"")</f>
        <v>-0.00315588406278544</v>
      </c>
      <c r="P161" s="154" t="n">
        <f aca="false">IFERROR(IF(OR(NOT(ISNUMBER('Price History'!P162)),NOT(ISNUMBER('Price History'!P161)),'Price History'!P161=0),"",'Price History'!P162/'Price History'!P161-1),"")</f>
        <v>-0.0108576229561169</v>
      </c>
      <c r="Q161" s="154" t="n">
        <f aca="false">IFERROR(IF(OR(NOT(ISNUMBER('Price History'!Q162)),NOT(ISNUMBER('Price History'!Q161)),'Price History'!Q161=0),"",'Price History'!Q162/'Price History'!Q161-1),"")</f>
        <v>-0.00229951135383721</v>
      </c>
      <c r="R161" s="154" t="n">
        <f aca="false">IFERROR(IF(OR(NOT(ISNUMBER('Price History'!R162)),NOT(ISNUMBER('Price History'!R161)),'Price History'!R161=0),"",'Price History'!R162/'Price History'!R161-1),"")</f>
        <v>0.0060985660128563</v>
      </c>
      <c r="S161" s="154" t="n">
        <f aca="false">IFERROR(IF(OR(NOT(ISNUMBER('Price History'!S162)),NOT(ISNUMBER('Price History'!S161)),'Price History'!S161=0),"",'Price History'!S162/'Price History'!S161-1),"")</f>
        <v>0.00202720376667531</v>
      </c>
      <c r="T161" s="154" t="n">
        <f aca="false">IFERROR(IF(OR(NOT(ISNUMBER('Price History'!T162)),NOT(ISNUMBER('Price History'!T161)),'Price History'!T161=0),"",'Price History'!T162/'Price History'!T161-1),"")</f>
        <v>0.00426356589147292</v>
      </c>
      <c r="U161" s="154" t="n">
        <f aca="false">IFERROR(IF(OR(NOT(ISNUMBER('Price History'!U162)),NOT(ISNUMBER('Price History'!U161)),'Price History'!U161=0),"",'Price History'!U162/'Price History'!U161-1),"")</f>
        <v>-0.0147545919903644</v>
      </c>
      <c r="V161" s="155" t="n">
        <f aca="false">IFERROR(IF(OR(NOT(ISNUMBER('Price History'!V162)),NOT(ISNUMBER('Price History'!V161)),'Price History'!V161=0),"",'Price History'!V162/'Price History'!V161-1),"")</f>
        <v>-0.0182916870814959</v>
      </c>
      <c r="W161" s="157" t="n">
        <f aca="false">IFERROR('Price History'!B3+(INDEX('Price History'!B:B,MATCH(9.99E+307,'Returns (Calc)'!$A:$A)+1)-'Price History'!B3)*(ROW()-3)/(MATCH(9.99E+307,'Returns (Calc)'!$A:$A)-3),"")</f>
        <v>237.69</v>
      </c>
      <c r="X161" s="157" t="n">
        <f aca="false">IFERROR('Price History'!C3+(INDEX('Price History'!C:C,MATCH(9.99E+307,'Returns (Calc)'!$A:$A)+1)-'Price History'!C3)*(ROW()-3)/(MATCH(9.99E+307,'Returns (Calc)'!$A:$A)-3),"")</f>
        <v>207.35</v>
      </c>
      <c r="Y161" s="157" t="n">
        <f aca="false">IFERROR('Price History'!D3+(INDEX('Price History'!D:D,MATCH(9.99E+307,'Returns (Calc)'!$A:$A)+1)-'Price History'!D3)*(ROW()-3)/(MATCH(9.99E+307,'Returns (Calc)'!$A:$A)-3),"")</f>
        <v>1867.31</v>
      </c>
      <c r="Z161" s="157" t="n">
        <f aca="false">IFERROR('Price History'!E3+(INDEX('Price History'!E:E,MATCH(9.99E+307,'Returns (Calc)'!$A:$A)+1)-'Price History'!E3)*(ROW()-3)/(MATCH(9.99E+307,'Returns (Calc)'!$A:$A)-3),"")</f>
        <v>355.14</v>
      </c>
      <c r="AA161" s="157" t="n">
        <f aca="false">IFERROR('Price History'!F3+(INDEX('Price History'!F:F,MATCH(9.99E+307,'Returns (Calc)'!$A:$A)+1)-'Price History'!F3)*(ROW()-3)/(MATCH(9.99E+307,'Returns (Calc)'!$A:$A)-3),"")</f>
        <v>270.04</v>
      </c>
      <c r="AB161" s="157" t="n">
        <f aca="false">IFERROR('Price History'!G3+(INDEX('Price History'!G:G,MATCH(9.99E+307,'Returns (Calc)'!$A:$A)+1)-'Price History'!G3)*(ROW()-3)/(MATCH(9.99E+307,'Returns (Calc)'!$A:$A)-3),"")</f>
        <v>206.89</v>
      </c>
      <c r="AC161" s="157" t="n">
        <f aca="false">IFERROR('Price History'!H3+(INDEX('Price History'!H:H,MATCH(9.99E+307,'Returns (Calc)'!$A:$A)+1)-'Price History'!H3)*(ROW()-3)/(MATCH(9.99E+307,'Returns (Calc)'!$A:$A)-3),"")</f>
        <v>1074.89</v>
      </c>
      <c r="AD161" s="157" t="n">
        <f aca="false">IFERROR('Price History'!I3+(INDEX('Price History'!I:I,MATCH(9.99E+307,'Returns (Calc)'!$A:$A)+1)-'Price History'!I3)*(ROW()-3)/(MATCH(9.99E+307,'Returns (Calc)'!$A:$A)-3),"")</f>
        <v>233.95</v>
      </c>
      <c r="AE161" s="157" t="n">
        <f aca="false">IFERROR('Price History'!J3+(INDEX('Price History'!J:J,MATCH(9.99E+307,'Returns (Calc)'!$A:$A)+1)-'Price History'!J3)*(ROW()-3)/(MATCH(9.99E+307,'Returns (Calc)'!$A:$A)-3),"")</f>
        <v>128.91</v>
      </c>
      <c r="AF161" s="157" t="n">
        <f aca="false">IFERROR('Price History'!K3+(INDEX('Price History'!K:K,MATCH(9.99E+307,'Returns (Calc)'!$A:$A)+1)-'Price History'!K3)*(ROW()-3)/(MATCH(9.99E+307,'Returns (Calc)'!$A:$A)-3),"")</f>
        <v>188.75</v>
      </c>
      <c r="AG161" s="157" t="n">
        <f aca="false">IFERROR('Price History'!L3+(INDEX('Price History'!L:L,MATCH(9.99E+307,'Returns (Calc)'!$A:$A)+1)-'Price History'!L3)*(ROW()-3)/(MATCH(9.99E+307,'Returns (Calc)'!$A:$A)-3),"")</f>
        <v>472.78</v>
      </c>
      <c r="AH161" s="157" t="n">
        <f aca="false">IFERROR('Price History'!M3+(INDEX('Price History'!M:M,MATCH(9.99E+307,'Returns (Calc)'!$A:$A)+1)-'Price History'!M3)*(ROW()-3)/(MATCH(9.99E+307,'Returns (Calc)'!$A:$A)-3),"")</f>
        <v>252.18</v>
      </c>
      <c r="AI161" s="157" t="n">
        <f aca="false">IFERROR('Price History'!N3+(INDEX('Price History'!N:N,MATCH(9.99E+307,'Returns (Calc)'!$A:$A)+1)-'Price History'!N3)*(ROW()-3)/(MATCH(9.99E+307,'Returns (Calc)'!$A:$A)-3),"")</f>
        <v>504.73</v>
      </c>
      <c r="AJ161" s="157" t="n">
        <f aca="false">IFERROR('Price History'!O3+(INDEX('Price History'!O:O,MATCH(9.99E+307,'Returns (Calc)'!$A:$A)+1)-'Price History'!O3)*(ROW()-3)/(MATCH(9.99E+307,'Returns (Calc)'!$A:$A)-3),"")</f>
        <v>120.03</v>
      </c>
      <c r="AK161" s="157" t="n">
        <f aca="false">IFERROR('Price History'!Q3+(INDEX('Price History'!Q:Q,MATCH(9.99E+307,'Returns (Calc)'!$A:$A)+1)-'Price History'!Q3)*(ROW()-3)/(MATCH(9.99E+307,'Returns (Calc)'!$A:$A)-3),"")</f>
        <v>69.42</v>
      </c>
      <c r="AL161" s="157" t="n">
        <f aca="false">IFERROR('Price History'!R3+(INDEX('Price History'!R:R,MATCH(9.99E+307,'Returns (Calc)'!$A:$A)+1)-'Price History'!R3)*(ROW()-3)/(MATCH(9.99E+307,'Returns (Calc)'!$A:$A)-3),"")</f>
        <v>61.04</v>
      </c>
      <c r="AM161" s="157" t="n">
        <f aca="false">IFERROR('Price History'!S3+(INDEX('Price History'!S:S,MATCH(9.99E+307,'Returns (Calc)'!$A:$A)+1)-'Price History'!S3)*(ROW()-3)/(MATCH(9.99E+307,'Returns (Calc)'!$A:$A)-3),"")</f>
        <v>153.23</v>
      </c>
      <c r="AN161" s="157" t="n">
        <f aca="false">IFERROR('Price History'!T3+(INDEX('Price History'!T:T,MATCH(9.99E+307,'Returns (Calc)'!$A:$A)+1)-'Price History'!T3)*(ROW()-3)/(MATCH(9.99E+307,'Returns (Calc)'!$A:$A)-3),"")</f>
        <v>51.82</v>
      </c>
      <c r="AO161" s="157" t="n">
        <f aca="false">IFERROR('Price History'!V3+(INDEX('Price History'!V:V,MATCH(9.99E+307,'Returns (Calc)'!$A:$A)+1)-'Price History'!V3)*(ROW()-3)/(MATCH(9.99E+307,'Returns (Calc)'!$A:$A)-3),"")</f>
        <v>360.66</v>
      </c>
      <c r="AP161" s="155" t="n">
        <f aca="false">IFERROR(IF(OR(NOT(ISNUMBER('Price History'!W162)),NOT(ISNUMBER('Price History'!W161)),'Price History'!W161=0),"",'Price History'!W162/'Price History'!W161-1),"")</f>
        <v>-0.00773718924403855</v>
      </c>
      <c r="AQ161" s="155" t="n">
        <f aca="false">IFERROR(IF(OR(NOT(ISNUMBER('Price History'!X162)),NOT(ISNUMBER('Price History'!X161)),'Price History'!X161=0),"",'Price History'!X162/'Price History'!X161-1),"")</f>
        <v>0.00136986301369868</v>
      </c>
      <c r="AR161" s="155" t="n">
        <f aca="false">IFERROR(IF(OR(NOT(ISNUMBER('Price History'!Y162)),NOT(ISNUMBER('Price History'!Y161)),'Price History'!Y161=0),"",'Price History'!Y162/'Price History'!Y161-1),"")</f>
        <v>-0.00567174760723144</v>
      </c>
      <c r="AS161" s="155" t="n">
        <f aca="false">IFERROR(IF(OR(NOT(ISNUMBER('Price History'!Z162)),NOT(ISNUMBER('Price History'!Z161)),'Price History'!Z161=0),"",'Price History'!Z162/'Price History'!Z161-1),"")</f>
        <v>-0.053593812100645</v>
      </c>
      <c r="AT161" s="155" t="n">
        <f aca="false">IFERROR(IF(OR(NOT(ISNUMBER('Price History'!AA162)),NOT(ISNUMBER('Price History'!AA161)),'Price History'!AA161=0),"",'Price History'!AA162/'Price History'!AA161-1),"")</f>
        <v>-0.0574841883345046</v>
      </c>
      <c r="AU161" s="155" t="n">
        <f aca="false">IFERROR(IF(OR(NOT(ISNUMBER('Price History'!AB162)),NOT(ISNUMBER('Price History'!AB161)),'Price History'!AB161=0),"",'Price History'!AB162/'Price History'!AB161-1),"")</f>
        <v>-0.0261864044463447</v>
      </c>
    </row>
    <row r="162" customFormat="false" ht="15" hidden="false" customHeight="true" outlineLevel="0" collapsed="false">
      <c r="A162" s="153" t="str">
        <f aca="false">IF('Price History'!A163="","",'Price History'!A163)</f>
        <v/>
      </c>
      <c r="B162" s="154" t="str">
        <f aca="false">IFERROR(IF(OR(NOT(ISNUMBER('Price History'!B163)),NOT(ISNUMBER('Price History'!B162)),'Price History'!B162=0),"",'Price History'!B163/'Price History'!B162-1),"")</f>
        <v/>
      </c>
      <c r="C162" s="154" t="str">
        <f aca="false">IFERROR(IF(OR(NOT(ISNUMBER('Price History'!C163)),NOT(ISNUMBER('Price History'!C162)),'Price History'!C162=0),"",'Price History'!C163/'Price History'!C162-1),"")</f>
        <v/>
      </c>
      <c r="D162" s="154" t="str">
        <f aca="false">IFERROR(IF(OR(NOT(ISNUMBER('Price History'!D163)),NOT(ISNUMBER('Price History'!D162)),'Price History'!D162=0),"",'Price History'!D163/'Price History'!D162-1),"")</f>
        <v/>
      </c>
      <c r="E162" s="154" t="str">
        <f aca="false">IFERROR(IF(OR(NOT(ISNUMBER('Price History'!E163)),NOT(ISNUMBER('Price History'!E162)),'Price History'!E162=0),"",'Price History'!E163/'Price History'!E162-1),"")</f>
        <v/>
      </c>
      <c r="F162" s="154" t="str">
        <f aca="false">IFERROR(IF(OR(NOT(ISNUMBER('Price History'!F163)),NOT(ISNUMBER('Price History'!F162)),'Price History'!F162=0),"",'Price History'!F163/'Price History'!F162-1),"")</f>
        <v/>
      </c>
      <c r="G162" s="154" t="str">
        <f aca="false">IFERROR(IF(OR(NOT(ISNUMBER('Price History'!G163)),NOT(ISNUMBER('Price History'!G162)),'Price History'!G162=0),"",'Price History'!G163/'Price History'!G162-1),"")</f>
        <v/>
      </c>
      <c r="H162" s="154" t="str">
        <f aca="false">IFERROR(IF(OR(NOT(ISNUMBER('Price History'!H163)),NOT(ISNUMBER('Price History'!H162)),'Price History'!H162=0),"",'Price History'!H163/'Price History'!H162-1),"")</f>
        <v/>
      </c>
      <c r="I162" s="154" t="str">
        <f aca="false">IFERROR(IF(OR(NOT(ISNUMBER('Price History'!I163)),NOT(ISNUMBER('Price History'!I162)),'Price History'!I162=0),"",'Price History'!I163/'Price History'!I162-1),"")</f>
        <v/>
      </c>
      <c r="J162" s="154" t="str">
        <f aca="false">IFERROR(IF(OR(NOT(ISNUMBER('Price History'!J163)),NOT(ISNUMBER('Price History'!J162)),'Price History'!J162=0),"",'Price History'!J163/'Price History'!J162-1),"")</f>
        <v/>
      </c>
      <c r="K162" s="154" t="str">
        <f aca="false">IFERROR(IF(OR(NOT(ISNUMBER('Price History'!K163)),NOT(ISNUMBER('Price History'!K162)),'Price History'!K162=0),"",'Price History'!K163/'Price History'!K162-1),"")</f>
        <v/>
      </c>
      <c r="L162" s="154" t="str">
        <f aca="false">IFERROR(IF(OR(NOT(ISNUMBER('Price History'!L163)),NOT(ISNUMBER('Price History'!L162)),'Price History'!L162=0),"",'Price History'!L163/'Price History'!L162-1),"")</f>
        <v/>
      </c>
      <c r="M162" s="154" t="str">
        <f aca="false">IFERROR(IF(OR(NOT(ISNUMBER('Price History'!M163)),NOT(ISNUMBER('Price History'!M162)),'Price History'!M162=0),"",'Price History'!M163/'Price History'!M162-1),"")</f>
        <v/>
      </c>
      <c r="N162" s="154" t="str">
        <f aca="false">IFERROR(IF(OR(NOT(ISNUMBER('Price History'!N163)),NOT(ISNUMBER('Price History'!N162)),'Price History'!N162=0),"",'Price History'!N163/'Price History'!N162-1),"")</f>
        <v/>
      </c>
      <c r="O162" s="154" t="str">
        <f aca="false">IFERROR(IF(OR(NOT(ISNUMBER('Price History'!O163)),NOT(ISNUMBER('Price History'!O162)),'Price History'!O162=0),"",'Price History'!O163/'Price History'!O162-1),"")</f>
        <v/>
      </c>
      <c r="P162" s="154" t="str">
        <f aca="false">IFERROR(IF(OR(NOT(ISNUMBER('Price History'!P163)),NOT(ISNUMBER('Price History'!P162)),'Price History'!P162=0),"",'Price History'!P163/'Price History'!P162-1),"")</f>
        <v/>
      </c>
      <c r="Q162" s="154" t="str">
        <f aca="false">IFERROR(IF(OR(NOT(ISNUMBER('Price History'!Q163)),NOT(ISNUMBER('Price History'!Q162)),'Price History'!Q162=0),"",'Price History'!Q163/'Price History'!Q162-1),"")</f>
        <v/>
      </c>
      <c r="R162" s="154" t="str">
        <f aca="false">IFERROR(IF(OR(NOT(ISNUMBER('Price History'!R163)),NOT(ISNUMBER('Price History'!R162)),'Price History'!R162=0),"",'Price History'!R163/'Price History'!R162-1),"")</f>
        <v/>
      </c>
      <c r="S162" s="154" t="str">
        <f aca="false">IFERROR(IF(OR(NOT(ISNUMBER('Price History'!S163)),NOT(ISNUMBER('Price History'!S162)),'Price History'!S162=0),"",'Price History'!S163/'Price History'!S162-1),"")</f>
        <v/>
      </c>
      <c r="T162" s="154" t="str">
        <f aca="false">IFERROR(IF(OR(NOT(ISNUMBER('Price History'!T163)),NOT(ISNUMBER('Price History'!T162)),'Price History'!T162=0),"",'Price History'!T163/'Price History'!T162-1),"")</f>
        <v/>
      </c>
      <c r="U162" s="154" t="str">
        <f aca="false">IFERROR(IF(OR(NOT(ISNUMBER('Price History'!U163)),NOT(ISNUMBER('Price History'!U162)),'Price History'!U162=0),"",'Price History'!U163/'Price History'!U162-1),"")</f>
        <v/>
      </c>
      <c r="V162" s="155" t="str">
        <f aca="false">IFERROR(IF(OR(NOT(ISNUMBER('Price History'!V163)),NOT(ISNUMBER('Price History'!V162)),'Price History'!V162=0),"",'Price History'!V163/'Price History'!V162-1),"")</f>
        <v/>
      </c>
      <c r="W162" s="157" t="n">
        <f aca="false">IFERROR('Price History'!B3+(INDEX('Price History'!B:B,MATCH(9.99E+307,'Returns (Calc)'!$A:$A)+1)-'Price History'!B3)*(ROW()-3)/(MATCH(9.99E+307,'Returns (Calc)'!$A:$A)-3),"")</f>
        <v>235.846962025317</v>
      </c>
      <c r="X162" s="157" t="n">
        <f aca="false">IFERROR('Price History'!C3+(INDEX('Price History'!C:C,MATCH(9.99E+307,'Returns (Calc)'!$A:$A)+1)-'Price History'!C3)*(ROW()-3)/(MATCH(9.99E+307,'Returns (Calc)'!$A:$A)-3),"")</f>
        <v>208.370063291139</v>
      </c>
      <c r="Y162" s="157" t="n">
        <f aca="false">IFERROR('Price History'!D3+(INDEX('Price History'!D:D,MATCH(9.99E+307,'Returns (Calc)'!$A:$A)+1)-'Price History'!D3)*(ROW()-3)/(MATCH(9.99E+307,'Returns (Calc)'!$A:$A)-3),"")</f>
        <v>1875.44481012658</v>
      </c>
      <c r="Z162" s="157" t="n">
        <f aca="false">IFERROR('Price History'!E3+(INDEX('Price History'!E:E,MATCH(9.99E+307,'Returns (Calc)'!$A:$A)+1)-'Price History'!E3)*(ROW()-3)/(MATCH(9.99E+307,'Returns (Calc)'!$A:$A)-3),"")</f>
        <v>356.868734177215</v>
      </c>
      <c r="AA162" s="157" t="n">
        <f aca="false">IFERROR('Price History'!F3+(INDEX('Price History'!F:F,MATCH(9.99E+307,'Returns (Calc)'!$A:$A)+1)-'Price History'!F3)*(ROW()-3)/(MATCH(9.99E+307,'Returns (Calc)'!$A:$A)-3),"")</f>
        <v>271.487341772152</v>
      </c>
      <c r="AB162" s="157" t="n">
        <f aca="false">IFERROR('Price History'!G3+(INDEX('Price History'!G:G,MATCH(9.99E+307,'Returns (Calc)'!$A:$A)+1)-'Price History'!G3)*(ROW()-3)/(MATCH(9.99E+307,'Returns (Calc)'!$A:$A)-3),"")</f>
        <v>207.918734177215</v>
      </c>
      <c r="AC162" s="157" t="n">
        <f aca="false">IFERROR('Price History'!H3+(INDEX('Price History'!H:H,MATCH(9.99E+307,'Returns (Calc)'!$A:$A)+1)-'Price History'!H3)*(ROW()-3)/(MATCH(9.99E+307,'Returns (Calc)'!$A:$A)-3),"")</f>
        <v>1081.25569620253</v>
      </c>
      <c r="AD162" s="157" t="n">
        <f aca="false">IFERROR('Price History'!I3+(INDEX('Price History'!I:I,MATCH(9.99E+307,'Returns (Calc)'!$A:$A)+1)-'Price History'!I3)*(ROW()-3)/(MATCH(9.99E+307,'Returns (Calc)'!$A:$A)-3),"")</f>
        <v>235.153670886076</v>
      </c>
      <c r="AE162" s="157" t="n">
        <f aca="false">IFERROR('Price History'!J3+(INDEX('Price History'!J:J,MATCH(9.99E+307,'Returns (Calc)'!$A:$A)+1)-'Price History'!J3)*(ROW()-3)/(MATCH(9.99E+307,'Returns (Calc)'!$A:$A)-3),"")</f>
        <v>129.018037974684</v>
      </c>
      <c r="AF162" s="157" t="n">
        <f aca="false">IFERROR('Price History'!K3+(INDEX('Price History'!K:K,MATCH(9.99E+307,'Returns (Calc)'!$A:$A)+1)-'Price History'!K3)*(ROW()-3)/(MATCH(9.99E+307,'Returns (Calc)'!$A:$A)-3),"")</f>
        <v>189.847594936709</v>
      </c>
      <c r="AG162" s="157" t="n">
        <f aca="false">IFERROR('Price History'!L3+(INDEX('Price History'!L:L,MATCH(9.99E+307,'Returns (Calc)'!$A:$A)+1)-'Price History'!L3)*(ROW()-3)/(MATCH(9.99E+307,'Returns (Calc)'!$A:$A)-3),"")</f>
        <v>475.229556962025</v>
      </c>
      <c r="AH162" s="157" t="n">
        <f aca="false">IFERROR('Price History'!M3+(INDEX('Price History'!M:M,MATCH(9.99E+307,'Returns (Calc)'!$A:$A)+1)-'Price History'!M3)*(ROW()-3)/(MATCH(9.99E+307,'Returns (Calc)'!$A:$A)-3),"")</f>
        <v>253.535443037975</v>
      </c>
      <c r="AI162" s="157" t="n">
        <f aca="false">IFERROR('Price History'!N3+(INDEX('Price History'!N:N,MATCH(9.99E+307,'Returns (Calc)'!$A:$A)+1)-'Price History'!N3)*(ROW()-3)/(MATCH(9.99E+307,'Returns (Calc)'!$A:$A)-3),"")</f>
        <v>505.716265822785</v>
      </c>
      <c r="AJ162" s="157" t="n">
        <f aca="false">IFERROR('Price History'!O3+(INDEX('Price History'!O:O,MATCH(9.99E+307,'Returns (Calc)'!$A:$A)+1)-'Price History'!O3)*(ROW()-3)/(MATCH(9.99E+307,'Returns (Calc)'!$A:$A)-3),"")</f>
        <v>120.313037974684</v>
      </c>
      <c r="AK162" s="157" t="n">
        <f aca="false">IFERROR('Price History'!Q3+(INDEX('Price History'!Q:Q,MATCH(9.99E+307,'Returns (Calc)'!$A:$A)+1)-'Price History'!Q3)*(ROW()-3)/(MATCH(9.99E+307,'Returns (Calc)'!$A:$A)-3),"")</f>
        <v>69.8593670886076</v>
      </c>
      <c r="AL162" s="157" t="n">
        <f aca="false">IFERROR('Price History'!R3+(INDEX('Price History'!R:R,MATCH(9.99E+307,'Returns (Calc)'!$A:$A)+1)-'Price History'!R3)*(ROW()-3)/(MATCH(9.99E+307,'Returns (Calc)'!$A:$A)-3),"")</f>
        <v>61.2081012658228</v>
      </c>
      <c r="AM162" s="157" t="n">
        <f aca="false">IFERROR('Price History'!S3+(INDEX('Price History'!S:S,MATCH(9.99E+307,'Returns (Calc)'!$A:$A)+1)-'Price History'!S3)*(ROW()-3)/(MATCH(9.99E+307,'Returns (Calc)'!$A:$A)-3),"")</f>
        <v>153.835063291139</v>
      </c>
      <c r="AN162" s="157" t="n">
        <f aca="false">IFERROR('Price History'!T3+(INDEX('Price History'!T:T,MATCH(9.99E+307,'Returns (Calc)'!$A:$A)+1)-'Price History'!T3)*(ROW()-3)/(MATCH(9.99E+307,'Returns (Calc)'!$A:$A)-3),"")</f>
        <v>51.9882278481013</v>
      </c>
      <c r="AO162" s="157" t="n">
        <f aca="false">IFERROR('Price History'!V3+(INDEX('Price History'!V:V,MATCH(9.99E+307,'Returns (Calc)'!$A:$A)+1)-'Price History'!V3)*(ROW()-3)/(MATCH(9.99E+307,'Returns (Calc)'!$A:$A)-3),"")</f>
        <v>361.451329113924</v>
      </c>
      <c r="AP162" s="155" t="str">
        <f aca="false">IFERROR(IF(OR(NOT(ISNUMBER('Price History'!W163)),NOT(ISNUMBER('Price History'!W162)),'Price History'!W162=0),"",'Price History'!W163/'Price History'!W162-1),"")</f>
        <v/>
      </c>
      <c r="AQ162" s="155" t="str">
        <f aca="false">IFERROR(IF(OR(NOT(ISNUMBER('Price History'!X163)),NOT(ISNUMBER('Price History'!X162)),'Price History'!X162=0),"",'Price History'!X163/'Price History'!X162-1),"")</f>
        <v/>
      </c>
      <c r="AR162" s="155" t="str">
        <f aca="false">IFERROR(IF(OR(NOT(ISNUMBER('Price History'!Y163)),NOT(ISNUMBER('Price History'!Y162)),'Price History'!Y162=0),"",'Price History'!Y163/'Price History'!Y162-1),"")</f>
        <v/>
      </c>
      <c r="AS162" s="155" t="str">
        <f aca="false">IFERROR(IF(OR(NOT(ISNUMBER('Price History'!Z163)),NOT(ISNUMBER('Price History'!Z162)),'Price History'!Z162=0),"",'Price History'!Z163/'Price History'!Z162-1),"")</f>
        <v/>
      </c>
      <c r="AT162" s="155" t="str">
        <f aca="false">IFERROR(IF(OR(NOT(ISNUMBER('Price History'!AA163)),NOT(ISNUMBER('Price History'!AA162)),'Price History'!AA162=0),"",'Price History'!AA163/'Price History'!AA162-1),"")</f>
        <v/>
      </c>
      <c r="AU162" s="155"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8" t="s">
        <v>471</v>
      </c>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c r="AC1" s="158"/>
      <c r="AD1" s="158"/>
      <c r="AE1" s="158"/>
      <c r="AF1" s="158"/>
      <c r="AG1" s="158"/>
    </row>
    <row r="2" customFormat="false" ht="15" hidden="false" customHeight="true" outlineLevel="0" collapsed="false">
      <c r="A2" s="159" t="s">
        <v>472</v>
      </c>
      <c r="J2" s="160" t="n">
        <f aca="false">COUNTIF(AG6:AG32,"&gt;1")</f>
        <v>11</v>
      </c>
    </row>
    <row r="3" customFormat="false" ht="15" hidden="false" customHeight="true" outlineLevel="0" collapsed="false">
      <c r="A3" s="159" t="s">
        <v>473</v>
      </c>
      <c r="J3" s="160" t="str">
        <f aca="false">IF(J2&gt;0,"REVIEW REQUIRED","OK")</f>
        <v>REVIEW REQUIRED</v>
      </c>
    </row>
    <row r="5" customFormat="false" ht="27.75" hidden="false" customHeight="true" outlineLevel="0" collapsed="false">
      <c r="A5" s="161" t="s">
        <v>82</v>
      </c>
      <c r="B5" s="161" t="str">
        <f aca="false">'Returns (Calc)'!B2</f>
        <v>ADBE</v>
      </c>
      <c r="C5" s="161" t="str">
        <f aca="false">'Returns (Calc)'!C2</f>
        <v>ANET</v>
      </c>
      <c r="D5" s="161" t="str">
        <f aca="false">'Returns (Calc)'!D2</f>
        <v>ASML</v>
      </c>
      <c r="E5" s="161" t="str">
        <f aca="false">'Returns (Calc)'!E2</f>
        <v>AVGO</v>
      </c>
      <c r="F5" s="161" t="str">
        <f aca="false">'Returns (Calc)'!F2</f>
        <v>CRWD</v>
      </c>
      <c r="G5" s="161" t="str">
        <f aca="false">'Returns (Calc)'!G2</f>
        <v>KLAC</v>
      </c>
      <c r="H5" s="161" t="str">
        <f aca="false">'Returns (Calc)'!H2</f>
        <v>MU</v>
      </c>
      <c r="I5" s="161" t="str">
        <f aca="false">'Returns (Calc)'!I2</f>
        <v>NVDA</v>
      </c>
      <c r="J5" s="161" t="str">
        <f aca="false">'Returns (Calc)'!J2</f>
        <v>PLD</v>
      </c>
      <c r="K5" s="161" t="str">
        <f aca="false">'Returns (Calc)'!K2</f>
        <v>PLTR</v>
      </c>
      <c r="L5" s="161" t="str">
        <f aca="false">'Returns (Calc)'!L2</f>
        <v>TSM</v>
      </c>
      <c r="M5" s="161" t="str">
        <f aca="false">'Returns (Calc)'!M2</f>
        <v>VRT</v>
      </c>
      <c r="N5" s="161" t="str">
        <f aca="false">'Returns (Calc)'!N2</f>
        <v>VRTX</v>
      </c>
      <c r="O5" s="161" t="str">
        <f aca="false">'Returns (Calc)'!O2</f>
        <v>AVUV</v>
      </c>
      <c r="P5" s="161" t="str">
        <f aca="false">'Returns (Calc)'!P2</f>
        <v>DVY</v>
      </c>
      <c r="Q5" s="161" t="str">
        <f aca="false">'Returns (Calc)'!Q2</f>
        <v>HELO</v>
      </c>
      <c r="R5" s="161" t="str">
        <f aca="false">'Returns (Calc)'!R2</f>
        <v>JEPQ</v>
      </c>
      <c r="S5" s="161" t="str">
        <f aca="false">'Returns (Calc)'!S2</f>
        <v>SPMO</v>
      </c>
      <c r="T5" s="161" t="str">
        <f aca="false">'Returns (Calc)'!T2</f>
        <v>VFLO</v>
      </c>
      <c r="U5" s="161" t="str">
        <f aca="false">'Returns (Calc)'!U2</f>
        <v>SCHD</v>
      </c>
      <c r="V5" s="161" t="str">
        <f aca="false">'Returns (Calc)'!V2</f>
        <v>V</v>
      </c>
      <c r="W5" s="161" t="str">
        <f aca="false">'Returns (Calc)'!AP2</f>
        <v>VYM</v>
      </c>
      <c r="X5" s="161" t="str">
        <f aca="false">'Returns (Calc)'!AQ2</f>
        <v>MLPI</v>
      </c>
      <c r="Y5" s="161" t="str">
        <f aca="false">'Returns (Calc)'!AR2</f>
        <v>JEPI</v>
      </c>
      <c r="Z5" s="161" t="str">
        <f aca="false">'Returns (Calc)'!AS2</f>
        <v>GE</v>
      </c>
      <c r="AA5" s="161" t="str">
        <f aca="false">'Returns (Calc)'!AT2</f>
        <v>NFLX</v>
      </c>
      <c r="AB5" s="161" t="str">
        <f aca="false">'Returns (Calc)'!AU2</f>
        <v>VEEV</v>
      </c>
      <c r="AC5" s="162"/>
      <c r="AD5" s="162"/>
      <c r="AE5" s="162"/>
      <c r="AF5" s="162"/>
      <c r="AG5" s="161" t="s">
        <v>474</v>
      </c>
    </row>
    <row r="6" customFormat="false" ht="15" hidden="false" customHeight="true" outlineLevel="0" collapsed="false">
      <c r="A6" s="163" t="str">
        <f aca="false">'Returns (Calc)'!B2</f>
        <v>ADBE</v>
      </c>
      <c r="B6" s="164" t="n">
        <v>1</v>
      </c>
      <c r="C6" s="164" t="n">
        <f aca="false">IFERROR(ROUND(CORREL('Returns (Calc)'!$B$3:$B$500,'Returns (Calc)'!$C$3:$C$500),2),"")</f>
        <v>0.2</v>
      </c>
      <c r="D6" s="164" t="n">
        <f aca="false">IFERROR(ROUND(CORREL('Returns (Calc)'!$B$3:$B$500,'Returns (Calc)'!$D$3:$D$500),2),"")</f>
        <v>0.01</v>
      </c>
      <c r="E6" s="164" t="n">
        <f aca="false">IFERROR(ROUND(CORREL('Returns (Calc)'!$B$3:$B$500,'Returns (Calc)'!$E$3:$E$500),2),"")</f>
        <v>0.16</v>
      </c>
      <c r="F6" s="164" t="n">
        <f aca="false">IFERROR(ROUND(CORREL('Returns (Calc)'!$B$3:$B$500,'Returns (Calc)'!$F$3:$F$500),2),"")</f>
        <v>0.4</v>
      </c>
      <c r="G6" s="164" t="n">
        <f aca="false">IFERROR(ROUND(CORREL('Returns (Calc)'!$B$3:$B$500,'Returns (Calc)'!$G$3:$G$500),2),"")</f>
        <v>-0.06</v>
      </c>
      <c r="H6" s="164" t="n">
        <f aca="false">IFERROR(ROUND(CORREL('Returns (Calc)'!$B$3:$B$500,'Returns (Calc)'!$H$3:$H$500),2),"")</f>
        <v>0.04</v>
      </c>
      <c r="I6" s="164" t="n">
        <f aca="false">IFERROR(ROUND(CORREL('Returns (Calc)'!$B$3:$B$500,'Returns (Calc)'!$I$3:$I$500),2),"")</f>
        <v>0.21</v>
      </c>
      <c r="J6" s="164" t="n">
        <f aca="false">IFERROR(ROUND(CORREL('Returns (Calc)'!$B$3:$B$500,'Returns (Calc)'!$J$3:$J$500),2),"")</f>
        <v>0.17</v>
      </c>
      <c r="K6" s="164" t="n">
        <f aca="false">IFERROR(ROUND(CORREL('Returns (Calc)'!$B$3:$B$500,'Returns (Calc)'!$K$3:$K$500),2),"")</f>
        <v>0.37</v>
      </c>
      <c r="L6" s="164" t="n">
        <f aca="false">IFERROR(ROUND(CORREL('Returns (Calc)'!$B$3:$B$500,'Returns (Calc)'!$L$3:$L$500),2),"")</f>
        <v>0.15</v>
      </c>
      <c r="M6" s="164" t="n">
        <f aca="false">IFERROR(ROUND(CORREL('Returns (Calc)'!$B$3:$B$500,'Returns (Calc)'!$M$3:$M$500),2),"")</f>
        <v>0.06</v>
      </c>
      <c r="N6" s="164" t="n">
        <f aca="false">IFERROR(ROUND(CORREL('Returns (Calc)'!$B$3:$B$500,'Returns (Calc)'!$N$3:$N$500),2),"")</f>
        <v>0.14</v>
      </c>
      <c r="O6" s="164" t="n">
        <f aca="false">IFERROR(ROUND(CORREL('Returns (Calc)'!$B$3:$B$500,'Returns (Calc)'!$O$3:$O$500),2),"")</f>
        <v>0.16</v>
      </c>
      <c r="P6" s="164" t="n">
        <f aca="false">IFERROR(ROUND(CORREL('Returns (Calc)'!$B$3:$B$500,'Returns (Calc)'!$P$3:$P$500),2),"")</f>
        <v>0.14</v>
      </c>
      <c r="Q6" s="164" t="n">
        <f aca="false">IFERROR(ROUND(CORREL('Returns (Calc)'!$B$3:$B$500,'Returns (Calc)'!$Q$3:$Q$500),2),"")</f>
        <v>0.44</v>
      </c>
      <c r="R6" s="164" t="n">
        <f aca="false">IFERROR(ROUND(CORREL('Returns (Calc)'!$B$3:$B$500,'Returns (Calc)'!$R$3:$R$500),2),"")</f>
        <v>0.34</v>
      </c>
      <c r="S6" s="164" t="n">
        <f aca="false">IFERROR(ROUND(CORREL('Returns (Calc)'!$B$3:$B$500,'Returns (Calc)'!$S$3:$S$500),2),"")</f>
        <v>0.23</v>
      </c>
      <c r="T6" s="164" t="n">
        <f aca="false">IFERROR(ROUND(CORREL('Returns (Calc)'!$B$3:$B$500,'Returns (Calc)'!$T$3:$T$500),2),"")</f>
        <v>0.42</v>
      </c>
      <c r="U6" s="164" t="n">
        <f aca="false">IFERROR(ROUND(CORREL('Returns (Calc)'!$B$3:$B$500,'Returns (Calc)'!$U$3:$U$500),2),"")</f>
        <v>0.22</v>
      </c>
      <c r="V6" s="164" t="n">
        <f aca="false">IFERROR(ROUND(CORREL('Returns (Calc)'!$B$3:$B$500,'Returns (Calc)'!$V$3:$V$500),2),"")</f>
        <v>0.4</v>
      </c>
      <c r="W6" s="164" t="n">
        <f aca="false">IFERROR(ROUND(CORREL('Returns (Calc)'!$B$3:$B$500,'Returns (Calc)'!$AP$3:$AP$500),2),"")</f>
        <v>0.22</v>
      </c>
      <c r="X6" s="164" t="n">
        <f aca="false">IFERROR(ROUND(CORREL('Returns (Calc)'!$B$3:$B$500,'Returns (Calc)'!$AQ$3:$AQ$500),2),"")</f>
        <v>-0.24</v>
      </c>
      <c r="Y6" s="164" t="n">
        <f aca="false">IFERROR(ROUND(CORREL('Returns (Calc)'!$B$3:$B$500,'Returns (Calc)'!$AR$3:$AR$500),2),"")</f>
        <v>0.33</v>
      </c>
      <c r="Z6" s="164" t="n">
        <f aca="false">IFERROR(ROUND(CORREL('Returns (Calc)'!$B$3:$B$500,'Returns (Calc)'!$AS$3:$AS$500),2),"")</f>
        <v>0.09</v>
      </c>
      <c r="AA6" s="164" t="n">
        <f aca="false">IFERROR(ROUND(CORREL('Returns (Calc)'!$B$3:$B$500,'Returns (Calc)'!$AT$3:$AT$500),2),"")</f>
        <v>0.21</v>
      </c>
      <c r="AB6" s="164" t="n">
        <f aca="false">IFERROR(ROUND(CORREL('Returns (Calc)'!$B$3:$B$500,'Returns (Calc)'!$AU$3:$AU$500),2),"")</f>
        <v>0.51</v>
      </c>
      <c r="AG6" s="165" t="n">
        <f aca="false">COUNTIF(B6:AB6,"&gt;0.7")-1</f>
        <v>0</v>
      </c>
    </row>
    <row r="7" customFormat="false" ht="15" hidden="false" customHeight="true" outlineLevel="0" collapsed="false">
      <c r="A7" s="163" t="str">
        <f aca="false">'Returns (Calc)'!C2</f>
        <v>ANET</v>
      </c>
      <c r="B7" s="164" t="n">
        <f aca="false">IFERROR(ROUND(CORREL('Returns (Calc)'!$C$3:$C$500,'Returns (Calc)'!$B$3:$B$500),2),"")</f>
        <v>0.2</v>
      </c>
      <c r="C7" s="164" t="n">
        <v>1</v>
      </c>
      <c r="D7" s="164" t="n">
        <f aca="false">IFERROR(ROUND(CORREL('Returns (Calc)'!$C$3:$C$500,'Returns (Calc)'!$D$3:$D$500),2),"")</f>
        <v>0.39</v>
      </c>
      <c r="E7" s="164" t="n">
        <f aca="false">IFERROR(ROUND(CORREL('Returns (Calc)'!$C$3:$C$500,'Returns (Calc)'!$E$3:$E$500),2),"")</f>
        <v>0.59</v>
      </c>
      <c r="F7" s="164" t="n">
        <f aca="false">IFERROR(ROUND(CORREL('Returns (Calc)'!$C$3:$C$500,'Returns (Calc)'!$F$3:$F$500),2),"")</f>
        <v>0.37</v>
      </c>
      <c r="G7" s="164" t="n">
        <f aca="false">IFERROR(ROUND(CORREL('Returns (Calc)'!$C$3:$C$500,'Returns (Calc)'!$G$3:$G$500),2),"")</f>
        <v>0.43</v>
      </c>
      <c r="H7" s="164" t="n">
        <f aca="false">IFERROR(ROUND(CORREL('Returns (Calc)'!$C$3:$C$500,'Returns (Calc)'!$H$3:$H$500),2),"")</f>
        <v>0.34</v>
      </c>
      <c r="I7" s="164" t="n">
        <f aca="false">IFERROR(ROUND(CORREL('Returns (Calc)'!$C$3:$C$500,'Returns (Calc)'!$I$3:$I$500),2),"")</f>
        <v>0.52</v>
      </c>
      <c r="J7" s="164" t="n">
        <f aca="false">IFERROR(ROUND(CORREL('Returns (Calc)'!$C$3:$C$500,'Returns (Calc)'!$J$3:$J$500),2),"")</f>
        <v>0.18</v>
      </c>
      <c r="K7" s="164" t="n">
        <f aca="false">IFERROR(ROUND(CORREL('Returns (Calc)'!$C$3:$C$500,'Returns (Calc)'!$K$3:$K$500),2),"")</f>
        <v>0.34</v>
      </c>
      <c r="L7" s="164" t="n">
        <f aca="false">IFERROR(ROUND(CORREL('Returns (Calc)'!$C$3:$C$500,'Returns (Calc)'!$L$3:$L$500),2),"")</f>
        <v>0.55</v>
      </c>
      <c r="M7" s="164" t="n">
        <f aca="false">IFERROR(ROUND(CORREL('Returns (Calc)'!$C$3:$C$500,'Returns (Calc)'!$M$3:$M$500),2),"")</f>
        <v>0.58</v>
      </c>
      <c r="N7" s="164" t="n">
        <f aca="false">IFERROR(ROUND(CORREL('Returns (Calc)'!$C$3:$C$500,'Returns (Calc)'!$N$3:$N$500),2),"")</f>
        <v>0.05</v>
      </c>
      <c r="O7" s="164" t="n">
        <f aca="false">IFERROR(ROUND(CORREL('Returns (Calc)'!$C$3:$C$500,'Returns (Calc)'!$O$3:$O$500),2),"")</f>
        <v>0.35</v>
      </c>
      <c r="P7" s="164" t="n">
        <f aca="false">IFERROR(ROUND(CORREL('Returns (Calc)'!$C$3:$C$500,'Returns (Calc)'!$P$3:$P$500),2),"")</f>
        <v>0.24</v>
      </c>
      <c r="Q7" s="164" t="n">
        <f aca="false">IFERROR(ROUND(CORREL('Returns (Calc)'!$C$3:$C$500,'Returns (Calc)'!$Q$3:$Q$500),2),"")</f>
        <v>0.65</v>
      </c>
      <c r="R7" s="164" t="n">
        <f aca="false">IFERROR(ROUND(CORREL('Returns (Calc)'!$C$3:$C$500,'Returns (Calc)'!$R$3:$R$500),2),"")</f>
        <v>0.67</v>
      </c>
      <c r="S7" s="164" t="n">
        <f aca="false">IFERROR(ROUND(CORREL('Returns (Calc)'!$C$3:$C$500,'Returns (Calc)'!$S$3:$S$500),2),"")</f>
        <v>0.64</v>
      </c>
      <c r="T7" s="164" t="n">
        <f aca="false">IFERROR(ROUND(CORREL('Returns (Calc)'!$C$3:$C$500,'Returns (Calc)'!$T$3:$T$500),2),"")</f>
        <v>0.33</v>
      </c>
      <c r="U7" s="164" t="n">
        <f aca="false">IFERROR(ROUND(CORREL('Returns (Calc)'!$C$3:$C$500,'Returns (Calc)'!$U$3:$U$500),2),"")</f>
        <v>0.27</v>
      </c>
      <c r="V7" s="164" t="n">
        <f aca="false">IFERROR(ROUND(CORREL('Returns (Calc)'!$C$3:$C$500,'Returns (Calc)'!$V$3:$V$500),2),"")</f>
        <v>0.25</v>
      </c>
      <c r="W7" s="164" t="n">
        <f aca="false">IFERROR(ROUND(CORREL('Returns (Calc)'!$C$3:$C$500,'Returns (Calc)'!$AP$3:$AP$500),2),"")</f>
        <v>0.46</v>
      </c>
      <c r="X7" s="164" t="n">
        <f aca="false">IFERROR(ROUND(CORREL('Returns (Calc)'!$C$3:$C$500,'Returns (Calc)'!$AQ$3:$AQ$500),2),"")</f>
        <v>-0.04</v>
      </c>
      <c r="Y7" s="164" t="n">
        <f aca="false">IFERROR(ROUND(CORREL('Returns (Calc)'!$C$3:$C$500,'Returns (Calc)'!$AR$3:$AR$500),2),"")</f>
        <v>0.51</v>
      </c>
      <c r="Z7" s="164" t="n">
        <f aca="false">IFERROR(ROUND(CORREL('Returns (Calc)'!$C$3:$C$500,'Returns (Calc)'!$AS$3:$AS$500),2),"")</f>
        <v>0.34</v>
      </c>
      <c r="AA7" s="164" t="n">
        <f aca="false">IFERROR(ROUND(CORREL('Returns (Calc)'!$C$3:$C$500,'Returns (Calc)'!$AT$3:$AT$500),2),"")</f>
        <v>0.39</v>
      </c>
      <c r="AB7" s="164" t="n">
        <f aca="false">IFERROR(ROUND(CORREL('Returns (Calc)'!$C$3:$C$500,'Returns (Calc)'!$AU$3:$AU$500),2),"")</f>
        <v>0.12</v>
      </c>
      <c r="AG7" s="165" t="n">
        <f aca="false">COUNTIF(B7:AB7,"&gt;0.7")-1</f>
        <v>0</v>
      </c>
    </row>
    <row r="8" customFormat="false" ht="15" hidden="false" customHeight="true" outlineLevel="0" collapsed="false">
      <c r="A8" s="163" t="str">
        <f aca="false">'Returns (Calc)'!D2</f>
        <v>ASML</v>
      </c>
      <c r="B8" s="164" t="n">
        <f aca="false">IFERROR(ROUND(CORREL('Returns (Calc)'!$D$3:$D$500,'Returns (Calc)'!$B$3:$B$500),2),"")</f>
        <v>0.01</v>
      </c>
      <c r="C8" s="164" t="n">
        <f aca="false">IFERROR(ROUND(CORREL('Returns (Calc)'!$D$3:$D$500,'Returns (Calc)'!$C$3:$C$500),2),"")</f>
        <v>0.39</v>
      </c>
      <c r="D8" s="164" t="n">
        <v>1</v>
      </c>
      <c r="E8" s="164" t="n">
        <f aca="false">IFERROR(ROUND(CORREL('Returns (Calc)'!$D$3:$D$500,'Returns (Calc)'!$E$3:$E$500),2),"")</f>
        <v>0.49</v>
      </c>
      <c r="F8" s="164" t="n">
        <f aca="false">IFERROR(ROUND(CORREL('Returns (Calc)'!$D$3:$D$500,'Returns (Calc)'!$F$3:$F$500),2),"")</f>
        <v>0.33</v>
      </c>
      <c r="G8" s="164" t="n">
        <f aca="false">IFERROR(ROUND(CORREL('Returns (Calc)'!$D$3:$D$500,'Returns (Calc)'!$G$3:$G$500),2),"")</f>
        <v>0.77</v>
      </c>
      <c r="H8" s="164" t="n">
        <f aca="false">IFERROR(ROUND(CORREL('Returns (Calc)'!$D$3:$D$500,'Returns (Calc)'!$H$3:$H$500),2),"")</f>
        <v>0.6</v>
      </c>
      <c r="I8" s="164" t="n">
        <f aca="false">IFERROR(ROUND(CORREL('Returns (Calc)'!$D$3:$D$500,'Returns (Calc)'!$I$3:$I$500),2),"")</f>
        <v>0.49</v>
      </c>
      <c r="J8" s="164" t="n">
        <f aca="false">IFERROR(ROUND(CORREL('Returns (Calc)'!$D$3:$D$500,'Returns (Calc)'!$J$3:$J$500),2),"")</f>
        <v>0.27</v>
      </c>
      <c r="K8" s="164" t="n">
        <f aca="false">IFERROR(ROUND(CORREL('Returns (Calc)'!$D$3:$D$500,'Returns (Calc)'!$K$3:$K$500),2),"")</f>
        <v>0.21</v>
      </c>
      <c r="L8" s="164" t="n">
        <f aca="false">IFERROR(ROUND(CORREL('Returns (Calc)'!$D$3:$D$500,'Returns (Calc)'!$L$3:$L$500),2),"")</f>
        <v>0.64</v>
      </c>
      <c r="M8" s="164" t="n">
        <f aca="false">IFERROR(ROUND(CORREL('Returns (Calc)'!$D$3:$D$500,'Returns (Calc)'!$M$3:$M$500),2),"")</f>
        <v>0.43</v>
      </c>
      <c r="N8" s="164" t="n">
        <f aca="false">IFERROR(ROUND(CORREL('Returns (Calc)'!$D$3:$D$500,'Returns (Calc)'!$N$3:$N$500),2),"")</f>
        <v>0.11</v>
      </c>
      <c r="O8" s="164" t="n">
        <f aca="false">IFERROR(ROUND(CORREL('Returns (Calc)'!$D$3:$D$500,'Returns (Calc)'!$O$3:$O$500),2),"")</f>
        <v>0.38</v>
      </c>
      <c r="P8" s="164" t="n">
        <f aca="false">IFERROR(ROUND(CORREL('Returns (Calc)'!$D$3:$D$500,'Returns (Calc)'!$P$3:$P$500),2),"")</f>
        <v>0.23</v>
      </c>
      <c r="Q8" s="164" t="n">
        <f aca="false">IFERROR(ROUND(CORREL('Returns (Calc)'!$D$3:$D$500,'Returns (Calc)'!$Q$3:$Q$500),2),"")</f>
        <v>0.51</v>
      </c>
      <c r="R8" s="164" t="n">
        <f aca="false">IFERROR(ROUND(CORREL('Returns (Calc)'!$D$3:$D$500,'Returns (Calc)'!$R$3:$R$500),2),"")</f>
        <v>0.61</v>
      </c>
      <c r="S8" s="164" t="n">
        <f aca="false">IFERROR(ROUND(CORREL('Returns (Calc)'!$D$3:$D$500,'Returns (Calc)'!$S$3:$S$500),2),"")</f>
        <v>0.61</v>
      </c>
      <c r="T8" s="164" t="n">
        <f aca="false">IFERROR(ROUND(CORREL('Returns (Calc)'!$D$3:$D$500,'Returns (Calc)'!$T$3:$T$500),2),"")</f>
        <v>0.3</v>
      </c>
      <c r="U8" s="164" t="n">
        <f aca="false">IFERROR(ROUND(CORREL('Returns (Calc)'!$D$3:$D$500,'Returns (Calc)'!$U$3:$U$500),2),"")</f>
        <v>0.26</v>
      </c>
      <c r="V8" s="164" t="n">
        <f aca="false">IFERROR(ROUND(CORREL('Returns (Calc)'!$D$3:$D$500,'Returns (Calc)'!$V$3:$V$500),2),"")</f>
        <v>0.04</v>
      </c>
      <c r="W8" s="164" t="n">
        <f aca="false">IFERROR(ROUND(CORREL('Returns (Calc)'!$D$3:$D$500,'Returns (Calc)'!$AP$3:$AP$500),2),"")</f>
        <v>0.42</v>
      </c>
      <c r="X8" s="164" t="n">
        <f aca="false">IFERROR(ROUND(CORREL('Returns (Calc)'!$D$3:$D$500,'Returns (Calc)'!$AQ$3:$AQ$500),2),"")</f>
        <v>-0.18</v>
      </c>
      <c r="Y8" s="164" t="n">
        <f aca="false">IFERROR(ROUND(CORREL('Returns (Calc)'!$D$3:$D$500,'Returns (Calc)'!$AR$3:$AR$500),2),"")</f>
        <v>0.43</v>
      </c>
      <c r="Z8" s="164" t="n">
        <f aca="false">IFERROR(ROUND(CORREL('Returns (Calc)'!$D$3:$D$500,'Returns (Calc)'!$AS$3:$AS$500),2),"")</f>
        <v>0.39</v>
      </c>
      <c r="AA8" s="164" t="n">
        <f aca="false">IFERROR(ROUND(CORREL('Returns (Calc)'!$D$3:$D$500,'Returns (Calc)'!$AT$3:$AT$500),2),"")</f>
        <v>0.21</v>
      </c>
      <c r="AB8" s="164" t="n">
        <f aca="false">IFERROR(ROUND(CORREL('Returns (Calc)'!$D$3:$D$500,'Returns (Calc)'!$AU$3:$AU$500),2),"")</f>
        <v>0.03</v>
      </c>
      <c r="AG8" s="165" t="n">
        <f aca="false">COUNTIF(B8:AB8,"&gt;0.7")-1</f>
        <v>1</v>
      </c>
    </row>
    <row r="9" customFormat="false" ht="15" hidden="false" customHeight="true" outlineLevel="0" collapsed="false">
      <c r="A9" s="163" t="str">
        <f aca="false">'Returns (Calc)'!E2</f>
        <v>AVGO</v>
      </c>
      <c r="B9" s="164" t="n">
        <f aca="false">IFERROR(ROUND(CORREL('Returns (Calc)'!$E$3:$E$500,'Returns (Calc)'!$B$3:$B$500),2),"")</f>
        <v>0.16</v>
      </c>
      <c r="C9" s="164" t="n">
        <f aca="false">IFERROR(ROUND(CORREL('Returns (Calc)'!$E$3:$E$500,'Returns (Calc)'!$C$3:$C$500),2),"")</f>
        <v>0.59</v>
      </c>
      <c r="D9" s="164" t="n">
        <f aca="false">IFERROR(ROUND(CORREL('Returns (Calc)'!$E$3:$E$500,'Returns (Calc)'!$D$3:$D$500),2),"")</f>
        <v>0.49</v>
      </c>
      <c r="E9" s="164" t="n">
        <v>1</v>
      </c>
      <c r="F9" s="164" t="n">
        <f aca="false">IFERROR(ROUND(CORREL('Returns (Calc)'!$E$3:$E$500,'Returns (Calc)'!$F$3:$F$500),2),"")</f>
        <v>0.4</v>
      </c>
      <c r="G9" s="164" t="n">
        <f aca="false">IFERROR(ROUND(CORREL('Returns (Calc)'!$E$3:$E$500,'Returns (Calc)'!$G$3:$G$500),2),"")</f>
        <v>0.53</v>
      </c>
      <c r="H9" s="164" t="n">
        <f aca="false">IFERROR(ROUND(CORREL('Returns (Calc)'!$E$3:$E$500,'Returns (Calc)'!$H$3:$H$500),2),"")</f>
        <v>0.48</v>
      </c>
      <c r="I9" s="164" t="n">
        <f aca="false">IFERROR(ROUND(CORREL('Returns (Calc)'!$E$3:$E$500,'Returns (Calc)'!$I$3:$I$500),2),"")</f>
        <v>0.62</v>
      </c>
      <c r="J9" s="164" t="n">
        <f aca="false">IFERROR(ROUND(CORREL('Returns (Calc)'!$E$3:$E$500,'Returns (Calc)'!$J$3:$J$500),2),"")</f>
        <v>0.22</v>
      </c>
      <c r="K9" s="164" t="n">
        <f aca="false">IFERROR(ROUND(CORREL('Returns (Calc)'!$E$3:$E$500,'Returns (Calc)'!$K$3:$K$500),2),"")</f>
        <v>0.38</v>
      </c>
      <c r="L9" s="164" t="n">
        <f aca="false">IFERROR(ROUND(CORREL('Returns (Calc)'!$E$3:$E$500,'Returns (Calc)'!$L$3:$L$500),2),"")</f>
        <v>0.63</v>
      </c>
      <c r="M9" s="164" t="n">
        <f aca="false">IFERROR(ROUND(CORREL('Returns (Calc)'!$E$3:$E$500,'Returns (Calc)'!$M$3:$M$500),2),"")</f>
        <v>0.52</v>
      </c>
      <c r="N9" s="164" t="n">
        <f aca="false">IFERROR(ROUND(CORREL('Returns (Calc)'!$E$3:$E$500,'Returns (Calc)'!$N$3:$N$500),2),"")</f>
        <v>0.14</v>
      </c>
      <c r="O9" s="164" t="n">
        <f aca="false">IFERROR(ROUND(CORREL('Returns (Calc)'!$E$3:$E$500,'Returns (Calc)'!$O$3:$O$500),2),"")</f>
        <v>0.29</v>
      </c>
      <c r="P9" s="164" t="n">
        <f aca="false">IFERROR(ROUND(CORREL('Returns (Calc)'!$E$3:$E$500,'Returns (Calc)'!$P$3:$P$500),2),"")</f>
        <v>0.11</v>
      </c>
      <c r="Q9" s="164" t="n">
        <f aca="false">IFERROR(ROUND(CORREL('Returns (Calc)'!$E$3:$E$500,'Returns (Calc)'!$Q$3:$Q$500),2),"")</f>
        <v>0.67</v>
      </c>
      <c r="R9" s="164" t="n">
        <f aca="false">IFERROR(ROUND(CORREL('Returns (Calc)'!$E$3:$E$500,'Returns (Calc)'!$R$3:$R$500),2),"")</f>
        <v>0.73</v>
      </c>
      <c r="S9" s="164" t="n">
        <f aca="false">IFERROR(ROUND(CORREL('Returns (Calc)'!$E$3:$E$500,'Returns (Calc)'!$S$3:$S$500),2),"")</f>
        <v>0.73</v>
      </c>
      <c r="T9" s="164" t="n">
        <f aca="false">IFERROR(ROUND(CORREL('Returns (Calc)'!$E$3:$E$500,'Returns (Calc)'!$T$3:$T$500),2),"")</f>
        <v>0.27</v>
      </c>
      <c r="U9" s="164" t="n">
        <f aca="false">IFERROR(ROUND(CORREL('Returns (Calc)'!$E$3:$E$500,'Returns (Calc)'!$U$3:$U$500),2),"")</f>
        <v>0.16</v>
      </c>
      <c r="V9" s="164" t="n">
        <f aca="false">IFERROR(ROUND(CORREL('Returns (Calc)'!$E$3:$E$500,'Returns (Calc)'!$V$3:$V$500),2),"")</f>
        <v>0.2</v>
      </c>
      <c r="W9" s="164" t="n">
        <f aca="false">IFERROR(ROUND(CORREL('Returns (Calc)'!$E$3:$E$500,'Returns (Calc)'!$AP$3:$AP$500),2),"")</f>
        <v>0.45</v>
      </c>
      <c r="X9" s="164" t="n">
        <f aca="false">IFERROR(ROUND(CORREL('Returns (Calc)'!$E$3:$E$500,'Returns (Calc)'!$AQ$3:$AQ$500),2),"")</f>
        <v>-0.45</v>
      </c>
      <c r="Y9" s="164" t="n">
        <f aca="false">IFERROR(ROUND(CORREL('Returns (Calc)'!$E$3:$E$500,'Returns (Calc)'!$AR$3:$AR$500),2),"")</f>
        <v>0.44</v>
      </c>
      <c r="Z9" s="164" t="n">
        <f aca="false">IFERROR(ROUND(CORREL('Returns (Calc)'!$E$3:$E$500,'Returns (Calc)'!$AS$3:$AS$500),2),"")</f>
        <v>0.36</v>
      </c>
      <c r="AA9" s="164" t="n">
        <f aca="false">IFERROR(ROUND(CORREL('Returns (Calc)'!$E$3:$E$500,'Returns (Calc)'!$AT$3:$AT$500),2),"")</f>
        <v>0.3</v>
      </c>
      <c r="AB9" s="164" t="n">
        <f aca="false">IFERROR(ROUND(CORREL('Returns (Calc)'!$E$3:$E$500,'Returns (Calc)'!$AU$3:$AU$500),2),"")</f>
        <v>0.1</v>
      </c>
      <c r="AG9" s="165" t="n">
        <f aca="false">COUNTIF(B9:AB9,"&gt;0.7")-1</f>
        <v>2</v>
      </c>
    </row>
    <row r="10" customFormat="false" ht="15" hidden="false" customHeight="true" outlineLevel="0" collapsed="false">
      <c r="A10" s="163" t="str">
        <f aca="false">'Returns (Calc)'!F2</f>
        <v>CRWD</v>
      </c>
      <c r="B10" s="164" t="n">
        <f aca="false">IFERROR(ROUND(CORREL('Returns (Calc)'!$F$3:$F$500,'Returns (Calc)'!$B$3:$B$500),2),"")</f>
        <v>0.4</v>
      </c>
      <c r="C10" s="164" t="n">
        <f aca="false">IFERROR(ROUND(CORREL('Returns (Calc)'!$F$3:$F$500,'Returns (Calc)'!$C$3:$C$500),2),"")</f>
        <v>0.37</v>
      </c>
      <c r="D10" s="164" t="n">
        <f aca="false">IFERROR(ROUND(CORREL('Returns (Calc)'!$F$3:$F$500,'Returns (Calc)'!$D$3:$D$500),2),"")</f>
        <v>0.33</v>
      </c>
      <c r="E10" s="164" t="n">
        <f aca="false">IFERROR(ROUND(CORREL('Returns (Calc)'!$F$3:$F$500,'Returns (Calc)'!$E$3:$E$500),2),"")</f>
        <v>0.4</v>
      </c>
      <c r="F10" s="164" t="n">
        <v>1</v>
      </c>
      <c r="G10" s="164" t="n">
        <f aca="false">IFERROR(ROUND(CORREL('Returns (Calc)'!$F$3:$F$500,'Returns (Calc)'!$G$3:$G$500),2),"")</f>
        <v>0.33</v>
      </c>
      <c r="H10" s="164" t="n">
        <f aca="false">IFERROR(ROUND(CORREL('Returns (Calc)'!$F$3:$F$500,'Returns (Calc)'!$H$3:$H$500),2),"")</f>
        <v>0.32</v>
      </c>
      <c r="I10" s="164" t="n">
        <f aca="false">IFERROR(ROUND(CORREL('Returns (Calc)'!$F$3:$F$500,'Returns (Calc)'!$I$3:$I$500),2),"")</f>
        <v>0.46</v>
      </c>
      <c r="J10" s="164" t="n">
        <f aca="false">IFERROR(ROUND(CORREL('Returns (Calc)'!$F$3:$F$500,'Returns (Calc)'!$J$3:$J$500),2),"")</f>
        <v>0.1</v>
      </c>
      <c r="K10" s="164" t="n">
        <f aca="false">IFERROR(ROUND(CORREL('Returns (Calc)'!$F$3:$F$500,'Returns (Calc)'!$K$3:$K$500),2),"")</f>
        <v>0.5</v>
      </c>
      <c r="L10" s="164" t="n">
        <f aca="false">IFERROR(ROUND(CORREL('Returns (Calc)'!$F$3:$F$500,'Returns (Calc)'!$L$3:$L$500),2),"")</f>
        <v>0.39</v>
      </c>
      <c r="M10" s="164" t="n">
        <f aca="false">IFERROR(ROUND(CORREL('Returns (Calc)'!$F$3:$F$500,'Returns (Calc)'!$M$3:$M$500),2),"")</f>
        <v>0.4</v>
      </c>
      <c r="N10" s="164" t="n">
        <f aca="false">IFERROR(ROUND(CORREL('Returns (Calc)'!$F$3:$F$500,'Returns (Calc)'!$N$3:$N$500),2),"")</f>
        <v>0.17</v>
      </c>
      <c r="O10" s="164" t="n">
        <f aca="false">IFERROR(ROUND(CORREL('Returns (Calc)'!$F$3:$F$500,'Returns (Calc)'!$O$3:$O$500),2),"")</f>
        <v>0.19</v>
      </c>
      <c r="P10" s="164" t="n">
        <f aca="false">IFERROR(ROUND(CORREL('Returns (Calc)'!$F$3:$F$500,'Returns (Calc)'!$P$3:$P$500),2),"")</f>
        <v>0.1</v>
      </c>
      <c r="Q10" s="164" t="n">
        <f aca="false">IFERROR(ROUND(CORREL('Returns (Calc)'!$F$3:$F$500,'Returns (Calc)'!$Q$3:$Q$500),2),"")</f>
        <v>0.47</v>
      </c>
      <c r="R10" s="164" t="n">
        <f aca="false">IFERROR(ROUND(CORREL('Returns (Calc)'!$F$3:$F$500,'Returns (Calc)'!$R$3:$R$500),2),"")</f>
        <v>0.55</v>
      </c>
      <c r="S10" s="164" t="n">
        <f aca="false">IFERROR(ROUND(CORREL('Returns (Calc)'!$F$3:$F$500,'Returns (Calc)'!$S$3:$S$500),2),"")</f>
        <v>0.52</v>
      </c>
      <c r="T10" s="164" t="n">
        <f aca="false">IFERROR(ROUND(CORREL('Returns (Calc)'!$F$3:$F$500,'Returns (Calc)'!$T$3:$T$500),2),"")</f>
        <v>0.29</v>
      </c>
      <c r="U10" s="164" t="n">
        <f aca="false">IFERROR(ROUND(CORREL('Returns (Calc)'!$F$3:$F$500,'Returns (Calc)'!$U$3:$U$500),2),"")</f>
        <v>0.11</v>
      </c>
      <c r="V10" s="164" t="n">
        <f aca="false">IFERROR(ROUND(CORREL('Returns (Calc)'!$F$3:$F$500,'Returns (Calc)'!$V$3:$V$500),2),"")</f>
        <v>0.27</v>
      </c>
      <c r="W10" s="164" t="n">
        <f aca="false">IFERROR(ROUND(CORREL('Returns (Calc)'!$F$3:$F$500,'Returns (Calc)'!$AP$3:$AP$500),2),"")</f>
        <v>0.24</v>
      </c>
      <c r="X10" s="164" t="n">
        <f aca="false">IFERROR(ROUND(CORREL('Returns (Calc)'!$F$3:$F$500,'Returns (Calc)'!$AQ$3:$AQ$500),2),"")</f>
        <v>-0.3</v>
      </c>
      <c r="Y10" s="164" t="n">
        <f aca="false">IFERROR(ROUND(CORREL('Returns (Calc)'!$F$3:$F$500,'Returns (Calc)'!$AR$3:$AR$500),2),"")</f>
        <v>0.29</v>
      </c>
      <c r="Z10" s="164" t="n">
        <f aca="false">IFERROR(ROUND(CORREL('Returns (Calc)'!$F$3:$F$500,'Returns (Calc)'!$AS$3:$AS$500),2),"")</f>
        <v>0.24</v>
      </c>
      <c r="AA10" s="164" t="n">
        <f aca="false">IFERROR(ROUND(CORREL('Returns (Calc)'!$F$3:$F$500,'Returns (Calc)'!$AT$3:$AT$500),2),"")</f>
        <v>0.24</v>
      </c>
      <c r="AB10" s="164" t="n">
        <f aca="false">IFERROR(ROUND(CORREL('Returns (Calc)'!$F$3:$F$500,'Returns (Calc)'!$AU$3:$AU$500),2),"")</f>
        <v>0.36</v>
      </c>
      <c r="AG10" s="165" t="n">
        <f aca="false">COUNTIF(B10:AB10,"&gt;0.7")-1</f>
        <v>0</v>
      </c>
    </row>
    <row r="11" customFormat="false" ht="15" hidden="false" customHeight="true" outlineLevel="0" collapsed="false">
      <c r="A11" s="163" t="str">
        <f aca="false">'Returns (Calc)'!G2</f>
        <v>KLAC</v>
      </c>
      <c r="B11" s="164" t="n">
        <f aca="false">IFERROR(ROUND(CORREL('Returns (Calc)'!$G$3:$G$500,'Returns (Calc)'!$B$3:$B$500),2),"")</f>
        <v>-0.06</v>
      </c>
      <c r="C11" s="164" t="n">
        <f aca="false">IFERROR(ROUND(CORREL('Returns (Calc)'!$G$3:$G$500,'Returns (Calc)'!$C$3:$C$500),2),"")</f>
        <v>0.43</v>
      </c>
      <c r="D11" s="164" t="n">
        <f aca="false">IFERROR(ROUND(CORREL('Returns (Calc)'!$G$3:$G$500,'Returns (Calc)'!$D$3:$D$500),2),"")</f>
        <v>0.77</v>
      </c>
      <c r="E11" s="164" t="n">
        <f aca="false">IFERROR(ROUND(CORREL('Returns (Calc)'!$G$3:$G$500,'Returns (Calc)'!$E$3:$E$500),2),"")</f>
        <v>0.53</v>
      </c>
      <c r="F11" s="164" t="n">
        <f aca="false">IFERROR(ROUND(CORREL('Returns (Calc)'!$G$3:$G$500,'Returns (Calc)'!$F$3:$F$500),2),"")</f>
        <v>0.33</v>
      </c>
      <c r="G11" s="164" t="n">
        <v>1</v>
      </c>
      <c r="H11" s="164" t="n">
        <f aca="false">IFERROR(ROUND(CORREL('Returns (Calc)'!$G$3:$G$500,'Returns (Calc)'!$H$3:$H$500),2),"")</f>
        <v>0.59</v>
      </c>
      <c r="I11" s="164" t="n">
        <f aca="false">IFERROR(ROUND(CORREL('Returns (Calc)'!$G$3:$G$500,'Returns (Calc)'!$I$3:$I$500),2),"")</f>
        <v>0.52</v>
      </c>
      <c r="J11" s="164" t="n">
        <f aca="false">IFERROR(ROUND(CORREL('Returns (Calc)'!$G$3:$G$500,'Returns (Calc)'!$J$3:$J$500),2),"")</f>
        <v>0.27</v>
      </c>
      <c r="K11" s="164" t="n">
        <f aca="false">IFERROR(ROUND(CORREL('Returns (Calc)'!$G$3:$G$500,'Returns (Calc)'!$K$3:$K$500),2),"")</f>
        <v>0.25</v>
      </c>
      <c r="L11" s="164" t="n">
        <f aca="false">IFERROR(ROUND(CORREL('Returns (Calc)'!$G$3:$G$500,'Returns (Calc)'!$L$3:$L$500),2),"")</f>
        <v>0.62</v>
      </c>
      <c r="M11" s="164" t="n">
        <f aca="false">IFERROR(ROUND(CORREL('Returns (Calc)'!$G$3:$G$500,'Returns (Calc)'!$M$3:$M$500),2),"")</f>
        <v>0.5</v>
      </c>
      <c r="N11" s="164" t="n">
        <f aca="false">IFERROR(ROUND(CORREL('Returns (Calc)'!$G$3:$G$500,'Returns (Calc)'!$N$3:$N$500),2),"")</f>
        <v>0.16</v>
      </c>
      <c r="O11" s="164" t="n">
        <f aca="false">IFERROR(ROUND(CORREL('Returns (Calc)'!$G$3:$G$500,'Returns (Calc)'!$O$3:$O$500),2),"")</f>
        <v>0.43</v>
      </c>
      <c r="P11" s="164" t="n">
        <f aca="false">IFERROR(ROUND(CORREL('Returns (Calc)'!$G$3:$G$500,'Returns (Calc)'!$P$3:$P$500),2),"")</f>
        <v>0.25</v>
      </c>
      <c r="Q11" s="164" t="n">
        <f aca="false">IFERROR(ROUND(CORREL('Returns (Calc)'!$G$3:$G$500,'Returns (Calc)'!$Q$3:$Q$500),2),"")</f>
        <v>0.52</v>
      </c>
      <c r="R11" s="164" t="n">
        <f aca="false">IFERROR(ROUND(CORREL('Returns (Calc)'!$G$3:$G$500,'Returns (Calc)'!$R$3:$R$500),2),"")</f>
        <v>0.62</v>
      </c>
      <c r="S11" s="164" t="n">
        <f aca="false">IFERROR(ROUND(CORREL('Returns (Calc)'!$G$3:$G$500,'Returns (Calc)'!$S$3:$S$500),2),"")</f>
        <v>0.67</v>
      </c>
      <c r="T11" s="164" t="n">
        <f aca="false">IFERROR(ROUND(CORREL('Returns (Calc)'!$G$3:$G$500,'Returns (Calc)'!$T$3:$T$500),2),"")</f>
        <v>0.31</v>
      </c>
      <c r="U11" s="164" t="n">
        <f aca="false">IFERROR(ROUND(CORREL('Returns (Calc)'!$G$3:$G$500,'Returns (Calc)'!$U$3:$U$500),2),"")</f>
        <v>0.28</v>
      </c>
      <c r="V11" s="164" t="n">
        <f aca="false">IFERROR(ROUND(CORREL('Returns (Calc)'!$G$3:$G$500,'Returns (Calc)'!$V$3:$V$500),2),"")</f>
        <v>0.02</v>
      </c>
      <c r="W11" s="164" t="n">
        <f aca="false">IFERROR(ROUND(CORREL('Returns (Calc)'!$G$3:$G$500,'Returns (Calc)'!$AP$3:$AP$500),2),"")</f>
        <v>0.45</v>
      </c>
      <c r="X11" s="164" t="n">
        <f aca="false">IFERROR(ROUND(CORREL('Returns (Calc)'!$G$3:$G$500,'Returns (Calc)'!$AQ$3:$AQ$500),2),"")</f>
        <v>-0.17</v>
      </c>
      <c r="Y11" s="164" t="n">
        <f aca="false">IFERROR(ROUND(CORREL('Returns (Calc)'!$G$3:$G$500,'Returns (Calc)'!$AR$3:$AR$500),2),"")</f>
        <v>0.45</v>
      </c>
      <c r="Z11" s="164" t="n">
        <f aca="false">IFERROR(ROUND(CORREL('Returns (Calc)'!$G$3:$G$500,'Returns (Calc)'!$AS$3:$AS$500),2),"")</f>
        <v>0.38</v>
      </c>
      <c r="AA11" s="164" t="n">
        <f aca="false">IFERROR(ROUND(CORREL('Returns (Calc)'!$G$3:$G$500,'Returns (Calc)'!$AT$3:$AT$500),2),"")</f>
        <v>0.11</v>
      </c>
      <c r="AB11" s="164" t="n">
        <f aca="false">IFERROR(ROUND(CORREL('Returns (Calc)'!$G$3:$G$500,'Returns (Calc)'!$AU$3:$AU$500),2),"")</f>
        <v>0.02</v>
      </c>
      <c r="AG11" s="165" t="n">
        <f aca="false">COUNTIF(B11:AB11,"&gt;0.7")-1</f>
        <v>1</v>
      </c>
    </row>
    <row r="12" customFormat="false" ht="15" hidden="false" customHeight="true" outlineLevel="0" collapsed="false">
      <c r="A12" s="163" t="str">
        <f aca="false">'Returns (Calc)'!H2</f>
        <v>MU</v>
      </c>
      <c r="B12" s="164" t="n">
        <f aca="false">IFERROR(ROUND(CORREL('Returns (Calc)'!$H$3:$H$500,'Returns (Calc)'!$B$3:$B$500),2),"")</f>
        <v>0.04</v>
      </c>
      <c r="C12" s="164" t="n">
        <f aca="false">IFERROR(ROUND(CORREL('Returns (Calc)'!$H$3:$H$500,'Returns (Calc)'!$C$3:$C$500),2),"")</f>
        <v>0.34</v>
      </c>
      <c r="D12" s="164" t="n">
        <f aca="false">IFERROR(ROUND(CORREL('Returns (Calc)'!$H$3:$H$500,'Returns (Calc)'!$D$3:$D$500),2),"")</f>
        <v>0.6</v>
      </c>
      <c r="E12" s="164" t="n">
        <f aca="false">IFERROR(ROUND(CORREL('Returns (Calc)'!$H$3:$H$500,'Returns (Calc)'!$E$3:$E$500),2),"")</f>
        <v>0.48</v>
      </c>
      <c r="F12" s="164" t="n">
        <f aca="false">IFERROR(ROUND(CORREL('Returns (Calc)'!$H$3:$H$500,'Returns (Calc)'!$F$3:$F$500),2),"")</f>
        <v>0.32</v>
      </c>
      <c r="G12" s="164" t="n">
        <f aca="false">IFERROR(ROUND(CORREL('Returns (Calc)'!$H$3:$H$500,'Returns (Calc)'!$G$3:$G$500),2),"")</f>
        <v>0.59</v>
      </c>
      <c r="H12" s="164" t="n">
        <v>1</v>
      </c>
      <c r="I12" s="164" t="n">
        <f aca="false">IFERROR(ROUND(CORREL('Returns (Calc)'!$H$3:$H$500,'Returns (Calc)'!$I$3:$I$500),2),"")</f>
        <v>0.5</v>
      </c>
      <c r="J12" s="164" t="n">
        <f aca="false">IFERROR(ROUND(CORREL('Returns (Calc)'!$H$3:$H$500,'Returns (Calc)'!$J$3:$J$500),2),"")</f>
        <v>0.2</v>
      </c>
      <c r="K12" s="164" t="n">
        <f aca="false">IFERROR(ROUND(CORREL('Returns (Calc)'!$H$3:$H$500,'Returns (Calc)'!$K$3:$K$500),2),"")</f>
        <v>0.17</v>
      </c>
      <c r="L12" s="164" t="n">
        <f aca="false">IFERROR(ROUND(CORREL('Returns (Calc)'!$H$3:$H$500,'Returns (Calc)'!$L$3:$L$500),2),"")</f>
        <v>0.56</v>
      </c>
      <c r="M12" s="164" t="n">
        <f aca="false">IFERROR(ROUND(CORREL('Returns (Calc)'!$H$3:$H$500,'Returns (Calc)'!$M$3:$M$500),2),"")</f>
        <v>0.5</v>
      </c>
      <c r="N12" s="164" t="n">
        <f aca="false">IFERROR(ROUND(CORREL('Returns (Calc)'!$H$3:$H$500,'Returns (Calc)'!$N$3:$N$500),2),"")</f>
        <v>0.18</v>
      </c>
      <c r="O12" s="164" t="n">
        <f aca="false">IFERROR(ROUND(CORREL('Returns (Calc)'!$H$3:$H$500,'Returns (Calc)'!$O$3:$O$500),2),"")</f>
        <v>0.35</v>
      </c>
      <c r="P12" s="164" t="n">
        <f aca="false">IFERROR(ROUND(CORREL('Returns (Calc)'!$H$3:$H$500,'Returns (Calc)'!$P$3:$P$500),2),"")</f>
        <v>0.23</v>
      </c>
      <c r="Q12" s="164" t="n">
        <f aca="false">IFERROR(ROUND(CORREL('Returns (Calc)'!$H$3:$H$500,'Returns (Calc)'!$Q$3:$Q$500),2),"")</f>
        <v>0.51</v>
      </c>
      <c r="R12" s="164" t="n">
        <f aca="false">IFERROR(ROUND(CORREL('Returns (Calc)'!$H$3:$H$500,'Returns (Calc)'!$R$3:$R$500),2),"")</f>
        <v>0.61</v>
      </c>
      <c r="S12" s="164" t="n">
        <f aca="false">IFERROR(ROUND(CORREL('Returns (Calc)'!$H$3:$H$500,'Returns (Calc)'!$S$3:$S$500),2),"")</f>
        <v>0.66</v>
      </c>
      <c r="T12" s="164" t="n">
        <f aca="false">IFERROR(ROUND(CORREL('Returns (Calc)'!$H$3:$H$500,'Returns (Calc)'!$T$3:$T$500),2),"")</f>
        <v>0.42</v>
      </c>
      <c r="U12" s="164" t="n">
        <f aca="false">IFERROR(ROUND(CORREL('Returns (Calc)'!$H$3:$H$500,'Returns (Calc)'!$U$3:$U$500),2),"")</f>
        <v>0.26</v>
      </c>
      <c r="V12" s="164" t="n">
        <f aca="false">IFERROR(ROUND(CORREL('Returns (Calc)'!$H$3:$H$500,'Returns (Calc)'!$V$3:$V$500),2),"")</f>
        <v>0.02</v>
      </c>
      <c r="W12" s="164" t="n">
        <f aca="false">IFERROR(ROUND(CORREL('Returns (Calc)'!$H$3:$H$500,'Returns (Calc)'!$AP$3:$AP$500),2),"")</f>
        <v>0.39</v>
      </c>
      <c r="X12" s="164" t="n">
        <f aca="false">IFERROR(ROUND(CORREL('Returns (Calc)'!$H$3:$H$500,'Returns (Calc)'!$AQ$3:$AQ$500),2),"")</f>
        <v>-0.35</v>
      </c>
      <c r="Y12" s="164" t="n">
        <f aca="false">IFERROR(ROUND(CORREL('Returns (Calc)'!$H$3:$H$500,'Returns (Calc)'!$AR$3:$AR$500),2),"")</f>
        <v>0.35</v>
      </c>
      <c r="Z12" s="164" t="n">
        <f aca="false">IFERROR(ROUND(CORREL('Returns (Calc)'!$H$3:$H$500,'Returns (Calc)'!$AS$3:$AS$500),2),"")</f>
        <v>0.36</v>
      </c>
      <c r="AA12" s="164" t="n">
        <f aca="false">IFERROR(ROUND(CORREL('Returns (Calc)'!$H$3:$H$500,'Returns (Calc)'!$AT$3:$AT$500),2),"")</f>
        <v>0.1</v>
      </c>
      <c r="AB12" s="164" t="n">
        <f aca="false">IFERROR(ROUND(CORREL('Returns (Calc)'!$H$3:$H$500,'Returns (Calc)'!$AU$3:$AU$500),2),"")</f>
        <v>0.11</v>
      </c>
      <c r="AG12" s="165" t="n">
        <f aca="false">COUNTIF(B12:AB12,"&gt;0.7")-1</f>
        <v>0</v>
      </c>
    </row>
    <row r="13" customFormat="false" ht="15" hidden="false" customHeight="true" outlineLevel="0" collapsed="false">
      <c r="A13" s="163" t="str">
        <f aca="false">'Returns (Calc)'!I2</f>
        <v>NVDA</v>
      </c>
      <c r="B13" s="164" t="n">
        <f aca="false">IFERROR(ROUND(CORREL('Returns (Calc)'!$I$3:$I$500,'Returns (Calc)'!$B$3:$B$500),2),"")</f>
        <v>0.21</v>
      </c>
      <c r="C13" s="164" t="n">
        <f aca="false">IFERROR(ROUND(CORREL('Returns (Calc)'!$I$3:$I$500,'Returns (Calc)'!$C$3:$C$500),2),"")</f>
        <v>0.52</v>
      </c>
      <c r="D13" s="164" t="n">
        <f aca="false">IFERROR(ROUND(CORREL('Returns (Calc)'!$I$3:$I$500,'Returns (Calc)'!$D$3:$D$500),2),"")</f>
        <v>0.49</v>
      </c>
      <c r="E13" s="164" t="n">
        <f aca="false">IFERROR(ROUND(CORREL('Returns (Calc)'!$I$3:$I$500,'Returns (Calc)'!$E$3:$E$500),2),"")</f>
        <v>0.62</v>
      </c>
      <c r="F13" s="164" t="n">
        <f aca="false">IFERROR(ROUND(CORREL('Returns (Calc)'!$I$3:$I$500,'Returns (Calc)'!$F$3:$F$500),2),"")</f>
        <v>0.46</v>
      </c>
      <c r="G13" s="164" t="n">
        <f aca="false">IFERROR(ROUND(CORREL('Returns (Calc)'!$I$3:$I$500,'Returns (Calc)'!$G$3:$G$500),2),"")</f>
        <v>0.52</v>
      </c>
      <c r="H13" s="164" t="n">
        <f aca="false">IFERROR(ROUND(CORREL('Returns (Calc)'!$I$3:$I$500,'Returns (Calc)'!$H$3:$H$500),2),"")</f>
        <v>0.5</v>
      </c>
      <c r="I13" s="164" t="n">
        <v>1</v>
      </c>
      <c r="J13" s="164" t="n">
        <f aca="false">IFERROR(ROUND(CORREL('Returns (Calc)'!$I$3:$I$500,'Returns (Calc)'!$J$3:$J$500),2),"")</f>
        <v>0.16</v>
      </c>
      <c r="K13" s="164" t="n">
        <f aca="false">IFERROR(ROUND(CORREL('Returns (Calc)'!$I$3:$I$500,'Returns (Calc)'!$K$3:$K$500),2),"")</f>
        <v>0.46</v>
      </c>
      <c r="L13" s="164" t="n">
        <f aca="false">IFERROR(ROUND(CORREL('Returns (Calc)'!$I$3:$I$500,'Returns (Calc)'!$L$3:$L$500),2),"")</f>
        <v>0.64</v>
      </c>
      <c r="M13" s="164" t="n">
        <f aca="false">IFERROR(ROUND(CORREL('Returns (Calc)'!$I$3:$I$500,'Returns (Calc)'!$M$3:$M$500),2),"")</f>
        <v>0.65</v>
      </c>
      <c r="N13" s="164" t="n">
        <f aca="false">IFERROR(ROUND(CORREL('Returns (Calc)'!$I$3:$I$500,'Returns (Calc)'!$N$3:$N$500),2),"")</f>
        <v>0.14</v>
      </c>
      <c r="O13" s="164" t="n">
        <f aca="false">IFERROR(ROUND(CORREL('Returns (Calc)'!$I$3:$I$500,'Returns (Calc)'!$O$3:$O$500),2),"")</f>
        <v>0.28</v>
      </c>
      <c r="P13" s="164" t="n">
        <f aca="false">IFERROR(ROUND(CORREL('Returns (Calc)'!$I$3:$I$500,'Returns (Calc)'!$P$3:$P$500),2),"")</f>
        <v>0.14</v>
      </c>
      <c r="Q13" s="164" t="n">
        <f aca="false">IFERROR(ROUND(CORREL('Returns (Calc)'!$I$3:$I$500,'Returns (Calc)'!$Q$3:$Q$500),2),"")</f>
        <v>0.7</v>
      </c>
      <c r="R13" s="164" t="n">
        <f aca="false">IFERROR(ROUND(CORREL('Returns (Calc)'!$I$3:$I$500,'Returns (Calc)'!$R$3:$R$500),2),"")</f>
        <v>0.74</v>
      </c>
      <c r="S13" s="164" t="n">
        <f aca="false">IFERROR(ROUND(CORREL('Returns (Calc)'!$I$3:$I$500,'Returns (Calc)'!$S$3:$S$500),2),"")</f>
        <v>0.75</v>
      </c>
      <c r="T13" s="164" t="n">
        <f aca="false">IFERROR(ROUND(CORREL('Returns (Calc)'!$I$3:$I$500,'Returns (Calc)'!$T$3:$T$500),2),"")</f>
        <v>0.3</v>
      </c>
      <c r="U13" s="164" t="n">
        <f aca="false">IFERROR(ROUND(CORREL('Returns (Calc)'!$I$3:$I$500,'Returns (Calc)'!$U$3:$U$500),2),"")</f>
        <v>0.18</v>
      </c>
      <c r="V13" s="164" t="n">
        <f aca="false">IFERROR(ROUND(CORREL('Returns (Calc)'!$I$3:$I$500,'Returns (Calc)'!$V$3:$V$500),2),"")</f>
        <v>0.2</v>
      </c>
      <c r="W13" s="164" t="n">
        <f aca="false">IFERROR(ROUND(CORREL('Returns (Calc)'!$I$3:$I$500,'Returns (Calc)'!$AP$3:$AP$500),2),"")</f>
        <v>0.38</v>
      </c>
      <c r="X13" s="164" t="n">
        <f aca="false">IFERROR(ROUND(CORREL('Returns (Calc)'!$I$3:$I$500,'Returns (Calc)'!$AQ$3:$AQ$500),2),"")</f>
        <v>-0.31</v>
      </c>
      <c r="Y13" s="164" t="n">
        <f aca="false">IFERROR(ROUND(CORREL('Returns (Calc)'!$I$3:$I$500,'Returns (Calc)'!$AR$3:$AR$500),2),"")</f>
        <v>0.44</v>
      </c>
      <c r="Z13" s="164" t="n">
        <f aca="false">IFERROR(ROUND(CORREL('Returns (Calc)'!$I$3:$I$500,'Returns (Calc)'!$AS$3:$AS$500),2),"")</f>
        <v>0.38</v>
      </c>
      <c r="AA13" s="164" t="n">
        <f aca="false">IFERROR(ROUND(CORREL('Returns (Calc)'!$I$3:$I$500,'Returns (Calc)'!$AT$3:$AT$500),2),"")</f>
        <v>0.27</v>
      </c>
      <c r="AB13" s="164" t="n">
        <f aca="false">IFERROR(ROUND(CORREL('Returns (Calc)'!$I$3:$I$500,'Returns (Calc)'!$AU$3:$AU$500),2),"")</f>
        <v>0.15</v>
      </c>
      <c r="AG13" s="165" t="n">
        <f aca="false">COUNTIF(B13:AB13,"&gt;0.7")-1</f>
        <v>2</v>
      </c>
    </row>
    <row r="14" customFormat="false" ht="15" hidden="false" customHeight="true" outlineLevel="0" collapsed="false">
      <c r="A14" s="163" t="str">
        <f aca="false">'Returns (Calc)'!J2</f>
        <v>PLD</v>
      </c>
      <c r="B14" s="164" t="n">
        <f aca="false">IFERROR(ROUND(CORREL('Returns (Calc)'!$J$3:$J$500,'Returns (Calc)'!$B$3:$B$500),2),"")</f>
        <v>0.17</v>
      </c>
      <c r="C14" s="164" t="n">
        <f aca="false">IFERROR(ROUND(CORREL('Returns (Calc)'!$J$3:$J$500,'Returns (Calc)'!$C$3:$C$500),2),"")</f>
        <v>0.18</v>
      </c>
      <c r="D14" s="164" t="n">
        <f aca="false">IFERROR(ROUND(CORREL('Returns (Calc)'!$J$3:$J$500,'Returns (Calc)'!$D$3:$D$500),2),"")</f>
        <v>0.27</v>
      </c>
      <c r="E14" s="164" t="n">
        <f aca="false">IFERROR(ROUND(CORREL('Returns (Calc)'!$J$3:$J$500,'Returns (Calc)'!$E$3:$E$500),2),"")</f>
        <v>0.22</v>
      </c>
      <c r="F14" s="164" t="n">
        <f aca="false">IFERROR(ROUND(CORREL('Returns (Calc)'!$J$3:$J$500,'Returns (Calc)'!$F$3:$F$500),2),"")</f>
        <v>0.1</v>
      </c>
      <c r="G14" s="164" t="n">
        <f aca="false">IFERROR(ROUND(CORREL('Returns (Calc)'!$J$3:$J$500,'Returns (Calc)'!$G$3:$G$500),2),"")</f>
        <v>0.27</v>
      </c>
      <c r="H14" s="164" t="n">
        <f aca="false">IFERROR(ROUND(CORREL('Returns (Calc)'!$J$3:$J$500,'Returns (Calc)'!$H$3:$H$500),2),"")</f>
        <v>0.2</v>
      </c>
      <c r="I14" s="164" t="n">
        <f aca="false">IFERROR(ROUND(CORREL('Returns (Calc)'!$J$3:$J$500,'Returns (Calc)'!$I$3:$I$500),2),"")</f>
        <v>0.16</v>
      </c>
      <c r="J14" s="164" t="n">
        <v>1</v>
      </c>
      <c r="K14" s="164" t="n">
        <f aca="false">IFERROR(ROUND(CORREL('Returns (Calc)'!$J$3:$J$500,'Returns (Calc)'!$K$3:$K$500),2),"")</f>
        <v>0.13</v>
      </c>
      <c r="L14" s="164" t="n">
        <f aca="false">IFERROR(ROUND(CORREL('Returns (Calc)'!$J$3:$J$500,'Returns (Calc)'!$L$3:$L$500),2),"")</f>
        <v>0.2</v>
      </c>
      <c r="M14" s="164" t="n">
        <f aca="false">IFERROR(ROUND(CORREL('Returns (Calc)'!$J$3:$J$500,'Returns (Calc)'!$M$3:$M$500),2),"")</f>
        <v>0.15</v>
      </c>
      <c r="N14" s="164" t="n">
        <f aca="false">IFERROR(ROUND(CORREL('Returns (Calc)'!$J$3:$J$500,'Returns (Calc)'!$N$3:$N$500),2),"")</f>
        <v>0.25</v>
      </c>
      <c r="O14" s="164" t="n">
        <f aca="false">IFERROR(ROUND(CORREL('Returns (Calc)'!$J$3:$J$500,'Returns (Calc)'!$O$3:$O$500),2),"")</f>
        <v>0.62</v>
      </c>
      <c r="P14" s="164" t="n">
        <f aca="false">IFERROR(ROUND(CORREL('Returns (Calc)'!$J$3:$J$500,'Returns (Calc)'!$P$3:$P$500),2),"")</f>
        <v>0.65</v>
      </c>
      <c r="Q14" s="164" t="n">
        <f aca="false">IFERROR(ROUND(CORREL('Returns (Calc)'!$J$3:$J$500,'Returns (Calc)'!$Q$3:$Q$500),2),"")</f>
        <v>0.48</v>
      </c>
      <c r="R14" s="164" t="n">
        <f aca="false">IFERROR(ROUND(CORREL('Returns (Calc)'!$J$3:$J$500,'Returns (Calc)'!$R$3:$R$500),2),"")</f>
        <v>0.36</v>
      </c>
      <c r="S14" s="164" t="n">
        <f aca="false">IFERROR(ROUND(CORREL('Returns (Calc)'!$J$3:$J$500,'Returns (Calc)'!$S$3:$S$500),2),"")</f>
        <v>0.34</v>
      </c>
      <c r="T14" s="164" t="n">
        <f aca="false">IFERROR(ROUND(CORREL('Returns (Calc)'!$J$3:$J$500,'Returns (Calc)'!$T$3:$T$500),2),"")</f>
        <v>0.52</v>
      </c>
      <c r="U14" s="164" t="n">
        <f aca="false">IFERROR(ROUND(CORREL('Returns (Calc)'!$J$3:$J$500,'Returns (Calc)'!$U$3:$U$500),2),"")</f>
        <v>0.66</v>
      </c>
      <c r="V14" s="164" t="n">
        <f aca="false">IFERROR(ROUND(CORREL('Returns (Calc)'!$J$3:$J$500,'Returns (Calc)'!$V$3:$V$500),2),"")</f>
        <v>0.37</v>
      </c>
      <c r="W14" s="164" t="n">
        <f aca="false">IFERROR(ROUND(CORREL('Returns (Calc)'!$J$3:$J$500,'Returns (Calc)'!$AP$3:$AP$500),2),"")</f>
        <v>0.65</v>
      </c>
      <c r="X14" s="164" t="n">
        <f aca="false">IFERROR(ROUND(CORREL('Returns (Calc)'!$J$3:$J$500,'Returns (Calc)'!$AQ$3:$AQ$500),2),"")</f>
        <v>0.09</v>
      </c>
      <c r="Y14" s="164" t="n">
        <f aca="false">IFERROR(ROUND(CORREL('Returns (Calc)'!$J$3:$J$500,'Returns (Calc)'!$AR$3:$AR$500),2),"")</f>
        <v>0.61</v>
      </c>
      <c r="Z14" s="164" t="n">
        <f aca="false">IFERROR(ROUND(CORREL('Returns (Calc)'!$J$3:$J$500,'Returns (Calc)'!$AS$3:$AS$500),2),"")</f>
        <v>0.3</v>
      </c>
      <c r="AA14" s="164" t="n">
        <f aca="false">IFERROR(ROUND(CORREL('Returns (Calc)'!$J$3:$J$500,'Returns (Calc)'!$AT$3:$AT$500),2),"")</f>
        <v>0.13</v>
      </c>
      <c r="AB14" s="164" t="n">
        <f aca="false">IFERROR(ROUND(CORREL('Returns (Calc)'!$J$3:$J$500,'Returns (Calc)'!$AU$3:$AU$500),2),"")</f>
        <v>0.15</v>
      </c>
      <c r="AG14" s="165" t="n">
        <f aca="false">COUNTIF(B14:AB14,"&gt;0.7")-1</f>
        <v>0</v>
      </c>
    </row>
    <row r="15" customFormat="false" ht="15" hidden="false" customHeight="true" outlineLevel="0" collapsed="false">
      <c r="A15" s="163" t="str">
        <f aca="false">'Returns (Calc)'!K2</f>
        <v>PLTR</v>
      </c>
      <c r="B15" s="164" t="n">
        <f aca="false">IFERROR(ROUND(CORREL('Returns (Calc)'!$K$3:$K$500,'Returns (Calc)'!$B$3:$B$500),2),"")</f>
        <v>0.37</v>
      </c>
      <c r="C15" s="164" t="n">
        <f aca="false">IFERROR(ROUND(CORREL('Returns (Calc)'!$K$3:$K$500,'Returns (Calc)'!$C$3:$C$500),2),"")</f>
        <v>0.34</v>
      </c>
      <c r="D15" s="164" t="n">
        <f aca="false">IFERROR(ROUND(CORREL('Returns (Calc)'!$K$3:$K$500,'Returns (Calc)'!$D$3:$D$500),2),"")</f>
        <v>0.21</v>
      </c>
      <c r="E15" s="164" t="n">
        <f aca="false">IFERROR(ROUND(CORREL('Returns (Calc)'!$K$3:$K$500,'Returns (Calc)'!$E$3:$E$500),2),"")</f>
        <v>0.38</v>
      </c>
      <c r="F15" s="164" t="n">
        <f aca="false">IFERROR(ROUND(CORREL('Returns (Calc)'!$K$3:$K$500,'Returns (Calc)'!$F$3:$F$500),2),"")</f>
        <v>0.5</v>
      </c>
      <c r="G15" s="164" t="n">
        <f aca="false">IFERROR(ROUND(CORREL('Returns (Calc)'!$K$3:$K$500,'Returns (Calc)'!$G$3:$G$500),2),"")</f>
        <v>0.25</v>
      </c>
      <c r="H15" s="164" t="n">
        <f aca="false">IFERROR(ROUND(CORREL('Returns (Calc)'!$K$3:$K$500,'Returns (Calc)'!$H$3:$H$500),2),"")</f>
        <v>0.17</v>
      </c>
      <c r="I15" s="164" t="n">
        <f aca="false">IFERROR(ROUND(CORREL('Returns (Calc)'!$K$3:$K$500,'Returns (Calc)'!$I$3:$I$500),2),"")</f>
        <v>0.46</v>
      </c>
      <c r="J15" s="164" t="n">
        <f aca="false">IFERROR(ROUND(CORREL('Returns (Calc)'!$K$3:$K$500,'Returns (Calc)'!$J$3:$J$500),2),"")</f>
        <v>0.13</v>
      </c>
      <c r="K15" s="164" t="n">
        <v>1</v>
      </c>
      <c r="L15" s="164" t="n">
        <f aca="false">IFERROR(ROUND(CORREL('Returns (Calc)'!$K$3:$K$500,'Returns (Calc)'!$L$3:$L$500),2),"")</f>
        <v>0.38</v>
      </c>
      <c r="M15" s="164" t="n">
        <f aca="false">IFERROR(ROUND(CORREL('Returns (Calc)'!$K$3:$K$500,'Returns (Calc)'!$M$3:$M$500),2),"")</f>
        <v>0.32</v>
      </c>
      <c r="N15" s="164" t="n">
        <f aca="false">IFERROR(ROUND(CORREL('Returns (Calc)'!$K$3:$K$500,'Returns (Calc)'!$N$3:$N$500),2),"")</f>
        <v>0.07</v>
      </c>
      <c r="O15" s="164" t="n">
        <f aca="false">IFERROR(ROUND(CORREL('Returns (Calc)'!$K$3:$K$500,'Returns (Calc)'!$O$3:$O$500),2),"")</f>
        <v>0.23</v>
      </c>
      <c r="P15" s="164" t="n">
        <f aca="false">IFERROR(ROUND(CORREL('Returns (Calc)'!$K$3:$K$500,'Returns (Calc)'!$P$3:$P$500),2),"")</f>
        <v>0.1</v>
      </c>
      <c r="Q15" s="164" t="n">
        <f aca="false">IFERROR(ROUND(CORREL('Returns (Calc)'!$K$3:$K$500,'Returns (Calc)'!$Q$3:$Q$500),2),"")</f>
        <v>0.48</v>
      </c>
      <c r="R15" s="164" t="n">
        <f aca="false">IFERROR(ROUND(CORREL('Returns (Calc)'!$K$3:$K$500,'Returns (Calc)'!$R$3:$R$500),2),"")</f>
        <v>0.52</v>
      </c>
      <c r="S15" s="164" t="n">
        <f aca="false">IFERROR(ROUND(CORREL('Returns (Calc)'!$K$3:$K$500,'Returns (Calc)'!$S$3:$S$500),2),"")</f>
        <v>0.44</v>
      </c>
      <c r="T15" s="164" t="n">
        <f aca="false">IFERROR(ROUND(CORREL('Returns (Calc)'!$K$3:$K$500,'Returns (Calc)'!$T$3:$T$500),2),"")</f>
        <v>0.34</v>
      </c>
      <c r="U15" s="164" t="n">
        <f aca="false">IFERROR(ROUND(CORREL('Returns (Calc)'!$K$3:$K$500,'Returns (Calc)'!$U$3:$U$500),2),"")</f>
        <v>0.14</v>
      </c>
      <c r="V15" s="164" t="n">
        <f aca="false">IFERROR(ROUND(CORREL('Returns (Calc)'!$K$3:$K$500,'Returns (Calc)'!$V$3:$V$500),2),"")</f>
        <v>0.24</v>
      </c>
      <c r="W15" s="164" t="n">
        <f aca="false">IFERROR(ROUND(CORREL('Returns (Calc)'!$K$3:$K$500,'Returns (Calc)'!$AP$3:$AP$500),2),"")</f>
        <v>0.26</v>
      </c>
      <c r="X15" s="164" t="n">
        <f aca="false">IFERROR(ROUND(CORREL('Returns (Calc)'!$K$3:$K$500,'Returns (Calc)'!$AQ$3:$AQ$500),2),"")</f>
        <v>-0.48</v>
      </c>
      <c r="Y15" s="164" t="n">
        <f aca="false">IFERROR(ROUND(CORREL('Returns (Calc)'!$K$3:$K$500,'Returns (Calc)'!$AR$3:$AR$500),2),"")</f>
        <v>0.31</v>
      </c>
      <c r="Z15" s="164" t="n">
        <f aca="false">IFERROR(ROUND(CORREL('Returns (Calc)'!$K$3:$K$500,'Returns (Calc)'!$AS$3:$AS$500),2),"")</f>
        <v>0.26</v>
      </c>
      <c r="AA15" s="164" t="n">
        <f aca="false">IFERROR(ROUND(CORREL('Returns (Calc)'!$K$3:$K$500,'Returns (Calc)'!$AT$3:$AT$500),2),"")</f>
        <v>0.3</v>
      </c>
      <c r="AB15" s="164" t="n">
        <f aca="false">IFERROR(ROUND(CORREL('Returns (Calc)'!$K$3:$K$500,'Returns (Calc)'!$AU$3:$AU$500),2),"")</f>
        <v>0.41</v>
      </c>
      <c r="AG15" s="165" t="n">
        <f aca="false">COUNTIF(B15:AB15,"&gt;0.7")-1</f>
        <v>0</v>
      </c>
    </row>
    <row r="16" customFormat="false" ht="15" hidden="false" customHeight="true" outlineLevel="0" collapsed="false">
      <c r="A16" s="163" t="str">
        <f aca="false">'Returns (Calc)'!L2</f>
        <v>TSM</v>
      </c>
      <c r="B16" s="164" t="n">
        <f aca="false">IFERROR(ROUND(CORREL('Returns (Calc)'!$L$3:$L$500,'Returns (Calc)'!$B$3:$B$500),2),"")</f>
        <v>0.15</v>
      </c>
      <c r="C16" s="164" t="n">
        <f aca="false">IFERROR(ROUND(CORREL('Returns (Calc)'!$L$3:$L$500,'Returns (Calc)'!$C$3:$C$500),2),"")</f>
        <v>0.55</v>
      </c>
      <c r="D16" s="164" t="n">
        <f aca="false">IFERROR(ROUND(CORREL('Returns (Calc)'!$L$3:$L$500,'Returns (Calc)'!$D$3:$D$500),2),"")</f>
        <v>0.64</v>
      </c>
      <c r="E16" s="164" t="n">
        <f aca="false">IFERROR(ROUND(CORREL('Returns (Calc)'!$L$3:$L$500,'Returns (Calc)'!$E$3:$E$500),2),"")</f>
        <v>0.63</v>
      </c>
      <c r="F16" s="164" t="n">
        <f aca="false">IFERROR(ROUND(CORREL('Returns (Calc)'!$L$3:$L$500,'Returns (Calc)'!$F$3:$F$500),2),"")</f>
        <v>0.39</v>
      </c>
      <c r="G16" s="164" t="n">
        <f aca="false">IFERROR(ROUND(CORREL('Returns (Calc)'!$L$3:$L$500,'Returns (Calc)'!$G$3:$G$500),2),"")</f>
        <v>0.62</v>
      </c>
      <c r="H16" s="164" t="n">
        <f aca="false">IFERROR(ROUND(CORREL('Returns (Calc)'!$L$3:$L$500,'Returns (Calc)'!$H$3:$H$500),2),"")</f>
        <v>0.56</v>
      </c>
      <c r="I16" s="164" t="n">
        <f aca="false">IFERROR(ROUND(CORREL('Returns (Calc)'!$L$3:$L$500,'Returns (Calc)'!$I$3:$I$500),2),"")</f>
        <v>0.64</v>
      </c>
      <c r="J16" s="164" t="n">
        <f aca="false">IFERROR(ROUND(CORREL('Returns (Calc)'!$L$3:$L$500,'Returns (Calc)'!$J$3:$J$500),2),"")</f>
        <v>0.2</v>
      </c>
      <c r="K16" s="164" t="n">
        <f aca="false">IFERROR(ROUND(CORREL('Returns (Calc)'!$L$3:$L$500,'Returns (Calc)'!$K$3:$K$500),2),"")</f>
        <v>0.38</v>
      </c>
      <c r="L16" s="164" t="n">
        <v>1</v>
      </c>
      <c r="M16" s="164" t="n">
        <f aca="false">IFERROR(ROUND(CORREL('Returns (Calc)'!$L$3:$L$500,'Returns (Calc)'!$M$3:$M$500),2),"")</f>
        <v>0.6</v>
      </c>
      <c r="N16" s="164" t="n">
        <f aca="false">IFERROR(ROUND(CORREL('Returns (Calc)'!$L$3:$L$500,'Returns (Calc)'!$N$3:$N$500),2),"")</f>
        <v>0.15</v>
      </c>
      <c r="O16" s="164" t="n">
        <f aca="false">IFERROR(ROUND(CORREL('Returns (Calc)'!$L$3:$L$500,'Returns (Calc)'!$O$3:$O$500),2),"")</f>
        <v>0.33</v>
      </c>
      <c r="P16" s="164" t="n">
        <f aca="false">IFERROR(ROUND(CORREL('Returns (Calc)'!$L$3:$L$500,'Returns (Calc)'!$P$3:$P$500),2),"")</f>
        <v>0.16</v>
      </c>
      <c r="Q16" s="164" t="n">
        <f aca="false">IFERROR(ROUND(CORREL('Returns (Calc)'!$L$3:$L$500,'Returns (Calc)'!$Q$3:$Q$500),2),"")</f>
        <v>0.63</v>
      </c>
      <c r="R16" s="164" t="n">
        <f aca="false">IFERROR(ROUND(CORREL('Returns (Calc)'!$L$3:$L$500,'Returns (Calc)'!$R$3:$R$500),2),"")</f>
        <v>0.69</v>
      </c>
      <c r="S16" s="164" t="n">
        <f aca="false">IFERROR(ROUND(CORREL('Returns (Calc)'!$L$3:$L$500,'Returns (Calc)'!$S$3:$S$500),2),"")</f>
        <v>0.7</v>
      </c>
      <c r="T16" s="164" t="n">
        <f aca="false">IFERROR(ROUND(CORREL('Returns (Calc)'!$L$3:$L$500,'Returns (Calc)'!$T$3:$T$500),2),"")</f>
        <v>0.28</v>
      </c>
      <c r="U16" s="164" t="n">
        <f aca="false">IFERROR(ROUND(CORREL('Returns (Calc)'!$L$3:$L$500,'Returns (Calc)'!$U$3:$U$500),2),"")</f>
        <v>0.21</v>
      </c>
      <c r="V16" s="164" t="n">
        <f aca="false">IFERROR(ROUND(CORREL('Returns (Calc)'!$L$3:$L$500,'Returns (Calc)'!$V$3:$V$500),2),"")</f>
        <v>0.13</v>
      </c>
      <c r="W16" s="164" t="n">
        <f aca="false">IFERROR(ROUND(CORREL('Returns (Calc)'!$L$3:$L$500,'Returns (Calc)'!$AP$3:$AP$500),2),"")</f>
        <v>0.42</v>
      </c>
      <c r="X16" s="164" t="n">
        <f aca="false">IFERROR(ROUND(CORREL('Returns (Calc)'!$L$3:$L$500,'Returns (Calc)'!$AQ$3:$AQ$500),2),"")</f>
        <v>-0.25</v>
      </c>
      <c r="Y16" s="164" t="n">
        <f aca="false">IFERROR(ROUND(CORREL('Returns (Calc)'!$L$3:$L$500,'Returns (Calc)'!$AR$3:$AR$500),2),"")</f>
        <v>0.48</v>
      </c>
      <c r="Z16" s="164" t="n">
        <f aca="false">IFERROR(ROUND(CORREL('Returns (Calc)'!$L$3:$L$500,'Returns (Calc)'!$AS$3:$AS$500),2),"")</f>
        <v>0.44</v>
      </c>
      <c r="AA16" s="164" t="n">
        <f aca="false">IFERROR(ROUND(CORREL('Returns (Calc)'!$L$3:$L$500,'Returns (Calc)'!$AT$3:$AT$500),2),"")</f>
        <v>0.3</v>
      </c>
      <c r="AB16" s="164" t="n">
        <f aca="false">IFERROR(ROUND(CORREL('Returns (Calc)'!$L$3:$L$500,'Returns (Calc)'!$AU$3:$AU$500),2),"")</f>
        <v>0.13</v>
      </c>
      <c r="AG16" s="165" t="n">
        <f aca="false">COUNTIF(B16:AB16,"&gt;0.7")-1</f>
        <v>0</v>
      </c>
    </row>
    <row r="17" customFormat="false" ht="15" hidden="false" customHeight="true" outlineLevel="0" collapsed="false">
      <c r="A17" s="163" t="str">
        <f aca="false">'Returns (Calc)'!M2</f>
        <v>VRT</v>
      </c>
      <c r="B17" s="164" t="n">
        <f aca="false">IFERROR(ROUND(CORREL('Returns (Calc)'!$M$3:$M$500,'Returns (Calc)'!$B$3:$B$500),2),"")</f>
        <v>0.06</v>
      </c>
      <c r="C17" s="164" t="n">
        <f aca="false">IFERROR(ROUND(CORREL('Returns (Calc)'!$M$3:$M$500,'Returns (Calc)'!$C$3:$C$500),2),"")</f>
        <v>0.58</v>
      </c>
      <c r="D17" s="164" t="n">
        <f aca="false">IFERROR(ROUND(CORREL('Returns (Calc)'!$M$3:$M$500,'Returns (Calc)'!$D$3:$D$500),2),"")</f>
        <v>0.43</v>
      </c>
      <c r="E17" s="164" t="n">
        <f aca="false">IFERROR(ROUND(CORREL('Returns (Calc)'!$M$3:$M$500,'Returns (Calc)'!$E$3:$E$500),2),"")</f>
        <v>0.52</v>
      </c>
      <c r="F17" s="164" t="n">
        <f aca="false">IFERROR(ROUND(CORREL('Returns (Calc)'!$M$3:$M$500,'Returns (Calc)'!$F$3:$F$500),2),"")</f>
        <v>0.4</v>
      </c>
      <c r="G17" s="164" t="n">
        <f aca="false">IFERROR(ROUND(CORREL('Returns (Calc)'!$M$3:$M$500,'Returns (Calc)'!$G$3:$G$500),2),"")</f>
        <v>0.5</v>
      </c>
      <c r="H17" s="164" t="n">
        <f aca="false">IFERROR(ROUND(CORREL('Returns (Calc)'!$M$3:$M$500,'Returns (Calc)'!$H$3:$H$500),2),"")</f>
        <v>0.5</v>
      </c>
      <c r="I17" s="164" t="n">
        <f aca="false">IFERROR(ROUND(CORREL('Returns (Calc)'!$M$3:$M$500,'Returns (Calc)'!$I$3:$I$500),2),"")</f>
        <v>0.65</v>
      </c>
      <c r="J17" s="164" t="n">
        <f aca="false">IFERROR(ROUND(CORREL('Returns (Calc)'!$M$3:$M$500,'Returns (Calc)'!$J$3:$J$500),2),"")</f>
        <v>0.15</v>
      </c>
      <c r="K17" s="164" t="n">
        <f aca="false">IFERROR(ROUND(CORREL('Returns (Calc)'!$M$3:$M$500,'Returns (Calc)'!$K$3:$K$500),2),"")</f>
        <v>0.32</v>
      </c>
      <c r="L17" s="164" t="n">
        <f aca="false">IFERROR(ROUND(CORREL('Returns (Calc)'!$M$3:$M$500,'Returns (Calc)'!$L$3:$L$500),2),"")</f>
        <v>0.6</v>
      </c>
      <c r="M17" s="164" t="n">
        <v>1</v>
      </c>
      <c r="N17" s="164" t="n">
        <f aca="false">IFERROR(ROUND(CORREL('Returns (Calc)'!$M$3:$M$500,'Returns (Calc)'!$N$3:$N$500),2),"")</f>
        <v>0.12</v>
      </c>
      <c r="O17" s="164" t="n">
        <f aca="false">IFERROR(ROUND(CORREL('Returns (Calc)'!$M$3:$M$500,'Returns (Calc)'!$O$3:$O$500),2),"")</f>
        <v>0.35</v>
      </c>
      <c r="P17" s="164" t="n">
        <f aca="false">IFERROR(ROUND(CORREL('Returns (Calc)'!$M$3:$M$500,'Returns (Calc)'!$P$3:$P$500),2),"")</f>
        <v>0.21</v>
      </c>
      <c r="Q17" s="164" t="n">
        <f aca="false">IFERROR(ROUND(CORREL('Returns (Calc)'!$M$3:$M$500,'Returns (Calc)'!$Q$3:$Q$500),2),"")</f>
        <v>0.57</v>
      </c>
      <c r="R17" s="164" t="n">
        <f aca="false">IFERROR(ROUND(CORREL('Returns (Calc)'!$M$3:$M$500,'Returns (Calc)'!$R$3:$R$500),2),"")</f>
        <v>0.63</v>
      </c>
      <c r="S17" s="164" t="n">
        <f aca="false">IFERROR(ROUND(CORREL('Returns (Calc)'!$M$3:$M$500,'Returns (Calc)'!$S$3:$S$500),2),"")</f>
        <v>0.66</v>
      </c>
      <c r="T17" s="164" t="n">
        <f aca="false">IFERROR(ROUND(CORREL('Returns (Calc)'!$M$3:$M$500,'Returns (Calc)'!$T$3:$T$500),2),"")</f>
        <v>0.3</v>
      </c>
      <c r="U17" s="164" t="n">
        <f aca="false">IFERROR(ROUND(CORREL('Returns (Calc)'!$M$3:$M$500,'Returns (Calc)'!$U$3:$U$500),2),"")</f>
        <v>0.21</v>
      </c>
      <c r="V17" s="164" t="n">
        <f aca="false">IFERROR(ROUND(CORREL('Returns (Calc)'!$M$3:$M$500,'Returns (Calc)'!$V$3:$V$500),2),"")</f>
        <v>0.14</v>
      </c>
      <c r="W17" s="164" t="n">
        <f aca="false">IFERROR(ROUND(CORREL('Returns (Calc)'!$M$3:$M$500,'Returns (Calc)'!$AP$3:$AP$500),2),"")</f>
        <v>0.42</v>
      </c>
      <c r="X17" s="164" t="n">
        <f aca="false">IFERROR(ROUND(CORREL('Returns (Calc)'!$M$3:$M$500,'Returns (Calc)'!$AQ$3:$AQ$500),2),"")</f>
        <v>0.2</v>
      </c>
      <c r="Y17" s="164" t="n">
        <f aca="false">IFERROR(ROUND(CORREL('Returns (Calc)'!$M$3:$M$500,'Returns (Calc)'!$AR$3:$AR$500),2),"")</f>
        <v>0.44</v>
      </c>
      <c r="Z17" s="164" t="n">
        <f aca="false">IFERROR(ROUND(CORREL('Returns (Calc)'!$M$3:$M$500,'Returns (Calc)'!$AS$3:$AS$500),2),"")</f>
        <v>0.44</v>
      </c>
      <c r="AA17" s="164" t="n">
        <f aca="false">IFERROR(ROUND(CORREL('Returns (Calc)'!$M$3:$M$500,'Returns (Calc)'!$AT$3:$AT$500),2),"")</f>
        <v>0.32</v>
      </c>
      <c r="AB17" s="164" t="n">
        <f aca="false">IFERROR(ROUND(CORREL('Returns (Calc)'!$M$3:$M$500,'Returns (Calc)'!$AU$3:$AU$500),2),"")</f>
        <v>0.07</v>
      </c>
      <c r="AG17" s="165" t="n">
        <f aca="false">COUNTIF(B17:AB17,"&gt;0.7")-1</f>
        <v>0</v>
      </c>
    </row>
    <row r="18" customFormat="false" ht="15" hidden="false" customHeight="true" outlineLevel="0" collapsed="false">
      <c r="A18" s="163" t="str">
        <f aca="false">'Returns (Calc)'!N2</f>
        <v>VRTX</v>
      </c>
      <c r="B18" s="164" t="n">
        <f aca="false">IFERROR(ROUND(CORREL('Returns (Calc)'!$N$3:$N$500,'Returns (Calc)'!$B$3:$B$500),2),"")</f>
        <v>0.14</v>
      </c>
      <c r="C18" s="164" t="n">
        <f aca="false">IFERROR(ROUND(CORREL('Returns (Calc)'!$N$3:$N$500,'Returns (Calc)'!$C$3:$C$500),2),"")</f>
        <v>0.05</v>
      </c>
      <c r="D18" s="164" t="n">
        <f aca="false">IFERROR(ROUND(CORREL('Returns (Calc)'!$N$3:$N$500,'Returns (Calc)'!$D$3:$D$500),2),"")</f>
        <v>0.11</v>
      </c>
      <c r="E18" s="164" t="n">
        <f aca="false">IFERROR(ROUND(CORREL('Returns (Calc)'!$N$3:$N$500,'Returns (Calc)'!$E$3:$E$500),2),"")</f>
        <v>0.14</v>
      </c>
      <c r="F18" s="164" t="n">
        <f aca="false">IFERROR(ROUND(CORREL('Returns (Calc)'!$N$3:$N$500,'Returns (Calc)'!$F$3:$F$500),2),"")</f>
        <v>0.17</v>
      </c>
      <c r="G18" s="164" t="n">
        <f aca="false">IFERROR(ROUND(CORREL('Returns (Calc)'!$N$3:$N$500,'Returns (Calc)'!$G$3:$G$500),2),"")</f>
        <v>0.16</v>
      </c>
      <c r="H18" s="164" t="n">
        <f aca="false">IFERROR(ROUND(CORREL('Returns (Calc)'!$N$3:$N$500,'Returns (Calc)'!$H$3:$H$500),2),"")</f>
        <v>0.18</v>
      </c>
      <c r="I18" s="164" t="n">
        <f aca="false">IFERROR(ROUND(CORREL('Returns (Calc)'!$N$3:$N$500,'Returns (Calc)'!$I$3:$I$500),2),"")</f>
        <v>0.14</v>
      </c>
      <c r="J18" s="164" t="n">
        <f aca="false">IFERROR(ROUND(CORREL('Returns (Calc)'!$N$3:$N$500,'Returns (Calc)'!$J$3:$J$500),2),"")</f>
        <v>0.25</v>
      </c>
      <c r="K18" s="164" t="n">
        <f aca="false">IFERROR(ROUND(CORREL('Returns (Calc)'!$N$3:$N$500,'Returns (Calc)'!$K$3:$K$500),2),"")</f>
        <v>0.07</v>
      </c>
      <c r="L18" s="164" t="n">
        <f aca="false">IFERROR(ROUND(CORREL('Returns (Calc)'!$N$3:$N$500,'Returns (Calc)'!$L$3:$L$500),2),"")</f>
        <v>0.15</v>
      </c>
      <c r="M18" s="164" t="n">
        <f aca="false">IFERROR(ROUND(CORREL('Returns (Calc)'!$N$3:$N$500,'Returns (Calc)'!$M$3:$M$500),2),"")</f>
        <v>0.12</v>
      </c>
      <c r="N18" s="164" t="n">
        <v>1</v>
      </c>
      <c r="O18" s="164" t="n">
        <f aca="false">IFERROR(ROUND(CORREL('Returns (Calc)'!$N$3:$N$500,'Returns (Calc)'!$O$3:$O$500),2),"")</f>
        <v>0.23</v>
      </c>
      <c r="P18" s="164" t="n">
        <f aca="false">IFERROR(ROUND(CORREL('Returns (Calc)'!$N$3:$N$500,'Returns (Calc)'!$P$3:$P$500),2),"")</f>
        <v>0.23</v>
      </c>
      <c r="Q18" s="164" t="n">
        <f aca="false">IFERROR(ROUND(CORREL('Returns (Calc)'!$N$3:$N$500,'Returns (Calc)'!$Q$3:$Q$500),2),"")</f>
        <v>0.27</v>
      </c>
      <c r="R18" s="164" t="n">
        <f aca="false">IFERROR(ROUND(CORREL('Returns (Calc)'!$N$3:$N$500,'Returns (Calc)'!$R$3:$R$500),2),"")</f>
        <v>0.2</v>
      </c>
      <c r="S18" s="164" t="n">
        <f aca="false">IFERROR(ROUND(CORREL('Returns (Calc)'!$N$3:$N$500,'Returns (Calc)'!$S$3:$S$500),2),"")</f>
        <v>0.17</v>
      </c>
      <c r="T18" s="164" t="n">
        <f aca="false">IFERROR(ROUND(CORREL('Returns (Calc)'!$N$3:$N$500,'Returns (Calc)'!$T$3:$T$500),2),"")</f>
        <v>0.32</v>
      </c>
      <c r="U18" s="164" t="n">
        <f aca="false">IFERROR(ROUND(CORREL('Returns (Calc)'!$N$3:$N$500,'Returns (Calc)'!$U$3:$U$500),2),"")</f>
        <v>0.35</v>
      </c>
      <c r="V18" s="164" t="n">
        <f aca="false">IFERROR(ROUND(CORREL('Returns (Calc)'!$N$3:$N$500,'Returns (Calc)'!$V$3:$V$500),2),"")</f>
        <v>0.26</v>
      </c>
      <c r="W18" s="164" t="n">
        <f aca="false">IFERROR(ROUND(CORREL('Returns (Calc)'!$N$3:$N$500,'Returns (Calc)'!$AP$3:$AP$500),2),"")</f>
        <v>0.28</v>
      </c>
      <c r="X18" s="164" t="n">
        <f aca="false">IFERROR(ROUND(CORREL('Returns (Calc)'!$N$3:$N$500,'Returns (Calc)'!$AQ$3:$AQ$500),2),"")</f>
        <v>-0.16</v>
      </c>
      <c r="Y18" s="164" t="n">
        <f aca="false">IFERROR(ROUND(CORREL('Returns (Calc)'!$N$3:$N$500,'Returns (Calc)'!$AR$3:$AR$500),2),"")</f>
        <v>0.34</v>
      </c>
      <c r="Z18" s="164" t="n">
        <f aca="false">IFERROR(ROUND(CORREL('Returns (Calc)'!$N$3:$N$500,'Returns (Calc)'!$AS$3:$AS$500),2),"")</f>
        <v>0.08</v>
      </c>
      <c r="AA18" s="164" t="n">
        <f aca="false">IFERROR(ROUND(CORREL('Returns (Calc)'!$N$3:$N$500,'Returns (Calc)'!$AT$3:$AT$500),2),"")</f>
        <v>0.08</v>
      </c>
      <c r="AB18" s="164" t="n">
        <f aca="false">IFERROR(ROUND(CORREL('Returns (Calc)'!$N$3:$N$500,'Returns (Calc)'!$AU$3:$AU$500),2),"")</f>
        <v>0.27</v>
      </c>
      <c r="AG18" s="165" t="n">
        <f aca="false">COUNTIF(B18:AB18,"&gt;0.7")-1</f>
        <v>0</v>
      </c>
    </row>
    <row r="19" customFormat="false" ht="15" hidden="false" customHeight="true" outlineLevel="0" collapsed="false">
      <c r="A19" s="163" t="str">
        <f aca="false">'Returns (Calc)'!O2</f>
        <v>AVUV</v>
      </c>
      <c r="B19" s="164" t="n">
        <f aca="false">IFERROR(ROUND(CORREL('Returns (Calc)'!$O$3:$O$500,'Returns (Calc)'!$B$3:$B$500),2),"")</f>
        <v>0.16</v>
      </c>
      <c r="C19" s="164" t="n">
        <f aca="false">IFERROR(ROUND(CORREL('Returns (Calc)'!$O$3:$O$500,'Returns (Calc)'!$C$3:$C$500),2),"")</f>
        <v>0.35</v>
      </c>
      <c r="D19" s="164" t="n">
        <f aca="false">IFERROR(ROUND(CORREL('Returns (Calc)'!$O$3:$O$500,'Returns (Calc)'!$D$3:$D$500),2),"")</f>
        <v>0.38</v>
      </c>
      <c r="E19" s="164" t="n">
        <f aca="false">IFERROR(ROUND(CORREL('Returns (Calc)'!$O$3:$O$500,'Returns (Calc)'!$E$3:$E$500),2),"")</f>
        <v>0.29</v>
      </c>
      <c r="F19" s="164" t="n">
        <f aca="false">IFERROR(ROUND(CORREL('Returns (Calc)'!$O$3:$O$500,'Returns (Calc)'!$F$3:$F$500),2),"")</f>
        <v>0.19</v>
      </c>
      <c r="G19" s="164" t="n">
        <f aca="false">IFERROR(ROUND(CORREL('Returns (Calc)'!$O$3:$O$500,'Returns (Calc)'!$G$3:$G$500),2),"")</f>
        <v>0.43</v>
      </c>
      <c r="H19" s="164" t="n">
        <f aca="false">IFERROR(ROUND(CORREL('Returns (Calc)'!$O$3:$O$500,'Returns (Calc)'!$H$3:$H$500),2),"")</f>
        <v>0.35</v>
      </c>
      <c r="I19" s="164" t="n">
        <f aca="false">IFERROR(ROUND(CORREL('Returns (Calc)'!$O$3:$O$500,'Returns (Calc)'!$I$3:$I$500),2),"")</f>
        <v>0.28</v>
      </c>
      <c r="J19" s="164" t="n">
        <f aca="false">IFERROR(ROUND(CORREL('Returns (Calc)'!$O$3:$O$500,'Returns (Calc)'!$J$3:$J$500),2),"")</f>
        <v>0.62</v>
      </c>
      <c r="K19" s="164" t="n">
        <f aca="false">IFERROR(ROUND(CORREL('Returns (Calc)'!$O$3:$O$500,'Returns (Calc)'!$K$3:$K$500),2),"")</f>
        <v>0.23</v>
      </c>
      <c r="L19" s="164" t="n">
        <f aca="false">IFERROR(ROUND(CORREL('Returns (Calc)'!$O$3:$O$500,'Returns (Calc)'!$L$3:$L$500),2),"")</f>
        <v>0.33</v>
      </c>
      <c r="M19" s="164" t="n">
        <f aca="false">IFERROR(ROUND(CORREL('Returns (Calc)'!$O$3:$O$500,'Returns (Calc)'!$M$3:$M$500),2),"")</f>
        <v>0.35</v>
      </c>
      <c r="N19" s="164" t="n">
        <f aca="false">IFERROR(ROUND(CORREL('Returns (Calc)'!$O$3:$O$500,'Returns (Calc)'!$N$3:$N$500),2),"")</f>
        <v>0.23</v>
      </c>
      <c r="O19" s="164" t="n">
        <v>1</v>
      </c>
      <c r="P19" s="164" t="n">
        <f aca="false">IFERROR(ROUND(CORREL('Returns (Calc)'!$O$3:$O$500,'Returns (Calc)'!$P$3:$P$500),2),"")</f>
        <v>0.86</v>
      </c>
      <c r="Q19" s="164" t="n">
        <f aca="false">IFERROR(ROUND(CORREL('Returns (Calc)'!$O$3:$O$500,'Returns (Calc)'!$Q$3:$Q$500),2),"")</f>
        <v>0.64</v>
      </c>
      <c r="R19" s="164" t="n">
        <f aca="false">IFERROR(ROUND(CORREL('Returns (Calc)'!$O$3:$O$500,'Returns (Calc)'!$R$3:$R$500),2),"")</f>
        <v>0.52</v>
      </c>
      <c r="S19" s="164" t="n">
        <f aca="false">IFERROR(ROUND(CORREL('Returns (Calc)'!$O$3:$O$500,'Returns (Calc)'!$S$3:$S$500),2),"")</f>
        <v>0.5</v>
      </c>
      <c r="T19" s="164" t="n">
        <f aca="false">IFERROR(ROUND(CORREL('Returns (Calc)'!$O$3:$O$500,'Returns (Calc)'!$T$3:$T$500),2),"")</f>
        <v>0.78</v>
      </c>
      <c r="U19" s="164" t="n">
        <f aca="false">IFERROR(ROUND(CORREL('Returns (Calc)'!$O$3:$O$500,'Returns (Calc)'!$U$3:$U$500),2),"")</f>
        <v>0.83</v>
      </c>
      <c r="V19" s="164" t="n">
        <f aca="false">IFERROR(ROUND(CORREL('Returns (Calc)'!$O$3:$O$500,'Returns (Calc)'!$V$3:$V$500),2),"")</f>
        <v>0.36</v>
      </c>
      <c r="W19" s="164" t="n">
        <f aca="false">IFERROR(ROUND(CORREL('Returns (Calc)'!$O$3:$O$500,'Returns (Calc)'!$AP$3:$AP$500),2),"")</f>
        <v>0.87</v>
      </c>
      <c r="X19" s="164" t="n">
        <f aca="false">IFERROR(ROUND(CORREL('Returns (Calc)'!$O$3:$O$500,'Returns (Calc)'!$AQ$3:$AQ$500),2),"")</f>
        <v>0.11</v>
      </c>
      <c r="Y19" s="164" t="n">
        <f aca="false">IFERROR(ROUND(CORREL('Returns (Calc)'!$O$3:$O$500,'Returns (Calc)'!$AR$3:$AR$500),2),"")</f>
        <v>0.73</v>
      </c>
      <c r="Z19" s="164" t="n">
        <f aca="false">IFERROR(ROUND(CORREL('Returns (Calc)'!$O$3:$O$500,'Returns (Calc)'!$AS$3:$AS$500),2),"")</f>
        <v>0.46</v>
      </c>
      <c r="AA19" s="164" t="n">
        <f aca="false">IFERROR(ROUND(CORREL('Returns (Calc)'!$O$3:$O$500,'Returns (Calc)'!$AT$3:$AT$500),2),"")</f>
        <v>0.21</v>
      </c>
      <c r="AB19" s="164" t="n">
        <f aca="false">IFERROR(ROUND(CORREL('Returns (Calc)'!$O$3:$O$500,'Returns (Calc)'!$AU$3:$AU$500),2),"")</f>
        <v>0.22</v>
      </c>
      <c r="AG19" s="165" t="n">
        <f aca="false">COUNTIF(B19:AB19,"&gt;0.7")-1</f>
        <v>5</v>
      </c>
    </row>
    <row r="20" customFormat="false" ht="15" hidden="false" customHeight="true" outlineLevel="0" collapsed="false">
      <c r="A20" s="163" t="str">
        <f aca="false">'Returns (Calc)'!P2</f>
        <v>DVY</v>
      </c>
      <c r="B20" s="164" t="n">
        <f aca="false">IFERROR(ROUND(CORREL('Returns (Calc)'!$P$3:$P$500,'Returns (Calc)'!$B$3:$B$500),2),"")</f>
        <v>0.14</v>
      </c>
      <c r="C20" s="164" t="n">
        <f aca="false">IFERROR(ROUND(CORREL('Returns (Calc)'!$P$3:$P$500,'Returns (Calc)'!$C$3:$C$500),2),"")</f>
        <v>0.24</v>
      </c>
      <c r="D20" s="164" t="n">
        <f aca="false">IFERROR(ROUND(CORREL('Returns (Calc)'!$P$3:$P$500,'Returns (Calc)'!$D$3:$D$500),2),"")</f>
        <v>0.23</v>
      </c>
      <c r="E20" s="164" t="n">
        <f aca="false">IFERROR(ROUND(CORREL('Returns (Calc)'!$P$3:$P$500,'Returns (Calc)'!$E$3:$E$500),2),"")</f>
        <v>0.11</v>
      </c>
      <c r="F20" s="164" t="n">
        <f aca="false">IFERROR(ROUND(CORREL('Returns (Calc)'!$P$3:$P$500,'Returns (Calc)'!$F$3:$F$500),2),"")</f>
        <v>0.1</v>
      </c>
      <c r="G20" s="164" t="n">
        <f aca="false">IFERROR(ROUND(CORREL('Returns (Calc)'!$P$3:$P$500,'Returns (Calc)'!$G$3:$G$500),2),"")</f>
        <v>0.25</v>
      </c>
      <c r="H20" s="164" t="n">
        <f aca="false">IFERROR(ROUND(CORREL('Returns (Calc)'!$P$3:$P$500,'Returns (Calc)'!$H$3:$H$500),2),"")</f>
        <v>0.23</v>
      </c>
      <c r="I20" s="164" t="n">
        <f aca="false">IFERROR(ROUND(CORREL('Returns (Calc)'!$P$3:$P$500,'Returns (Calc)'!$I$3:$I$500),2),"")</f>
        <v>0.14</v>
      </c>
      <c r="J20" s="164" t="n">
        <f aca="false">IFERROR(ROUND(CORREL('Returns (Calc)'!$P$3:$P$500,'Returns (Calc)'!$J$3:$J$500),2),"")</f>
        <v>0.65</v>
      </c>
      <c r="K20" s="164" t="n">
        <f aca="false">IFERROR(ROUND(CORREL('Returns (Calc)'!$P$3:$P$500,'Returns (Calc)'!$K$3:$K$500),2),"")</f>
        <v>0.1</v>
      </c>
      <c r="L20" s="164" t="n">
        <f aca="false">IFERROR(ROUND(CORREL('Returns (Calc)'!$P$3:$P$500,'Returns (Calc)'!$L$3:$L$500),2),"")</f>
        <v>0.16</v>
      </c>
      <c r="M20" s="164" t="n">
        <f aca="false">IFERROR(ROUND(CORREL('Returns (Calc)'!$P$3:$P$500,'Returns (Calc)'!$M$3:$M$500),2),"")</f>
        <v>0.21</v>
      </c>
      <c r="N20" s="164" t="n">
        <f aca="false">IFERROR(ROUND(CORREL('Returns (Calc)'!$P$3:$P$500,'Returns (Calc)'!$N$3:$N$500),2),"")</f>
        <v>0.23</v>
      </c>
      <c r="O20" s="164" t="n">
        <f aca="false">IFERROR(ROUND(CORREL('Returns (Calc)'!$P$3:$P$500,'Returns (Calc)'!$O$3:$O$500),2),"")</f>
        <v>0.86</v>
      </c>
      <c r="P20" s="164" t="n">
        <v>1</v>
      </c>
      <c r="Q20" s="164" t="n">
        <f aca="false">IFERROR(ROUND(CORREL('Returns (Calc)'!$P$3:$P$500,'Returns (Calc)'!$Q$3:$Q$500),2),"")</f>
        <v>0.52</v>
      </c>
      <c r="R20" s="164" t="n">
        <f aca="false">IFERROR(ROUND(CORREL('Returns (Calc)'!$P$3:$P$500,'Returns (Calc)'!$R$3:$R$500),2),"")</f>
        <v>0.38</v>
      </c>
      <c r="S20" s="164" t="n">
        <f aca="false">IFERROR(ROUND(CORREL('Returns (Calc)'!$P$3:$P$500,'Returns (Calc)'!$S$3:$S$500),2),"")</f>
        <v>0.34</v>
      </c>
      <c r="T20" s="164" t="n">
        <f aca="false">IFERROR(ROUND(CORREL('Returns (Calc)'!$P$3:$P$500,'Returns (Calc)'!$T$3:$T$500),2),"")</f>
        <v>0.73</v>
      </c>
      <c r="U20" s="164" t="n">
        <f aca="false">IFERROR(ROUND(CORREL('Returns (Calc)'!$P$3:$P$500,'Returns (Calc)'!$U$3:$U$500),2),"")</f>
        <v>0.89</v>
      </c>
      <c r="V20" s="164" t="n">
        <f aca="false">IFERROR(ROUND(CORREL('Returns (Calc)'!$P$3:$P$500,'Returns (Calc)'!$V$3:$V$500),2),"")</f>
        <v>0.43</v>
      </c>
      <c r="W20" s="164" t="n">
        <f aca="false">IFERROR(ROUND(CORREL('Returns (Calc)'!$P$3:$P$500,'Returns (Calc)'!$AP$3:$AP$500),2),"")</f>
        <v>0.88</v>
      </c>
      <c r="X20" s="164" t="n">
        <f aca="false">IFERROR(ROUND(CORREL('Returns (Calc)'!$P$3:$P$500,'Returns (Calc)'!$AQ$3:$AQ$500),2),"")</f>
        <v>0.45</v>
      </c>
      <c r="Y20" s="164" t="n">
        <f aca="false">IFERROR(ROUND(CORREL('Returns (Calc)'!$P$3:$P$500,'Returns (Calc)'!$AR$3:$AR$500),2),"")</f>
        <v>0.76</v>
      </c>
      <c r="Z20" s="164" t="n">
        <f aca="false">IFERROR(ROUND(CORREL('Returns (Calc)'!$P$3:$P$500,'Returns (Calc)'!$AS$3:$AS$500),2),"")</f>
        <v>0.4</v>
      </c>
      <c r="AA20" s="164" t="n">
        <f aca="false">IFERROR(ROUND(CORREL('Returns (Calc)'!$P$3:$P$500,'Returns (Calc)'!$AT$3:$AT$500),2),"")</f>
        <v>0.18</v>
      </c>
      <c r="AB20" s="164" t="n">
        <f aca="false">IFERROR(ROUND(CORREL('Returns (Calc)'!$P$3:$P$500,'Returns (Calc)'!$AU$3:$AU$500),2),"")</f>
        <v>0.19</v>
      </c>
      <c r="AG20" s="165" t="n">
        <f aca="false">COUNTIF(B20:AB20,"&gt;0.7")-1</f>
        <v>5</v>
      </c>
    </row>
    <row r="21" customFormat="false" ht="15" hidden="false" customHeight="true" outlineLevel="0" collapsed="false">
      <c r="A21" s="163" t="str">
        <f aca="false">'Returns (Calc)'!Q2</f>
        <v>HELO</v>
      </c>
      <c r="B21" s="164" t="n">
        <f aca="false">IFERROR(ROUND(CORREL('Returns (Calc)'!$Q$3:$Q$500,'Returns (Calc)'!$B$3:$B$500),2),"")</f>
        <v>0.44</v>
      </c>
      <c r="C21" s="164" t="n">
        <f aca="false">IFERROR(ROUND(CORREL('Returns (Calc)'!$Q$3:$Q$500,'Returns (Calc)'!$C$3:$C$500),2),"")</f>
        <v>0.65</v>
      </c>
      <c r="D21" s="164" t="n">
        <f aca="false">IFERROR(ROUND(CORREL('Returns (Calc)'!$Q$3:$Q$500,'Returns (Calc)'!$D$3:$D$500),2),"")</f>
        <v>0.51</v>
      </c>
      <c r="E21" s="164" t="n">
        <f aca="false">IFERROR(ROUND(CORREL('Returns (Calc)'!$Q$3:$Q$500,'Returns (Calc)'!$E$3:$E$500),2),"")</f>
        <v>0.67</v>
      </c>
      <c r="F21" s="164" t="n">
        <f aca="false">IFERROR(ROUND(CORREL('Returns (Calc)'!$Q$3:$Q$500,'Returns (Calc)'!$F$3:$F$500),2),"")</f>
        <v>0.47</v>
      </c>
      <c r="G21" s="164" t="n">
        <f aca="false">IFERROR(ROUND(CORREL('Returns (Calc)'!$Q$3:$Q$500,'Returns (Calc)'!$G$3:$G$500),2),"")</f>
        <v>0.52</v>
      </c>
      <c r="H21" s="164" t="n">
        <f aca="false">IFERROR(ROUND(CORREL('Returns (Calc)'!$Q$3:$Q$500,'Returns (Calc)'!$H$3:$H$500),2),"")</f>
        <v>0.51</v>
      </c>
      <c r="I21" s="164" t="n">
        <f aca="false">IFERROR(ROUND(CORREL('Returns (Calc)'!$Q$3:$Q$500,'Returns (Calc)'!$I$3:$I$500),2),"")</f>
        <v>0.7</v>
      </c>
      <c r="J21" s="164" t="n">
        <f aca="false">IFERROR(ROUND(CORREL('Returns (Calc)'!$Q$3:$Q$500,'Returns (Calc)'!$J$3:$J$500),2),"")</f>
        <v>0.48</v>
      </c>
      <c r="K21" s="164" t="n">
        <f aca="false">IFERROR(ROUND(CORREL('Returns (Calc)'!$Q$3:$Q$500,'Returns (Calc)'!$K$3:$K$500),2),"")</f>
        <v>0.48</v>
      </c>
      <c r="L21" s="164" t="n">
        <f aca="false">IFERROR(ROUND(CORREL('Returns (Calc)'!$Q$3:$Q$500,'Returns (Calc)'!$L$3:$L$500),2),"")</f>
        <v>0.63</v>
      </c>
      <c r="M21" s="164" t="n">
        <f aca="false">IFERROR(ROUND(CORREL('Returns (Calc)'!$Q$3:$Q$500,'Returns (Calc)'!$M$3:$M$500),2),"")</f>
        <v>0.57</v>
      </c>
      <c r="N21" s="164" t="n">
        <f aca="false">IFERROR(ROUND(CORREL('Returns (Calc)'!$Q$3:$Q$500,'Returns (Calc)'!$N$3:$N$500),2),"")</f>
        <v>0.27</v>
      </c>
      <c r="O21" s="164" t="n">
        <f aca="false">IFERROR(ROUND(CORREL('Returns (Calc)'!$Q$3:$Q$500,'Returns (Calc)'!$O$3:$O$500),2),"")</f>
        <v>0.64</v>
      </c>
      <c r="P21" s="164" t="n">
        <f aca="false">IFERROR(ROUND(CORREL('Returns (Calc)'!$Q$3:$Q$500,'Returns (Calc)'!$P$3:$P$500),2),"")</f>
        <v>0.52</v>
      </c>
      <c r="Q21" s="164" t="n">
        <v>1</v>
      </c>
      <c r="R21" s="164" t="n">
        <f aca="false">IFERROR(ROUND(CORREL('Returns (Calc)'!$Q$3:$Q$500,'Returns (Calc)'!$R$3:$R$500),2),"")</f>
        <v>0.9</v>
      </c>
      <c r="S21" s="164" t="n">
        <f aca="false">IFERROR(ROUND(CORREL('Returns (Calc)'!$Q$3:$Q$500,'Returns (Calc)'!$S$3:$S$500),2),"")</f>
        <v>0.84</v>
      </c>
      <c r="T21" s="164" t="n">
        <f aca="false">IFERROR(ROUND(CORREL('Returns (Calc)'!$Q$3:$Q$500,'Returns (Calc)'!$T$3:$T$500),2),"")</f>
        <v>0.66</v>
      </c>
      <c r="U21" s="164" t="n">
        <f aca="false">IFERROR(ROUND(CORREL('Returns (Calc)'!$Q$3:$Q$500,'Returns (Calc)'!$U$3:$U$500),2),"")</f>
        <v>0.58</v>
      </c>
      <c r="V21" s="164" t="n">
        <f aca="false">IFERROR(ROUND(CORREL('Returns (Calc)'!$Q$3:$Q$500,'Returns (Calc)'!$V$3:$V$500),2),"")</f>
        <v>0.52</v>
      </c>
      <c r="W21" s="164" t="n">
        <f aca="false">IFERROR(ROUND(CORREL('Returns (Calc)'!$Q$3:$Q$500,'Returns (Calc)'!$AP$3:$AP$500),2),"")</f>
        <v>0.78</v>
      </c>
      <c r="X21" s="164" t="n">
        <f aca="false">IFERROR(ROUND(CORREL('Returns (Calc)'!$Q$3:$Q$500,'Returns (Calc)'!$AQ$3:$AQ$500),2),"")</f>
        <v>-0.43</v>
      </c>
      <c r="Y21" s="164" t="n">
        <f aca="false">IFERROR(ROUND(CORREL('Returns (Calc)'!$Q$3:$Q$500,'Returns (Calc)'!$AR$3:$AR$500),2),"")</f>
        <v>0.83</v>
      </c>
      <c r="Z21" s="164" t="n">
        <f aca="false">IFERROR(ROUND(CORREL('Returns (Calc)'!$Q$3:$Q$500,'Returns (Calc)'!$AS$3:$AS$500),2),"")</f>
        <v>0.53</v>
      </c>
      <c r="AA21" s="164" t="n">
        <f aca="false">IFERROR(ROUND(CORREL('Returns (Calc)'!$Q$3:$Q$500,'Returns (Calc)'!$AT$3:$AT$500),2),"")</f>
        <v>0.39</v>
      </c>
      <c r="AB21" s="164" t="n">
        <f aca="false">IFERROR(ROUND(CORREL('Returns (Calc)'!$Q$3:$Q$500,'Returns (Calc)'!$AU$3:$AU$500),2),"")</f>
        <v>0.34</v>
      </c>
      <c r="AG21" s="165" t="n">
        <f aca="false">COUNTIF(B21:AB21,"&gt;0.7")-1</f>
        <v>4</v>
      </c>
    </row>
    <row r="22" customFormat="false" ht="15" hidden="false" customHeight="true" outlineLevel="0" collapsed="false">
      <c r="A22" s="163" t="str">
        <f aca="false">'Returns (Calc)'!R2</f>
        <v>JEPQ</v>
      </c>
      <c r="B22" s="164" t="n">
        <f aca="false">IFERROR(ROUND(CORREL('Returns (Calc)'!$R$3:$R$500,'Returns (Calc)'!$B$3:$B$500),2),"")</f>
        <v>0.34</v>
      </c>
      <c r="C22" s="164" t="n">
        <f aca="false">IFERROR(ROUND(CORREL('Returns (Calc)'!$R$3:$R$500,'Returns (Calc)'!$C$3:$C$500),2),"")</f>
        <v>0.67</v>
      </c>
      <c r="D22" s="164" t="n">
        <f aca="false">IFERROR(ROUND(CORREL('Returns (Calc)'!$R$3:$R$500,'Returns (Calc)'!$D$3:$D$500),2),"")</f>
        <v>0.61</v>
      </c>
      <c r="E22" s="164" t="n">
        <f aca="false">IFERROR(ROUND(CORREL('Returns (Calc)'!$R$3:$R$500,'Returns (Calc)'!$E$3:$E$500),2),"")</f>
        <v>0.73</v>
      </c>
      <c r="F22" s="164" t="n">
        <f aca="false">IFERROR(ROUND(CORREL('Returns (Calc)'!$R$3:$R$500,'Returns (Calc)'!$F$3:$F$500),2),"")</f>
        <v>0.55</v>
      </c>
      <c r="G22" s="164" t="n">
        <f aca="false">IFERROR(ROUND(CORREL('Returns (Calc)'!$R$3:$R$500,'Returns (Calc)'!$G$3:$G$500),2),"")</f>
        <v>0.62</v>
      </c>
      <c r="H22" s="164" t="n">
        <f aca="false">IFERROR(ROUND(CORREL('Returns (Calc)'!$R$3:$R$500,'Returns (Calc)'!$H$3:$H$500),2),"")</f>
        <v>0.61</v>
      </c>
      <c r="I22" s="164" t="n">
        <f aca="false">IFERROR(ROUND(CORREL('Returns (Calc)'!$R$3:$R$500,'Returns (Calc)'!$I$3:$I$500),2),"")</f>
        <v>0.74</v>
      </c>
      <c r="J22" s="164" t="n">
        <f aca="false">IFERROR(ROUND(CORREL('Returns (Calc)'!$R$3:$R$500,'Returns (Calc)'!$J$3:$J$500),2),"")</f>
        <v>0.36</v>
      </c>
      <c r="K22" s="164" t="n">
        <f aca="false">IFERROR(ROUND(CORREL('Returns (Calc)'!$R$3:$R$500,'Returns (Calc)'!$K$3:$K$500),2),"")</f>
        <v>0.52</v>
      </c>
      <c r="L22" s="164" t="n">
        <f aca="false">IFERROR(ROUND(CORREL('Returns (Calc)'!$R$3:$R$500,'Returns (Calc)'!$L$3:$L$500),2),"")</f>
        <v>0.69</v>
      </c>
      <c r="M22" s="164" t="n">
        <f aca="false">IFERROR(ROUND(CORREL('Returns (Calc)'!$R$3:$R$500,'Returns (Calc)'!$M$3:$M$500),2),"")</f>
        <v>0.63</v>
      </c>
      <c r="N22" s="164" t="n">
        <f aca="false">IFERROR(ROUND(CORREL('Returns (Calc)'!$R$3:$R$500,'Returns (Calc)'!$N$3:$N$500),2),"")</f>
        <v>0.2</v>
      </c>
      <c r="O22" s="164" t="n">
        <f aca="false">IFERROR(ROUND(CORREL('Returns (Calc)'!$R$3:$R$500,'Returns (Calc)'!$O$3:$O$500),2),"")</f>
        <v>0.52</v>
      </c>
      <c r="P22" s="164" t="n">
        <f aca="false">IFERROR(ROUND(CORREL('Returns (Calc)'!$R$3:$R$500,'Returns (Calc)'!$P$3:$P$500),2),"")</f>
        <v>0.38</v>
      </c>
      <c r="Q22" s="164" t="n">
        <f aca="false">IFERROR(ROUND(CORREL('Returns (Calc)'!$R$3:$R$500,'Returns (Calc)'!$Q$3:$Q$500),2),"")</f>
        <v>0.9</v>
      </c>
      <c r="R22" s="164" t="n">
        <v>1</v>
      </c>
      <c r="S22" s="164" t="n">
        <f aca="false">IFERROR(ROUND(CORREL('Returns (Calc)'!$R$3:$R$500,'Returns (Calc)'!$S$3:$S$500),2),"")</f>
        <v>0.89</v>
      </c>
      <c r="T22" s="164" t="n">
        <f aca="false">IFERROR(ROUND(CORREL('Returns (Calc)'!$R$3:$R$500,'Returns (Calc)'!$T$3:$T$500),2),"")</f>
        <v>0.55</v>
      </c>
      <c r="U22" s="164" t="n">
        <f aca="false">IFERROR(ROUND(CORREL('Returns (Calc)'!$R$3:$R$500,'Returns (Calc)'!$U$3:$U$500),2),"")</f>
        <v>0.41</v>
      </c>
      <c r="V22" s="164" t="n">
        <f aca="false">IFERROR(ROUND(CORREL('Returns (Calc)'!$R$3:$R$500,'Returns (Calc)'!$V$3:$V$500),2),"")</f>
        <v>0.43</v>
      </c>
      <c r="W22" s="164" t="n">
        <f aca="false">IFERROR(ROUND(CORREL('Returns (Calc)'!$R$3:$R$500,'Returns (Calc)'!$AP$3:$AP$500),2),"")</f>
        <v>0.66</v>
      </c>
      <c r="X22" s="164" t="n">
        <f aca="false">IFERROR(ROUND(CORREL('Returns (Calc)'!$R$3:$R$500,'Returns (Calc)'!$AQ$3:$AQ$500),2),"")</f>
        <v>-0.49</v>
      </c>
      <c r="Y22" s="164" t="n">
        <f aca="false">IFERROR(ROUND(CORREL('Returns (Calc)'!$R$3:$R$500,'Returns (Calc)'!$AR$3:$AR$500),2),"")</f>
        <v>0.76</v>
      </c>
      <c r="Z22" s="164" t="n">
        <f aca="false">IFERROR(ROUND(CORREL('Returns (Calc)'!$R$3:$R$500,'Returns (Calc)'!$AS$3:$AS$500),2),"")</f>
        <v>0.52</v>
      </c>
      <c r="AA22" s="164" t="n">
        <f aca="false">IFERROR(ROUND(CORREL('Returns (Calc)'!$R$3:$R$500,'Returns (Calc)'!$AT$3:$AT$500),2),"")</f>
        <v>0.43</v>
      </c>
      <c r="AB22" s="164" t="n">
        <f aca="false">IFERROR(ROUND(CORREL('Returns (Calc)'!$R$3:$R$500,'Returns (Calc)'!$AU$3:$AU$500),2),"")</f>
        <v>0.29</v>
      </c>
      <c r="AG22" s="165" t="n">
        <f aca="false">COUNTIF(B22:AB22,"&gt;0.7")-1</f>
        <v>5</v>
      </c>
    </row>
    <row r="23" customFormat="false" ht="15" hidden="false" customHeight="true" outlineLevel="0" collapsed="false">
      <c r="A23" s="163" t="str">
        <f aca="false">'Returns (Calc)'!S2</f>
        <v>SPMO</v>
      </c>
      <c r="B23" s="164" t="n">
        <f aca="false">IFERROR(ROUND(CORREL('Returns (Calc)'!$S$3:$S$500,'Returns (Calc)'!$B$3:$B$500),2),"")</f>
        <v>0.23</v>
      </c>
      <c r="C23" s="164" t="n">
        <f aca="false">IFERROR(ROUND(CORREL('Returns (Calc)'!$S$3:$S$500,'Returns (Calc)'!$C$3:$C$500),2),"")</f>
        <v>0.64</v>
      </c>
      <c r="D23" s="164" t="n">
        <f aca="false">IFERROR(ROUND(CORREL('Returns (Calc)'!$S$3:$S$500,'Returns (Calc)'!$D$3:$D$500),2),"")</f>
        <v>0.61</v>
      </c>
      <c r="E23" s="164" t="n">
        <f aca="false">IFERROR(ROUND(CORREL('Returns (Calc)'!$S$3:$S$500,'Returns (Calc)'!$E$3:$E$500),2),"")</f>
        <v>0.73</v>
      </c>
      <c r="F23" s="164" t="n">
        <f aca="false">IFERROR(ROUND(CORREL('Returns (Calc)'!$S$3:$S$500,'Returns (Calc)'!$F$3:$F$500),2),"")</f>
        <v>0.52</v>
      </c>
      <c r="G23" s="164" t="n">
        <f aca="false">IFERROR(ROUND(CORREL('Returns (Calc)'!$S$3:$S$500,'Returns (Calc)'!$G$3:$G$500),2),"")</f>
        <v>0.67</v>
      </c>
      <c r="H23" s="164" t="n">
        <f aca="false">IFERROR(ROUND(CORREL('Returns (Calc)'!$S$3:$S$500,'Returns (Calc)'!$H$3:$H$500),2),"")</f>
        <v>0.66</v>
      </c>
      <c r="I23" s="164" t="n">
        <f aca="false">IFERROR(ROUND(CORREL('Returns (Calc)'!$S$3:$S$500,'Returns (Calc)'!$I$3:$I$500),2),"")</f>
        <v>0.75</v>
      </c>
      <c r="J23" s="164" t="n">
        <f aca="false">IFERROR(ROUND(CORREL('Returns (Calc)'!$S$3:$S$500,'Returns (Calc)'!$J$3:$J$500),2),"")</f>
        <v>0.34</v>
      </c>
      <c r="K23" s="164" t="n">
        <f aca="false">IFERROR(ROUND(CORREL('Returns (Calc)'!$S$3:$S$500,'Returns (Calc)'!$K$3:$K$500),2),"")</f>
        <v>0.44</v>
      </c>
      <c r="L23" s="164" t="n">
        <f aca="false">IFERROR(ROUND(CORREL('Returns (Calc)'!$S$3:$S$500,'Returns (Calc)'!$L$3:$L$500),2),"")</f>
        <v>0.7</v>
      </c>
      <c r="M23" s="164" t="n">
        <f aca="false">IFERROR(ROUND(CORREL('Returns (Calc)'!$S$3:$S$500,'Returns (Calc)'!$M$3:$M$500),2),"")</f>
        <v>0.66</v>
      </c>
      <c r="N23" s="164" t="n">
        <f aca="false">IFERROR(ROUND(CORREL('Returns (Calc)'!$S$3:$S$500,'Returns (Calc)'!$N$3:$N$500),2),"")</f>
        <v>0.17</v>
      </c>
      <c r="O23" s="164" t="n">
        <f aca="false">IFERROR(ROUND(CORREL('Returns (Calc)'!$S$3:$S$500,'Returns (Calc)'!$O$3:$O$500),2),"")</f>
        <v>0.5</v>
      </c>
      <c r="P23" s="164" t="n">
        <f aca="false">IFERROR(ROUND(CORREL('Returns (Calc)'!$S$3:$S$500,'Returns (Calc)'!$P$3:$P$500),2),"")</f>
        <v>0.34</v>
      </c>
      <c r="Q23" s="164" t="n">
        <f aca="false">IFERROR(ROUND(CORREL('Returns (Calc)'!$S$3:$S$500,'Returns (Calc)'!$Q$3:$Q$500),2),"")</f>
        <v>0.84</v>
      </c>
      <c r="R23" s="164" t="n">
        <f aca="false">IFERROR(ROUND(CORREL('Returns (Calc)'!$S$3:$S$500,'Returns (Calc)'!$R$3:$R$500),2),"")</f>
        <v>0.89</v>
      </c>
      <c r="S23" s="164" t="n">
        <v>1</v>
      </c>
      <c r="T23" s="164" t="n">
        <f aca="false">IFERROR(ROUND(CORREL('Returns (Calc)'!$S$3:$S$500,'Returns (Calc)'!$T$3:$T$500),2),"")</f>
        <v>0.51</v>
      </c>
      <c r="U23" s="164" t="n">
        <f aca="false">IFERROR(ROUND(CORREL('Returns (Calc)'!$S$3:$S$500,'Returns (Calc)'!$U$3:$U$500),2),"")</f>
        <v>0.36</v>
      </c>
      <c r="V23" s="164" t="n">
        <f aca="false">IFERROR(ROUND(CORREL('Returns (Calc)'!$S$3:$S$500,'Returns (Calc)'!$V$3:$V$500),2),"")</f>
        <v>0.37</v>
      </c>
      <c r="W23" s="164" t="n">
        <f aca="false">IFERROR(ROUND(CORREL('Returns (Calc)'!$S$3:$S$500,'Returns (Calc)'!$AP$3:$AP$500),2),"")</f>
        <v>0.64</v>
      </c>
      <c r="X23" s="164" t="n">
        <f aca="false">IFERROR(ROUND(CORREL('Returns (Calc)'!$S$3:$S$500,'Returns (Calc)'!$AQ$3:$AQ$500),2),"")</f>
        <v>-0.39</v>
      </c>
      <c r="Y23" s="164" t="n">
        <f aca="false">IFERROR(ROUND(CORREL('Returns (Calc)'!$S$3:$S$500,'Returns (Calc)'!$AR$3:$AR$500),2),"")</f>
        <v>0.67</v>
      </c>
      <c r="Z23" s="164" t="n">
        <f aca="false">IFERROR(ROUND(CORREL('Returns (Calc)'!$S$3:$S$500,'Returns (Calc)'!$AS$3:$AS$500),2),"")</f>
        <v>0.61</v>
      </c>
      <c r="AA23" s="164" t="n">
        <f aca="false">IFERROR(ROUND(CORREL('Returns (Calc)'!$S$3:$S$500,'Returns (Calc)'!$AT$3:$AT$500),2),"")</f>
        <v>0.41</v>
      </c>
      <c r="AB23" s="164" t="n">
        <f aca="false">IFERROR(ROUND(CORREL('Returns (Calc)'!$S$3:$S$500,'Returns (Calc)'!$AU$3:$AU$500),2),"")</f>
        <v>0.2</v>
      </c>
      <c r="AG23" s="165" t="n">
        <f aca="false">COUNTIF(B23:AB23,"&gt;0.7")-1</f>
        <v>4</v>
      </c>
    </row>
    <row r="24" customFormat="false" ht="15" hidden="false" customHeight="true" outlineLevel="0" collapsed="false">
      <c r="A24" s="163" t="str">
        <f aca="false">'Returns (Calc)'!T2</f>
        <v>VFLO</v>
      </c>
      <c r="B24" s="164" t="n">
        <f aca="false">IFERROR(ROUND(CORREL('Returns (Calc)'!$T$3:$T$500,'Returns (Calc)'!$B$3:$B$500),2),"")</f>
        <v>0.42</v>
      </c>
      <c r="C24" s="164" t="n">
        <f aca="false">IFERROR(ROUND(CORREL('Returns (Calc)'!$T$3:$T$500,'Returns (Calc)'!$C$3:$C$500),2),"")</f>
        <v>0.33</v>
      </c>
      <c r="D24" s="164" t="n">
        <f aca="false">IFERROR(ROUND(CORREL('Returns (Calc)'!$T$3:$T$500,'Returns (Calc)'!$D$3:$D$500),2),"")</f>
        <v>0.3</v>
      </c>
      <c r="E24" s="164" t="n">
        <f aca="false">IFERROR(ROUND(CORREL('Returns (Calc)'!$T$3:$T$500,'Returns (Calc)'!$E$3:$E$500),2),"")</f>
        <v>0.27</v>
      </c>
      <c r="F24" s="164" t="n">
        <f aca="false">IFERROR(ROUND(CORREL('Returns (Calc)'!$T$3:$T$500,'Returns (Calc)'!$F$3:$F$500),2),"")</f>
        <v>0.29</v>
      </c>
      <c r="G24" s="164" t="n">
        <f aca="false">IFERROR(ROUND(CORREL('Returns (Calc)'!$T$3:$T$500,'Returns (Calc)'!$G$3:$G$500),2),"")</f>
        <v>0.31</v>
      </c>
      <c r="H24" s="164" t="n">
        <f aca="false">IFERROR(ROUND(CORREL('Returns (Calc)'!$T$3:$T$500,'Returns (Calc)'!$H$3:$H$500),2),"")</f>
        <v>0.42</v>
      </c>
      <c r="I24" s="164" t="n">
        <f aca="false">IFERROR(ROUND(CORREL('Returns (Calc)'!$T$3:$T$500,'Returns (Calc)'!$I$3:$I$500),2),"")</f>
        <v>0.3</v>
      </c>
      <c r="J24" s="164" t="n">
        <f aca="false">IFERROR(ROUND(CORREL('Returns (Calc)'!$T$3:$T$500,'Returns (Calc)'!$J$3:$J$500),2),"")</f>
        <v>0.52</v>
      </c>
      <c r="K24" s="164" t="n">
        <f aca="false">IFERROR(ROUND(CORREL('Returns (Calc)'!$T$3:$T$500,'Returns (Calc)'!$K$3:$K$500),2),"")</f>
        <v>0.34</v>
      </c>
      <c r="L24" s="164" t="n">
        <f aca="false">IFERROR(ROUND(CORREL('Returns (Calc)'!$T$3:$T$500,'Returns (Calc)'!$L$3:$L$500),2),"")</f>
        <v>0.28</v>
      </c>
      <c r="M24" s="164" t="n">
        <f aca="false">IFERROR(ROUND(CORREL('Returns (Calc)'!$T$3:$T$500,'Returns (Calc)'!$M$3:$M$500),2),"")</f>
        <v>0.3</v>
      </c>
      <c r="N24" s="164" t="n">
        <f aca="false">IFERROR(ROUND(CORREL('Returns (Calc)'!$T$3:$T$500,'Returns (Calc)'!$N$3:$N$500),2),"")</f>
        <v>0.32</v>
      </c>
      <c r="O24" s="164" t="n">
        <f aca="false">IFERROR(ROUND(CORREL('Returns (Calc)'!$T$3:$T$500,'Returns (Calc)'!$O$3:$O$500),2),"")</f>
        <v>0.78</v>
      </c>
      <c r="P24" s="164" t="n">
        <f aca="false">IFERROR(ROUND(CORREL('Returns (Calc)'!$T$3:$T$500,'Returns (Calc)'!$P$3:$P$500),2),"")</f>
        <v>0.73</v>
      </c>
      <c r="Q24" s="164" t="n">
        <f aca="false">IFERROR(ROUND(CORREL('Returns (Calc)'!$T$3:$T$500,'Returns (Calc)'!$Q$3:$Q$500),2),"")</f>
        <v>0.66</v>
      </c>
      <c r="R24" s="164" t="n">
        <f aca="false">IFERROR(ROUND(CORREL('Returns (Calc)'!$T$3:$T$500,'Returns (Calc)'!$R$3:$R$500),2),"")</f>
        <v>0.55</v>
      </c>
      <c r="S24" s="164" t="n">
        <f aca="false">IFERROR(ROUND(CORREL('Returns (Calc)'!$T$3:$T$500,'Returns (Calc)'!$S$3:$S$500),2),"")</f>
        <v>0.51</v>
      </c>
      <c r="T24" s="164" t="n">
        <v>1</v>
      </c>
      <c r="U24" s="164" t="n">
        <f aca="false">IFERROR(ROUND(CORREL('Returns (Calc)'!$T$3:$T$500,'Returns (Calc)'!$U$3:$U$500),2),"")</f>
        <v>0.78</v>
      </c>
      <c r="V24" s="164" t="n">
        <f aca="false">IFERROR(ROUND(CORREL('Returns (Calc)'!$T$3:$T$500,'Returns (Calc)'!$V$3:$V$500),2),"")</f>
        <v>0.45</v>
      </c>
      <c r="W24" s="164" t="n">
        <f aca="false">IFERROR(ROUND(CORREL('Returns (Calc)'!$T$3:$T$500,'Returns (Calc)'!$AP$3:$AP$500),2),"")</f>
        <v>0.79</v>
      </c>
      <c r="X24" s="164" t="n">
        <f aca="false">IFERROR(ROUND(CORREL('Returns (Calc)'!$T$3:$T$500,'Returns (Calc)'!$AQ$3:$AQ$500),2),"")</f>
        <v>-0.27</v>
      </c>
      <c r="Y24" s="164" t="n">
        <f aca="false">IFERROR(ROUND(CORREL('Returns (Calc)'!$T$3:$T$500,'Returns (Calc)'!$AR$3:$AR$500),2),"")</f>
        <v>0.72</v>
      </c>
      <c r="Z24" s="164" t="n">
        <f aca="false">IFERROR(ROUND(CORREL('Returns (Calc)'!$T$3:$T$500,'Returns (Calc)'!$AS$3:$AS$500),2),"")</f>
        <v>0.44</v>
      </c>
      <c r="AA24" s="164" t="n">
        <f aca="false">IFERROR(ROUND(CORREL('Returns (Calc)'!$T$3:$T$500,'Returns (Calc)'!$AT$3:$AT$500),2),"")</f>
        <v>0.25</v>
      </c>
      <c r="AB24" s="164" t="n">
        <f aca="false">IFERROR(ROUND(CORREL('Returns (Calc)'!$T$3:$T$500,'Returns (Calc)'!$AU$3:$AU$500),2),"")</f>
        <v>0.43</v>
      </c>
      <c r="AG24" s="165" t="n">
        <f aca="false">COUNTIF(B24:AB24,"&gt;0.7")-1</f>
        <v>5</v>
      </c>
    </row>
    <row r="25" customFormat="false" ht="15" hidden="false" customHeight="true" outlineLevel="0" collapsed="false">
      <c r="A25" s="163" t="str">
        <f aca="false">'Returns (Calc)'!U2</f>
        <v>SCHD</v>
      </c>
      <c r="B25" s="164" t="n">
        <f aca="false">IFERROR(ROUND(CORREL('Returns (Calc)'!$U$3:$U$500,'Returns (Calc)'!$B$3:$B$500),2),"")</f>
        <v>0.22</v>
      </c>
      <c r="C25" s="164" t="n">
        <f aca="false">IFERROR(ROUND(CORREL('Returns (Calc)'!$U$3:$U$500,'Returns (Calc)'!$C$3:$C$500),2),"")</f>
        <v>0.27</v>
      </c>
      <c r="D25" s="164" t="n">
        <f aca="false">IFERROR(ROUND(CORREL('Returns (Calc)'!$U$3:$U$500,'Returns (Calc)'!$D$3:$D$500),2),"")</f>
        <v>0.26</v>
      </c>
      <c r="E25" s="164" t="n">
        <f aca="false">IFERROR(ROUND(CORREL('Returns (Calc)'!$U$3:$U$500,'Returns (Calc)'!$E$3:$E$500),2),"")</f>
        <v>0.16</v>
      </c>
      <c r="F25" s="164" t="n">
        <f aca="false">IFERROR(ROUND(CORREL('Returns (Calc)'!$U$3:$U$500,'Returns (Calc)'!$F$3:$F$500),2),"")</f>
        <v>0.11</v>
      </c>
      <c r="G25" s="164" t="n">
        <f aca="false">IFERROR(ROUND(CORREL('Returns (Calc)'!$U$3:$U$500,'Returns (Calc)'!$G$3:$G$500),2),"")</f>
        <v>0.28</v>
      </c>
      <c r="H25" s="164" t="n">
        <f aca="false">IFERROR(ROUND(CORREL('Returns (Calc)'!$U$3:$U$500,'Returns (Calc)'!$H$3:$H$500),2),"")</f>
        <v>0.26</v>
      </c>
      <c r="I25" s="164" t="n">
        <f aca="false">IFERROR(ROUND(CORREL('Returns (Calc)'!$U$3:$U$500,'Returns (Calc)'!$I$3:$I$500),2),"")</f>
        <v>0.18</v>
      </c>
      <c r="J25" s="164" t="n">
        <f aca="false">IFERROR(ROUND(CORREL('Returns (Calc)'!$U$3:$U$500,'Returns (Calc)'!$J$3:$J$500),2),"")</f>
        <v>0.66</v>
      </c>
      <c r="K25" s="164" t="n">
        <f aca="false">IFERROR(ROUND(CORREL('Returns (Calc)'!$U$3:$U$500,'Returns (Calc)'!$K$3:$K$500),2),"")</f>
        <v>0.14</v>
      </c>
      <c r="L25" s="164" t="n">
        <f aca="false">IFERROR(ROUND(CORREL('Returns (Calc)'!$U$3:$U$500,'Returns (Calc)'!$L$3:$L$500),2),"")</f>
        <v>0.21</v>
      </c>
      <c r="M25" s="164" t="n">
        <f aca="false">IFERROR(ROUND(CORREL('Returns (Calc)'!$U$3:$U$500,'Returns (Calc)'!$M$3:$M$500),2),"")</f>
        <v>0.21</v>
      </c>
      <c r="N25" s="164" t="n">
        <f aca="false">IFERROR(ROUND(CORREL('Returns (Calc)'!$U$3:$U$500,'Returns (Calc)'!$N$3:$N$500),2),"")</f>
        <v>0.35</v>
      </c>
      <c r="O25" s="164" t="n">
        <f aca="false">IFERROR(ROUND(CORREL('Returns (Calc)'!$U$3:$U$500,'Returns (Calc)'!$O$3:$O$500),2),"")</f>
        <v>0.83</v>
      </c>
      <c r="P25" s="164" t="n">
        <f aca="false">IFERROR(ROUND(CORREL('Returns (Calc)'!$U$3:$U$500,'Returns (Calc)'!$P$3:$P$500),2),"")</f>
        <v>0.89</v>
      </c>
      <c r="Q25" s="164" t="n">
        <f aca="false">IFERROR(ROUND(CORREL('Returns (Calc)'!$U$3:$U$500,'Returns (Calc)'!$Q$3:$Q$500),2),"")</f>
        <v>0.58</v>
      </c>
      <c r="R25" s="164" t="n">
        <f aca="false">IFERROR(ROUND(CORREL('Returns (Calc)'!$U$3:$U$500,'Returns (Calc)'!$R$3:$R$500),2),"")</f>
        <v>0.41</v>
      </c>
      <c r="S25" s="164" t="n">
        <f aca="false">IFERROR(ROUND(CORREL('Returns (Calc)'!$U$3:$U$500,'Returns (Calc)'!$S$3:$S$500),2),"")</f>
        <v>0.36</v>
      </c>
      <c r="T25" s="164" t="n">
        <f aca="false">IFERROR(ROUND(CORREL('Returns (Calc)'!$U$3:$U$500,'Returns (Calc)'!$T$3:$T$500),2),"")</f>
        <v>0.78</v>
      </c>
      <c r="U25" s="164" t="n">
        <v>1</v>
      </c>
      <c r="V25" s="164" t="n">
        <f aca="false">IFERROR(ROUND(CORREL('Returns (Calc)'!$U$3:$U$500,'Returns (Calc)'!$V$3:$V$500),2),"")</f>
        <v>0.44</v>
      </c>
      <c r="W25" s="164" t="n">
        <f aca="false">IFERROR(ROUND(CORREL('Returns (Calc)'!$U$3:$U$500,'Returns (Calc)'!$AP$3:$AP$500),2),"")</f>
        <v>0.88</v>
      </c>
      <c r="X25" s="164" t="n">
        <f aca="false">IFERROR(ROUND(CORREL('Returns (Calc)'!$U$3:$U$500,'Returns (Calc)'!$AQ$3:$AQ$500),2),"")</f>
        <v>0.31</v>
      </c>
      <c r="Y25" s="164" t="n">
        <f aca="false">IFERROR(ROUND(CORREL('Returns (Calc)'!$U$3:$U$500,'Returns (Calc)'!$AR$3:$AR$500),2),"")</f>
        <v>0.78</v>
      </c>
      <c r="Z25" s="164" t="n">
        <f aca="false">IFERROR(ROUND(CORREL('Returns (Calc)'!$U$3:$U$500,'Returns (Calc)'!$AS$3:$AS$500),2),"")</f>
        <v>0.34</v>
      </c>
      <c r="AA25" s="164" t="n">
        <f aca="false">IFERROR(ROUND(CORREL('Returns (Calc)'!$U$3:$U$500,'Returns (Calc)'!$AT$3:$AT$500),2),"")</f>
        <v>0.16</v>
      </c>
      <c r="AB25" s="164" t="n">
        <f aca="false">IFERROR(ROUND(CORREL('Returns (Calc)'!$U$3:$U$500,'Returns (Calc)'!$AU$3:$AU$500),2),"")</f>
        <v>0.26</v>
      </c>
      <c r="AG25" s="165" t="n">
        <f aca="false">COUNTIF(B25:AB25,"&gt;0.7")-1</f>
        <v>5</v>
      </c>
    </row>
    <row r="26" customFormat="false" ht="15" hidden="false" customHeight="true" outlineLevel="0" collapsed="false">
      <c r="A26" s="163" t="str">
        <f aca="false">'Returns (Calc)'!V2</f>
        <v>V</v>
      </c>
      <c r="B26" s="164" t="n">
        <f aca="false">IFERROR(ROUND(CORREL('Returns (Calc)'!$V$3:$V$500,'Returns (Calc)'!$B$3:$B$500),2),"")</f>
        <v>0.4</v>
      </c>
      <c r="C26" s="164" t="n">
        <f aca="false">IFERROR(ROUND(CORREL('Returns (Calc)'!$V$3:$V$500,'Returns (Calc)'!$C$3:$C$500),2),"")</f>
        <v>0.25</v>
      </c>
      <c r="D26" s="164" t="n">
        <f aca="false">IFERROR(ROUND(CORREL('Returns (Calc)'!$V$3:$V$500,'Returns (Calc)'!$D$3:$D$500),2),"")</f>
        <v>0.04</v>
      </c>
      <c r="E26" s="164" t="n">
        <f aca="false">IFERROR(ROUND(CORREL('Returns (Calc)'!$V$3:$V$500,'Returns (Calc)'!$E$3:$E$500),2),"")</f>
        <v>0.2</v>
      </c>
      <c r="F26" s="164" t="n">
        <f aca="false">IFERROR(ROUND(CORREL('Returns (Calc)'!$V$3:$V$500,'Returns (Calc)'!$F$3:$F$500),2),"")</f>
        <v>0.27</v>
      </c>
      <c r="G26" s="164" t="n">
        <f aca="false">IFERROR(ROUND(CORREL('Returns (Calc)'!$V$3:$V$500,'Returns (Calc)'!$G$3:$G$500),2),"")</f>
        <v>0.02</v>
      </c>
      <c r="H26" s="164" t="n">
        <f aca="false">IFERROR(ROUND(CORREL('Returns (Calc)'!$V$3:$V$500,'Returns (Calc)'!$H$3:$H$500),2),"")</f>
        <v>0.02</v>
      </c>
      <c r="I26" s="164" t="n">
        <f aca="false">IFERROR(ROUND(CORREL('Returns (Calc)'!$V$3:$V$500,'Returns (Calc)'!$I$3:$I$500),2),"")</f>
        <v>0.2</v>
      </c>
      <c r="J26" s="164" t="n">
        <f aca="false">IFERROR(ROUND(CORREL('Returns (Calc)'!$V$3:$V$500,'Returns (Calc)'!$J$3:$J$500),2),"")</f>
        <v>0.37</v>
      </c>
      <c r="K26" s="164" t="n">
        <f aca="false">IFERROR(ROUND(CORREL('Returns (Calc)'!$V$3:$V$500,'Returns (Calc)'!$K$3:$K$500),2),"")</f>
        <v>0.24</v>
      </c>
      <c r="L26" s="164" t="n">
        <f aca="false">IFERROR(ROUND(CORREL('Returns (Calc)'!$V$3:$V$500,'Returns (Calc)'!$L$3:$L$500),2),"")</f>
        <v>0.13</v>
      </c>
      <c r="M26" s="164" t="n">
        <f aca="false">IFERROR(ROUND(CORREL('Returns (Calc)'!$V$3:$V$500,'Returns (Calc)'!$M$3:$M$500),2),"")</f>
        <v>0.14</v>
      </c>
      <c r="N26" s="164" t="n">
        <f aca="false">IFERROR(ROUND(CORREL('Returns (Calc)'!$V$3:$V$500,'Returns (Calc)'!$N$3:$N$500),2),"")</f>
        <v>0.26</v>
      </c>
      <c r="O26" s="164" t="n">
        <f aca="false">IFERROR(ROUND(CORREL('Returns (Calc)'!$V$3:$V$500,'Returns (Calc)'!$O$3:$O$500),2),"")</f>
        <v>0.36</v>
      </c>
      <c r="P26" s="164" t="n">
        <f aca="false">IFERROR(ROUND(CORREL('Returns (Calc)'!$V$3:$V$500,'Returns (Calc)'!$P$3:$P$500),2),"")</f>
        <v>0.43</v>
      </c>
      <c r="Q26" s="164" t="n">
        <f aca="false">IFERROR(ROUND(CORREL('Returns (Calc)'!$V$3:$V$500,'Returns (Calc)'!$Q$3:$Q$500),2),"")</f>
        <v>0.52</v>
      </c>
      <c r="R26" s="164" t="n">
        <f aca="false">IFERROR(ROUND(CORREL('Returns (Calc)'!$V$3:$V$500,'Returns (Calc)'!$R$3:$R$500),2),"")</f>
        <v>0.43</v>
      </c>
      <c r="S26" s="164" t="n">
        <f aca="false">IFERROR(ROUND(CORREL('Returns (Calc)'!$V$3:$V$500,'Returns (Calc)'!$S$3:$S$500),2),"")</f>
        <v>0.37</v>
      </c>
      <c r="T26" s="164" t="n">
        <f aca="false">IFERROR(ROUND(CORREL('Returns (Calc)'!$V$3:$V$500,'Returns (Calc)'!$T$3:$T$500),2),"")</f>
        <v>0.45</v>
      </c>
      <c r="U26" s="164" t="n">
        <f aca="false">IFERROR(ROUND(CORREL('Returns (Calc)'!$V$3:$V$500,'Returns (Calc)'!$U$3:$U$500),2),"")</f>
        <v>0.44</v>
      </c>
      <c r="V26" s="164" t="n">
        <v>1</v>
      </c>
      <c r="W26" s="164" t="n">
        <f aca="false">IFERROR(ROUND(CORREL('Returns (Calc)'!$V$3:$V$500,'Returns (Calc)'!$AP$3:$AP$500),2),"")</f>
        <v>0.51</v>
      </c>
      <c r="X26" s="164" t="n">
        <f aca="false">IFERROR(ROUND(CORREL('Returns (Calc)'!$V$3:$V$500,'Returns (Calc)'!$AQ$3:$AQ$500),2),"")</f>
        <v>-0.06</v>
      </c>
      <c r="Y26" s="164" t="n">
        <f aca="false">IFERROR(ROUND(CORREL('Returns (Calc)'!$V$3:$V$500,'Returns (Calc)'!$AR$3:$AR$500),2),"")</f>
        <v>0.63</v>
      </c>
      <c r="Z26" s="164" t="n">
        <f aca="false">IFERROR(ROUND(CORREL('Returns (Calc)'!$V$3:$V$500,'Returns (Calc)'!$AS$3:$AS$500),2),"")</f>
        <v>0.41</v>
      </c>
      <c r="AA26" s="164" t="n">
        <f aca="false">IFERROR(ROUND(CORREL('Returns (Calc)'!$V$3:$V$500,'Returns (Calc)'!$AT$3:$AT$500),2),"")</f>
        <v>0.29</v>
      </c>
      <c r="AB26" s="164" t="n">
        <f aca="false">IFERROR(ROUND(CORREL('Returns (Calc)'!$V$3:$V$500,'Returns (Calc)'!$AU$3:$AU$500),2),"")</f>
        <v>0.35</v>
      </c>
      <c r="AG26" s="165" t="n">
        <f aca="false">COUNTIF(B26:AB26,"&gt;0.7")-1</f>
        <v>0</v>
      </c>
    </row>
    <row r="27" customFormat="false" ht="15" hidden="false" customHeight="true" outlineLevel="0" collapsed="false">
      <c r="A27" s="163" t="str">
        <f aca="false">'Returns (Calc)'!AP2</f>
        <v>VYM</v>
      </c>
      <c r="B27" s="164" t="n">
        <f aca="false">IFERROR(ROUND(CORREL('Returns (Calc)'!$AP$3:$AP$500,'Returns (Calc)'!$B$3:$B$500),2),"")</f>
        <v>0.22</v>
      </c>
      <c r="C27" s="164" t="n">
        <f aca="false">IFERROR(ROUND(CORREL('Returns (Calc)'!$AP$3:$AP$500,'Returns (Calc)'!$C$3:$C$500),2),"")</f>
        <v>0.46</v>
      </c>
      <c r="D27" s="164" t="n">
        <f aca="false">IFERROR(ROUND(CORREL('Returns (Calc)'!$AP$3:$AP$500,'Returns (Calc)'!$D$3:$D$500),2),"")</f>
        <v>0.42</v>
      </c>
      <c r="E27" s="164" t="n">
        <f aca="false">IFERROR(ROUND(CORREL('Returns (Calc)'!$AP$3:$AP$500,'Returns (Calc)'!$E$3:$E$500),2),"")</f>
        <v>0.45</v>
      </c>
      <c r="F27" s="164" t="n">
        <f aca="false">IFERROR(ROUND(CORREL('Returns (Calc)'!$AP$3:$AP$500,'Returns (Calc)'!$F$3:$F$500),2),"")</f>
        <v>0.24</v>
      </c>
      <c r="G27" s="164" t="n">
        <f aca="false">IFERROR(ROUND(CORREL('Returns (Calc)'!$AP$3:$AP$500,'Returns (Calc)'!$G$3:$G$500),2),"")</f>
        <v>0.45</v>
      </c>
      <c r="H27" s="164" t="n">
        <f aca="false">IFERROR(ROUND(CORREL('Returns (Calc)'!$AP$3:$AP$500,'Returns (Calc)'!$H$3:$H$500),2),"")</f>
        <v>0.39</v>
      </c>
      <c r="I27" s="164" t="n">
        <f aca="false">IFERROR(ROUND(CORREL('Returns (Calc)'!$AP$3:$AP$500,'Returns (Calc)'!$I$3:$I$500),2),"")</f>
        <v>0.38</v>
      </c>
      <c r="J27" s="164" t="n">
        <f aca="false">IFERROR(ROUND(CORREL('Returns (Calc)'!$AP$3:$AP$500,'Returns (Calc)'!$J$3:$J$500),2),"")</f>
        <v>0.65</v>
      </c>
      <c r="K27" s="164" t="n">
        <f aca="false">IFERROR(ROUND(CORREL('Returns (Calc)'!$AP$3:$AP$500,'Returns (Calc)'!$K$3:$K$500),2),"")</f>
        <v>0.26</v>
      </c>
      <c r="L27" s="164" t="n">
        <f aca="false">IFERROR(ROUND(CORREL('Returns (Calc)'!$AP$3:$AP$500,'Returns (Calc)'!$L$3:$L$500),2),"")</f>
        <v>0.42</v>
      </c>
      <c r="M27" s="164" t="n">
        <f aca="false">IFERROR(ROUND(CORREL('Returns (Calc)'!$AP$3:$AP$500,'Returns (Calc)'!$M$3:$M$500),2),"")</f>
        <v>0.42</v>
      </c>
      <c r="N27" s="164" t="n">
        <f aca="false">IFERROR(ROUND(CORREL('Returns (Calc)'!$AP$3:$AP$500,'Returns (Calc)'!$N$3:$N$500),2),"")</f>
        <v>0.28</v>
      </c>
      <c r="O27" s="164" t="n">
        <f aca="false">IFERROR(ROUND(CORREL('Returns (Calc)'!$AP$3:$AP$500,'Returns (Calc)'!$O$3:$O$500),2),"")</f>
        <v>0.87</v>
      </c>
      <c r="P27" s="164" t="n">
        <f aca="false">IFERROR(ROUND(CORREL('Returns (Calc)'!$AP$3:$AP$500,'Returns (Calc)'!$P$3:$P$500),2),"")</f>
        <v>0.88</v>
      </c>
      <c r="Q27" s="164" t="n">
        <f aca="false">IFERROR(ROUND(CORREL('Returns (Calc)'!$AP$3:$AP$500,'Returns (Calc)'!$Q$3:$Q$500),2),"")</f>
        <v>0.78</v>
      </c>
      <c r="R27" s="164" t="n">
        <f aca="false">IFERROR(ROUND(CORREL('Returns (Calc)'!$AP$3:$AP$500,'Returns (Calc)'!$R$3:$R$500),2),"")</f>
        <v>0.66</v>
      </c>
      <c r="S27" s="164" t="n">
        <f aca="false">IFERROR(ROUND(CORREL('Returns (Calc)'!$AP$3:$AP$500,'Returns (Calc)'!$S$3:$S$500),2),"")</f>
        <v>0.64</v>
      </c>
      <c r="T27" s="164" t="n">
        <f aca="false">IFERROR(ROUND(CORREL('Returns (Calc)'!$AP$3:$AP$500,'Returns (Calc)'!$T$3:$T$500),2),"")</f>
        <v>0.79</v>
      </c>
      <c r="U27" s="164" t="n">
        <f aca="false">IFERROR(ROUND(CORREL('Returns (Calc)'!$AP$3:$AP$500,'Returns (Calc)'!$U$3:$U$500),2),"")</f>
        <v>0.88</v>
      </c>
      <c r="V27" s="164" t="n">
        <f aca="false">IFERROR(ROUND(CORREL('Returns (Calc)'!$AP$3:$AP$500,'Returns (Calc)'!$V$3:$V$500),2),"")</f>
        <v>0.51</v>
      </c>
      <c r="W27" s="164" t="n">
        <v>1</v>
      </c>
      <c r="X27" s="164" t="n">
        <f aca="false">IFERROR(ROUND(CORREL('Returns (Calc)'!$AP$3:$AP$500,'Returns (Calc)'!$AQ$3:$AQ$500),2),"")</f>
        <v>0.03</v>
      </c>
      <c r="Y27" s="164" t="n">
        <f aca="false">IFERROR(ROUND(CORREL('Returns (Calc)'!$AP$3:$AP$500,'Returns (Calc)'!$AR$3:$AR$500),2),"")</f>
        <v>0.9</v>
      </c>
      <c r="Z27" s="164" t="n">
        <f aca="false">IFERROR(ROUND(CORREL('Returns (Calc)'!$AP$3:$AP$500,'Returns (Calc)'!$AS$3:$AS$500),2),"")</f>
        <v>0.54</v>
      </c>
      <c r="AA27" s="164" t="n">
        <f aca="false">IFERROR(ROUND(CORREL('Returns (Calc)'!$AP$3:$AP$500,'Returns (Calc)'!$AT$3:$AT$500),2),"")</f>
        <v>0.3</v>
      </c>
      <c r="AB27" s="164" t="n">
        <f aca="false">IFERROR(ROUND(CORREL('Returns (Calc)'!$AP$3:$AP$500,'Returns (Calc)'!$AU$3:$AU$500),2),"")</f>
        <v>0.24</v>
      </c>
      <c r="AG27" s="165" t="n">
        <f aca="false">COUNTIF(B27:AB27,"&gt;0.7")-1</f>
        <v>6</v>
      </c>
    </row>
    <row r="28" customFormat="false" ht="15" hidden="false" customHeight="true" outlineLevel="0" collapsed="false">
      <c r="A28" s="163" t="str">
        <f aca="false">'Returns (Calc)'!AQ2</f>
        <v>MLPI</v>
      </c>
      <c r="B28" s="164" t="n">
        <f aca="false">IFERROR(ROUND(CORREL('Returns (Calc)'!$AQ$3:$AQ$500,'Returns (Calc)'!$B$3:$B$500),2),"")</f>
        <v>-0.24</v>
      </c>
      <c r="C28" s="164" t="n">
        <f aca="false">IFERROR(ROUND(CORREL('Returns (Calc)'!$AQ$3:$AQ$500,'Returns (Calc)'!$C$3:$C$500),2),"")</f>
        <v>-0.04</v>
      </c>
      <c r="D28" s="164" t="n">
        <f aca="false">IFERROR(ROUND(CORREL('Returns (Calc)'!$AQ$3:$AQ$500,'Returns (Calc)'!$D$3:$D$500),2),"")</f>
        <v>-0.18</v>
      </c>
      <c r="E28" s="164" t="n">
        <f aca="false">IFERROR(ROUND(CORREL('Returns (Calc)'!$AQ$3:$AQ$500,'Returns (Calc)'!$E$3:$E$500),2),"")</f>
        <v>-0.45</v>
      </c>
      <c r="F28" s="164" t="n">
        <f aca="false">IFERROR(ROUND(CORREL('Returns (Calc)'!$AQ$3:$AQ$500,'Returns (Calc)'!$F$3:$F$500),2),"")</f>
        <v>-0.3</v>
      </c>
      <c r="G28" s="164" t="n">
        <f aca="false">IFERROR(ROUND(CORREL('Returns (Calc)'!$AQ$3:$AQ$500,'Returns (Calc)'!$G$3:$G$500),2),"")</f>
        <v>-0.17</v>
      </c>
      <c r="H28" s="164" t="n">
        <f aca="false">IFERROR(ROUND(CORREL('Returns (Calc)'!$AQ$3:$AQ$500,'Returns (Calc)'!$H$3:$H$500),2),"")</f>
        <v>-0.35</v>
      </c>
      <c r="I28" s="164" t="n">
        <f aca="false">IFERROR(ROUND(CORREL('Returns (Calc)'!$AQ$3:$AQ$500,'Returns (Calc)'!$I$3:$I$500),2),"")</f>
        <v>-0.31</v>
      </c>
      <c r="J28" s="164" t="n">
        <f aca="false">IFERROR(ROUND(CORREL('Returns (Calc)'!$AQ$3:$AQ$500,'Returns (Calc)'!$J$3:$J$500),2),"")</f>
        <v>0.09</v>
      </c>
      <c r="K28" s="164" t="n">
        <f aca="false">IFERROR(ROUND(CORREL('Returns (Calc)'!$AQ$3:$AQ$500,'Returns (Calc)'!$K$3:$K$500),2),"")</f>
        <v>-0.48</v>
      </c>
      <c r="L28" s="164" t="n">
        <f aca="false">IFERROR(ROUND(CORREL('Returns (Calc)'!$AQ$3:$AQ$500,'Returns (Calc)'!$L$3:$L$500),2),"")</f>
        <v>-0.25</v>
      </c>
      <c r="M28" s="164" t="n">
        <f aca="false">IFERROR(ROUND(CORREL('Returns (Calc)'!$AQ$3:$AQ$500,'Returns (Calc)'!$M$3:$M$500),2),"")</f>
        <v>0.2</v>
      </c>
      <c r="N28" s="164" t="n">
        <f aca="false">IFERROR(ROUND(CORREL('Returns (Calc)'!$AQ$3:$AQ$500,'Returns (Calc)'!$N$3:$N$500),2),"")</f>
        <v>-0.16</v>
      </c>
      <c r="O28" s="164" t="n">
        <f aca="false">IFERROR(ROUND(CORREL('Returns (Calc)'!$AQ$3:$AQ$500,'Returns (Calc)'!$O$3:$O$500),2),"")</f>
        <v>0.11</v>
      </c>
      <c r="P28" s="164" t="n">
        <f aca="false">IFERROR(ROUND(CORREL('Returns (Calc)'!$AQ$3:$AQ$500,'Returns (Calc)'!$P$3:$P$500),2),"")</f>
        <v>0.45</v>
      </c>
      <c r="Q28" s="164" t="n">
        <f aca="false">IFERROR(ROUND(CORREL('Returns (Calc)'!$AQ$3:$AQ$500,'Returns (Calc)'!$Q$3:$Q$500),2),"")</f>
        <v>-0.43</v>
      </c>
      <c r="R28" s="164" t="n">
        <f aca="false">IFERROR(ROUND(CORREL('Returns (Calc)'!$AQ$3:$AQ$500,'Returns (Calc)'!$R$3:$R$500),2),"")</f>
        <v>-0.49</v>
      </c>
      <c r="S28" s="164" t="n">
        <f aca="false">IFERROR(ROUND(CORREL('Returns (Calc)'!$AQ$3:$AQ$500,'Returns (Calc)'!$S$3:$S$500),2),"")</f>
        <v>-0.39</v>
      </c>
      <c r="T28" s="164" t="n">
        <f aca="false">IFERROR(ROUND(CORREL('Returns (Calc)'!$AQ$3:$AQ$500,'Returns (Calc)'!$T$3:$T$500),2),"")</f>
        <v>-0.27</v>
      </c>
      <c r="U28" s="164" t="n">
        <f aca="false">IFERROR(ROUND(CORREL('Returns (Calc)'!$AQ$3:$AQ$500,'Returns (Calc)'!$U$3:$U$500),2),"")</f>
        <v>0.31</v>
      </c>
      <c r="V28" s="164" t="n">
        <f aca="false">IFERROR(ROUND(CORREL('Returns (Calc)'!$AQ$3:$AQ$500,'Returns (Calc)'!$V$3:$V$500),2),"")</f>
        <v>-0.06</v>
      </c>
      <c r="W28" s="164" t="n">
        <f aca="false">IFERROR(ROUND(CORREL('Returns (Calc)'!$AQ$3:$AQ$500,'Returns (Calc)'!$AP$3:$AP$500),2),"")</f>
        <v>0.03</v>
      </c>
      <c r="X28" s="164" t="n">
        <v>1</v>
      </c>
      <c r="Y28" s="164" t="n">
        <f aca="false">IFERROR(ROUND(CORREL('Returns (Calc)'!$AQ$3:$AQ$500,'Returns (Calc)'!$AR$3:$AR$500),2),"")</f>
        <v>-0.1</v>
      </c>
      <c r="Z28" s="164" t="n">
        <f aca="false">IFERROR(ROUND(CORREL('Returns (Calc)'!$AQ$3:$AQ$500,'Returns (Calc)'!$AS$3:$AS$500),2),"")</f>
        <v>-0.26</v>
      </c>
      <c r="AA28" s="164" t="n">
        <f aca="false">IFERROR(ROUND(CORREL('Returns (Calc)'!$AQ$3:$AQ$500,'Returns (Calc)'!$AT$3:$AT$500),2),"")</f>
        <v>-0.01</v>
      </c>
      <c r="AB28" s="164" t="n">
        <f aca="false">IFERROR(ROUND(CORREL('Returns (Calc)'!$AQ$3:$AQ$500,'Returns (Calc)'!$AU$3:$AU$500),2),"")</f>
        <v>-0.29</v>
      </c>
      <c r="AG28" s="165" t="n">
        <f aca="false">COUNTIF(B28:AB28,"&gt;0.7")-1</f>
        <v>0</v>
      </c>
    </row>
    <row r="29" customFormat="false" ht="15" hidden="false" customHeight="true" outlineLevel="0" collapsed="false">
      <c r="A29" s="163" t="str">
        <f aca="false">'Returns (Calc)'!AR2</f>
        <v>JEPI</v>
      </c>
      <c r="B29" s="164" t="n">
        <f aca="false">IFERROR(ROUND(CORREL('Returns (Calc)'!$AR$3:$AR$500,'Returns (Calc)'!$B$3:$B$500),2),"")</f>
        <v>0.33</v>
      </c>
      <c r="C29" s="164" t="n">
        <f aca="false">IFERROR(ROUND(CORREL('Returns (Calc)'!$AR$3:$AR$500,'Returns (Calc)'!$C$3:$C$500),2),"")</f>
        <v>0.51</v>
      </c>
      <c r="D29" s="164" t="n">
        <f aca="false">IFERROR(ROUND(CORREL('Returns (Calc)'!$AR$3:$AR$500,'Returns (Calc)'!$D$3:$D$500),2),"")</f>
        <v>0.43</v>
      </c>
      <c r="E29" s="164" t="n">
        <f aca="false">IFERROR(ROUND(CORREL('Returns (Calc)'!$AR$3:$AR$500,'Returns (Calc)'!$E$3:$E$500),2),"")</f>
        <v>0.44</v>
      </c>
      <c r="F29" s="164" t="n">
        <f aca="false">IFERROR(ROUND(CORREL('Returns (Calc)'!$AR$3:$AR$500,'Returns (Calc)'!$F$3:$F$500),2),"")</f>
        <v>0.29</v>
      </c>
      <c r="G29" s="164" t="n">
        <f aca="false">IFERROR(ROUND(CORREL('Returns (Calc)'!$AR$3:$AR$500,'Returns (Calc)'!$G$3:$G$500),2),"")</f>
        <v>0.45</v>
      </c>
      <c r="H29" s="164" t="n">
        <f aca="false">IFERROR(ROUND(CORREL('Returns (Calc)'!$AR$3:$AR$500,'Returns (Calc)'!$H$3:$H$500),2),"")</f>
        <v>0.35</v>
      </c>
      <c r="I29" s="164" t="n">
        <f aca="false">IFERROR(ROUND(CORREL('Returns (Calc)'!$AR$3:$AR$500,'Returns (Calc)'!$I$3:$I$500),2),"")</f>
        <v>0.44</v>
      </c>
      <c r="J29" s="164" t="n">
        <f aca="false">IFERROR(ROUND(CORREL('Returns (Calc)'!$AR$3:$AR$500,'Returns (Calc)'!$J$3:$J$500),2),"")</f>
        <v>0.61</v>
      </c>
      <c r="K29" s="164" t="n">
        <f aca="false">IFERROR(ROUND(CORREL('Returns (Calc)'!$AR$3:$AR$500,'Returns (Calc)'!$K$3:$K$500),2),"")</f>
        <v>0.31</v>
      </c>
      <c r="L29" s="164" t="n">
        <f aca="false">IFERROR(ROUND(CORREL('Returns (Calc)'!$AR$3:$AR$500,'Returns (Calc)'!$L$3:$L$500),2),"")</f>
        <v>0.48</v>
      </c>
      <c r="M29" s="164" t="n">
        <f aca="false">IFERROR(ROUND(CORREL('Returns (Calc)'!$AR$3:$AR$500,'Returns (Calc)'!$M$3:$M$500),2),"")</f>
        <v>0.44</v>
      </c>
      <c r="N29" s="164" t="n">
        <f aca="false">IFERROR(ROUND(CORREL('Returns (Calc)'!$AR$3:$AR$500,'Returns (Calc)'!$N$3:$N$500),2),"")</f>
        <v>0.34</v>
      </c>
      <c r="O29" s="164" t="n">
        <f aca="false">IFERROR(ROUND(CORREL('Returns (Calc)'!$AR$3:$AR$500,'Returns (Calc)'!$O$3:$O$500),2),"")</f>
        <v>0.73</v>
      </c>
      <c r="P29" s="164" t="n">
        <f aca="false">IFERROR(ROUND(CORREL('Returns (Calc)'!$AR$3:$AR$500,'Returns (Calc)'!$P$3:$P$500),2),"")</f>
        <v>0.76</v>
      </c>
      <c r="Q29" s="164" t="n">
        <f aca="false">IFERROR(ROUND(CORREL('Returns (Calc)'!$AR$3:$AR$500,'Returns (Calc)'!$Q$3:$Q$500),2),"")</f>
        <v>0.83</v>
      </c>
      <c r="R29" s="164" t="n">
        <f aca="false">IFERROR(ROUND(CORREL('Returns (Calc)'!$AR$3:$AR$500,'Returns (Calc)'!$R$3:$R$500),2),"")</f>
        <v>0.76</v>
      </c>
      <c r="S29" s="164" t="n">
        <f aca="false">IFERROR(ROUND(CORREL('Returns (Calc)'!$AR$3:$AR$500,'Returns (Calc)'!$S$3:$S$500),2),"")</f>
        <v>0.67</v>
      </c>
      <c r="T29" s="164" t="n">
        <f aca="false">IFERROR(ROUND(CORREL('Returns (Calc)'!$AR$3:$AR$500,'Returns (Calc)'!$T$3:$T$500),2),"")</f>
        <v>0.72</v>
      </c>
      <c r="U29" s="164" t="n">
        <f aca="false">IFERROR(ROUND(CORREL('Returns (Calc)'!$AR$3:$AR$500,'Returns (Calc)'!$U$3:$U$500),2),"")</f>
        <v>0.78</v>
      </c>
      <c r="V29" s="164" t="n">
        <f aca="false">IFERROR(ROUND(CORREL('Returns (Calc)'!$AR$3:$AR$500,'Returns (Calc)'!$V$3:$V$500),2),"")</f>
        <v>0.63</v>
      </c>
      <c r="W29" s="164" t="n">
        <f aca="false">IFERROR(ROUND(CORREL('Returns (Calc)'!$AR$3:$AR$500,'Returns (Calc)'!$AP$3:$AP$500),2),"")</f>
        <v>0.9</v>
      </c>
      <c r="X29" s="164" t="n">
        <f aca="false">IFERROR(ROUND(CORREL('Returns (Calc)'!$AR$3:$AR$500,'Returns (Calc)'!$AQ$3:$AQ$500),2),"")</f>
        <v>-0.1</v>
      </c>
      <c r="Y29" s="164" t="n">
        <v>1</v>
      </c>
      <c r="Z29" s="164" t="n">
        <f aca="false">IFERROR(ROUND(CORREL('Returns (Calc)'!$AR$3:$AR$500,'Returns (Calc)'!$AS$3:$AS$500),2),"")</f>
        <v>0.57</v>
      </c>
      <c r="AA29" s="164" t="n">
        <f aca="false">IFERROR(ROUND(CORREL('Returns (Calc)'!$AR$3:$AR$500,'Returns (Calc)'!$AT$3:$AT$500),2),"")</f>
        <v>0.38</v>
      </c>
      <c r="AB29" s="164" t="n">
        <f aca="false">IFERROR(ROUND(CORREL('Returns (Calc)'!$AR$3:$AR$500,'Returns (Calc)'!$AU$3:$AU$500),2),"")</f>
        <v>0.31</v>
      </c>
      <c r="AG29" s="165" t="n">
        <f aca="false">COUNTIF(B29:AB29,"&gt;0.7")-1</f>
        <v>7</v>
      </c>
    </row>
    <row r="30" customFormat="false" ht="15" hidden="false" customHeight="true" outlineLevel="0" collapsed="false">
      <c r="A30" s="163" t="str">
        <f aca="false">'Returns (Calc)'!AS2</f>
        <v>GE</v>
      </c>
      <c r="B30" s="164" t="n">
        <f aca="false">IFERROR(ROUND(CORREL('Returns (Calc)'!$AS$3:$AS$500,'Returns (Calc)'!$B$3:$B$500),2),"")</f>
        <v>0.09</v>
      </c>
      <c r="C30" s="164" t="n">
        <f aca="false">IFERROR(ROUND(CORREL('Returns (Calc)'!$AS$3:$AS$500,'Returns (Calc)'!$C$3:$C$500),2),"")</f>
        <v>0.34</v>
      </c>
      <c r="D30" s="164" t="n">
        <f aca="false">IFERROR(ROUND(CORREL('Returns (Calc)'!$AS$3:$AS$500,'Returns (Calc)'!$D$3:$D$500),2),"")</f>
        <v>0.39</v>
      </c>
      <c r="E30" s="164" t="n">
        <f aca="false">IFERROR(ROUND(CORREL('Returns (Calc)'!$AS$3:$AS$500,'Returns (Calc)'!$E$3:$E$500),2),"")</f>
        <v>0.36</v>
      </c>
      <c r="F30" s="164" t="n">
        <f aca="false">IFERROR(ROUND(CORREL('Returns (Calc)'!$AS$3:$AS$500,'Returns (Calc)'!$F$3:$F$500),2),"")</f>
        <v>0.24</v>
      </c>
      <c r="G30" s="164" t="n">
        <f aca="false">IFERROR(ROUND(CORREL('Returns (Calc)'!$AS$3:$AS$500,'Returns (Calc)'!$G$3:$G$500),2),"")</f>
        <v>0.38</v>
      </c>
      <c r="H30" s="164" t="n">
        <f aca="false">IFERROR(ROUND(CORREL('Returns (Calc)'!$AS$3:$AS$500,'Returns (Calc)'!$H$3:$H$500),2),"")</f>
        <v>0.36</v>
      </c>
      <c r="I30" s="164" t="n">
        <f aca="false">IFERROR(ROUND(CORREL('Returns (Calc)'!$AS$3:$AS$500,'Returns (Calc)'!$I$3:$I$500),2),"")</f>
        <v>0.38</v>
      </c>
      <c r="J30" s="164" t="n">
        <f aca="false">IFERROR(ROUND(CORREL('Returns (Calc)'!$AS$3:$AS$500,'Returns (Calc)'!$J$3:$J$500),2),"")</f>
        <v>0.3</v>
      </c>
      <c r="K30" s="164" t="n">
        <f aca="false">IFERROR(ROUND(CORREL('Returns (Calc)'!$AS$3:$AS$500,'Returns (Calc)'!$K$3:$K$500),2),"")</f>
        <v>0.26</v>
      </c>
      <c r="L30" s="164" t="n">
        <f aca="false">IFERROR(ROUND(CORREL('Returns (Calc)'!$AS$3:$AS$500,'Returns (Calc)'!$L$3:$L$500),2),"")</f>
        <v>0.44</v>
      </c>
      <c r="M30" s="164" t="n">
        <f aca="false">IFERROR(ROUND(CORREL('Returns (Calc)'!$AS$3:$AS$500,'Returns (Calc)'!$M$3:$M$500),2),"")</f>
        <v>0.44</v>
      </c>
      <c r="N30" s="164" t="n">
        <f aca="false">IFERROR(ROUND(CORREL('Returns (Calc)'!$AS$3:$AS$500,'Returns (Calc)'!$N$3:$N$500),2),"")</f>
        <v>0.08</v>
      </c>
      <c r="O30" s="164" t="n">
        <f aca="false">IFERROR(ROUND(CORREL('Returns (Calc)'!$AS$3:$AS$500,'Returns (Calc)'!$O$3:$O$500),2),"")</f>
        <v>0.46</v>
      </c>
      <c r="P30" s="164" t="n">
        <f aca="false">IFERROR(ROUND(CORREL('Returns (Calc)'!$AS$3:$AS$500,'Returns (Calc)'!$P$3:$P$500),2),"")</f>
        <v>0.4</v>
      </c>
      <c r="Q30" s="164" t="n">
        <f aca="false">IFERROR(ROUND(CORREL('Returns (Calc)'!$AS$3:$AS$500,'Returns (Calc)'!$Q$3:$Q$500),2),"")</f>
        <v>0.53</v>
      </c>
      <c r="R30" s="164" t="n">
        <f aca="false">IFERROR(ROUND(CORREL('Returns (Calc)'!$AS$3:$AS$500,'Returns (Calc)'!$R$3:$R$500),2),"")</f>
        <v>0.52</v>
      </c>
      <c r="S30" s="164" t="n">
        <f aca="false">IFERROR(ROUND(CORREL('Returns (Calc)'!$AS$3:$AS$500,'Returns (Calc)'!$S$3:$S$500),2),"")</f>
        <v>0.61</v>
      </c>
      <c r="T30" s="164" t="n">
        <f aca="false">IFERROR(ROUND(CORREL('Returns (Calc)'!$AS$3:$AS$500,'Returns (Calc)'!$T$3:$T$500),2),"")</f>
        <v>0.44</v>
      </c>
      <c r="U30" s="164" t="n">
        <f aca="false">IFERROR(ROUND(CORREL('Returns (Calc)'!$AS$3:$AS$500,'Returns (Calc)'!$U$3:$U$500),2),"")</f>
        <v>0.34</v>
      </c>
      <c r="V30" s="164" t="n">
        <f aca="false">IFERROR(ROUND(CORREL('Returns (Calc)'!$AS$3:$AS$500,'Returns (Calc)'!$V$3:$V$500),2),"")</f>
        <v>0.41</v>
      </c>
      <c r="W30" s="164" t="n">
        <f aca="false">IFERROR(ROUND(CORREL('Returns (Calc)'!$AS$3:$AS$500,'Returns (Calc)'!$AP$3:$AP$500),2),"")</f>
        <v>0.54</v>
      </c>
      <c r="X30" s="164" t="n">
        <f aca="false">IFERROR(ROUND(CORREL('Returns (Calc)'!$AS$3:$AS$500,'Returns (Calc)'!$AQ$3:$AQ$500),2),"")</f>
        <v>-0.26</v>
      </c>
      <c r="Y30" s="164" t="n">
        <f aca="false">IFERROR(ROUND(CORREL('Returns (Calc)'!$AS$3:$AS$500,'Returns (Calc)'!$AR$3:$AR$500),2),"")</f>
        <v>0.57</v>
      </c>
      <c r="Z30" s="164" t="n">
        <v>1</v>
      </c>
      <c r="AA30" s="164" t="n">
        <f aca="false">IFERROR(ROUND(CORREL('Returns (Calc)'!$AS$3:$AS$500,'Returns (Calc)'!$AT$3:$AT$500),2),"")</f>
        <v>0.39</v>
      </c>
      <c r="AB30" s="164" t="n">
        <f aca="false">IFERROR(ROUND(CORREL('Returns (Calc)'!$AS$3:$AS$500,'Returns (Calc)'!$AU$3:$AU$500),2),"")</f>
        <v>0.18</v>
      </c>
      <c r="AG30" s="165" t="n">
        <f aca="false">COUNTIF(B30:AB30,"&gt;0.7")-1</f>
        <v>0</v>
      </c>
    </row>
    <row r="31" customFormat="false" ht="15" hidden="false" customHeight="true" outlineLevel="0" collapsed="false">
      <c r="A31" s="163" t="str">
        <f aca="false">'Returns (Calc)'!AT2</f>
        <v>NFLX</v>
      </c>
      <c r="B31" s="164" t="n">
        <f aca="false">IFERROR(ROUND(CORREL('Returns (Calc)'!$AT$3:$AT$500,'Returns (Calc)'!$B$3:$B$500),2),"")</f>
        <v>0.21</v>
      </c>
      <c r="C31" s="164" t="n">
        <f aca="false">IFERROR(ROUND(CORREL('Returns (Calc)'!$AT$3:$AT$500,'Returns (Calc)'!$C$3:$C$500),2),"")</f>
        <v>0.39</v>
      </c>
      <c r="D31" s="164" t="n">
        <f aca="false">IFERROR(ROUND(CORREL('Returns (Calc)'!$AT$3:$AT$500,'Returns (Calc)'!$D$3:$D$500),2),"")</f>
        <v>0.21</v>
      </c>
      <c r="E31" s="164" t="n">
        <f aca="false">IFERROR(ROUND(CORREL('Returns (Calc)'!$AT$3:$AT$500,'Returns (Calc)'!$E$3:$E$500),2),"")</f>
        <v>0.3</v>
      </c>
      <c r="F31" s="164" t="n">
        <f aca="false">IFERROR(ROUND(CORREL('Returns (Calc)'!$AT$3:$AT$500,'Returns (Calc)'!$F$3:$F$500),2),"")</f>
        <v>0.24</v>
      </c>
      <c r="G31" s="164" t="n">
        <f aca="false">IFERROR(ROUND(CORREL('Returns (Calc)'!$AT$3:$AT$500,'Returns (Calc)'!$G$3:$G$500),2),"")</f>
        <v>0.11</v>
      </c>
      <c r="H31" s="164" t="n">
        <f aca="false">IFERROR(ROUND(CORREL('Returns (Calc)'!$AT$3:$AT$500,'Returns (Calc)'!$H$3:$H$500),2),"")</f>
        <v>0.1</v>
      </c>
      <c r="I31" s="164" t="n">
        <f aca="false">IFERROR(ROUND(CORREL('Returns (Calc)'!$AT$3:$AT$500,'Returns (Calc)'!$I$3:$I$500),2),"")</f>
        <v>0.27</v>
      </c>
      <c r="J31" s="164" t="n">
        <f aca="false">IFERROR(ROUND(CORREL('Returns (Calc)'!$AT$3:$AT$500,'Returns (Calc)'!$J$3:$J$500),2),"")</f>
        <v>0.13</v>
      </c>
      <c r="K31" s="164" t="n">
        <f aca="false">IFERROR(ROUND(CORREL('Returns (Calc)'!$AT$3:$AT$500,'Returns (Calc)'!$K$3:$K$500),2),"")</f>
        <v>0.3</v>
      </c>
      <c r="L31" s="164" t="n">
        <f aca="false">IFERROR(ROUND(CORREL('Returns (Calc)'!$AT$3:$AT$500,'Returns (Calc)'!$L$3:$L$500),2),"")</f>
        <v>0.3</v>
      </c>
      <c r="M31" s="164" t="n">
        <f aca="false">IFERROR(ROUND(CORREL('Returns (Calc)'!$AT$3:$AT$500,'Returns (Calc)'!$M$3:$M$500),2),"")</f>
        <v>0.32</v>
      </c>
      <c r="N31" s="164" t="n">
        <f aca="false">IFERROR(ROUND(CORREL('Returns (Calc)'!$AT$3:$AT$500,'Returns (Calc)'!$N$3:$N$500),2),"")</f>
        <v>0.08</v>
      </c>
      <c r="O31" s="164" t="n">
        <f aca="false">IFERROR(ROUND(CORREL('Returns (Calc)'!$AT$3:$AT$500,'Returns (Calc)'!$O$3:$O$500),2),"")</f>
        <v>0.21</v>
      </c>
      <c r="P31" s="164" t="n">
        <f aca="false">IFERROR(ROUND(CORREL('Returns (Calc)'!$AT$3:$AT$500,'Returns (Calc)'!$P$3:$P$500),2),"")</f>
        <v>0.18</v>
      </c>
      <c r="Q31" s="164" t="n">
        <f aca="false">IFERROR(ROUND(CORREL('Returns (Calc)'!$AT$3:$AT$500,'Returns (Calc)'!$Q$3:$Q$500),2),"")</f>
        <v>0.39</v>
      </c>
      <c r="R31" s="164" t="n">
        <f aca="false">IFERROR(ROUND(CORREL('Returns (Calc)'!$AT$3:$AT$500,'Returns (Calc)'!$R$3:$R$500),2),"")</f>
        <v>0.43</v>
      </c>
      <c r="S31" s="164" t="n">
        <f aca="false">IFERROR(ROUND(CORREL('Returns (Calc)'!$AT$3:$AT$500,'Returns (Calc)'!$S$3:$S$500),2),"")</f>
        <v>0.41</v>
      </c>
      <c r="T31" s="164" t="n">
        <f aca="false">IFERROR(ROUND(CORREL('Returns (Calc)'!$AT$3:$AT$500,'Returns (Calc)'!$T$3:$T$500),2),"")</f>
        <v>0.25</v>
      </c>
      <c r="U31" s="164" t="n">
        <f aca="false">IFERROR(ROUND(CORREL('Returns (Calc)'!$AT$3:$AT$500,'Returns (Calc)'!$U$3:$U$500),2),"")</f>
        <v>0.16</v>
      </c>
      <c r="V31" s="164" t="n">
        <f aca="false">IFERROR(ROUND(CORREL('Returns (Calc)'!$AT$3:$AT$500,'Returns (Calc)'!$V$3:$V$500),2),"")</f>
        <v>0.29</v>
      </c>
      <c r="W31" s="164" t="n">
        <f aca="false">IFERROR(ROUND(CORREL('Returns (Calc)'!$AT$3:$AT$500,'Returns (Calc)'!$AP$3:$AP$500),2),"")</f>
        <v>0.3</v>
      </c>
      <c r="X31" s="164" t="n">
        <f aca="false">IFERROR(ROUND(CORREL('Returns (Calc)'!$AT$3:$AT$500,'Returns (Calc)'!$AQ$3:$AQ$500),2),"")</f>
        <v>-0.01</v>
      </c>
      <c r="Y31" s="164" t="n">
        <f aca="false">IFERROR(ROUND(CORREL('Returns (Calc)'!$AT$3:$AT$500,'Returns (Calc)'!$AR$3:$AR$500),2),"")</f>
        <v>0.38</v>
      </c>
      <c r="Z31" s="164" t="n">
        <f aca="false">IFERROR(ROUND(CORREL('Returns (Calc)'!$AT$3:$AT$500,'Returns (Calc)'!$AS$3:$AS$500),2),"")</f>
        <v>0.39</v>
      </c>
      <c r="AA31" s="164" t="n">
        <v>1</v>
      </c>
      <c r="AB31" s="164" t="n">
        <f aca="false">IFERROR(ROUND(CORREL('Returns (Calc)'!$AT$3:$AT$500,'Returns (Calc)'!$AU$3:$AU$500),2),"")</f>
        <v>0.16</v>
      </c>
      <c r="AG31" s="165" t="n">
        <f aca="false">COUNTIF(B31:AB31,"&gt;0.7")-1</f>
        <v>0</v>
      </c>
    </row>
    <row r="32" customFormat="false" ht="15" hidden="false" customHeight="true" outlineLevel="0" collapsed="false">
      <c r="A32" s="163" t="str">
        <f aca="false">'Returns (Calc)'!AU2</f>
        <v>VEEV</v>
      </c>
      <c r="B32" s="164" t="n">
        <f aca="false">IFERROR(ROUND(CORREL('Returns (Calc)'!$AU$3:$AU$500,'Returns (Calc)'!$B$3:$B$500),2),"")</f>
        <v>0.51</v>
      </c>
      <c r="C32" s="164" t="n">
        <f aca="false">IFERROR(ROUND(CORREL('Returns (Calc)'!$AU$3:$AU$500,'Returns (Calc)'!$C$3:$C$500),2),"")</f>
        <v>0.12</v>
      </c>
      <c r="D32" s="164" t="n">
        <f aca="false">IFERROR(ROUND(CORREL('Returns (Calc)'!$AU$3:$AU$500,'Returns (Calc)'!$D$3:$D$500),2),"")</f>
        <v>0.03</v>
      </c>
      <c r="E32" s="164" t="n">
        <f aca="false">IFERROR(ROUND(CORREL('Returns (Calc)'!$AU$3:$AU$500,'Returns (Calc)'!$E$3:$E$500),2),"")</f>
        <v>0.1</v>
      </c>
      <c r="F32" s="164" t="n">
        <f aca="false">IFERROR(ROUND(CORREL('Returns (Calc)'!$AU$3:$AU$500,'Returns (Calc)'!$F$3:$F$500),2),"")</f>
        <v>0.36</v>
      </c>
      <c r="G32" s="164" t="n">
        <f aca="false">IFERROR(ROUND(CORREL('Returns (Calc)'!$AU$3:$AU$500,'Returns (Calc)'!$G$3:$G$500),2),"")</f>
        <v>0.02</v>
      </c>
      <c r="H32" s="164" t="n">
        <f aca="false">IFERROR(ROUND(CORREL('Returns (Calc)'!$AU$3:$AU$500,'Returns (Calc)'!$H$3:$H$500),2),"")</f>
        <v>0.11</v>
      </c>
      <c r="I32" s="164" t="n">
        <f aca="false">IFERROR(ROUND(CORREL('Returns (Calc)'!$AU$3:$AU$500,'Returns (Calc)'!$I$3:$I$500),2),"")</f>
        <v>0.15</v>
      </c>
      <c r="J32" s="164" t="n">
        <f aca="false">IFERROR(ROUND(CORREL('Returns (Calc)'!$AU$3:$AU$500,'Returns (Calc)'!$J$3:$J$500),2),"")</f>
        <v>0.15</v>
      </c>
      <c r="K32" s="164" t="n">
        <f aca="false">IFERROR(ROUND(CORREL('Returns (Calc)'!$AU$3:$AU$500,'Returns (Calc)'!$K$3:$K$500),2),"")</f>
        <v>0.41</v>
      </c>
      <c r="L32" s="164" t="n">
        <f aca="false">IFERROR(ROUND(CORREL('Returns (Calc)'!$AU$3:$AU$500,'Returns (Calc)'!$L$3:$L$500),2),"")</f>
        <v>0.13</v>
      </c>
      <c r="M32" s="164" t="n">
        <f aca="false">IFERROR(ROUND(CORREL('Returns (Calc)'!$AU$3:$AU$500,'Returns (Calc)'!$M$3:$M$500),2),"")</f>
        <v>0.07</v>
      </c>
      <c r="N32" s="164" t="n">
        <f aca="false">IFERROR(ROUND(CORREL('Returns (Calc)'!$AU$3:$AU$500,'Returns (Calc)'!$N$3:$N$500),2),"")</f>
        <v>0.27</v>
      </c>
      <c r="O32" s="164" t="n">
        <f aca="false">IFERROR(ROUND(CORREL('Returns (Calc)'!$AU$3:$AU$500,'Returns (Calc)'!$O$3:$O$500),2),"")</f>
        <v>0.22</v>
      </c>
      <c r="P32" s="164" t="n">
        <f aca="false">IFERROR(ROUND(CORREL('Returns (Calc)'!$AU$3:$AU$500,'Returns (Calc)'!$P$3:$P$500),2),"")</f>
        <v>0.19</v>
      </c>
      <c r="Q32" s="164" t="n">
        <f aca="false">IFERROR(ROUND(CORREL('Returns (Calc)'!$AU$3:$AU$500,'Returns (Calc)'!$Q$3:$Q$500),2),"")</f>
        <v>0.34</v>
      </c>
      <c r="R32" s="164" t="n">
        <f aca="false">IFERROR(ROUND(CORREL('Returns (Calc)'!$AU$3:$AU$500,'Returns (Calc)'!$R$3:$R$500),2),"")</f>
        <v>0.29</v>
      </c>
      <c r="S32" s="164" t="n">
        <f aca="false">IFERROR(ROUND(CORREL('Returns (Calc)'!$AU$3:$AU$500,'Returns (Calc)'!$S$3:$S$500),2),"")</f>
        <v>0.2</v>
      </c>
      <c r="T32" s="164" t="n">
        <f aca="false">IFERROR(ROUND(CORREL('Returns (Calc)'!$AU$3:$AU$500,'Returns (Calc)'!$T$3:$T$500),2),"")</f>
        <v>0.43</v>
      </c>
      <c r="U32" s="164" t="n">
        <f aca="false">IFERROR(ROUND(CORREL('Returns (Calc)'!$AU$3:$AU$500,'Returns (Calc)'!$U$3:$U$500),2),"")</f>
        <v>0.26</v>
      </c>
      <c r="V32" s="164" t="n">
        <f aca="false">IFERROR(ROUND(CORREL('Returns (Calc)'!$AU$3:$AU$500,'Returns (Calc)'!$V$3:$V$500),2),"")</f>
        <v>0.35</v>
      </c>
      <c r="W32" s="164" t="n">
        <f aca="false">IFERROR(ROUND(CORREL('Returns (Calc)'!$AU$3:$AU$500,'Returns (Calc)'!$AP$3:$AP$500),2),"")</f>
        <v>0.24</v>
      </c>
      <c r="X32" s="164" t="n">
        <f aca="false">IFERROR(ROUND(CORREL('Returns (Calc)'!$AU$3:$AU$500,'Returns (Calc)'!$AQ$3:$AQ$500),2),"")</f>
        <v>-0.29</v>
      </c>
      <c r="Y32" s="164" t="n">
        <f aca="false">IFERROR(ROUND(CORREL('Returns (Calc)'!$AU$3:$AU$500,'Returns (Calc)'!$AR$3:$AR$500),2),"")</f>
        <v>0.31</v>
      </c>
      <c r="Z32" s="164" t="n">
        <f aca="false">IFERROR(ROUND(CORREL('Returns (Calc)'!$AU$3:$AU$500,'Returns (Calc)'!$AS$3:$AS$500),2),"")</f>
        <v>0.18</v>
      </c>
      <c r="AA32" s="164" t="n">
        <f aca="false">IFERROR(ROUND(CORREL('Returns (Calc)'!$AU$3:$AU$500,'Returns (Calc)'!$AT$3:$AT$500),2),"")</f>
        <v>0.16</v>
      </c>
      <c r="AB32" s="164" t="n">
        <v>1</v>
      </c>
      <c r="AG32" s="165"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5" width="69.16"/>
  </cols>
  <sheetData>
    <row r="1" customFormat="false" ht="24" hidden="false" customHeight="true" outlineLevel="0" collapsed="false">
      <c r="A1" s="166" t="s">
        <v>475</v>
      </c>
      <c r="B1" s="166"/>
      <c r="C1" s="166"/>
      <c r="D1" s="166"/>
      <c r="E1" s="166"/>
      <c r="F1" s="166"/>
      <c r="G1" s="166"/>
      <c r="H1" s="166"/>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7" t="n">
        <v>46245</v>
      </c>
      <c r="B3" s="168" t="n">
        <v>700739.19</v>
      </c>
      <c r="C3" s="169" t="n">
        <f aca="false">IF(B3="","",B3)</f>
        <v>700739.19</v>
      </c>
      <c r="D3" s="170" t="n">
        <f aca="false">IF(OR(B3="",C3=""),"",B3/C3-1)</f>
        <v>0</v>
      </c>
      <c r="E3" s="171" t="str">
        <f aca="false">IF(D3="","",IF(D3&gt;=-0.1,"Normal",IF(D3&gt;=-0.2,"Elevated",IF(D3&gt;=-0.3,"Severe","Critical"))))</f>
        <v>Normal</v>
      </c>
      <c r="F3" s="172" t="str">
        <f aca="false">IF(E3="","",IF(E3="Normal","5-15%",IF(E3="Elevated","15%",IF(E3="Severe","20%","25%"))))</f>
        <v>5-15%</v>
      </c>
      <c r="G3" s="172" t="str">
        <f aca="false">IF(E3="","",IF(E3="Normal","Standard (score &gt;=65)",IF(E3="Elevated","Restricted (score &gt;=80 only)","Suspended")))</f>
        <v>Standard (score &gt;=65)</v>
      </c>
      <c r="H3" s="173"/>
    </row>
    <row r="4" customFormat="false" ht="15" hidden="false" customHeight="true" outlineLevel="0" collapsed="false">
      <c r="A4" s="167" t="n">
        <v>46269</v>
      </c>
      <c r="B4" s="168" t="n">
        <v>751223.12</v>
      </c>
      <c r="C4" s="169" t="n">
        <f aca="false">IF(B4="","",MAX(C3,B4))</f>
        <v>751223.12</v>
      </c>
      <c r="D4" s="170" t="n">
        <f aca="false">IF(OR(B4="",C4=""),"",B4/C4-1)</f>
        <v>0</v>
      </c>
      <c r="E4" s="171" t="str">
        <f aca="false">IF(D4="","",IF(D4&gt;=-0.1,"Normal",IF(D4&gt;=-0.2,"Elevated",IF(D4&gt;=-0.3,"Severe","Critical"))))</f>
        <v>Normal</v>
      </c>
      <c r="F4" s="172" t="str">
        <f aca="false">IF(E4="","",IF(E4="Normal","5-15%",IF(E4="Elevated","15%",IF(E4="Severe","20%","25%"))))</f>
        <v>5-15%</v>
      </c>
      <c r="G4" s="172" t="str">
        <f aca="false">IF(E4="","",IF(E4="Normal","Standard (score &gt;=65)",IF(E4="Elevated","Restricted (score &gt;=80 only)","Suspended")))</f>
        <v>Standard (score &gt;=65)</v>
      </c>
      <c r="H4" s="173" t="s">
        <v>483</v>
      </c>
    </row>
    <row r="5" customFormat="false" ht="15" hidden="false" customHeight="true" outlineLevel="0" collapsed="false">
      <c r="A5" s="167" t="n">
        <v>46295</v>
      </c>
      <c r="B5" s="168" t="n">
        <v>741557.65</v>
      </c>
      <c r="C5" s="169" t="n">
        <f aca="false">IF(B5="","",MAX(C4,B5))</f>
        <v>751223.12</v>
      </c>
      <c r="D5" s="170" t="n">
        <f aca="false">IF(OR(B5="",C5=""),"",B5/C5-1)</f>
        <v>-0.0128663106108875</v>
      </c>
      <c r="E5" s="171" t="str">
        <f aca="false">IF(D5="","",IF(D5&gt;=-0.1,"Normal",IF(D5&gt;=-0.2,"Elevated",IF(D5&gt;=-0.3,"Severe","Critical"))))</f>
        <v>Normal</v>
      </c>
      <c r="F5" s="172" t="str">
        <f aca="false">IF(E5="","",IF(E5="Normal","5-15%",IF(E5="Elevated","15%",IF(E5="Severe","20%","25%"))))</f>
        <v>5-15%</v>
      </c>
      <c r="G5" s="172" t="str">
        <f aca="false">IF(E5="","",IF(E5="Normal","Standard (score &gt;=65)",IF(E5="Elevated","Restricted (score &gt;=80 only)","Suspended")))</f>
        <v>Standard (score &gt;=65)</v>
      </c>
      <c r="H5" s="173" t="s">
        <v>484</v>
      </c>
    </row>
    <row r="6" customFormat="false" ht="15" hidden="false" customHeight="true" outlineLevel="0" collapsed="false">
      <c r="A6" s="167" t="n">
        <v>46301</v>
      </c>
      <c r="B6" s="168" t="n">
        <v>753520.32</v>
      </c>
      <c r="C6" s="169" t="n">
        <f aca="false">IF(B6="","",MAX(C5,B6))</f>
        <v>753520.32</v>
      </c>
      <c r="D6" s="170" t="n">
        <f aca="false">IF(OR(B6="",C6=""),"",B6/C6-1)</f>
        <v>0</v>
      </c>
      <c r="E6" s="171" t="str">
        <f aca="false">IF(D6="","",IF(D6&gt;=-0.1,"Normal",IF(D6&gt;=-0.2,"Elevated",IF(D6&gt;=-0.3,"Severe","Critical"))))</f>
        <v>Normal</v>
      </c>
      <c r="F6" s="172" t="str">
        <f aca="false">IF(E6="","",IF(E6="Normal","5-15%",IF(E6="Elevated","15%",IF(E6="Severe","20%","25%"))))</f>
        <v>5-15%</v>
      </c>
      <c r="G6" s="172" t="str">
        <f aca="false">IF(E6="","",IF(E6="Normal","Standard (score &gt;=65)",IF(E6="Elevated","Restricted (score &gt;=80 only)","Suspended")))</f>
        <v>Standard (score &gt;=65)</v>
      </c>
      <c r="H6" s="173" t="s">
        <v>485</v>
      </c>
    </row>
    <row r="7" customFormat="false" ht="15" hidden="false" customHeight="true" outlineLevel="0" collapsed="false">
      <c r="A7" s="167"/>
      <c r="B7" s="168"/>
      <c r="C7" s="169" t="str">
        <f aca="false">IF(B7="","",MAX(C6,B7))</f>
        <v/>
      </c>
      <c r="D7" s="170" t="str">
        <f aca="false">IF(OR(B7="",C7=""),"",B7/C7-1)</f>
        <v/>
      </c>
      <c r="E7" s="171" t="str">
        <f aca="false">IF(D7="","",IF(D7&gt;=-0.1,"Normal",IF(D7&gt;=-0.2,"Elevated",IF(D7&gt;=-0.3,"Severe","Critical"))))</f>
        <v/>
      </c>
      <c r="F7" s="172" t="str">
        <f aca="false">IF(E7="","",IF(E7="Normal","5-15%",IF(E7="Elevated","15%",IF(E7="Severe","20%","25%"))))</f>
        <v/>
      </c>
      <c r="G7" s="172" t="str">
        <f aca="false">IF(E7="","",IF(E7="Normal","Standard (score &gt;=65)",IF(E7="Elevated","Restricted (score &gt;=80 only)","Suspended")))</f>
        <v/>
      </c>
      <c r="H7" s="173"/>
    </row>
    <row r="8" customFormat="false" ht="15" hidden="false" customHeight="true" outlineLevel="0" collapsed="false">
      <c r="A8" s="167"/>
      <c r="B8" s="168"/>
      <c r="C8" s="169" t="str">
        <f aca="false">IF(B8="","",MAX(C7,B8))</f>
        <v/>
      </c>
      <c r="D8" s="170" t="str">
        <f aca="false">IF(OR(B8="",C8=""),"",B8/C8-1)</f>
        <v/>
      </c>
      <c r="E8" s="171" t="str">
        <f aca="false">IF(D8="","",IF(D8&gt;=-0.1,"Normal",IF(D8&gt;=-0.2,"Elevated",IF(D8&gt;=-0.3,"Severe","Critical"))))</f>
        <v/>
      </c>
      <c r="F8" s="172" t="str">
        <f aca="false">IF(E8="","",IF(E8="Normal","5-15%",IF(E8="Elevated","15%",IF(E8="Severe","20%","25%"))))</f>
        <v/>
      </c>
      <c r="G8" s="172" t="str">
        <f aca="false">IF(E8="","",IF(E8="Normal","Standard (score &gt;=65)",IF(E8="Elevated","Restricted (score &gt;=80 only)","Suspended")))</f>
        <v/>
      </c>
      <c r="H8" s="173"/>
    </row>
    <row r="9" customFormat="false" ht="15" hidden="false" customHeight="true" outlineLevel="0" collapsed="false">
      <c r="A9" s="167"/>
      <c r="B9" s="168"/>
      <c r="C9" s="169" t="str">
        <f aca="false">IF(B9="","",MAX(C8,B9))</f>
        <v/>
      </c>
      <c r="D9" s="170" t="str">
        <f aca="false">IF(OR(B9="",C9=""),"",B9/C9-1)</f>
        <v/>
      </c>
      <c r="E9" s="171" t="str">
        <f aca="false">IF(D9="","",IF(D9&gt;=-0.1,"Normal",IF(D9&gt;=-0.2,"Elevated",IF(D9&gt;=-0.3,"Severe","Critical"))))</f>
        <v/>
      </c>
      <c r="F9" s="172" t="str">
        <f aca="false">IF(E9="","",IF(E9="Normal","5-15%",IF(E9="Elevated","15%",IF(E9="Severe","20%","25%"))))</f>
        <v/>
      </c>
      <c r="G9" s="172" t="str">
        <f aca="false">IF(E9="","",IF(E9="Normal","Standard (score &gt;=65)",IF(E9="Elevated","Restricted (score &gt;=80 only)","Suspended")))</f>
        <v/>
      </c>
      <c r="H9" s="173"/>
    </row>
    <row r="10" customFormat="false" ht="15" hidden="false" customHeight="true" outlineLevel="0" collapsed="false">
      <c r="A10" s="167"/>
      <c r="B10" s="168"/>
      <c r="C10" s="169" t="str">
        <f aca="false">IF(B10="","",MAX(C9,B10))</f>
        <v/>
      </c>
      <c r="D10" s="170" t="str">
        <f aca="false">IF(OR(B10="",C10=""),"",B10/C10-1)</f>
        <v/>
      </c>
      <c r="E10" s="171" t="str">
        <f aca="false">IF(D10="","",IF(D10&gt;=-0.1,"Normal",IF(D10&gt;=-0.2,"Elevated",IF(D10&gt;=-0.3,"Severe","Critical"))))</f>
        <v/>
      </c>
      <c r="F10" s="172" t="str">
        <f aca="false">IF(E10="","",IF(E10="Normal","5-15%",IF(E10="Elevated","15%",IF(E10="Severe","20%","25%"))))</f>
        <v/>
      </c>
      <c r="G10" s="172" t="str">
        <f aca="false">IF(E10="","",IF(E10="Normal","Standard (score &gt;=65)",IF(E10="Elevated","Restricted (score &gt;=80 only)","Suspended")))</f>
        <v/>
      </c>
      <c r="H10" s="173"/>
    </row>
    <row r="11" customFormat="false" ht="15" hidden="false" customHeight="true" outlineLevel="0" collapsed="false">
      <c r="A11" s="167"/>
      <c r="B11" s="168"/>
      <c r="C11" s="169" t="str">
        <f aca="false">IF(B11="","",MAX(C10,B11))</f>
        <v/>
      </c>
      <c r="D11" s="170" t="str">
        <f aca="false">IF(OR(B11="",C11=""),"",B11/C11-1)</f>
        <v/>
      </c>
      <c r="E11" s="171" t="str">
        <f aca="false">IF(D11="","",IF(D11&gt;=-0.1,"Normal",IF(D11&gt;=-0.2,"Elevated",IF(D11&gt;=-0.3,"Severe","Critical"))))</f>
        <v/>
      </c>
      <c r="F11" s="172" t="str">
        <f aca="false">IF(E11="","",IF(E11="Normal","5-15%",IF(E11="Elevated","15%",IF(E11="Severe","20%","25%"))))</f>
        <v/>
      </c>
      <c r="G11" s="172" t="str">
        <f aca="false">IF(E11="","",IF(E11="Normal","Standard (score &gt;=65)",IF(E11="Elevated","Restricted (score &gt;=80 only)","Suspended")))</f>
        <v/>
      </c>
      <c r="H11" s="173"/>
    </row>
    <row r="12" customFormat="false" ht="15" hidden="false" customHeight="true" outlineLevel="0" collapsed="false">
      <c r="A12" s="167"/>
      <c r="B12" s="168"/>
      <c r="C12" s="169" t="str">
        <f aca="false">IF(B12="","",MAX(C11,B12))</f>
        <v/>
      </c>
      <c r="D12" s="170" t="str">
        <f aca="false">IF(OR(B12="",C12=""),"",B12/C12-1)</f>
        <v/>
      </c>
      <c r="E12" s="171" t="str">
        <f aca="false">IF(D12="","",IF(D12&gt;=-0.1,"Normal",IF(D12&gt;=-0.2,"Elevated",IF(D12&gt;=-0.3,"Severe","Critical"))))</f>
        <v/>
      </c>
      <c r="F12" s="172" t="str">
        <f aca="false">IF(E12="","",IF(E12="Normal","5-15%",IF(E12="Elevated","15%",IF(E12="Severe","20%","25%"))))</f>
        <v/>
      </c>
      <c r="G12" s="172" t="str">
        <f aca="false">IF(E12="","",IF(E12="Normal","Standard (score &gt;=65)",IF(E12="Elevated","Restricted (score &gt;=80 only)","Suspended")))</f>
        <v/>
      </c>
      <c r="H12" s="173"/>
    </row>
    <row r="13" customFormat="false" ht="15" hidden="false" customHeight="true" outlineLevel="0" collapsed="false">
      <c r="A13" s="167"/>
      <c r="B13" s="168"/>
      <c r="C13" s="169" t="str">
        <f aca="false">IF(B13="","",MAX(C12,B13))</f>
        <v/>
      </c>
      <c r="D13" s="170" t="str">
        <f aca="false">IF(OR(B13="",C13=""),"",B13/C13-1)</f>
        <v/>
      </c>
      <c r="E13" s="171" t="str">
        <f aca="false">IF(D13="","",IF(D13&gt;=-0.1,"Normal",IF(D13&gt;=-0.2,"Elevated",IF(D13&gt;=-0.3,"Severe","Critical"))))</f>
        <v/>
      </c>
      <c r="F13" s="172" t="str">
        <f aca="false">IF(E13="","",IF(E13="Normal","5-15%",IF(E13="Elevated","15%",IF(E13="Severe","20%","25%"))))</f>
        <v/>
      </c>
      <c r="G13" s="172" t="str">
        <f aca="false">IF(E13="","",IF(E13="Normal","Standard (score &gt;=65)",IF(E13="Elevated","Restricted (score &gt;=80 only)","Suspended")))</f>
        <v/>
      </c>
      <c r="H13" s="173"/>
    </row>
    <row r="14" customFormat="false" ht="15" hidden="false" customHeight="true" outlineLevel="0" collapsed="false">
      <c r="A14" s="167"/>
      <c r="B14" s="168"/>
      <c r="C14" s="169" t="str">
        <f aca="false">IF(B14="","",MAX(C13,B14))</f>
        <v/>
      </c>
      <c r="D14" s="170" t="str">
        <f aca="false">IF(OR(B14="",C14=""),"",B14/C14-1)</f>
        <v/>
      </c>
      <c r="E14" s="171" t="str">
        <f aca="false">IF(D14="","",IF(D14&gt;=-0.1,"Normal",IF(D14&gt;=-0.2,"Elevated",IF(D14&gt;=-0.3,"Severe","Critical"))))</f>
        <v/>
      </c>
      <c r="F14" s="172" t="str">
        <f aca="false">IF(E14="","",IF(E14="Normal","5-15%",IF(E14="Elevated","15%",IF(E14="Severe","20%","25%"))))</f>
        <v/>
      </c>
      <c r="G14" s="172" t="str">
        <f aca="false">IF(E14="","",IF(E14="Normal","Standard (score &gt;=65)",IF(E14="Elevated","Restricted (score &gt;=80 only)","Suspended")))</f>
        <v/>
      </c>
      <c r="H14" s="173"/>
    </row>
    <row r="15" customFormat="false" ht="15" hidden="false" customHeight="true" outlineLevel="0" collapsed="false">
      <c r="A15" s="167"/>
      <c r="B15" s="168"/>
      <c r="C15" s="169" t="str">
        <f aca="false">IF(B15="","",MAX(C14,B15))</f>
        <v/>
      </c>
      <c r="D15" s="170" t="str">
        <f aca="false">IF(OR(B15="",C15=""),"",B15/C15-1)</f>
        <v/>
      </c>
      <c r="E15" s="171" t="str">
        <f aca="false">IF(D15="","",IF(D15&gt;=-0.1,"Normal",IF(D15&gt;=-0.2,"Elevated",IF(D15&gt;=-0.3,"Severe","Critical"))))</f>
        <v/>
      </c>
      <c r="F15" s="172" t="str">
        <f aca="false">IF(E15="","",IF(E15="Normal","5-15%",IF(E15="Elevated","15%",IF(E15="Severe","20%","25%"))))</f>
        <v/>
      </c>
      <c r="G15" s="172" t="str">
        <f aca="false">IF(E15="","",IF(E15="Normal","Standard (score &gt;=65)",IF(E15="Elevated","Restricted (score &gt;=80 only)","Suspended")))</f>
        <v/>
      </c>
      <c r="H15" s="173"/>
    </row>
    <row r="16" customFormat="false" ht="15" hidden="false" customHeight="true" outlineLevel="0" collapsed="false">
      <c r="A16" s="167"/>
      <c r="B16" s="168"/>
      <c r="C16" s="169" t="str">
        <f aca="false">IF(B16="","",MAX(C15,B16))</f>
        <v/>
      </c>
      <c r="D16" s="170" t="str">
        <f aca="false">IF(OR(B16="",C16=""),"",B16/C16-1)</f>
        <v/>
      </c>
      <c r="E16" s="171" t="str">
        <f aca="false">IF(D16="","",IF(D16&gt;=-0.1,"Normal",IF(D16&gt;=-0.2,"Elevated",IF(D16&gt;=-0.3,"Severe","Critical"))))</f>
        <v/>
      </c>
      <c r="F16" s="172" t="str">
        <f aca="false">IF(E16="","",IF(E16="Normal","5-15%",IF(E16="Elevated","15%",IF(E16="Severe","20%","25%"))))</f>
        <v/>
      </c>
      <c r="G16" s="172" t="str">
        <f aca="false">IF(E16="","",IF(E16="Normal","Standard (score &gt;=65)",IF(E16="Elevated","Restricted (score &gt;=80 only)","Suspended")))</f>
        <v/>
      </c>
      <c r="H16" s="173"/>
    </row>
    <row r="17" customFormat="false" ht="15" hidden="false" customHeight="true" outlineLevel="0" collapsed="false">
      <c r="A17" s="167"/>
      <c r="B17" s="168"/>
      <c r="C17" s="169" t="str">
        <f aca="false">IF(B17="","",MAX(C16,B17))</f>
        <v/>
      </c>
      <c r="D17" s="170" t="str">
        <f aca="false">IF(OR(B17="",C17=""),"",B17/C17-1)</f>
        <v/>
      </c>
      <c r="E17" s="171" t="str">
        <f aca="false">IF(D17="","",IF(D17&gt;=-0.1,"Normal",IF(D17&gt;=-0.2,"Elevated",IF(D17&gt;=-0.3,"Severe","Critical"))))</f>
        <v/>
      </c>
      <c r="F17" s="172" t="str">
        <f aca="false">IF(E17="","",IF(E17="Normal","5-15%",IF(E17="Elevated","15%",IF(E17="Severe","20%","25%"))))</f>
        <v/>
      </c>
      <c r="G17" s="172" t="str">
        <f aca="false">IF(E17="","",IF(E17="Normal","Standard (score &gt;=65)",IF(E17="Elevated","Restricted (score &gt;=80 only)","Suspended")))</f>
        <v/>
      </c>
      <c r="H17" s="173"/>
    </row>
    <row r="18" customFormat="false" ht="15" hidden="false" customHeight="true" outlineLevel="0" collapsed="false">
      <c r="A18" s="167"/>
      <c r="B18" s="168"/>
      <c r="C18" s="169" t="str">
        <f aca="false">IF(B18="","",MAX(C17,B18))</f>
        <v/>
      </c>
      <c r="D18" s="170" t="str">
        <f aca="false">IF(OR(B18="",C18=""),"",B18/C18-1)</f>
        <v/>
      </c>
      <c r="E18" s="171" t="str">
        <f aca="false">IF(D18="","",IF(D18&gt;=-0.1,"Normal",IF(D18&gt;=-0.2,"Elevated",IF(D18&gt;=-0.3,"Severe","Critical"))))</f>
        <v/>
      </c>
      <c r="F18" s="172" t="str">
        <f aca="false">IF(E18="","",IF(E18="Normal","5-15%",IF(E18="Elevated","15%",IF(E18="Severe","20%","25%"))))</f>
        <v/>
      </c>
      <c r="G18" s="172" t="str">
        <f aca="false">IF(E18="","",IF(E18="Normal","Standard (score &gt;=65)",IF(E18="Elevated","Restricted (score &gt;=80 only)","Suspended")))</f>
        <v/>
      </c>
      <c r="H18" s="173"/>
    </row>
    <row r="19" customFormat="false" ht="15" hidden="false" customHeight="true" outlineLevel="0" collapsed="false">
      <c r="A19" s="167"/>
      <c r="B19" s="168"/>
      <c r="C19" s="169" t="str">
        <f aca="false">IF(B19="","",MAX(C18,B19))</f>
        <v/>
      </c>
      <c r="D19" s="170" t="str">
        <f aca="false">IF(OR(B19="",C19=""),"",B19/C19-1)</f>
        <v/>
      </c>
      <c r="E19" s="171" t="str">
        <f aca="false">IF(D19="","",IF(D19&gt;=-0.1,"Normal",IF(D19&gt;=-0.2,"Elevated",IF(D19&gt;=-0.3,"Severe","Critical"))))</f>
        <v/>
      </c>
      <c r="F19" s="172" t="str">
        <f aca="false">IF(E19="","",IF(E19="Normal","5-15%",IF(E19="Elevated","15%",IF(E19="Severe","20%","25%"))))</f>
        <v/>
      </c>
      <c r="G19" s="172" t="str">
        <f aca="false">IF(E19="","",IF(E19="Normal","Standard (score &gt;=65)",IF(E19="Elevated","Restricted (score &gt;=80 only)","Suspended")))</f>
        <v/>
      </c>
      <c r="H19" s="173"/>
    </row>
    <row r="20" customFormat="false" ht="15" hidden="false" customHeight="true" outlineLevel="0" collapsed="false">
      <c r="A20" s="167"/>
      <c r="B20" s="168"/>
      <c r="C20" s="169" t="str">
        <f aca="false">IF(B20="","",MAX(C19,B20))</f>
        <v/>
      </c>
      <c r="D20" s="170" t="str">
        <f aca="false">IF(OR(B20="",C20=""),"",B20/C20-1)</f>
        <v/>
      </c>
      <c r="E20" s="171" t="str">
        <f aca="false">IF(D20="","",IF(D20&gt;=-0.1,"Normal",IF(D20&gt;=-0.2,"Elevated",IF(D20&gt;=-0.3,"Severe","Critical"))))</f>
        <v/>
      </c>
      <c r="F20" s="172" t="str">
        <f aca="false">IF(E20="","",IF(E20="Normal","5-15%",IF(E20="Elevated","15%",IF(E20="Severe","20%","25%"))))</f>
        <v/>
      </c>
      <c r="G20" s="172" t="str">
        <f aca="false">IF(E20="","",IF(E20="Normal","Standard (score &gt;=65)",IF(E20="Elevated","Restricted (score &gt;=80 only)","Suspended")))</f>
        <v/>
      </c>
      <c r="H20" s="173"/>
    </row>
    <row r="21" customFormat="false" ht="15" hidden="false" customHeight="true" outlineLevel="0" collapsed="false">
      <c r="A21" s="167"/>
      <c r="B21" s="168"/>
      <c r="C21" s="169" t="str">
        <f aca="false">IF(B21="","",MAX(C20,B21))</f>
        <v/>
      </c>
      <c r="D21" s="170" t="str">
        <f aca="false">IF(OR(B21="",C21=""),"",B21/C21-1)</f>
        <v/>
      </c>
      <c r="E21" s="171" t="str">
        <f aca="false">IF(D21="","",IF(D21&gt;=-0.1,"Normal",IF(D21&gt;=-0.2,"Elevated",IF(D21&gt;=-0.3,"Severe","Critical"))))</f>
        <v/>
      </c>
      <c r="F21" s="172" t="str">
        <f aca="false">IF(E21="","",IF(E21="Normal","5-15%",IF(E21="Elevated","15%",IF(E21="Severe","20%","25%"))))</f>
        <v/>
      </c>
      <c r="G21" s="172" t="str">
        <f aca="false">IF(E21="","",IF(E21="Normal","Standard (score &gt;=65)",IF(E21="Elevated","Restricted (score &gt;=80 only)","Suspended")))</f>
        <v/>
      </c>
      <c r="H21" s="173"/>
    </row>
    <row r="22" customFormat="false" ht="15" hidden="false" customHeight="true" outlineLevel="0" collapsed="false">
      <c r="A22" s="167"/>
      <c r="B22" s="168"/>
      <c r="C22" s="169" t="str">
        <f aca="false">IF(B22="","",MAX(C21,B22))</f>
        <v/>
      </c>
      <c r="D22" s="170" t="str">
        <f aca="false">IF(OR(B22="",C22=""),"",B22/C22-1)</f>
        <v/>
      </c>
      <c r="E22" s="171" t="str">
        <f aca="false">IF(D22="","",IF(D22&gt;=-0.1,"Normal",IF(D22&gt;=-0.2,"Elevated",IF(D22&gt;=-0.3,"Severe","Critical"))))</f>
        <v/>
      </c>
      <c r="F22" s="172" t="str">
        <f aca="false">IF(E22="","",IF(E22="Normal","5-15%",IF(E22="Elevated","15%",IF(E22="Severe","20%","25%"))))</f>
        <v/>
      </c>
      <c r="G22" s="172" t="str">
        <f aca="false">IF(E22="","",IF(E22="Normal","Standard (score &gt;=65)",IF(E22="Elevated","Restricted (score &gt;=80 only)","Suspended")))</f>
        <v/>
      </c>
      <c r="H22" s="173"/>
    </row>
    <row r="23" customFormat="false" ht="15" hidden="false" customHeight="true" outlineLevel="0" collapsed="false">
      <c r="A23" s="167"/>
      <c r="B23" s="168"/>
      <c r="C23" s="169" t="str">
        <f aca="false">IF(B23="","",MAX(C22,B23))</f>
        <v/>
      </c>
      <c r="D23" s="170" t="str">
        <f aca="false">IF(OR(B23="",C23=""),"",B23/C23-1)</f>
        <v/>
      </c>
      <c r="E23" s="171" t="str">
        <f aca="false">IF(D23="","",IF(D23&gt;=-0.1,"Normal",IF(D23&gt;=-0.2,"Elevated",IF(D23&gt;=-0.3,"Severe","Critical"))))</f>
        <v/>
      </c>
      <c r="F23" s="172" t="str">
        <f aca="false">IF(E23="","",IF(E23="Normal","5-15%",IF(E23="Elevated","15%",IF(E23="Severe","20%","25%"))))</f>
        <v/>
      </c>
      <c r="G23" s="172" t="str">
        <f aca="false">IF(E23="","",IF(E23="Normal","Standard (score &gt;=65)",IF(E23="Elevated","Restricted (score &gt;=80 only)","Suspended")))</f>
        <v/>
      </c>
      <c r="H23" s="173"/>
    </row>
    <row r="24" customFormat="false" ht="15" hidden="false" customHeight="true" outlineLevel="0" collapsed="false">
      <c r="A24" s="167"/>
      <c r="B24" s="168"/>
      <c r="C24" s="169" t="str">
        <f aca="false">IF(B24="","",MAX(C23,B24))</f>
        <v/>
      </c>
      <c r="D24" s="170" t="str">
        <f aca="false">IF(OR(B24="",C24=""),"",B24/C24-1)</f>
        <v/>
      </c>
      <c r="E24" s="171" t="str">
        <f aca="false">IF(D24="","",IF(D24&gt;=-0.1,"Normal",IF(D24&gt;=-0.2,"Elevated",IF(D24&gt;=-0.3,"Severe","Critical"))))</f>
        <v/>
      </c>
      <c r="F24" s="172" t="str">
        <f aca="false">IF(E24="","",IF(E24="Normal","5-15%",IF(E24="Elevated","15%",IF(E24="Severe","20%","25%"))))</f>
        <v/>
      </c>
      <c r="G24" s="172" t="str">
        <f aca="false">IF(E24="","",IF(E24="Normal","Standard (score &gt;=65)",IF(E24="Elevated","Restricted (score &gt;=80 only)","Suspended")))</f>
        <v/>
      </c>
      <c r="H24" s="173"/>
    </row>
    <row r="25" customFormat="false" ht="15" hidden="false" customHeight="true" outlineLevel="0" collapsed="false">
      <c r="A25" s="167"/>
      <c r="B25" s="168"/>
      <c r="C25" s="169" t="str">
        <f aca="false">IF(B25="","",MAX(C24,B25))</f>
        <v/>
      </c>
      <c r="D25" s="170" t="str">
        <f aca="false">IF(OR(B25="",C25=""),"",B25/C25-1)</f>
        <v/>
      </c>
      <c r="E25" s="171" t="str">
        <f aca="false">IF(D25="","",IF(D25&gt;=-0.1,"Normal",IF(D25&gt;=-0.2,"Elevated",IF(D25&gt;=-0.3,"Severe","Critical"))))</f>
        <v/>
      </c>
      <c r="F25" s="172" t="str">
        <f aca="false">IF(E25="","",IF(E25="Normal","5-15%",IF(E25="Elevated","15%",IF(E25="Severe","20%","25%"))))</f>
        <v/>
      </c>
      <c r="G25" s="172" t="str">
        <f aca="false">IF(E25="","",IF(E25="Normal","Standard (score &gt;=65)",IF(E25="Elevated","Restricted (score &gt;=80 only)","Suspended")))</f>
        <v/>
      </c>
      <c r="H25" s="173"/>
    </row>
    <row r="26" customFormat="false" ht="15" hidden="false" customHeight="true" outlineLevel="0" collapsed="false">
      <c r="A26" s="167"/>
      <c r="B26" s="168"/>
      <c r="C26" s="169" t="str">
        <f aca="false">IF(B26="","",MAX(C25,B26))</f>
        <v/>
      </c>
      <c r="D26" s="170" t="str">
        <f aca="false">IF(OR(B26="",C26=""),"",B26/C26-1)</f>
        <v/>
      </c>
      <c r="E26" s="171" t="str">
        <f aca="false">IF(D26="","",IF(D26&gt;=-0.1,"Normal",IF(D26&gt;=-0.2,"Elevated",IF(D26&gt;=-0.3,"Severe","Critical"))))</f>
        <v/>
      </c>
      <c r="F26" s="172" t="str">
        <f aca="false">IF(E26="","",IF(E26="Normal","5-15%",IF(E26="Elevated","15%",IF(E26="Severe","20%","25%"))))</f>
        <v/>
      </c>
      <c r="G26" s="172" t="str">
        <f aca="false">IF(E26="","",IF(E26="Normal","Standard (score &gt;=65)",IF(E26="Elevated","Restricted (score &gt;=80 only)","Suspended")))</f>
        <v/>
      </c>
      <c r="H26" s="173"/>
    </row>
    <row r="27" customFormat="false" ht="15" hidden="false" customHeight="true" outlineLevel="0" collapsed="false">
      <c r="A27" s="167"/>
      <c r="B27" s="168"/>
      <c r="C27" s="169" t="str">
        <f aca="false">IF(B27="","",MAX(C26,B27))</f>
        <v/>
      </c>
      <c r="D27" s="170" t="str">
        <f aca="false">IF(OR(B27="",C27=""),"",B27/C27-1)</f>
        <v/>
      </c>
      <c r="E27" s="171" t="str">
        <f aca="false">IF(D27="","",IF(D27&gt;=-0.1,"Normal",IF(D27&gt;=-0.2,"Elevated",IF(D27&gt;=-0.3,"Severe","Critical"))))</f>
        <v/>
      </c>
      <c r="F27" s="172" t="str">
        <f aca="false">IF(E27="","",IF(E27="Normal","5-15%",IF(E27="Elevated","15%",IF(E27="Severe","20%","25%"))))</f>
        <v/>
      </c>
      <c r="G27" s="172" t="str">
        <f aca="false">IF(E27="","",IF(E27="Normal","Standard (score &gt;=65)",IF(E27="Elevated","Restricted (score &gt;=80 only)","Suspended")))</f>
        <v/>
      </c>
      <c r="H27" s="173"/>
    </row>
    <row r="28" customFormat="false" ht="15" hidden="false" customHeight="true" outlineLevel="0" collapsed="false">
      <c r="A28" s="167"/>
      <c r="B28" s="168"/>
      <c r="C28" s="169" t="str">
        <f aca="false">IF(B28="","",MAX(C27,B28))</f>
        <v/>
      </c>
      <c r="D28" s="170" t="str">
        <f aca="false">IF(OR(B28="",C28=""),"",B28/C28-1)</f>
        <v/>
      </c>
      <c r="E28" s="171" t="str">
        <f aca="false">IF(D28="","",IF(D28&gt;=-0.1,"Normal",IF(D28&gt;=-0.2,"Elevated",IF(D28&gt;=-0.3,"Severe","Critical"))))</f>
        <v/>
      </c>
      <c r="F28" s="172" t="str">
        <f aca="false">IF(E28="","",IF(E28="Normal","5-15%",IF(E28="Elevated","15%",IF(E28="Severe","20%","25%"))))</f>
        <v/>
      </c>
      <c r="G28" s="172" t="str">
        <f aca="false">IF(E28="","",IF(E28="Normal","Standard (score &gt;=65)",IF(E28="Elevated","Restricted (score &gt;=80 only)","Suspended")))</f>
        <v/>
      </c>
      <c r="H28" s="173"/>
    </row>
    <row r="29" customFormat="false" ht="15" hidden="false" customHeight="true" outlineLevel="0" collapsed="false">
      <c r="A29" s="167"/>
      <c r="B29" s="168"/>
      <c r="C29" s="169" t="str">
        <f aca="false">IF(B29="","",MAX(C28,B29))</f>
        <v/>
      </c>
      <c r="D29" s="170" t="str">
        <f aca="false">IF(OR(B29="",C29=""),"",B29/C29-1)</f>
        <v/>
      </c>
      <c r="E29" s="171" t="str">
        <f aca="false">IF(D29="","",IF(D29&gt;=-0.1,"Normal",IF(D29&gt;=-0.2,"Elevated",IF(D29&gt;=-0.3,"Severe","Critical"))))</f>
        <v/>
      </c>
      <c r="F29" s="172" t="str">
        <f aca="false">IF(E29="","",IF(E29="Normal","5-15%",IF(E29="Elevated","15%",IF(E29="Severe","20%","25%"))))</f>
        <v/>
      </c>
      <c r="G29" s="172" t="str">
        <f aca="false">IF(E29="","",IF(E29="Normal","Standard (score &gt;=65)",IF(E29="Elevated","Restricted (score &gt;=80 only)","Suspended")))</f>
        <v/>
      </c>
      <c r="H29" s="173"/>
    </row>
    <row r="30" customFormat="false" ht="15" hidden="false" customHeight="true" outlineLevel="0" collapsed="false">
      <c r="A30" s="167"/>
      <c r="B30" s="168"/>
      <c r="C30" s="169" t="str">
        <f aca="false">IF(B30="","",MAX(C29,B30))</f>
        <v/>
      </c>
      <c r="D30" s="170" t="str">
        <f aca="false">IF(OR(B30="",C30=""),"",B30/C30-1)</f>
        <v/>
      </c>
      <c r="E30" s="171" t="str">
        <f aca="false">IF(D30="","",IF(D30&gt;=-0.1,"Normal",IF(D30&gt;=-0.2,"Elevated",IF(D30&gt;=-0.3,"Severe","Critical"))))</f>
        <v/>
      </c>
      <c r="F30" s="172" t="str">
        <f aca="false">IF(E30="","",IF(E30="Normal","5-15%",IF(E30="Elevated","15%",IF(E30="Severe","20%","25%"))))</f>
        <v/>
      </c>
      <c r="G30" s="172" t="str">
        <f aca="false">IF(E30="","",IF(E30="Normal","Standard (score &gt;=65)",IF(E30="Elevated","Restricted (score &gt;=80 only)","Suspended")))</f>
        <v/>
      </c>
      <c r="H30" s="173"/>
    </row>
    <row r="31" customFormat="false" ht="15" hidden="false" customHeight="true" outlineLevel="0" collapsed="false">
      <c r="A31" s="167"/>
      <c r="B31" s="168"/>
      <c r="C31" s="169" t="str">
        <f aca="false">IF(B31="","",MAX(C30,B31))</f>
        <v/>
      </c>
      <c r="D31" s="170" t="str">
        <f aca="false">IF(OR(B31="",C31=""),"",B31/C31-1)</f>
        <v/>
      </c>
      <c r="E31" s="171" t="str">
        <f aca="false">IF(D31="","",IF(D31&gt;=-0.1,"Normal",IF(D31&gt;=-0.2,"Elevated",IF(D31&gt;=-0.3,"Severe","Critical"))))</f>
        <v/>
      </c>
      <c r="F31" s="172" t="str">
        <f aca="false">IF(E31="","",IF(E31="Normal","5-15%",IF(E31="Elevated","15%",IF(E31="Severe","20%","25%"))))</f>
        <v/>
      </c>
      <c r="G31" s="172" t="str">
        <f aca="false">IF(E31="","",IF(E31="Normal","Standard (score &gt;=65)",IF(E31="Elevated","Restricted (score &gt;=80 only)","Suspended")))</f>
        <v/>
      </c>
      <c r="H31" s="173"/>
    </row>
    <row r="32" customFormat="false" ht="15" hidden="false" customHeight="true" outlineLevel="0" collapsed="false">
      <c r="A32" s="167"/>
      <c r="B32" s="168"/>
      <c r="C32" s="169" t="str">
        <f aca="false">IF(B32="","",MAX(C31,B32))</f>
        <v/>
      </c>
      <c r="D32" s="170" t="str">
        <f aca="false">IF(OR(B32="",C32=""),"",B32/C32-1)</f>
        <v/>
      </c>
      <c r="E32" s="171" t="str">
        <f aca="false">IF(D32="","",IF(D32&gt;=-0.1,"Normal",IF(D32&gt;=-0.2,"Elevated",IF(D32&gt;=-0.3,"Severe","Critical"))))</f>
        <v/>
      </c>
      <c r="F32" s="172" t="str">
        <f aca="false">IF(E32="","",IF(E32="Normal","5-15%",IF(E32="Elevated","15%",IF(E32="Severe","20%","25%"))))</f>
        <v/>
      </c>
      <c r="G32" s="172" t="str">
        <f aca="false">IF(E32="","",IF(E32="Normal","Standard (score &gt;=65)",IF(E32="Elevated","Restricted (score &gt;=80 only)","Suspended")))</f>
        <v/>
      </c>
      <c r="H32" s="173"/>
    </row>
    <row r="33" customFormat="false" ht="15" hidden="false" customHeight="true" outlineLevel="0" collapsed="false">
      <c r="A33" s="167"/>
      <c r="B33" s="168"/>
      <c r="C33" s="169" t="str">
        <f aca="false">IF(B33="","",MAX(C32,B33))</f>
        <v/>
      </c>
      <c r="D33" s="170" t="str">
        <f aca="false">IF(OR(B33="",C33=""),"",B33/C33-1)</f>
        <v/>
      </c>
      <c r="E33" s="171" t="str">
        <f aca="false">IF(D33="","",IF(D33&gt;=-0.1,"Normal",IF(D33&gt;=-0.2,"Elevated",IF(D33&gt;=-0.3,"Severe","Critical"))))</f>
        <v/>
      </c>
      <c r="F33" s="172" t="str">
        <f aca="false">IF(E33="","",IF(E33="Normal","5-15%",IF(E33="Elevated","15%",IF(E33="Severe","20%","25%"))))</f>
        <v/>
      </c>
      <c r="G33" s="172" t="str">
        <f aca="false">IF(E33="","",IF(E33="Normal","Standard (score &gt;=65)",IF(E33="Elevated","Restricted (score &gt;=80 only)","Suspended")))</f>
        <v/>
      </c>
      <c r="H33" s="173"/>
    </row>
    <row r="34" customFormat="false" ht="15" hidden="false" customHeight="true" outlineLevel="0" collapsed="false">
      <c r="A34" s="167"/>
      <c r="B34" s="168"/>
      <c r="C34" s="169" t="str">
        <f aca="false">IF(B34="","",MAX(C33,B34))</f>
        <v/>
      </c>
      <c r="D34" s="170" t="str">
        <f aca="false">IF(OR(B34="",C34=""),"",B34/C34-1)</f>
        <v/>
      </c>
      <c r="E34" s="171" t="str">
        <f aca="false">IF(D34="","",IF(D34&gt;=-0.1,"Normal",IF(D34&gt;=-0.2,"Elevated",IF(D34&gt;=-0.3,"Severe","Critical"))))</f>
        <v/>
      </c>
      <c r="F34" s="172" t="str">
        <f aca="false">IF(E34="","",IF(E34="Normal","5-15%",IF(E34="Elevated","15%",IF(E34="Severe","20%","25%"))))</f>
        <v/>
      </c>
      <c r="G34" s="172" t="str">
        <f aca="false">IF(E34="","",IF(E34="Normal","Standard (score &gt;=65)",IF(E34="Elevated","Restricted (score &gt;=80 only)","Suspended")))</f>
        <v/>
      </c>
      <c r="H34" s="173"/>
    </row>
    <row r="35" customFormat="false" ht="15" hidden="false" customHeight="true" outlineLevel="0" collapsed="false">
      <c r="A35" s="167"/>
      <c r="B35" s="168"/>
      <c r="C35" s="169" t="str">
        <f aca="false">IF(B35="","",MAX(C34,B35))</f>
        <v/>
      </c>
      <c r="D35" s="170" t="str">
        <f aca="false">IF(OR(B35="",C35=""),"",B35/C35-1)</f>
        <v/>
      </c>
      <c r="E35" s="171" t="str">
        <f aca="false">IF(D35="","",IF(D35&gt;=-0.1,"Normal",IF(D35&gt;=-0.2,"Elevated",IF(D35&gt;=-0.3,"Severe","Critical"))))</f>
        <v/>
      </c>
      <c r="F35" s="172" t="str">
        <f aca="false">IF(E35="","",IF(E35="Normal","5-15%",IF(E35="Elevated","15%",IF(E35="Severe","20%","25%"))))</f>
        <v/>
      </c>
      <c r="G35" s="172" t="str">
        <f aca="false">IF(E35="","",IF(E35="Normal","Standard (score &gt;=65)",IF(E35="Elevated","Restricted (score &gt;=80 only)","Suspended")))</f>
        <v/>
      </c>
      <c r="H35" s="173"/>
    </row>
    <row r="36" customFormat="false" ht="15" hidden="false" customHeight="true" outlineLevel="0" collapsed="false">
      <c r="A36" s="167"/>
      <c r="B36" s="168"/>
      <c r="C36" s="169" t="str">
        <f aca="false">IF(B36="","",MAX(C35,B36))</f>
        <v/>
      </c>
      <c r="D36" s="170" t="str">
        <f aca="false">IF(OR(B36="",C36=""),"",B36/C36-1)</f>
        <v/>
      </c>
      <c r="E36" s="171" t="str">
        <f aca="false">IF(D36="","",IF(D36&gt;=-0.1,"Normal",IF(D36&gt;=-0.2,"Elevated",IF(D36&gt;=-0.3,"Severe","Critical"))))</f>
        <v/>
      </c>
      <c r="F36" s="172" t="str">
        <f aca="false">IF(E36="","",IF(E36="Normal","5-15%",IF(E36="Elevated","15%",IF(E36="Severe","20%","25%"))))</f>
        <v/>
      </c>
      <c r="G36" s="172" t="str">
        <f aca="false">IF(E36="","",IF(E36="Normal","Standard (score &gt;=65)",IF(E36="Elevated","Restricted (score &gt;=80 only)","Suspended")))</f>
        <v/>
      </c>
      <c r="H36" s="173"/>
    </row>
    <row r="37" customFormat="false" ht="15" hidden="false" customHeight="true" outlineLevel="0" collapsed="false">
      <c r="A37" s="167"/>
      <c r="B37" s="168"/>
      <c r="C37" s="169" t="str">
        <f aca="false">IF(B37="","",MAX(C36,B37))</f>
        <v/>
      </c>
      <c r="D37" s="170" t="str">
        <f aca="false">IF(OR(B37="",C37=""),"",B37/C37-1)</f>
        <v/>
      </c>
      <c r="E37" s="171" t="str">
        <f aca="false">IF(D37="","",IF(D37&gt;=-0.1,"Normal",IF(D37&gt;=-0.2,"Elevated",IF(D37&gt;=-0.3,"Severe","Critical"))))</f>
        <v/>
      </c>
      <c r="F37" s="172" t="str">
        <f aca="false">IF(E37="","",IF(E37="Normal","5-15%",IF(E37="Elevated","15%",IF(E37="Severe","20%","25%"))))</f>
        <v/>
      </c>
      <c r="G37" s="172" t="str">
        <f aca="false">IF(E37="","",IF(E37="Normal","Standard (score &gt;=65)",IF(E37="Elevated","Restricted (score &gt;=80 only)","Suspended")))</f>
        <v/>
      </c>
      <c r="H37" s="173"/>
    </row>
    <row r="38" customFormat="false" ht="15" hidden="false" customHeight="true" outlineLevel="0" collapsed="false">
      <c r="A38" s="167"/>
      <c r="B38" s="168"/>
      <c r="C38" s="169" t="str">
        <f aca="false">IF(B38="","",MAX(C37,B38))</f>
        <v/>
      </c>
      <c r="D38" s="170" t="str">
        <f aca="false">IF(OR(B38="",C38=""),"",B38/C38-1)</f>
        <v/>
      </c>
      <c r="E38" s="171" t="str">
        <f aca="false">IF(D38="","",IF(D38&gt;=-0.1,"Normal",IF(D38&gt;=-0.2,"Elevated",IF(D38&gt;=-0.3,"Severe","Critical"))))</f>
        <v/>
      </c>
      <c r="F38" s="172" t="str">
        <f aca="false">IF(E38="","",IF(E38="Normal","5-15%",IF(E38="Elevated","15%",IF(E38="Severe","20%","25%"))))</f>
        <v/>
      </c>
      <c r="G38" s="172" t="str">
        <f aca="false">IF(E38="","",IF(E38="Normal","Standard (score &gt;=65)",IF(E38="Elevated","Restricted (score &gt;=80 only)","Suspended")))</f>
        <v/>
      </c>
      <c r="H38" s="173"/>
    </row>
    <row r="39" customFormat="false" ht="15" hidden="false" customHeight="true" outlineLevel="0" collapsed="false">
      <c r="A39" s="167"/>
      <c r="B39" s="168"/>
      <c r="C39" s="169" t="str">
        <f aca="false">IF(B39="","",MAX(C38,B39))</f>
        <v/>
      </c>
      <c r="D39" s="170" t="str">
        <f aca="false">IF(OR(B39="",C39=""),"",B39/C39-1)</f>
        <v/>
      </c>
      <c r="E39" s="171" t="str">
        <f aca="false">IF(D39="","",IF(D39&gt;=-0.1,"Normal",IF(D39&gt;=-0.2,"Elevated",IF(D39&gt;=-0.3,"Severe","Critical"))))</f>
        <v/>
      </c>
      <c r="F39" s="172" t="str">
        <f aca="false">IF(E39="","",IF(E39="Normal","5-15%",IF(E39="Elevated","15%",IF(E39="Severe","20%","25%"))))</f>
        <v/>
      </c>
      <c r="G39" s="172" t="str">
        <f aca="false">IF(E39="","",IF(E39="Normal","Standard (score &gt;=65)",IF(E39="Elevated","Restricted (score &gt;=80 only)","Suspended")))</f>
        <v/>
      </c>
      <c r="H39" s="173"/>
    </row>
    <row r="40" customFormat="false" ht="15" hidden="false" customHeight="true" outlineLevel="0" collapsed="false">
      <c r="A40" s="167"/>
      <c r="B40" s="168"/>
      <c r="C40" s="169" t="str">
        <f aca="false">IF(B40="","",MAX(C39,B40))</f>
        <v/>
      </c>
      <c r="D40" s="170" t="str">
        <f aca="false">IF(OR(B40="",C40=""),"",B40/C40-1)</f>
        <v/>
      </c>
      <c r="E40" s="171" t="str">
        <f aca="false">IF(D40="","",IF(D40&gt;=-0.1,"Normal",IF(D40&gt;=-0.2,"Elevated",IF(D40&gt;=-0.3,"Severe","Critical"))))</f>
        <v/>
      </c>
      <c r="F40" s="172" t="str">
        <f aca="false">IF(E40="","",IF(E40="Normal","5-15%",IF(E40="Elevated","15%",IF(E40="Severe","20%","25%"))))</f>
        <v/>
      </c>
      <c r="G40" s="172" t="str">
        <f aca="false">IF(E40="","",IF(E40="Normal","Standard (score &gt;=65)",IF(E40="Elevated","Restricted (score &gt;=80 only)","Suspended")))</f>
        <v/>
      </c>
      <c r="H40" s="173"/>
    </row>
    <row r="41" customFormat="false" ht="15" hidden="false" customHeight="true" outlineLevel="0" collapsed="false">
      <c r="A41" s="167"/>
      <c r="B41" s="168"/>
      <c r="C41" s="169" t="str">
        <f aca="false">IF(B41="","",MAX(C40,B41))</f>
        <v/>
      </c>
      <c r="D41" s="170" t="str">
        <f aca="false">IF(OR(B41="",C41=""),"",B41/C41-1)</f>
        <v/>
      </c>
      <c r="E41" s="171" t="str">
        <f aca="false">IF(D41="","",IF(D41&gt;=-0.1,"Normal",IF(D41&gt;=-0.2,"Elevated",IF(D41&gt;=-0.3,"Severe","Critical"))))</f>
        <v/>
      </c>
      <c r="F41" s="172" t="str">
        <f aca="false">IF(E41="","",IF(E41="Normal","5-15%",IF(E41="Elevated","15%",IF(E41="Severe","20%","25%"))))</f>
        <v/>
      </c>
      <c r="G41" s="172" t="str">
        <f aca="false">IF(E41="","",IF(E41="Normal","Standard (score &gt;=65)",IF(E41="Elevated","Restricted (score &gt;=80 only)","Suspended")))</f>
        <v/>
      </c>
      <c r="H41" s="173"/>
    </row>
    <row r="42" customFormat="false" ht="15" hidden="false" customHeight="true" outlineLevel="0" collapsed="false">
      <c r="A42" s="167"/>
      <c r="B42" s="168"/>
      <c r="C42" s="169" t="str">
        <f aca="false">IF(B42="","",MAX(C41,B42))</f>
        <v/>
      </c>
      <c r="D42" s="170" t="str">
        <f aca="false">IF(OR(B42="",C42=""),"",B42/C42-1)</f>
        <v/>
      </c>
      <c r="E42" s="171" t="str">
        <f aca="false">IF(D42="","",IF(D42&gt;=-0.1,"Normal",IF(D42&gt;=-0.2,"Elevated",IF(D42&gt;=-0.3,"Severe","Critical"))))</f>
        <v/>
      </c>
      <c r="F42" s="172" t="str">
        <f aca="false">IF(E42="","",IF(E42="Normal","5-15%",IF(E42="Elevated","15%",IF(E42="Severe","20%","25%"))))</f>
        <v/>
      </c>
      <c r="G42" s="172" t="str">
        <f aca="false">IF(E42="","",IF(E42="Normal","Standard (score &gt;=65)",IF(E42="Elevated","Restricted (score &gt;=80 only)","Suspended")))</f>
        <v/>
      </c>
      <c r="H42" s="17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4"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5" t="s">
        <v>486</v>
      </c>
      <c r="B1" s="175"/>
      <c r="C1" s="175"/>
      <c r="D1" s="175"/>
      <c r="E1" s="175"/>
      <c r="F1" s="175"/>
      <c r="G1" s="175"/>
      <c r="H1" s="175"/>
      <c r="I1" s="176"/>
      <c r="J1" s="175"/>
      <c r="K1" s="175"/>
      <c r="L1" s="175"/>
      <c r="M1" s="175"/>
    </row>
    <row r="2" customFormat="false" ht="45.75" hidden="false" customHeight="true" outlineLevel="0" collapsed="false">
      <c r="A2" s="60" t="s">
        <v>82</v>
      </c>
      <c r="B2" s="60" t="s">
        <v>296</v>
      </c>
      <c r="C2" s="60" t="s">
        <v>487</v>
      </c>
      <c r="D2" s="60" t="s">
        <v>488</v>
      </c>
      <c r="E2" s="60" t="s">
        <v>489</v>
      </c>
      <c r="F2" s="60" t="s">
        <v>490</v>
      </c>
      <c r="G2" s="60" t="s">
        <v>491</v>
      </c>
      <c r="H2" s="60" t="s">
        <v>492</v>
      </c>
      <c r="I2" s="60" t="s">
        <v>493</v>
      </c>
      <c r="J2" s="60" t="s">
        <v>494</v>
      </c>
      <c r="K2" s="60" t="s">
        <v>495</v>
      </c>
      <c r="L2" s="60" t="s">
        <v>496</v>
      </c>
      <c r="M2" s="27" t="s">
        <v>497</v>
      </c>
    </row>
    <row r="3" customFormat="false" ht="81.75" hidden="false" customHeight="true" outlineLevel="0" collapsed="false">
      <c r="A3" s="129" t="s">
        <v>105</v>
      </c>
      <c r="B3" s="129" t="s">
        <v>106</v>
      </c>
      <c r="C3" s="129" t="s">
        <v>498</v>
      </c>
      <c r="D3" s="177" t="n">
        <v>46299</v>
      </c>
      <c r="E3" s="129" t="n">
        <v>63.4</v>
      </c>
      <c r="F3" s="129" t="n">
        <v>63.4</v>
      </c>
      <c r="G3" s="177" t="n">
        <v>46278</v>
      </c>
      <c r="H3" s="129" t="s">
        <v>224</v>
      </c>
      <c r="I3" s="178" t="n">
        <f aca="false">IF(D3="","",D3+90)</f>
        <v>46389</v>
      </c>
      <c r="J3" s="179" t="n">
        <f aca="true">IF(I3="","",I3-TODAY())</f>
        <v>86</v>
      </c>
      <c r="K3" s="180"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81" t="s">
        <v>499</v>
      </c>
      <c r="M3" s="182" t="n">
        <v>0</v>
      </c>
    </row>
    <row r="4" customFormat="false" ht="51.75" hidden="false" customHeight="true" outlineLevel="0" collapsed="false">
      <c r="A4" s="129"/>
      <c r="B4" s="129"/>
      <c r="C4" s="129"/>
      <c r="D4" s="177"/>
      <c r="E4" s="129"/>
      <c r="F4" s="129"/>
      <c r="G4" s="177"/>
      <c r="H4" s="129"/>
      <c r="I4" s="178" t="str">
        <f aca="false">IF(D4="","",D4+90)</f>
        <v/>
      </c>
      <c r="J4" s="179" t="str">
        <f aca="true">IF(I4="","",I4-TODAY())</f>
        <v/>
      </c>
      <c r="K4" s="180"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81"/>
      <c r="M4" s="183"/>
    </row>
    <row r="5" customFormat="false" ht="51.75" hidden="false" customHeight="true" outlineLevel="0" collapsed="false">
      <c r="A5" s="129"/>
      <c r="B5" s="129"/>
      <c r="C5" s="129"/>
      <c r="D5" s="177"/>
      <c r="E5" s="129"/>
      <c r="F5" s="129"/>
      <c r="G5" s="177"/>
      <c r="H5" s="129"/>
      <c r="I5" s="178" t="str">
        <f aca="false">IF(D5="","",D5+90)</f>
        <v/>
      </c>
      <c r="J5" s="179" t="str">
        <f aca="true">IF(I5="","",I5-TODAY())</f>
        <v/>
      </c>
      <c r="K5" s="180"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81"/>
      <c r="M5" s="183"/>
    </row>
    <row r="6" customFormat="false" ht="15" hidden="false" customHeight="true" outlineLevel="0" collapsed="false">
      <c r="A6" s="129"/>
      <c r="B6" s="129"/>
      <c r="C6" s="129"/>
      <c r="D6" s="177"/>
      <c r="E6" s="129"/>
      <c r="F6" s="129"/>
      <c r="G6" s="177"/>
      <c r="H6" s="129"/>
      <c r="I6" s="178" t="str">
        <f aca="false">IF(D6="","",D6+90)</f>
        <v/>
      </c>
      <c r="J6" s="179" t="str">
        <f aca="true">IF(I6="","",I6-TODAY())</f>
        <v/>
      </c>
      <c r="K6" s="180"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4"/>
      <c r="M6" s="183"/>
    </row>
    <row r="7" customFormat="false" ht="15" hidden="false" customHeight="true" outlineLevel="0" collapsed="false">
      <c r="A7" s="129"/>
      <c r="B7" s="129"/>
      <c r="C7" s="129"/>
      <c r="D7" s="177"/>
      <c r="E7" s="129"/>
      <c r="F7" s="129"/>
      <c r="G7" s="177"/>
      <c r="H7" s="129"/>
      <c r="I7" s="178" t="str">
        <f aca="false">IF(D7="","",D7+90)</f>
        <v/>
      </c>
      <c r="J7" s="179" t="str">
        <f aca="true">IF(I7="","",I7-TODAY())</f>
        <v/>
      </c>
      <c r="K7" s="180"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4"/>
      <c r="M7" s="183"/>
    </row>
    <row r="8" customFormat="false" ht="15" hidden="false" customHeight="true" outlineLevel="0" collapsed="false">
      <c r="A8" s="129"/>
      <c r="B8" s="129"/>
      <c r="C8" s="129"/>
      <c r="D8" s="177"/>
      <c r="E8" s="129"/>
      <c r="F8" s="129"/>
      <c r="G8" s="177"/>
      <c r="H8" s="129"/>
      <c r="I8" s="178" t="str">
        <f aca="false">IF(D8="","",D8+90)</f>
        <v/>
      </c>
      <c r="J8" s="179" t="str">
        <f aca="true">IF(I8="","",I8-TODAY())</f>
        <v/>
      </c>
      <c r="K8" s="180"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4"/>
      <c r="M8" s="183"/>
    </row>
    <row r="9" customFormat="false" ht="15" hidden="false" customHeight="true" outlineLevel="0" collapsed="false">
      <c r="A9" s="129"/>
      <c r="B9" s="129"/>
      <c r="C9" s="129"/>
      <c r="D9" s="177"/>
      <c r="E9" s="129"/>
      <c r="F9" s="129"/>
      <c r="G9" s="177"/>
      <c r="H9" s="129"/>
      <c r="I9" s="178" t="str">
        <f aca="false">IF(D9="","",D9+90)</f>
        <v/>
      </c>
      <c r="J9" s="179" t="str">
        <f aca="true">IF(I9="","",I9-TODAY())</f>
        <v/>
      </c>
      <c r="K9" s="180"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4"/>
      <c r="M9" s="183"/>
    </row>
    <row r="10" customFormat="false" ht="15" hidden="false" customHeight="true" outlineLevel="0" collapsed="false">
      <c r="A10" s="129"/>
      <c r="B10" s="129"/>
      <c r="C10" s="129"/>
      <c r="D10" s="177"/>
      <c r="E10" s="129"/>
      <c r="F10" s="129"/>
      <c r="G10" s="177"/>
      <c r="H10" s="129"/>
      <c r="I10" s="178" t="str">
        <f aca="false">IF(D10="","",D10+90)</f>
        <v/>
      </c>
      <c r="J10" s="179" t="str">
        <f aca="true">IF(I10="","",I10-TODAY())</f>
        <v/>
      </c>
      <c r="K10" s="180"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4"/>
      <c r="M10" s="183"/>
    </row>
    <row r="11" customFormat="false" ht="15" hidden="false" customHeight="true" outlineLevel="0" collapsed="false">
      <c r="A11" s="129"/>
      <c r="B11" s="129"/>
      <c r="C11" s="129"/>
      <c r="D11" s="177"/>
      <c r="E11" s="129"/>
      <c r="F11" s="129"/>
      <c r="G11" s="177"/>
      <c r="H11" s="129"/>
      <c r="I11" s="178" t="str">
        <f aca="false">IF(D11="","",D11+90)</f>
        <v/>
      </c>
      <c r="J11" s="179" t="str">
        <f aca="true">IF(I11="","",I11-TODAY())</f>
        <v/>
      </c>
      <c r="K11" s="180"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4"/>
      <c r="M11" s="183"/>
    </row>
    <row r="12" customFormat="false" ht="15" hidden="false" customHeight="true" outlineLevel="0" collapsed="false">
      <c r="A12" s="129"/>
      <c r="B12" s="129"/>
      <c r="C12" s="129"/>
      <c r="D12" s="177"/>
      <c r="E12" s="129"/>
      <c r="F12" s="129"/>
      <c r="G12" s="177"/>
      <c r="H12" s="129"/>
      <c r="I12" s="178" t="str">
        <f aca="false">IF(D12="","",D12+90)</f>
        <v/>
      </c>
      <c r="J12" s="179" t="str">
        <f aca="true">IF(I12="","",I12-TODAY())</f>
        <v/>
      </c>
      <c r="K12" s="180"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4"/>
      <c r="M12" s="183"/>
    </row>
    <row r="13" customFormat="false" ht="15" hidden="false" customHeight="true" outlineLevel="0" collapsed="false">
      <c r="A13" s="129"/>
      <c r="B13" s="129"/>
      <c r="C13" s="129"/>
      <c r="D13" s="177"/>
      <c r="E13" s="129"/>
      <c r="F13" s="129"/>
      <c r="G13" s="177"/>
      <c r="H13" s="129"/>
      <c r="I13" s="178" t="str">
        <f aca="false">IF(D13="","",D13+90)</f>
        <v/>
      </c>
      <c r="J13" s="179" t="str">
        <f aca="true">IF(I13="","",I13-TODAY())</f>
        <v/>
      </c>
      <c r="K13" s="180"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4"/>
      <c r="M13" s="183"/>
    </row>
    <row r="14" customFormat="false" ht="15" hidden="false" customHeight="true" outlineLevel="0" collapsed="false">
      <c r="A14" s="129"/>
      <c r="B14" s="129"/>
      <c r="C14" s="129"/>
      <c r="D14" s="177"/>
      <c r="E14" s="129"/>
      <c r="F14" s="129"/>
      <c r="G14" s="177"/>
      <c r="H14" s="129"/>
      <c r="I14" s="178" t="str">
        <f aca="false">IF(D14="","",D14+90)</f>
        <v/>
      </c>
      <c r="J14" s="179" t="str">
        <f aca="true">IF(I14="","",I14-TODAY())</f>
        <v/>
      </c>
      <c r="K14" s="180"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4"/>
      <c r="M14" s="183"/>
    </row>
    <row r="15" customFormat="false" ht="15" hidden="false" customHeight="true" outlineLevel="0" collapsed="false">
      <c r="A15" s="129"/>
      <c r="B15" s="129"/>
      <c r="C15" s="129"/>
      <c r="D15" s="177"/>
      <c r="E15" s="129"/>
      <c r="F15" s="129"/>
      <c r="G15" s="177"/>
      <c r="H15" s="129"/>
      <c r="I15" s="178" t="str">
        <f aca="false">IF(D15="","",D15+90)</f>
        <v/>
      </c>
      <c r="J15" s="179" t="str">
        <f aca="true">IF(I15="","",I15-TODAY())</f>
        <v/>
      </c>
      <c r="K15" s="180"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4"/>
      <c r="M15" s="183"/>
    </row>
    <row r="16" customFormat="false" ht="15" hidden="false" customHeight="true" outlineLevel="0" collapsed="false">
      <c r="A16" s="129"/>
      <c r="B16" s="129"/>
      <c r="C16" s="129"/>
      <c r="D16" s="177"/>
      <c r="E16" s="129"/>
      <c r="F16" s="129"/>
      <c r="G16" s="177"/>
      <c r="H16" s="129"/>
      <c r="I16" s="178" t="str">
        <f aca="false">IF(D16="","",D16+90)</f>
        <v/>
      </c>
      <c r="J16" s="179" t="str">
        <f aca="true">IF(I16="","",I16-TODAY())</f>
        <v/>
      </c>
      <c r="K16" s="180"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4"/>
      <c r="M16" s="183"/>
    </row>
    <row r="17" customFormat="false" ht="15" hidden="false" customHeight="true" outlineLevel="0" collapsed="false">
      <c r="A17" s="129"/>
      <c r="B17" s="129"/>
      <c r="C17" s="129"/>
      <c r="D17" s="177"/>
      <c r="E17" s="129"/>
      <c r="F17" s="129"/>
      <c r="G17" s="177"/>
      <c r="H17" s="129"/>
      <c r="I17" s="178" t="str">
        <f aca="false">IF(D17="","",D17+90)</f>
        <v/>
      </c>
      <c r="J17" s="179" t="str">
        <f aca="true">IF(I17="","",I17-TODAY())</f>
        <v/>
      </c>
      <c r="K17" s="180"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4"/>
      <c r="M17" s="183"/>
    </row>
    <row r="18" customFormat="false" ht="15" hidden="false" customHeight="true" outlineLevel="0" collapsed="false">
      <c r="A18" s="129"/>
      <c r="B18" s="129"/>
      <c r="C18" s="129"/>
      <c r="D18" s="177"/>
      <c r="E18" s="129"/>
      <c r="F18" s="129"/>
      <c r="G18" s="177"/>
      <c r="H18" s="129"/>
      <c r="I18" s="178" t="str">
        <f aca="false">IF(D18="","",D18+90)</f>
        <v/>
      </c>
      <c r="J18" s="179" t="str">
        <f aca="true">IF(I18="","",I18-TODAY())</f>
        <v/>
      </c>
      <c r="K18" s="180"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4"/>
      <c r="M18" s="183"/>
    </row>
    <row r="19" customFormat="false" ht="15" hidden="false" customHeight="true" outlineLevel="0" collapsed="false">
      <c r="A19" s="129"/>
      <c r="B19" s="129"/>
      <c r="C19" s="129"/>
      <c r="D19" s="177"/>
      <c r="E19" s="129"/>
      <c r="F19" s="129"/>
      <c r="G19" s="177"/>
      <c r="H19" s="129"/>
      <c r="I19" s="178" t="str">
        <f aca="false">IF(D19="","",D19+90)</f>
        <v/>
      </c>
      <c r="J19" s="179" t="str">
        <f aca="true">IF(I19="","",I19-TODAY())</f>
        <v/>
      </c>
      <c r="K19" s="180"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4"/>
      <c r="M19" s="183"/>
    </row>
    <row r="20" customFormat="false" ht="15" hidden="false" customHeight="true" outlineLevel="0" collapsed="false">
      <c r="A20" s="129"/>
      <c r="B20" s="129"/>
      <c r="C20" s="129"/>
      <c r="D20" s="177"/>
      <c r="E20" s="129"/>
      <c r="F20" s="129"/>
      <c r="G20" s="177"/>
      <c r="H20" s="129"/>
      <c r="I20" s="178" t="str">
        <f aca="false">IF(D20="","",D20+90)</f>
        <v/>
      </c>
      <c r="J20" s="179" t="str">
        <f aca="true">IF(I20="","",I20-TODAY())</f>
        <v/>
      </c>
      <c r="K20" s="180"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4"/>
      <c r="M20" s="183"/>
    </row>
    <row r="21" customFormat="false" ht="15" hidden="false" customHeight="true" outlineLevel="0" collapsed="false">
      <c r="A21" s="129"/>
      <c r="B21" s="129"/>
      <c r="C21" s="129"/>
      <c r="D21" s="177"/>
      <c r="E21" s="129"/>
      <c r="F21" s="129"/>
      <c r="G21" s="177"/>
      <c r="H21" s="129"/>
      <c r="I21" s="178" t="str">
        <f aca="false">IF(D21="","",D21+90)</f>
        <v/>
      </c>
      <c r="J21" s="179" t="str">
        <f aca="true">IF(I21="","",I21-TODAY())</f>
        <v/>
      </c>
      <c r="K21" s="180"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4"/>
      <c r="M21" s="183"/>
    </row>
    <row r="22" customFormat="false" ht="15" hidden="false" customHeight="true" outlineLevel="0" collapsed="false">
      <c r="A22" s="129"/>
      <c r="B22" s="129"/>
      <c r="C22" s="129"/>
      <c r="D22" s="177"/>
      <c r="E22" s="129"/>
      <c r="F22" s="129"/>
      <c r="G22" s="177"/>
      <c r="H22" s="129"/>
      <c r="I22" s="178" t="str">
        <f aca="false">IF(D22="","",D22+90)</f>
        <v/>
      </c>
      <c r="J22" s="179" t="str">
        <f aca="true">IF(I22="","",I22-TODAY())</f>
        <v/>
      </c>
      <c r="K22" s="180"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4"/>
      <c r="M22" s="183"/>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4" width="6.67"/>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5" t="s">
        <v>500</v>
      </c>
      <c r="B1" s="175"/>
      <c r="C1" s="175"/>
      <c r="D1" s="175"/>
      <c r="E1" s="175"/>
      <c r="F1" s="175"/>
      <c r="G1" s="175"/>
      <c r="H1" s="175"/>
      <c r="I1" s="175"/>
      <c r="J1" s="175"/>
      <c r="K1" s="175"/>
      <c r="L1" s="175"/>
      <c r="M1" s="175"/>
      <c r="N1" s="175"/>
      <c r="O1" s="175"/>
      <c r="P1" s="175"/>
      <c r="Q1" s="175"/>
      <c r="R1" s="175"/>
      <c r="S1" s="175"/>
      <c r="T1" s="175"/>
    </row>
    <row r="2" customFormat="false" ht="15.75" hidden="false" customHeight="true" outlineLevel="0" collapsed="false">
      <c r="D2" s="185" t="s">
        <v>501</v>
      </c>
      <c r="E2" s="185"/>
      <c r="F2" s="185"/>
      <c r="G2" s="185"/>
      <c r="H2" s="185"/>
      <c r="I2" s="186" t="s">
        <v>502</v>
      </c>
      <c r="J2" s="186"/>
      <c r="K2" s="186"/>
      <c r="L2" s="186"/>
      <c r="M2" s="186"/>
      <c r="N2" s="187" t="s">
        <v>503</v>
      </c>
      <c r="O2" s="187"/>
      <c r="P2" s="187"/>
      <c r="Q2" s="187"/>
      <c r="R2" s="187"/>
      <c r="S2" s="188" t="s">
        <v>504</v>
      </c>
      <c r="T2" s="188"/>
      <c r="U2" s="188"/>
    </row>
    <row r="3" customFormat="false" ht="42.75" hidden="false" customHeight="true" outlineLevel="0" collapsed="false">
      <c r="A3" s="121" t="s">
        <v>82</v>
      </c>
      <c r="B3" s="121" t="s">
        <v>296</v>
      </c>
      <c r="C3" s="121" t="s">
        <v>505</v>
      </c>
      <c r="D3" s="121" t="s">
        <v>506</v>
      </c>
      <c r="E3" s="121" t="s">
        <v>507</v>
      </c>
      <c r="F3" s="121" t="s">
        <v>508</v>
      </c>
      <c r="G3" s="121" t="s">
        <v>509</v>
      </c>
      <c r="H3" s="121" t="s">
        <v>510</v>
      </c>
      <c r="I3" s="121" t="s">
        <v>506</v>
      </c>
      <c r="J3" s="121" t="s">
        <v>507</v>
      </c>
      <c r="K3" s="121" t="s">
        <v>508</v>
      </c>
      <c r="L3" s="121" t="s">
        <v>509</v>
      </c>
      <c r="M3" s="121" t="s">
        <v>510</v>
      </c>
      <c r="N3" s="121" t="s">
        <v>506</v>
      </c>
      <c r="O3" s="121" t="s">
        <v>507</v>
      </c>
      <c r="P3" s="121" t="s">
        <v>508</v>
      </c>
      <c r="Q3" s="121" t="s">
        <v>509</v>
      </c>
      <c r="R3" s="121" t="s">
        <v>510</v>
      </c>
      <c r="S3" s="121" t="s">
        <v>511</v>
      </c>
      <c r="T3" s="121" t="s">
        <v>512</v>
      </c>
      <c r="U3" s="121" t="s">
        <v>513</v>
      </c>
    </row>
    <row r="4" customFormat="false" ht="15" hidden="false" customHeight="true" outlineLevel="0" collapsed="false">
      <c r="A4" s="63"/>
      <c r="B4" s="64"/>
      <c r="C4" s="68"/>
      <c r="D4" s="68"/>
      <c r="E4" s="189"/>
      <c r="F4" s="68"/>
      <c r="G4" s="69" t="str">
        <f aca="false">IF(OR(C4="",D4="",E4="",F4=""),"",IFERROR(((D4*E4+F4)/C4)^(1/5)-1,"n/a"))</f>
        <v/>
      </c>
      <c r="H4" s="64"/>
      <c r="I4" s="68"/>
      <c r="J4" s="189"/>
      <c r="K4" s="68"/>
      <c r="L4" s="69" t="str">
        <f aca="false">IF(OR(C4="",I4="",J4="",K4=""),"",IFERROR(((I4*J4+K4)/C4)^(1/5)-1,"n/a"))</f>
        <v/>
      </c>
      <c r="M4" s="64"/>
      <c r="N4" s="68"/>
      <c r="O4" s="189"/>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9"/>
      <c r="F5" s="68"/>
      <c r="G5" s="69" t="str">
        <f aca="false">IF(OR(C5="",D5="",E5="",F5=""),"",IFERROR(((D5*E5+F5)/C5)^(1/5)-1,"n/a"))</f>
        <v/>
      </c>
      <c r="H5" s="64"/>
      <c r="I5" s="68"/>
      <c r="J5" s="189"/>
      <c r="K5" s="68"/>
      <c r="L5" s="69" t="str">
        <f aca="false">IF(OR(C5="",I5="",J5="",K5=""),"",IFERROR(((I5*J5+K5)/C5)^(1/5)-1,"n/a"))</f>
        <v/>
      </c>
      <c r="M5" s="64"/>
      <c r="N5" s="68"/>
      <c r="O5" s="189"/>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9"/>
      <c r="F6" s="68"/>
      <c r="G6" s="69" t="str">
        <f aca="false">IF(OR(C6="",D6="",E6="",F6=""),"",IFERROR(((D6*E6+F6)/C6)^(1/5)-1,"n/a"))</f>
        <v/>
      </c>
      <c r="H6" s="64"/>
      <c r="I6" s="68"/>
      <c r="J6" s="189"/>
      <c r="K6" s="68"/>
      <c r="L6" s="69" t="str">
        <f aca="false">IF(OR(C6="",I6="",J6="",K6=""),"",IFERROR(((I6*J6+K6)/C6)^(1/5)-1,"n/a"))</f>
        <v/>
      </c>
      <c r="M6" s="64"/>
      <c r="N6" s="68"/>
      <c r="O6" s="189"/>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9"/>
      <c r="F7" s="68"/>
      <c r="G7" s="69" t="str">
        <f aca="false">IF(OR(C7="",D7="",E7="",F7=""),"",IFERROR(((D7*E7+F7)/C7)^(1/5)-1,"n/a"))</f>
        <v/>
      </c>
      <c r="H7" s="64"/>
      <c r="I7" s="68"/>
      <c r="J7" s="189"/>
      <c r="K7" s="68"/>
      <c r="L7" s="69" t="str">
        <f aca="false">IF(OR(C7="",I7="",J7="",K7=""),"",IFERROR(((I7*J7+K7)/C7)^(1/5)-1,"n/a"))</f>
        <v/>
      </c>
      <c r="M7" s="64"/>
      <c r="N7" s="68"/>
      <c r="O7" s="189"/>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9"/>
      <c r="F8" s="68"/>
      <c r="G8" s="69" t="str">
        <f aca="false">IF(OR(C8="",D8="",E8="",F8=""),"",IFERROR(((D8*E8+F8)/C8)^(1/5)-1,"n/a"))</f>
        <v/>
      </c>
      <c r="H8" s="64"/>
      <c r="I8" s="68"/>
      <c r="J8" s="189"/>
      <c r="K8" s="68"/>
      <c r="L8" s="69" t="str">
        <f aca="false">IF(OR(C8="",I8="",J8="",K8=""),"",IFERROR(((I8*J8+K8)/C8)^(1/5)-1,"n/a"))</f>
        <v/>
      </c>
      <c r="M8" s="64"/>
      <c r="N8" s="68"/>
      <c r="O8" s="189"/>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9"/>
      <c r="F9" s="68"/>
      <c r="G9" s="69" t="str">
        <f aca="false">IF(OR(C9="",D9="",E9="",F9=""),"",IFERROR(((D9*E9+F9)/C9)^(1/5)-1,"n/a"))</f>
        <v/>
      </c>
      <c r="H9" s="64"/>
      <c r="I9" s="68"/>
      <c r="J9" s="189"/>
      <c r="K9" s="68"/>
      <c r="L9" s="69" t="str">
        <f aca="false">IF(OR(C9="",I9="",J9="",K9=""),"",IFERROR(((I9*J9+K9)/C9)^(1/5)-1,"n/a"))</f>
        <v/>
      </c>
      <c r="M9" s="64"/>
      <c r="N9" s="68"/>
      <c r="O9" s="189"/>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9"/>
      <c r="F10" s="68"/>
      <c r="G10" s="69" t="str">
        <f aca="false">IF(OR(C10="",D10="",E10="",F10=""),"",IFERROR(((D10*E10+F10)/C10)^(1/5)-1,"n/a"))</f>
        <v/>
      </c>
      <c r="H10" s="64"/>
      <c r="I10" s="68"/>
      <c r="J10" s="189"/>
      <c r="K10" s="68"/>
      <c r="L10" s="69" t="str">
        <f aca="false">IF(OR(C10="",I10="",J10="",K10=""),"",IFERROR(((I10*J10+K10)/C10)^(1/5)-1,"n/a"))</f>
        <v/>
      </c>
      <c r="M10" s="64"/>
      <c r="N10" s="68"/>
      <c r="O10" s="189"/>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9"/>
      <c r="F11" s="68"/>
      <c r="G11" s="69" t="str">
        <f aca="false">IF(OR(C11="",D11="",E11="",F11=""),"",IFERROR(((D11*E11+F11)/C11)^(1/5)-1,"n/a"))</f>
        <v/>
      </c>
      <c r="H11" s="64"/>
      <c r="I11" s="68"/>
      <c r="J11" s="189"/>
      <c r="K11" s="68"/>
      <c r="L11" s="69" t="str">
        <f aca="false">IF(OR(C11="",I11="",J11="",K11=""),"",IFERROR(((I11*J11+K11)/C11)^(1/5)-1,"n/a"))</f>
        <v/>
      </c>
      <c r="M11" s="64"/>
      <c r="N11" s="68"/>
      <c r="O11" s="189"/>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9"/>
      <c r="F12" s="68"/>
      <c r="G12" s="69" t="str">
        <f aca="false">IF(OR(C12="",D12="",E12="",F12=""),"",IFERROR(((D12*E12+F12)/C12)^(1/5)-1,"n/a"))</f>
        <v/>
      </c>
      <c r="H12" s="64"/>
      <c r="I12" s="68"/>
      <c r="J12" s="189"/>
      <c r="K12" s="68"/>
      <c r="L12" s="69" t="str">
        <f aca="false">IF(OR(C12="",I12="",J12="",K12=""),"",IFERROR(((I12*J12+K12)/C12)^(1/5)-1,"n/a"))</f>
        <v/>
      </c>
      <c r="M12" s="64"/>
      <c r="N12" s="68"/>
      <c r="O12" s="189"/>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9"/>
      <c r="F13" s="68"/>
      <c r="G13" s="69" t="str">
        <f aca="false">IF(OR(C13="",D13="",E13="",F13=""),"",IFERROR(((D13*E13+F13)/C13)^(1/5)-1,"n/a"))</f>
        <v/>
      </c>
      <c r="H13" s="64"/>
      <c r="I13" s="68"/>
      <c r="J13" s="189"/>
      <c r="K13" s="68"/>
      <c r="L13" s="69" t="str">
        <f aca="false">IF(OR(C13="",I13="",J13="",K13=""),"",IFERROR(((I13*J13+K13)/C13)^(1/5)-1,"n/a"))</f>
        <v/>
      </c>
      <c r="M13" s="64"/>
      <c r="N13" s="68"/>
      <c r="O13" s="189"/>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9"/>
      <c r="F14" s="68"/>
      <c r="G14" s="69" t="str">
        <f aca="false">IF(OR(C14="",D14="",E14="",F14=""),"",IFERROR(((D14*E14+F14)/C14)^(1/5)-1,"n/a"))</f>
        <v/>
      </c>
      <c r="H14" s="64"/>
      <c r="I14" s="68"/>
      <c r="J14" s="189"/>
      <c r="K14" s="68"/>
      <c r="L14" s="69" t="str">
        <f aca="false">IF(OR(C14="",I14="",J14="",K14=""),"",IFERROR(((I14*J14+K14)/C14)^(1/5)-1,"n/a"))</f>
        <v/>
      </c>
      <c r="M14" s="64"/>
      <c r="N14" s="68"/>
      <c r="O14" s="189"/>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9"/>
      <c r="F15" s="68"/>
      <c r="G15" s="69" t="str">
        <f aca="false">IF(OR(C15="",D15="",E15="",F15=""),"",IFERROR(((D15*E15+F15)/C15)^(1/5)-1,"n/a"))</f>
        <v/>
      </c>
      <c r="H15" s="64"/>
      <c r="I15" s="68"/>
      <c r="J15" s="189"/>
      <c r="K15" s="68"/>
      <c r="L15" s="69" t="str">
        <f aca="false">IF(OR(C15="",I15="",J15="",K15=""),"",IFERROR(((I15*J15+K15)/C15)^(1/5)-1,"n/a"))</f>
        <v/>
      </c>
      <c r="M15" s="64"/>
      <c r="N15" s="68"/>
      <c r="O15" s="189"/>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9"/>
      <c r="F16" s="68"/>
      <c r="G16" s="69" t="str">
        <f aca="false">IF(OR(C16="",D16="",E16="",F16=""),"",IFERROR(((D16*E16+F16)/C16)^(1/5)-1,"n/a"))</f>
        <v/>
      </c>
      <c r="H16" s="64"/>
      <c r="I16" s="68"/>
      <c r="J16" s="189"/>
      <c r="K16" s="68"/>
      <c r="L16" s="69" t="str">
        <f aca="false">IF(OR(C16="",I16="",J16="",K16=""),"",IFERROR(((I16*J16+K16)/C16)^(1/5)-1,"n/a"))</f>
        <v/>
      </c>
      <c r="M16" s="64"/>
      <c r="N16" s="68"/>
      <c r="O16" s="189"/>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9"/>
      <c r="F17" s="68"/>
      <c r="G17" s="69" t="str">
        <f aca="false">IF(OR(C17="",D17="",E17="",F17=""),"",IFERROR(((D17*E17+F17)/C17)^(1/5)-1,"n/a"))</f>
        <v/>
      </c>
      <c r="H17" s="64"/>
      <c r="I17" s="68"/>
      <c r="J17" s="189"/>
      <c r="K17" s="68"/>
      <c r="L17" s="69" t="str">
        <f aca="false">IF(OR(C17="",I17="",J17="",K17=""),"",IFERROR(((I17*J17+K17)/C17)^(1/5)-1,"n/a"))</f>
        <v/>
      </c>
      <c r="M17" s="64"/>
      <c r="N17" s="68"/>
      <c r="O17" s="189"/>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9"/>
      <c r="F18" s="68"/>
      <c r="G18" s="69" t="str">
        <f aca="false">IF(OR(C18="",D18="",E18="",F18=""),"",IFERROR(((D18*E18+F18)/C18)^(1/5)-1,"n/a"))</f>
        <v/>
      </c>
      <c r="H18" s="64"/>
      <c r="I18" s="68"/>
      <c r="J18" s="189"/>
      <c r="K18" s="68"/>
      <c r="L18" s="69" t="str">
        <f aca="false">IF(OR(C18="",I18="",J18="",K18=""),"",IFERROR(((I18*J18+K18)/C18)^(1/5)-1,"n/a"))</f>
        <v/>
      </c>
      <c r="M18" s="64"/>
      <c r="N18" s="68"/>
      <c r="O18" s="189"/>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9"/>
      <c r="F19" s="68"/>
      <c r="G19" s="69" t="str">
        <f aca="false">IF(OR(C19="",D19="",E19="",F19=""),"",IFERROR(((D19*E19+F19)/C19)^(1/5)-1,"n/a"))</f>
        <v/>
      </c>
      <c r="H19" s="64"/>
      <c r="I19" s="68"/>
      <c r="J19" s="189"/>
      <c r="K19" s="68"/>
      <c r="L19" s="69" t="str">
        <f aca="false">IF(OR(C19="",I19="",J19="",K19=""),"",IFERROR(((I19*J19+K19)/C19)^(1/5)-1,"n/a"))</f>
        <v/>
      </c>
      <c r="M19" s="64"/>
      <c r="N19" s="68"/>
      <c r="O19" s="189"/>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514</v>
      </c>
      <c r="C20" s="68" t="n">
        <v>967.17</v>
      </c>
      <c r="D20" s="68" t="n">
        <v>23.11</v>
      </c>
      <c r="E20" s="189" t="n">
        <v>61.48</v>
      </c>
      <c r="F20" s="68" t="n">
        <v>32</v>
      </c>
      <c r="G20" s="69" t="n">
        <f aca="false">IF(OR(C20="",D20="",E20="",F20=""),"",IFERROR(((D20*E20+F20)/C20)^(1/5)-1,"n/a"))</f>
        <v>0.0847777537329333</v>
      </c>
      <c r="H20" s="64" t="s">
        <v>515</v>
      </c>
      <c r="I20" s="68" t="n">
        <v>19.14</v>
      </c>
      <c r="J20" s="189" t="n">
        <v>50</v>
      </c>
      <c r="K20" s="68" t="n">
        <v>28</v>
      </c>
      <c r="L20" s="69" t="n">
        <f aca="false">IF(OR(C20="",I20="",J20="",K20=""),"",IFERROR(((I20*J20+K20)/C20)^(1/5)-1,"n/a"))</f>
        <v>0.00366015400817998</v>
      </c>
      <c r="M20" s="64" t="s">
        <v>515</v>
      </c>
      <c r="N20" s="68" t="n">
        <v>26.51</v>
      </c>
      <c r="O20" s="189" t="n">
        <v>61.48</v>
      </c>
      <c r="P20" s="68" t="n">
        <v>35</v>
      </c>
      <c r="Q20" s="69" t="n">
        <f aca="false">IF(OR(C20="",N20="",O20="",P20=""),"",IFERROR(((N20*O20+P20)/C20)^(1/5)-1,"n/a"))</f>
        <v>0.114740206784953</v>
      </c>
      <c r="R20" s="64" t="s">
        <v>516</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9" t="n">
        <v>34.36</v>
      </c>
      <c r="F21" s="68" t="n">
        <v>16</v>
      </c>
      <c r="G21" s="69" t="n">
        <f aca="false">IF(OR(C21="",D21="",E21="",F21=""),"",IFERROR(((D21*E21+F21)/C21)^(1/5)-1,"n/a"))</f>
        <v>0.105673995986338</v>
      </c>
      <c r="H21" s="64" t="s">
        <v>516</v>
      </c>
      <c r="I21" s="68" t="n">
        <v>14.14</v>
      </c>
      <c r="J21" s="189" t="n">
        <v>28</v>
      </c>
      <c r="K21" s="68" t="n">
        <v>14</v>
      </c>
      <c r="L21" s="69" t="n">
        <f aca="false">IF(OR(C21="",I21="",J21="",K21=""),"",IFERROR(((I21*J21+K21)/C21)^(1/5)-1,"n/a"))</f>
        <v>0.0149373117952127</v>
      </c>
      <c r="M21" s="64" t="s">
        <v>515</v>
      </c>
      <c r="N21" s="68" t="n">
        <v>21.33</v>
      </c>
      <c r="O21" s="189" t="n">
        <v>38</v>
      </c>
      <c r="P21" s="68" t="n">
        <v>18</v>
      </c>
      <c r="Q21" s="69" t="n">
        <f aca="false">IF(OR(C21="",N21="",O21="",P21=""),"",IFERROR(((N21*O21+P21)/C21)^(1/5)-1,"n/a"))</f>
        <v>0.168320757920451</v>
      </c>
      <c r="R21" s="64" t="s">
        <v>515</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9"/>
      <c r="F22" s="68"/>
      <c r="G22" s="69" t="str">
        <f aca="false">IF(OR(C22="",D22="",E22="",F22=""),"",IFERROR(((D22*E22+F22)/C22)^(1/5)-1,"n/a"))</f>
        <v/>
      </c>
      <c r="H22" s="64"/>
      <c r="I22" s="68"/>
      <c r="J22" s="189"/>
      <c r="K22" s="68"/>
      <c r="L22" s="69" t="str">
        <f aca="false">IF(OR(C22="",I22="",J22="",K22=""),"",IFERROR(((I22*J22+K22)/C22)^(1/5)-1,"n/a"))</f>
        <v/>
      </c>
      <c r="M22" s="64"/>
      <c r="N22" s="68"/>
      <c r="O22" s="189"/>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9"/>
      <c r="F23" s="68"/>
      <c r="G23" s="69" t="str">
        <f aca="false">IF(OR(C23="",D23="",E23="",F23=""),"",IFERROR(((D23*E23+F23)/C23)^(1/5)-1,"n/a"))</f>
        <v/>
      </c>
      <c r="H23" s="64"/>
      <c r="I23" s="68"/>
      <c r="J23" s="189"/>
      <c r="K23" s="68"/>
      <c r="L23" s="69" t="str">
        <f aca="false">IF(OR(C23="",I23="",J23="",K23=""),"",IFERROR(((I23*J23+K23)/C23)^(1/5)-1,"n/a"))</f>
        <v/>
      </c>
      <c r="M23" s="64"/>
      <c r="N23" s="68"/>
      <c r="O23" s="189"/>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90"/>
      <c r="B24" s="191"/>
      <c r="C24" s="192"/>
      <c r="D24" s="192"/>
      <c r="E24" s="193"/>
      <c r="F24" s="192"/>
      <c r="G24" s="194" t="str">
        <f aca="false">IF(OR(C24="",D24="",E24="",F24=""),"",IFERROR(((D24*E24+F24)/C24)^(1/5)-1,"n/a"))</f>
        <v/>
      </c>
      <c r="H24" s="195"/>
      <c r="I24" s="192"/>
      <c r="J24" s="193"/>
      <c r="K24" s="192"/>
      <c r="L24" s="194" t="str">
        <f aca="false">IF(OR(C24="",I24="",J24="",K24=""),"",IFERROR(((I24*J24+K24)/C24)^(1/5)-1,"n/a"))</f>
        <v/>
      </c>
      <c r="M24" s="195"/>
      <c r="N24" s="192"/>
      <c r="O24" s="193"/>
      <c r="P24" s="192"/>
      <c r="Q24" s="194" t="str">
        <f aca="false">IF(OR(C24="",N24="",O24="",P24=""),"",IFERROR(((N24*O24+P24)/C24)^(1/5)-1,"n/a"))</f>
        <v/>
      </c>
      <c r="R24" s="196"/>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90"/>
      <c r="B25" s="191"/>
      <c r="C25" s="192"/>
      <c r="D25" s="192"/>
      <c r="E25" s="193"/>
      <c r="F25" s="192"/>
      <c r="G25" s="194" t="str">
        <f aca="false">IF(OR(C25="",D25="",E25="",F25=""),"",IFERROR(((D25*E25+F25)/C25)^(1/5)-1,"n/a"))</f>
        <v/>
      </c>
      <c r="H25" s="195"/>
      <c r="I25" s="192"/>
      <c r="J25" s="193"/>
      <c r="K25" s="192"/>
      <c r="L25" s="194" t="str">
        <f aca="false">IF(OR(C25="",I25="",J25="",K25=""),"",IFERROR(((I25*J25+K25)/C25)^(1/5)-1,"n/a"))</f>
        <v/>
      </c>
      <c r="M25" s="195"/>
      <c r="N25" s="192"/>
      <c r="O25" s="193"/>
      <c r="P25" s="192"/>
      <c r="Q25" s="194" t="str">
        <f aca="false">IF(OR(C25="",N25="",O25="",P25=""),"",IFERROR(((N25*O25+P25)/C25)^(1/5)-1,"n/a"))</f>
        <v/>
      </c>
      <c r="R25" s="196"/>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90"/>
      <c r="B26" s="191"/>
      <c r="C26" s="192"/>
      <c r="D26" s="192"/>
      <c r="E26" s="193"/>
      <c r="F26" s="192"/>
      <c r="G26" s="194" t="str">
        <f aca="false">IF(OR(C26="",D26="",E26="",F26=""),"",IFERROR(((D26*E26+F26)/C26)^(1/5)-1,"n/a"))</f>
        <v/>
      </c>
      <c r="H26" s="195"/>
      <c r="I26" s="192"/>
      <c r="J26" s="193"/>
      <c r="K26" s="192"/>
      <c r="L26" s="194" t="str">
        <f aca="false">IF(OR(C26="",I26="",J26="",K26=""),"",IFERROR(((I26*J26+K26)/C26)^(1/5)-1,"n/a"))</f>
        <v/>
      </c>
      <c r="M26" s="195"/>
      <c r="N26" s="192"/>
      <c r="O26" s="193"/>
      <c r="P26" s="192"/>
      <c r="Q26" s="194" t="str">
        <f aca="false">IF(OR(C26="",N26="",O26="",P26=""),"",IFERROR(((N26*O26+P26)/C26)^(1/5)-1,"n/a"))</f>
        <v/>
      </c>
      <c r="R26" s="196"/>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90"/>
      <c r="B27" s="191"/>
      <c r="C27" s="192"/>
      <c r="D27" s="192"/>
      <c r="E27" s="193"/>
      <c r="F27" s="192"/>
      <c r="G27" s="194" t="str">
        <f aca="false">IF(OR(C27="",D27="",E27="",F27=""),"",IFERROR(((D27*E27+F27)/C27)^(1/5)-1,"n/a"))</f>
        <v/>
      </c>
      <c r="H27" s="195"/>
      <c r="I27" s="192"/>
      <c r="J27" s="193"/>
      <c r="K27" s="192"/>
      <c r="L27" s="194" t="str">
        <f aca="false">IF(OR(C27="",I27="",J27="",K27=""),"",IFERROR(((I27*J27+K27)/C27)^(1/5)-1,"n/a"))</f>
        <v/>
      </c>
      <c r="M27" s="195"/>
      <c r="N27" s="192"/>
      <c r="O27" s="193"/>
      <c r="P27" s="192"/>
      <c r="Q27" s="194" t="str">
        <f aca="false">IF(OR(C27="",N27="",O27="",P27=""),"",IFERROR(((N27*O27+P27)/C27)^(1/5)-1,"n/a"))</f>
        <v/>
      </c>
      <c r="R27" s="196"/>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90"/>
      <c r="B28" s="191"/>
      <c r="C28" s="192"/>
      <c r="D28" s="192"/>
      <c r="E28" s="193"/>
      <c r="F28" s="192"/>
      <c r="G28" s="194" t="str">
        <f aca="false">IF(OR(C28="",D28="",E28="",F28=""),"",IFERROR(((D28*E28+F28)/C28)^(1/5)-1,"n/a"))</f>
        <v/>
      </c>
      <c r="H28" s="195"/>
      <c r="I28" s="192"/>
      <c r="J28" s="193"/>
      <c r="K28" s="192"/>
      <c r="L28" s="194" t="str">
        <f aca="false">IF(OR(C28="",I28="",J28="",K28=""),"",IFERROR(((I28*J28+K28)/C28)^(1/5)-1,"n/a"))</f>
        <v/>
      </c>
      <c r="M28" s="195"/>
      <c r="N28" s="192"/>
      <c r="O28" s="193"/>
      <c r="P28" s="192"/>
      <c r="Q28" s="194" t="str">
        <f aca="false">IF(OR(C28="",N28="",O28="",P28=""),"",IFERROR(((N28*O28+P28)/C28)^(1/5)-1,"n/a"))</f>
        <v/>
      </c>
      <c r="R28" s="196"/>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90"/>
      <c r="B29" s="191"/>
      <c r="C29" s="192"/>
      <c r="D29" s="192"/>
      <c r="E29" s="193"/>
      <c r="F29" s="192"/>
      <c r="G29" s="194" t="str">
        <f aca="false">IF(OR(C29="",D29="",E29="",F29=""),"",IFERROR(((D29*E29+F29)/C29)^(1/5)-1,"n/a"))</f>
        <v/>
      </c>
      <c r="H29" s="195"/>
      <c r="I29" s="192"/>
      <c r="J29" s="193"/>
      <c r="K29" s="192"/>
      <c r="L29" s="194" t="str">
        <f aca="false">IF(OR(C29="",I29="",J29="",K29=""),"",IFERROR(((I29*J29+K29)/C29)^(1/5)-1,"n/a"))</f>
        <v/>
      </c>
      <c r="M29" s="195"/>
      <c r="N29" s="192"/>
      <c r="O29" s="193"/>
      <c r="P29" s="192"/>
      <c r="Q29" s="194" t="str">
        <f aca="false">IF(OR(C29="",N29="",O29="",P29=""),"",IFERROR(((N29*O29+P29)/C29)^(1/5)-1,"n/a"))</f>
        <v/>
      </c>
      <c r="R29" s="196"/>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90"/>
      <c r="B30" s="191"/>
      <c r="C30" s="192"/>
      <c r="D30" s="192"/>
      <c r="E30" s="193"/>
      <c r="F30" s="192"/>
      <c r="G30" s="194" t="str">
        <f aca="false">IF(OR(C30="",D30="",E30="",F30=""),"",IFERROR(((D30*E30+F30)/C30)^(1/5)-1,"n/a"))</f>
        <v/>
      </c>
      <c r="H30" s="195"/>
      <c r="I30" s="192"/>
      <c r="J30" s="193"/>
      <c r="K30" s="192"/>
      <c r="L30" s="194" t="str">
        <f aca="false">IF(OR(C30="",I30="",J30="",K30=""),"",IFERROR(((I30*J30+K30)/C30)^(1/5)-1,"n/a"))</f>
        <v/>
      </c>
      <c r="M30" s="195"/>
      <c r="N30" s="192"/>
      <c r="O30" s="193"/>
      <c r="P30" s="192"/>
      <c r="Q30" s="194" t="str">
        <f aca="false">IF(OR(C30="",N30="",O30="",P30=""),"",IFERROR(((N30*O30+P30)/C30)^(1/5)-1,"n/a"))</f>
        <v/>
      </c>
      <c r="R30" s="196"/>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90"/>
      <c r="B31" s="191"/>
      <c r="C31" s="192"/>
      <c r="D31" s="192"/>
      <c r="E31" s="193"/>
      <c r="F31" s="192"/>
      <c r="G31" s="194" t="str">
        <f aca="false">IF(OR(C31="",D31="",E31="",F31=""),"",IFERROR(((D31*E31+F31)/C31)^(1/5)-1,"n/a"))</f>
        <v/>
      </c>
      <c r="H31" s="195"/>
      <c r="I31" s="192"/>
      <c r="J31" s="193"/>
      <c r="K31" s="192"/>
      <c r="L31" s="194" t="str">
        <f aca="false">IF(OR(C31="",I31="",J31="",K31=""),"",IFERROR(((I31*J31+K31)/C31)^(1/5)-1,"n/a"))</f>
        <v/>
      </c>
      <c r="M31" s="195"/>
      <c r="N31" s="192"/>
      <c r="O31" s="193"/>
      <c r="P31" s="192"/>
      <c r="Q31" s="194" t="str">
        <f aca="false">IF(OR(C31="",N31="",O31="",P31=""),"",IFERROR(((N31*O31+P31)/C31)^(1/5)-1,"n/a"))</f>
        <v/>
      </c>
      <c r="R31" s="196"/>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90"/>
      <c r="B32" s="191"/>
      <c r="C32" s="192"/>
      <c r="D32" s="192"/>
      <c r="E32" s="193"/>
      <c r="F32" s="192"/>
      <c r="G32" s="194" t="str">
        <f aca="false">IF(OR(C32="",D32="",E32="",F32=""),"",IFERROR(((D32*E32+F32)/C32)^(1/5)-1,"n/a"))</f>
        <v/>
      </c>
      <c r="H32" s="195"/>
      <c r="I32" s="192"/>
      <c r="J32" s="193"/>
      <c r="K32" s="192"/>
      <c r="L32" s="194" t="str">
        <f aca="false">IF(OR(C32="",I32="",J32="",K32=""),"",IFERROR(((I32*J32+K32)/C32)^(1/5)-1,"n/a"))</f>
        <v/>
      </c>
      <c r="M32" s="195"/>
      <c r="N32" s="192"/>
      <c r="O32" s="193"/>
      <c r="P32" s="192"/>
      <c r="Q32" s="194" t="str">
        <f aca="false">IF(OR(C32="",N32="",O32="",P32=""),"",IFERROR(((N32*O32+P32)/C32)^(1/5)-1,"n/a"))</f>
        <v/>
      </c>
      <c r="R32" s="196"/>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90"/>
      <c r="B33" s="191"/>
      <c r="C33" s="192"/>
      <c r="D33" s="192"/>
      <c r="E33" s="193"/>
      <c r="F33" s="192"/>
      <c r="G33" s="194" t="str">
        <f aca="false">IF(OR(C33="",D33="",E33="",F33=""),"",IFERROR(((D33*E33+F33)/C33)^(1/5)-1,"n/a"))</f>
        <v/>
      </c>
      <c r="H33" s="195"/>
      <c r="I33" s="192"/>
      <c r="J33" s="193"/>
      <c r="K33" s="192"/>
      <c r="L33" s="194" t="str">
        <f aca="false">IF(OR(C33="",I33="",J33="",K33=""),"",IFERROR(((I33*J33+K33)/C33)^(1/5)-1,"n/a"))</f>
        <v/>
      </c>
      <c r="M33" s="195"/>
      <c r="N33" s="192"/>
      <c r="O33" s="193"/>
      <c r="P33" s="192"/>
      <c r="Q33" s="194" t="str">
        <f aca="false">IF(OR(C33="",N33="",O33="",P33=""),"",IFERROR(((N33*O33+P33)/C33)^(1/5)-1,"n/a"))</f>
        <v/>
      </c>
      <c r="R33" s="196"/>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90"/>
      <c r="B34" s="191"/>
      <c r="C34" s="192"/>
      <c r="D34" s="192"/>
      <c r="E34" s="193"/>
      <c r="F34" s="192"/>
      <c r="G34" s="194" t="str">
        <f aca="false">IF(OR(C34="",D34="",E34="",F34=""),"",IFERROR(((D34*E34+F34)/C34)^(1/5)-1,"n/a"))</f>
        <v/>
      </c>
      <c r="H34" s="195"/>
      <c r="I34" s="192"/>
      <c r="J34" s="193"/>
      <c r="K34" s="192"/>
      <c r="L34" s="194" t="str">
        <f aca="false">IF(OR(C34="",I34="",J34="",K34=""),"",IFERROR(((I34*J34+K34)/C34)^(1/5)-1,"n/a"))</f>
        <v/>
      </c>
      <c r="M34" s="195"/>
      <c r="N34" s="192"/>
      <c r="O34" s="193"/>
      <c r="P34" s="192"/>
      <c r="Q34" s="194" t="str">
        <f aca="false">IF(OR(C34="",N34="",O34="",P34=""),"",IFERROR(((N34*O34+P34)/C34)^(1/5)-1,"n/a"))</f>
        <v/>
      </c>
      <c r="R34" s="196"/>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90"/>
      <c r="B35" s="191"/>
      <c r="C35" s="192"/>
      <c r="D35" s="192"/>
      <c r="E35" s="193"/>
      <c r="F35" s="192"/>
      <c r="G35" s="194" t="str">
        <f aca="false">IF(OR(C35="",D35="",E35="",F35=""),"",IFERROR(((D35*E35+F35)/C35)^(1/5)-1,"n/a"))</f>
        <v/>
      </c>
      <c r="H35" s="195"/>
      <c r="I35" s="192"/>
      <c r="J35" s="193"/>
      <c r="K35" s="192"/>
      <c r="L35" s="194" t="str">
        <f aca="false">IF(OR(C35="",I35="",J35="",K35=""),"",IFERROR(((I35*J35+K35)/C35)^(1/5)-1,"n/a"))</f>
        <v/>
      </c>
      <c r="M35" s="195"/>
      <c r="N35" s="192"/>
      <c r="O35" s="193"/>
      <c r="P35" s="192"/>
      <c r="Q35" s="194" t="str">
        <f aca="false">IF(OR(C35="",N35="",O35="",P35=""),"",IFERROR(((N35*O35+P35)/C35)^(1/5)-1,"n/a"))</f>
        <v/>
      </c>
      <c r="R35" s="196"/>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90"/>
      <c r="B36" s="191"/>
      <c r="C36" s="192"/>
      <c r="D36" s="192"/>
      <c r="E36" s="193"/>
      <c r="F36" s="192"/>
      <c r="G36" s="194" t="str">
        <f aca="false">IF(OR(C36="",D36="",E36="",F36=""),"",IFERROR(((D36*E36+F36)/C36)^(1/5)-1,"n/a"))</f>
        <v/>
      </c>
      <c r="H36" s="195"/>
      <c r="I36" s="192"/>
      <c r="J36" s="193"/>
      <c r="K36" s="192"/>
      <c r="L36" s="194" t="str">
        <f aca="false">IF(OR(C36="",I36="",J36="",K36=""),"",IFERROR(((I36*J36+K36)/C36)^(1/5)-1,"n/a"))</f>
        <v/>
      </c>
      <c r="M36" s="195"/>
      <c r="N36" s="192"/>
      <c r="O36" s="193"/>
      <c r="P36" s="192"/>
      <c r="Q36" s="194" t="str">
        <f aca="false">IF(OR(C36="",N36="",O36="",P36=""),"",IFERROR(((N36*O36+P36)/C36)^(1/5)-1,"n/a"))</f>
        <v/>
      </c>
      <c r="R36" s="196"/>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90"/>
      <c r="B37" s="191"/>
      <c r="C37" s="192"/>
      <c r="D37" s="192"/>
      <c r="E37" s="193"/>
      <c r="F37" s="192"/>
      <c r="G37" s="194" t="str">
        <f aca="false">IF(OR(C37="",D37="",E37="",F37=""),"",IFERROR(((D37*E37+F37)/C37)^(1/5)-1,"n/a"))</f>
        <v/>
      </c>
      <c r="H37" s="195"/>
      <c r="I37" s="192"/>
      <c r="J37" s="193"/>
      <c r="K37" s="192"/>
      <c r="L37" s="194" t="str">
        <f aca="false">IF(OR(C37="",I37="",J37="",K37=""),"",IFERROR(((I37*J37+K37)/C37)^(1/5)-1,"n/a"))</f>
        <v/>
      </c>
      <c r="M37" s="195"/>
      <c r="N37" s="192"/>
      <c r="O37" s="193"/>
      <c r="P37" s="192"/>
      <c r="Q37" s="194" t="str">
        <f aca="false">IF(OR(C37="",N37="",O37="",P37=""),"",IFERROR(((N37*O37+P37)/C37)^(1/5)-1,"n/a"))</f>
        <v/>
      </c>
      <c r="R37" s="196"/>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90"/>
      <c r="B38" s="191"/>
      <c r="C38" s="192"/>
      <c r="D38" s="192"/>
      <c r="E38" s="193"/>
      <c r="F38" s="192"/>
      <c r="G38" s="194" t="str">
        <f aca="false">IF(OR(C38="",D38="",E38="",F38=""),"",IFERROR(((D38*E38+F38)/C38)^(1/5)-1,"n/a"))</f>
        <v/>
      </c>
      <c r="H38" s="195"/>
      <c r="I38" s="192"/>
      <c r="J38" s="193"/>
      <c r="K38" s="192"/>
      <c r="L38" s="194" t="str">
        <f aca="false">IF(OR(C38="",I38="",J38="",K38=""),"",IFERROR(((I38*J38+K38)/C38)^(1/5)-1,"n/a"))</f>
        <v/>
      </c>
      <c r="M38" s="195"/>
      <c r="N38" s="192"/>
      <c r="O38" s="193"/>
      <c r="P38" s="192"/>
      <c r="Q38" s="194" t="str">
        <f aca="false">IF(OR(C38="",N38="",O38="",P38=""),"",IFERROR(((N38*O38+P38)/C38)^(1/5)-1,"n/a"))</f>
        <v/>
      </c>
      <c r="R38" s="196"/>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90"/>
      <c r="B39" s="191"/>
      <c r="C39" s="192"/>
      <c r="D39" s="192"/>
      <c r="E39" s="193"/>
      <c r="F39" s="192"/>
      <c r="G39" s="194" t="str">
        <f aca="false">IF(OR(C39="",D39="",E39="",F39=""),"",IFERROR(((D39*E39+F39)/C39)^(1/5)-1,"n/a"))</f>
        <v/>
      </c>
      <c r="H39" s="195"/>
      <c r="I39" s="192"/>
      <c r="J39" s="193"/>
      <c r="K39" s="192"/>
      <c r="L39" s="194" t="str">
        <f aca="false">IF(OR(C39="",I39="",J39="",K39=""),"",IFERROR(((I39*J39+K39)/C39)^(1/5)-1,"n/a"))</f>
        <v/>
      </c>
      <c r="M39" s="195"/>
      <c r="N39" s="192"/>
      <c r="O39" s="193"/>
      <c r="P39" s="192"/>
      <c r="Q39" s="194" t="str">
        <f aca="false">IF(OR(C39="",N39="",O39="",P39=""),"",IFERROR(((N39*O39+P39)/C39)^(1/5)-1,"n/a"))</f>
        <v/>
      </c>
      <c r="R39" s="196"/>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90"/>
      <c r="B40" s="191"/>
      <c r="C40" s="192"/>
      <c r="D40" s="192"/>
      <c r="E40" s="193"/>
      <c r="F40" s="192"/>
      <c r="G40" s="194" t="str">
        <f aca="false">IF(OR(C40="",D40="",E40="",F40=""),"",IFERROR(((D40*E40+F40)/C40)^(1/5)-1,"n/a"))</f>
        <v/>
      </c>
      <c r="H40" s="195"/>
      <c r="I40" s="192"/>
      <c r="J40" s="193"/>
      <c r="K40" s="192"/>
      <c r="L40" s="194" t="str">
        <f aca="false">IF(OR(C40="",I40="",J40="",K40=""),"",IFERROR(((I40*J40+K40)/C40)^(1/5)-1,"n/a"))</f>
        <v/>
      </c>
      <c r="M40" s="195"/>
      <c r="N40" s="192"/>
      <c r="O40" s="193"/>
      <c r="P40" s="192"/>
      <c r="Q40" s="194" t="str">
        <f aca="false">IF(OR(C40="",N40="",O40="",P40=""),"",IFERROR(((N40*O40+P40)/C40)^(1/5)-1,"n/a"))</f>
        <v/>
      </c>
      <c r="R40" s="196"/>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90"/>
      <c r="B41" s="191"/>
      <c r="C41" s="192"/>
      <c r="D41" s="192"/>
      <c r="E41" s="193"/>
      <c r="F41" s="192"/>
      <c r="G41" s="194" t="str">
        <f aca="false">IF(OR(C41="",D41="",E41="",F41=""),"",IFERROR(((D41*E41+F41)/C41)^(1/5)-1,"n/a"))</f>
        <v/>
      </c>
      <c r="H41" s="195"/>
      <c r="I41" s="192"/>
      <c r="J41" s="193"/>
      <c r="K41" s="192"/>
      <c r="L41" s="194" t="str">
        <f aca="false">IF(OR(C41="",I41="",J41="",K41=""),"",IFERROR(((I41*J41+K41)/C41)^(1/5)-1,"n/a"))</f>
        <v/>
      </c>
      <c r="M41" s="195"/>
      <c r="N41" s="192"/>
      <c r="O41" s="193"/>
      <c r="P41" s="192"/>
      <c r="Q41" s="194" t="str">
        <f aca="false">IF(OR(C41="",N41="",O41="",P41=""),"",IFERROR(((N41*O41+P41)/C41)^(1/5)-1,"n/a"))</f>
        <v/>
      </c>
      <c r="R41" s="196"/>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90"/>
      <c r="B42" s="191"/>
      <c r="C42" s="192"/>
      <c r="D42" s="192"/>
      <c r="E42" s="193"/>
      <c r="F42" s="192"/>
      <c r="G42" s="194" t="str">
        <f aca="false">IF(OR(C42="",D42="",E42="",F42=""),"",IFERROR(((D42*E42+F42)/C42)^(1/5)-1,"n/a"))</f>
        <v/>
      </c>
      <c r="H42" s="195"/>
      <c r="I42" s="192"/>
      <c r="J42" s="193"/>
      <c r="K42" s="192"/>
      <c r="L42" s="194" t="str">
        <f aca="false">IF(OR(C42="",I42="",J42="",K42=""),"",IFERROR(((I42*J42+K42)/C42)^(1/5)-1,"n/a"))</f>
        <v/>
      </c>
      <c r="M42" s="195"/>
      <c r="N42" s="192"/>
      <c r="O42" s="193"/>
      <c r="P42" s="192"/>
      <c r="Q42" s="194" t="str">
        <f aca="false">IF(OR(C42="",N42="",O42="",P42=""),"",IFERROR(((N42*O42+P42)/C42)^(1/5)-1,"n/a"))</f>
        <v/>
      </c>
      <c r="R42" s="196"/>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90"/>
      <c r="B43" s="191"/>
      <c r="C43" s="192"/>
      <c r="D43" s="192"/>
      <c r="E43" s="193"/>
      <c r="F43" s="192"/>
      <c r="G43" s="194" t="str">
        <f aca="false">IF(OR(C43="",D43="",E43="",F43=""),"",IFERROR(((D43*E43+F43)/C43)^(1/5)-1,"n/a"))</f>
        <v/>
      </c>
      <c r="H43" s="195"/>
      <c r="I43" s="192"/>
      <c r="J43" s="193"/>
      <c r="K43" s="192"/>
      <c r="L43" s="194" t="str">
        <f aca="false">IF(OR(C43="",I43="",J43="",K43=""),"",IFERROR(((I43*J43+K43)/C43)^(1/5)-1,"n/a"))</f>
        <v/>
      </c>
      <c r="M43" s="195"/>
      <c r="N43" s="192"/>
      <c r="O43" s="193"/>
      <c r="P43" s="192"/>
      <c r="Q43" s="194" t="str">
        <f aca="false">IF(OR(C43="",N43="",O43="",P43=""),"",IFERROR(((N43*O43+P43)/C43)^(1/5)-1,"n/a"))</f>
        <v/>
      </c>
      <c r="R43" s="196"/>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9" t="n">
        <v>36</v>
      </c>
      <c r="F44" s="68" t="n">
        <v>11.91</v>
      </c>
      <c r="G44" s="69" t="n">
        <f aca="false">IF(OR(C44="",D44="",E44="",F44=""),"",IFERROR(((D44*E44+F44)/C44)^(1/5)-1,"n/a"))</f>
        <v>0.115965994501476</v>
      </c>
      <c r="H44" s="64" t="s">
        <v>516</v>
      </c>
      <c r="I44" s="68" t="n">
        <v>10.78</v>
      </c>
      <c r="J44" s="189" t="n">
        <v>29.2</v>
      </c>
      <c r="K44" s="68" t="n">
        <v>9.4</v>
      </c>
      <c r="L44" s="69" t="n">
        <f aca="false">IF(OR(C44="",I44="",J44="",K44=""),"",IFERROR(((I44*J44+K44)/C44)^(1/5)-1,"n/a"))</f>
        <v>0.00594459908059064</v>
      </c>
      <c r="M44" s="64" t="s">
        <v>515</v>
      </c>
      <c r="N44" s="68" t="n">
        <v>17.59</v>
      </c>
      <c r="O44" s="189" t="n">
        <v>40.9</v>
      </c>
      <c r="P44" s="68" t="n">
        <v>13.38</v>
      </c>
      <c r="Q44" s="69" t="n">
        <f aca="false">IF(OR(C44="",N44="",O44="",P44=""),"",IFERROR(((N44*O44+P44)/C44)^(1/5)-1,"n/a"))</f>
        <v>0.184176088573328</v>
      </c>
      <c r="R44" s="64" t="s">
        <v>515</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90"/>
      <c r="B45" s="191"/>
      <c r="C45" s="192"/>
      <c r="D45" s="192"/>
      <c r="E45" s="193"/>
      <c r="F45" s="192"/>
      <c r="G45" s="194" t="str">
        <f aca="false">IF(OR(C45="",D45="",E45="",F45=""),"",IFERROR(((D45*E45+F45)/C45)^(1/5)-1,"n/a"))</f>
        <v/>
      </c>
      <c r="H45" s="195"/>
      <c r="I45" s="192"/>
      <c r="J45" s="193"/>
      <c r="K45" s="192"/>
      <c r="L45" s="194" t="str">
        <f aca="false">IF(OR(C45="",I45="",J45="",K45=""),"",IFERROR(((I45*J45+K45)/C45)^(1/5)-1,"n/a"))</f>
        <v/>
      </c>
      <c r="M45" s="195"/>
      <c r="N45" s="192"/>
      <c r="O45" s="193"/>
      <c r="P45" s="192"/>
      <c r="Q45" s="194" t="str">
        <f aca="false">IF(OR(C45="",N45="",O45="",P45=""),"",IFERROR(((N45*O45+P45)/C45)^(1/5)-1,"n/a"))</f>
        <v/>
      </c>
      <c r="R45" s="196"/>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90"/>
      <c r="B46" s="191"/>
      <c r="C46" s="192"/>
      <c r="D46" s="192"/>
      <c r="E46" s="193"/>
      <c r="F46" s="192"/>
      <c r="G46" s="194" t="str">
        <f aca="false">IF(OR(C46="",D46="",E46="",F46=""),"",IFERROR(((D46*E46+F46)/C46)^(1/5)-1,"n/a"))</f>
        <v/>
      </c>
      <c r="H46" s="195"/>
      <c r="I46" s="192"/>
      <c r="J46" s="193"/>
      <c r="K46" s="192"/>
      <c r="L46" s="194" t="str">
        <f aca="false">IF(OR(C46="",I46="",J46="",K46=""),"",IFERROR(((I46*J46+K46)/C46)^(1/5)-1,"n/a"))</f>
        <v/>
      </c>
      <c r="M46" s="195"/>
      <c r="N46" s="192"/>
      <c r="O46" s="193"/>
      <c r="P46" s="192"/>
      <c r="Q46" s="194" t="str">
        <f aca="false">IF(OR(C46="",N46="",O46="",P46=""),"",IFERROR(((N46*O46+P46)/C46)^(1/5)-1,"n/a"))</f>
        <v/>
      </c>
      <c r="R46" s="196"/>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90"/>
      <c r="B47" s="191"/>
      <c r="C47" s="192"/>
      <c r="D47" s="192"/>
      <c r="E47" s="193"/>
      <c r="F47" s="192"/>
      <c r="G47" s="194" t="str">
        <f aca="false">IF(OR(C47="",D47="",E47="",F47=""),"",IFERROR(((D47*E47+F47)/C47)^(1/5)-1,"n/a"))</f>
        <v/>
      </c>
      <c r="H47" s="195"/>
      <c r="I47" s="192"/>
      <c r="J47" s="193"/>
      <c r="K47" s="192"/>
      <c r="L47" s="194" t="str">
        <f aca="false">IF(OR(C47="",I47="",J47="",K47=""),"",IFERROR(((I47*J47+K47)/C47)^(1/5)-1,"n/a"))</f>
        <v/>
      </c>
      <c r="M47" s="195"/>
      <c r="N47" s="192"/>
      <c r="O47" s="193"/>
      <c r="P47" s="192"/>
      <c r="Q47" s="194" t="str">
        <f aca="false">IF(OR(C47="",N47="",O47="",P47=""),"",IFERROR(((N47*O47+P47)/C47)^(1/5)-1,"n/a"))</f>
        <v/>
      </c>
      <c r="R47" s="196"/>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9" t="n">
        <v>37.8</v>
      </c>
      <c r="F48" s="68" t="n">
        <v>0</v>
      </c>
      <c r="G48" s="69" t="n">
        <f aca="false">IF(OR(C48="",D48="",E48="",F48=""),"",IFERROR(((D48*E48+F48)/C48)^(1/5)-1,"n/a"))</f>
        <v>0.149762869934483</v>
      </c>
      <c r="H48" s="64" t="s">
        <v>516</v>
      </c>
      <c r="I48" s="68" t="n">
        <v>2.65</v>
      </c>
      <c r="J48" s="189" t="n">
        <v>30.6</v>
      </c>
      <c r="K48" s="68" t="n">
        <v>0</v>
      </c>
      <c r="L48" s="69" t="n">
        <f aca="false">IF(OR(C48="",I48="",J48="",K48=""),"",IFERROR(((I48*J48+K48)/C48)^(1/5)-1,"n/a"))</f>
        <v>0.0304539723542474</v>
      </c>
      <c r="M48" s="64" t="s">
        <v>515</v>
      </c>
      <c r="N48" s="68" t="n">
        <v>4.4</v>
      </c>
      <c r="O48" s="189" t="n">
        <v>41.6</v>
      </c>
      <c r="P48" s="68" t="n">
        <v>0</v>
      </c>
      <c r="Q48" s="69" t="n">
        <f aca="false">IF(OR(C48="",N48="",O48="",P48=""),"",IFERROR(((N48*O48+P48)/C48)^(1/5)-1,"n/a"))</f>
        <v>0.21267476175</v>
      </c>
      <c r="R48" s="64" t="s">
        <v>515</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90"/>
      <c r="B49" s="191"/>
      <c r="C49" s="192"/>
      <c r="D49" s="192"/>
      <c r="E49" s="193"/>
      <c r="F49" s="192"/>
      <c r="G49" s="194" t="str">
        <f aca="false">IF(OR(C49="",D49="",E49="",F49=""),"",IFERROR(((D49*E49+F49)/C49)^(1/5)-1,"n/a"))</f>
        <v/>
      </c>
      <c r="H49" s="195"/>
      <c r="I49" s="192"/>
      <c r="J49" s="193"/>
      <c r="K49" s="192"/>
      <c r="L49" s="194" t="str">
        <f aca="false">IF(OR(C49="",I49="",J49="",K49=""),"",IFERROR(((I49*J49+K49)/C49)^(1/5)-1,"n/a"))</f>
        <v/>
      </c>
      <c r="M49" s="195"/>
      <c r="N49" s="192"/>
      <c r="O49" s="193"/>
      <c r="P49" s="192"/>
      <c r="Q49" s="194" t="str">
        <f aca="false">IF(OR(C49="",N49="",O49="",P49=""),"",IFERROR(((N49*O49+P49)/C49)^(1/5)-1,"n/a"))</f>
        <v/>
      </c>
      <c r="R49" s="196"/>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90"/>
      <c r="B50" s="191"/>
      <c r="C50" s="192"/>
      <c r="D50" s="192"/>
      <c r="E50" s="193"/>
      <c r="F50" s="192"/>
      <c r="G50" s="194" t="str">
        <f aca="false">IF(OR(C50="",D50="",E50="",F50=""),"",IFERROR(((D50*E50+F50)/C50)^(1/5)-1,"n/a"))</f>
        <v/>
      </c>
      <c r="H50" s="195"/>
      <c r="I50" s="192"/>
      <c r="J50" s="193"/>
      <c r="K50" s="192"/>
      <c r="L50" s="194" t="str">
        <f aca="false">IF(OR(C50="",I50="",J50="",K50=""),"",IFERROR(((I50*J50+K50)/C50)^(1/5)-1,"n/a"))</f>
        <v/>
      </c>
      <c r="M50" s="195"/>
      <c r="N50" s="192"/>
      <c r="O50" s="193"/>
      <c r="P50" s="192"/>
      <c r="Q50" s="194" t="str">
        <f aca="false">IF(OR(C50="",N50="",O50="",P50=""),"",IFERROR(((N50*O50+P50)/C50)^(1/5)-1,"n/a"))</f>
        <v/>
      </c>
      <c r="R50" s="196"/>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9" t="n">
        <v>16.8</v>
      </c>
      <c r="F51" s="68" t="n">
        <v>6.65</v>
      </c>
      <c r="G51" s="69" t="n">
        <f aca="false">IF(OR(C51="",D51="",E51="",F51=""),"",IFERROR(((D51*E51+F51)/C51)^(1/5)-1,"n/a"))</f>
        <v>0.0616014647295038</v>
      </c>
      <c r="H51" s="64" t="s">
        <v>516</v>
      </c>
      <c r="I51" s="68" t="n">
        <v>1.82</v>
      </c>
      <c r="J51" s="189" t="n">
        <v>13.6</v>
      </c>
      <c r="K51" s="68" t="n">
        <v>5.9</v>
      </c>
      <c r="L51" s="69" t="n">
        <f aca="false">IF(OR(C51="",I51="",J51="",K51=""),"",IFERROR(((I51*J51+K51)/C51)^(1/5)-1,"n/a"))</f>
        <v>-0.0938079291194365</v>
      </c>
      <c r="M51" s="64" t="s">
        <v>515</v>
      </c>
      <c r="N51" s="68" t="n">
        <v>5</v>
      </c>
      <c r="O51" s="189" t="n">
        <v>17.7</v>
      </c>
      <c r="P51" s="68" t="n">
        <v>7.05</v>
      </c>
      <c r="Q51" s="69" t="n">
        <f aca="false">IF(OR(C51="",N51="",O51="",P51=""),"",IFERROR(((N51*O51+P51)/C51)^(1/5)-1,"n/a"))</f>
        <v>0.137560838572792</v>
      </c>
      <c r="R51" s="64" t="s">
        <v>515</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9" t="n">
        <v>40.4</v>
      </c>
      <c r="F52" s="68" t="n">
        <v>0</v>
      </c>
      <c r="G52" s="69" t="n">
        <f aca="false">IF(OR(C52="",D52="",E52="",F52=""),"",IFERROR(((D52*E52+F52)/C52)^(1/5)-1,"n/a"))</f>
        <v>0.124799483040831</v>
      </c>
      <c r="H52" s="64" t="s">
        <v>516</v>
      </c>
      <c r="I52" s="68" t="n">
        <v>9.57</v>
      </c>
      <c r="J52" s="189" t="n">
        <v>32.7</v>
      </c>
      <c r="K52" s="68" t="n">
        <v>0</v>
      </c>
      <c r="L52" s="69" t="n">
        <f aca="false">IF(OR(C52="",I52="",J52="",K52=""),"",IFERROR(((I52*J52+K52)/C52)^(1/5)-1,"n/a"))</f>
        <v>0.018415715437079</v>
      </c>
      <c r="M52" s="64" t="s">
        <v>515</v>
      </c>
      <c r="N52" s="68" t="n">
        <v>15.16</v>
      </c>
      <c r="O52" s="189" t="n">
        <v>44.5</v>
      </c>
      <c r="P52" s="68" t="n">
        <v>0</v>
      </c>
      <c r="Q52" s="69" t="n">
        <f aca="false">IF(OR(C52="",N52="",O52="",P52=""),"",IFERROR(((N52*O52+P52)/C52)^(1/5)-1,"n/a"))</f>
        <v>0.187531112808455</v>
      </c>
      <c r="R52" s="64" t="s">
        <v>515</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7" t="s">
        <v>517</v>
      </c>
      <c r="B1" s="197"/>
      <c r="C1" s="197"/>
      <c r="D1" s="197"/>
      <c r="E1" s="197"/>
      <c r="F1" s="197"/>
      <c r="G1" s="197"/>
      <c r="H1" s="197"/>
      <c r="I1" s="197"/>
      <c r="J1" s="197"/>
      <c r="K1" s="197"/>
      <c r="L1" s="197"/>
      <c r="M1" s="197"/>
      <c r="N1" s="197"/>
      <c r="O1" s="197"/>
      <c r="P1" s="197"/>
      <c r="Q1" s="197"/>
      <c r="R1" s="197"/>
      <c r="S1" s="197"/>
      <c r="T1" s="197"/>
      <c r="U1" s="198"/>
      <c r="V1" s="198"/>
    </row>
    <row r="2" customFormat="false" ht="25.5" hidden="false" customHeight="true" outlineLevel="0" collapsed="false">
      <c r="E2" s="116" t="s">
        <v>518</v>
      </c>
      <c r="F2" s="116"/>
      <c r="G2" s="116"/>
      <c r="H2" s="116"/>
      <c r="I2" s="116"/>
      <c r="J2" s="116"/>
      <c r="K2" s="116"/>
      <c r="L2" s="116"/>
      <c r="M2" s="116"/>
      <c r="N2" s="116"/>
      <c r="O2" s="116"/>
      <c r="P2" s="116"/>
      <c r="Q2" s="116"/>
      <c r="R2" s="116"/>
      <c r="S2" s="116"/>
      <c r="T2" s="199" t="s">
        <v>519</v>
      </c>
      <c r="U2" s="199"/>
      <c r="V2" s="199"/>
      <c r="W2" s="199"/>
      <c r="X2" s="199"/>
      <c r="Y2" s="199"/>
      <c r="Z2" s="199"/>
    </row>
    <row r="3" customFormat="false" ht="54" hidden="false" customHeight="true" outlineLevel="0" collapsed="false">
      <c r="A3" s="118" t="s">
        <v>82</v>
      </c>
      <c r="B3" s="118" t="s">
        <v>296</v>
      </c>
      <c r="C3" s="118" t="s">
        <v>520</v>
      </c>
      <c r="D3" s="118" t="s">
        <v>521</v>
      </c>
      <c r="E3" s="118" t="s">
        <v>522</v>
      </c>
      <c r="F3" s="118" t="s">
        <v>523</v>
      </c>
      <c r="G3" s="118" t="s">
        <v>524</v>
      </c>
      <c r="H3" s="118" t="s">
        <v>525</v>
      </c>
      <c r="I3" s="118" t="s">
        <v>526</v>
      </c>
      <c r="J3" s="118" t="s">
        <v>524</v>
      </c>
      <c r="K3" s="118" t="s">
        <v>527</v>
      </c>
      <c r="L3" s="118" t="s">
        <v>528</v>
      </c>
      <c r="M3" s="118" t="s">
        <v>524</v>
      </c>
      <c r="N3" s="118" t="s">
        <v>529</v>
      </c>
      <c r="O3" s="118" t="s">
        <v>530</v>
      </c>
      <c r="P3" s="118" t="s">
        <v>524</v>
      </c>
      <c r="Q3" s="118" t="s">
        <v>531</v>
      </c>
      <c r="R3" s="118" t="s">
        <v>532</v>
      </c>
      <c r="S3" s="118" t="s">
        <v>524</v>
      </c>
      <c r="T3" s="118" t="s">
        <v>533</v>
      </c>
      <c r="U3" s="118" t="s">
        <v>534</v>
      </c>
      <c r="V3" s="118" t="s">
        <v>535</v>
      </c>
      <c r="W3" s="118" t="s">
        <v>536</v>
      </c>
      <c r="X3" s="118" t="s">
        <v>537</v>
      </c>
      <c r="Y3" s="118" t="s">
        <v>538</v>
      </c>
      <c r="Z3" s="118" t="s">
        <v>539</v>
      </c>
      <c r="AA3" s="118" t="s">
        <v>540</v>
      </c>
      <c r="AB3" s="118" t="s">
        <v>495</v>
      </c>
    </row>
    <row r="4" customFormat="false" ht="15" hidden="false" customHeight="true" outlineLevel="0" collapsed="false">
      <c r="A4" s="200"/>
      <c r="B4" s="128"/>
      <c r="C4" s="201"/>
      <c r="D4" s="201"/>
      <c r="E4" s="128"/>
      <c r="F4" s="128"/>
      <c r="G4" s="202" t="str">
        <f aca="false">IF(OR(E4="",F4=""),"",IF(AND(E4&lt;=2,F4&lt;=2),"TRIGGER","OK"))</f>
        <v/>
      </c>
      <c r="H4" s="128"/>
      <c r="I4" s="128"/>
      <c r="J4" s="202" t="str">
        <f aca="false">IF(OR(H4="",I4=""),"",IF(AND(H4&lt;=2,I4&lt;=2),"TRIGGER","OK"))</f>
        <v/>
      </c>
      <c r="K4" s="128"/>
      <c r="L4" s="128"/>
      <c r="M4" s="202" t="str">
        <f aca="false">IF(OR(K4="",L4=""),"",IF(AND(K4&lt;=2,L4&lt;=2),"TRIGGER","OK"))</f>
        <v/>
      </c>
      <c r="N4" s="128"/>
      <c r="O4" s="128"/>
      <c r="P4" s="202" t="str">
        <f aca="false">IF(OR(N4="",O4=""),"",IF(AND(N4&lt;=2,O4&lt;=2),"TRIGGER","OK"))</f>
        <v/>
      </c>
      <c r="Q4" s="128"/>
      <c r="R4" s="128"/>
      <c r="S4" s="202" t="str">
        <f aca="false">IF(OR(Q4="",R4=""),"",IF(AND(Q4&lt;=2,R4&lt;=2),"TRIGGER","OK"))</f>
        <v/>
      </c>
      <c r="T4" s="203"/>
      <c r="U4" s="203"/>
      <c r="V4" s="201"/>
      <c r="W4" s="201"/>
      <c r="X4" s="128"/>
      <c r="Y4" s="128"/>
      <c r="Z4" s="20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00"/>
      <c r="B5" s="128"/>
      <c r="C5" s="201"/>
      <c r="D5" s="201"/>
      <c r="E5" s="128"/>
      <c r="F5" s="128"/>
      <c r="G5" s="202" t="str">
        <f aca="false">IF(OR(E5="",F5=""),"",IF(AND(E5&lt;=2,F5&lt;=2),"TRIGGER","OK"))</f>
        <v/>
      </c>
      <c r="H5" s="128"/>
      <c r="I5" s="128"/>
      <c r="J5" s="202" t="str">
        <f aca="false">IF(OR(H5="",I5=""),"",IF(AND(H5&lt;=2,I5&lt;=2),"TRIGGER","OK"))</f>
        <v/>
      </c>
      <c r="K5" s="128"/>
      <c r="L5" s="128"/>
      <c r="M5" s="202" t="str">
        <f aca="false">IF(OR(K5="",L5=""),"",IF(AND(K5&lt;=2,L5&lt;=2),"TRIGGER","OK"))</f>
        <v/>
      </c>
      <c r="N5" s="128"/>
      <c r="O5" s="128"/>
      <c r="P5" s="202" t="str">
        <f aca="false">IF(OR(N5="",O5=""),"",IF(AND(N5&lt;=2,O5&lt;=2),"TRIGGER","OK"))</f>
        <v/>
      </c>
      <c r="Q5" s="128"/>
      <c r="R5" s="128"/>
      <c r="S5" s="202" t="str">
        <f aca="false">IF(OR(Q5="",R5=""),"",IF(AND(Q5&lt;=2,R5&lt;=2),"TRIGGER","OK"))</f>
        <v/>
      </c>
      <c r="T5" s="203"/>
      <c r="U5" s="203"/>
      <c r="V5" s="201"/>
      <c r="W5" s="201"/>
      <c r="X5" s="128"/>
      <c r="Y5" s="128"/>
      <c r="Z5" s="20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00"/>
      <c r="B6" s="128"/>
      <c r="C6" s="201"/>
      <c r="D6" s="201"/>
      <c r="E6" s="128"/>
      <c r="F6" s="128"/>
      <c r="G6" s="202" t="str">
        <f aca="false">IF(OR(E6="",F6=""),"",IF(AND(E6&lt;=2,F6&lt;=2),"TRIGGER","OK"))</f>
        <v/>
      </c>
      <c r="H6" s="128"/>
      <c r="I6" s="128"/>
      <c r="J6" s="202" t="str">
        <f aca="false">IF(OR(H6="",I6=""),"",IF(AND(H6&lt;=2,I6&lt;=2),"TRIGGER","OK"))</f>
        <v/>
      </c>
      <c r="K6" s="128"/>
      <c r="L6" s="128"/>
      <c r="M6" s="202" t="str">
        <f aca="false">IF(OR(K6="",L6=""),"",IF(AND(K6&lt;=2,L6&lt;=2),"TRIGGER","OK"))</f>
        <v/>
      </c>
      <c r="N6" s="128"/>
      <c r="O6" s="128"/>
      <c r="P6" s="202" t="str">
        <f aca="false">IF(OR(N6="",O6=""),"",IF(AND(N6&lt;=2,O6&lt;=2),"TRIGGER","OK"))</f>
        <v/>
      </c>
      <c r="Q6" s="128"/>
      <c r="R6" s="128"/>
      <c r="S6" s="202" t="str">
        <f aca="false">IF(OR(Q6="",R6=""),"",IF(AND(Q6&lt;=2,R6&lt;=2),"TRIGGER","OK"))</f>
        <v/>
      </c>
      <c r="T6" s="203"/>
      <c r="U6" s="203"/>
      <c r="V6" s="201"/>
      <c r="W6" s="201"/>
      <c r="X6" s="128"/>
      <c r="Y6" s="128"/>
      <c r="Z6" s="20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00"/>
      <c r="B7" s="128"/>
      <c r="C7" s="201"/>
      <c r="D7" s="201"/>
      <c r="E7" s="128"/>
      <c r="F7" s="128"/>
      <c r="G7" s="202" t="str">
        <f aca="false">IF(OR(E7="",F7=""),"",IF(AND(E7&lt;=2,F7&lt;=2),"TRIGGER","OK"))</f>
        <v/>
      </c>
      <c r="H7" s="128"/>
      <c r="I7" s="128"/>
      <c r="J7" s="202" t="str">
        <f aca="false">IF(OR(H7="",I7=""),"",IF(AND(H7&lt;=2,I7&lt;=2),"TRIGGER","OK"))</f>
        <v/>
      </c>
      <c r="K7" s="128"/>
      <c r="L7" s="128"/>
      <c r="M7" s="202" t="str">
        <f aca="false">IF(OR(K7="",L7=""),"",IF(AND(K7&lt;=2,L7&lt;=2),"TRIGGER","OK"))</f>
        <v/>
      </c>
      <c r="N7" s="128"/>
      <c r="O7" s="128"/>
      <c r="P7" s="202" t="str">
        <f aca="false">IF(OR(N7="",O7=""),"",IF(AND(N7&lt;=2,O7&lt;=2),"TRIGGER","OK"))</f>
        <v/>
      </c>
      <c r="Q7" s="128"/>
      <c r="R7" s="128"/>
      <c r="S7" s="202" t="str">
        <f aca="false">IF(OR(Q7="",R7=""),"",IF(AND(Q7&lt;=2,R7&lt;=2),"TRIGGER","OK"))</f>
        <v/>
      </c>
      <c r="T7" s="203"/>
      <c r="U7" s="203"/>
      <c r="V7" s="201"/>
      <c r="W7" s="201"/>
      <c r="X7" s="128"/>
      <c r="Y7" s="128"/>
      <c r="Z7" s="20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00"/>
      <c r="B8" s="128"/>
      <c r="C8" s="201"/>
      <c r="D8" s="201"/>
      <c r="E8" s="128"/>
      <c r="F8" s="128"/>
      <c r="G8" s="202" t="str">
        <f aca="false">IF(OR(E8="",F8=""),"",IF(AND(E8&lt;=2,F8&lt;=2),"TRIGGER","OK"))</f>
        <v/>
      </c>
      <c r="H8" s="128"/>
      <c r="I8" s="128"/>
      <c r="J8" s="202" t="str">
        <f aca="false">IF(OR(H8="",I8=""),"",IF(AND(H8&lt;=2,I8&lt;=2),"TRIGGER","OK"))</f>
        <v/>
      </c>
      <c r="K8" s="128"/>
      <c r="L8" s="128"/>
      <c r="M8" s="202" t="str">
        <f aca="false">IF(OR(K8="",L8=""),"",IF(AND(K8&lt;=2,L8&lt;=2),"TRIGGER","OK"))</f>
        <v/>
      </c>
      <c r="N8" s="128"/>
      <c r="O8" s="128"/>
      <c r="P8" s="202" t="str">
        <f aca="false">IF(OR(N8="",O8=""),"",IF(AND(N8&lt;=2,O8&lt;=2),"TRIGGER","OK"))</f>
        <v/>
      </c>
      <c r="Q8" s="128"/>
      <c r="R8" s="128"/>
      <c r="S8" s="202" t="str">
        <f aca="false">IF(OR(Q8="",R8=""),"",IF(AND(Q8&lt;=2,R8&lt;=2),"TRIGGER","OK"))</f>
        <v/>
      </c>
      <c r="T8" s="203"/>
      <c r="U8" s="203"/>
      <c r="V8" s="201"/>
      <c r="W8" s="201"/>
      <c r="X8" s="128"/>
      <c r="Y8" s="128"/>
      <c r="Z8" s="20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00"/>
      <c r="B9" s="128"/>
      <c r="C9" s="201"/>
      <c r="D9" s="201"/>
      <c r="E9" s="128"/>
      <c r="F9" s="128"/>
      <c r="G9" s="202" t="str">
        <f aca="false">IF(OR(E9="",F9=""),"",IF(AND(E9&lt;=2,F9&lt;=2),"TRIGGER","OK"))</f>
        <v/>
      </c>
      <c r="H9" s="128"/>
      <c r="I9" s="128"/>
      <c r="J9" s="202" t="str">
        <f aca="false">IF(OR(H9="",I9=""),"",IF(AND(H9&lt;=2,I9&lt;=2),"TRIGGER","OK"))</f>
        <v/>
      </c>
      <c r="K9" s="128"/>
      <c r="L9" s="128"/>
      <c r="M9" s="202" t="str">
        <f aca="false">IF(OR(K9="",L9=""),"",IF(AND(K9&lt;=2,L9&lt;=2),"TRIGGER","OK"))</f>
        <v/>
      </c>
      <c r="N9" s="128"/>
      <c r="O9" s="128"/>
      <c r="P9" s="202" t="str">
        <f aca="false">IF(OR(N9="",O9=""),"",IF(AND(N9&lt;=2,O9&lt;=2),"TRIGGER","OK"))</f>
        <v/>
      </c>
      <c r="Q9" s="128"/>
      <c r="R9" s="128"/>
      <c r="S9" s="202" t="str">
        <f aca="false">IF(OR(Q9="",R9=""),"",IF(AND(Q9&lt;=2,R9&lt;=2),"TRIGGER","OK"))</f>
        <v/>
      </c>
      <c r="T9" s="203"/>
      <c r="U9" s="203"/>
      <c r="V9" s="201"/>
      <c r="W9" s="201"/>
      <c r="X9" s="128"/>
      <c r="Y9" s="128"/>
      <c r="Z9" s="20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00"/>
      <c r="B10" s="128"/>
      <c r="C10" s="201"/>
      <c r="D10" s="201"/>
      <c r="E10" s="128"/>
      <c r="F10" s="128"/>
      <c r="G10" s="202" t="str">
        <f aca="false">IF(OR(E10="",F10=""),"",IF(AND(E10&lt;=2,F10&lt;=2),"TRIGGER","OK"))</f>
        <v/>
      </c>
      <c r="H10" s="128"/>
      <c r="I10" s="128"/>
      <c r="J10" s="202" t="str">
        <f aca="false">IF(OR(H10="",I10=""),"",IF(AND(H10&lt;=2,I10&lt;=2),"TRIGGER","OK"))</f>
        <v/>
      </c>
      <c r="K10" s="128"/>
      <c r="L10" s="128"/>
      <c r="M10" s="202" t="str">
        <f aca="false">IF(OR(K10="",L10=""),"",IF(AND(K10&lt;=2,L10&lt;=2),"TRIGGER","OK"))</f>
        <v/>
      </c>
      <c r="N10" s="128"/>
      <c r="O10" s="128"/>
      <c r="P10" s="202" t="str">
        <f aca="false">IF(OR(N10="",O10=""),"",IF(AND(N10&lt;=2,O10&lt;=2),"TRIGGER","OK"))</f>
        <v/>
      </c>
      <c r="Q10" s="128"/>
      <c r="R10" s="128"/>
      <c r="S10" s="202" t="str">
        <f aca="false">IF(OR(Q10="",R10=""),"",IF(AND(Q10&lt;=2,R10&lt;=2),"TRIGGER","OK"))</f>
        <v/>
      </c>
      <c r="T10" s="203"/>
      <c r="U10" s="203"/>
      <c r="V10" s="201"/>
      <c r="W10" s="201"/>
      <c r="X10" s="128"/>
      <c r="Y10" s="128"/>
      <c r="Z10" s="20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00"/>
      <c r="B11" s="128"/>
      <c r="C11" s="201"/>
      <c r="D11" s="201"/>
      <c r="E11" s="128"/>
      <c r="F11" s="128"/>
      <c r="G11" s="202" t="str">
        <f aca="false">IF(OR(E11="",F11=""),"",IF(AND(E11&lt;=2,F11&lt;=2),"TRIGGER","OK"))</f>
        <v/>
      </c>
      <c r="H11" s="128"/>
      <c r="I11" s="128"/>
      <c r="J11" s="202" t="str">
        <f aca="false">IF(OR(H11="",I11=""),"",IF(AND(H11&lt;=2,I11&lt;=2),"TRIGGER","OK"))</f>
        <v/>
      </c>
      <c r="K11" s="128"/>
      <c r="L11" s="128"/>
      <c r="M11" s="202" t="str">
        <f aca="false">IF(OR(K11="",L11=""),"",IF(AND(K11&lt;=2,L11&lt;=2),"TRIGGER","OK"))</f>
        <v/>
      </c>
      <c r="N11" s="128"/>
      <c r="O11" s="128"/>
      <c r="P11" s="202" t="str">
        <f aca="false">IF(OR(N11="",O11=""),"",IF(AND(N11&lt;=2,O11&lt;=2),"TRIGGER","OK"))</f>
        <v/>
      </c>
      <c r="Q11" s="128"/>
      <c r="R11" s="128"/>
      <c r="S11" s="202" t="str">
        <f aca="false">IF(OR(Q11="",R11=""),"",IF(AND(Q11&lt;=2,R11&lt;=2),"TRIGGER","OK"))</f>
        <v/>
      </c>
      <c r="T11" s="203"/>
      <c r="U11" s="203"/>
      <c r="V11" s="201"/>
      <c r="W11" s="201"/>
      <c r="X11" s="128"/>
      <c r="Y11" s="128"/>
      <c r="Z11" s="20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00"/>
      <c r="B12" s="128"/>
      <c r="C12" s="201"/>
      <c r="D12" s="201"/>
      <c r="E12" s="128"/>
      <c r="F12" s="128"/>
      <c r="G12" s="202" t="str">
        <f aca="false">IF(OR(E12="",F12=""),"",IF(AND(E12&lt;=2,F12&lt;=2),"TRIGGER","OK"))</f>
        <v/>
      </c>
      <c r="H12" s="128"/>
      <c r="I12" s="128"/>
      <c r="J12" s="202" t="str">
        <f aca="false">IF(OR(H12="",I12=""),"",IF(AND(H12&lt;=2,I12&lt;=2),"TRIGGER","OK"))</f>
        <v/>
      </c>
      <c r="K12" s="128"/>
      <c r="L12" s="128"/>
      <c r="M12" s="202" t="str">
        <f aca="false">IF(OR(K12="",L12=""),"",IF(AND(K12&lt;=2,L12&lt;=2),"TRIGGER","OK"))</f>
        <v/>
      </c>
      <c r="N12" s="128"/>
      <c r="O12" s="128"/>
      <c r="P12" s="202" t="str">
        <f aca="false">IF(OR(N12="",O12=""),"",IF(AND(N12&lt;=2,O12&lt;=2),"TRIGGER","OK"))</f>
        <v/>
      </c>
      <c r="Q12" s="128"/>
      <c r="R12" s="128"/>
      <c r="S12" s="202" t="str">
        <f aca="false">IF(OR(Q12="",R12=""),"",IF(AND(Q12&lt;=2,R12&lt;=2),"TRIGGER","OK"))</f>
        <v/>
      </c>
      <c r="T12" s="203"/>
      <c r="U12" s="203"/>
      <c r="V12" s="201"/>
      <c r="W12" s="201"/>
      <c r="X12" s="128"/>
      <c r="Y12" s="128"/>
      <c r="Z12" s="20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00"/>
      <c r="B13" s="128"/>
      <c r="C13" s="201"/>
      <c r="D13" s="201"/>
      <c r="E13" s="128"/>
      <c r="F13" s="128"/>
      <c r="G13" s="202" t="str">
        <f aca="false">IF(OR(E13="",F13=""),"",IF(AND(E13&lt;=2,F13&lt;=2),"TRIGGER","OK"))</f>
        <v/>
      </c>
      <c r="H13" s="128"/>
      <c r="I13" s="128"/>
      <c r="J13" s="202" t="str">
        <f aca="false">IF(OR(H13="",I13=""),"",IF(AND(H13&lt;=2,I13&lt;=2),"TRIGGER","OK"))</f>
        <v/>
      </c>
      <c r="K13" s="128"/>
      <c r="L13" s="128"/>
      <c r="M13" s="202" t="str">
        <f aca="false">IF(OR(K13="",L13=""),"",IF(AND(K13&lt;=2,L13&lt;=2),"TRIGGER","OK"))</f>
        <v/>
      </c>
      <c r="N13" s="128"/>
      <c r="O13" s="128"/>
      <c r="P13" s="202" t="str">
        <f aca="false">IF(OR(N13="",O13=""),"",IF(AND(N13&lt;=2,O13&lt;=2),"TRIGGER","OK"))</f>
        <v/>
      </c>
      <c r="Q13" s="128"/>
      <c r="R13" s="128"/>
      <c r="S13" s="202" t="str">
        <f aca="false">IF(OR(Q13="",R13=""),"",IF(AND(Q13&lt;=2,R13&lt;=2),"TRIGGER","OK"))</f>
        <v/>
      </c>
      <c r="T13" s="203"/>
      <c r="U13" s="203"/>
      <c r="V13" s="201"/>
      <c r="W13" s="201"/>
      <c r="X13" s="128"/>
      <c r="Y13" s="128"/>
      <c r="Z13" s="20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00"/>
      <c r="B14" s="128"/>
      <c r="C14" s="201"/>
      <c r="D14" s="201"/>
      <c r="E14" s="128"/>
      <c r="F14" s="128"/>
      <c r="G14" s="202" t="str">
        <f aca="false">IF(OR(E14="",F14=""),"",IF(AND(E14&lt;=2,F14&lt;=2),"TRIGGER","OK"))</f>
        <v/>
      </c>
      <c r="H14" s="128"/>
      <c r="I14" s="128"/>
      <c r="J14" s="202" t="str">
        <f aca="false">IF(OR(H14="",I14=""),"",IF(AND(H14&lt;=2,I14&lt;=2),"TRIGGER","OK"))</f>
        <v/>
      </c>
      <c r="K14" s="128"/>
      <c r="L14" s="128"/>
      <c r="M14" s="202" t="str">
        <f aca="false">IF(OR(K14="",L14=""),"",IF(AND(K14&lt;=2,L14&lt;=2),"TRIGGER","OK"))</f>
        <v/>
      </c>
      <c r="N14" s="128"/>
      <c r="O14" s="128"/>
      <c r="P14" s="202" t="str">
        <f aca="false">IF(OR(N14="",O14=""),"",IF(AND(N14&lt;=2,O14&lt;=2),"TRIGGER","OK"))</f>
        <v/>
      </c>
      <c r="Q14" s="128"/>
      <c r="R14" s="128"/>
      <c r="S14" s="202" t="str">
        <f aca="false">IF(OR(Q14="",R14=""),"",IF(AND(Q14&lt;=2,R14&lt;=2),"TRIGGER","OK"))</f>
        <v/>
      </c>
      <c r="T14" s="203"/>
      <c r="U14" s="203"/>
      <c r="V14" s="201"/>
      <c r="W14" s="201"/>
      <c r="X14" s="128"/>
      <c r="Y14" s="128"/>
      <c r="Z14" s="20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00"/>
      <c r="B15" s="128"/>
      <c r="C15" s="201"/>
      <c r="D15" s="201"/>
      <c r="E15" s="128"/>
      <c r="F15" s="128"/>
      <c r="G15" s="202" t="str">
        <f aca="false">IF(OR(E15="",F15=""),"",IF(AND(E15&lt;=2,F15&lt;=2),"TRIGGER","OK"))</f>
        <v/>
      </c>
      <c r="H15" s="128"/>
      <c r="I15" s="128"/>
      <c r="J15" s="202" t="str">
        <f aca="false">IF(OR(H15="",I15=""),"",IF(AND(H15&lt;=2,I15&lt;=2),"TRIGGER","OK"))</f>
        <v/>
      </c>
      <c r="K15" s="128"/>
      <c r="L15" s="128"/>
      <c r="M15" s="202" t="str">
        <f aca="false">IF(OR(K15="",L15=""),"",IF(AND(K15&lt;=2,L15&lt;=2),"TRIGGER","OK"))</f>
        <v/>
      </c>
      <c r="N15" s="128"/>
      <c r="O15" s="128"/>
      <c r="P15" s="202" t="str">
        <f aca="false">IF(OR(N15="",O15=""),"",IF(AND(N15&lt;=2,O15&lt;=2),"TRIGGER","OK"))</f>
        <v/>
      </c>
      <c r="Q15" s="128"/>
      <c r="R15" s="128"/>
      <c r="S15" s="202" t="str">
        <f aca="false">IF(OR(Q15="",R15=""),"",IF(AND(Q15&lt;=2,R15&lt;=2),"TRIGGER","OK"))</f>
        <v/>
      </c>
      <c r="T15" s="203"/>
      <c r="U15" s="203"/>
      <c r="V15" s="201"/>
      <c r="W15" s="201"/>
      <c r="X15" s="128"/>
      <c r="Y15" s="128"/>
      <c r="Z15" s="20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00"/>
      <c r="B16" s="128"/>
      <c r="C16" s="201"/>
      <c r="D16" s="201"/>
      <c r="E16" s="128"/>
      <c r="F16" s="128"/>
      <c r="G16" s="202" t="str">
        <f aca="false">IF(OR(E16="",F16=""),"",IF(AND(E16&lt;=2,F16&lt;=2),"TRIGGER","OK"))</f>
        <v/>
      </c>
      <c r="H16" s="128"/>
      <c r="I16" s="128"/>
      <c r="J16" s="202" t="str">
        <f aca="false">IF(OR(H16="",I16=""),"",IF(AND(H16&lt;=2,I16&lt;=2),"TRIGGER","OK"))</f>
        <v/>
      </c>
      <c r="K16" s="128"/>
      <c r="L16" s="128"/>
      <c r="M16" s="202" t="str">
        <f aca="false">IF(OR(K16="",L16=""),"",IF(AND(K16&lt;=2,L16&lt;=2),"TRIGGER","OK"))</f>
        <v/>
      </c>
      <c r="N16" s="128"/>
      <c r="O16" s="128"/>
      <c r="P16" s="202" t="str">
        <f aca="false">IF(OR(N16="",O16=""),"",IF(AND(N16&lt;=2,O16&lt;=2),"TRIGGER","OK"))</f>
        <v/>
      </c>
      <c r="Q16" s="128"/>
      <c r="R16" s="128"/>
      <c r="S16" s="202" t="str">
        <f aca="false">IF(OR(Q16="",R16=""),"",IF(AND(Q16&lt;=2,R16&lt;=2),"TRIGGER","OK"))</f>
        <v/>
      </c>
      <c r="T16" s="203"/>
      <c r="U16" s="203"/>
      <c r="V16" s="201"/>
      <c r="W16" s="201"/>
      <c r="X16" s="128"/>
      <c r="Y16" s="128"/>
      <c r="Z16" s="20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00"/>
      <c r="B17" s="128"/>
      <c r="C17" s="201"/>
      <c r="D17" s="201"/>
      <c r="E17" s="128"/>
      <c r="F17" s="128"/>
      <c r="G17" s="202" t="str">
        <f aca="false">IF(OR(E17="",F17=""),"",IF(AND(E17&lt;=2,F17&lt;=2),"TRIGGER","OK"))</f>
        <v/>
      </c>
      <c r="H17" s="128"/>
      <c r="I17" s="128"/>
      <c r="J17" s="202" t="str">
        <f aca="false">IF(OR(H17="",I17=""),"",IF(AND(H17&lt;=2,I17&lt;=2),"TRIGGER","OK"))</f>
        <v/>
      </c>
      <c r="K17" s="128"/>
      <c r="L17" s="128"/>
      <c r="M17" s="202" t="str">
        <f aca="false">IF(OR(K17="",L17=""),"",IF(AND(K17&lt;=2,L17&lt;=2),"TRIGGER","OK"))</f>
        <v/>
      </c>
      <c r="N17" s="128"/>
      <c r="O17" s="128"/>
      <c r="P17" s="202" t="str">
        <f aca="false">IF(OR(N17="",O17=""),"",IF(AND(N17&lt;=2,O17&lt;=2),"TRIGGER","OK"))</f>
        <v/>
      </c>
      <c r="Q17" s="128"/>
      <c r="R17" s="128"/>
      <c r="S17" s="202" t="str">
        <f aca="false">IF(OR(Q17="",R17=""),"",IF(AND(Q17&lt;=2,R17&lt;=2),"TRIGGER","OK"))</f>
        <v/>
      </c>
      <c r="T17" s="203"/>
      <c r="U17" s="203"/>
      <c r="V17" s="201"/>
      <c r="W17" s="201"/>
      <c r="X17" s="128"/>
      <c r="Y17" s="128"/>
      <c r="Z17" s="20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00"/>
      <c r="B18" s="128"/>
      <c r="C18" s="201"/>
      <c r="D18" s="201"/>
      <c r="E18" s="128"/>
      <c r="F18" s="128"/>
      <c r="G18" s="202" t="str">
        <f aca="false">IF(OR(E18="",F18=""),"",IF(AND(E18&lt;=2,F18&lt;=2),"TRIGGER","OK"))</f>
        <v/>
      </c>
      <c r="H18" s="128"/>
      <c r="I18" s="128"/>
      <c r="J18" s="202" t="str">
        <f aca="false">IF(OR(H18="",I18=""),"",IF(AND(H18&lt;=2,I18&lt;=2),"TRIGGER","OK"))</f>
        <v/>
      </c>
      <c r="K18" s="128"/>
      <c r="L18" s="128"/>
      <c r="M18" s="202" t="str">
        <f aca="false">IF(OR(K18="",L18=""),"",IF(AND(K18&lt;=2,L18&lt;=2),"TRIGGER","OK"))</f>
        <v/>
      </c>
      <c r="N18" s="128"/>
      <c r="O18" s="128"/>
      <c r="P18" s="202" t="str">
        <f aca="false">IF(OR(N18="",O18=""),"",IF(AND(N18&lt;=2,O18&lt;=2),"TRIGGER","OK"))</f>
        <v/>
      </c>
      <c r="Q18" s="128"/>
      <c r="R18" s="128"/>
      <c r="S18" s="202" t="str">
        <f aca="false">IF(OR(Q18="",R18=""),"",IF(AND(Q18&lt;=2,R18&lt;=2),"TRIGGER","OK"))</f>
        <v/>
      </c>
      <c r="T18" s="203"/>
      <c r="U18" s="203"/>
      <c r="V18" s="201"/>
      <c r="W18" s="201"/>
      <c r="X18" s="128"/>
      <c r="Y18" s="128"/>
      <c r="Z18" s="20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00"/>
      <c r="B19" s="128"/>
      <c r="C19" s="201"/>
      <c r="D19" s="201"/>
      <c r="E19" s="128"/>
      <c r="F19" s="128"/>
      <c r="G19" s="202" t="str">
        <f aca="false">IF(OR(E19="",F19=""),"",IF(AND(E19&lt;=2,F19&lt;=2),"TRIGGER","OK"))</f>
        <v/>
      </c>
      <c r="H19" s="128"/>
      <c r="I19" s="128"/>
      <c r="J19" s="202" t="str">
        <f aca="false">IF(OR(H19="",I19=""),"",IF(AND(H19&lt;=2,I19&lt;=2),"TRIGGER","OK"))</f>
        <v/>
      </c>
      <c r="K19" s="128"/>
      <c r="L19" s="128"/>
      <c r="M19" s="202" t="str">
        <f aca="false">IF(OR(K19="",L19=""),"",IF(AND(K19&lt;=2,L19&lt;=2),"TRIGGER","OK"))</f>
        <v/>
      </c>
      <c r="N19" s="128"/>
      <c r="O19" s="128"/>
      <c r="P19" s="202" t="str">
        <f aca="false">IF(OR(N19="",O19=""),"",IF(AND(N19&lt;=2,O19&lt;=2),"TRIGGER","OK"))</f>
        <v/>
      </c>
      <c r="Q19" s="128"/>
      <c r="R19" s="128"/>
      <c r="S19" s="202" t="str">
        <f aca="false">IF(OR(Q19="",R19=""),"",IF(AND(Q19&lt;=2,R19&lt;=2),"TRIGGER","OK"))</f>
        <v/>
      </c>
      <c r="T19" s="203"/>
      <c r="U19" s="203"/>
      <c r="V19" s="201"/>
      <c r="W19" s="201"/>
      <c r="X19" s="128"/>
      <c r="Y19" s="128"/>
      <c r="Z19" s="20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00"/>
      <c r="B20" s="128"/>
      <c r="C20" s="201"/>
      <c r="D20" s="201"/>
      <c r="E20" s="128"/>
      <c r="F20" s="128"/>
      <c r="G20" s="202" t="str">
        <f aca="false">IF(OR(E20="",F20=""),"",IF(AND(E20&lt;=2,F20&lt;=2),"TRIGGER","OK"))</f>
        <v/>
      </c>
      <c r="H20" s="128"/>
      <c r="I20" s="128"/>
      <c r="J20" s="202" t="str">
        <f aca="false">IF(OR(H20="",I20=""),"",IF(AND(H20&lt;=2,I20&lt;=2),"TRIGGER","OK"))</f>
        <v/>
      </c>
      <c r="K20" s="128"/>
      <c r="L20" s="128"/>
      <c r="M20" s="202" t="str">
        <f aca="false">IF(OR(K20="",L20=""),"",IF(AND(K20&lt;=2,L20&lt;=2),"TRIGGER","OK"))</f>
        <v/>
      </c>
      <c r="N20" s="128"/>
      <c r="O20" s="128"/>
      <c r="P20" s="202" t="str">
        <f aca="false">IF(OR(N20="",O20=""),"",IF(AND(N20&lt;=2,O20&lt;=2),"TRIGGER","OK"))</f>
        <v/>
      </c>
      <c r="Q20" s="128"/>
      <c r="R20" s="128"/>
      <c r="S20" s="202" t="str">
        <f aca="false">IF(OR(Q20="",R20=""),"",IF(AND(Q20&lt;=2,R20&lt;=2),"TRIGGER","OK"))</f>
        <v/>
      </c>
      <c r="T20" s="203"/>
      <c r="U20" s="203"/>
      <c r="V20" s="201"/>
      <c r="W20" s="201"/>
      <c r="X20" s="128"/>
      <c r="Y20" s="128"/>
      <c r="Z20" s="20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00"/>
      <c r="B21" s="128"/>
      <c r="C21" s="201"/>
      <c r="D21" s="201"/>
      <c r="E21" s="128"/>
      <c r="F21" s="128"/>
      <c r="G21" s="202" t="str">
        <f aca="false">IF(OR(E21="",F21=""),"",IF(AND(E21&lt;=2,F21&lt;=2),"TRIGGER","OK"))</f>
        <v/>
      </c>
      <c r="H21" s="128"/>
      <c r="I21" s="128"/>
      <c r="J21" s="202" t="str">
        <f aca="false">IF(OR(H21="",I21=""),"",IF(AND(H21&lt;=2,I21&lt;=2),"TRIGGER","OK"))</f>
        <v/>
      </c>
      <c r="K21" s="128"/>
      <c r="L21" s="128"/>
      <c r="M21" s="202" t="str">
        <f aca="false">IF(OR(K21="",L21=""),"",IF(AND(K21&lt;=2,L21&lt;=2),"TRIGGER","OK"))</f>
        <v/>
      </c>
      <c r="N21" s="128"/>
      <c r="O21" s="128"/>
      <c r="P21" s="202" t="str">
        <f aca="false">IF(OR(N21="",O21=""),"",IF(AND(N21&lt;=2,O21&lt;=2),"TRIGGER","OK"))</f>
        <v/>
      </c>
      <c r="Q21" s="128"/>
      <c r="R21" s="128"/>
      <c r="S21" s="202" t="str">
        <f aca="false">IF(OR(Q21="",R21=""),"",IF(AND(Q21&lt;=2,R21&lt;=2),"TRIGGER","OK"))</f>
        <v/>
      </c>
      <c r="T21" s="203"/>
      <c r="U21" s="203"/>
      <c r="V21" s="201"/>
      <c r="W21" s="201"/>
      <c r="X21" s="128"/>
      <c r="Y21" s="128"/>
      <c r="Z21" s="20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00"/>
      <c r="B22" s="128"/>
      <c r="C22" s="201"/>
      <c r="D22" s="201"/>
      <c r="E22" s="128"/>
      <c r="F22" s="128"/>
      <c r="G22" s="202" t="str">
        <f aca="false">IF(OR(E22="",F22=""),"",IF(AND(E22&lt;=2,F22&lt;=2),"TRIGGER","OK"))</f>
        <v/>
      </c>
      <c r="H22" s="128"/>
      <c r="I22" s="128"/>
      <c r="J22" s="202" t="str">
        <f aca="false">IF(OR(H22="",I22=""),"",IF(AND(H22&lt;=2,I22&lt;=2),"TRIGGER","OK"))</f>
        <v/>
      </c>
      <c r="K22" s="128"/>
      <c r="L22" s="128"/>
      <c r="M22" s="202" t="str">
        <f aca="false">IF(OR(K22="",L22=""),"",IF(AND(K22&lt;=2,L22&lt;=2),"TRIGGER","OK"))</f>
        <v/>
      </c>
      <c r="N22" s="128"/>
      <c r="O22" s="128"/>
      <c r="P22" s="202" t="str">
        <f aca="false">IF(OR(N22="",O22=""),"",IF(AND(N22&lt;=2,O22&lt;=2),"TRIGGER","OK"))</f>
        <v/>
      </c>
      <c r="Q22" s="128"/>
      <c r="R22" s="128"/>
      <c r="S22" s="202" t="str">
        <f aca="false">IF(OR(Q22="",R22=""),"",IF(AND(Q22&lt;=2,R22&lt;=2),"TRIGGER","OK"))</f>
        <v/>
      </c>
      <c r="T22" s="203"/>
      <c r="U22" s="203"/>
      <c r="V22" s="201"/>
      <c r="W22" s="201"/>
      <c r="X22" s="128"/>
      <c r="Y22" s="128"/>
      <c r="Z22" s="20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00"/>
      <c r="B23" s="128"/>
      <c r="C23" s="201"/>
      <c r="D23" s="201"/>
      <c r="E23" s="128"/>
      <c r="F23" s="128"/>
      <c r="G23" s="202" t="str">
        <f aca="false">IF(OR(E23="",F23=""),"",IF(AND(E23&lt;=2,F23&lt;=2),"TRIGGER","OK"))</f>
        <v/>
      </c>
      <c r="H23" s="128"/>
      <c r="I23" s="128"/>
      <c r="J23" s="202" t="str">
        <f aca="false">IF(OR(H23="",I23=""),"",IF(AND(H23&lt;=2,I23&lt;=2),"TRIGGER","OK"))</f>
        <v/>
      </c>
      <c r="K23" s="128"/>
      <c r="L23" s="128"/>
      <c r="M23" s="202" t="str">
        <f aca="false">IF(OR(K23="",L23=""),"",IF(AND(K23&lt;=2,L23&lt;=2),"TRIGGER","OK"))</f>
        <v/>
      </c>
      <c r="N23" s="128"/>
      <c r="O23" s="128"/>
      <c r="P23" s="202" t="str">
        <f aca="false">IF(OR(N23="",O23=""),"",IF(AND(N23&lt;=2,O23&lt;=2),"TRIGGER","OK"))</f>
        <v/>
      </c>
      <c r="Q23" s="128"/>
      <c r="R23" s="128"/>
      <c r="S23" s="202" t="str">
        <f aca="false">IF(OR(Q23="",R23=""),"",IF(AND(Q23&lt;=2,R23&lt;=2),"TRIGGER","OK"))</f>
        <v/>
      </c>
      <c r="T23" s="203"/>
      <c r="U23" s="203"/>
      <c r="V23" s="201"/>
      <c r="W23" s="201"/>
      <c r="X23" s="128"/>
      <c r="Y23" s="128"/>
      <c r="Z23" s="20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4" t="s">
        <v>541</v>
      </c>
      <c r="B1" s="204"/>
      <c r="C1" s="204"/>
      <c r="D1" s="204"/>
      <c r="E1" s="204"/>
      <c r="F1" s="204"/>
      <c r="G1" s="204"/>
      <c r="H1" s="204"/>
      <c r="I1" s="204"/>
      <c r="J1" s="204"/>
      <c r="K1" s="204"/>
      <c r="L1" s="204"/>
      <c r="M1" s="204"/>
      <c r="N1" s="204"/>
      <c r="O1" s="204"/>
      <c r="P1" s="204"/>
      <c r="Q1" s="198"/>
    </row>
    <row r="2" customFormat="false" ht="42.75" hidden="false" customHeight="true" outlineLevel="0" collapsed="false">
      <c r="A2" s="60" t="s">
        <v>82</v>
      </c>
      <c r="B2" s="60" t="s">
        <v>296</v>
      </c>
      <c r="C2" s="60" t="s">
        <v>542</v>
      </c>
      <c r="D2" s="60" t="s">
        <v>543</v>
      </c>
      <c r="E2" s="60" t="s">
        <v>489</v>
      </c>
      <c r="F2" s="60" t="s">
        <v>544</v>
      </c>
      <c r="G2" s="60" t="s">
        <v>545</v>
      </c>
      <c r="H2" s="60" t="s">
        <v>546</v>
      </c>
      <c r="I2" s="60" t="s">
        <v>547</v>
      </c>
      <c r="J2" s="60" t="s">
        <v>548</v>
      </c>
      <c r="K2" s="60" t="s">
        <v>549</v>
      </c>
      <c r="L2" s="60" t="s">
        <v>550</v>
      </c>
      <c r="M2" s="60" t="s">
        <v>551</v>
      </c>
      <c r="N2" s="60" t="s">
        <v>552</v>
      </c>
      <c r="O2" s="60" t="s">
        <v>553</v>
      </c>
      <c r="P2" s="60" t="s">
        <v>554</v>
      </c>
      <c r="Q2" s="60" t="s">
        <v>555</v>
      </c>
      <c r="R2" s="60" t="s">
        <v>556</v>
      </c>
      <c r="S2" s="60" t="s">
        <v>557</v>
      </c>
      <c r="T2" s="60" t="s">
        <v>558</v>
      </c>
      <c r="U2" s="60" t="s">
        <v>559</v>
      </c>
      <c r="V2" s="60" t="s">
        <v>560</v>
      </c>
      <c r="W2" s="60" t="s">
        <v>561</v>
      </c>
      <c r="X2" s="60" t="s">
        <v>562</v>
      </c>
      <c r="Y2" s="60" t="s">
        <v>563</v>
      </c>
      <c r="Z2" s="60" t="s">
        <v>564</v>
      </c>
      <c r="AA2" s="60" t="s">
        <v>565</v>
      </c>
      <c r="AB2" s="60" t="s">
        <v>566</v>
      </c>
      <c r="AC2" s="60" t="s">
        <v>567</v>
      </c>
    </row>
    <row r="3" customFormat="false" ht="15" hidden="false" customHeight="true" outlineLevel="0" collapsed="false">
      <c r="A3" s="205" t="s">
        <v>96</v>
      </c>
      <c r="B3" s="128" t="s">
        <v>97</v>
      </c>
      <c r="C3" s="206" t="n">
        <v>46241</v>
      </c>
      <c r="D3" s="207" t="n">
        <v>266.38</v>
      </c>
      <c r="E3" s="208" t="n">
        <v>85.8</v>
      </c>
      <c r="F3" s="128" t="s">
        <v>349</v>
      </c>
      <c r="G3" s="128" t="s">
        <v>568</v>
      </c>
      <c r="H3" s="207" t="n">
        <v>773.26</v>
      </c>
      <c r="I3" s="128" t="s">
        <v>569</v>
      </c>
      <c r="J3" s="177"/>
      <c r="K3" s="207"/>
      <c r="L3" s="128"/>
      <c r="M3" s="207" t="n">
        <f aca="false">IFERROR(INDEX('Market Data'!$C$3:$C$300,MATCH($A3,'Market Data'!$A$3:$A$300,0)),"")</f>
        <v>237.69</v>
      </c>
      <c r="N3" s="207" t="n">
        <f aca="false">PT_SPY_Now</f>
        <v>769.64</v>
      </c>
      <c r="O3" s="209" t="n">
        <f aca="false">IF(OR(D3="",M3=""),"",M3/D3-1)</f>
        <v>-0.107703281027104</v>
      </c>
      <c r="P3" s="209" t="n">
        <f aca="false">IF(OR(H3="",N3=""),"",N3/H3-1)</f>
        <v>-0.00468147841605671</v>
      </c>
      <c r="Q3" s="209" t="n">
        <f aca="false">IF(OR(O3="",P3=""),"",O3-P3)</f>
        <v>-0.103021802611047</v>
      </c>
      <c r="R3" s="207" t="s">
        <v>570</v>
      </c>
      <c r="S3" s="207" t="s">
        <v>571</v>
      </c>
      <c r="T3" s="210" t="n">
        <v>20</v>
      </c>
      <c r="U3" s="211" t="n">
        <f aca="false">IF($A3="","",IF(OR($S3="System",$I3="Exited"),$T3,SUMIFS(CurrentPositionsTable[Quantity],CurrentPositionsTable[Ticker],$A3)-SUMIFS($T$3:$T$44,$A$3:$A$44,$A3,$S$3:$S$44,"System",$I$3:$I$44,"Held")))</f>
        <v>20</v>
      </c>
      <c r="V3" s="212" t="n">
        <f aca="false">IF(OR($U3="",$D3=""),"",$U3*$D3)</f>
        <v>5327.6</v>
      </c>
      <c r="W3" s="212" t="n">
        <f aca="false">IF(OR($U3="",$M3=""),"",$U3*$M3)</f>
        <v>4753.8</v>
      </c>
      <c r="X3" s="213" t="n">
        <f aca="false">IF(OR($V3="",$W3=""),"",$W3-$V3)</f>
        <v>-573.8</v>
      </c>
      <c r="Y3" s="207" t="n">
        <f aca="false">$D3</f>
        <v>266.38</v>
      </c>
      <c r="Z3" s="212" t="n">
        <f aca="false">IF(OR($U3="",$Y3=""),"",$U3*$Y3)</f>
        <v>5327.6</v>
      </c>
      <c r="AA3" s="213" t="n">
        <f aca="false">IF(OR($Z3="",$W3=""),"",$W3-$Z3)</f>
        <v>-573.8</v>
      </c>
      <c r="AB3" s="209" t="n">
        <f aca="false">IF(OR($Z3="",$W3=""),"",IF($Z3=0,"",$W3/$Z3-1))</f>
        <v>-0.107703281027104</v>
      </c>
      <c r="AC3" s="213" t="n">
        <f aca="false">IF(OR($V3="",$P3=""),"",$V3*$P3)</f>
        <v>-24.9410444093837</v>
      </c>
    </row>
    <row r="4" customFormat="false" ht="15" hidden="false" customHeight="true" outlineLevel="0" collapsed="false">
      <c r="A4" s="205" t="s">
        <v>174</v>
      </c>
      <c r="B4" s="128" t="s">
        <v>175</v>
      </c>
      <c r="C4" s="206" t="n">
        <v>46241</v>
      </c>
      <c r="D4" s="207" t="n">
        <v>488.77</v>
      </c>
      <c r="E4" s="208" t="n">
        <v>75.6</v>
      </c>
      <c r="F4" s="128" t="s">
        <v>349</v>
      </c>
      <c r="G4" s="128" t="s">
        <v>572</v>
      </c>
      <c r="H4" s="207" t="n">
        <v>773.26</v>
      </c>
      <c r="I4" s="128" t="s">
        <v>569</v>
      </c>
      <c r="J4" s="177"/>
      <c r="K4" s="207"/>
      <c r="L4" s="128"/>
      <c r="M4" s="207" t="n">
        <f aca="false">IFERROR(INDEX('Market Data'!$C$3:$C$300,MATCH($A4,'Market Data'!$A$3:$A$300,0)),"")</f>
        <v>504.73</v>
      </c>
      <c r="N4" s="207" t="n">
        <f aca="false">PT_SPY_Now</f>
        <v>769.64</v>
      </c>
      <c r="O4" s="209" t="n">
        <f aca="false">IF(OR(D4="",M4=""),"",M4/D4-1)</f>
        <v>0.0326533952574832</v>
      </c>
      <c r="P4" s="209" t="n">
        <f aca="false">IF(OR(H4="",N4=""),"",N4/H4-1)</f>
        <v>-0.00468147841605671</v>
      </c>
      <c r="Q4" s="209" t="n">
        <f aca="false">IF(OR(O4="",P4=""),"",O4-P4)</f>
        <v>0.0373348736735399</v>
      </c>
      <c r="R4" s="207" t="s">
        <v>570</v>
      </c>
      <c r="S4" s="207" t="s">
        <v>571</v>
      </c>
      <c r="T4" s="210" t="n">
        <v>25</v>
      </c>
      <c r="U4" s="211" t="n">
        <f aca="false">IF($A4="","",IF(OR($S4="System",$I4="Exited"),$T4,SUMIFS(CurrentPositionsTable[Quantity],CurrentPositionsTable[Ticker],$A4)-SUMIFS($T$3:$T$44,$A$3:$A$44,$A4,$S$3:$S$44,"System",$I$3:$I$44,"Held")))</f>
        <v>25</v>
      </c>
      <c r="V4" s="212" t="n">
        <f aca="false">IF(OR($U4="",$D4=""),"",$U4*$D4)</f>
        <v>12219.25</v>
      </c>
      <c r="W4" s="212" t="n">
        <f aca="false">IF(OR($U4="",$M4=""),"",$U4*$M4)</f>
        <v>12618.25</v>
      </c>
      <c r="X4" s="213" t="n">
        <f aca="false">IF(OR($V4="",$W4=""),"",$W4-$V4)</f>
        <v>399</v>
      </c>
      <c r="Y4" s="207" t="n">
        <f aca="false">$D4</f>
        <v>488.77</v>
      </c>
      <c r="Z4" s="212" t="n">
        <f aca="false">IF(OR($U4="",$Y4=""),"",$U4*$Y4)</f>
        <v>12219.25</v>
      </c>
      <c r="AA4" s="213" t="n">
        <f aca="false">IF(OR($Z4="",$W4=""),"",$W4-$Z4)</f>
        <v>399</v>
      </c>
      <c r="AB4" s="209" t="n">
        <f aca="false">IF(OR($Z4="",$W4=""),"",IF($Z4=0,"",$W4/$Z4-1))</f>
        <v>0.032653395257483</v>
      </c>
      <c r="AC4" s="213" t="n">
        <f aca="false">IF(OR($V4="",$P4=""),"",$V4*$P4)</f>
        <v>-57.2041551354009</v>
      </c>
    </row>
    <row r="5" customFormat="false" ht="15" hidden="false" customHeight="true" outlineLevel="0" collapsed="false">
      <c r="A5" s="205" t="s">
        <v>177</v>
      </c>
      <c r="B5" s="128" t="s">
        <v>355</v>
      </c>
      <c r="C5" s="206" t="n">
        <v>46241</v>
      </c>
      <c r="D5" s="207" t="n">
        <v>139.92</v>
      </c>
      <c r="E5" s="208" t="n">
        <v>82</v>
      </c>
      <c r="F5" s="128" t="s">
        <v>349</v>
      </c>
      <c r="G5" s="128" t="s">
        <v>568</v>
      </c>
      <c r="H5" s="207" t="n">
        <v>773.26</v>
      </c>
      <c r="I5" s="128" t="s">
        <v>569</v>
      </c>
      <c r="J5" s="177"/>
      <c r="K5" s="207"/>
      <c r="L5" s="128"/>
      <c r="M5" s="207" t="n">
        <f aca="false">IFERROR(INDEX('Market Data'!$C$3:$C$300,MATCH($A5,'Market Data'!$A$3:$A$300,0)),"")</f>
        <v>128.91</v>
      </c>
      <c r="N5" s="207" t="n">
        <f aca="false">PT_SPY_Now</f>
        <v>769.64</v>
      </c>
      <c r="O5" s="209" t="n">
        <f aca="false">IF(OR(D5="",M5=""),"",M5/D5-1)</f>
        <v>-0.0786878216123499</v>
      </c>
      <c r="P5" s="209" t="n">
        <f aca="false">IF(OR(H5="",N5=""),"",N5/H5-1)</f>
        <v>-0.00468147841605671</v>
      </c>
      <c r="Q5" s="209" t="n">
        <f aca="false">IF(OR(O5="",P5=""),"",O5-P5)</f>
        <v>-0.0740063431962932</v>
      </c>
      <c r="R5" s="207" t="s">
        <v>570</v>
      </c>
      <c r="S5" s="207" t="s">
        <v>571</v>
      </c>
      <c r="T5" s="210" t="n">
        <v>64</v>
      </c>
      <c r="U5" s="211" t="n">
        <f aca="false">IF($A5="","",IF(OR($S5="System",$I5="Exited"),$T5,SUMIFS(CurrentPositionsTable[Quantity],CurrentPositionsTable[Ticker],$A5)-SUMIFS($T$3:$T$44,$A$3:$A$44,$A5,$S$3:$S$44,"System",$I$3:$I$44,"Held")))</f>
        <v>64</v>
      </c>
      <c r="V5" s="212" t="n">
        <f aca="false">IF(OR($U5="",$D5=""),"",$U5*$D5)</f>
        <v>8954.88</v>
      </c>
      <c r="W5" s="212" t="n">
        <f aca="false">IF(OR($U5="",$M5=""),"",$U5*$M5)</f>
        <v>8250.24</v>
      </c>
      <c r="X5" s="213" t="n">
        <f aca="false">IF(OR($V5="",$W5=""),"",$W5-$V5)</f>
        <v>-704.639999999999</v>
      </c>
      <c r="Y5" s="207" t="n">
        <f aca="false">$D5</f>
        <v>139.92</v>
      </c>
      <c r="Z5" s="212" t="n">
        <f aca="false">IF(OR($U5="",$Y5=""),"",$U5*$Y5)</f>
        <v>8954.88</v>
      </c>
      <c r="AA5" s="213" t="n">
        <f aca="false">IF(OR($Z5="",$W5=""),"",$W5-$Z5)</f>
        <v>-704.639999999999</v>
      </c>
      <c r="AB5" s="209" t="n">
        <f aca="false">IF(OR($Z5="",$W5=""),"",IF($Z5=0,"",$W5/$Z5-1))</f>
        <v>-0.0786878216123499</v>
      </c>
      <c r="AC5" s="213" t="n">
        <f aca="false">IF(OR($V5="",$P5=""),"",$V5*$P5)</f>
        <v>-41.9220774383779</v>
      </c>
    </row>
    <row r="6" customFormat="false" ht="15" hidden="false" customHeight="true" outlineLevel="0" collapsed="false">
      <c r="A6" s="205" t="s">
        <v>119</v>
      </c>
      <c r="B6" s="128" t="s">
        <v>120</v>
      </c>
      <c r="C6" s="206" t="n">
        <v>46273</v>
      </c>
      <c r="D6" s="207" t="n">
        <v>368.97</v>
      </c>
      <c r="E6" s="208" t="n">
        <v>86.4</v>
      </c>
      <c r="F6" s="128" t="s">
        <v>349</v>
      </c>
      <c r="G6" s="128" t="s">
        <v>568</v>
      </c>
      <c r="H6" s="207" t="n">
        <v>767.53</v>
      </c>
      <c r="I6" s="128" t="s">
        <v>569</v>
      </c>
      <c r="J6" s="177"/>
      <c r="K6" s="207"/>
      <c r="L6" s="128"/>
      <c r="M6" s="207" t="n">
        <f aca="false">IFERROR(INDEX('Market Data'!$C$3:$C$300,MATCH($A6,'Market Data'!$A$3:$A$300,0)),"")</f>
        <v>360.66</v>
      </c>
      <c r="N6" s="207" t="n">
        <f aca="false">PT_SPY_Now</f>
        <v>769.64</v>
      </c>
      <c r="O6" s="209" t="n">
        <f aca="false">IF(OR(D6="",M6=""),"",M6/D6-1)</f>
        <v>-0.0225221562728677</v>
      </c>
      <c r="P6" s="209" t="n">
        <f aca="false">IF(OR(H6="",N6=""),"",N6/H6-1)</f>
        <v>0.0027490782119266</v>
      </c>
      <c r="Q6" s="209" t="n">
        <f aca="false">IF(OR(O6="",P6=""),"",O6-P6)</f>
        <v>-0.0252712344847943</v>
      </c>
      <c r="R6" s="207" t="s">
        <v>570</v>
      </c>
      <c r="S6" s="207" t="s">
        <v>571</v>
      </c>
      <c r="T6" s="210" t="n">
        <v>50</v>
      </c>
      <c r="U6" s="211" t="n">
        <f aca="false">IF($A6="","",IF(OR($S6="System",$I6="Exited"),$T6,SUMIFS(CurrentPositionsTable[Quantity],CurrentPositionsTable[Ticker],$A6)-SUMIFS($T$3:$T$44,$A$3:$A$44,$A6,$S$3:$S$44,"System",$I$3:$I$44,"Held")))</f>
        <v>50</v>
      </c>
      <c r="V6" s="212" t="n">
        <f aca="false">IF(OR($U6="",$D6=""),"",$U6*$D6)</f>
        <v>18448.5</v>
      </c>
      <c r="W6" s="212" t="n">
        <f aca="false">IF(OR($U6="",$M6=""),"",$U6*$M6)</f>
        <v>18033</v>
      </c>
      <c r="X6" s="213" t="n">
        <f aca="false">IF(OR($V6="",$W6=""),"",$W6-$V6)</f>
        <v>-415.5</v>
      </c>
      <c r="Y6" s="207" t="n">
        <f aca="false">$D6</f>
        <v>368.97</v>
      </c>
      <c r="Z6" s="212" t="n">
        <f aca="false">IF(OR($U6="",$Y6=""),"",$U6*$Y6)</f>
        <v>18448.5</v>
      </c>
      <c r="AA6" s="213" t="n">
        <f aca="false">IF(OR($Z6="",$W6=""),"",$W6-$Z6)</f>
        <v>-415.5</v>
      </c>
      <c r="AB6" s="209" t="n">
        <f aca="false">IF(OR($Z6="",$W6=""),"",IF($Z6=0,"",$W6/$Z6-1))</f>
        <v>-0.0225221562728677</v>
      </c>
      <c r="AC6" s="213" t="n">
        <f aca="false">IF(OR($V6="",$P6=""),"",$V6*$P6)</f>
        <v>50.7163693927279</v>
      </c>
    </row>
    <row r="7" customFormat="false" ht="15" hidden="false" customHeight="true" outlineLevel="0" collapsed="false">
      <c r="A7" s="205" t="s">
        <v>174</v>
      </c>
      <c r="B7" s="128" t="s">
        <v>573</v>
      </c>
      <c r="C7" s="206" t="n">
        <v>46273</v>
      </c>
      <c r="D7" s="207" t="n">
        <v>527.47</v>
      </c>
      <c r="E7" s="208"/>
      <c r="F7" s="128"/>
      <c r="G7" s="128"/>
      <c r="H7" s="207" t="n">
        <v>767.53</v>
      </c>
      <c r="I7" s="128" t="s">
        <v>569</v>
      </c>
      <c r="J7" s="177"/>
      <c r="K7" s="207"/>
      <c r="L7" s="128"/>
      <c r="M7" s="207" t="n">
        <f aca="false">IFERROR(INDEX('Market Data'!$C$3:$C$300,MATCH($A7,'Market Data'!$A$3:$A$300,0)),"")</f>
        <v>504.73</v>
      </c>
      <c r="N7" s="207" t="n">
        <f aca="false">PT_SPY_Now</f>
        <v>769.64</v>
      </c>
      <c r="O7" s="209" t="n">
        <f aca="false">IF(OR(D7="",M7=""),"",M7/D7-1)</f>
        <v>-0.0431114565757295</v>
      </c>
      <c r="P7" s="209" t="n">
        <f aca="false">IF(OR(H7="",N7=""),"",N7/H7-1)</f>
        <v>0.0027490782119266</v>
      </c>
      <c r="Q7" s="209" t="n">
        <f aca="false">IF(OR(O7="",P7=""),"",O7-P7)</f>
        <v>-0.0458605347876561</v>
      </c>
      <c r="R7" s="207" t="s">
        <v>570</v>
      </c>
      <c r="S7" s="207" t="s">
        <v>571</v>
      </c>
      <c r="T7" s="210" t="n">
        <v>15</v>
      </c>
      <c r="U7" s="211" t="n">
        <f aca="false">IF($A7="","",IF(OR($S7="System",$I7="Exited"),$T7,SUMIFS(CurrentPositionsTable[Quantity],CurrentPositionsTable[Ticker],$A7)-SUMIFS($T$3:$T$44,$A$3:$A$44,$A7,$S$3:$S$44,"System",$I$3:$I$44,"Held")))</f>
        <v>15</v>
      </c>
      <c r="V7" s="212" t="n">
        <f aca="false">IF(OR($U7="",$D7=""),"",$U7*$D7)</f>
        <v>7912.05</v>
      </c>
      <c r="W7" s="212" t="n">
        <f aca="false">IF(OR($U7="",$M7=""),"",$U7*$M7)</f>
        <v>7570.95</v>
      </c>
      <c r="X7" s="213" t="n">
        <f aca="false">IF(OR($V7="",$W7=""),"",$W7-$V7)</f>
        <v>-341.099999999999</v>
      </c>
      <c r="Y7" s="207" t="n">
        <f aca="false">$D7</f>
        <v>527.47</v>
      </c>
      <c r="Z7" s="212" t="n">
        <f aca="false">IF(OR($U7="",$Y7=""),"",$U7*$Y7)</f>
        <v>7912.05</v>
      </c>
      <c r="AA7" s="213" t="n">
        <f aca="false">IF(OR($Z7="",$W7=""),"",$W7-$Z7)</f>
        <v>-341.099999999999</v>
      </c>
      <c r="AB7" s="209" t="n">
        <f aca="false">IF(OR($Z7="",$W7=""),"",IF($Z7=0,"",$W7/$Z7-1))</f>
        <v>-0.0431114565757293</v>
      </c>
      <c r="AC7" s="213" t="n">
        <f aca="false">IF(OR($V7="",$P7=""),"",$V7*$P7)</f>
        <v>21.7508442666739</v>
      </c>
    </row>
    <row r="8" customFormat="false" ht="15" hidden="false" customHeight="true" outlineLevel="0" collapsed="false">
      <c r="A8" s="205" t="s">
        <v>143</v>
      </c>
      <c r="B8" s="128" t="s">
        <v>144</v>
      </c>
      <c r="C8" s="206" t="n">
        <v>46295</v>
      </c>
      <c r="D8" s="207" t="n">
        <v>314.71</v>
      </c>
      <c r="E8" s="208" t="n">
        <v>84.2</v>
      </c>
      <c r="F8" s="128" t="s">
        <v>349</v>
      </c>
      <c r="G8" s="128" t="s">
        <v>568</v>
      </c>
      <c r="H8" s="207" t="n">
        <v>766.29</v>
      </c>
      <c r="I8" s="128" t="s">
        <v>569</v>
      </c>
      <c r="J8" s="177"/>
      <c r="K8" s="207"/>
      <c r="L8" s="128"/>
      <c r="M8" s="207" t="n">
        <f aca="false">IFERROR(INDEX('Market Data'!$C$3:$C$300,MATCH($A8,'Market Data'!$A$3:$A$300,0)),"")</f>
        <v>309.56</v>
      </c>
      <c r="N8" s="207" t="n">
        <f aca="false">PT_SPY_Now</f>
        <v>769.64</v>
      </c>
      <c r="O8" s="209" t="n">
        <f aca="false">IF(OR(D8="",M8=""),"",M8/D8-1)</f>
        <v>-0.01636427186934</v>
      </c>
      <c r="P8" s="209" t="n">
        <f aca="false">IF(OR(H8="",N8=""),"",N8/H8-1)</f>
        <v>0.00437171305902462</v>
      </c>
      <c r="Q8" s="209" t="n">
        <f aca="false">IF(OR(O8="",P8=""),"",O8-P8)</f>
        <v>-0.0207359849283646</v>
      </c>
      <c r="R8" s="207" t="s">
        <v>570</v>
      </c>
      <c r="S8" s="207" t="s">
        <v>571</v>
      </c>
      <c r="T8" s="210" t="n">
        <v>75</v>
      </c>
      <c r="U8" s="211" t="n">
        <f aca="false">IF($A8="","",IF(OR($S8="System",$I8="Exited"),$T8,SUMIFS(CurrentPositionsTable[Quantity],CurrentPositionsTable[Ticker],$A8)-SUMIFS($T$3:$T$44,$A$3:$A$44,$A8,$S$3:$S$44,"System",$I$3:$I$44,"Held")))</f>
        <v>75</v>
      </c>
      <c r="V8" s="212" t="n">
        <f aca="false">IF(OR($U8="",$D8=""),"",$U8*$D8)</f>
        <v>23603.25</v>
      </c>
      <c r="W8" s="212" t="n">
        <f aca="false">IF(OR($U8="",$M8=""),"",$U8*$M8)</f>
        <v>23217</v>
      </c>
      <c r="X8" s="213" t="n">
        <f aca="false">IF(OR($V8="",$W8=""),"",$W8-$V8)</f>
        <v>-386.25</v>
      </c>
      <c r="Y8" s="207" t="n">
        <f aca="false">$D8</f>
        <v>314.71</v>
      </c>
      <c r="Z8" s="212" t="n">
        <f aca="false">IF(OR($U8="",$Y8=""),"",$U8*$Y8)</f>
        <v>23603.25</v>
      </c>
      <c r="AA8" s="213" t="n">
        <f aca="false">IF(OR($Z8="",$W8=""),"",$W8-$Z8)</f>
        <v>-386.25</v>
      </c>
      <c r="AB8" s="209" t="n">
        <f aca="false">IF(OR($Z8="",$W8=""),"",IF($Z8=0,"",$W8/$Z8-1))</f>
        <v>-0.01636427186934</v>
      </c>
      <c r="AC8" s="213" t="n">
        <f aca="false">IF(OR($V8="",$P8=""),"",$V8*$P8)</f>
        <v>103.186636260423</v>
      </c>
    </row>
    <row r="9" customFormat="false" ht="15" hidden="false" customHeight="true" outlineLevel="0" collapsed="false">
      <c r="A9" s="205" t="s">
        <v>146</v>
      </c>
      <c r="B9" s="128" t="s">
        <v>147</v>
      </c>
      <c r="C9" s="206" t="n">
        <v>46295</v>
      </c>
      <c r="D9" s="207" t="n">
        <v>69.795</v>
      </c>
      <c r="E9" s="208" t="n">
        <v>83.8</v>
      </c>
      <c r="F9" s="128" t="s">
        <v>349</v>
      </c>
      <c r="G9" s="128" t="s">
        <v>568</v>
      </c>
      <c r="H9" s="207" t="n">
        <v>766.29</v>
      </c>
      <c r="I9" s="128" t="s">
        <v>569</v>
      </c>
      <c r="J9" s="177"/>
      <c r="K9" s="207"/>
      <c r="L9" s="128"/>
      <c r="M9" s="207" t="n">
        <f aca="false">IFERROR(INDEX('Market Data'!$C$3:$C$300,MATCH($A9,'Market Data'!$A$3:$A$300,0)),"")</f>
        <v>67.06</v>
      </c>
      <c r="N9" s="207" t="n">
        <f aca="false">PT_SPY_Now</f>
        <v>769.64</v>
      </c>
      <c r="O9" s="209" t="n">
        <f aca="false">IF(OR(D9="",M9=""),"",M9/D9-1)</f>
        <v>-0.0391861881223583</v>
      </c>
      <c r="P9" s="209" t="n">
        <f aca="false">IF(OR(H9="",N9=""),"",N9/H9-1)</f>
        <v>0.00437171305902462</v>
      </c>
      <c r="Q9" s="209" t="n">
        <f aca="false">IF(OR(O9="",P9=""),"",O9-P9)</f>
        <v>-0.0435579011813829</v>
      </c>
      <c r="R9" s="207" t="s">
        <v>570</v>
      </c>
      <c r="S9" s="207" t="s">
        <v>571</v>
      </c>
      <c r="T9" s="210" t="n">
        <v>300</v>
      </c>
      <c r="U9" s="211" t="n">
        <f aca="false">IF($A9="","",IF(OR($S9="System",$I9="Exited"),$T9,SUMIFS(CurrentPositionsTable[Quantity],CurrentPositionsTable[Ticker],$A9)-SUMIFS($T$3:$T$44,$A$3:$A$44,$A9,$S$3:$S$44,"System",$I$3:$I$44,"Held")))</f>
        <v>300</v>
      </c>
      <c r="V9" s="212" t="n">
        <f aca="false">IF(OR($U9="",$D9=""),"",$U9*$D9)</f>
        <v>20938.5</v>
      </c>
      <c r="W9" s="212" t="n">
        <f aca="false">IF(OR($U9="",$M9=""),"",$U9*$M9)</f>
        <v>20118</v>
      </c>
      <c r="X9" s="213" t="n">
        <f aca="false">IF(OR($V9="",$W9=""),"",$W9-$V9)</f>
        <v>-820.5</v>
      </c>
      <c r="Y9" s="207" t="n">
        <f aca="false">$D9</f>
        <v>69.795</v>
      </c>
      <c r="Z9" s="212" t="n">
        <f aca="false">IF(OR($U9="",$Y9=""),"",$U9*$Y9)</f>
        <v>20938.5</v>
      </c>
      <c r="AA9" s="213" t="n">
        <f aca="false">IF(OR($Z9="",$W9=""),"",$W9-$Z9)</f>
        <v>-820.5</v>
      </c>
      <c r="AB9" s="209" t="n">
        <f aca="false">IF(OR($Z9="",$W9=""),"",IF($Z9=0,"",$W9/$Z9-1))</f>
        <v>-0.0391861881223583</v>
      </c>
      <c r="AC9" s="213" t="n">
        <f aca="false">IF(OR($V9="",$P9=""),"",$V9*$P9)</f>
        <v>91.537113886387</v>
      </c>
    </row>
    <row r="10" customFormat="false" ht="15" hidden="false" customHeight="true" outlineLevel="0" collapsed="false">
      <c r="A10" s="205" t="s">
        <v>96</v>
      </c>
      <c r="B10" s="128" t="s">
        <v>574</v>
      </c>
      <c r="C10" s="177" t="n">
        <v>46239</v>
      </c>
      <c r="D10" s="207" t="n">
        <v>259.32</v>
      </c>
      <c r="E10" s="208"/>
      <c r="F10" s="128"/>
      <c r="G10" s="128"/>
      <c r="H10" s="207" t="n">
        <f aca="false">PT_SPY_0805</f>
        <v>769.79</v>
      </c>
      <c r="I10" s="128" t="s">
        <v>569</v>
      </c>
      <c r="J10" s="177"/>
      <c r="K10" s="207"/>
      <c r="L10" s="128"/>
      <c r="M10" s="207" t="n">
        <f aca="false">IFERROR(INDEX('Market Data'!$C$3:$C$300,MATCH($A10,'Market Data'!$A$3:$A$300,0)),"")</f>
        <v>237.69</v>
      </c>
      <c r="N10" s="207" t="n">
        <f aca="false">PT_SPY_Now</f>
        <v>769.64</v>
      </c>
      <c r="O10" s="209" t="n">
        <f aca="false">IF(OR(D10="",M10=""),"",M10/D10-1)</f>
        <v>-0.0834104581212402</v>
      </c>
      <c r="P10" s="209" t="n">
        <f aca="false">IF(OR(H10="",N10=""),"",N10/H10-1)</f>
        <v>-0.000194858337988268</v>
      </c>
      <c r="Q10" s="209" t="n">
        <f aca="false">IF(OR(O10="",P10=""),"",O10-P10)</f>
        <v>-0.0832155997832519</v>
      </c>
      <c r="R10" s="207" t="s">
        <v>570</v>
      </c>
      <c r="S10" s="207" t="s">
        <v>575</v>
      </c>
      <c r="T10" s="210" t="n">
        <v>45</v>
      </c>
      <c r="U10" s="211" t="n">
        <f aca="false">IF($A10="","",IF(OR($S10="System",$I10="Exited"),$T10,SUMIFS(CurrentPositionsTable[Quantity],CurrentPositionsTable[Ticker],$A10)-SUMIFS($T$3:$T$44,$A$3:$A$44,$A10,$S$3:$S$44,"System",$I$3:$I$44,"Held")))</f>
        <v>45</v>
      </c>
      <c r="V10" s="212" t="n">
        <f aca="false">IF(OR($U10="",$D10=""),"",$U10*$D10)</f>
        <v>11669.4</v>
      </c>
      <c r="W10" s="212" t="n">
        <f aca="false">IF(OR($U10="",$M10=""),"",$U10*$M10)</f>
        <v>10696.05</v>
      </c>
      <c r="X10" s="213" t="n">
        <f aca="false">IF(OR($V10="",$W10=""),"",$W10-$V10)</f>
        <v>-973.35</v>
      </c>
      <c r="Y10" s="207" t="n">
        <v>349.99</v>
      </c>
      <c r="Z10" s="212" t="n">
        <f aca="false">IF(OR($U10="",$Y10=""),"",$U10*$Y10)</f>
        <v>15749.55</v>
      </c>
      <c r="AA10" s="213" t="n">
        <f aca="false">IF(OR($Z10="",$W10=""),"",$W10-$Z10)</f>
        <v>-5053.5</v>
      </c>
      <c r="AB10" s="209" t="n">
        <f aca="false">IF(OR($Z10="",$W10=""),"",IF($Z10=0,"",$W10/$Z10-1))</f>
        <v>-0.320866310466013</v>
      </c>
      <c r="AC10" s="213" t="n">
        <f aca="false">IF(OR($V10="",$P10=""),"",$V10*$P10)</f>
        <v>-2.2738798893203</v>
      </c>
    </row>
    <row r="11" customFormat="false" ht="15" hidden="false" customHeight="true" outlineLevel="0" collapsed="false">
      <c r="A11" s="205" t="s">
        <v>174</v>
      </c>
      <c r="B11" s="128" t="s">
        <v>576</v>
      </c>
      <c r="C11" s="177" t="n">
        <v>46239</v>
      </c>
      <c r="D11" s="207" t="n">
        <v>484.83</v>
      </c>
      <c r="E11" s="208"/>
      <c r="F11" s="128"/>
      <c r="G11" s="128"/>
      <c r="H11" s="207" t="n">
        <f aca="false">PT_SPY_0805</f>
        <v>769.79</v>
      </c>
      <c r="I11" s="128" t="s">
        <v>569</v>
      </c>
      <c r="J11" s="177"/>
      <c r="K11" s="207"/>
      <c r="L11" s="128"/>
      <c r="M11" s="207" t="n">
        <f aca="false">IFERROR(INDEX('Market Data'!$C$3:$C$300,MATCH($A11,'Market Data'!$A$3:$A$300,0)),"")</f>
        <v>504.73</v>
      </c>
      <c r="N11" s="207" t="n">
        <f aca="false">PT_SPY_Now</f>
        <v>769.64</v>
      </c>
      <c r="O11" s="209" t="n">
        <f aca="false">IF(OR(D11="",M11=""),"",M11/D11-1)</f>
        <v>0.0410453148526289</v>
      </c>
      <c r="P11" s="209" t="n">
        <f aca="false">IF(OR(H11="",N11=""),"",N11/H11-1)</f>
        <v>-0.000194858337988268</v>
      </c>
      <c r="Q11" s="209" t="n">
        <f aca="false">IF(OR(O11="",P11=""),"",O11-P11)</f>
        <v>0.0412401731906171</v>
      </c>
      <c r="R11" s="207" t="s">
        <v>570</v>
      </c>
      <c r="S11" s="207" t="s">
        <v>575</v>
      </c>
      <c r="T11" s="210" t="n">
        <v>25</v>
      </c>
      <c r="U11" s="211" t="n">
        <f aca="false">IF($A11="","",IF(OR($S11="System",$I11="Exited"),$T11,SUMIFS(CurrentPositionsTable[Quantity],CurrentPositionsTable[Ticker],$A11)-SUMIFS($T$3:$T$44,$A$3:$A$44,$A11,$S$3:$S$44,"System",$I$3:$I$44,"Held")))</f>
        <v>25</v>
      </c>
      <c r="V11" s="212" t="n">
        <f aca="false">IF(OR($U11="",$D11=""),"",$U11*$D11)</f>
        <v>12120.75</v>
      </c>
      <c r="W11" s="212" t="n">
        <f aca="false">IF(OR($U11="",$M11=""),"",$U11*$M11)</f>
        <v>12618.25</v>
      </c>
      <c r="X11" s="213" t="n">
        <f aca="false">IF(OR($V11="",$W11=""),"",$W11-$V11)</f>
        <v>497.5</v>
      </c>
      <c r="Y11" s="207" t="n">
        <v>453.36</v>
      </c>
      <c r="Z11" s="212" t="n">
        <f aca="false">IF(OR($U11="",$Y11=""),"",$U11*$Y11)</f>
        <v>11334</v>
      </c>
      <c r="AA11" s="213" t="n">
        <f aca="false">IF(OR($Z11="",$W11=""),"",$W11-$Z11)</f>
        <v>1284.25</v>
      </c>
      <c r="AB11" s="209" t="n">
        <f aca="false">IF(OR($Z11="",$W11=""),"",IF($Z11=0,"",$W11/$Z11-1))</f>
        <v>0.113309511205223</v>
      </c>
      <c r="AC11" s="213" t="n">
        <f aca="false">IF(OR($V11="",$P11=""),"",$V11*$P11)</f>
        <v>-2.36182920017131</v>
      </c>
    </row>
    <row r="12" customFormat="false" ht="15" hidden="false" customHeight="true" outlineLevel="0" collapsed="false">
      <c r="A12" s="205" t="s">
        <v>177</v>
      </c>
      <c r="B12" s="128" t="s">
        <v>577</v>
      </c>
      <c r="C12" s="177" t="n">
        <v>46239</v>
      </c>
      <c r="D12" s="207" t="n">
        <v>140.76</v>
      </c>
      <c r="E12" s="208"/>
      <c r="F12" s="128"/>
      <c r="G12" s="128"/>
      <c r="H12" s="207" t="n">
        <f aca="false">PT_SPY_0805</f>
        <v>769.79</v>
      </c>
      <c r="I12" s="128" t="s">
        <v>569</v>
      </c>
      <c r="J12" s="177"/>
      <c r="K12" s="207"/>
      <c r="L12" s="128"/>
      <c r="M12" s="207" t="n">
        <f aca="false">IFERROR(INDEX('Market Data'!$C$3:$C$300,MATCH($A12,'Market Data'!$A$3:$A$300,0)),"")</f>
        <v>128.91</v>
      </c>
      <c r="N12" s="207" t="n">
        <f aca="false">PT_SPY_Now</f>
        <v>769.64</v>
      </c>
      <c r="O12" s="209" t="n">
        <f aca="false">IF(OR(D12="",M12=""),"",M12/D12-1)</f>
        <v>-0.0841858482523444</v>
      </c>
      <c r="P12" s="209" t="n">
        <f aca="false">IF(OR(H12="",N12=""),"",N12/H12-1)</f>
        <v>-0.000194858337988268</v>
      </c>
      <c r="Q12" s="209" t="n">
        <f aca="false">IF(OR(O12="",P12=""),"",O12-P12)</f>
        <v>-0.0839909899143562</v>
      </c>
      <c r="R12" s="207" t="s">
        <v>570</v>
      </c>
      <c r="S12" s="207" t="s">
        <v>575</v>
      </c>
      <c r="T12" s="210" t="n">
        <v>61.44837</v>
      </c>
      <c r="U12" s="211" t="n">
        <f aca="false">IF($A12="","",IF(OR($S12="System",$I12="Exited"),$T12,SUMIFS(CurrentPositionsTable[Quantity],CurrentPositionsTable[Ticker],$A12)-SUMIFS($T$3:$T$44,$A$3:$A$44,$A12,$S$3:$S$44,"System",$I$3:$I$44,"Held")))</f>
        <v>61.44837</v>
      </c>
      <c r="V12" s="212" t="n">
        <f aca="false">IF(OR($U12="",$D12=""),"",$U12*$D12)</f>
        <v>8649.4725612</v>
      </c>
      <c r="W12" s="212" t="n">
        <f aca="false">IF(OR($U12="",$M12=""),"",$U12*$M12)</f>
        <v>7921.3093767</v>
      </c>
      <c r="X12" s="213" t="n">
        <f aca="false">IF(OR($V12="",$W12=""),"",$W12-$V12)</f>
        <v>-728.163184499999</v>
      </c>
      <c r="Y12" s="207" t="n">
        <v>127.66</v>
      </c>
      <c r="Z12" s="212" t="n">
        <f aca="false">IF(OR($U12="",$Y12=""),"",$U12*$Y12)</f>
        <v>7844.4989142</v>
      </c>
      <c r="AA12" s="213" t="n">
        <f aca="false">IF(OR($Z12="",$W12=""),"",$W12-$Z12)</f>
        <v>76.8104624999996</v>
      </c>
      <c r="AB12" s="209" t="n">
        <f aca="false">IF(OR($Z12="",$W12=""),"",IF($Z12=0,"",$W12/$Z12-1))</f>
        <v>0.00979163402788652</v>
      </c>
      <c r="AC12" s="213" t="n">
        <f aca="false">IF(OR($V12="",$P12=""),"",$V12*$P12)</f>
        <v>-1.68542184775056</v>
      </c>
    </row>
    <row r="13" customFormat="false" ht="15" hidden="false" customHeight="true" outlineLevel="0" collapsed="false">
      <c r="A13" s="205" t="s">
        <v>101</v>
      </c>
      <c r="B13" s="128" t="s">
        <v>102</v>
      </c>
      <c r="C13" s="177" t="n">
        <v>46239</v>
      </c>
      <c r="D13" s="207" t="n">
        <v>197.31</v>
      </c>
      <c r="E13" s="208"/>
      <c r="F13" s="128"/>
      <c r="G13" s="128"/>
      <c r="H13" s="207" t="n">
        <f aca="false">PT_SPY_0805</f>
        <v>769.79</v>
      </c>
      <c r="I13" s="128" t="s">
        <v>569</v>
      </c>
      <c r="J13" s="177"/>
      <c r="K13" s="207"/>
      <c r="L13" s="128"/>
      <c r="M13" s="207" t="n">
        <f aca="false">IFERROR(INDEX('Market Data'!$C$3:$C$300,MATCH($A13,'Market Data'!$A$3:$A$300,0)),"")</f>
        <v>207.35</v>
      </c>
      <c r="N13" s="207" t="n">
        <f aca="false">PT_SPY_Now</f>
        <v>769.64</v>
      </c>
      <c r="O13" s="209" t="n">
        <f aca="false">IF(OR(D13="",M13=""),"",M13/D13-1)</f>
        <v>0.0508843951142872</v>
      </c>
      <c r="P13" s="209" t="n">
        <f aca="false">IF(OR(H13="",N13=""),"",N13/H13-1)</f>
        <v>-0.000194858337988268</v>
      </c>
      <c r="Q13" s="209" t="n">
        <f aca="false">IF(OR(O13="",P13=""),"",O13-P13)</f>
        <v>0.0510792534522755</v>
      </c>
      <c r="R13" s="207" t="s">
        <v>570</v>
      </c>
      <c r="S13" s="207" t="s">
        <v>575</v>
      </c>
      <c r="T13" s="210" t="n">
        <v>120</v>
      </c>
      <c r="U13" s="211" t="n">
        <f aca="false">IF($A13="","",IF(OR($S13="System",$I13="Exited"),$T13,SUMIFS(CurrentPositionsTable[Quantity],CurrentPositionsTable[Ticker],$A13)-SUMIFS($T$3:$T$44,$A$3:$A$44,$A13,$S$3:$S$44,"System",$I$3:$I$44,"Held")))</f>
        <v>120</v>
      </c>
      <c r="V13" s="212" t="n">
        <f aca="false">IF(OR($U13="",$D13=""),"",$U13*$D13)</f>
        <v>23677.2</v>
      </c>
      <c r="W13" s="212" t="n">
        <f aca="false">IF(OR($U13="",$M13=""),"",$U13*$M13)</f>
        <v>24882</v>
      </c>
      <c r="X13" s="213" t="n">
        <f aca="false">IF(OR($V13="",$W13=""),"",$W13-$V13)</f>
        <v>1204.8</v>
      </c>
      <c r="Y13" s="207" t="n">
        <v>131.03</v>
      </c>
      <c r="Z13" s="212" t="n">
        <f aca="false">IF(OR($U13="",$Y13=""),"",$U13*$Y13)</f>
        <v>15723.6</v>
      </c>
      <c r="AA13" s="213" t="n">
        <f aca="false">IF(OR($Z13="",$W13=""),"",$W13-$Z13)</f>
        <v>9158.4</v>
      </c>
      <c r="AB13" s="209" t="n">
        <f aca="false">IF(OR($Z13="",$W13=""),"",IF($Z13=0,"",$W13/$Z13-1))</f>
        <v>0.582462031595818</v>
      </c>
      <c r="AC13" s="213" t="n">
        <f aca="false">IF(OR($V13="",$P13=""),"",$V13*$P13)</f>
        <v>-4.61369984021583</v>
      </c>
    </row>
    <row r="14" customFormat="false" ht="15" hidden="false" customHeight="true" outlineLevel="0" collapsed="false">
      <c r="A14" s="205" t="s">
        <v>103</v>
      </c>
      <c r="B14" s="128" t="s">
        <v>104</v>
      </c>
      <c r="C14" s="177" t="n">
        <v>46239</v>
      </c>
      <c r="D14" s="207" t="n">
        <v>1678.22</v>
      </c>
      <c r="E14" s="208"/>
      <c r="F14" s="128"/>
      <c r="G14" s="128"/>
      <c r="H14" s="207" t="n">
        <f aca="false">PT_SPY_0805</f>
        <v>769.79</v>
      </c>
      <c r="I14" s="128" t="s">
        <v>569</v>
      </c>
      <c r="J14" s="177"/>
      <c r="K14" s="207"/>
      <c r="L14" s="128"/>
      <c r="M14" s="207" t="n">
        <f aca="false">IFERROR(INDEX('Market Data'!$C$3:$C$300,MATCH($A14,'Market Data'!$A$3:$A$300,0)),"")</f>
        <v>1867.31</v>
      </c>
      <c r="N14" s="207" t="n">
        <f aca="false">PT_SPY_Now</f>
        <v>769.64</v>
      </c>
      <c r="O14" s="209" t="n">
        <f aca="false">IF(OR(D14="",M14=""),"",M14/D14-1)</f>
        <v>0.112672951102954</v>
      </c>
      <c r="P14" s="209" t="n">
        <f aca="false">IF(OR(H14="",N14=""),"",N14/H14-1)</f>
        <v>-0.000194858337988268</v>
      </c>
      <c r="Q14" s="209" t="n">
        <f aca="false">IF(OR(O14="",P14=""),"",O14-P14)</f>
        <v>0.112867809440943</v>
      </c>
      <c r="R14" s="207" t="s">
        <v>570</v>
      </c>
      <c r="S14" s="207" t="s">
        <v>575</v>
      </c>
      <c r="T14" s="210" t="n">
        <v>7</v>
      </c>
      <c r="U14" s="211" t="n">
        <f aca="false">IF($A14="","",IF(OR($S14="System",$I14="Exited"),$T14,SUMIFS(CurrentPositionsTable[Quantity],CurrentPositionsTable[Ticker],$A14)-SUMIFS($T$3:$T$44,$A$3:$A$44,$A14,$S$3:$S$44,"System",$I$3:$I$44,"Held")))</f>
        <v>7</v>
      </c>
      <c r="V14" s="212" t="n">
        <f aca="false">IF(OR($U14="",$D14=""),"",$U14*$D14)</f>
        <v>11747.54</v>
      </c>
      <c r="W14" s="212" t="n">
        <f aca="false">IF(OR($U14="",$M14=""),"",$U14*$M14)</f>
        <v>13071.17</v>
      </c>
      <c r="X14" s="213" t="n">
        <f aca="false">IF(OR($V14="",$W14=""),"",$W14-$V14)</f>
        <v>1323.63</v>
      </c>
      <c r="Y14" s="207" t="n">
        <v>1069.86</v>
      </c>
      <c r="Z14" s="212" t="n">
        <f aca="false">IF(OR($U14="",$Y14=""),"",$U14*$Y14)</f>
        <v>7489.02</v>
      </c>
      <c r="AA14" s="213" t="n">
        <f aca="false">IF(OR($Z14="",$W14=""),"",$W14-$Z14)</f>
        <v>5582.15</v>
      </c>
      <c r="AB14" s="209" t="n">
        <f aca="false">IF(OR($Z14="",$W14=""),"",IF($Z14=0,"",$W14/$Z14-1))</f>
        <v>0.745377899912138</v>
      </c>
      <c r="AC14" s="213" t="n">
        <f aca="false">IF(OR($V14="",$P14=""),"",$V14*$P14)</f>
        <v>-2.2891061198507</v>
      </c>
    </row>
    <row r="15" customFormat="false" ht="15" hidden="false" customHeight="true" outlineLevel="0" collapsed="false">
      <c r="A15" s="205" t="s">
        <v>172</v>
      </c>
      <c r="B15" s="128" t="s">
        <v>173</v>
      </c>
      <c r="C15" s="177" t="n">
        <v>46239</v>
      </c>
      <c r="D15" s="207" t="n">
        <v>418.28</v>
      </c>
      <c r="E15" s="208"/>
      <c r="F15" s="128"/>
      <c r="G15" s="128"/>
      <c r="H15" s="207" t="n">
        <f aca="false">PT_SPY_0805</f>
        <v>769.79</v>
      </c>
      <c r="I15" s="128" t="s">
        <v>569</v>
      </c>
      <c r="J15" s="177"/>
      <c r="K15" s="207"/>
      <c r="L15" s="128"/>
      <c r="M15" s="207" t="n">
        <f aca="false">IFERROR(INDEX('Market Data'!$C$3:$C$300,MATCH($A15,'Market Data'!$A$3:$A$300,0)),"")</f>
        <v>355.14</v>
      </c>
      <c r="N15" s="207" t="n">
        <f aca="false">PT_SPY_Now</f>
        <v>769.64</v>
      </c>
      <c r="O15" s="209" t="n">
        <f aca="false">IF(OR(D15="",M15=""),"",M15/D15-1)</f>
        <v>-0.150951515731089</v>
      </c>
      <c r="P15" s="209" t="n">
        <f aca="false">IF(OR(H15="",N15=""),"",N15/H15-1)</f>
        <v>-0.000194858337988268</v>
      </c>
      <c r="Q15" s="209" t="n">
        <f aca="false">IF(OR(O15="",P15=""),"",O15-P15)</f>
        <v>-0.150756657393101</v>
      </c>
      <c r="R15" s="207" t="s">
        <v>570</v>
      </c>
      <c r="S15" s="207" t="s">
        <v>575</v>
      </c>
      <c r="T15" s="210" t="n">
        <v>35.07587</v>
      </c>
      <c r="U15" s="211" t="n">
        <f aca="false">IF($A15="","",IF(OR($S15="System",$I15="Exited"),$T15,SUMIFS(CurrentPositionsTable[Quantity],CurrentPositionsTable[Ticker],$A15)-SUMIFS($T$3:$T$44,$A$3:$A$44,$A15,$S$3:$S$44,"System",$I$3:$I$44,"Held")))</f>
        <v>35.07587</v>
      </c>
      <c r="V15" s="212" t="n">
        <f aca="false">IF(OR($U15="",$D15=""),"",$U15*$D15)</f>
        <v>14671.5349036</v>
      </c>
      <c r="W15" s="212" t="n">
        <f aca="false">IF(OR($U15="",$M15=""),"",$U15*$M15)</f>
        <v>12456.8444718</v>
      </c>
      <c r="X15" s="213" t="n">
        <f aca="false">IF(OR($V15="",$W15=""),"",$W15-$V15)</f>
        <v>-2214.6904318</v>
      </c>
      <c r="Y15" s="207" t="n">
        <v>346.1</v>
      </c>
      <c r="Z15" s="212" t="n">
        <f aca="false">IF(OR($U15="",$Y15=""),"",$U15*$Y15)</f>
        <v>12139.758607</v>
      </c>
      <c r="AA15" s="213" t="n">
        <f aca="false">IF(OR($Z15="",$W15=""),"",$W15-$Z15)</f>
        <v>317.085864799999</v>
      </c>
      <c r="AB15" s="209" t="n">
        <f aca="false">IF(OR($Z15="",$W15=""),"",IF($Z15=0,"",$W15/$Z15-1))</f>
        <v>0.0261196186073389</v>
      </c>
      <c r="AC15" s="213" t="n">
        <f aca="false">IF(OR($V15="",$P15=""),"",$V15*$P15)</f>
        <v>-2.85887090705237</v>
      </c>
    </row>
    <row r="16" customFormat="false" ht="15" hidden="false" customHeight="true" outlineLevel="0" collapsed="false">
      <c r="A16" s="205" t="s">
        <v>105</v>
      </c>
      <c r="B16" s="128" t="s">
        <v>106</v>
      </c>
      <c r="C16" s="177" t="n">
        <v>46239</v>
      </c>
      <c r="D16" s="207" t="n">
        <v>209.86</v>
      </c>
      <c r="E16" s="208"/>
      <c r="F16" s="128"/>
      <c r="G16" s="128"/>
      <c r="H16" s="207" t="n">
        <f aca="false">PT_SPY_0805</f>
        <v>769.79</v>
      </c>
      <c r="I16" s="128" t="s">
        <v>569</v>
      </c>
      <c r="J16" s="177"/>
      <c r="K16" s="207"/>
      <c r="L16" s="128"/>
      <c r="M16" s="207" t="n">
        <f aca="false">IFERROR(INDEX('Market Data'!$C$3:$C$300,MATCH($A16,'Market Data'!$A$3:$A$300,0)),"")</f>
        <v>270.04</v>
      </c>
      <c r="N16" s="207" t="n">
        <f aca="false">PT_SPY_Now</f>
        <v>769.64</v>
      </c>
      <c r="O16" s="209" t="n">
        <f aca="false">IF(OR(D16="",M16=""),"",M16/D16-1)</f>
        <v>0.286762603640522</v>
      </c>
      <c r="P16" s="209" t="n">
        <f aca="false">IF(OR(H16="",N16=""),"",N16/H16-1)</f>
        <v>-0.000194858337988268</v>
      </c>
      <c r="Q16" s="209" t="n">
        <f aca="false">IF(OR(O16="",P16=""),"",O16-P16)</f>
        <v>0.28695746197851</v>
      </c>
      <c r="R16" s="207" t="s">
        <v>570</v>
      </c>
      <c r="S16" s="207" t="s">
        <v>575</v>
      </c>
      <c r="T16" s="210" t="n">
        <v>85</v>
      </c>
      <c r="U16" s="211" t="n">
        <f aca="false">IF($A16="","",IF(OR($S16="System",$I16="Exited"),$T16,SUMIFS(CurrentPositionsTable[Quantity],CurrentPositionsTable[Ticker],$A16)-SUMIFS($T$3:$T$44,$A$3:$A$44,$A16,$S$3:$S$44,"System",$I$3:$I$44,"Held")))</f>
        <v>85</v>
      </c>
      <c r="V16" s="212" t="n">
        <f aca="false">IF(OR($U16="",$D16=""),"",$U16*$D16)</f>
        <v>17838.1</v>
      </c>
      <c r="W16" s="212" t="n">
        <f aca="false">IF(OR($U16="",$M16=""),"",$U16*$M16)</f>
        <v>22953.4</v>
      </c>
      <c r="X16" s="213" t="n">
        <f aca="false">IF(OR($V16="",$W16=""),"",$W16-$V16)</f>
        <v>5115.3</v>
      </c>
      <c r="Y16" s="207" t="n">
        <v>117.19</v>
      </c>
      <c r="Z16" s="212" t="n">
        <f aca="false">IF(OR($U16="",$Y16=""),"",$U16*$Y16)</f>
        <v>9961.15</v>
      </c>
      <c r="AA16" s="213" t="n">
        <f aca="false">IF(OR($Z16="",$W16=""),"",$W16-$Z16)</f>
        <v>12992.25</v>
      </c>
      <c r="AB16" s="209" t="n">
        <f aca="false">IF(OR($Z16="",$W16=""),"",IF($Z16=0,"",$W16/$Z16-1))</f>
        <v>1.30429217510026</v>
      </c>
      <c r="AC16" s="213" t="n">
        <f aca="false">IF(OR($V16="",$P16=""),"",$V16*$P16)</f>
        <v>-3.47590251886853</v>
      </c>
    </row>
    <row r="17" customFormat="false" ht="15" hidden="false" customHeight="true" outlineLevel="0" collapsed="false">
      <c r="A17" s="205" t="s">
        <v>107</v>
      </c>
      <c r="B17" s="128" t="s">
        <v>108</v>
      </c>
      <c r="C17" s="177" t="n">
        <v>46239</v>
      </c>
      <c r="D17" s="207" t="n">
        <v>192.8</v>
      </c>
      <c r="E17" s="208"/>
      <c r="F17" s="128"/>
      <c r="G17" s="128"/>
      <c r="H17" s="207" t="n">
        <f aca="false">PT_SPY_0805</f>
        <v>769.79</v>
      </c>
      <c r="I17" s="128" t="s">
        <v>569</v>
      </c>
      <c r="J17" s="177"/>
      <c r="K17" s="207"/>
      <c r="L17" s="128"/>
      <c r="M17" s="207" t="n">
        <f aca="false">IFERROR(INDEX('Market Data'!$C$3:$C$300,MATCH($A17,'Market Data'!$A$3:$A$300,0)),"")</f>
        <v>206.89</v>
      </c>
      <c r="N17" s="207" t="n">
        <f aca="false">PT_SPY_Now</f>
        <v>769.64</v>
      </c>
      <c r="O17" s="209" t="n">
        <f aca="false">IF(OR(D17="",M17=""),"",M17/D17-1)</f>
        <v>0.0730809128630705</v>
      </c>
      <c r="P17" s="209" t="n">
        <f aca="false">IF(OR(H17="",N17=""),"",N17/H17-1)</f>
        <v>-0.000194858337988268</v>
      </c>
      <c r="Q17" s="209" t="n">
        <f aca="false">IF(OR(O17="",P17=""),"",O17-P17)</f>
        <v>0.0732757712010588</v>
      </c>
      <c r="R17" s="207" t="s">
        <v>570</v>
      </c>
      <c r="S17" s="207" t="s">
        <v>575</v>
      </c>
      <c r="T17" s="210" t="n">
        <v>100</v>
      </c>
      <c r="U17" s="211" t="n">
        <f aca="false">IF($A17="","",IF(OR($S17="System",$I17="Exited"),$T17,SUMIFS(CurrentPositionsTable[Quantity],CurrentPositionsTable[Ticker],$A17)-SUMIFS($T$3:$T$44,$A$3:$A$44,$A17,$S$3:$S$44,"System",$I$3:$I$44,"Held")))</f>
        <v>100</v>
      </c>
      <c r="V17" s="212" t="n">
        <f aca="false">IF(OR($U17="",$D17=""),"",$U17*$D17)</f>
        <v>19280</v>
      </c>
      <c r="W17" s="212" t="n">
        <f aca="false">IF(OR($U17="",$M17=""),"",$U17*$M17)</f>
        <v>20689</v>
      </c>
      <c r="X17" s="213" t="n">
        <f aca="false">IF(OR($V17="",$W17=""),"",$W17-$V17)</f>
        <v>1409</v>
      </c>
      <c r="Y17" s="207" t="n">
        <v>121.508</v>
      </c>
      <c r="Z17" s="212" t="n">
        <f aca="false">IF(OR($U17="",$Y17=""),"",$U17*$Y17)</f>
        <v>12150.8</v>
      </c>
      <c r="AA17" s="213" t="n">
        <f aca="false">IF(OR($Z17="",$W17=""),"",$W17-$Z17)</f>
        <v>8538.2</v>
      </c>
      <c r="AB17" s="209" t="n">
        <f aca="false">IF(OR($Z17="",$W17=""),"",IF($Z17=0,"",$W17/$Z17-1))</f>
        <v>0.702686242881127</v>
      </c>
      <c r="AC17" s="213" t="n">
        <f aca="false">IF(OR($V17="",$P17=""),"",$V17*$P17)</f>
        <v>-3.75686875641382</v>
      </c>
    </row>
    <row r="18" customFormat="false" ht="15" hidden="false" customHeight="true" outlineLevel="0" collapsed="false">
      <c r="A18" s="205" t="s">
        <v>109</v>
      </c>
      <c r="B18" s="128" t="s">
        <v>110</v>
      </c>
      <c r="C18" s="177" t="n">
        <v>46239</v>
      </c>
      <c r="D18" s="207" t="n">
        <v>893.19</v>
      </c>
      <c r="E18" s="208"/>
      <c r="F18" s="128"/>
      <c r="G18" s="128"/>
      <c r="H18" s="207" t="n">
        <f aca="false">PT_SPY_0805</f>
        <v>769.79</v>
      </c>
      <c r="I18" s="128" t="s">
        <v>569</v>
      </c>
      <c r="J18" s="177"/>
      <c r="K18" s="207"/>
      <c r="L18" s="128"/>
      <c r="M18" s="207" t="n">
        <f aca="false">IFERROR(INDEX('Market Data'!$C$3:$C$300,MATCH($A18,'Market Data'!$A$3:$A$300,0)),"")</f>
        <v>1074.89</v>
      </c>
      <c r="N18" s="207" t="n">
        <f aca="false">PT_SPY_Now</f>
        <v>769.64</v>
      </c>
      <c r="O18" s="209" t="n">
        <f aca="false">IF(OR(D18="",M18=""),"",M18/D18-1)</f>
        <v>0.203428161981214</v>
      </c>
      <c r="P18" s="209" t="n">
        <f aca="false">IF(OR(H18="",N18=""),"",N18/H18-1)</f>
        <v>-0.000194858337988268</v>
      </c>
      <c r="Q18" s="209" t="n">
        <f aca="false">IF(OR(O18="",P18=""),"",O18-P18)</f>
        <v>0.203623020319202</v>
      </c>
      <c r="R18" s="207" t="s">
        <v>570</v>
      </c>
      <c r="S18" s="207" t="s">
        <v>575</v>
      </c>
      <c r="T18" s="210" t="n">
        <v>7</v>
      </c>
      <c r="U18" s="211" t="n">
        <f aca="false">IF($A18="","",IF(OR($S18="System",$I18="Exited"),$T18,SUMIFS(CurrentPositionsTable[Quantity],CurrentPositionsTable[Ticker],$A18)-SUMIFS($T$3:$T$44,$A$3:$A$44,$A18,$S$3:$S$44,"System",$I$3:$I$44,"Held")))</f>
        <v>7</v>
      </c>
      <c r="V18" s="212" t="n">
        <f aca="false">IF(OR($U18="",$D18=""),"",$U18*$D18)</f>
        <v>6252.33</v>
      </c>
      <c r="W18" s="212" t="n">
        <f aca="false">IF(OR($U18="",$M18=""),"",$U18*$M18)</f>
        <v>7524.23</v>
      </c>
      <c r="X18" s="213" t="n">
        <f aca="false">IF(OR($V18="",$W18=""),"",$W18-$V18)</f>
        <v>1271.9</v>
      </c>
      <c r="Y18" s="207" t="n">
        <v>285.41</v>
      </c>
      <c r="Z18" s="212" t="n">
        <f aca="false">IF(OR($U18="",$Y18=""),"",$U18*$Y18)</f>
        <v>1997.87</v>
      </c>
      <c r="AA18" s="213" t="n">
        <f aca="false">IF(OR($Z18="",$W18=""),"",$W18-$Z18)</f>
        <v>5526.36</v>
      </c>
      <c r="AB18" s="209" t="n">
        <f aca="false">IF(OR($Z18="",$W18=""),"",IF($Z18=0,"",$W18/$Z18-1))</f>
        <v>2.76612592410918</v>
      </c>
      <c r="AC18" s="213" t="n">
        <f aca="false">IF(OR($V18="",$P18=""),"",$V18*$P18)</f>
        <v>-1.21831863235419</v>
      </c>
    </row>
    <row r="19" customFormat="false" ht="15" hidden="false" customHeight="true" outlineLevel="0" collapsed="false">
      <c r="A19" s="205" t="s">
        <v>111</v>
      </c>
      <c r="B19" s="128" t="s">
        <v>112</v>
      </c>
      <c r="C19" s="177" t="n">
        <v>46239</v>
      </c>
      <c r="D19" s="207" t="n">
        <v>219.22</v>
      </c>
      <c r="E19" s="208"/>
      <c r="F19" s="128"/>
      <c r="G19" s="128"/>
      <c r="H19" s="207" t="n">
        <f aca="false">PT_SPY_0805</f>
        <v>769.79</v>
      </c>
      <c r="I19" s="128" t="s">
        <v>569</v>
      </c>
      <c r="J19" s="177"/>
      <c r="K19" s="207"/>
      <c r="L19" s="128"/>
      <c r="M19" s="207" t="n">
        <f aca="false">IFERROR(INDEX('Market Data'!$C$3:$C$300,MATCH($A19,'Market Data'!$A$3:$A$300,0)),"")</f>
        <v>233.95</v>
      </c>
      <c r="N19" s="207" t="n">
        <f aca="false">PT_SPY_Now</f>
        <v>769.64</v>
      </c>
      <c r="O19" s="209" t="n">
        <f aca="false">IF(OR(D19="",M19=""),"",M19/D19-1)</f>
        <v>0.0671927743818994</v>
      </c>
      <c r="P19" s="209" t="n">
        <f aca="false">IF(OR(H19="",N19=""),"",N19/H19-1)</f>
        <v>-0.000194858337988268</v>
      </c>
      <c r="Q19" s="209" t="n">
        <f aca="false">IF(OR(O19="",P19=""),"",O19-P19)</f>
        <v>0.0673876327198877</v>
      </c>
      <c r="R19" s="207" t="s">
        <v>570</v>
      </c>
      <c r="S19" s="207" t="s">
        <v>575</v>
      </c>
      <c r="T19" s="210" t="n">
        <v>214.02188</v>
      </c>
      <c r="U19" s="211" t="n">
        <f aca="false">IF($A19="","",IF(OR($S19="System",$I19="Exited"),$T19,SUMIFS(CurrentPositionsTable[Quantity],CurrentPositionsTable[Ticker],$A19)-SUMIFS($T$3:$T$44,$A$3:$A$44,$A19,$S$3:$S$44,"System",$I$3:$I$44,"Held")))</f>
        <v>214.02188</v>
      </c>
      <c r="V19" s="212" t="n">
        <f aca="false">IF(OR($U19="",$D19=""),"",$U19*$D19)</f>
        <v>46917.8765336</v>
      </c>
      <c r="W19" s="212" t="n">
        <f aca="false">IF(OR($U19="",$M19=""),"",$U19*$M19)</f>
        <v>50070.418826</v>
      </c>
      <c r="X19" s="213" t="n">
        <f aca="false">IF(OR($V19="",$W19=""),"",$W19-$V19)</f>
        <v>3152.5422924</v>
      </c>
      <c r="Y19" s="207" t="n">
        <v>186.5</v>
      </c>
      <c r="Z19" s="212" t="n">
        <f aca="false">IF(OR($U19="",$Y19=""),"",$U19*$Y19)</f>
        <v>39915.08062</v>
      </c>
      <c r="AA19" s="213" t="n">
        <f aca="false">IF(OR($Z19="",$W19=""),"",$W19-$Z19)</f>
        <v>10155.338206</v>
      </c>
      <c r="AB19" s="209" t="n">
        <f aca="false">IF(OR($Z19="",$W19=""),"",IF($Z19=0,"",$W19/$Z19-1))</f>
        <v>0.254423592493298</v>
      </c>
      <c r="AC19" s="213" t="n">
        <f aca="false">IF(OR($V19="",$P19=""),"",$V19*$P19)</f>
        <v>-9.14233944327608</v>
      </c>
    </row>
    <row r="20" customFormat="false" ht="15" hidden="false" customHeight="true" outlineLevel="0" collapsed="false">
      <c r="A20" s="205" t="s">
        <v>113</v>
      </c>
      <c r="B20" s="128" t="s">
        <v>114</v>
      </c>
      <c r="C20" s="177" t="n">
        <v>46239</v>
      </c>
      <c r="D20" s="207" t="n">
        <v>158.43</v>
      </c>
      <c r="E20" s="208"/>
      <c r="F20" s="128"/>
      <c r="G20" s="128"/>
      <c r="H20" s="207" t="n">
        <f aca="false">PT_SPY_0805</f>
        <v>769.79</v>
      </c>
      <c r="I20" s="128" t="s">
        <v>569</v>
      </c>
      <c r="J20" s="177"/>
      <c r="K20" s="207"/>
      <c r="L20" s="128"/>
      <c r="M20" s="207" t="n">
        <f aca="false">IFERROR(INDEX('Market Data'!$C$3:$C$300,MATCH($A20,'Market Data'!$A$3:$A$300,0)),"")</f>
        <v>188.75</v>
      </c>
      <c r="N20" s="207" t="n">
        <f aca="false">PT_SPY_Now</f>
        <v>769.64</v>
      </c>
      <c r="O20" s="209" t="n">
        <f aca="false">IF(OR(D20="",M20=""),"",M20/D20-1)</f>
        <v>0.191377895600581</v>
      </c>
      <c r="P20" s="209" t="n">
        <f aca="false">IF(OR(H20="",N20=""),"",N20/H20-1)</f>
        <v>-0.000194858337988268</v>
      </c>
      <c r="Q20" s="209" t="n">
        <f aca="false">IF(OR(O20="",P20=""),"",O20-P20)</f>
        <v>0.191572753938569</v>
      </c>
      <c r="R20" s="207" t="s">
        <v>570</v>
      </c>
      <c r="S20" s="207" t="s">
        <v>575</v>
      </c>
      <c r="T20" s="210" t="n">
        <v>90</v>
      </c>
      <c r="U20" s="211" t="n">
        <f aca="false">IF($A20="","",IF(OR($S20="System",$I20="Exited"),$T20,SUMIFS(CurrentPositionsTable[Quantity],CurrentPositionsTable[Ticker],$A20)-SUMIFS($T$3:$T$44,$A$3:$A$44,$A20,$S$3:$S$44,"System",$I$3:$I$44,"Held")))</f>
        <v>90</v>
      </c>
      <c r="V20" s="212" t="n">
        <f aca="false">IF(OR($U20="",$D20=""),"",$U20*$D20)</f>
        <v>14258.7</v>
      </c>
      <c r="W20" s="212" t="n">
        <f aca="false">IF(OR($U20="",$M20=""),"",$U20*$M20)</f>
        <v>16987.5</v>
      </c>
      <c r="X20" s="213" t="n">
        <f aca="false">IF(OR($V20="",$W20=""),"",$W20-$V20)</f>
        <v>2728.8</v>
      </c>
      <c r="Y20" s="207" t="n">
        <v>177.75</v>
      </c>
      <c r="Z20" s="212" t="n">
        <f aca="false">IF(OR($U20="",$Y20=""),"",$U20*$Y20)</f>
        <v>15997.5</v>
      </c>
      <c r="AA20" s="213" t="n">
        <f aca="false">IF(OR($Z20="",$W20=""),"",$W20-$Z20)</f>
        <v>990</v>
      </c>
      <c r="AB20" s="209" t="n">
        <f aca="false">IF(OR($Z20="",$W20=""),"",IF($Z20=0,"",$W20/$Z20-1))</f>
        <v>0.0618846694796063</v>
      </c>
      <c r="AC20" s="213" t="n">
        <f aca="false">IF(OR($V20="",$P20=""),"",$V20*$P20)</f>
        <v>-2.77842658387332</v>
      </c>
    </row>
    <row r="21" customFormat="false" ht="15" hidden="false" customHeight="true" outlineLevel="0" collapsed="false">
      <c r="A21" s="205" t="s">
        <v>115</v>
      </c>
      <c r="B21" s="128" t="s">
        <v>116</v>
      </c>
      <c r="C21" s="177" t="n">
        <v>46239</v>
      </c>
      <c r="D21" s="207" t="n">
        <v>414</v>
      </c>
      <c r="E21" s="208"/>
      <c r="F21" s="128"/>
      <c r="G21" s="128"/>
      <c r="H21" s="207" t="n">
        <f aca="false">PT_SPY_0805</f>
        <v>769.79</v>
      </c>
      <c r="I21" s="128" t="s">
        <v>569</v>
      </c>
      <c r="J21" s="177"/>
      <c r="K21" s="207"/>
      <c r="L21" s="128"/>
      <c r="M21" s="207" t="n">
        <f aca="false">IFERROR(INDEX('Market Data'!$C$3:$C$300,MATCH($A21,'Market Data'!$A$3:$A$300,0)),"")</f>
        <v>472.78</v>
      </c>
      <c r="N21" s="207" t="n">
        <f aca="false">PT_SPY_Now</f>
        <v>769.64</v>
      </c>
      <c r="O21" s="209" t="n">
        <f aca="false">IF(OR(D21="",M21=""),"",M21/D21-1)</f>
        <v>0.141980676328502</v>
      </c>
      <c r="P21" s="209" t="n">
        <f aca="false">IF(OR(H21="",N21=""),"",N21/H21-1)</f>
        <v>-0.000194858337988268</v>
      </c>
      <c r="Q21" s="209" t="n">
        <f aca="false">IF(OR(O21="",P21=""),"",O21-P21)</f>
        <v>0.142175534666491</v>
      </c>
      <c r="R21" s="207" t="s">
        <v>570</v>
      </c>
      <c r="S21" s="207" t="s">
        <v>575</v>
      </c>
      <c r="T21" s="210" t="n">
        <v>25</v>
      </c>
      <c r="U21" s="211" t="n">
        <f aca="false">IF($A21="","",IF(OR($S21="System",$I21="Exited"),$T21,SUMIFS(CurrentPositionsTable[Quantity],CurrentPositionsTable[Ticker],$A21)-SUMIFS($T$3:$T$44,$A$3:$A$44,$A21,$S$3:$S$44,"System",$I$3:$I$44,"Held")))</f>
        <v>25</v>
      </c>
      <c r="V21" s="212" t="n">
        <f aca="false">IF(OR($U21="",$D21=""),"",$U21*$D21)</f>
        <v>10350</v>
      </c>
      <c r="W21" s="212" t="n">
        <f aca="false">IF(OR($U21="",$M21=""),"",$U21*$M21)</f>
        <v>11819.5</v>
      </c>
      <c r="X21" s="213" t="n">
        <f aca="false">IF(OR($V21="",$W21=""),"",$W21-$V21)</f>
        <v>1469.5</v>
      </c>
      <c r="Y21" s="207" t="n">
        <v>303.89</v>
      </c>
      <c r="Z21" s="212" t="n">
        <f aca="false">IF(OR($U21="",$Y21=""),"",$U21*$Y21)</f>
        <v>7597.25</v>
      </c>
      <c r="AA21" s="213" t="n">
        <f aca="false">IF(OR($Z21="",$W21=""),"",$W21-$Z21)</f>
        <v>4222.25</v>
      </c>
      <c r="AB21" s="209" t="n">
        <f aca="false">IF(OR($Z21="",$W21=""),"",IF($Z21=0,"",$W21/$Z21-1))</f>
        <v>0.555760308006186</v>
      </c>
      <c r="AC21" s="213" t="n">
        <f aca="false">IF(OR($V21="",$P21=""),"",$V21*$P21)</f>
        <v>-2.01678379817858</v>
      </c>
    </row>
    <row r="22" customFormat="false" ht="15" hidden="false" customHeight="true" outlineLevel="0" collapsed="false">
      <c r="A22" s="205" t="s">
        <v>117</v>
      </c>
      <c r="B22" s="128" t="s">
        <v>118</v>
      </c>
      <c r="C22" s="177" t="n">
        <v>46239</v>
      </c>
      <c r="D22" s="207" t="n">
        <v>277.94</v>
      </c>
      <c r="E22" s="208"/>
      <c r="F22" s="128"/>
      <c r="G22" s="128"/>
      <c r="H22" s="207" t="n">
        <f aca="false">PT_SPY_0805</f>
        <v>769.79</v>
      </c>
      <c r="I22" s="128" t="s">
        <v>569</v>
      </c>
      <c r="J22" s="177"/>
      <c r="K22" s="207"/>
      <c r="L22" s="128"/>
      <c r="M22" s="207" t="n">
        <f aca="false">IFERROR(INDEX('Market Data'!$C$3:$C$300,MATCH($A22,'Market Data'!$A$3:$A$300,0)),"")</f>
        <v>252.18</v>
      </c>
      <c r="N22" s="207" t="n">
        <f aca="false">PT_SPY_Now</f>
        <v>769.64</v>
      </c>
      <c r="O22" s="209" t="n">
        <f aca="false">IF(OR(D22="",M22=""),"",M22/D22-1)</f>
        <v>-0.0926818737857091</v>
      </c>
      <c r="P22" s="209" t="n">
        <f aca="false">IF(OR(H22="",N22=""),"",N22/H22-1)</f>
        <v>-0.000194858337988268</v>
      </c>
      <c r="Q22" s="209" t="n">
        <f aca="false">IF(OR(O22="",P22=""),"",O22-P22)</f>
        <v>-0.0924870154477209</v>
      </c>
      <c r="R22" s="207" t="s">
        <v>570</v>
      </c>
      <c r="S22" s="207" t="s">
        <v>575</v>
      </c>
      <c r="T22" s="210" t="n">
        <v>30</v>
      </c>
      <c r="U22" s="211" t="n">
        <f aca="false">IF($A22="","",IF(OR($S22="System",$I22="Exited"),$T22,SUMIFS(CurrentPositionsTable[Quantity],CurrentPositionsTable[Ticker],$A22)-SUMIFS($T$3:$T$44,$A$3:$A$44,$A22,$S$3:$S$44,"System",$I$3:$I$44,"Held")))</f>
        <v>30</v>
      </c>
      <c r="V22" s="212" t="n">
        <f aca="false">IF(OR($U22="",$D22=""),"",$U22*$D22)</f>
        <v>8338.2</v>
      </c>
      <c r="W22" s="212" t="n">
        <f aca="false">IF(OR($U22="",$M22=""),"",$U22*$M22)</f>
        <v>7565.4</v>
      </c>
      <c r="X22" s="213" t="n">
        <f aca="false">IF(OR($V22="",$W22=""),"",$W22-$V22)</f>
        <v>-772.8</v>
      </c>
      <c r="Y22" s="207" t="n">
        <v>162.01</v>
      </c>
      <c r="Z22" s="212" t="n">
        <f aca="false">IF(OR($U22="",$Y22=""),"",$U22*$Y22)</f>
        <v>4860.3</v>
      </c>
      <c r="AA22" s="213" t="n">
        <f aca="false">IF(OR($Z22="",$W22=""),"",$W22-$Z22)</f>
        <v>2705.1</v>
      </c>
      <c r="AB22" s="209" t="n">
        <f aca="false">IF(OR($Z22="",$W22=""),"",IF($Z22=0,"",$W22/$Z22-1))</f>
        <v>0.556570582062836</v>
      </c>
      <c r="AC22" s="213" t="n">
        <f aca="false">IF(OR($V22="",$P22=""),"",$V22*$P22)</f>
        <v>-1.62476779381378</v>
      </c>
    </row>
    <row r="23" customFormat="false" ht="15" hidden="false" customHeight="true" outlineLevel="0" collapsed="false">
      <c r="A23" s="214" t="s">
        <v>163</v>
      </c>
      <c r="B23" s="128" t="s">
        <v>578</v>
      </c>
      <c r="C23" s="177" t="n">
        <v>46239</v>
      </c>
      <c r="D23" s="207" t="n">
        <v>127.24</v>
      </c>
      <c r="E23" s="208"/>
      <c r="F23" s="128"/>
      <c r="G23" s="128"/>
      <c r="H23" s="207" t="n">
        <f aca="false">PT_SPY_0805</f>
        <v>769.79</v>
      </c>
      <c r="I23" s="128" t="s">
        <v>569</v>
      </c>
      <c r="J23" s="177"/>
      <c r="K23" s="207"/>
      <c r="L23" s="128"/>
      <c r="M23" s="207" t="n">
        <f aca="false">IFERROR(INDEX('Market Data'!$C$3:$C$300,MATCH($A23,'Market Data'!$A$3:$A$300,0)),"")</f>
        <v>120.03</v>
      </c>
      <c r="N23" s="207" t="n">
        <f aca="false">PT_SPY_Now</f>
        <v>769.64</v>
      </c>
      <c r="O23" s="209" t="n">
        <f aca="false">IF(OR(D23="",M23=""),"",M23/D23-1)</f>
        <v>-0.0566645708896573</v>
      </c>
      <c r="P23" s="209" t="n">
        <f aca="false">IF(OR(H23="",N23=""),"",N23/H23-1)</f>
        <v>-0.000194858337988268</v>
      </c>
      <c r="Q23" s="209" t="n">
        <f aca="false">IF(OR(O23="",P23=""),"",O23-P23)</f>
        <v>-0.056469712551669</v>
      </c>
      <c r="R23" s="207" t="s">
        <v>579</v>
      </c>
      <c r="S23" s="207" t="s">
        <v>575</v>
      </c>
      <c r="T23" s="210" t="n">
        <v>400.00001</v>
      </c>
      <c r="U23" s="211" t="n">
        <f aca="false">IF($A23="","",IF(OR($S23="System",$I23="Exited"),$T23,SUMIFS(CurrentPositionsTable[Quantity],CurrentPositionsTable[Ticker],$A23)-SUMIFS($T$3:$T$44,$A$3:$A$44,$A23,$S$3:$S$44,"System",$I$3:$I$44,"Held")))</f>
        <v>400.00001</v>
      </c>
      <c r="V23" s="212" t="n">
        <f aca="false">IF(OR($U23="",$D23=""),"",$U23*$D23)</f>
        <v>50896.0012724</v>
      </c>
      <c r="W23" s="212" t="n">
        <f aca="false">IF(OR($U23="",$M23=""),"",$U23*$M23)</f>
        <v>48012.0012003</v>
      </c>
      <c r="X23" s="213" t="n">
        <f aca="false">IF(OR($V23="",$W23=""),"",$W23-$V23)</f>
        <v>-2884.0000721</v>
      </c>
      <c r="Y23" s="207" t="n">
        <v>101.98</v>
      </c>
      <c r="Z23" s="212" t="n">
        <f aca="false">IF(OR($U23="",$Y23=""),"",$U23*$Y23)</f>
        <v>40792.0010198</v>
      </c>
      <c r="AA23" s="213" t="n">
        <f aca="false">IF(OR($Z23="",$W23=""),"",$W23-$Z23)</f>
        <v>7220.00018049999</v>
      </c>
      <c r="AB23" s="209" t="n">
        <f aca="false">IF(OR($Z23="",$W23=""),"",IF($Z23=0,"",$W23/$Z23-1))</f>
        <v>0.176995489311629</v>
      </c>
      <c r="AC23" s="213" t="n">
        <f aca="false">IF(OR($V23="",$P23=""),"",$V23*$P23)</f>
        <v>-9.91751021818866</v>
      </c>
    </row>
    <row r="24" customFormat="false" ht="15" hidden="false" customHeight="true" outlineLevel="0" collapsed="false">
      <c r="A24" s="214" t="s">
        <v>128</v>
      </c>
      <c r="B24" s="128" t="s">
        <v>580</v>
      </c>
      <c r="C24" s="177" t="n">
        <v>46239</v>
      </c>
      <c r="D24" s="207" t="n">
        <v>161.67</v>
      </c>
      <c r="E24" s="208"/>
      <c r="F24" s="128"/>
      <c r="G24" s="128"/>
      <c r="H24" s="207" t="n">
        <f aca="false">PT_SPY_0805</f>
        <v>769.79</v>
      </c>
      <c r="I24" s="128" t="s">
        <v>569</v>
      </c>
      <c r="J24" s="177"/>
      <c r="K24" s="207"/>
      <c r="L24" s="128"/>
      <c r="M24" s="207" t="n">
        <f aca="false">IFERROR(INDEX('Market Data'!$C$3:$C$300,MATCH($A24,'Market Data'!$A$3:$A$300,0)),"")</f>
        <v>153.05</v>
      </c>
      <c r="N24" s="207" t="n">
        <f aca="false">PT_SPY_Now</f>
        <v>769.64</v>
      </c>
      <c r="O24" s="209" t="n">
        <f aca="false">IF(OR(D24="",M24=""),"",M24/D24-1)</f>
        <v>-0.0533184882785921</v>
      </c>
      <c r="P24" s="209" t="n">
        <f aca="false">IF(OR(H24="",N24=""),"",N24/H24-1)</f>
        <v>-0.000194858337988268</v>
      </c>
      <c r="Q24" s="209" t="n">
        <f aca="false">IF(OR(O24="",P24=""),"",O24-P24)</f>
        <v>-0.0531236299406038</v>
      </c>
      <c r="R24" s="207" t="s">
        <v>579</v>
      </c>
      <c r="S24" s="207" t="s">
        <v>575</v>
      </c>
      <c r="T24" s="210" t="n">
        <v>150</v>
      </c>
      <c r="U24" s="211" t="n">
        <f aca="false">IF($A24="","",IF(OR($S24="System",$I24="Exited"),$T24,SUMIFS(CurrentPositionsTable[Quantity],CurrentPositionsTable[Ticker],$A24)-SUMIFS($T$3:$T$44,$A$3:$A$44,$A24,$S$3:$S$44,"System",$I$3:$I$44,"Held")))</f>
        <v>150</v>
      </c>
      <c r="V24" s="212" t="n">
        <f aca="false">IF(OR($U24="",$D24=""),"",$U24*$D24)</f>
        <v>24250.5</v>
      </c>
      <c r="W24" s="212" t="n">
        <f aca="false">IF(OR($U24="",$M24=""),"",$U24*$M24)</f>
        <v>22957.5</v>
      </c>
      <c r="X24" s="213" t="n">
        <f aca="false">IF(OR($V24="",$W24=""),"",$W24-$V24)</f>
        <v>-1293</v>
      </c>
      <c r="Y24" s="207" t="n">
        <v>141.14</v>
      </c>
      <c r="Z24" s="212" t="n">
        <f aca="false">IF(OR($U24="",$Y24=""),"",$U24*$Y24)</f>
        <v>21171</v>
      </c>
      <c r="AA24" s="213" t="n">
        <f aca="false">IF(OR($Z24="",$W24=""),"",$W24-$Z24)</f>
        <v>1786.5</v>
      </c>
      <c r="AB24" s="209" t="n">
        <f aca="false">IF(OR($Z24="",$W24=""),"",IF($Z24=0,"",$W24/$Z24-1))</f>
        <v>0.0843842992773134</v>
      </c>
      <c r="AC24" s="213" t="n">
        <f aca="false">IF(OR($V24="",$P24=""),"",$V24*$P24)</f>
        <v>-4.7254121253845</v>
      </c>
    </row>
    <row r="25" customFormat="false" ht="15" hidden="false" customHeight="true" outlineLevel="0" collapsed="false">
      <c r="A25" s="214" t="s">
        <v>169</v>
      </c>
      <c r="B25" s="128" t="s">
        <v>581</v>
      </c>
      <c r="C25" s="177" t="n">
        <v>46239</v>
      </c>
      <c r="D25" s="207" t="n">
        <v>69.61</v>
      </c>
      <c r="E25" s="208"/>
      <c r="F25" s="128"/>
      <c r="G25" s="128"/>
      <c r="H25" s="207" t="n">
        <f aca="false">PT_SPY_0805</f>
        <v>769.79</v>
      </c>
      <c r="I25" s="128" t="s">
        <v>569</v>
      </c>
      <c r="J25" s="177"/>
      <c r="K25" s="207"/>
      <c r="L25" s="128"/>
      <c r="M25" s="207" t="n">
        <f aca="false">IFERROR(INDEX('Market Data'!$C$3:$C$300,MATCH($A25,'Market Data'!$A$3:$A$300,0)),"")</f>
        <v>69.42</v>
      </c>
      <c r="N25" s="207" t="n">
        <f aca="false">PT_SPY_Now</f>
        <v>769.64</v>
      </c>
      <c r="O25" s="209" t="n">
        <f aca="false">IF(OR(D25="",M25=""),"",M25/D25-1)</f>
        <v>-0.00272949288895274</v>
      </c>
      <c r="P25" s="209" t="n">
        <f aca="false">IF(OR(H25="",N25=""),"",N25/H25-1)</f>
        <v>-0.000194858337988268</v>
      </c>
      <c r="Q25" s="209" t="n">
        <f aca="false">IF(OR(O25="",P25=""),"",O25-P25)</f>
        <v>-0.00253463455096448</v>
      </c>
      <c r="R25" s="207" t="s">
        <v>579</v>
      </c>
      <c r="S25" s="207" t="s">
        <v>575</v>
      </c>
      <c r="T25" s="210" t="n">
        <v>500</v>
      </c>
      <c r="U25" s="211" t="n">
        <f aca="false">IF($A25="","",IF(OR($S25="System",$I25="Exited"),$T25,SUMIFS(CurrentPositionsTable[Quantity],CurrentPositionsTable[Ticker],$A25)-SUMIFS($T$3:$T$44,$A$3:$A$44,$A25,$S$3:$S$44,"System",$I$3:$I$44,"Held")))</f>
        <v>500</v>
      </c>
      <c r="V25" s="212" t="n">
        <f aca="false">IF(OR($U25="",$D25=""),"",$U25*$D25)</f>
        <v>34805</v>
      </c>
      <c r="W25" s="212" t="n">
        <f aca="false">IF(OR($U25="",$M25=""),"",$U25*$M25)</f>
        <v>34710</v>
      </c>
      <c r="X25" s="213" t="n">
        <f aca="false">IF(OR($V25="",$W25=""),"",$W25-$V25)</f>
        <v>-95</v>
      </c>
      <c r="Y25" s="207" t="n">
        <v>66.43</v>
      </c>
      <c r="Z25" s="212" t="n">
        <f aca="false">IF(OR($U25="",$Y25=""),"",$U25*$Y25)</f>
        <v>33215</v>
      </c>
      <c r="AA25" s="213" t="n">
        <f aca="false">IF(OR($Z25="",$W25=""),"",$W25-$Z25)</f>
        <v>1495</v>
      </c>
      <c r="AB25" s="209" t="n">
        <f aca="false">IF(OR($Z25="",$W25=""),"",IF($Z25=0,"",$W25/$Z25-1))</f>
        <v>0.0450097847358122</v>
      </c>
      <c r="AC25" s="213" t="n">
        <f aca="false">IF(OR($V25="",$P25=""),"",$V25*$P25)</f>
        <v>-6.78204445368168</v>
      </c>
    </row>
    <row r="26" customFormat="false" ht="15" hidden="false" customHeight="true" outlineLevel="0" collapsed="false">
      <c r="A26" s="214" t="s">
        <v>195</v>
      </c>
      <c r="B26" s="128" t="s">
        <v>582</v>
      </c>
      <c r="C26" s="177" t="n">
        <v>46239</v>
      </c>
      <c r="D26" s="207" t="n">
        <v>57.51</v>
      </c>
      <c r="E26" s="208"/>
      <c r="F26" s="128"/>
      <c r="G26" s="128"/>
      <c r="H26" s="207" t="n">
        <f aca="false">PT_SPY_0805</f>
        <v>769.79</v>
      </c>
      <c r="I26" s="128" t="s">
        <v>569</v>
      </c>
      <c r="J26" s="177"/>
      <c r="K26" s="207"/>
      <c r="L26" s="128"/>
      <c r="M26" s="207" t="n">
        <f aca="false">IFERROR(INDEX('Market Data'!$C$3:$C$300,MATCH($A26,'Market Data'!$A$3:$A$300,0)),"")</f>
        <v>56.1</v>
      </c>
      <c r="N26" s="207" t="n">
        <f aca="false">PT_SPY_Now</f>
        <v>769.64</v>
      </c>
      <c r="O26" s="209" t="n">
        <f aca="false">IF(OR(D26="",M26=""),"",M26/D26-1)</f>
        <v>-0.0245174752217006</v>
      </c>
      <c r="P26" s="209" t="n">
        <f aca="false">IF(OR(H26="",N26=""),"",N26/H26-1)</f>
        <v>-0.000194858337988268</v>
      </c>
      <c r="Q26" s="209" t="n">
        <f aca="false">IF(OR(O26="",P26=""),"",O26-P26)</f>
        <v>-0.0243226168837123</v>
      </c>
      <c r="R26" s="207" t="s">
        <v>579</v>
      </c>
      <c r="S26" s="207" t="s">
        <v>575</v>
      </c>
      <c r="T26" s="210" t="n">
        <v>180</v>
      </c>
      <c r="U26" s="211" t="n">
        <f aca="false">IF($A26="","",IF(OR($S26="System",$I26="Exited"),$T26,SUMIFS(CurrentPositionsTable[Quantity],CurrentPositionsTable[Ticker],$A26)-SUMIFS($T$3:$T$44,$A$3:$A$44,$A26,$S$3:$S$44,"System",$I$3:$I$44,"Held")))</f>
        <v>180</v>
      </c>
      <c r="V26" s="212" t="n">
        <f aca="false">IF(OR($U26="",$D26=""),"",$U26*$D26)</f>
        <v>10351.8</v>
      </c>
      <c r="W26" s="212" t="n">
        <f aca="false">IF(OR($U26="",$M26=""),"",$U26*$M26)</f>
        <v>10098</v>
      </c>
      <c r="X26" s="213" t="n">
        <f aca="false">IF(OR($V26="",$W26=""),"",$W26-$V26)</f>
        <v>-253.799999999999</v>
      </c>
      <c r="Y26" s="207" t="n">
        <v>57.24</v>
      </c>
      <c r="Z26" s="212" t="n">
        <f aca="false">IF(OR($U26="",$Y26=""),"",$U26*$Y26)</f>
        <v>10303.2</v>
      </c>
      <c r="AA26" s="213" t="n">
        <f aca="false">IF(OR($Z26="",$W26=""),"",$W26-$Z26)</f>
        <v>-205.200000000001</v>
      </c>
      <c r="AB26" s="209" t="n">
        <f aca="false">IF(OR($Z26="",$W26=""),"",IF($Z26=0,"",$W26/$Z26-1))</f>
        <v>-0.0199161425576521</v>
      </c>
      <c r="AC26" s="213" t="n">
        <f aca="false">IF(OR($V26="",$P26=""),"",$V26*$P26)</f>
        <v>-2.01713454318696</v>
      </c>
    </row>
    <row r="27" customFormat="false" ht="15" hidden="false" customHeight="true" outlineLevel="0" collapsed="false">
      <c r="A27" s="214" t="s">
        <v>159</v>
      </c>
      <c r="B27" s="128" t="s">
        <v>583</v>
      </c>
      <c r="C27" s="177" t="n">
        <v>46239</v>
      </c>
      <c r="D27" s="207" t="n">
        <v>59.38</v>
      </c>
      <c r="E27" s="208"/>
      <c r="F27" s="128"/>
      <c r="G27" s="128"/>
      <c r="H27" s="207" t="n">
        <f aca="false">PT_SPY_0805</f>
        <v>769.79</v>
      </c>
      <c r="I27" s="128" t="s">
        <v>569</v>
      </c>
      <c r="J27" s="177"/>
      <c r="K27" s="207"/>
      <c r="L27" s="128"/>
      <c r="M27" s="207" t="n">
        <f aca="false">IFERROR(INDEX('Market Data'!$C$3:$C$300,MATCH($A27,'Market Data'!$A$3:$A$300,0)),"")</f>
        <v>61.04</v>
      </c>
      <c r="N27" s="207" t="n">
        <f aca="false">PT_SPY_Now</f>
        <v>769.64</v>
      </c>
      <c r="O27" s="209" t="n">
        <f aca="false">IF(OR(D27="",M27=""),"",M27/D27-1)</f>
        <v>0.0279555405860559</v>
      </c>
      <c r="P27" s="209" t="n">
        <f aca="false">IF(OR(H27="",N27=""),"",N27/H27-1)</f>
        <v>-0.000194858337988268</v>
      </c>
      <c r="Q27" s="209" t="n">
        <f aca="false">IF(OR(O27="",P27=""),"",O27-P27)</f>
        <v>0.0281503989240441</v>
      </c>
      <c r="R27" s="207" t="s">
        <v>579</v>
      </c>
      <c r="S27" s="207" t="s">
        <v>575</v>
      </c>
      <c r="T27" s="210" t="n">
        <v>850.35693</v>
      </c>
      <c r="U27" s="211" t="n">
        <f aca="false">IF($A27="","",IF(OR($S27="System",$I27="Exited"),$T27,SUMIFS(CurrentPositionsTable[Quantity],CurrentPositionsTable[Ticker],$A27)-SUMIFS($T$3:$T$44,$A$3:$A$44,$A27,$S$3:$S$44,"System",$I$3:$I$44,"Held")))</f>
        <v>850.35693</v>
      </c>
      <c r="V27" s="212" t="n">
        <f aca="false">IF(OR($U27="",$D27=""),"",$U27*$D27)</f>
        <v>50494.1945034</v>
      </c>
      <c r="W27" s="212" t="n">
        <f aca="false">IF(OR($U27="",$M27=""),"",$U27*$M27)</f>
        <v>51905.7870072</v>
      </c>
      <c r="X27" s="213" t="n">
        <f aca="false">IF(OR($V27="",$W27=""),"",$W27-$V27)</f>
        <v>1411.5925038</v>
      </c>
      <c r="Y27" s="207" t="n">
        <v>58.12</v>
      </c>
      <c r="Z27" s="212" t="n">
        <f aca="false">IF(OR($U27="",$Y27=""),"",$U27*$Y27)</f>
        <v>49422.7447716</v>
      </c>
      <c r="AA27" s="213" t="n">
        <f aca="false">IF(OR($Z27="",$W27=""),"",$W27-$Z27)</f>
        <v>2483.0422356</v>
      </c>
      <c r="AB27" s="209" t="n">
        <f aca="false">IF(OR($Z27="",$W27=""),"",IF($Z27=0,"",$W27/$Z27-1))</f>
        <v>0.0502408809359944</v>
      </c>
      <c r="AC27" s="213" t="n">
        <f aca="false">IF(OR($V27="",$P27=""),"",$V27*$P27)</f>
        <v>-9.83921481898889</v>
      </c>
    </row>
    <row r="28" customFormat="false" ht="15" hidden="false" customHeight="true" outlineLevel="0" collapsed="false">
      <c r="A28" s="214" t="s">
        <v>138</v>
      </c>
      <c r="B28" s="128" t="s">
        <v>584</v>
      </c>
      <c r="C28" s="177" t="n">
        <v>46239</v>
      </c>
      <c r="D28" s="207" t="n">
        <v>52.9</v>
      </c>
      <c r="E28" s="208"/>
      <c r="F28" s="128"/>
      <c r="G28" s="128"/>
      <c r="H28" s="207" t="n">
        <f aca="false">PT_SPY_0805</f>
        <v>769.79</v>
      </c>
      <c r="I28" s="128" t="s">
        <v>569</v>
      </c>
      <c r="J28" s="177"/>
      <c r="K28" s="207"/>
      <c r="L28" s="128"/>
      <c r="M28" s="207" t="n">
        <f aca="false">IFERROR(INDEX('Market Data'!$C$3:$C$300,MATCH($A28,'Market Data'!$A$3:$A$300,0)),"")</f>
        <v>51.17</v>
      </c>
      <c r="N28" s="207" t="n">
        <f aca="false">PT_SPY_Now</f>
        <v>769.64</v>
      </c>
      <c r="O28" s="209" t="n">
        <f aca="false">IF(OR(D28="",M28=""),"",M28/D28-1)</f>
        <v>-0.0327032136105859</v>
      </c>
      <c r="P28" s="209" t="n">
        <f aca="false">IF(OR(H28="",N28=""),"",N28/H28-1)</f>
        <v>-0.000194858337988268</v>
      </c>
      <c r="Q28" s="209" t="n">
        <f aca="false">IF(OR(O28="",P28=""),"",O28-P28)</f>
        <v>-0.0325083552725977</v>
      </c>
      <c r="R28" s="207" t="s">
        <v>579</v>
      </c>
      <c r="S28" s="207" t="s">
        <v>575</v>
      </c>
      <c r="T28" s="210" t="n">
        <v>1000</v>
      </c>
      <c r="U28" s="211" t="n">
        <f aca="false">IF($A28="","",IF(OR($S28="System",$I28="Exited"),$T28,SUMIFS(CurrentPositionsTable[Quantity],CurrentPositionsTable[Ticker],$A28)-SUMIFS($T$3:$T$44,$A$3:$A$44,$A28,$S$3:$S$44,"System",$I$3:$I$44,"Held")))</f>
        <v>1000</v>
      </c>
      <c r="V28" s="212" t="n">
        <f aca="false">IF(OR($U28="",$D28=""),"",$U28*$D28)</f>
        <v>52900</v>
      </c>
      <c r="W28" s="212" t="n">
        <f aca="false">IF(OR($U28="",$M28=""),"",$U28*$M28)</f>
        <v>51170</v>
      </c>
      <c r="X28" s="213" t="n">
        <f aca="false">IF(OR($V28="",$W28=""),"",$W28-$V28)</f>
        <v>-1730</v>
      </c>
      <c r="Y28" s="207" t="n">
        <v>50.11</v>
      </c>
      <c r="Z28" s="212" t="n">
        <f aca="false">IF(OR($U28="",$Y28=""),"",$U28*$Y28)</f>
        <v>50110</v>
      </c>
      <c r="AA28" s="213" t="n">
        <f aca="false">IF(OR($Z28="",$W28=""),"",$W28-$Z28)</f>
        <v>1060</v>
      </c>
      <c r="AB28" s="209" t="n">
        <f aca="false">IF(OR($Z28="",$W28=""),"",IF($Z28=0,"",$W28/$Z28-1))</f>
        <v>0.0211534623827578</v>
      </c>
      <c r="AC28" s="213" t="n">
        <f aca="false">IF(OR($V28="",$P28=""),"",$V28*$P28)</f>
        <v>-10.3080060795794</v>
      </c>
    </row>
    <row r="29" customFormat="false" ht="15" hidden="false" customHeight="true" outlineLevel="0" collapsed="false">
      <c r="A29" s="214" t="s">
        <v>134</v>
      </c>
      <c r="B29" s="128" t="s">
        <v>585</v>
      </c>
      <c r="C29" s="177" t="n">
        <v>46239</v>
      </c>
      <c r="D29" s="207" t="n">
        <v>33.64</v>
      </c>
      <c r="E29" s="208"/>
      <c r="F29" s="128"/>
      <c r="G29" s="128"/>
      <c r="H29" s="207" t="n">
        <f aca="false">PT_SPY_0805</f>
        <v>769.79</v>
      </c>
      <c r="I29" s="128" t="s">
        <v>569</v>
      </c>
      <c r="J29" s="177"/>
      <c r="K29" s="207"/>
      <c r="L29" s="128"/>
      <c r="M29" s="207" t="n">
        <f aca="false">IFERROR(INDEX('Market Data'!$C$3:$C$300,MATCH($A29,'Market Data'!$A$3:$A$300,0)),"")</f>
        <v>32.72</v>
      </c>
      <c r="N29" s="207" t="n">
        <f aca="false">PT_SPY_Now</f>
        <v>769.64</v>
      </c>
      <c r="O29" s="209" t="n">
        <f aca="false">IF(OR(D29="",M29=""),"",M29/D29-1)</f>
        <v>-0.0273483947681332</v>
      </c>
      <c r="P29" s="209" t="n">
        <f aca="false">IF(OR(H29="",N29=""),"",N29/H29-1)</f>
        <v>-0.000194858337988268</v>
      </c>
      <c r="Q29" s="209" t="n">
        <f aca="false">IF(OR(O29="",P29=""),"",O29-P29)</f>
        <v>-0.027153536430145</v>
      </c>
      <c r="R29" s="207" t="s">
        <v>579</v>
      </c>
      <c r="S29" s="207" t="s">
        <v>575</v>
      </c>
      <c r="T29" s="210" t="n">
        <v>700</v>
      </c>
      <c r="U29" s="211" t="n">
        <f aca="false">IF($A29="","",IF(OR($S29="System",$I29="Exited"),$T29,SUMIFS(CurrentPositionsTable[Quantity],CurrentPositionsTable[Ticker],$A29)-SUMIFS($T$3:$T$44,$A$3:$A$44,$A29,$S$3:$S$44,"System",$I$3:$I$44,"Held")))</f>
        <v>700</v>
      </c>
      <c r="V29" s="212" t="n">
        <f aca="false">IF(OR($U29="",$D29=""),"",$U29*$D29)</f>
        <v>23548</v>
      </c>
      <c r="W29" s="212" t="n">
        <f aca="false">IF(OR($U29="",$M29=""),"",$U29*$M29)</f>
        <v>22904</v>
      </c>
      <c r="X29" s="213" t="n">
        <f aca="false">IF(OR($V29="",$W29=""),"",$W29-$V29)</f>
        <v>-644</v>
      </c>
      <c r="Y29" s="207" t="n">
        <v>27.43</v>
      </c>
      <c r="Z29" s="212" t="n">
        <f aca="false">IF(OR($U29="",$Y29=""),"",$U29*$Y29)</f>
        <v>19201</v>
      </c>
      <c r="AA29" s="213" t="n">
        <f aca="false">IF(OR($Z29="",$W29=""),"",$W29-$Z29)</f>
        <v>3703</v>
      </c>
      <c r="AB29" s="209" t="n">
        <f aca="false">IF(OR($Z29="",$W29=""),"",IF($Z29=0,"",$W29/$Z29-1))</f>
        <v>0.192854538826103</v>
      </c>
      <c r="AC29" s="213" t="n">
        <f aca="false">IF(OR($V29="",$P29=""),"",$V29*$P29)</f>
        <v>-4.58852414294775</v>
      </c>
    </row>
    <row r="30" customFormat="false" ht="15" hidden="false" customHeight="true" outlineLevel="0" collapsed="false">
      <c r="A30" s="214" t="s">
        <v>140</v>
      </c>
      <c r="B30" s="128" t="s">
        <v>586</v>
      </c>
      <c r="C30" s="177" t="n">
        <v>46239</v>
      </c>
      <c r="D30" s="207" t="n">
        <v>150.27</v>
      </c>
      <c r="E30" s="208"/>
      <c r="F30" s="128"/>
      <c r="G30" s="128"/>
      <c r="H30" s="207" t="n">
        <f aca="false">PT_SPY_0805</f>
        <v>769.79</v>
      </c>
      <c r="I30" s="128" t="s">
        <v>569</v>
      </c>
      <c r="J30" s="177"/>
      <c r="K30" s="207"/>
      <c r="L30" s="128"/>
      <c r="M30" s="207" t="n">
        <f aca="false">IFERROR(INDEX('Market Data'!$C$3:$C$300,MATCH($A30,'Market Data'!$A$3:$A$300,0)),"")</f>
        <v>153.23</v>
      </c>
      <c r="N30" s="207" t="n">
        <f aca="false">PT_SPY_Now</f>
        <v>769.64</v>
      </c>
      <c r="O30" s="209" t="n">
        <f aca="false">IF(OR(D30="",M30=""),"",M30/D30-1)</f>
        <v>0.0196978771544551</v>
      </c>
      <c r="P30" s="209" t="n">
        <f aca="false">IF(OR(H30="",N30=""),"",N30/H30-1)</f>
        <v>-0.000194858337988268</v>
      </c>
      <c r="Q30" s="209" t="n">
        <f aca="false">IF(OR(O30="",P30=""),"",O30-P30)</f>
        <v>0.0198927354924434</v>
      </c>
      <c r="R30" s="207" t="s">
        <v>579</v>
      </c>
      <c r="S30" s="207" t="s">
        <v>575</v>
      </c>
      <c r="T30" s="210" t="n">
        <v>146.93745</v>
      </c>
      <c r="U30" s="211" t="n">
        <f aca="false">IF($A30="","",IF(OR($S30="System",$I30="Exited"),$T30,SUMIFS(CurrentPositionsTable[Quantity],CurrentPositionsTable[Ticker],$A30)-SUMIFS($T$3:$T$44,$A$3:$A$44,$A30,$S$3:$S$44,"System",$I$3:$I$44,"Held")))</f>
        <v>146.93745</v>
      </c>
      <c r="V30" s="212" t="n">
        <f aca="false">IF(OR($U30="",$D30=""),"",$U30*$D30)</f>
        <v>22080.2906115</v>
      </c>
      <c r="W30" s="212" t="n">
        <f aca="false">IF(OR($U30="",$M30=""),"",$U30*$M30)</f>
        <v>22515.2254635</v>
      </c>
      <c r="X30" s="213" t="n">
        <f aca="false">IF(OR($V30="",$W30=""),"",$W30-$V30)</f>
        <v>434.934851999995</v>
      </c>
      <c r="Y30" s="207" t="n">
        <v>119.32</v>
      </c>
      <c r="Z30" s="212" t="n">
        <f aca="false">IF(OR($U30="",$Y30=""),"",$U30*$Y30)</f>
        <v>17532.576534</v>
      </c>
      <c r="AA30" s="213" t="n">
        <f aca="false">IF(OR($Z30="",$W30=""),"",$W30-$Z30)</f>
        <v>4982.6489295</v>
      </c>
      <c r="AB30" s="209" t="n">
        <f aca="false">IF(OR($Z30="",$W30=""),"",IF($Z30=0,"",$W30/$Z30-1))</f>
        <v>0.284193764666443</v>
      </c>
      <c r="AC30" s="213" t="n">
        <f aca="false">IF(OR($V30="",$P30=""),"",$V30*$P30)</f>
        <v>-4.30252873085486</v>
      </c>
    </row>
    <row r="31" customFormat="false" ht="15" hidden="false" customHeight="true" outlineLevel="0" collapsed="false">
      <c r="A31" s="214" t="s">
        <v>131</v>
      </c>
      <c r="B31" s="128" t="s">
        <v>587</v>
      </c>
      <c r="C31" s="177" t="n">
        <v>46239</v>
      </c>
      <c r="D31" s="207" t="n">
        <v>50.42</v>
      </c>
      <c r="E31" s="208"/>
      <c r="F31" s="128"/>
      <c r="G31" s="128"/>
      <c r="H31" s="207" t="n">
        <f aca="false">PT_SPY_0805</f>
        <v>769.79</v>
      </c>
      <c r="I31" s="128" t="s">
        <v>569</v>
      </c>
      <c r="J31" s="177"/>
      <c r="K31" s="207"/>
      <c r="L31" s="128"/>
      <c r="M31" s="207" t="n">
        <f aca="false">IFERROR(INDEX('Market Data'!$C$3:$C$300,MATCH($A31,'Market Data'!$A$3:$A$300,0)),"")</f>
        <v>51.82</v>
      </c>
      <c r="N31" s="207" t="n">
        <f aca="false">PT_SPY_Now</f>
        <v>769.64</v>
      </c>
      <c r="O31" s="209" t="n">
        <f aca="false">IF(OR(D31="",M31=""),"",M31/D31-1)</f>
        <v>0.0277667592225308</v>
      </c>
      <c r="P31" s="209" t="n">
        <f aca="false">IF(OR(H31="",N31=""),"",N31/H31-1)</f>
        <v>-0.000194858337988268</v>
      </c>
      <c r="Q31" s="209" t="n">
        <f aca="false">IF(OR(O31="",P31=""),"",O31-P31)</f>
        <v>0.0279616175605191</v>
      </c>
      <c r="R31" s="207" t="s">
        <v>579</v>
      </c>
      <c r="S31" s="207" t="s">
        <v>575</v>
      </c>
      <c r="T31" s="210" t="n">
        <v>651.304</v>
      </c>
      <c r="U31" s="211" t="n">
        <f aca="false">IF($A31="","",IF(OR($S31="System",$I31="Exited"),$T31,SUMIFS(CurrentPositionsTable[Quantity],CurrentPositionsTable[Ticker],$A31)-SUMIFS($T$3:$T$44,$A$3:$A$44,$A31,$S$3:$S$44,"System",$I$3:$I$44,"Held")))</f>
        <v>651.304</v>
      </c>
      <c r="V31" s="212" t="n">
        <f aca="false">IF(OR($U31="",$D31=""),"",$U31*$D31)</f>
        <v>32838.74768</v>
      </c>
      <c r="W31" s="212" t="n">
        <f aca="false">IF(OR($U31="",$M31=""),"",$U31*$M31)</f>
        <v>33750.57328</v>
      </c>
      <c r="X31" s="213" t="n">
        <f aca="false">IF(OR($V31="",$W31=""),"",$W31-$V31)</f>
        <v>911.825599999997</v>
      </c>
      <c r="Y31" s="207" t="n">
        <v>39.38</v>
      </c>
      <c r="Z31" s="212" t="n">
        <f aca="false">IF(OR($U31="",$Y31=""),"",$U31*$Y31)</f>
        <v>25648.35152</v>
      </c>
      <c r="AA31" s="213" t="n">
        <f aca="false">IF(OR($Z31="",$W31=""),"",$W31-$Z31)</f>
        <v>8102.22176</v>
      </c>
      <c r="AB31" s="209" t="n">
        <f aca="false">IF(OR($Z31="",$W31=""),"",IF($Z31=0,"",$W31/$Z31-1))</f>
        <v>0.315896394108685</v>
      </c>
      <c r="AC31" s="213" t="n">
        <f aca="false">IF(OR($V31="",$P31=""),"",$V31*$P31)</f>
        <v>-6.39890379454091</v>
      </c>
    </row>
    <row r="32" customFormat="false" ht="15" hidden="false" customHeight="true" outlineLevel="0" collapsed="false">
      <c r="A32" s="214" t="s">
        <v>136</v>
      </c>
      <c r="B32" s="128" t="s">
        <v>588</v>
      </c>
      <c r="C32" s="177" t="n">
        <v>46239</v>
      </c>
      <c r="D32" s="207" t="n">
        <v>165.13</v>
      </c>
      <c r="E32" s="208"/>
      <c r="F32" s="128"/>
      <c r="G32" s="128"/>
      <c r="H32" s="207" t="n">
        <f aca="false">PT_SPY_0805</f>
        <v>769.79</v>
      </c>
      <c r="I32" s="128" t="s">
        <v>569</v>
      </c>
      <c r="J32" s="177"/>
      <c r="K32" s="207"/>
      <c r="L32" s="128"/>
      <c r="M32" s="207" t="n">
        <f aca="false">IFERROR(INDEX('Market Data'!$C$3:$C$300,MATCH($A32,'Market Data'!$A$3:$A$300,0)),"")</f>
        <v>156.46</v>
      </c>
      <c r="N32" s="207" t="n">
        <f aca="false">PT_SPY_Now</f>
        <v>769.64</v>
      </c>
      <c r="O32" s="209" t="n">
        <f aca="false">IF(OR(D32="",M32=""),"",M32/D32-1)</f>
        <v>-0.0525040876884878</v>
      </c>
      <c r="P32" s="209" t="n">
        <f aca="false">IF(OR(H32="",N32=""),"",N32/H32-1)</f>
        <v>-0.000194858337988268</v>
      </c>
      <c r="Q32" s="209" t="n">
        <f aca="false">IF(OR(O32="",P32=""),"",O32-P32)</f>
        <v>-0.0523092293504995</v>
      </c>
      <c r="R32" s="207" t="s">
        <v>579</v>
      </c>
      <c r="S32" s="207" t="s">
        <v>575</v>
      </c>
      <c r="T32" s="210" t="n">
        <v>150</v>
      </c>
      <c r="U32" s="211" t="n">
        <f aca="false">IF($A32="","",IF(OR($S32="System",$I32="Exited"),$T32,SUMIFS(CurrentPositionsTable[Quantity],CurrentPositionsTable[Ticker],$A32)-SUMIFS($T$3:$T$44,$A$3:$A$44,$A32,$S$3:$S$44,"System",$I$3:$I$44,"Held")))</f>
        <v>150</v>
      </c>
      <c r="V32" s="212" t="n">
        <f aca="false">IF(OR($U32="",$D32=""),"",$U32*$D32)</f>
        <v>24769.5</v>
      </c>
      <c r="W32" s="212" t="n">
        <f aca="false">IF(OR($U32="",$M32=""),"",$U32*$M32)</f>
        <v>23469</v>
      </c>
      <c r="X32" s="213" t="n">
        <f aca="false">IF(OR($V32="",$W32=""),"",$W32-$V32)</f>
        <v>-1300.5</v>
      </c>
      <c r="Y32" s="207" t="n">
        <v>143.52</v>
      </c>
      <c r="Z32" s="212" t="n">
        <f aca="false">IF(OR($U32="",$Y32=""),"",$U32*$Y32)</f>
        <v>21528</v>
      </c>
      <c r="AA32" s="213" t="n">
        <f aca="false">IF(OR($Z32="",$W32=""),"",$W32-$Z32)</f>
        <v>1941</v>
      </c>
      <c r="AB32" s="209" t="n">
        <f aca="false">IF(OR($Z32="",$W32=""),"",IF($Z32=0,"",$W32/$Z32-1))</f>
        <v>0.0901616499442586</v>
      </c>
      <c r="AC32" s="213" t="n">
        <f aca="false">IF(OR($V32="",$P32=""),"",$V32*$P32)</f>
        <v>-4.82654360280042</v>
      </c>
    </row>
    <row r="33" customFormat="false" ht="15" hidden="false" customHeight="true" outlineLevel="0" collapsed="false">
      <c r="A33" s="214" t="s">
        <v>122</v>
      </c>
      <c r="B33" s="128" t="s">
        <v>589</v>
      </c>
      <c r="C33" s="177" t="n">
        <v>46239</v>
      </c>
      <c r="D33" s="207" t="n">
        <v>1</v>
      </c>
      <c r="E33" s="208"/>
      <c r="F33" s="128"/>
      <c r="G33" s="128"/>
      <c r="H33" s="207" t="n">
        <f aca="false">PT_SPY_0805</f>
        <v>769.79</v>
      </c>
      <c r="I33" s="128" t="s">
        <v>569</v>
      </c>
      <c r="J33" s="177"/>
      <c r="K33" s="207"/>
      <c r="L33" s="128"/>
      <c r="M33" s="207" t="n">
        <v>1</v>
      </c>
      <c r="N33" s="207" t="n">
        <f aca="false">PT_SPY_Now</f>
        <v>769.64</v>
      </c>
      <c r="O33" s="209" t="n">
        <f aca="false">IF(OR(D33="",M33=""),"",M33/D33-1)</f>
        <v>0</v>
      </c>
      <c r="P33" s="209" t="n">
        <f aca="false">IF(OR(H33="",N33=""),"",N33/H33-1)</f>
        <v>-0.000194858337988268</v>
      </c>
      <c r="Q33" s="209" t="n">
        <f aca="false">IF(OR(O33="",P33=""),"",O33-P33)</f>
        <v>0.000194858337988268</v>
      </c>
      <c r="R33" s="207" t="s">
        <v>124</v>
      </c>
      <c r="S33" s="207" t="s">
        <v>575</v>
      </c>
      <c r="T33" s="210"/>
      <c r="U33" s="211" t="n">
        <f aca="false">IF($A33="","",IF(OR($S33="System",$I33="Exited"),$T33,SUMIFS(CurrentPositionsTable[Quantity],CurrentPositionsTable[Ticker],$A33)-SUMIFS($T$3:$T$44,$A$3:$A$44,$A33,$S$3:$S$44,"System",$I$3:$I$44,"Held")))</f>
        <v>648.04</v>
      </c>
      <c r="V33" s="212" t="n">
        <f aca="false">IF(OR($U33="",$D33=""),"",$U33*$D33)</f>
        <v>648.04</v>
      </c>
      <c r="W33" s="212" t="n">
        <f aca="false">IF(OR($U33="",$M33=""),"",$U33*$M33)</f>
        <v>648.04</v>
      </c>
      <c r="X33" s="213" t="n">
        <f aca="false">IF(OR($V33="",$W33=""),"",$W33-$V33)</f>
        <v>0</v>
      </c>
      <c r="Y33" s="207" t="n">
        <v>1</v>
      </c>
      <c r="Z33" s="212" t="n">
        <f aca="false">IF(OR($U33="",$Y33=""),"",$U33*$Y33)</f>
        <v>648.04</v>
      </c>
      <c r="AA33" s="213" t="n">
        <f aca="false">IF(OR($Z33="",$W33=""),"",$W33-$Z33)</f>
        <v>0</v>
      </c>
      <c r="AB33" s="209" t="n">
        <f aca="false">IF(OR($Z33="",$W33=""),"",IF($Z33=0,"",$W33/$Z33-1))</f>
        <v>0</v>
      </c>
      <c r="AC33" s="213" t="n">
        <f aca="false">IF(OR($V33="",$P33=""),"",$V33*$P33)</f>
        <v>-0.126275997349917</v>
      </c>
    </row>
    <row r="34" customFormat="false" ht="15" hidden="false" customHeight="true" outlineLevel="0" collapsed="false">
      <c r="A34" s="205" t="s">
        <v>126</v>
      </c>
      <c r="B34" s="128" t="s">
        <v>590</v>
      </c>
      <c r="C34" s="177" t="n">
        <v>46239</v>
      </c>
      <c r="D34" s="207" t="n">
        <v>1</v>
      </c>
      <c r="E34" s="208"/>
      <c r="F34" s="128"/>
      <c r="G34" s="128"/>
      <c r="H34" s="207" t="n">
        <f aca="false">PT_SPY_0805</f>
        <v>769.79</v>
      </c>
      <c r="I34" s="128" t="s">
        <v>591</v>
      </c>
      <c r="J34" s="177" t="n">
        <v>46296</v>
      </c>
      <c r="K34" s="207" t="n">
        <v>1</v>
      </c>
      <c r="L34" s="128" t="s">
        <v>592</v>
      </c>
      <c r="M34" s="207" t="n">
        <v>1</v>
      </c>
      <c r="N34" s="207" t="n">
        <v>763.99</v>
      </c>
      <c r="O34" s="209" t="n">
        <f aca="false">IF(OR(D34="",M34=""),"",M34/D34-1)</f>
        <v>0</v>
      </c>
      <c r="P34" s="209" t="n">
        <f aca="false">IF(OR(H34="",N34=""),"",N34/H34-1)</f>
        <v>-0.00753452240221353</v>
      </c>
      <c r="Q34" s="209" t="n">
        <f aca="false">IF(OR(O34="",P34=""),"",O34-P34)</f>
        <v>0.00753452240221353</v>
      </c>
      <c r="R34" s="207" t="s">
        <v>124</v>
      </c>
      <c r="S34" s="207" t="s">
        <v>575</v>
      </c>
      <c r="T34" s="210" t="n">
        <v>1174.01</v>
      </c>
      <c r="U34" s="211" t="n">
        <f aca="false">IF($A34="","",IF(OR($S34="System",$I34="Exited"),$T34,SUMIFS(CurrentPositionsTable[Quantity],CurrentPositionsTable[Ticker],$A34)-SUMIFS($T$3:$T$44,$A$3:$A$44,$A34,$S$3:$S$44,"System",$I$3:$I$44,"Held")))</f>
        <v>1174.01</v>
      </c>
      <c r="V34" s="212" t="n">
        <f aca="false">IF(OR($U34="",$D34=""),"",$U34*$D34)</f>
        <v>1174.01</v>
      </c>
      <c r="W34" s="212" t="n">
        <f aca="false">IF(OR($U34="",$M34=""),"",$U34*$M34)</f>
        <v>1174.01</v>
      </c>
      <c r="X34" s="213" t="n">
        <f aca="false">IF(OR($V34="",$W34=""),"",$W34-$V34)</f>
        <v>0</v>
      </c>
      <c r="Y34" s="207" t="n">
        <v>1</v>
      </c>
      <c r="Z34" s="212" t="n">
        <f aca="false">IF(OR($U34="",$Y34=""),"",$U34*$Y34)</f>
        <v>1174.01</v>
      </c>
      <c r="AA34" s="213" t="n">
        <f aca="false">IF(OR($Z34="",$W34=""),"",$W34-$Z34)</f>
        <v>0</v>
      </c>
      <c r="AB34" s="209" t="n">
        <f aca="false">IF(OR($Z34="",$W34=""),"",IF($Z34=0,"",$W34/$Z34-1))</f>
        <v>0</v>
      </c>
      <c r="AC34" s="213" t="n">
        <f aca="false">IF(OR($V34="",$P34=""),"",$V34*$P34)</f>
        <v>-8.8456046454227</v>
      </c>
    </row>
    <row r="35" customFormat="false" ht="15" hidden="false" customHeight="true" outlineLevel="0" collapsed="false">
      <c r="A35" s="214" t="s">
        <v>189</v>
      </c>
      <c r="B35" s="128" t="s">
        <v>593</v>
      </c>
      <c r="C35" s="177" t="n">
        <v>46239</v>
      </c>
      <c r="D35" s="207" t="n">
        <v>1</v>
      </c>
      <c r="E35" s="208"/>
      <c r="F35" s="128"/>
      <c r="G35" s="128"/>
      <c r="H35" s="207" t="n">
        <f aca="false">PT_SPY_0805</f>
        <v>769.79</v>
      </c>
      <c r="I35" s="128" t="s">
        <v>569</v>
      </c>
      <c r="J35" s="177"/>
      <c r="K35" s="207"/>
      <c r="L35" s="128"/>
      <c r="M35" s="207" t="n">
        <v>1</v>
      </c>
      <c r="N35" s="207" t="n">
        <f aca="false">PT_SPY_Now</f>
        <v>769.64</v>
      </c>
      <c r="O35" s="209" t="n">
        <f aca="false">IF(OR(D35="",M35=""),"",M35/D35-1)</f>
        <v>0</v>
      </c>
      <c r="P35" s="209" t="n">
        <f aca="false">IF(OR(H35="",N35=""),"",N35/H35-1)</f>
        <v>-0.000194858337988268</v>
      </c>
      <c r="Q35" s="209" t="n">
        <f aca="false">IF(OR(O35="",P35=""),"",O35-P35)</f>
        <v>0.000194858337988268</v>
      </c>
      <c r="R35" s="207" t="s">
        <v>124</v>
      </c>
      <c r="S35" s="207" t="s">
        <v>575</v>
      </c>
      <c r="T35" s="210"/>
      <c r="U35" s="211" t="n">
        <f aca="false">IF($A35="","",IF(OR($S35="System",$I35="Exited"),$T35,SUMIFS(CurrentPositionsTable[Quantity],CurrentPositionsTable[Ticker],$A35)-SUMIFS($T$3:$T$44,$A$3:$A$44,$A35,$S$3:$S$44,"System",$I$3:$I$44,"Held")))</f>
        <v>20408.02</v>
      </c>
      <c r="V35" s="212" t="n">
        <f aca="false">IF(OR($U35="",$D35=""),"",$U35*$D35)</f>
        <v>20408.02</v>
      </c>
      <c r="W35" s="212" t="n">
        <f aca="false">IF(OR($U35="",$M35=""),"",$U35*$M35)</f>
        <v>20408.02</v>
      </c>
      <c r="X35" s="213" t="n">
        <f aca="false">IF(OR($V35="",$W35=""),"",$W35-$V35)</f>
        <v>0</v>
      </c>
      <c r="Y35" s="207" t="n">
        <v>1</v>
      </c>
      <c r="Z35" s="212" t="n">
        <f aca="false">IF(OR($U35="",$Y35=""),"",$U35*$Y35)</f>
        <v>20408.02</v>
      </c>
      <c r="AA35" s="213" t="n">
        <f aca="false">IF(OR($Z35="",$W35=""),"",$W35-$Z35)</f>
        <v>0</v>
      </c>
      <c r="AB35" s="209" t="n">
        <f aca="false">IF(OR($Z35="",$W35=""),"",IF($Z35=0,"",$W35/$Z35-1))</f>
        <v>0</v>
      </c>
      <c r="AC35" s="213" t="n">
        <f aca="false">IF(OR($V35="",$P35=""),"",$V35*$P35)</f>
        <v>-3.97667285883134</v>
      </c>
    </row>
    <row r="36" customFormat="false" ht="15" hidden="false" customHeight="true" outlineLevel="0" collapsed="false">
      <c r="A36" s="214" t="s">
        <v>156</v>
      </c>
      <c r="B36" s="128" t="s">
        <v>594</v>
      </c>
      <c r="C36" s="177" t="n">
        <v>46239</v>
      </c>
      <c r="D36" s="207" t="n">
        <v>1</v>
      </c>
      <c r="E36" s="208"/>
      <c r="F36" s="128"/>
      <c r="G36" s="128"/>
      <c r="H36" s="207" t="n">
        <f aca="false">PT_SPY_0805</f>
        <v>769.79</v>
      </c>
      <c r="I36" s="128" t="s">
        <v>569</v>
      </c>
      <c r="J36" s="177"/>
      <c r="K36" s="207"/>
      <c r="L36" s="128"/>
      <c r="M36" s="207" t="n">
        <v>1</v>
      </c>
      <c r="N36" s="207" t="n">
        <f aca="false">PT_SPY_Now</f>
        <v>769.64</v>
      </c>
      <c r="O36" s="209" t="n">
        <f aca="false">IF(OR(D36="",M36=""),"",M36/D36-1)</f>
        <v>0</v>
      </c>
      <c r="P36" s="209" t="n">
        <f aca="false">IF(OR(H36="",N36=""),"",N36/H36-1)</f>
        <v>-0.000194858337988268</v>
      </c>
      <c r="Q36" s="209" t="n">
        <f aca="false">IF(OR(O36="",P36=""),"",O36-P36)</f>
        <v>0.000194858337988268</v>
      </c>
      <c r="R36" s="207" t="s">
        <v>124</v>
      </c>
      <c r="S36" s="207" t="s">
        <v>575</v>
      </c>
      <c r="T36" s="210"/>
      <c r="U36" s="211" t="n">
        <f aca="false">IF($A36="","",IF(OR($S36="System",$I36="Exited"),$T36,SUMIFS(CurrentPositionsTable[Quantity],CurrentPositionsTable[Ticker],$A36)-SUMIFS($T$3:$T$44,$A$3:$A$44,$A36,$S$3:$S$44,"System",$I$3:$I$44,"Held")))</f>
        <v>27966.4</v>
      </c>
      <c r="V36" s="212" t="n">
        <f aca="false">IF(OR($U36="",$D36=""),"",$U36*$D36)</f>
        <v>27966.4</v>
      </c>
      <c r="W36" s="212" t="n">
        <f aca="false">IF(OR($U36="",$M36=""),"",$U36*$M36)</f>
        <v>27966.4</v>
      </c>
      <c r="X36" s="213" t="n">
        <f aca="false">IF(OR($V36="",$W36=""),"",$W36-$V36)</f>
        <v>0</v>
      </c>
      <c r="Y36" s="207" t="n">
        <v>1</v>
      </c>
      <c r="Z36" s="212" t="n">
        <f aca="false">IF(OR($U36="",$Y36=""),"",$U36*$Y36)</f>
        <v>27966.4</v>
      </c>
      <c r="AA36" s="213" t="n">
        <f aca="false">IF(OR($Z36="",$W36=""),"",$W36-$Z36)</f>
        <v>0</v>
      </c>
      <c r="AB36" s="209" t="n">
        <f aca="false">IF(OR($Z36="",$W36=""),"",IF($Z36=0,"",$W36/$Z36-1))</f>
        <v>0</v>
      </c>
      <c r="AC36" s="213" t="n">
        <f aca="false">IF(OR($V36="",$P36=""),"",$V36*$P36)</f>
        <v>-5.44948622351511</v>
      </c>
    </row>
    <row r="37" customFormat="false" ht="15" hidden="false" customHeight="true" outlineLevel="0" collapsed="false">
      <c r="A37" s="205" t="s">
        <v>166</v>
      </c>
      <c r="B37" s="128" t="s">
        <v>595</v>
      </c>
      <c r="C37" s="177" t="n">
        <v>46239</v>
      </c>
      <c r="D37" s="207" t="n">
        <v>55.61</v>
      </c>
      <c r="E37" s="208"/>
      <c r="F37" s="128"/>
      <c r="G37" s="128"/>
      <c r="H37" s="207" t="n">
        <f aca="false">PT_SPY_0805</f>
        <v>769.79</v>
      </c>
      <c r="I37" s="128" t="s">
        <v>591</v>
      </c>
      <c r="J37" s="177" t="n">
        <v>46241</v>
      </c>
      <c r="K37" s="207" t="n">
        <v>56.1995</v>
      </c>
      <c r="L37" s="128" t="s">
        <v>596</v>
      </c>
      <c r="M37" s="207" t="n">
        <v>56.1995</v>
      </c>
      <c r="N37" s="207" t="n">
        <v>773.26</v>
      </c>
      <c r="O37" s="209" t="n">
        <f aca="false">IF(OR(D37="",M37=""),"",M37/D37-1)</f>
        <v>0.0106006114008272</v>
      </c>
      <c r="P37" s="209" t="n">
        <f aca="false">IF(OR(H37="",N37=""),"",N37/H37-1)</f>
        <v>0.0045077228854622</v>
      </c>
      <c r="Q37" s="209" t="n">
        <f aca="false">IF(OR(O37="",P37=""),"",O37-P37)</f>
        <v>0.00609288851536505</v>
      </c>
      <c r="R37" s="207" t="s">
        <v>579</v>
      </c>
      <c r="S37" s="207" t="s">
        <v>575</v>
      </c>
      <c r="T37" s="210" t="n">
        <v>409.55</v>
      </c>
      <c r="U37" s="211" t="n">
        <f aca="false">IF($A37="","",IF(OR($S37="System",$I37="Exited"),$T37,SUMIFS(CurrentPositionsTable[Quantity],CurrentPositionsTable[Ticker],$A37)-SUMIFS($T$3:$T$44,$A$3:$A$44,$A37,$S$3:$S$44,"System",$I$3:$I$44,"Held")))</f>
        <v>409.55</v>
      </c>
      <c r="V37" s="212" t="n">
        <f aca="false">IF(OR($U37="",$D37=""),"",$U37*$D37)</f>
        <v>22775.0755</v>
      </c>
      <c r="W37" s="212" t="n">
        <f aca="false">IF(OR($U37="",$M37=""),"",$U37*$M37)</f>
        <v>23016.505225</v>
      </c>
      <c r="X37" s="213" t="n">
        <f aca="false">IF(OR($V37="",$W37=""),"",$W37-$V37)</f>
        <v>241.429725000002</v>
      </c>
      <c r="Y37" s="207" t="n">
        <v>44.37</v>
      </c>
      <c r="Z37" s="212" t="n">
        <f aca="false">IF(OR($U37="",$Y37=""),"",$U37*$Y37)</f>
        <v>18171.7335</v>
      </c>
      <c r="AA37" s="213" t="n">
        <f aca="false">IF(OR($Z37="",$W37=""),"",$W37-$Z37)</f>
        <v>4844.771725</v>
      </c>
      <c r="AB37" s="209" t="n">
        <f aca="false">IF(OR($Z37="",$W37=""),"",IF($Z37=0,"",$W37/$Z37-1))</f>
        <v>0.266610322289836</v>
      </c>
      <c r="AC37" s="213" t="n">
        <f aca="false">IF(OR($V37="",$P37=""),"",$V37*$P37)</f>
        <v>102.663729049479</v>
      </c>
    </row>
    <row r="38" customFormat="false" ht="15" hidden="false" customHeight="true" outlineLevel="0" collapsed="false">
      <c r="A38" s="205" t="s">
        <v>192</v>
      </c>
      <c r="B38" s="128" t="s">
        <v>193</v>
      </c>
      <c r="C38" s="177" t="n">
        <v>46239</v>
      </c>
      <c r="D38" s="207" t="n">
        <v>38.19</v>
      </c>
      <c r="E38" s="208"/>
      <c r="F38" s="128"/>
      <c r="G38" s="128"/>
      <c r="H38" s="207" t="n">
        <f aca="false">PT_SPY_0805</f>
        <v>769.79</v>
      </c>
      <c r="I38" s="128" t="s">
        <v>591</v>
      </c>
      <c r="J38" s="177" t="n">
        <v>46241</v>
      </c>
      <c r="K38" s="207" t="n">
        <v>37.6492</v>
      </c>
      <c r="L38" s="128" t="s">
        <v>597</v>
      </c>
      <c r="M38" s="207" t="n">
        <v>37.6492</v>
      </c>
      <c r="N38" s="207" t="n">
        <v>773.26</v>
      </c>
      <c r="O38" s="209" t="n">
        <f aca="false">IF(OR(D38="",M38=""),"",M38/D38-1)</f>
        <v>-0.0141607750720083</v>
      </c>
      <c r="P38" s="209" t="n">
        <f aca="false">IF(OR(H38="",N38=""),"",N38/H38-1)</f>
        <v>0.0045077228854622</v>
      </c>
      <c r="Q38" s="209" t="n">
        <f aca="false">IF(OR(O38="",P38=""),"",O38-P38)</f>
        <v>-0.0186684979574705</v>
      </c>
      <c r="R38" s="207" t="s">
        <v>570</v>
      </c>
      <c r="S38" s="207" t="s">
        <v>575</v>
      </c>
      <c r="T38" s="210" t="n">
        <v>100</v>
      </c>
      <c r="U38" s="211" t="n">
        <f aca="false">IF($A38="","",IF(OR($S38="System",$I38="Exited"),$T38,SUMIFS(CurrentPositionsTable[Quantity],CurrentPositionsTable[Ticker],$A38)-SUMIFS($T$3:$T$44,$A$3:$A$44,$A38,$S$3:$S$44,"System",$I$3:$I$44,"Held")))</f>
        <v>100</v>
      </c>
      <c r="V38" s="212" t="n">
        <f aca="false">IF(OR($U38="",$D38=""),"",$U38*$D38)</f>
        <v>3819</v>
      </c>
      <c r="W38" s="212" t="n">
        <f aca="false">IF(OR($U38="",$M38=""),"",$U38*$M38)</f>
        <v>3764.92</v>
      </c>
      <c r="X38" s="213" t="n">
        <f aca="false">IF(OR($V38="",$W38=""),"",$W38-$V38)</f>
        <v>-54.0799999999999</v>
      </c>
      <c r="Y38" s="207" t="n">
        <v>46.48</v>
      </c>
      <c r="Z38" s="212" t="n">
        <f aca="false">IF(OR($U38="",$Y38=""),"",$U38*$Y38)</f>
        <v>4648</v>
      </c>
      <c r="AA38" s="213" t="n">
        <f aca="false">IF(OR($Z38="",$W38=""),"",$W38-$Z38)</f>
        <v>-883.08</v>
      </c>
      <c r="AB38" s="209" t="n">
        <f aca="false">IF(OR($Z38="",$W38=""),"",IF($Z38=0,"",$W38/$Z38-1))</f>
        <v>-0.189991394148021</v>
      </c>
      <c r="AC38" s="213" t="n">
        <f aca="false">IF(OR($V38="",$P38=""),"",$V38*$P38)</f>
        <v>17.2149936995801</v>
      </c>
    </row>
    <row r="39" customFormat="false" ht="15" hidden="false" customHeight="true" outlineLevel="0" collapsed="false">
      <c r="A39" s="205" t="s">
        <v>180</v>
      </c>
      <c r="B39" s="128" t="s">
        <v>181</v>
      </c>
      <c r="C39" s="177" t="n">
        <v>46239</v>
      </c>
      <c r="D39" s="207" t="n">
        <v>85.12</v>
      </c>
      <c r="E39" s="208"/>
      <c r="F39" s="128"/>
      <c r="G39" s="128"/>
      <c r="H39" s="207" t="n">
        <f aca="false">PT_SPY_0805</f>
        <v>769.79</v>
      </c>
      <c r="I39" s="128" t="s">
        <v>591</v>
      </c>
      <c r="J39" s="177" t="n">
        <v>46241</v>
      </c>
      <c r="K39" s="207" t="n">
        <v>86.1782</v>
      </c>
      <c r="L39" s="128" t="s">
        <v>597</v>
      </c>
      <c r="M39" s="207" t="n">
        <v>86.1782</v>
      </c>
      <c r="N39" s="207" t="n">
        <v>773.26</v>
      </c>
      <c r="O39" s="209" t="n">
        <f aca="false">IF(OR(D39="",M39=""),"",M39/D39-1)</f>
        <v>0.0124318609022556</v>
      </c>
      <c r="P39" s="209" t="n">
        <f aca="false">IF(OR(H39="",N39=""),"",N39/H39-1)</f>
        <v>0.0045077228854622</v>
      </c>
      <c r="Q39" s="209" t="n">
        <f aca="false">IF(OR(O39="",P39=""),"",O39-P39)</f>
        <v>0.00792413801679337</v>
      </c>
      <c r="R39" s="207" t="s">
        <v>570</v>
      </c>
      <c r="S39" s="207" t="s">
        <v>575</v>
      </c>
      <c r="T39" s="210" t="n">
        <v>65</v>
      </c>
      <c r="U39" s="211" t="n">
        <f aca="false">IF($A39="","",IF(OR($S39="System",$I39="Exited"),$T39,SUMIFS(CurrentPositionsTable[Quantity],CurrentPositionsTable[Ticker],$A39)-SUMIFS($T$3:$T$44,$A$3:$A$44,$A39,$S$3:$S$44,"System",$I$3:$I$44,"Held")))</f>
        <v>65</v>
      </c>
      <c r="V39" s="212" t="n">
        <f aca="false">IF(OR($U39="",$D39=""),"",$U39*$D39)</f>
        <v>5532.8</v>
      </c>
      <c r="W39" s="212" t="n">
        <f aca="false">IF(OR($U39="",$M39=""),"",$U39*$M39)</f>
        <v>5601.583</v>
      </c>
      <c r="X39" s="213" t="n">
        <f aca="false">IF(OR($V39="",$W39=""),"",$W39-$V39)</f>
        <v>68.7830000000004</v>
      </c>
      <c r="Y39" s="207" t="n">
        <v>79.67</v>
      </c>
      <c r="Z39" s="212" t="n">
        <f aca="false">IF(OR($U39="",$Y39=""),"",$U39*$Y39)</f>
        <v>5178.55</v>
      </c>
      <c r="AA39" s="213" t="n">
        <f aca="false">IF(OR($Z39="",$W39=""),"",$W39-$Z39)</f>
        <v>423.033</v>
      </c>
      <c r="AB39" s="209" t="n">
        <f aca="false">IF(OR($Z39="",$W39=""),"",IF($Z39=0,"",$W39/$Z39-1))</f>
        <v>0.081689469059872</v>
      </c>
      <c r="AC39" s="213" t="n">
        <f aca="false">IF(OR($V39="",$P39=""),"",$V39*$P39)</f>
        <v>24.9403291806852</v>
      </c>
    </row>
    <row r="40" customFormat="false" ht="15" hidden="false" customHeight="true" outlineLevel="0" collapsed="false">
      <c r="A40" s="205" t="s">
        <v>183</v>
      </c>
      <c r="B40" s="128" t="s">
        <v>184</v>
      </c>
      <c r="C40" s="177" t="n">
        <v>46239</v>
      </c>
      <c r="D40" s="207" t="n">
        <v>321.55</v>
      </c>
      <c r="E40" s="208"/>
      <c r="F40" s="128"/>
      <c r="G40" s="128"/>
      <c r="H40" s="207" t="n">
        <f aca="false">PT_SPY_0805</f>
        <v>769.79</v>
      </c>
      <c r="I40" s="128" t="s">
        <v>591</v>
      </c>
      <c r="J40" s="177" t="n">
        <v>46241</v>
      </c>
      <c r="K40" s="207" t="n">
        <v>318.8833</v>
      </c>
      <c r="L40" s="128" t="s">
        <v>598</v>
      </c>
      <c r="M40" s="207" t="n">
        <v>318.8833</v>
      </c>
      <c r="N40" s="207" t="n">
        <v>773.26</v>
      </c>
      <c r="O40" s="209" t="n">
        <f aca="false">IF(OR(D40="",M40=""),"",M40/D40-1)</f>
        <v>-0.00829326698802668</v>
      </c>
      <c r="P40" s="209" t="n">
        <f aca="false">IF(OR(H40="",N40=""),"",N40/H40-1)</f>
        <v>0.0045077228854622</v>
      </c>
      <c r="Q40" s="209" t="n">
        <f aca="false">IF(OR(O40="",P40=""),"",O40-P40)</f>
        <v>-0.0128009898734889</v>
      </c>
      <c r="R40" s="207" t="s">
        <v>570</v>
      </c>
      <c r="S40" s="207" t="s">
        <v>575</v>
      </c>
      <c r="T40" s="210" t="n">
        <v>15</v>
      </c>
      <c r="U40" s="211" t="n">
        <f aca="false">IF($A40="","",IF(OR($S40="System",$I40="Exited"),$T40,SUMIFS(CurrentPositionsTable[Quantity],CurrentPositionsTable[Ticker],$A40)-SUMIFS($T$3:$T$44,$A$3:$A$44,$A40,$S$3:$S$44,"System",$I$3:$I$44,"Held")))</f>
        <v>15</v>
      </c>
      <c r="V40" s="212" t="n">
        <f aca="false">IF(OR($U40="",$D40=""),"",$U40*$D40)</f>
        <v>4823.25</v>
      </c>
      <c r="W40" s="212" t="n">
        <f aca="false">IF(OR($U40="",$M40=""),"",$U40*$M40)</f>
        <v>4783.2495</v>
      </c>
      <c r="X40" s="213" t="n">
        <f aca="false">IF(OR($V40="",$W40=""),"",$W40-$V40)</f>
        <v>-40.0005000000001</v>
      </c>
      <c r="Y40" s="207" t="n">
        <v>449.72</v>
      </c>
      <c r="Z40" s="212" t="n">
        <f aca="false">IF(OR($U40="",$Y40=""),"",$U40*$Y40)</f>
        <v>6745.8</v>
      </c>
      <c r="AA40" s="213" t="n">
        <f aca="false">IF(OR($Z40="",$W40=""),"",$W40-$Z40)</f>
        <v>-1962.5505</v>
      </c>
      <c r="AB40" s="209" t="n">
        <f aca="false">IF(OR($Z40="",$W40=""),"",IF($Z40=0,"",$W40/$Z40-1))</f>
        <v>-0.290929244863471</v>
      </c>
      <c r="AC40" s="213" t="n">
        <f aca="false">IF(OR($V40="",$P40=""),"",$V40*$P40)</f>
        <v>21.7418744073055</v>
      </c>
    </row>
    <row r="41" customFormat="false" ht="15" hidden="false" customHeight="true" outlineLevel="0" collapsed="false">
      <c r="A41" s="205" t="s">
        <v>186</v>
      </c>
      <c r="B41" s="128" t="s">
        <v>599</v>
      </c>
      <c r="C41" s="177" t="n">
        <v>46239</v>
      </c>
      <c r="D41" s="207" t="n">
        <v>119.72</v>
      </c>
      <c r="E41" s="208"/>
      <c r="F41" s="128"/>
      <c r="G41" s="128"/>
      <c r="H41" s="207" t="n">
        <f aca="false">PT_SPY_0805</f>
        <v>769.79</v>
      </c>
      <c r="I41" s="128" t="s">
        <v>591</v>
      </c>
      <c r="J41" s="177" t="n">
        <v>46241</v>
      </c>
      <c r="K41" s="207" t="n">
        <v>120.7437</v>
      </c>
      <c r="L41" s="128" t="s">
        <v>600</v>
      </c>
      <c r="M41" s="207" t="n">
        <v>120.7437</v>
      </c>
      <c r="N41" s="207" t="n">
        <v>773.26</v>
      </c>
      <c r="O41" s="209" t="n">
        <f aca="false">IF(OR(D41="",M41=""),"",M41/D41-1)</f>
        <v>0.00855078516538588</v>
      </c>
      <c r="P41" s="209" t="n">
        <f aca="false">IF(OR(H41="",N41=""),"",N41/H41-1)</f>
        <v>0.0045077228854622</v>
      </c>
      <c r="Q41" s="209" t="n">
        <f aca="false">IF(OR(O41="",P41=""),"",O41-P41)</f>
        <v>0.00404306227992368</v>
      </c>
      <c r="R41" s="207" t="s">
        <v>579</v>
      </c>
      <c r="S41" s="207" t="s">
        <v>575</v>
      </c>
      <c r="T41" s="210" t="n">
        <v>40.18</v>
      </c>
      <c r="U41" s="211" t="n">
        <f aca="false">IF($A41="","",IF(OR($S41="System",$I41="Exited"),$T41,SUMIFS(CurrentPositionsTable[Quantity],CurrentPositionsTable[Ticker],$A41)-SUMIFS($T$3:$T$44,$A$3:$A$44,$A41,$S$3:$S$44,"System",$I$3:$I$44,"Held")))</f>
        <v>40.18</v>
      </c>
      <c r="V41" s="212" t="n">
        <f aca="false">IF(OR($U41="",$D41=""),"",$U41*$D41)</f>
        <v>4810.3496</v>
      </c>
      <c r="W41" s="212" t="n">
        <f aca="false">IF(OR($U41="",$M41=""),"",$U41*$M41)</f>
        <v>4851.481866</v>
      </c>
      <c r="X41" s="213" t="n">
        <f aca="false">IF(OR($V41="",$W41=""),"",$W41-$V41)</f>
        <v>41.1322660000005</v>
      </c>
      <c r="Y41" s="207" t="n">
        <v>94.2225</v>
      </c>
      <c r="Z41" s="212" t="n">
        <f aca="false">IF(OR($U41="",$Y41=""),"",$U41*$Y41)</f>
        <v>3785.86005</v>
      </c>
      <c r="AA41" s="213" t="n">
        <f aca="false">IF(OR($Z41="",$W41=""),"",$W41-$Z41)</f>
        <v>1065.621816</v>
      </c>
      <c r="AB41" s="209" t="n">
        <f aca="false">IF(OR($Z41="",$W41=""),"",IF($Z41=0,"",$W41/$Z41-1))</f>
        <v>0.281474170182281</v>
      </c>
      <c r="AC41" s="213" t="n">
        <f aca="false">IF(OR($V41="",$P41=""),"",$V41*$P41)</f>
        <v>21.6837229789939</v>
      </c>
    </row>
    <row r="42" customFormat="false" ht="15" hidden="false" customHeight="true" outlineLevel="0" collapsed="false">
      <c r="A42" s="205" t="s">
        <v>140</v>
      </c>
      <c r="B42" s="128" t="s">
        <v>586</v>
      </c>
      <c r="C42" s="177" t="n">
        <v>46239</v>
      </c>
      <c r="D42" s="207" t="n">
        <v>150.27</v>
      </c>
      <c r="E42" s="208"/>
      <c r="F42" s="128"/>
      <c r="G42" s="128"/>
      <c r="H42" s="207" t="n">
        <f aca="false">PT_SPY_0805</f>
        <v>769.79</v>
      </c>
      <c r="I42" s="128" t="s">
        <v>591</v>
      </c>
      <c r="J42" s="177" t="n">
        <v>46301</v>
      </c>
      <c r="K42" s="207" t="n">
        <v>153.54</v>
      </c>
      <c r="L42" s="128" t="s">
        <v>601</v>
      </c>
      <c r="M42" s="207" t="n">
        <v>153.54</v>
      </c>
      <c r="N42" s="207" t="n">
        <v>779.09</v>
      </c>
      <c r="O42" s="209" t="n">
        <f aca="false">IF(OR(D42="",M42=""),"",M42/D42-1)</f>
        <v>0.0217608305050907</v>
      </c>
      <c r="P42" s="209" t="n">
        <f aca="false">IF(OR(H42="",N42=""),"",N42/H42-1)</f>
        <v>0.0120812169552735</v>
      </c>
      <c r="Q42" s="209" t="n">
        <f aca="false">IF(OR(O42="",P42=""),"",O42-P42)</f>
        <v>0.00967961354981717</v>
      </c>
      <c r="R42" s="207" t="s">
        <v>579</v>
      </c>
      <c r="S42" s="207" t="s">
        <v>575</v>
      </c>
      <c r="T42" s="210" t="n">
        <v>30</v>
      </c>
      <c r="U42" s="211" t="n">
        <f aca="false">IF($A42="","",IF(OR($S42="System",$I42="Exited"),$T42,SUMIFS(CurrentPositionsTable[Quantity],CurrentPositionsTable[Ticker],$A42)-SUMIFS($T$3:$T$44,$A$3:$A$44,$A42,$S$3:$S$44,"System",$I$3:$I$44,"Held")))</f>
        <v>30</v>
      </c>
      <c r="V42" s="212" t="n">
        <f aca="false">IF(OR($U42="",$D42=""),"",$U42*$D42)</f>
        <v>4508.1</v>
      </c>
      <c r="W42" s="212" t="n">
        <f aca="false">IF(OR($U42="",$M42=""),"",$U42*$M42)</f>
        <v>4606.2</v>
      </c>
      <c r="X42" s="213" t="n">
        <f aca="false">IF(OR($V42="",$W42=""),"",$W42-$V42)</f>
        <v>98.0999999999995</v>
      </c>
      <c r="Y42" s="207" t="n">
        <v>119.32</v>
      </c>
      <c r="Z42" s="212" t="n">
        <f aca="false">IF(OR($U42="",$Y42=""),"",$U42*$Y42)</f>
        <v>3579.6</v>
      </c>
      <c r="AA42" s="213" t="n">
        <f aca="false">IF(OR($Z42="",$W42=""),"",$W42-$Z42)</f>
        <v>1026.6</v>
      </c>
      <c r="AB42" s="209" t="n">
        <f aca="false">IF(OR($Z42="",$W42=""),"",IF($Z42=0,"",$W42/$Z42-1))</f>
        <v>0.286791820315119</v>
      </c>
      <c r="AC42" s="213" t="n">
        <f aca="false">IF(OR($V42="",$P42=""),"",$V42*$P42)</f>
        <v>54.4633341560686</v>
      </c>
    </row>
    <row r="43" customFormat="false" ht="15" hidden="false" customHeight="true" outlineLevel="0" collapsed="false">
      <c r="A43" s="205" t="s">
        <v>149</v>
      </c>
      <c r="B43" s="128" t="s">
        <v>423</v>
      </c>
      <c r="C43" s="177" t="n">
        <v>46302</v>
      </c>
      <c r="D43" s="207" t="n">
        <v>283.25</v>
      </c>
      <c r="E43" s="208" t="n">
        <v>81.6</v>
      </c>
      <c r="F43" s="128" t="s">
        <v>349</v>
      </c>
      <c r="G43" s="128" t="s">
        <v>568</v>
      </c>
      <c r="H43" s="207" t="n">
        <v>777.22</v>
      </c>
      <c r="I43" s="128" t="s">
        <v>569</v>
      </c>
      <c r="J43" s="177"/>
      <c r="K43" s="207"/>
      <c r="L43" s="128"/>
      <c r="M43" s="207" t="n">
        <f aca="false">IFERROR(INDEX('Market Data'!$C$3:$C$300,MATCH($A43,'Market Data'!$A$3:$A$300,0)),"")</f>
        <v>273.33</v>
      </c>
      <c r="N43" s="207" t="n">
        <f aca="false">PT_SPY_Now</f>
        <v>769.64</v>
      </c>
      <c r="O43" s="209" t="n">
        <f aca="false">IF(OR(D43="",M43=""),"",M43/D43-1)</f>
        <v>-0.0350220653133275</v>
      </c>
      <c r="P43" s="209" t="n">
        <f aca="false">IF(OR(H43="",N43=""),"",N43/H43-1)</f>
        <v>-0.00975270837086029</v>
      </c>
      <c r="Q43" s="209" t="n">
        <f aca="false">IF(OR(O43="",P43=""),"",O43-P43)</f>
        <v>-0.0252693569424672</v>
      </c>
      <c r="R43" s="207" t="s">
        <v>570</v>
      </c>
      <c r="S43" s="207" t="s">
        <v>571</v>
      </c>
      <c r="T43" s="210" t="n">
        <v>100</v>
      </c>
      <c r="U43" s="211" t="n">
        <f aca="false">IF($A43="","",IF(OR($S43="System",$I43="Exited"),$T43,SUMIFS(CurrentPositionsTable[Quantity],CurrentPositionsTable[Ticker],$A43)-SUMIFS($T$3:$T$44,$A$3:$A$44,$A43,$S$3:$S$44,"System",$I$3:$I$44,"Held")))</f>
        <v>100</v>
      </c>
      <c r="V43" s="212" t="n">
        <f aca="false">IF(OR($U43="",$D43=""),"",$U43*$D43)</f>
        <v>28325</v>
      </c>
      <c r="W43" s="212" t="n">
        <f aca="false">IF(OR($U43="",$M43=""),"",$U43*$M43)</f>
        <v>27333</v>
      </c>
      <c r="X43" s="213" t="n">
        <f aca="false">IF(OR($V43="",$W43=""),"",$W43-$V43)</f>
        <v>-992</v>
      </c>
      <c r="Y43" s="207" t="n">
        <f aca="false">$D43</f>
        <v>283.25</v>
      </c>
      <c r="Z43" s="212" t="n">
        <f aca="false">IF(OR($U43="",$Y43=""),"",$U43*$Y43)</f>
        <v>28325</v>
      </c>
      <c r="AA43" s="213" t="n">
        <f aca="false">IF(OR($Z43="",$W43=""),"",$W43-$Z43)</f>
        <v>-992</v>
      </c>
      <c r="AB43" s="209" t="n">
        <f aca="false">IF(OR($Z43="",$W43=""),"",IF($Z43=0,"",$W43/$Z43-1))</f>
        <v>-0.0350220653133274</v>
      </c>
      <c r="AC43" s="213" t="n">
        <f aca="false">IF(OR($V43="",$P43=""),"",$V43*$P43)</f>
        <v>-276.245464604618</v>
      </c>
    </row>
    <row r="44" customFormat="false" ht="15" hidden="false" customHeight="true" outlineLevel="0" collapsed="false">
      <c r="A44" s="205"/>
      <c r="B44" s="128"/>
      <c r="C44" s="177"/>
      <c r="D44" s="207"/>
      <c r="E44" s="208"/>
      <c r="F44" s="128"/>
      <c r="G44" s="128"/>
      <c r="H44" s="207"/>
      <c r="I44" s="128"/>
      <c r="J44" s="177"/>
      <c r="K44" s="207"/>
      <c r="L44" s="128"/>
      <c r="M44" s="207"/>
      <c r="N44" s="207"/>
      <c r="O44" s="209" t="str">
        <f aca="false">IF(OR(D44="",M44=""),"",M44/D44-1)</f>
        <v/>
      </c>
      <c r="P44" s="209" t="str">
        <f aca="false">IF(OR(H44="",N44=""),"",N44/H44-1)</f>
        <v/>
      </c>
      <c r="Q44" s="209" t="str">
        <f aca="false">IF(OR(O44="",P44=""),"",O44-P44)</f>
        <v/>
      </c>
      <c r="R44" s="207"/>
      <c r="S44" s="207"/>
      <c r="T44" s="210"/>
      <c r="U44" s="211" t="str">
        <f aca="false">IF($A44="","",IF(OR($S44="System",$I44="Exited"),$T44,SUMIFS(CurrentPositionsTable[Quantity],CurrentPositionsTable[Ticker],$A44)-SUMIFS($T$3:$T$44,$A$3:$A$44,$A44,$S$3:$S$44,"System",$I$3:$I$44,"Held")))</f>
        <v/>
      </c>
      <c r="V44" s="212" t="str">
        <f aca="false">IF(OR($U44="",$D44=""),"",$U44*$D44)</f>
        <v/>
      </c>
      <c r="W44" s="212" t="str">
        <f aca="false">IF(OR($U44="",$M44=""),"",$U44*$M44)</f>
        <v/>
      </c>
      <c r="X44" s="213" t="str">
        <f aca="false">IF(OR($V44="",$W44=""),"",$W44-$V44)</f>
        <v/>
      </c>
      <c r="Y44" s="207"/>
      <c r="Z44" s="212" t="str">
        <f aca="false">IF(OR($U44="",$Y44=""),"",$U44*$Y44)</f>
        <v/>
      </c>
      <c r="AA44" s="213" t="str">
        <f aca="false">IF(OR($Z44="",$W44=""),"",$W44-$Z44)</f>
        <v/>
      </c>
      <c r="AB44" s="209" t="str">
        <f aca="false">IF(OR($Z44="",$W44=""),"",IF($Z44=0,"",$W44/$Z44-1))</f>
        <v/>
      </c>
      <c r="AC44" s="213" t="str">
        <f aca="false">IF(OR($V44="",$P44=""),"",$V44*$P44)</f>
        <v/>
      </c>
    </row>
    <row r="46" customFormat="false" ht="18" hidden="false" customHeight="true" outlineLevel="0" collapsed="false">
      <c r="A46" s="215" t="s">
        <v>602</v>
      </c>
      <c r="B46" s="216"/>
      <c r="C46" s="216"/>
      <c r="D46" s="216" t="s">
        <v>603</v>
      </c>
      <c r="E46" s="216" t="s">
        <v>604</v>
      </c>
      <c r="F46" s="216" t="s">
        <v>605</v>
      </c>
      <c r="G46" s="216" t="s">
        <v>606</v>
      </c>
      <c r="H46" s="216" t="s">
        <v>607</v>
      </c>
      <c r="I46" s="216" t="s">
        <v>608</v>
      </c>
      <c r="J46" s="215" t="s">
        <v>609</v>
      </c>
      <c r="K46" s="216"/>
      <c r="L46" s="216"/>
      <c r="M46" s="216"/>
      <c r="N46" s="216"/>
      <c r="O46" s="216"/>
      <c r="P46" s="216"/>
      <c r="Q46" s="216"/>
      <c r="R46" s="217"/>
      <c r="S46" s="217"/>
      <c r="T46" s="217"/>
      <c r="U46" s="217"/>
      <c r="V46" s="217"/>
      <c r="W46" s="217"/>
      <c r="X46" s="217"/>
      <c r="Y46" s="217"/>
      <c r="Z46" s="217"/>
      <c r="AA46" s="217"/>
      <c r="AB46" s="217"/>
      <c r="AC46" s="217"/>
    </row>
    <row r="47" customFormat="false" ht="15" hidden="false" customHeight="true" outlineLevel="0" collapsed="false">
      <c r="A47" s="218" t="s">
        <v>610</v>
      </c>
      <c r="B47" s="218"/>
      <c r="C47" s="218"/>
      <c r="D47" s="219" t="n">
        <f aca="false">SUMIFS($V$3:$V$44,$R$3:$R$44,"Stock",$I$3:$I$44,"Held")</f>
        <v>331500.1339984</v>
      </c>
      <c r="E47" s="219" t="n">
        <f aca="false">SUMIFS($W$3:$W$44,$R$3:$R$44,"Stock",$I$3:$I$44,"Held")</f>
        <v>341149.3126745</v>
      </c>
      <c r="F47" s="219" t="n">
        <f aca="false">E47-D47</f>
        <v>9649.17867609998</v>
      </c>
      <c r="G47" s="220" t="n">
        <f aca="false">IF(D47=0,"",F47/D47)</f>
        <v>0.029107616216368</v>
      </c>
      <c r="H47" s="220" t="n">
        <f aca="false">IF(D47=0,"",SUMIFS($AC$3:$AC$44,$R$3:$R$44,"Stock",$I$3:$I$44,"Held")/D47)</f>
        <v>-0.000522527671477635</v>
      </c>
      <c r="I47" s="220" t="n">
        <f aca="false">IF(OR(G47="",H47=""),"",G47-H47)</f>
        <v>0.0296301438878456</v>
      </c>
      <c r="J47" s="221" t="s">
        <v>611</v>
      </c>
      <c r="K47" s="217"/>
      <c r="L47" s="217"/>
      <c r="M47" s="217"/>
      <c r="N47" s="217"/>
      <c r="O47" s="217"/>
      <c r="P47" s="217"/>
      <c r="Q47" s="217"/>
      <c r="R47" s="217"/>
      <c r="S47" s="217"/>
      <c r="T47" s="217"/>
      <c r="U47" s="217"/>
      <c r="V47" s="217"/>
      <c r="W47" s="217"/>
      <c r="X47" s="217"/>
      <c r="Y47" s="217"/>
      <c r="Z47" s="217"/>
      <c r="AA47" s="217"/>
      <c r="AB47" s="217"/>
      <c r="AC47" s="217"/>
    </row>
    <row r="48" customFormat="false" ht="15" hidden="false" customHeight="true" outlineLevel="0" collapsed="false">
      <c r="A48" s="222" t="s">
        <v>612</v>
      </c>
      <c r="B48" s="222"/>
      <c r="C48" s="222"/>
      <c r="D48" s="223" t="n">
        <f aca="false">SUMIFS($V$3:$V$44,$I$3:$I$44,"Held")</f>
        <v>707456.6280657</v>
      </c>
      <c r="E48" s="223" t="n">
        <f aca="false">SUMIFS($W$3:$W$44,$I$3:$I$44,"Held")</f>
        <v>711663.8596255</v>
      </c>
      <c r="F48" s="223" t="n">
        <f aca="false">E48-D48</f>
        <v>4207.23155979998</v>
      </c>
      <c r="G48" s="224" t="n">
        <f aca="false">IF(D48=0,"",F48/D48)</f>
        <v>0.00594698161398704</v>
      </c>
      <c r="H48" s="224" t="n">
        <f aca="false">IF(D48=0,"",SUMIFS($AC$3:$AC$44,$I$3:$I$44,"Held")/D48)</f>
        <v>-0.000348397683935005</v>
      </c>
      <c r="I48" s="224" t="n">
        <f aca="false">IF(OR(G48="",H48=""),"",G48-H48)</f>
        <v>0.00629537929792204</v>
      </c>
      <c r="J48" s="221" t="s">
        <v>613</v>
      </c>
      <c r="K48" s="217"/>
      <c r="L48" s="217"/>
      <c r="M48" s="217"/>
      <c r="N48" s="217"/>
      <c r="O48" s="217"/>
      <c r="P48" s="217"/>
      <c r="Q48" s="217"/>
      <c r="R48" s="217"/>
      <c r="S48" s="217"/>
      <c r="T48" s="217"/>
      <c r="U48" s="217"/>
      <c r="V48" s="217"/>
      <c r="W48" s="217"/>
      <c r="X48" s="217"/>
      <c r="Y48" s="217"/>
      <c r="Z48" s="217"/>
      <c r="AA48" s="217"/>
      <c r="AB48" s="217"/>
      <c r="AC48" s="217"/>
    </row>
    <row r="49" customFormat="false" ht="15" hidden="false" customHeight="true" outlineLevel="0" collapsed="false">
      <c r="A49" s="218" t="s">
        <v>614</v>
      </c>
      <c r="B49" s="218"/>
      <c r="C49" s="218"/>
      <c r="D49" s="219" t="n">
        <f aca="false">SUMIFS($Z$3:$Z$44,$R$3:$R$44,"Stock")</f>
        <v>305061.7581412</v>
      </c>
      <c r="E49" s="219" t="n">
        <f aca="false">SUMIFS($W$3:$W$44,$R$3:$R$44,"Stock")</f>
        <v>355299.0651745</v>
      </c>
      <c r="F49" s="219" t="n">
        <f aca="false">E49-D49</f>
        <v>50237.3070333</v>
      </c>
      <c r="G49" s="220" t="n">
        <f aca="false">IF(D49=0,"",F49/D49)</f>
        <v>0.164679136904624</v>
      </c>
      <c r="H49" s="220" t="n">
        <f aca="false">PT_SPY_Now/PT_SPY_1231-1</f>
        <v>0.128636790239324</v>
      </c>
      <c r="I49" s="220" t="n">
        <f aca="false">IF(OR(G49="",H49=""),"",G49-H49)</f>
        <v>0.0360423466652997</v>
      </c>
      <c r="J49" s="221" t="s">
        <v>615</v>
      </c>
      <c r="K49" s="217"/>
      <c r="L49" s="217"/>
      <c r="M49" s="217"/>
      <c r="N49" s="217"/>
      <c r="O49" s="217"/>
      <c r="P49" s="217"/>
      <c r="Q49" s="217"/>
      <c r="R49" s="217"/>
      <c r="S49" s="217"/>
      <c r="T49" s="217"/>
      <c r="U49" s="217"/>
      <c r="V49" s="217"/>
      <c r="W49" s="217"/>
      <c r="X49" s="217"/>
      <c r="Y49" s="217"/>
      <c r="Z49" s="217"/>
      <c r="AA49" s="217"/>
      <c r="AB49" s="217"/>
      <c r="AC49" s="217"/>
    </row>
    <row r="50" customFormat="false" ht="15" hidden="false" customHeight="true" outlineLevel="0" collapsed="false">
      <c r="A50" s="222" t="s">
        <v>616</v>
      </c>
      <c r="B50" s="222"/>
      <c r="C50" s="222"/>
      <c r="D50" s="223" t="n">
        <f aca="false">SUM($Z$3:$Z$44)</f>
        <v>669719.2955366</v>
      </c>
      <c r="E50" s="223" t="n">
        <f aca="false">SUM($W$3:$W$44)</f>
        <v>759461.8092165</v>
      </c>
      <c r="F50" s="223" t="n">
        <f aca="false">E50-D50</f>
        <v>89742.5136799</v>
      </c>
      <c r="G50" s="224" t="n">
        <f aca="false">IF(D50=0,"",F50/D50)</f>
        <v>0.13400019124131</v>
      </c>
      <c r="H50" s="224" t="n">
        <f aca="false">PT_SPY_Now/PT_SPY_1231-1</f>
        <v>0.128636790239324</v>
      </c>
      <c r="I50" s="224" t="n">
        <f aca="false">IF(OR(G50="",H50=""),"",G50-H50)</f>
        <v>0.00536340100198585</v>
      </c>
      <c r="J50" s="221" t="s">
        <v>617</v>
      </c>
      <c r="K50" s="217"/>
      <c r="L50" s="217"/>
      <c r="M50" s="217"/>
      <c r="N50" s="217"/>
      <c r="O50" s="217"/>
      <c r="P50" s="217"/>
      <c r="Q50" s="217"/>
      <c r="R50" s="217"/>
      <c r="S50" s="217"/>
      <c r="T50" s="217"/>
      <c r="U50" s="217"/>
      <c r="V50" s="217"/>
      <c r="W50" s="217"/>
      <c r="X50" s="217"/>
      <c r="Y50" s="217"/>
      <c r="Z50" s="217"/>
      <c r="AA50" s="217"/>
      <c r="AB50" s="217"/>
      <c r="AC50" s="217"/>
    </row>
    <row r="51" customFormat="false" ht="15" hidden="false" customHeight="true" outlineLevel="0" collapsed="false">
      <c r="A51" s="218" t="s">
        <v>618</v>
      </c>
      <c r="B51" s="218"/>
      <c r="C51" s="218"/>
      <c r="D51" s="219" t="n">
        <f aca="false">SUMIFS($V$3:$V$44,$R$3:$R$44,"Stock")</f>
        <v>345675.1839984</v>
      </c>
      <c r="E51" s="219" t="n">
        <f aca="false">SUMIFS($W$3:$W$44,$R$3:$R$44,"Stock")</f>
        <v>355299.0651745</v>
      </c>
      <c r="F51" s="219" t="n">
        <f aca="false">E51-D51</f>
        <v>9623.8811761</v>
      </c>
      <c r="G51" s="220" t="n">
        <f aca="false">IF(D51=0,"",F51/D51)</f>
        <v>0.0278408217355416</v>
      </c>
      <c r="H51" s="220" t="n">
        <f aca="false">PT_SPY_Now/PT_SPY_0805-1</f>
        <v>-0.000194858337988268</v>
      </c>
      <c r="I51" s="220" t="n">
        <f aca="false">IF(OR(G51="",H51=""),"",G51-H51)</f>
        <v>0.0280356800735299</v>
      </c>
      <c r="J51" s="221" t="s">
        <v>619</v>
      </c>
      <c r="K51" s="217"/>
      <c r="L51" s="217"/>
      <c r="M51" s="217"/>
      <c r="N51" s="217"/>
      <c r="O51" s="217"/>
      <c r="P51" s="217"/>
      <c r="Q51" s="217"/>
      <c r="R51" s="217"/>
      <c r="S51" s="217"/>
      <c r="T51" s="217"/>
      <c r="U51" s="217"/>
      <c r="V51" s="217"/>
      <c r="W51" s="217"/>
      <c r="X51" s="217"/>
      <c r="Y51" s="217"/>
      <c r="Z51" s="217"/>
      <c r="AA51" s="217"/>
      <c r="AB51" s="217"/>
      <c r="AC51" s="217"/>
    </row>
    <row r="52" customFormat="false" ht="15" hidden="false" customHeight="true" outlineLevel="0" collapsed="false">
      <c r="A52" s="222" t="s">
        <v>620</v>
      </c>
      <c r="B52" s="222"/>
      <c r="C52" s="222"/>
      <c r="D52" s="223" t="n">
        <f aca="false">SUM($V$3:$V$44)</f>
        <v>754899.2131657</v>
      </c>
      <c r="E52" s="223" t="n">
        <f aca="false">SUM($W$3:$W$44)</f>
        <v>759461.8092165</v>
      </c>
      <c r="F52" s="223" t="n">
        <f aca="false">E52-D52</f>
        <v>4562.59605080006</v>
      </c>
      <c r="G52" s="224" t="n">
        <f aca="false">IF(D52=0,"",F52/D52)</f>
        <v>0.00604398040324698</v>
      </c>
      <c r="H52" s="224" t="n">
        <f aca="false">PT_SPY_Now/PT_SPY_0805-1</f>
        <v>-0.000194858337988268</v>
      </c>
      <c r="I52" s="224" t="n">
        <f aca="false">IF(OR(G52="",H52=""),"",G52-H52)</f>
        <v>0.00623883874123525</v>
      </c>
      <c r="J52" s="221" t="s">
        <v>621</v>
      </c>
      <c r="K52" s="217"/>
      <c r="L52" s="217"/>
      <c r="M52" s="217"/>
      <c r="N52" s="217"/>
      <c r="O52" s="217"/>
      <c r="P52" s="217"/>
      <c r="Q52" s="217"/>
      <c r="R52" s="217"/>
      <c r="S52" s="217"/>
      <c r="T52" s="217"/>
      <c r="U52" s="217"/>
      <c r="V52" s="217"/>
      <c r="W52" s="217"/>
      <c r="X52" s="217"/>
      <c r="Y52" s="217"/>
      <c r="Z52" s="217"/>
      <c r="AA52" s="217"/>
      <c r="AB52" s="217"/>
      <c r="AC52" s="217"/>
    </row>
    <row r="53" customFormat="false" ht="15" hidden="false" customHeight="true" outlineLevel="0" collapsed="false">
      <c r="A53" s="222" t="s">
        <v>622</v>
      </c>
      <c r="B53" s="222"/>
      <c r="C53" s="222"/>
      <c r="D53" s="223"/>
      <c r="E53" s="223"/>
      <c r="F53" s="223" t="n">
        <f aca="false">IF((PT_AsOf-PT_Inception)/365&gt;0,F52/((PT_AsOf-PT_Inception)/365),"")</f>
        <v>28712.8889403797</v>
      </c>
      <c r="G53" s="224" t="n">
        <f aca="false">IF((PT_AsOf-PT_Inception)/365&gt;0,G52/((PT_AsOf-PT_Inception)/365),"")</f>
        <v>0.0380353939169853</v>
      </c>
      <c r="H53" s="224" t="n">
        <f aca="false">IF((PT_AsOf-PT_Inception)/365&gt;0,H52/((PT_AsOf-PT_Inception)/365),"")</f>
        <v>-0.00122626367871928</v>
      </c>
      <c r="I53" s="224" t="n">
        <f aca="false">IF(OR(G53="",H53=""),"",G53-H53)</f>
        <v>0.0392616575957046</v>
      </c>
      <c r="J53" s="221" t="s">
        <v>623</v>
      </c>
      <c r="K53" s="217"/>
      <c r="L53" s="217"/>
      <c r="M53" s="217"/>
      <c r="N53" s="217"/>
      <c r="O53" s="217"/>
      <c r="P53" s="217"/>
      <c r="Q53" s="217"/>
      <c r="R53" s="217"/>
      <c r="S53" s="217"/>
      <c r="T53" s="217"/>
      <c r="U53" s="217"/>
      <c r="V53" s="217"/>
      <c r="W53" s="217"/>
      <c r="X53" s="217"/>
      <c r="Y53" s="217"/>
      <c r="Z53" s="217"/>
      <c r="AA53" s="217"/>
      <c r="AB53" s="217"/>
      <c r="AC53" s="217"/>
    </row>
    <row r="54" customFormat="false" ht="15" hidden="false" customHeight="true" outlineLevel="0" collapsed="false">
      <c r="A54" s="217"/>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row>
    <row r="55" customFormat="false" ht="18" hidden="false" customHeight="true" outlineLevel="0" collapsed="false">
      <c r="A55" s="215" t="s">
        <v>624</v>
      </c>
      <c r="B55" s="216"/>
      <c r="C55" s="216"/>
      <c r="D55" s="216" t="s">
        <v>603</v>
      </c>
      <c r="E55" s="216" t="s">
        <v>604</v>
      </c>
      <c r="F55" s="216" t="s">
        <v>605</v>
      </c>
      <c r="G55" s="216" t="s">
        <v>606</v>
      </c>
      <c r="H55" s="216" t="s">
        <v>607</v>
      </c>
      <c r="I55" s="216" t="s">
        <v>608</v>
      </c>
      <c r="J55" s="215" t="s">
        <v>609</v>
      </c>
      <c r="K55" s="216"/>
      <c r="L55" s="216"/>
      <c r="M55" s="216"/>
      <c r="N55" s="216"/>
      <c r="O55" s="216"/>
      <c r="P55" s="216"/>
      <c r="Q55" s="216"/>
      <c r="R55" s="217"/>
      <c r="S55" s="217"/>
      <c r="T55" s="217"/>
      <c r="U55" s="217"/>
      <c r="V55" s="217"/>
      <c r="W55" s="217"/>
      <c r="X55" s="217"/>
      <c r="Y55" s="217"/>
      <c r="Z55" s="217"/>
      <c r="AA55" s="217"/>
      <c r="AB55" s="217"/>
      <c r="AC55" s="217"/>
    </row>
    <row r="56" customFormat="false" ht="15" hidden="false" customHeight="true" outlineLevel="0" collapsed="false">
      <c r="A56" s="218" t="s">
        <v>625</v>
      </c>
      <c r="B56" s="218"/>
      <c r="C56" s="218"/>
      <c r="D56" s="219" t="n">
        <f aca="false">SUMIFS($V$3:$V$44,$S$3:$S$44,"System")</f>
        <v>125729.03</v>
      </c>
      <c r="E56" s="219" t="n">
        <f aca="false">SUMIFS($W$3:$W$44,$S$3:$S$44,"System")</f>
        <v>121894.24</v>
      </c>
      <c r="F56" s="219" t="n">
        <f aca="false">E56-D56</f>
        <v>-3834.78999999999</v>
      </c>
      <c r="G56" s="220" t="n">
        <f aca="false">IF(D56=0,"",F56/D56)</f>
        <v>-0.0305004341479449</v>
      </c>
      <c r="H56" s="220" t="n">
        <f aca="false">IF(D56=0,"",SUMIFS($AC$3:$AC$44,$S$3:$S$44,"System")/D56)</f>
        <v>-0.00105879905206911</v>
      </c>
      <c r="I56" s="220" t="n">
        <f aca="false">IF(OR(G56="",H56=""),"",G56-H56)</f>
        <v>-0.0294416350958758</v>
      </c>
      <c r="J56" s="221" t="s">
        <v>626</v>
      </c>
      <c r="K56" s="217"/>
      <c r="L56" s="217"/>
      <c r="M56" s="217"/>
      <c r="N56" s="217"/>
      <c r="O56" s="217"/>
      <c r="P56" s="217"/>
      <c r="Q56" s="217"/>
      <c r="R56" s="217"/>
      <c r="S56" s="217"/>
      <c r="T56" s="217"/>
      <c r="U56" s="217"/>
      <c r="V56" s="217"/>
      <c r="W56" s="217"/>
      <c r="X56" s="217"/>
      <c r="Y56" s="217"/>
      <c r="Z56" s="217"/>
      <c r="AA56" s="217"/>
      <c r="AB56" s="217"/>
      <c r="AC56" s="217"/>
    </row>
    <row r="57" customFormat="false" ht="15" hidden="false" customHeight="true" outlineLevel="0" collapsed="false">
      <c r="A57" s="218" t="s">
        <v>627</v>
      </c>
      <c r="B57" s="218"/>
      <c r="C57" s="218"/>
      <c r="D57" s="219" t="n">
        <f aca="false">SUMIFS($V$3:$V$44,$S$3:$S$44,"Baseline",$R$3:$R$44,"Stock")</f>
        <v>219946.1539984</v>
      </c>
      <c r="E57" s="219" t="n">
        <f aca="false">SUMIFS($W$3:$W$44,$S$3:$S$44,"Baseline",$R$3:$R$44,"Stock")</f>
        <v>233404.8251745</v>
      </c>
      <c r="F57" s="219" t="n">
        <f aca="false">E57-D57</f>
        <v>13458.6711761</v>
      </c>
      <c r="G57" s="220" t="n">
        <f aca="false">IF(D57=0,"",F57/D57)</f>
        <v>0.0611907547890013</v>
      </c>
      <c r="H57" s="220" t="n">
        <f aca="false">IF(D57=0,"",SUMIFS($AC$3:$AC$44,$S$3:$S$44,"Baseline",$R$3:$R$44,"Stock")/D57)</f>
        <v>0.000108212767187576</v>
      </c>
      <c r="I57" s="220" t="n">
        <f aca="false">IF(OR(G57="",H57=""),"",G57-H57)</f>
        <v>0.0610825420218137</v>
      </c>
      <c r="J57" s="221" t="s">
        <v>628</v>
      </c>
      <c r="K57" s="217"/>
      <c r="L57" s="217"/>
      <c r="M57" s="217"/>
      <c r="N57" s="217"/>
      <c r="O57" s="217"/>
      <c r="P57" s="217"/>
      <c r="Q57" s="217"/>
      <c r="R57" s="217"/>
      <c r="S57" s="217"/>
      <c r="T57" s="217"/>
      <c r="U57" s="217"/>
      <c r="V57" s="217"/>
      <c r="W57" s="217"/>
      <c r="X57" s="217"/>
      <c r="Y57" s="217"/>
      <c r="Z57" s="217"/>
      <c r="AA57" s="217"/>
      <c r="AB57" s="217"/>
      <c r="AC57" s="217"/>
    </row>
    <row r="58" customFormat="false" ht="15" hidden="false" customHeight="true" outlineLevel="0" collapsed="false">
      <c r="A58" s="218" t="s">
        <v>629</v>
      </c>
      <c r="B58" s="218"/>
      <c r="C58" s="218"/>
      <c r="D58" s="219" t="n">
        <f aca="false">SUMIFS($V$3:$V$44,$S$3:$S$44,"Baseline",$R$3:$R$44,"ETF")</f>
        <v>359027.5591673</v>
      </c>
      <c r="E58" s="219" t="n">
        <f aca="false">SUMIFS($W$3:$W$44,$S$3:$S$44,"Baseline",$R$3:$R$44,"ETF")</f>
        <v>353966.274042</v>
      </c>
      <c r="F58" s="219" t="n">
        <f aca="false">E58-D58</f>
        <v>-5061.2851253</v>
      </c>
      <c r="G58" s="220" t="n">
        <f aca="false">IF(D58=0,"",F58/D58)</f>
        <v>-0.014097205064254</v>
      </c>
      <c r="H58" s="220" t="n">
        <f aca="false">IF(D58=0,"",SUMIFS($AC$3:$AC$44,$S$3:$S$44,"Baseline",$R$3:$R$44,"ETF")/D58)</f>
        <v>0.00032060202827146</v>
      </c>
      <c r="I58" s="220" t="n">
        <f aca="false">IF(OR(G58="",H58=""),"",G58-H58)</f>
        <v>-0.0144178070925254</v>
      </c>
      <c r="J58" s="221" t="s">
        <v>630</v>
      </c>
      <c r="K58" s="217"/>
      <c r="L58" s="217"/>
      <c r="M58" s="217"/>
      <c r="N58" s="217"/>
      <c r="O58" s="217"/>
      <c r="P58" s="217"/>
      <c r="Q58" s="217"/>
      <c r="R58" s="217"/>
      <c r="S58" s="217"/>
      <c r="T58" s="217"/>
      <c r="U58" s="217"/>
      <c r="V58" s="217"/>
      <c r="W58" s="217"/>
      <c r="X58" s="217"/>
      <c r="Y58" s="217"/>
      <c r="Z58" s="217"/>
      <c r="AA58" s="217"/>
      <c r="AB58" s="217"/>
      <c r="AC58" s="217"/>
    </row>
    <row r="59" customFormat="false" ht="15" hidden="false" customHeight="true" outlineLevel="0" collapsed="false">
      <c r="A59" s="218" t="s">
        <v>631</v>
      </c>
      <c r="B59" s="218"/>
      <c r="C59" s="218"/>
      <c r="D59" s="219" t="n">
        <f aca="false">SUMIFS($V$3:$V$44,$S$3:$S$44,"Baseline",$R$3:$R$44,"Cash")</f>
        <v>50196.47</v>
      </c>
      <c r="E59" s="219" t="n">
        <f aca="false">SUMIFS($W$3:$W$44,$S$3:$S$44,"Baseline",$R$3:$R$44,"Cash")</f>
        <v>50196.47</v>
      </c>
      <c r="F59" s="219" t="n">
        <f aca="false">E59-D59</f>
        <v>0</v>
      </c>
      <c r="G59" s="220" t="n">
        <f aca="false">IF(D59=0,"",F59/D59)</f>
        <v>0</v>
      </c>
      <c r="H59" s="220" t="n">
        <f aca="false">IF(D59=0,"",SUMIFS($AC$3:$AC$44,$S$3:$S$44,"Baseline",$R$3:$R$44,"Cash")/D59)</f>
        <v>-0.000366520588501922</v>
      </c>
      <c r="I59" s="220" t="n">
        <f aca="false">IF(OR(G59="",H59=""),"",G59-H59)</f>
        <v>0.000366520588501922</v>
      </c>
      <c r="J59" s="221" t="s">
        <v>632</v>
      </c>
      <c r="K59" s="217"/>
      <c r="L59" s="217"/>
      <c r="M59" s="217"/>
      <c r="N59" s="217"/>
      <c r="O59" s="217"/>
      <c r="P59" s="217"/>
      <c r="Q59" s="217"/>
      <c r="R59" s="217"/>
      <c r="S59" s="217"/>
      <c r="T59" s="217"/>
      <c r="U59" s="217"/>
      <c r="V59" s="217"/>
      <c r="W59" s="217"/>
      <c r="X59" s="217"/>
      <c r="Y59" s="217"/>
      <c r="Z59" s="217"/>
      <c r="AA59" s="217"/>
      <c r="AB59" s="217"/>
      <c r="AC59" s="217"/>
    </row>
    <row r="60" customFormat="false" ht="15" hidden="false" customHeight="true" outlineLevel="0" collapsed="false">
      <c r="A60" s="222" t="s">
        <v>633</v>
      </c>
      <c r="B60" s="222"/>
      <c r="C60" s="222"/>
      <c r="D60" s="223" t="n">
        <f aca="false">D56+D57+D58+D59</f>
        <v>754899.2131657</v>
      </c>
      <c r="E60" s="223" t="n">
        <f aca="false">E56+E57+E58+E59</f>
        <v>759461.8092165</v>
      </c>
      <c r="F60" s="223" t="n">
        <f aca="false">E60-D60</f>
        <v>4562.59605080006</v>
      </c>
      <c r="G60" s="224" t="n">
        <f aca="false">IF(D60=0,"",F60/D60)</f>
        <v>0.00604398040324698</v>
      </c>
      <c r="H60" s="224" t="n">
        <f aca="false">IF(D60=0,"",(SUMIFS($AC$3:$AC$44,$S$3:$S$44,"System")+SUMIFS($AC$3:$AC$44,$S$3:$S$44,"Baseline",$R$3:$R$44,"Stock")+SUMIFS($AC$3:$AC$44,$S$3:$S$44,"Baseline",$R$3:$R$44,"ETF")+SUMIFS($AC$3:$AC$44,$S$3:$S$44,"Baseline",$R$3:$R$44,"Cash"))/D60)</f>
        <v>-1.6709345639627E-005</v>
      </c>
      <c r="I60" s="224" t="n">
        <f aca="false">IF(OR(G60="",H60=""),"",G60-H60)</f>
        <v>0.00606068974888661</v>
      </c>
      <c r="J60" s="221"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7"/>
      <c r="L60" s="217"/>
      <c r="M60" s="217"/>
      <c r="N60" s="217"/>
      <c r="O60" s="217"/>
      <c r="P60" s="217"/>
      <c r="Q60" s="217"/>
      <c r="R60" s="217"/>
      <c r="S60" s="217"/>
      <c r="T60" s="217"/>
      <c r="U60" s="217"/>
      <c r="V60" s="217"/>
      <c r="W60" s="217"/>
      <c r="X60" s="217"/>
      <c r="Y60" s="217"/>
      <c r="Z60" s="217"/>
      <c r="AA60" s="217"/>
      <c r="AB60" s="217"/>
      <c r="AC60" s="217"/>
    </row>
    <row r="61" customFormat="false" ht="15" hidden="false" customHeight="true" outlineLevel="0" collapsed="false">
      <c r="A61" s="217"/>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c r="AA61" s="217"/>
      <c r="AB61" s="217"/>
      <c r="AC61" s="217"/>
    </row>
    <row r="62" customFormat="false" ht="18" hidden="false" customHeight="true" outlineLevel="0" collapsed="false">
      <c r="A62" s="215" t="s">
        <v>634</v>
      </c>
      <c r="B62" s="215"/>
      <c r="C62" s="215"/>
      <c r="D62" s="215"/>
      <c r="E62" s="215"/>
      <c r="F62" s="215"/>
      <c r="G62" s="215"/>
      <c r="H62" s="215"/>
      <c r="I62" s="215"/>
      <c r="J62" s="215"/>
      <c r="K62" s="215"/>
      <c r="L62" s="215"/>
      <c r="M62" s="215"/>
      <c r="N62" s="215"/>
      <c r="O62" s="215"/>
      <c r="P62" s="215"/>
      <c r="Q62" s="215"/>
      <c r="R62" s="217"/>
      <c r="S62" s="217"/>
      <c r="T62" s="217"/>
      <c r="U62" s="217"/>
      <c r="V62" s="217"/>
      <c r="W62" s="217"/>
      <c r="X62" s="217"/>
      <c r="Y62" s="217"/>
      <c r="Z62" s="217"/>
      <c r="AA62" s="217"/>
      <c r="AB62" s="217"/>
      <c r="AC62" s="217"/>
    </row>
    <row r="63" customFormat="false" ht="15" hidden="false" customHeight="true" outlineLevel="0" collapsed="false">
      <c r="A63" s="225" t="s">
        <v>635</v>
      </c>
      <c r="B63" s="225"/>
      <c r="C63" s="225"/>
      <c r="D63" s="226" t="n">
        <v>46297</v>
      </c>
      <c r="E63" s="221" t="s">
        <v>636</v>
      </c>
      <c r="F63" s="217"/>
      <c r="G63" s="217"/>
      <c r="H63" s="217"/>
      <c r="I63" s="217"/>
      <c r="J63" s="217"/>
      <c r="K63" s="217"/>
      <c r="L63" s="217"/>
      <c r="M63" s="217"/>
      <c r="N63" s="217"/>
      <c r="O63" s="217"/>
      <c r="P63" s="217"/>
      <c r="Q63" s="217"/>
      <c r="R63" s="217"/>
      <c r="S63" s="217"/>
      <c r="T63" s="217"/>
      <c r="U63" s="217"/>
      <c r="V63" s="217"/>
      <c r="W63" s="217"/>
      <c r="X63" s="217"/>
      <c r="Y63" s="217"/>
      <c r="Z63" s="217"/>
      <c r="AA63" s="217"/>
      <c r="AB63" s="217"/>
      <c r="AC63" s="217"/>
    </row>
    <row r="64" customFormat="false" ht="15" hidden="false" customHeight="true" outlineLevel="0" collapsed="false">
      <c r="A64" s="225" t="s">
        <v>637</v>
      </c>
      <c r="B64" s="225"/>
      <c r="C64" s="225"/>
      <c r="D64" s="227" t="n">
        <v>769.64</v>
      </c>
      <c r="E64" s="221" t="s">
        <v>638</v>
      </c>
      <c r="F64" s="217"/>
      <c r="G64" s="217"/>
      <c r="H64" s="217"/>
      <c r="I64" s="217"/>
      <c r="J64" s="217"/>
      <c r="K64" s="217"/>
      <c r="L64" s="217"/>
      <c r="M64" s="217"/>
      <c r="N64" s="217"/>
      <c r="O64" s="217"/>
      <c r="P64" s="217"/>
      <c r="Q64" s="217"/>
      <c r="R64" s="217"/>
      <c r="S64" s="217"/>
      <c r="T64" s="217"/>
      <c r="U64" s="217"/>
      <c r="V64" s="217"/>
      <c r="W64" s="217"/>
      <c r="X64" s="217"/>
      <c r="Y64" s="217"/>
      <c r="Z64" s="217"/>
      <c r="AA64" s="217"/>
      <c r="AB64" s="217"/>
      <c r="AC64" s="217"/>
    </row>
    <row r="65" customFormat="false" ht="15" hidden="false" customHeight="true" outlineLevel="0" collapsed="false">
      <c r="A65" s="225" t="s">
        <v>639</v>
      </c>
      <c r="B65" s="225"/>
      <c r="C65" s="225"/>
      <c r="D65" s="227" t="n">
        <v>769.79</v>
      </c>
      <c r="E65" s="221" t="s">
        <v>640</v>
      </c>
      <c r="F65" s="217"/>
      <c r="G65" s="217"/>
      <c r="H65" s="217"/>
      <c r="I65" s="217"/>
      <c r="J65" s="217"/>
      <c r="K65" s="217"/>
      <c r="L65" s="217"/>
      <c r="M65" s="217"/>
      <c r="N65" s="217"/>
      <c r="O65" s="217"/>
      <c r="P65" s="217"/>
      <c r="Q65" s="217"/>
      <c r="R65" s="217"/>
      <c r="S65" s="217"/>
      <c r="T65" s="217"/>
      <c r="U65" s="217"/>
      <c r="V65" s="217"/>
      <c r="W65" s="217"/>
      <c r="X65" s="217"/>
      <c r="Y65" s="217"/>
      <c r="Z65" s="217"/>
      <c r="AA65" s="217"/>
      <c r="AB65" s="217"/>
      <c r="AC65" s="217"/>
    </row>
    <row r="66" customFormat="false" ht="15" hidden="false" customHeight="true" outlineLevel="0" collapsed="false">
      <c r="A66" s="225" t="s">
        <v>641</v>
      </c>
      <c r="B66" s="225"/>
      <c r="C66" s="225"/>
      <c r="D66" s="227" t="n">
        <v>681.92</v>
      </c>
      <c r="E66" s="221" t="s">
        <v>642</v>
      </c>
      <c r="F66" s="217"/>
      <c r="G66" s="217"/>
      <c r="H66" s="217"/>
      <c r="I66" s="217"/>
      <c r="J66" s="217"/>
      <c r="K66" s="217"/>
      <c r="L66" s="217"/>
      <c r="M66" s="217"/>
      <c r="N66" s="217"/>
      <c r="O66" s="217"/>
      <c r="P66" s="217"/>
      <c r="Q66" s="217"/>
      <c r="R66" s="217"/>
      <c r="S66" s="217"/>
      <c r="T66" s="217"/>
      <c r="U66" s="217"/>
      <c r="V66" s="217"/>
      <c r="W66" s="217"/>
      <c r="X66" s="217"/>
      <c r="Y66" s="217"/>
      <c r="Z66" s="217"/>
      <c r="AA66" s="217"/>
      <c r="AB66" s="217"/>
      <c r="AC66" s="217"/>
    </row>
    <row r="67" customFormat="false" ht="15" hidden="false" customHeight="true" outlineLevel="0" collapsed="false">
      <c r="A67" s="225" t="s">
        <v>643</v>
      </c>
      <c r="B67" s="225"/>
      <c r="C67" s="225"/>
      <c r="D67" s="226" t="n">
        <v>46239</v>
      </c>
      <c r="E67" s="221" t="s">
        <v>644</v>
      </c>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row>
    <row r="68" customFormat="false" ht="15" hidden="false" customHeight="true" outlineLevel="0" collapsed="false">
      <c r="A68" s="217"/>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row>
    <row r="69" customFormat="false" ht="72" hidden="false" customHeight="true" outlineLevel="0" collapsed="false">
      <c r="A69" s="228" t="s">
        <v>645</v>
      </c>
      <c r="B69" s="228"/>
      <c r="C69" s="228"/>
      <c r="D69" s="228"/>
      <c r="E69" s="228"/>
      <c r="F69" s="228"/>
      <c r="G69" s="228"/>
      <c r="H69" s="228"/>
      <c r="I69" s="228"/>
      <c r="J69" s="228"/>
      <c r="K69" s="228"/>
      <c r="L69" s="228"/>
      <c r="M69" s="228"/>
      <c r="N69" s="228"/>
      <c r="O69" s="228"/>
      <c r="P69" s="228"/>
      <c r="Q69" s="228"/>
      <c r="R69" s="217"/>
      <c r="S69" s="217"/>
      <c r="T69" s="217"/>
      <c r="U69" s="217"/>
      <c r="V69" s="217"/>
      <c r="W69" s="217"/>
      <c r="X69" s="217"/>
      <c r="Y69" s="217"/>
      <c r="Z69" s="217"/>
      <c r="AA69" s="217"/>
      <c r="AB69" s="217"/>
      <c r="AC69" s="217"/>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8">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8">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8">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8">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8">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8">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8">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8">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8">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9" width="8.83"/>
    <col collapsed="false" customWidth="true" hidden="false" outlineLevel="0" max="2" min="2" style="229" width="15.33"/>
    <col collapsed="false" customWidth="true" hidden="false" outlineLevel="0" max="3" min="3" style="1" width="98.5"/>
  </cols>
  <sheetData>
    <row r="1" customFormat="false" ht="27.75" hidden="false" customHeight="true" outlineLevel="0" collapsed="false">
      <c r="A1" s="230" t="s">
        <v>646</v>
      </c>
      <c r="B1" s="230"/>
      <c r="C1" s="230"/>
    </row>
    <row r="2" customFormat="false" ht="18" hidden="false" customHeight="true" outlineLevel="0" collapsed="false">
      <c r="A2" s="152" t="s">
        <v>476</v>
      </c>
      <c r="B2" s="152" t="s">
        <v>82</v>
      </c>
      <c r="C2" s="152" t="s">
        <v>219</v>
      </c>
    </row>
    <row r="3" customFormat="false" ht="27.75" hidden="false" customHeight="true" outlineLevel="0" collapsed="false">
      <c r="A3" s="231" t="n">
        <v>46241</v>
      </c>
      <c r="B3" s="232" t="s">
        <v>180</v>
      </c>
      <c r="C3" s="233" t="s">
        <v>647</v>
      </c>
    </row>
    <row r="4" customFormat="false" ht="27.75" hidden="false" customHeight="true" outlineLevel="0" collapsed="false">
      <c r="A4" s="231" t="n">
        <v>46241</v>
      </c>
      <c r="B4" s="232" t="s">
        <v>183</v>
      </c>
      <c r="C4" s="233" t="s">
        <v>648</v>
      </c>
    </row>
    <row r="5" customFormat="false" ht="15" hidden="false" customHeight="true" outlineLevel="0" collapsed="false">
      <c r="A5" s="231" t="n">
        <v>46241</v>
      </c>
      <c r="B5" s="232" t="s">
        <v>192</v>
      </c>
      <c r="C5" s="233" t="s">
        <v>649</v>
      </c>
    </row>
    <row r="6" customFormat="false" ht="40.5" hidden="false" customHeight="true" outlineLevel="0" collapsed="false">
      <c r="A6" s="231" t="n">
        <v>46241</v>
      </c>
      <c r="B6" s="232" t="s">
        <v>174</v>
      </c>
      <c r="C6" s="233" t="s">
        <v>650</v>
      </c>
    </row>
    <row r="7" customFormat="false" ht="27.75" hidden="false" customHeight="true" outlineLevel="0" collapsed="false">
      <c r="A7" s="231" t="n">
        <v>46241</v>
      </c>
      <c r="B7" s="232" t="s">
        <v>651</v>
      </c>
      <c r="C7" s="233" t="s">
        <v>652</v>
      </c>
    </row>
    <row r="8" customFormat="false" ht="27.75" hidden="false" customHeight="true" outlineLevel="0" collapsed="false">
      <c r="A8" s="231" t="n">
        <v>46241</v>
      </c>
      <c r="B8" s="232" t="s">
        <v>651</v>
      </c>
      <c r="C8" s="233" t="s">
        <v>653</v>
      </c>
    </row>
    <row r="9" customFormat="false" ht="27.75" hidden="false" customHeight="true" outlineLevel="0" collapsed="false">
      <c r="A9" s="231" t="n">
        <v>46241</v>
      </c>
      <c r="B9" s="232" t="s">
        <v>654</v>
      </c>
      <c r="C9" s="233" t="s">
        <v>655</v>
      </c>
    </row>
    <row r="10" customFormat="false" ht="27.75" hidden="false" customHeight="true" outlineLevel="0" collapsed="false">
      <c r="A10" s="231" t="n">
        <v>46241</v>
      </c>
      <c r="B10" s="232" t="s">
        <v>656</v>
      </c>
      <c r="C10" s="233" t="s">
        <v>657</v>
      </c>
    </row>
    <row r="11" customFormat="false" ht="27.75" hidden="false" customHeight="true" outlineLevel="0" collapsed="false">
      <c r="A11" s="231" t="n">
        <v>46241</v>
      </c>
      <c r="B11" s="232" t="s">
        <v>131</v>
      </c>
      <c r="C11" s="233" t="s">
        <v>658</v>
      </c>
    </row>
    <row r="12" customFormat="false" ht="78.75" hidden="false" customHeight="true" outlineLevel="0" collapsed="false">
      <c r="A12" s="231" t="n">
        <v>46273</v>
      </c>
      <c r="B12" s="232" t="s">
        <v>659</v>
      </c>
      <c r="C12" s="233" t="s">
        <v>660</v>
      </c>
    </row>
    <row r="13" customFormat="false" ht="53.25" hidden="false" customHeight="true" outlineLevel="0" collapsed="false">
      <c r="A13" s="231" t="n">
        <v>46295</v>
      </c>
      <c r="B13" s="232" t="s">
        <v>661</v>
      </c>
      <c r="C13" s="233" t="s">
        <v>662</v>
      </c>
    </row>
    <row r="14" customFormat="false" ht="66" hidden="false" customHeight="true" outlineLevel="0" collapsed="false">
      <c r="A14" s="231" t="n">
        <v>46302</v>
      </c>
      <c r="B14" s="232" t="s">
        <v>663</v>
      </c>
      <c r="C14" s="233" t="s">
        <v>664</v>
      </c>
    </row>
    <row r="15" customFormat="false" ht="91.5" hidden="false" customHeight="true" outlineLevel="0" collapsed="false">
      <c r="A15" s="231" t="n">
        <v>46320</v>
      </c>
      <c r="B15" s="232" t="s">
        <v>665</v>
      </c>
      <c r="C15" s="233" t="s">
        <v>666</v>
      </c>
    </row>
    <row r="16" customFormat="false" ht="53.25" hidden="false" customHeight="true" outlineLevel="0" collapsed="false">
      <c r="A16" s="231" t="n">
        <v>46335</v>
      </c>
      <c r="B16" s="232" t="s">
        <v>667</v>
      </c>
      <c r="C16" s="233" t="s">
        <v>668</v>
      </c>
    </row>
    <row r="17" customFormat="false" ht="27.75" hidden="false" customHeight="true" outlineLevel="0" collapsed="false">
      <c r="A17" s="231" t="n">
        <v>46387</v>
      </c>
      <c r="B17" s="232" t="s">
        <v>669</v>
      </c>
      <c r="C17" s="233" t="s">
        <v>670</v>
      </c>
    </row>
    <row r="18" customFormat="false" ht="66" hidden="false" customHeight="true" outlineLevel="0" collapsed="false">
      <c r="A18" s="231" t="n">
        <v>46412</v>
      </c>
      <c r="B18" s="232" t="s">
        <v>671</v>
      </c>
      <c r="C18" s="233" t="s">
        <v>672</v>
      </c>
    </row>
    <row r="19" customFormat="false" ht="91.5" hidden="false" customHeight="true" outlineLevel="0" collapsed="false">
      <c r="A19" s="231" t="n">
        <v>46252</v>
      </c>
      <c r="B19" s="232" t="s">
        <v>673</v>
      </c>
      <c r="C19" s="233" t="s">
        <v>674</v>
      </c>
    </row>
    <row r="20" customFormat="false" ht="66" hidden="false" customHeight="true" outlineLevel="0" collapsed="false">
      <c r="A20" s="231" t="n">
        <v>46258</v>
      </c>
      <c r="B20" s="232" t="s">
        <v>675</v>
      </c>
      <c r="C20" s="233" t="s">
        <v>676</v>
      </c>
    </row>
    <row r="21" customFormat="false" ht="104.25" hidden="false" customHeight="true" outlineLevel="0" collapsed="false">
      <c r="A21" s="231" t="n">
        <v>46260</v>
      </c>
      <c r="B21" s="232" t="s">
        <v>677</v>
      </c>
      <c r="C21" s="233" t="s">
        <v>678</v>
      </c>
    </row>
    <row r="22" customFormat="false" ht="155.25" hidden="false" customHeight="true" outlineLevel="0" collapsed="false">
      <c r="A22" s="231" t="n">
        <v>46272</v>
      </c>
      <c r="B22" s="232" t="s">
        <v>679</v>
      </c>
      <c r="C22" s="233" t="s">
        <v>680</v>
      </c>
    </row>
    <row r="23" customFormat="false" ht="53.25" hidden="false" customHeight="true" outlineLevel="0" collapsed="false">
      <c r="A23" s="231" t="n">
        <v>46302</v>
      </c>
      <c r="B23" s="232" t="s">
        <v>681</v>
      </c>
      <c r="C23" s="233" t="s">
        <v>682</v>
      </c>
    </row>
    <row r="24" customFormat="false" ht="53.25" hidden="false" customHeight="true" outlineLevel="0" collapsed="false">
      <c r="A24" s="231" t="n">
        <v>46310</v>
      </c>
      <c r="B24" s="232" t="s">
        <v>683</v>
      </c>
      <c r="C24" s="233" t="s">
        <v>682</v>
      </c>
    </row>
    <row r="25" customFormat="false" ht="53.25" hidden="false" customHeight="true" outlineLevel="0" collapsed="false">
      <c r="A25" s="231" t="n">
        <v>46335</v>
      </c>
      <c r="B25" s="232" t="s">
        <v>684</v>
      </c>
      <c r="C25" s="233" t="s">
        <v>682</v>
      </c>
    </row>
    <row r="26" customFormat="false" ht="53.25" hidden="false" customHeight="true" outlineLevel="0" collapsed="false">
      <c r="A26" s="231" t="n">
        <v>46342</v>
      </c>
      <c r="B26" s="232" t="s">
        <v>685</v>
      </c>
      <c r="C26" s="233" t="s">
        <v>682</v>
      </c>
    </row>
    <row r="27" customFormat="false" ht="53.25" hidden="false" customHeight="true" outlineLevel="0" collapsed="false">
      <c r="A27" s="231" t="n">
        <v>46363</v>
      </c>
      <c r="B27" s="232" t="s">
        <v>686</v>
      </c>
      <c r="C27" s="233" t="s">
        <v>682</v>
      </c>
    </row>
    <row r="28" customFormat="false" ht="53.25" hidden="false" customHeight="true" outlineLevel="0" collapsed="false">
      <c r="A28" s="231" t="n">
        <v>46371</v>
      </c>
      <c r="B28" s="232" t="s">
        <v>687</v>
      </c>
      <c r="C28" s="233" t="s">
        <v>682</v>
      </c>
    </row>
    <row r="29" customFormat="false" ht="53.25" hidden="false" customHeight="true" outlineLevel="0" collapsed="false">
      <c r="A29" s="231" t="n">
        <v>46394</v>
      </c>
      <c r="B29" s="232" t="s">
        <v>688</v>
      </c>
      <c r="C29" s="233" t="s">
        <v>682</v>
      </c>
    </row>
    <row r="30" customFormat="false" ht="53.25" hidden="false" customHeight="true" outlineLevel="0" collapsed="false">
      <c r="A30" s="231" t="n">
        <v>46402</v>
      </c>
      <c r="B30" s="232" t="s">
        <v>689</v>
      </c>
      <c r="C30" s="233" t="s">
        <v>682</v>
      </c>
    </row>
    <row r="31" customFormat="false" ht="53.25" hidden="false" customHeight="true" outlineLevel="0" collapsed="false">
      <c r="A31" s="231" t="n">
        <v>46426</v>
      </c>
      <c r="B31" s="232" t="s">
        <v>690</v>
      </c>
      <c r="C31" s="233" t="s">
        <v>682</v>
      </c>
    </row>
    <row r="32" customFormat="false" ht="53.25" hidden="false" customHeight="true" outlineLevel="0" collapsed="false">
      <c r="A32" s="231" t="n">
        <v>46434</v>
      </c>
      <c r="B32" s="232" t="s">
        <v>691</v>
      </c>
      <c r="C32" s="233" t="s">
        <v>682</v>
      </c>
    </row>
    <row r="33" customFormat="false" ht="53.25" hidden="false" customHeight="true" outlineLevel="0" collapsed="false">
      <c r="A33" s="231" t="n">
        <v>46454</v>
      </c>
      <c r="B33" s="232" t="s">
        <v>692</v>
      </c>
      <c r="C33" s="233" t="s">
        <v>682</v>
      </c>
    </row>
    <row r="34" customFormat="false" ht="53.25" hidden="false" customHeight="true" outlineLevel="0" collapsed="false">
      <c r="A34" s="231" t="n">
        <v>46461</v>
      </c>
      <c r="B34" s="232" t="s">
        <v>693</v>
      </c>
      <c r="C34" s="233" t="s">
        <v>694</v>
      </c>
    </row>
    <row r="35" customFormat="false" ht="117" hidden="false" customHeight="true" outlineLevel="0" collapsed="false">
      <c r="A35" s="231" t="n">
        <v>46273</v>
      </c>
      <c r="B35" s="232" t="s">
        <v>695</v>
      </c>
      <c r="C35" s="233" t="s">
        <v>696</v>
      </c>
    </row>
    <row r="36" customFormat="false" ht="155.25" hidden="false" customHeight="true" outlineLevel="0" collapsed="false">
      <c r="A36" s="231" t="n">
        <v>46276</v>
      </c>
      <c r="B36" s="232" t="s">
        <v>697</v>
      </c>
      <c r="C36" s="233" t="s">
        <v>698</v>
      </c>
    </row>
    <row r="37" customFormat="false" ht="91.5" hidden="false" customHeight="true" outlineLevel="0" collapsed="false">
      <c r="A37" s="231" t="n">
        <v>46276</v>
      </c>
      <c r="B37" s="232" t="s">
        <v>699</v>
      </c>
      <c r="C37" s="233" t="s">
        <v>700</v>
      </c>
    </row>
    <row r="38" customFormat="false" ht="78.75" hidden="false" customHeight="true" outlineLevel="0" collapsed="false">
      <c r="A38" s="231" t="n">
        <v>46276</v>
      </c>
      <c r="B38" s="232" t="s">
        <v>701</v>
      </c>
      <c r="C38" s="233" t="s">
        <v>702</v>
      </c>
    </row>
    <row r="39" customFormat="false" ht="168" hidden="false" customHeight="true" outlineLevel="0" collapsed="false">
      <c r="A39" s="231" t="n">
        <v>46276</v>
      </c>
      <c r="B39" s="232" t="s">
        <v>703</v>
      </c>
      <c r="C39" s="233" t="s">
        <v>704</v>
      </c>
    </row>
    <row r="40" customFormat="false" ht="129.75" hidden="false" customHeight="true" outlineLevel="0" collapsed="false">
      <c r="A40" s="231" t="n">
        <v>46276</v>
      </c>
      <c r="B40" s="232" t="s">
        <v>703</v>
      </c>
      <c r="C40" s="233" t="s">
        <v>705</v>
      </c>
    </row>
    <row r="41" customFormat="false" ht="129.75" hidden="false" customHeight="true" outlineLevel="0" collapsed="false">
      <c r="A41" s="231" t="n">
        <v>46276</v>
      </c>
      <c r="B41" s="232" t="s">
        <v>174</v>
      </c>
      <c r="C41" s="233" t="s">
        <v>706</v>
      </c>
    </row>
    <row r="42" customFormat="false" ht="155.25" hidden="false" customHeight="true" outlineLevel="0" collapsed="false">
      <c r="A42" s="231" t="n">
        <v>46276</v>
      </c>
      <c r="B42" s="232" t="s">
        <v>703</v>
      </c>
      <c r="C42" s="233" t="s">
        <v>707</v>
      </c>
    </row>
    <row r="43" customFormat="false" ht="168" hidden="false" customHeight="true" outlineLevel="0" collapsed="false">
      <c r="A43" s="231" t="n">
        <v>46276</v>
      </c>
      <c r="B43" s="232" t="s">
        <v>708</v>
      </c>
      <c r="C43" s="233" t="s">
        <v>709</v>
      </c>
    </row>
    <row r="44" customFormat="false" ht="155.25" hidden="false" customHeight="true" outlineLevel="0" collapsed="false">
      <c r="A44" s="231" t="n">
        <v>46276</v>
      </c>
      <c r="B44" s="232" t="s">
        <v>710</v>
      </c>
      <c r="C44" s="233" t="s">
        <v>711</v>
      </c>
    </row>
    <row r="45" customFormat="false" ht="27.75" hidden="false" customHeight="true" outlineLevel="0" collapsed="false">
      <c r="A45" s="231" t="n">
        <v>46295</v>
      </c>
      <c r="B45" s="232" t="s">
        <v>712</v>
      </c>
      <c r="C45" s="233" t="s">
        <v>713</v>
      </c>
    </row>
    <row r="46" customFormat="false" ht="40.5" hidden="false" customHeight="true" outlineLevel="0" collapsed="false">
      <c r="A46" s="231" t="n">
        <v>46302</v>
      </c>
      <c r="B46" s="232" t="s">
        <v>714</v>
      </c>
      <c r="C46" s="233" t="s">
        <v>715</v>
      </c>
    </row>
    <row r="47" customFormat="false" ht="15" hidden="false" customHeight="true" outlineLevel="0" collapsed="false">
      <c r="A47" s="231" t="n">
        <v>46317</v>
      </c>
      <c r="B47" s="232" t="s">
        <v>716</v>
      </c>
      <c r="C47" s="233" t="s">
        <v>717</v>
      </c>
    </row>
    <row r="48" customFormat="false" ht="27.75" hidden="false" customHeight="true" outlineLevel="0" collapsed="false">
      <c r="A48" s="231" t="n">
        <v>46335</v>
      </c>
      <c r="B48" s="232" t="s">
        <v>718</v>
      </c>
      <c r="C48" s="233" t="s">
        <v>719</v>
      </c>
    </row>
    <row r="49" customFormat="false" ht="27.75" hidden="false" customHeight="true" outlineLevel="0" collapsed="false">
      <c r="A49" s="231" t="n">
        <v>46349</v>
      </c>
      <c r="B49" s="232" t="s">
        <v>720</v>
      </c>
      <c r="C49" s="233" t="s">
        <v>721</v>
      </c>
    </row>
    <row r="50" customFormat="false" ht="15" hidden="false" customHeight="true" outlineLevel="0" collapsed="false">
      <c r="A50" s="231" t="n">
        <v>46363</v>
      </c>
      <c r="B50" s="232" t="s">
        <v>722</v>
      </c>
      <c r="C50" s="233" t="s">
        <v>717</v>
      </c>
    </row>
    <row r="51" customFormat="false" ht="15" hidden="false" customHeight="true" outlineLevel="0" collapsed="false">
      <c r="A51" s="231" t="n">
        <v>46378</v>
      </c>
      <c r="B51" s="232" t="s">
        <v>723</v>
      </c>
      <c r="C51" s="233" t="s">
        <v>717</v>
      </c>
    </row>
    <row r="52" customFormat="false" ht="27.75" hidden="false" customHeight="true" outlineLevel="0" collapsed="false">
      <c r="A52" s="231" t="n">
        <v>46394</v>
      </c>
      <c r="B52" s="232" t="s">
        <v>724</v>
      </c>
      <c r="C52" s="233" t="s">
        <v>725</v>
      </c>
    </row>
    <row r="53" customFormat="false" ht="295.5" hidden="false" customHeight="true" outlineLevel="0" collapsed="false">
      <c r="A53" s="231" t="n">
        <v>46276</v>
      </c>
      <c r="B53" s="232" t="s">
        <v>726</v>
      </c>
      <c r="C53" s="233" t="s">
        <v>727</v>
      </c>
    </row>
    <row r="54" customFormat="false" ht="359.25" hidden="false" customHeight="true" outlineLevel="0" collapsed="false">
      <c r="A54" s="231" t="n">
        <v>46278</v>
      </c>
      <c r="B54" s="232" t="s">
        <v>728</v>
      </c>
      <c r="C54" s="233" t="s">
        <v>729</v>
      </c>
    </row>
    <row r="55" customFormat="false" ht="270" hidden="false" customHeight="true" outlineLevel="0" collapsed="false">
      <c r="A55" s="231" t="n">
        <v>46278</v>
      </c>
      <c r="B55" s="232" t="s">
        <v>730</v>
      </c>
      <c r="C55" s="233" t="s">
        <v>731</v>
      </c>
    </row>
    <row r="56" customFormat="false" ht="409.5" hidden="false" customHeight="true" outlineLevel="0" collapsed="false">
      <c r="A56" s="231" t="n">
        <v>46278</v>
      </c>
      <c r="B56" s="232" t="s">
        <v>732</v>
      </c>
      <c r="C56" s="233" t="s">
        <v>733</v>
      </c>
    </row>
    <row r="57" customFormat="false" ht="193.5" hidden="false" customHeight="true" outlineLevel="0" collapsed="false">
      <c r="A57" s="231" t="n">
        <v>46278</v>
      </c>
      <c r="B57" s="232" t="s">
        <v>734</v>
      </c>
      <c r="C57" s="233" t="s">
        <v>735</v>
      </c>
    </row>
    <row r="58" customFormat="false" ht="384.75" hidden="false" customHeight="true" outlineLevel="0" collapsed="false">
      <c r="A58" s="231" t="n">
        <v>46278</v>
      </c>
      <c r="B58" s="232" t="s">
        <v>736</v>
      </c>
      <c r="C58" s="233" t="s">
        <v>737</v>
      </c>
    </row>
    <row r="59" customFormat="false" ht="409.5" hidden="false" customHeight="true" outlineLevel="0" collapsed="false">
      <c r="A59" s="231" t="n">
        <v>46278</v>
      </c>
      <c r="B59" s="232" t="s">
        <v>738</v>
      </c>
      <c r="C59" s="233" t="s">
        <v>739</v>
      </c>
    </row>
    <row r="60" customFormat="false" ht="397.5" hidden="false" customHeight="true" outlineLevel="0" collapsed="false">
      <c r="A60" s="231" t="n">
        <v>46278</v>
      </c>
      <c r="B60" s="232" t="s">
        <v>740</v>
      </c>
      <c r="C60" s="233" t="s">
        <v>741</v>
      </c>
    </row>
    <row r="61" customFormat="false" ht="409.5" hidden="false" customHeight="true" outlineLevel="0" collapsed="false">
      <c r="A61" s="231" t="n">
        <v>46278</v>
      </c>
      <c r="B61" s="232" t="s">
        <v>742</v>
      </c>
      <c r="C61" s="233" t="s">
        <v>743</v>
      </c>
    </row>
    <row r="62" customFormat="false" ht="409.5" hidden="false" customHeight="true" outlineLevel="0" collapsed="false">
      <c r="A62" s="231" t="n">
        <v>46294</v>
      </c>
      <c r="B62" s="232" t="s">
        <v>744</v>
      </c>
      <c r="C62" s="233" t="s">
        <v>745</v>
      </c>
    </row>
    <row r="63" customFormat="false" ht="129.75" hidden="false" customHeight="true" outlineLevel="0" collapsed="false">
      <c r="A63" s="231" t="n">
        <v>46294</v>
      </c>
      <c r="B63" s="232" t="s">
        <v>746</v>
      </c>
      <c r="C63" s="233" t="s">
        <v>747</v>
      </c>
    </row>
    <row r="64" customFormat="false" ht="155.25" hidden="false" customHeight="true" outlineLevel="0" collapsed="false">
      <c r="A64" s="231" t="n">
        <v>46295</v>
      </c>
      <c r="B64" s="232" t="s">
        <v>712</v>
      </c>
      <c r="C64" s="233" t="s">
        <v>748</v>
      </c>
    </row>
    <row r="65" customFormat="false" ht="104.25" hidden="false" customHeight="true" outlineLevel="0" collapsed="false">
      <c r="A65" s="231" t="n">
        <v>46295</v>
      </c>
      <c r="B65" s="232" t="s">
        <v>749</v>
      </c>
      <c r="C65" s="233" t="s">
        <v>750</v>
      </c>
    </row>
    <row r="66" customFormat="false" ht="282.75" hidden="false" customHeight="true" outlineLevel="0" collapsed="false">
      <c r="A66" s="231" t="n">
        <v>46295</v>
      </c>
      <c r="B66" s="232" t="s">
        <v>96</v>
      </c>
      <c r="C66" s="233" t="s">
        <v>751</v>
      </c>
    </row>
    <row r="67" customFormat="false" ht="155.25" hidden="false" customHeight="true" outlineLevel="0" collapsed="false">
      <c r="A67" s="231" t="n">
        <v>46295</v>
      </c>
      <c r="B67" s="232"/>
      <c r="C67" s="233" t="s">
        <v>752</v>
      </c>
    </row>
    <row r="68" customFormat="false" ht="155.25" hidden="false" customHeight="true" outlineLevel="0" collapsed="false">
      <c r="A68" s="231" t="n">
        <v>46295</v>
      </c>
      <c r="B68" s="232"/>
      <c r="C68" s="233" t="s">
        <v>753</v>
      </c>
    </row>
    <row r="69" customFormat="false" ht="219" hidden="false" customHeight="true" outlineLevel="0" collapsed="false">
      <c r="A69" s="231" t="n">
        <v>46295</v>
      </c>
      <c r="B69" s="232" t="s">
        <v>754</v>
      </c>
      <c r="C69" s="233" t="s">
        <v>755</v>
      </c>
    </row>
    <row r="70" customFormat="false" ht="206.25" hidden="false" customHeight="true" outlineLevel="0" collapsed="false">
      <c r="A70" s="231" t="n">
        <v>46295</v>
      </c>
      <c r="B70" s="232" t="s">
        <v>756</v>
      </c>
      <c r="C70" s="233" t="s">
        <v>757</v>
      </c>
    </row>
    <row r="71" customFormat="false" ht="409.5" hidden="false" customHeight="true" outlineLevel="0" collapsed="false">
      <c r="A71" s="231" t="n">
        <v>46296</v>
      </c>
      <c r="B71" s="232" t="s">
        <v>146</v>
      </c>
      <c r="C71" s="233" t="s">
        <v>758</v>
      </c>
    </row>
    <row r="72" customFormat="false" ht="295.5" hidden="false" customHeight="true" outlineLevel="0" collapsed="false">
      <c r="A72" s="231" t="n">
        <v>46296</v>
      </c>
      <c r="B72" s="232"/>
      <c r="C72" s="233" t="s">
        <v>759</v>
      </c>
    </row>
    <row r="73" customFormat="false" ht="282.75" hidden="false" customHeight="true" outlineLevel="0" collapsed="false">
      <c r="A73" s="231" t="n">
        <v>46296</v>
      </c>
      <c r="B73" s="232" t="s">
        <v>760</v>
      </c>
      <c r="C73" s="233" t="s">
        <v>761</v>
      </c>
    </row>
    <row r="74" customFormat="false" ht="142.5" hidden="false" customHeight="true" outlineLevel="0" collapsed="false">
      <c r="A74" s="231" t="n">
        <v>46296</v>
      </c>
      <c r="B74" s="232" t="s">
        <v>762</v>
      </c>
      <c r="C74" s="233" t="s">
        <v>763</v>
      </c>
    </row>
    <row r="75" customFormat="false" ht="117" hidden="false" customHeight="true" outlineLevel="0" collapsed="false">
      <c r="A75" s="231" t="n">
        <v>46297</v>
      </c>
      <c r="B75" s="232" t="s">
        <v>764</v>
      </c>
      <c r="C75" s="233" t="s">
        <v>765</v>
      </c>
    </row>
    <row r="76" customFormat="false" ht="53.25" hidden="false" customHeight="true" outlineLevel="0" collapsed="false">
      <c r="A76" s="231" t="n">
        <v>46297</v>
      </c>
      <c r="B76" s="232" t="s">
        <v>146</v>
      </c>
      <c r="C76" s="233" t="s">
        <v>766</v>
      </c>
    </row>
    <row r="77" customFormat="false" ht="155.25" hidden="false" customHeight="true" outlineLevel="0" collapsed="false">
      <c r="A77" s="231" t="n">
        <v>46297</v>
      </c>
      <c r="B77" s="232" t="s">
        <v>767</v>
      </c>
      <c r="C77" s="233" t="s">
        <v>768</v>
      </c>
    </row>
    <row r="78" customFormat="false" ht="295.5" hidden="false" customHeight="true" outlineLevel="0" collapsed="false">
      <c r="A78" s="231" t="n">
        <v>46297</v>
      </c>
      <c r="B78" s="232" t="s">
        <v>769</v>
      </c>
      <c r="C78" s="233" t="s">
        <v>770</v>
      </c>
    </row>
    <row r="79" customFormat="false" ht="282.75" hidden="false" customHeight="true" outlineLevel="0" collapsed="false">
      <c r="A79" s="231" t="n">
        <v>46297</v>
      </c>
      <c r="B79" s="232" t="s">
        <v>771</v>
      </c>
      <c r="C79" s="233" t="s">
        <v>772</v>
      </c>
    </row>
    <row r="80" customFormat="false" ht="257.25" hidden="false" customHeight="true" outlineLevel="0" collapsed="false">
      <c r="A80" s="231" t="n">
        <v>46297</v>
      </c>
      <c r="B80" s="232" t="s">
        <v>149</v>
      </c>
      <c r="C80" s="233" t="s">
        <v>773</v>
      </c>
    </row>
    <row r="81" customFormat="false" ht="282.75" hidden="false" customHeight="true" outlineLevel="0" collapsed="false">
      <c r="A81" s="231" t="n">
        <v>46299</v>
      </c>
      <c r="B81" s="232" t="s">
        <v>774</v>
      </c>
      <c r="C81" s="233" t="s">
        <v>775</v>
      </c>
    </row>
    <row r="82" customFormat="false" ht="321" hidden="false" customHeight="true" outlineLevel="0" collapsed="false">
      <c r="A82" s="231" t="n">
        <v>46299</v>
      </c>
      <c r="B82" s="232" t="s">
        <v>776</v>
      </c>
      <c r="C82" s="233" t="s">
        <v>777</v>
      </c>
    </row>
    <row r="83" customFormat="false" ht="129.75" hidden="false" customHeight="true" outlineLevel="0" collapsed="false">
      <c r="A83" s="231" t="n">
        <v>46299</v>
      </c>
      <c r="B83" s="232" t="s">
        <v>776</v>
      </c>
      <c r="C83" s="233" t="s">
        <v>778</v>
      </c>
    </row>
    <row r="84" customFormat="false" ht="346.5" hidden="false" customHeight="true" outlineLevel="0" collapsed="false">
      <c r="A84" s="231" t="n">
        <v>46299</v>
      </c>
      <c r="B84" s="232" t="s">
        <v>779</v>
      </c>
      <c r="C84" s="233" t="s">
        <v>780</v>
      </c>
    </row>
    <row r="85" customFormat="false" ht="168" hidden="false" customHeight="true" outlineLevel="0" collapsed="false">
      <c r="A85" s="231" t="n">
        <v>46299</v>
      </c>
      <c r="B85" s="232" t="s">
        <v>781</v>
      </c>
      <c r="C85" s="233" t="s">
        <v>782</v>
      </c>
    </row>
    <row r="86" customFormat="false" ht="257.25" hidden="false" customHeight="true" outlineLevel="0" collapsed="false">
      <c r="A86" s="231" t="n">
        <v>46299</v>
      </c>
      <c r="B86" s="232" t="s">
        <v>783</v>
      </c>
      <c r="C86" s="233" t="s">
        <v>784</v>
      </c>
    </row>
    <row r="87" customFormat="false" ht="155.25" hidden="false" customHeight="true" outlineLevel="0" collapsed="false">
      <c r="A87" s="231" t="n">
        <v>46299</v>
      </c>
      <c r="B87" s="232" t="s">
        <v>785</v>
      </c>
      <c r="C87" s="233" t="s">
        <v>786</v>
      </c>
    </row>
    <row r="88" customFormat="false" ht="206.25" hidden="false" customHeight="true" outlineLevel="0" collapsed="false">
      <c r="A88" s="231" t="n">
        <v>46299</v>
      </c>
      <c r="B88" s="232" t="s">
        <v>787</v>
      </c>
      <c r="C88" s="233" t="s">
        <v>788</v>
      </c>
    </row>
    <row r="89" customFormat="false" ht="270" hidden="false" customHeight="true" outlineLevel="0" collapsed="false">
      <c r="A89" s="231" t="n">
        <v>46299</v>
      </c>
      <c r="B89" s="232" t="s">
        <v>789</v>
      </c>
      <c r="C89" s="233" t="s">
        <v>790</v>
      </c>
    </row>
    <row r="90" customFormat="false" ht="219" hidden="false" customHeight="true" outlineLevel="0" collapsed="false">
      <c r="A90" s="231" t="n">
        <v>46300</v>
      </c>
      <c r="B90" s="232" t="s">
        <v>791</v>
      </c>
      <c r="C90" s="233" t="s">
        <v>792</v>
      </c>
    </row>
    <row r="91" customFormat="false" ht="244.5" hidden="false" customHeight="true" outlineLevel="0" collapsed="false">
      <c r="A91" s="231" t="n">
        <v>46300</v>
      </c>
      <c r="B91" s="232" t="s">
        <v>793</v>
      </c>
      <c r="C91" s="233" t="s">
        <v>794</v>
      </c>
    </row>
    <row r="92" customFormat="false" ht="308.25" hidden="false" customHeight="true" outlineLevel="0" collapsed="false">
      <c r="A92" s="231" t="n">
        <v>46300</v>
      </c>
      <c r="B92" s="232" t="s">
        <v>795</v>
      </c>
      <c r="C92" s="233" t="s">
        <v>796</v>
      </c>
    </row>
    <row r="93" customFormat="false" ht="244.5" hidden="false" customHeight="true" outlineLevel="0" collapsed="false">
      <c r="A93" s="231" t="n">
        <v>46300</v>
      </c>
      <c r="B93" s="232" t="s">
        <v>797</v>
      </c>
      <c r="C93" s="233" t="s">
        <v>798</v>
      </c>
    </row>
    <row r="94" customFormat="false" ht="270" hidden="false" customHeight="true" outlineLevel="0" collapsed="false">
      <c r="A94" s="231" t="n">
        <v>46300</v>
      </c>
      <c r="B94" s="232" t="s">
        <v>799</v>
      </c>
      <c r="C94" s="233" t="s">
        <v>800</v>
      </c>
    </row>
    <row r="95" customFormat="false" ht="359.25" hidden="false" customHeight="true" outlineLevel="0" collapsed="false">
      <c r="A95" s="231" t="n">
        <v>46300</v>
      </c>
      <c r="B95" s="232" t="s">
        <v>801</v>
      </c>
      <c r="C95" s="233" t="s">
        <v>802</v>
      </c>
    </row>
    <row r="96" customFormat="false" ht="384.75" hidden="false" customHeight="true" outlineLevel="0" collapsed="false">
      <c r="A96" s="231" t="n">
        <v>46300</v>
      </c>
      <c r="B96" s="232" t="s">
        <v>803</v>
      </c>
      <c r="C96" s="233" t="s">
        <v>804</v>
      </c>
    </row>
    <row r="97" customFormat="false" ht="142.5" hidden="false" customHeight="true" outlineLevel="0" collapsed="false">
      <c r="A97" s="231" t="n">
        <v>46300</v>
      </c>
      <c r="B97" s="232" t="s">
        <v>805</v>
      </c>
      <c r="C97" s="233" t="s">
        <v>806</v>
      </c>
    </row>
    <row r="98" customFormat="false" ht="308.25" hidden="false" customHeight="true" outlineLevel="0" collapsed="false">
      <c r="A98" s="231" t="n">
        <v>46300</v>
      </c>
      <c r="B98" s="232" t="s">
        <v>807</v>
      </c>
      <c r="C98" s="233" t="s">
        <v>808</v>
      </c>
    </row>
    <row r="99" customFormat="false" ht="384.75" hidden="false" customHeight="true" outlineLevel="0" collapsed="false">
      <c r="A99" s="231" t="n">
        <v>46300</v>
      </c>
      <c r="B99" s="232" t="s">
        <v>809</v>
      </c>
      <c r="C99" s="233" t="s">
        <v>810</v>
      </c>
    </row>
    <row r="100" customFormat="false" ht="333.75" hidden="false" customHeight="true" outlineLevel="0" collapsed="false">
      <c r="A100" s="231" t="n">
        <v>46301</v>
      </c>
      <c r="B100" s="232" t="s">
        <v>811</v>
      </c>
      <c r="C100" s="233" t="s">
        <v>812</v>
      </c>
    </row>
    <row r="101" customFormat="false" ht="282.75" hidden="false" customHeight="true" outlineLevel="0" collapsed="false">
      <c r="A101" s="231" t="n">
        <v>46301</v>
      </c>
      <c r="B101" s="232" t="s">
        <v>813</v>
      </c>
      <c r="C101" s="233" t="s">
        <v>814</v>
      </c>
    </row>
    <row r="102" customFormat="false" ht="295.5" hidden="false" customHeight="true" outlineLevel="0" collapsed="false">
      <c r="A102" s="231" t="n">
        <v>46301</v>
      </c>
      <c r="B102" s="232" t="s">
        <v>815</v>
      </c>
      <c r="C102" s="233" t="s">
        <v>816</v>
      </c>
    </row>
    <row r="103" customFormat="false" ht="104.25" hidden="false" customHeight="true" outlineLevel="0" collapsed="false">
      <c r="A103" s="231" t="n">
        <v>46301</v>
      </c>
      <c r="B103" s="232" t="s">
        <v>817</v>
      </c>
      <c r="C103" s="233" t="s">
        <v>818</v>
      </c>
    </row>
    <row r="104" customFormat="false" ht="257.25" hidden="false" customHeight="true" outlineLevel="0" collapsed="false">
      <c r="A104" s="231" t="n">
        <v>46302</v>
      </c>
      <c r="B104" s="232" t="s">
        <v>819</v>
      </c>
      <c r="C104" s="233" t="s">
        <v>820</v>
      </c>
    </row>
    <row r="105" customFormat="false" ht="155.25" hidden="false" customHeight="true" outlineLevel="0" collapsed="false">
      <c r="A105" s="231" t="n">
        <v>46302</v>
      </c>
      <c r="B105" s="232" t="s">
        <v>821</v>
      </c>
      <c r="C105" s="233" t="s">
        <v>822</v>
      </c>
    </row>
    <row r="106" customFormat="false" ht="206.25" hidden="false" customHeight="true" outlineLevel="0" collapsed="false">
      <c r="A106" s="231" t="n">
        <v>46302</v>
      </c>
      <c r="B106" s="232" t="s">
        <v>823</v>
      </c>
      <c r="C106" s="233" t="s">
        <v>824</v>
      </c>
    </row>
    <row r="107" customFormat="false" ht="282.75" hidden="false" customHeight="true" outlineLevel="0" collapsed="false">
      <c r="A107" s="231" t="n">
        <v>46302</v>
      </c>
      <c r="B107" s="232" t="s">
        <v>825</v>
      </c>
      <c r="C107" s="233" t="s">
        <v>826</v>
      </c>
    </row>
    <row r="108" customFormat="false" ht="308.25" hidden="false" customHeight="true" outlineLevel="0" collapsed="false">
      <c r="A108" s="231" t="n">
        <v>46302</v>
      </c>
      <c r="B108" s="232" t="s">
        <v>827</v>
      </c>
      <c r="C108" s="233" t="s">
        <v>828</v>
      </c>
    </row>
    <row r="109" customFormat="false" ht="206.25" hidden="false" customHeight="true" outlineLevel="0" collapsed="false">
      <c r="A109" s="231" t="n">
        <v>46303</v>
      </c>
      <c r="B109" s="232" t="s">
        <v>829</v>
      </c>
      <c r="C109" s="233" t="s">
        <v>830</v>
      </c>
    </row>
    <row r="110" customFormat="false" ht="244.5" hidden="false" customHeight="true" outlineLevel="0" collapsed="false">
      <c r="A110" s="231" t="n">
        <v>46303</v>
      </c>
      <c r="B110" s="232" t="s">
        <v>831</v>
      </c>
      <c r="C110" s="233" t="s">
        <v>832</v>
      </c>
    </row>
    <row r="111" customFormat="false" ht="142.5" hidden="false" customHeight="true" outlineLevel="0" collapsed="false">
      <c r="A111" s="231" t="n">
        <v>46303</v>
      </c>
      <c r="B111" s="232" t="s">
        <v>833</v>
      </c>
      <c r="C111" s="233" t="s">
        <v>834</v>
      </c>
    </row>
    <row r="112" customFormat="false" ht="206.25" hidden="false" customHeight="true" outlineLevel="0" collapsed="false">
      <c r="A112" s="231" t="n">
        <v>46303</v>
      </c>
      <c r="B112" s="232" t="s">
        <v>835</v>
      </c>
      <c r="C112" s="233" t="s">
        <v>836</v>
      </c>
    </row>
    <row r="113" customFormat="false" ht="206.25" hidden="false" customHeight="true" outlineLevel="0" collapsed="false">
      <c r="A113" s="231" t="n">
        <v>46303</v>
      </c>
      <c r="B113" s="232" t="s">
        <v>837</v>
      </c>
      <c r="C113" s="233" t="s">
        <v>838</v>
      </c>
    </row>
    <row r="114" customFormat="false" ht="14.25" hidden="false" customHeight="true" outlineLevel="0" collapsed="false">
      <c r="A114" s="231"/>
      <c r="B114" s="232"/>
      <c r="C114" s="233"/>
    </row>
    <row r="115" customFormat="false" ht="14.25" hidden="false" customHeight="true" outlineLevel="0" collapsed="false">
      <c r="A115" s="231"/>
      <c r="B115" s="232"/>
      <c r="C115" s="233"/>
    </row>
    <row r="116" customFormat="false" ht="14.25" hidden="false" customHeight="true" outlineLevel="0" collapsed="false">
      <c r="A116" s="231"/>
      <c r="B116" s="232"/>
      <c r="C116" s="233"/>
    </row>
    <row r="117" customFormat="false" ht="14.25" hidden="false" customHeight="true" outlineLevel="0" collapsed="false">
      <c r="A117" s="231"/>
      <c r="B117" s="232"/>
      <c r="C117" s="233"/>
    </row>
    <row r="118" customFormat="false" ht="14.25" hidden="false" customHeight="true" outlineLevel="0" collapsed="false">
      <c r="A118" s="231"/>
      <c r="B118" s="232"/>
      <c r="C118" s="233"/>
    </row>
    <row r="119" customFormat="false" ht="14.25" hidden="false" customHeight="true" outlineLevel="0" collapsed="false">
      <c r="A119" s="231"/>
      <c r="B119" s="232"/>
      <c r="C119" s="233"/>
    </row>
    <row r="120" customFormat="false" ht="14.25" hidden="false" customHeight="true" outlineLevel="0" collapsed="false">
      <c r="A120" s="231"/>
      <c r="B120" s="232"/>
      <c r="C120" s="233"/>
    </row>
    <row r="121" customFormat="false" ht="14.25" hidden="false" customHeight="true" outlineLevel="0" collapsed="false">
      <c r="A121" s="231"/>
      <c r="B121" s="232"/>
      <c r="C121" s="233"/>
    </row>
    <row r="122" customFormat="false" ht="14.25" hidden="false" customHeight="true" outlineLevel="0" collapsed="false">
      <c r="A122" s="231"/>
      <c r="B122" s="232"/>
      <c r="C122" s="233"/>
    </row>
    <row r="123" customFormat="false" ht="14.25" hidden="false" customHeight="true" outlineLevel="0" collapsed="false">
      <c r="A123" s="231"/>
      <c r="B123" s="232"/>
      <c r="C123" s="233"/>
    </row>
    <row r="124" customFormat="false" ht="14.25" hidden="false" customHeight="true" outlineLevel="0" collapsed="false">
      <c r="A124" s="231"/>
      <c r="B124" s="232"/>
      <c r="C124" s="233"/>
    </row>
    <row r="125" customFormat="false" ht="14.25" hidden="false" customHeight="true" outlineLevel="0" collapsed="false">
      <c r="A125" s="231"/>
      <c r="B125" s="232"/>
      <c r="C125" s="233"/>
    </row>
    <row r="126" customFormat="false" ht="14.25" hidden="false" customHeight="true" outlineLevel="0" collapsed="false">
      <c r="A126" s="231"/>
      <c r="B126" s="232"/>
      <c r="C126" s="233"/>
    </row>
    <row r="127" customFormat="false" ht="14.25" hidden="false" customHeight="true" outlineLevel="0" collapsed="false">
      <c r="A127" s="231"/>
      <c r="B127" s="232"/>
      <c r="C127" s="233"/>
    </row>
    <row r="128" customFormat="false" ht="14.25" hidden="false" customHeight="true" outlineLevel="0" collapsed="false">
      <c r="A128" s="231"/>
      <c r="B128" s="232"/>
      <c r="C128" s="233"/>
    </row>
    <row r="129" customFormat="false" ht="14.25" hidden="false" customHeight="true" outlineLevel="0" collapsed="false">
      <c r="A129" s="231"/>
      <c r="B129" s="232"/>
      <c r="C129" s="233"/>
    </row>
    <row r="130" customFormat="false" ht="14.25" hidden="false" customHeight="true" outlineLevel="0" collapsed="false">
      <c r="A130" s="231"/>
      <c r="B130" s="232"/>
      <c r="C130" s="233"/>
    </row>
    <row r="131" customFormat="false" ht="14.25" hidden="false" customHeight="true" outlineLevel="0" collapsed="false">
      <c r="A131" s="231"/>
      <c r="B131" s="232"/>
      <c r="C131" s="233"/>
    </row>
    <row r="132" customFormat="false" ht="14.25" hidden="false" customHeight="true" outlineLevel="0" collapsed="false">
      <c r="A132" s="231"/>
      <c r="B132" s="232"/>
      <c r="C132" s="233"/>
    </row>
    <row r="133" customFormat="false" ht="14.25" hidden="false" customHeight="true" outlineLevel="0" collapsed="false">
      <c r="A133" s="231"/>
      <c r="B133" s="232"/>
      <c r="C133" s="233"/>
    </row>
    <row r="134" customFormat="false" ht="14.25" hidden="false" customHeight="true" outlineLevel="0" collapsed="false">
      <c r="A134" s="231"/>
      <c r="B134" s="232"/>
      <c r="C134" s="233"/>
    </row>
    <row r="135" customFormat="false" ht="14.25" hidden="false" customHeight="true" outlineLevel="0" collapsed="false">
      <c r="A135" s="231"/>
      <c r="B135" s="232"/>
      <c r="C135" s="233"/>
    </row>
    <row r="136" customFormat="false" ht="14.25" hidden="false" customHeight="true" outlineLevel="0" collapsed="false">
      <c r="A136" s="231"/>
      <c r="B136" s="232"/>
      <c r="C136" s="233"/>
    </row>
    <row r="137" customFormat="false" ht="14.25" hidden="false" customHeight="true" outlineLevel="0" collapsed="false">
      <c r="A137" s="231"/>
      <c r="B137" s="232"/>
      <c r="C137" s="233"/>
    </row>
    <row r="138" customFormat="false" ht="14.25" hidden="false" customHeight="true" outlineLevel="0" collapsed="false">
      <c r="A138" s="231"/>
      <c r="B138" s="232"/>
      <c r="C138" s="233"/>
    </row>
    <row r="139" customFormat="false" ht="14.25" hidden="false" customHeight="true" outlineLevel="0" collapsed="false">
      <c r="A139" s="231"/>
      <c r="B139" s="232"/>
      <c r="C139" s="233"/>
    </row>
    <row r="140" customFormat="false" ht="14.25" hidden="false" customHeight="true" outlineLevel="0" collapsed="false">
      <c r="A140" s="231"/>
      <c r="B140" s="232"/>
      <c r="C140" s="233"/>
    </row>
    <row r="141" customFormat="false" ht="14.25" hidden="false" customHeight="true" outlineLevel="0" collapsed="false">
      <c r="A141" s="231"/>
      <c r="B141" s="232"/>
      <c r="C141" s="233"/>
    </row>
    <row r="142" customFormat="false" ht="14.25" hidden="false" customHeight="true" outlineLevel="0" collapsed="false">
      <c r="A142" s="231"/>
      <c r="B142" s="232"/>
      <c r="C142" s="233"/>
    </row>
    <row r="143" customFormat="false" ht="14.25" hidden="false" customHeight="true" outlineLevel="0" collapsed="false">
      <c r="A143" s="231"/>
      <c r="B143" s="232"/>
      <c r="C143" s="233"/>
    </row>
    <row r="144" customFormat="false" ht="14.25" hidden="false" customHeight="true" outlineLevel="0" collapsed="false">
      <c r="A144" s="231"/>
      <c r="B144" s="232"/>
      <c r="C144" s="233"/>
    </row>
    <row r="145" customFormat="false" ht="14.25" hidden="false" customHeight="true" outlineLevel="0" collapsed="false">
      <c r="A145" s="231"/>
      <c r="B145" s="232"/>
      <c r="C145" s="233"/>
    </row>
    <row r="146" customFormat="false" ht="14.25" hidden="false" customHeight="true" outlineLevel="0" collapsed="false">
      <c r="A146" s="231"/>
      <c r="B146" s="232"/>
      <c r="C146" s="233"/>
    </row>
    <row r="147" customFormat="false" ht="14.25" hidden="false" customHeight="true" outlineLevel="0" collapsed="false">
      <c r="A147" s="231"/>
      <c r="B147" s="232"/>
      <c r="C147" s="233"/>
    </row>
    <row r="148" customFormat="false" ht="14.25" hidden="false" customHeight="true" outlineLevel="0" collapsed="false">
      <c r="A148" s="231"/>
      <c r="B148" s="232"/>
      <c r="C148" s="233"/>
    </row>
    <row r="149" customFormat="false" ht="14.25" hidden="false" customHeight="true" outlineLevel="0" collapsed="false">
      <c r="A149" s="231"/>
      <c r="B149" s="232"/>
      <c r="C149" s="233"/>
    </row>
    <row r="150" customFormat="false" ht="14.25" hidden="false" customHeight="true" outlineLevel="0" collapsed="false">
      <c r="A150" s="231"/>
      <c r="B150" s="232"/>
      <c r="C150" s="233"/>
    </row>
    <row r="151" customFormat="false" ht="14.25" hidden="false" customHeight="true" outlineLevel="0" collapsed="false">
      <c r="A151" s="231"/>
      <c r="B151" s="232"/>
      <c r="C151" s="233"/>
    </row>
    <row r="152" customFormat="false" ht="14.25" hidden="false" customHeight="true" outlineLevel="0" collapsed="false">
      <c r="A152" s="231"/>
      <c r="B152" s="232"/>
      <c r="C152" s="233"/>
    </row>
    <row r="153" customFormat="false" ht="14.25" hidden="false" customHeight="true" outlineLevel="0" collapsed="false">
      <c r="A153" s="231"/>
      <c r="B153" s="232"/>
      <c r="C153" s="233"/>
    </row>
    <row r="154" customFormat="false" ht="14.25" hidden="false" customHeight="true" outlineLevel="0" collapsed="false">
      <c r="A154" s="231"/>
      <c r="B154" s="232"/>
      <c r="C154" s="233"/>
    </row>
    <row r="155" customFormat="false" ht="14.25" hidden="false" customHeight="true" outlineLevel="0" collapsed="false">
      <c r="A155" s="231"/>
      <c r="B155" s="232"/>
      <c r="C155" s="233"/>
    </row>
    <row r="156" customFormat="false" ht="14.25" hidden="false" customHeight="true" outlineLevel="0" collapsed="false">
      <c r="A156" s="231"/>
      <c r="B156" s="232"/>
      <c r="C156" s="233"/>
    </row>
    <row r="157" customFormat="false" ht="14.25" hidden="false" customHeight="true" outlineLevel="0" collapsed="false">
      <c r="A157" s="231"/>
      <c r="B157" s="232"/>
      <c r="C157" s="233"/>
    </row>
    <row r="158" customFormat="false" ht="14.25" hidden="false" customHeight="true" outlineLevel="0" collapsed="false">
      <c r="A158" s="231"/>
      <c r="B158" s="232"/>
      <c r="C158" s="233"/>
    </row>
    <row r="159" customFormat="false" ht="14.25" hidden="false" customHeight="true" outlineLevel="0" collapsed="false">
      <c r="A159" s="231"/>
      <c r="B159" s="232"/>
      <c r="C159" s="233"/>
    </row>
    <row r="160" customFormat="false" ht="14.25" hidden="false" customHeight="true" outlineLevel="0" collapsed="false">
      <c r="A160" s="231"/>
      <c r="B160" s="232"/>
      <c r="C160" s="233"/>
    </row>
    <row r="161" customFormat="false" ht="14.25" hidden="false" customHeight="true" outlineLevel="0" collapsed="false">
      <c r="A161" s="231"/>
      <c r="B161" s="232"/>
      <c r="C161" s="233"/>
    </row>
    <row r="162" customFormat="false" ht="14.25" hidden="false" customHeight="true" outlineLevel="0" collapsed="false">
      <c r="A162" s="231"/>
      <c r="B162" s="232"/>
      <c r="C162" s="233"/>
    </row>
    <row r="163" customFormat="false" ht="14.25" hidden="false" customHeight="true" outlineLevel="0" collapsed="false">
      <c r="A163" s="231"/>
      <c r="B163" s="232"/>
      <c r="C163" s="233"/>
    </row>
    <row r="164" customFormat="false" ht="14.25" hidden="false" customHeight="true" outlineLevel="0" collapsed="false">
      <c r="A164" s="231"/>
      <c r="B164" s="232"/>
      <c r="C164" s="233"/>
    </row>
    <row r="165" customFormat="false" ht="14.25" hidden="false" customHeight="true" outlineLevel="0" collapsed="false">
      <c r="A165" s="231"/>
      <c r="B165" s="232"/>
      <c r="C165" s="233"/>
    </row>
    <row r="166" customFormat="false" ht="14.25" hidden="false" customHeight="true" outlineLevel="0" collapsed="false">
      <c r="A166" s="231"/>
      <c r="B166" s="232"/>
      <c r="C166" s="233"/>
    </row>
    <row r="167" customFormat="false" ht="14.25" hidden="false" customHeight="true" outlineLevel="0" collapsed="false">
      <c r="A167" s="231"/>
      <c r="B167" s="232"/>
      <c r="C167" s="233"/>
    </row>
    <row r="168" customFormat="false" ht="14.25" hidden="false" customHeight="true" outlineLevel="0" collapsed="false">
      <c r="A168" s="231"/>
      <c r="B168" s="232"/>
      <c r="C168" s="233"/>
    </row>
    <row r="169" customFormat="false" ht="14.25" hidden="false" customHeight="true" outlineLevel="0" collapsed="false">
      <c r="A169" s="231"/>
      <c r="B169" s="232"/>
      <c r="C169" s="233"/>
    </row>
    <row r="170" customFormat="false" ht="14.25" hidden="false" customHeight="true" outlineLevel="0" collapsed="false">
      <c r="A170" s="231"/>
      <c r="B170" s="232"/>
      <c r="C170" s="233"/>
    </row>
    <row r="171" customFormat="false" ht="14.25" hidden="false" customHeight="true" outlineLevel="0" collapsed="false">
      <c r="A171" s="231"/>
      <c r="B171" s="232"/>
      <c r="C171" s="233"/>
    </row>
    <row r="172" customFormat="false" ht="14.25" hidden="false" customHeight="true" outlineLevel="0" collapsed="false">
      <c r="A172" s="231"/>
      <c r="B172" s="232"/>
      <c r="C172" s="233"/>
    </row>
    <row r="173" customFormat="false" ht="14.25" hidden="false" customHeight="true" outlineLevel="0" collapsed="false">
      <c r="A173" s="231"/>
      <c r="B173" s="232"/>
      <c r="C173" s="233"/>
    </row>
    <row r="174" customFormat="false" ht="14.25" hidden="false" customHeight="true" outlineLevel="0" collapsed="false">
      <c r="A174" s="231"/>
      <c r="B174" s="232"/>
      <c r="C174" s="233"/>
    </row>
    <row r="175" customFormat="false" ht="14.25" hidden="false" customHeight="true" outlineLevel="0" collapsed="false">
      <c r="A175" s="231"/>
      <c r="B175" s="232"/>
      <c r="C175" s="233"/>
    </row>
    <row r="176" customFormat="false" ht="14.25" hidden="false" customHeight="true" outlineLevel="0" collapsed="false">
      <c r="A176" s="231"/>
      <c r="B176" s="232"/>
      <c r="C176" s="233"/>
    </row>
    <row r="177" customFormat="false" ht="14.25" hidden="false" customHeight="true" outlineLevel="0" collapsed="false">
      <c r="A177" s="231"/>
      <c r="B177" s="232"/>
      <c r="C177" s="233"/>
    </row>
    <row r="178" customFormat="false" ht="14.25" hidden="false" customHeight="true" outlineLevel="0" collapsed="false">
      <c r="A178" s="231"/>
      <c r="B178" s="232"/>
      <c r="C178" s="233"/>
    </row>
    <row r="179" customFormat="false" ht="14.25" hidden="false" customHeight="true" outlineLevel="0" collapsed="false">
      <c r="A179" s="231"/>
      <c r="B179" s="232"/>
      <c r="C179" s="233"/>
    </row>
    <row r="180" customFormat="false" ht="14.25" hidden="false" customHeight="true" outlineLevel="0" collapsed="false">
      <c r="A180" s="231"/>
      <c r="B180" s="232"/>
      <c r="C180" s="233"/>
    </row>
    <row r="181" customFormat="false" ht="14.25" hidden="false" customHeight="true" outlineLevel="0" collapsed="false">
      <c r="A181" s="231"/>
      <c r="B181" s="232"/>
      <c r="C181" s="233"/>
    </row>
    <row r="182" customFormat="false" ht="14.25" hidden="false" customHeight="true" outlineLevel="0" collapsed="false">
      <c r="A182" s="231"/>
      <c r="B182" s="232"/>
      <c r="C182" s="233"/>
    </row>
    <row r="183" customFormat="false" ht="14.25" hidden="false" customHeight="true" outlineLevel="0" collapsed="false">
      <c r="A183" s="231"/>
      <c r="B183" s="232"/>
      <c r="C183" s="233"/>
    </row>
    <row r="184" customFormat="false" ht="14.25" hidden="false" customHeight="true" outlineLevel="0" collapsed="false">
      <c r="A184" s="231"/>
      <c r="B184" s="232"/>
      <c r="C184" s="233"/>
    </row>
    <row r="185" customFormat="false" ht="14.25" hidden="false" customHeight="true" outlineLevel="0" collapsed="false">
      <c r="A185" s="231"/>
      <c r="B185" s="232"/>
      <c r="C185" s="233"/>
    </row>
    <row r="186" customFormat="false" ht="14.25" hidden="false" customHeight="true" outlineLevel="0" collapsed="false">
      <c r="A186" s="231"/>
      <c r="B186" s="232"/>
      <c r="C186" s="233"/>
    </row>
    <row r="187" customFormat="false" ht="14.25" hidden="false" customHeight="true" outlineLevel="0" collapsed="false">
      <c r="A187" s="231"/>
      <c r="B187" s="232"/>
      <c r="C187" s="233"/>
    </row>
    <row r="188" customFormat="false" ht="14.25" hidden="false" customHeight="true" outlineLevel="0" collapsed="false">
      <c r="A188" s="231"/>
      <c r="B188" s="232"/>
      <c r="C188" s="233"/>
    </row>
    <row r="189" customFormat="false" ht="14.25" hidden="false" customHeight="true" outlineLevel="0" collapsed="false">
      <c r="A189" s="231"/>
      <c r="B189" s="232"/>
      <c r="C189" s="233"/>
    </row>
    <row r="190" customFormat="false" ht="14.25" hidden="false" customHeight="true" outlineLevel="0" collapsed="false">
      <c r="A190" s="231"/>
      <c r="B190" s="232"/>
      <c r="C190" s="233"/>
    </row>
    <row r="191" customFormat="false" ht="14.25" hidden="false" customHeight="true" outlineLevel="0" collapsed="false">
      <c r="A191" s="231"/>
      <c r="B191" s="232"/>
      <c r="C191" s="233"/>
    </row>
    <row r="192" customFormat="false" ht="14.25" hidden="false" customHeight="true" outlineLevel="0" collapsed="false">
      <c r="A192" s="231"/>
      <c r="B192" s="232"/>
      <c r="C192" s="233"/>
    </row>
    <row r="193" customFormat="false" ht="14.25" hidden="false" customHeight="true" outlineLevel="0" collapsed="false">
      <c r="A193" s="231"/>
      <c r="B193" s="232"/>
      <c r="C193" s="233"/>
    </row>
    <row r="194" customFormat="false" ht="14.25" hidden="false" customHeight="true" outlineLevel="0" collapsed="false">
      <c r="A194" s="231"/>
      <c r="B194" s="232"/>
      <c r="C194" s="233"/>
    </row>
    <row r="195" customFormat="false" ht="14.25" hidden="false" customHeight="true" outlineLevel="0" collapsed="false">
      <c r="A195" s="231"/>
      <c r="B195" s="232"/>
      <c r="C195" s="233"/>
    </row>
    <row r="196" customFormat="false" ht="14.25" hidden="false" customHeight="true" outlineLevel="0" collapsed="false">
      <c r="A196" s="231"/>
      <c r="B196" s="232"/>
      <c r="C196" s="233"/>
    </row>
    <row r="197" customFormat="false" ht="14.25" hidden="false" customHeight="true" outlineLevel="0" collapsed="false">
      <c r="A197" s="231"/>
      <c r="B197" s="232"/>
      <c r="C197" s="233"/>
    </row>
    <row r="198" customFormat="false" ht="14.25" hidden="false" customHeight="true" outlineLevel="0" collapsed="false">
      <c r="A198" s="231"/>
      <c r="B198" s="232"/>
      <c r="C198" s="233"/>
    </row>
    <row r="199" customFormat="false" ht="14.25" hidden="false" customHeight="true" outlineLevel="0" collapsed="false">
      <c r="A199" s="231"/>
      <c r="B199" s="232"/>
      <c r="C199" s="233"/>
    </row>
    <row r="200" customFormat="false" ht="14.25" hidden="false" customHeight="true" outlineLevel="0" collapsed="false">
      <c r="A200" s="231"/>
      <c r="B200" s="232"/>
      <c r="C200" s="233"/>
    </row>
    <row r="201" customFormat="false" ht="14.25" hidden="false" customHeight="true" outlineLevel="0" collapsed="false">
      <c r="A201" s="231"/>
      <c r="B201" s="232"/>
      <c r="C201" s="233"/>
    </row>
    <row r="202" customFormat="false" ht="14.25" hidden="false" customHeight="true" outlineLevel="0" collapsed="false">
      <c r="A202" s="231"/>
      <c r="B202" s="232"/>
      <c r="C202" s="233"/>
    </row>
    <row r="203" customFormat="false" ht="14.25" hidden="false" customHeight="true" outlineLevel="0" collapsed="false">
      <c r="A203" s="231"/>
      <c r="B203" s="232"/>
      <c r="C203" s="233"/>
    </row>
    <row r="204" customFormat="false" ht="14.25" hidden="false" customHeight="true" outlineLevel="0" collapsed="false">
      <c r="A204" s="231"/>
      <c r="B204" s="232"/>
      <c r="C204" s="233"/>
    </row>
    <row r="205" customFormat="false" ht="14.25" hidden="false" customHeight="true" outlineLevel="0" collapsed="false">
      <c r="A205" s="231"/>
      <c r="B205" s="232"/>
      <c r="C205" s="233"/>
    </row>
    <row r="206" customFormat="false" ht="14.25" hidden="false" customHeight="true" outlineLevel="0" collapsed="false">
      <c r="A206" s="231"/>
      <c r="B206" s="232"/>
      <c r="C206" s="233"/>
    </row>
    <row r="207" customFormat="false" ht="14.25" hidden="false" customHeight="true" outlineLevel="0" collapsed="false">
      <c r="A207" s="231"/>
      <c r="B207" s="232"/>
      <c r="C207" s="233"/>
    </row>
    <row r="208" customFormat="false" ht="14.25" hidden="false" customHeight="true" outlineLevel="0" collapsed="false">
      <c r="A208" s="231"/>
      <c r="B208" s="232"/>
      <c r="C208" s="233"/>
    </row>
    <row r="209" customFormat="false" ht="14.25" hidden="false" customHeight="true" outlineLevel="0" collapsed="false">
      <c r="A209" s="231"/>
      <c r="B209" s="232"/>
      <c r="C209" s="233"/>
    </row>
    <row r="210" customFormat="false" ht="14.25" hidden="false" customHeight="true" outlineLevel="0" collapsed="false">
      <c r="A210" s="231"/>
      <c r="B210" s="232"/>
      <c r="C210" s="233"/>
    </row>
    <row r="211" customFormat="false" ht="14.25" hidden="false" customHeight="true" outlineLevel="0" collapsed="false">
      <c r="A211" s="231"/>
      <c r="B211" s="232"/>
      <c r="C211" s="233"/>
    </row>
    <row r="212" customFormat="false" ht="14.25" hidden="false" customHeight="true" outlineLevel="0" collapsed="false">
      <c r="A212" s="231"/>
      <c r="B212" s="232"/>
      <c r="C212" s="233"/>
    </row>
    <row r="213" customFormat="false" ht="14.25" hidden="false" customHeight="true" outlineLevel="0" collapsed="false">
      <c r="A213" s="231"/>
      <c r="B213" s="232"/>
      <c r="C213" s="233"/>
    </row>
    <row r="214" customFormat="false" ht="14.25" hidden="false" customHeight="true" outlineLevel="0" collapsed="false">
      <c r="A214" s="231"/>
      <c r="B214" s="232"/>
      <c r="C214" s="233"/>
    </row>
    <row r="215" customFormat="false" ht="14.25" hidden="false" customHeight="true" outlineLevel="0" collapsed="false">
      <c r="A215" s="231"/>
      <c r="B215" s="232"/>
      <c r="C215" s="233"/>
    </row>
    <row r="216" customFormat="false" ht="14.25" hidden="false" customHeight="true" outlineLevel="0" collapsed="false">
      <c r="A216" s="231"/>
      <c r="B216" s="232"/>
      <c r="C216" s="233"/>
    </row>
    <row r="217" customFormat="false" ht="14.25" hidden="false" customHeight="true" outlineLevel="0" collapsed="false">
      <c r="A217" s="231"/>
      <c r="B217" s="232"/>
      <c r="C217" s="233"/>
    </row>
    <row r="218" customFormat="false" ht="14.25" hidden="false" customHeight="true" outlineLevel="0" collapsed="false">
      <c r="A218" s="231"/>
      <c r="B218" s="232"/>
      <c r="C218" s="233"/>
    </row>
    <row r="219" customFormat="false" ht="14.25" hidden="false" customHeight="true" outlineLevel="0" collapsed="false">
      <c r="A219" s="231"/>
      <c r="B219" s="232"/>
      <c r="C219" s="233"/>
    </row>
    <row r="220" customFormat="false" ht="14.25" hidden="false" customHeight="true" outlineLevel="0" collapsed="false">
      <c r="A220" s="231"/>
      <c r="B220" s="232"/>
      <c r="C220" s="233"/>
    </row>
    <row r="221" customFormat="false" ht="14.25" hidden="false" customHeight="true" outlineLevel="0" collapsed="false">
      <c r="A221" s="231"/>
      <c r="B221" s="232"/>
      <c r="C221" s="233"/>
    </row>
    <row r="222" customFormat="false" ht="14.25" hidden="false" customHeight="true" outlineLevel="0" collapsed="false">
      <c r="A222" s="231"/>
      <c r="B222" s="232"/>
      <c r="C222" s="233"/>
    </row>
    <row r="223" customFormat="false" ht="14.25" hidden="false" customHeight="true" outlineLevel="0" collapsed="false">
      <c r="A223" s="231"/>
      <c r="B223" s="232"/>
      <c r="C223" s="233"/>
    </row>
    <row r="224" customFormat="false" ht="14.25" hidden="false" customHeight="true" outlineLevel="0" collapsed="false">
      <c r="A224" s="231"/>
      <c r="B224" s="232"/>
      <c r="C224" s="233"/>
    </row>
    <row r="225" customFormat="false" ht="14.25" hidden="false" customHeight="true" outlineLevel="0" collapsed="false">
      <c r="A225" s="231"/>
      <c r="B225" s="232"/>
      <c r="C225" s="233"/>
    </row>
    <row r="226" customFormat="false" ht="14.25" hidden="false" customHeight="true" outlineLevel="0" collapsed="false">
      <c r="A226" s="231"/>
      <c r="B226" s="232"/>
      <c r="C226" s="233"/>
    </row>
    <row r="227" customFormat="false" ht="14.25" hidden="false" customHeight="true" outlineLevel="0" collapsed="false">
      <c r="A227" s="231"/>
      <c r="B227" s="232"/>
      <c r="C227" s="233"/>
    </row>
    <row r="228" customFormat="false" ht="14.25" hidden="false" customHeight="true" outlineLevel="0" collapsed="false">
      <c r="A228" s="231"/>
      <c r="B228" s="232"/>
      <c r="C228" s="233"/>
    </row>
    <row r="229" customFormat="false" ht="14.25" hidden="false" customHeight="true" outlineLevel="0" collapsed="false">
      <c r="A229" s="231"/>
      <c r="B229" s="232"/>
      <c r="C229" s="233"/>
    </row>
    <row r="230" customFormat="false" ht="14.25" hidden="false" customHeight="true" outlineLevel="0" collapsed="false">
      <c r="A230" s="231"/>
      <c r="B230" s="232"/>
      <c r="C230" s="233"/>
    </row>
    <row r="231" customFormat="false" ht="14.25" hidden="false" customHeight="true" outlineLevel="0" collapsed="false">
      <c r="A231" s="231"/>
      <c r="B231" s="232"/>
      <c r="C231" s="233"/>
    </row>
    <row r="232" customFormat="false" ht="14.25" hidden="false" customHeight="true" outlineLevel="0" collapsed="false">
      <c r="A232" s="231"/>
      <c r="B232" s="232"/>
      <c r="C232" s="233"/>
    </row>
    <row r="233" customFormat="false" ht="14.25" hidden="false" customHeight="true" outlineLevel="0" collapsed="false">
      <c r="A233" s="231"/>
      <c r="B233" s="232"/>
      <c r="C233" s="233"/>
    </row>
    <row r="234" customFormat="false" ht="14.25" hidden="false" customHeight="true" outlineLevel="0" collapsed="false">
      <c r="A234" s="231"/>
      <c r="B234" s="232"/>
      <c r="C234" s="233"/>
    </row>
    <row r="235" customFormat="false" ht="14.25" hidden="false" customHeight="true" outlineLevel="0" collapsed="false">
      <c r="A235" s="231"/>
      <c r="B235" s="232"/>
      <c r="C235" s="233"/>
    </row>
    <row r="236" customFormat="false" ht="14.25" hidden="false" customHeight="true" outlineLevel="0" collapsed="false">
      <c r="A236" s="231"/>
      <c r="B236" s="232"/>
      <c r="C236" s="233"/>
    </row>
    <row r="237" customFormat="false" ht="14.25" hidden="false" customHeight="true" outlineLevel="0" collapsed="false">
      <c r="A237" s="231"/>
      <c r="B237" s="232"/>
      <c r="C237" s="233"/>
    </row>
    <row r="238" customFormat="false" ht="14.25" hidden="false" customHeight="true" outlineLevel="0" collapsed="false">
      <c r="A238" s="231"/>
      <c r="B238" s="232"/>
      <c r="C238" s="233"/>
    </row>
    <row r="239" customFormat="false" ht="14.25" hidden="false" customHeight="true" outlineLevel="0" collapsed="false">
      <c r="A239" s="231"/>
      <c r="B239" s="232"/>
      <c r="C239" s="233"/>
    </row>
    <row r="240" customFormat="false" ht="14.25" hidden="false" customHeight="true" outlineLevel="0" collapsed="false">
      <c r="A240" s="231"/>
      <c r="B240" s="232"/>
      <c r="C240" s="233"/>
    </row>
    <row r="241" customFormat="false" ht="14.25" hidden="false" customHeight="true" outlineLevel="0" collapsed="false">
      <c r="A241" s="231"/>
      <c r="B241" s="232"/>
      <c r="C241" s="233"/>
    </row>
    <row r="242" customFormat="false" ht="14.25" hidden="false" customHeight="true" outlineLevel="0" collapsed="false">
      <c r="A242" s="231"/>
      <c r="B242" s="232"/>
      <c r="C242" s="233"/>
    </row>
    <row r="243" customFormat="false" ht="14.25" hidden="false" customHeight="true" outlineLevel="0" collapsed="false">
      <c r="A243" s="231"/>
      <c r="B243" s="232"/>
      <c r="C243" s="233"/>
    </row>
    <row r="244" customFormat="false" ht="14.25" hidden="false" customHeight="true" outlineLevel="0" collapsed="false">
      <c r="A244" s="231"/>
      <c r="B244" s="232"/>
      <c r="C244" s="233"/>
    </row>
    <row r="245" customFormat="false" ht="14.25" hidden="false" customHeight="true" outlineLevel="0" collapsed="false">
      <c r="A245" s="231"/>
      <c r="B245" s="232"/>
      <c r="C245" s="233"/>
    </row>
    <row r="246" customFormat="false" ht="14.25" hidden="false" customHeight="true" outlineLevel="0" collapsed="false">
      <c r="A246" s="231"/>
      <c r="B246" s="232"/>
      <c r="C246" s="233"/>
    </row>
    <row r="247" customFormat="false" ht="14.25" hidden="false" customHeight="true" outlineLevel="0" collapsed="false">
      <c r="A247" s="231"/>
      <c r="B247" s="232"/>
      <c r="C247" s="233"/>
    </row>
    <row r="248" customFormat="false" ht="14.25" hidden="false" customHeight="true" outlineLevel="0" collapsed="false">
      <c r="A248" s="231"/>
      <c r="B248" s="232"/>
      <c r="C248" s="233"/>
    </row>
    <row r="249" customFormat="false" ht="14.25" hidden="false" customHeight="true" outlineLevel="0" collapsed="false">
      <c r="A249" s="231"/>
      <c r="B249" s="232"/>
      <c r="C249" s="233"/>
    </row>
    <row r="250" customFormat="false" ht="14.25" hidden="false" customHeight="true" outlineLevel="0" collapsed="false">
      <c r="A250" s="231"/>
      <c r="B250" s="232"/>
      <c r="C250" s="233"/>
    </row>
    <row r="251" customFormat="false" ht="14.25" hidden="false" customHeight="true" outlineLevel="0" collapsed="false">
      <c r="A251" s="231"/>
      <c r="B251" s="232"/>
      <c r="C251" s="233"/>
    </row>
    <row r="252" customFormat="false" ht="14.25" hidden="false" customHeight="true" outlineLevel="0" collapsed="false">
      <c r="A252" s="231"/>
      <c r="B252" s="232"/>
      <c r="C252" s="233"/>
    </row>
    <row r="253" customFormat="false" ht="14.25" hidden="false" customHeight="true" outlineLevel="0" collapsed="false">
      <c r="A253" s="231"/>
      <c r="B253" s="232"/>
      <c r="C253" s="233"/>
    </row>
    <row r="254" customFormat="false" ht="14.25" hidden="false" customHeight="true" outlineLevel="0" collapsed="false">
      <c r="A254" s="231"/>
      <c r="B254" s="232"/>
      <c r="C254" s="233"/>
    </row>
    <row r="255" customFormat="false" ht="14.25" hidden="false" customHeight="true" outlineLevel="0" collapsed="false">
      <c r="A255" s="231"/>
      <c r="B255" s="232"/>
      <c r="C255" s="233"/>
    </row>
    <row r="256" customFormat="false" ht="14.25" hidden="false" customHeight="true" outlineLevel="0" collapsed="false">
      <c r="A256" s="231"/>
      <c r="B256" s="232"/>
      <c r="C256" s="233"/>
    </row>
    <row r="257" customFormat="false" ht="14.25" hidden="false" customHeight="true" outlineLevel="0" collapsed="false">
      <c r="A257" s="231"/>
      <c r="B257" s="232"/>
      <c r="C257" s="233"/>
    </row>
    <row r="258" customFormat="false" ht="14.25" hidden="false" customHeight="true" outlineLevel="0" collapsed="false">
      <c r="A258" s="231"/>
      <c r="B258" s="232"/>
      <c r="C258" s="233"/>
    </row>
    <row r="259" customFormat="false" ht="14.25" hidden="false" customHeight="true" outlineLevel="0" collapsed="false">
      <c r="A259" s="231"/>
      <c r="B259" s="232"/>
      <c r="C259" s="233"/>
    </row>
    <row r="260" customFormat="false" ht="14.25" hidden="false" customHeight="true" outlineLevel="0" collapsed="false">
      <c r="A260" s="231"/>
      <c r="B260" s="232"/>
      <c r="C260" s="233"/>
    </row>
    <row r="261" customFormat="false" ht="14.25" hidden="false" customHeight="true" outlineLevel="0" collapsed="false">
      <c r="A261" s="231"/>
      <c r="B261" s="232"/>
      <c r="C261" s="233"/>
    </row>
    <row r="262" customFormat="false" ht="14.25" hidden="false" customHeight="true" outlineLevel="0" collapsed="false">
      <c r="A262" s="231"/>
      <c r="B262" s="232"/>
      <c r="C262" s="233"/>
    </row>
    <row r="263" customFormat="false" ht="14.25" hidden="false" customHeight="true" outlineLevel="0" collapsed="false">
      <c r="A263" s="231"/>
      <c r="B263" s="232"/>
      <c r="C263" s="233"/>
    </row>
    <row r="264" customFormat="false" ht="14.25" hidden="false" customHeight="true" outlineLevel="0" collapsed="false">
      <c r="A264" s="231"/>
      <c r="B264" s="232"/>
      <c r="C264" s="233"/>
    </row>
    <row r="265" customFormat="false" ht="14.25" hidden="false" customHeight="true" outlineLevel="0" collapsed="false">
      <c r="A265" s="231"/>
      <c r="B265" s="232"/>
      <c r="C265" s="233"/>
    </row>
    <row r="266" customFormat="false" ht="14.25" hidden="false" customHeight="true" outlineLevel="0" collapsed="false">
      <c r="A266" s="231"/>
      <c r="B266" s="232"/>
      <c r="C266" s="233"/>
    </row>
    <row r="267" customFormat="false" ht="14.25" hidden="false" customHeight="true" outlineLevel="0" collapsed="false">
      <c r="A267" s="231"/>
      <c r="B267" s="232"/>
      <c r="C267" s="233"/>
    </row>
    <row r="268" customFormat="false" ht="14.25" hidden="false" customHeight="true" outlineLevel="0" collapsed="false">
      <c r="A268" s="231"/>
      <c r="B268" s="232"/>
      <c r="C268" s="233"/>
    </row>
    <row r="269" customFormat="false" ht="14.25" hidden="false" customHeight="true" outlineLevel="0" collapsed="false">
      <c r="A269" s="231"/>
      <c r="B269" s="232"/>
      <c r="C269" s="233"/>
    </row>
    <row r="270" customFormat="false" ht="14.25" hidden="false" customHeight="true" outlineLevel="0" collapsed="false">
      <c r="A270" s="231"/>
      <c r="B270" s="232"/>
      <c r="C270" s="233"/>
    </row>
    <row r="271" customFormat="false" ht="14.25" hidden="false" customHeight="true" outlineLevel="0" collapsed="false">
      <c r="A271" s="231"/>
      <c r="B271" s="232"/>
      <c r="C271" s="233"/>
    </row>
    <row r="272" customFormat="false" ht="14.25" hidden="false" customHeight="true" outlineLevel="0" collapsed="false">
      <c r="A272" s="231"/>
      <c r="B272" s="232"/>
      <c r="C272" s="233"/>
    </row>
    <row r="273" customFormat="false" ht="14.25" hidden="false" customHeight="true" outlineLevel="0" collapsed="false">
      <c r="A273" s="231"/>
      <c r="B273" s="232"/>
      <c r="C273" s="233"/>
    </row>
    <row r="274" customFormat="false" ht="14.25" hidden="false" customHeight="true" outlineLevel="0" collapsed="false">
      <c r="A274" s="231"/>
      <c r="B274" s="232"/>
      <c r="C274" s="233"/>
    </row>
    <row r="275" customFormat="false" ht="14.25" hidden="false" customHeight="true" outlineLevel="0" collapsed="false">
      <c r="A275" s="231"/>
      <c r="B275" s="232"/>
      <c r="C275" s="233"/>
    </row>
    <row r="276" customFormat="false" ht="14.25" hidden="false" customHeight="true" outlineLevel="0" collapsed="false">
      <c r="A276" s="231"/>
      <c r="B276" s="232"/>
      <c r="C276" s="233"/>
    </row>
    <row r="277" customFormat="false" ht="14.25" hidden="false" customHeight="true" outlineLevel="0" collapsed="false">
      <c r="A277" s="231"/>
      <c r="B277" s="232"/>
      <c r="C277" s="233"/>
    </row>
    <row r="278" customFormat="false" ht="14.25" hidden="false" customHeight="true" outlineLevel="0" collapsed="false">
      <c r="A278" s="231"/>
      <c r="B278" s="232"/>
      <c r="C278" s="233"/>
    </row>
    <row r="279" customFormat="false" ht="14.25" hidden="false" customHeight="true" outlineLevel="0" collapsed="false">
      <c r="A279" s="231"/>
      <c r="B279" s="232"/>
      <c r="C279" s="233"/>
    </row>
    <row r="280" customFormat="false" ht="14.25" hidden="false" customHeight="true" outlineLevel="0" collapsed="false">
      <c r="A280" s="231"/>
      <c r="B280" s="232"/>
      <c r="C280" s="233"/>
    </row>
    <row r="281" customFormat="false" ht="14.25" hidden="false" customHeight="true" outlineLevel="0" collapsed="false">
      <c r="A281" s="231"/>
      <c r="B281" s="232"/>
      <c r="C281" s="233"/>
    </row>
    <row r="282" customFormat="false" ht="14.25" hidden="false" customHeight="true" outlineLevel="0" collapsed="false">
      <c r="A282" s="231"/>
      <c r="B282" s="232"/>
      <c r="C282" s="233"/>
    </row>
    <row r="283" customFormat="false" ht="14.25" hidden="false" customHeight="true" outlineLevel="0" collapsed="false">
      <c r="A283" s="231"/>
      <c r="B283" s="232"/>
      <c r="C283" s="233"/>
    </row>
    <row r="284" customFormat="false" ht="14.25" hidden="false" customHeight="true" outlineLevel="0" collapsed="false">
      <c r="A284" s="231"/>
      <c r="B284" s="232"/>
      <c r="C284" s="233"/>
    </row>
    <row r="285" customFormat="false" ht="14.25" hidden="false" customHeight="true" outlineLevel="0" collapsed="false">
      <c r="A285" s="231"/>
      <c r="B285" s="232"/>
      <c r="C285" s="233"/>
    </row>
    <row r="286" customFormat="false" ht="14.25" hidden="false" customHeight="true" outlineLevel="0" collapsed="false">
      <c r="A286" s="231"/>
      <c r="B286" s="232"/>
      <c r="C286" s="233"/>
    </row>
    <row r="287" customFormat="false" ht="14.25" hidden="false" customHeight="true" outlineLevel="0" collapsed="false">
      <c r="A287" s="231"/>
      <c r="B287" s="232"/>
      <c r="C287" s="233"/>
    </row>
    <row r="288" customFormat="false" ht="14.25" hidden="false" customHeight="true" outlineLevel="0" collapsed="false">
      <c r="A288" s="231"/>
      <c r="B288" s="232"/>
      <c r="C288" s="233"/>
    </row>
    <row r="289" customFormat="false" ht="14.25" hidden="false" customHeight="true" outlineLevel="0" collapsed="false">
      <c r="A289" s="231"/>
      <c r="B289" s="232"/>
      <c r="C289" s="233"/>
    </row>
    <row r="290" customFormat="false" ht="14.25" hidden="false" customHeight="true" outlineLevel="0" collapsed="false">
      <c r="A290" s="231"/>
      <c r="B290" s="232"/>
      <c r="C290" s="233"/>
    </row>
    <row r="291" customFormat="false" ht="14.25" hidden="false" customHeight="true" outlineLevel="0" collapsed="false">
      <c r="A291" s="231"/>
      <c r="B291" s="232"/>
      <c r="C291" s="233"/>
    </row>
    <row r="292" customFormat="false" ht="14.25" hidden="false" customHeight="true" outlineLevel="0" collapsed="false">
      <c r="A292" s="231"/>
      <c r="B292" s="232"/>
      <c r="C292" s="233"/>
    </row>
    <row r="293" customFormat="false" ht="14.25" hidden="false" customHeight="true" outlineLevel="0" collapsed="false">
      <c r="A293" s="231"/>
      <c r="B293" s="232"/>
      <c r="C293" s="233"/>
    </row>
    <row r="294" customFormat="false" ht="14.25" hidden="false" customHeight="true" outlineLevel="0" collapsed="false">
      <c r="A294" s="231"/>
      <c r="B294" s="232"/>
      <c r="C294" s="233"/>
    </row>
    <row r="295" customFormat="false" ht="14.25" hidden="false" customHeight="true" outlineLevel="0" collapsed="false">
      <c r="A295" s="231"/>
      <c r="B295" s="232"/>
      <c r="C295" s="233"/>
    </row>
    <row r="296" customFormat="false" ht="14.25" hidden="false" customHeight="true" outlineLevel="0" collapsed="false">
      <c r="A296" s="231"/>
      <c r="B296" s="232"/>
      <c r="C296" s="233"/>
    </row>
    <row r="297" customFormat="false" ht="14.25" hidden="false" customHeight="true" outlineLevel="0" collapsed="false">
      <c r="A297" s="231"/>
      <c r="B297" s="232"/>
      <c r="C297" s="233"/>
    </row>
    <row r="298" customFormat="false" ht="14.25" hidden="false" customHeight="true" outlineLevel="0" collapsed="false">
      <c r="A298" s="231"/>
      <c r="B298" s="232"/>
      <c r="C298" s="233"/>
    </row>
    <row r="299" customFormat="false" ht="14.25" hidden="false" customHeight="true" outlineLevel="0" collapsed="false">
      <c r="A299" s="231"/>
      <c r="B299" s="232"/>
      <c r="C299" s="233"/>
    </row>
    <row r="300" customFormat="false" ht="14.25" hidden="false" customHeight="true" outlineLevel="0" collapsed="false">
      <c r="A300" s="231"/>
      <c r="B300" s="232"/>
      <c r="C300" s="233"/>
    </row>
    <row r="301" customFormat="false" ht="14.25" hidden="false" customHeight="true" outlineLevel="0" collapsed="false">
      <c r="A301" s="231"/>
      <c r="B301" s="232"/>
      <c r="C301" s="233"/>
    </row>
    <row r="302" customFormat="false" ht="14.25" hidden="false" customHeight="true" outlineLevel="0" collapsed="false">
      <c r="A302" s="231"/>
      <c r="B302" s="232"/>
      <c r="C302" s="23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4" t="s">
        <v>839</v>
      </c>
      <c r="B1" s="234"/>
      <c r="C1" s="234"/>
      <c r="D1" s="234"/>
      <c r="E1" s="234"/>
      <c r="F1" s="234"/>
    </row>
    <row r="2" customFormat="false" ht="15" hidden="false" customHeight="true" outlineLevel="0" collapsed="false">
      <c r="A2" s="159" t="s">
        <v>840</v>
      </c>
      <c r="C2" s="235" t="n">
        <f aca="false">COUNTIF(F5:F500,"OVERDUE")</f>
        <v>7</v>
      </c>
    </row>
    <row r="4" customFormat="false" ht="27.75" hidden="false" customHeight="true" outlineLevel="0" collapsed="false">
      <c r="A4" s="161" t="s">
        <v>841</v>
      </c>
      <c r="B4" s="161" t="s">
        <v>842</v>
      </c>
      <c r="C4" s="161" t="s">
        <v>843</v>
      </c>
      <c r="D4" s="161" t="s">
        <v>844</v>
      </c>
      <c r="E4" s="161" t="s">
        <v>845</v>
      </c>
      <c r="F4" s="161" t="s">
        <v>480</v>
      </c>
    </row>
    <row r="5" customFormat="false" ht="15" hidden="false" customHeight="true" outlineLevel="0" collapsed="false">
      <c r="A5" s="165" t="s">
        <v>661</v>
      </c>
      <c r="B5" s="236" t="s">
        <v>846</v>
      </c>
      <c r="C5" s="165" t="s">
        <v>222</v>
      </c>
      <c r="D5" s="237" t="n">
        <v>46299</v>
      </c>
      <c r="E5" s="238" t="n">
        <f aca="false">IFERROR(INDEX(Journal!$A:$A,MATCH($A5,Journal!$B:$B,0)),"")</f>
        <v>46295</v>
      </c>
      <c r="F5" s="165" t="str">
        <f aca="true">IF(C5="Y","Done",IF(AND(E5&lt;&gt;"",TODAY()&gt;E5),"OVERDUE","Pending"))</f>
        <v>Done</v>
      </c>
    </row>
    <row r="6" customFormat="false" ht="15" hidden="false" customHeight="true" outlineLevel="0" collapsed="false">
      <c r="A6" s="165" t="s">
        <v>661</v>
      </c>
      <c r="B6" s="236" t="s">
        <v>847</v>
      </c>
      <c r="C6" s="165"/>
      <c r="D6" s="165"/>
      <c r="E6" s="238" t="n">
        <f aca="false">IFERROR(INDEX(Journal!$A:$A,MATCH($A6,Journal!$B:$B,0)),"")</f>
        <v>46295</v>
      </c>
      <c r="F6" s="165" t="str">
        <f aca="true">IF(C6="Y","Done",IF(AND(E6&lt;&gt;"",TODAY()&gt;E6),"OVERDUE","Pending"))</f>
        <v>OVERDUE</v>
      </c>
    </row>
    <row r="7" customFormat="false" ht="15" hidden="false" customHeight="true" outlineLevel="0" collapsed="false">
      <c r="A7" s="165" t="s">
        <v>661</v>
      </c>
      <c r="B7" s="236" t="s">
        <v>848</v>
      </c>
      <c r="C7" s="165"/>
      <c r="D7" s="165"/>
      <c r="E7" s="238" t="n">
        <f aca="false">IFERROR(INDEX(Journal!$A:$A,MATCH($A7,Journal!$B:$B,0)),"")</f>
        <v>46295</v>
      </c>
      <c r="F7" s="165" t="str">
        <f aca="true">IF(C7="Y","Done",IF(AND(E7&lt;&gt;"",TODAY()&gt;E7),"OVERDUE","Pending"))</f>
        <v>OVERDUE</v>
      </c>
    </row>
    <row r="8" customFormat="false" ht="34.5" hidden="false" customHeight="true" outlineLevel="0" collapsed="false">
      <c r="A8" s="165" t="s">
        <v>661</v>
      </c>
      <c r="B8" s="236" t="s">
        <v>849</v>
      </c>
      <c r="C8" s="165"/>
      <c r="D8" s="165"/>
      <c r="E8" s="238" t="n">
        <f aca="false">IFERROR(INDEX(Journal!$A:$A,MATCH($A8,Journal!$B:$B,0)),"")</f>
        <v>46295</v>
      </c>
      <c r="F8" s="165" t="str">
        <f aca="true">IF(C8="Y","Done",IF(AND(E8&lt;&gt;"",TODAY()&gt;E8),"OVERDUE","Pending"))</f>
        <v>OVERDUE</v>
      </c>
    </row>
    <row r="9" customFormat="false" ht="45.75" hidden="false" customHeight="true" outlineLevel="0" collapsed="false">
      <c r="A9" s="165" t="s">
        <v>661</v>
      </c>
      <c r="B9" s="236" t="s">
        <v>850</v>
      </c>
      <c r="C9" s="165"/>
      <c r="D9" s="165"/>
      <c r="E9" s="238" t="n">
        <f aca="false">IFERROR(INDEX(Journal!$A:$A,MATCH($A9,Journal!$B:$B,0)),"")</f>
        <v>46295</v>
      </c>
      <c r="F9" s="165" t="str">
        <f aca="true">IF(C9="Y","Done",IF(AND(E9&lt;&gt;"",TODAY()&gt;E9),"OVERDUE","Pending"))</f>
        <v>OVERDUE</v>
      </c>
    </row>
    <row r="10" customFormat="false" ht="15" hidden="false" customHeight="true" outlineLevel="0" collapsed="false">
      <c r="A10" s="165" t="s">
        <v>661</v>
      </c>
      <c r="B10" s="236" t="s">
        <v>851</v>
      </c>
      <c r="C10" s="165"/>
      <c r="D10" s="165"/>
      <c r="E10" s="238" t="n">
        <f aca="false">IFERROR(INDEX(Journal!$A:$A,MATCH($A10,Journal!$B:$B,0)),"")</f>
        <v>46295</v>
      </c>
      <c r="F10" s="165" t="str">
        <f aca="true">IF(C10="Y","Done",IF(AND(E10&lt;&gt;"",TODAY()&gt;E10),"OVERDUE","Pending"))</f>
        <v>OVERDUE</v>
      </c>
    </row>
    <row r="11" customFormat="false" ht="15" hidden="false" customHeight="true" outlineLevel="0" collapsed="false">
      <c r="A11" s="165" t="s">
        <v>661</v>
      </c>
      <c r="B11" s="236" t="s">
        <v>852</v>
      </c>
      <c r="C11" s="165"/>
      <c r="D11" s="165"/>
      <c r="E11" s="238" t="n">
        <f aca="false">IFERROR(INDEX(Journal!$A:$A,MATCH($A11,Journal!$B:$B,0)),"")</f>
        <v>46295</v>
      </c>
      <c r="F11" s="165" t="str">
        <f aca="true">IF(C11="Y","Done",IF(AND(E11&lt;&gt;"",TODAY()&gt;E11),"OVERDUE","Pending"))</f>
        <v>OVERDUE</v>
      </c>
    </row>
    <row r="12" customFormat="false" ht="15" hidden="false" customHeight="true" outlineLevel="0" collapsed="false">
      <c r="A12" s="165" t="s">
        <v>661</v>
      </c>
      <c r="B12" s="236" t="s">
        <v>853</v>
      </c>
      <c r="C12" s="165"/>
      <c r="D12" s="165"/>
      <c r="E12" s="238" t="n">
        <f aca="false">IFERROR(INDEX(Journal!$A:$A,MATCH($A12,Journal!$B:$B,0)),"")</f>
        <v>46295</v>
      </c>
      <c r="F12" s="165" t="str">
        <f aca="true">IF(C12="Y","Done",IF(AND(E12&lt;&gt;"",TODAY()&gt;E12),"OVERDUE","Pending"))</f>
        <v>OVERDUE</v>
      </c>
    </row>
    <row r="13" customFormat="false" ht="23.25" hidden="false" customHeight="true" outlineLevel="0" collapsed="false">
      <c r="A13" s="165" t="s">
        <v>665</v>
      </c>
      <c r="B13" s="236" t="s">
        <v>854</v>
      </c>
      <c r="C13" s="165"/>
      <c r="D13" s="165"/>
      <c r="E13" s="238" t="n">
        <f aca="false">IFERROR(INDEX(Journal!$A:$A,MATCH($A13,Journal!$B:$B,0)),"")</f>
        <v>46320</v>
      </c>
      <c r="F13" s="165" t="str">
        <f aca="true">IF(C13="Y","Done",IF(AND(E13&lt;&gt;"",TODAY()&gt;E13),"OVERDUE","Pending"))</f>
        <v>Pending</v>
      </c>
    </row>
    <row r="14" customFormat="false" ht="15" hidden="false" customHeight="true" outlineLevel="0" collapsed="false">
      <c r="A14" s="165" t="s">
        <v>665</v>
      </c>
      <c r="B14" s="236" t="s">
        <v>855</v>
      </c>
      <c r="C14" s="165"/>
      <c r="D14" s="165"/>
      <c r="E14" s="238" t="n">
        <f aca="false">IFERROR(INDEX(Journal!$A:$A,MATCH($A14,Journal!$B:$B,0)),"")</f>
        <v>46320</v>
      </c>
      <c r="F14" s="165" t="str">
        <f aca="true">IF(C14="Y","Done",IF(AND(E14&lt;&gt;"",TODAY()&gt;E14),"OVERDUE","Pending"))</f>
        <v>Pending</v>
      </c>
    </row>
    <row r="15" customFormat="false" ht="23.25" hidden="false" customHeight="true" outlineLevel="0" collapsed="false">
      <c r="A15" s="165" t="s">
        <v>665</v>
      </c>
      <c r="B15" s="236" t="s">
        <v>856</v>
      </c>
      <c r="C15" s="165"/>
      <c r="D15" s="165"/>
      <c r="E15" s="238" t="n">
        <f aca="false">IFERROR(INDEX(Journal!$A:$A,MATCH($A15,Journal!$B:$B,0)),"")</f>
        <v>46320</v>
      </c>
      <c r="F15" s="165" t="str">
        <f aca="true">IF(C15="Y","Done",IF(AND(E15&lt;&gt;"",TODAY()&gt;E15),"OVERDUE","Pending"))</f>
        <v>Pending</v>
      </c>
    </row>
    <row r="16" customFormat="false" ht="34.5" hidden="false" customHeight="true" outlineLevel="0" collapsed="false">
      <c r="A16" s="165" t="s">
        <v>665</v>
      </c>
      <c r="B16" s="236" t="s">
        <v>849</v>
      </c>
      <c r="C16" s="165"/>
      <c r="D16" s="165"/>
      <c r="E16" s="238" t="n">
        <f aca="false">IFERROR(INDEX(Journal!$A:$A,MATCH($A16,Journal!$B:$B,0)),"")</f>
        <v>46320</v>
      </c>
      <c r="F16" s="165" t="str">
        <f aca="true">IF(C16="Y","Done",IF(AND(E16&lt;&gt;"",TODAY()&gt;E16),"OVERDUE","Pending"))</f>
        <v>Pending</v>
      </c>
    </row>
    <row r="17" customFormat="false" ht="45.75" hidden="false" customHeight="true" outlineLevel="0" collapsed="false">
      <c r="A17" s="165" t="s">
        <v>665</v>
      </c>
      <c r="B17" s="236" t="s">
        <v>857</v>
      </c>
      <c r="C17" s="165"/>
      <c r="D17" s="165"/>
      <c r="E17" s="238" t="n">
        <f aca="false">IFERROR(INDEX(Journal!$A:$A,MATCH($A17,Journal!$B:$B,0)),"")</f>
        <v>46320</v>
      </c>
      <c r="F17" s="165" t="str">
        <f aca="true">IF(C17="Y","Done",IF(AND(E17&lt;&gt;"",TODAY()&gt;E17),"OVERDUE","Pending"))</f>
        <v>Pending</v>
      </c>
    </row>
    <row r="18" customFormat="false" ht="15" hidden="false" customHeight="true" outlineLevel="0" collapsed="false">
      <c r="A18" s="165" t="s">
        <v>665</v>
      </c>
      <c r="B18" s="236" t="s">
        <v>851</v>
      </c>
      <c r="C18" s="165"/>
      <c r="D18" s="165"/>
      <c r="E18" s="238" t="n">
        <f aca="false">IFERROR(INDEX(Journal!$A:$A,MATCH($A18,Journal!$B:$B,0)),"")</f>
        <v>46320</v>
      </c>
      <c r="F18" s="165" t="str">
        <f aca="true">IF(C18="Y","Done",IF(AND(E18&lt;&gt;"",TODAY()&gt;E18),"OVERDUE","Pending"))</f>
        <v>Pending</v>
      </c>
    </row>
    <row r="19" customFormat="false" ht="15" hidden="false" customHeight="true" outlineLevel="0" collapsed="false">
      <c r="A19" s="165" t="s">
        <v>665</v>
      </c>
      <c r="B19" s="236" t="s">
        <v>852</v>
      </c>
      <c r="C19" s="165"/>
      <c r="D19" s="165"/>
      <c r="E19" s="238" t="n">
        <f aca="false">IFERROR(INDEX(Journal!$A:$A,MATCH($A19,Journal!$B:$B,0)),"")</f>
        <v>46320</v>
      </c>
      <c r="F19" s="165" t="str">
        <f aca="true">IF(C19="Y","Done",IF(AND(E19&lt;&gt;"",TODAY()&gt;E19),"OVERDUE","Pending"))</f>
        <v>Pending</v>
      </c>
    </row>
    <row r="20" customFormat="false" ht="15" hidden="false" customHeight="true" outlineLevel="0" collapsed="false">
      <c r="A20" s="165" t="s">
        <v>665</v>
      </c>
      <c r="B20" s="236" t="s">
        <v>853</v>
      </c>
      <c r="C20" s="165"/>
      <c r="D20" s="165"/>
      <c r="E20" s="238" t="n">
        <f aca="false">IFERROR(INDEX(Journal!$A:$A,MATCH($A20,Journal!$B:$B,0)),"")</f>
        <v>46320</v>
      </c>
      <c r="F20" s="165" t="str">
        <f aca="true">IF(C20="Y","Done",IF(AND(E20&lt;&gt;"",TODAY()&gt;E20),"OVERDUE","Pending"))</f>
        <v>Pending</v>
      </c>
    </row>
    <row r="21" customFormat="false" ht="15" hidden="false" customHeight="true" outlineLevel="0" collapsed="false">
      <c r="A21" s="165" t="s">
        <v>669</v>
      </c>
      <c r="B21" s="236" t="s">
        <v>846</v>
      </c>
      <c r="C21" s="165"/>
      <c r="D21" s="165"/>
      <c r="E21" s="238" t="n">
        <f aca="false">IFERROR(INDEX(Journal!$A:$A,MATCH($A21,Journal!$B:$B,0)),"")</f>
        <v>46387</v>
      </c>
      <c r="F21" s="165" t="str">
        <f aca="true">IF(C21="Y","Done",IF(AND(E21&lt;&gt;"",TODAY()&gt;E21),"OVERDUE","Pending"))</f>
        <v>Pending</v>
      </c>
    </row>
    <row r="22" customFormat="false" ht="15" hidden="false" customHeight="true" outlineLevel="0" collapsed="false">
      <c r="A22" s="165" t="s">
        <v>669</v>
      </c>
      <c r="B22" s="236" t="s">
        <v>847</v>
      </c>
      <c r="C22" s="165"/>
      <c r="D22" s="165"/>
      <c r="E22" s="238" t="n">
        <f aca="false">IFERROR(INDEX(Journal!$A:$A,MATCH($A22,Journal!$B:$B,0)),"")</f>
        <v>46387</v>
      </c>
      <c r="F22" s="165" t="str">
        <f aca="true">IF(C22="Y","Done",IF(AND(E22&lt;&gt;"",TODAY()&gt;E22),"OVERDUE","Pending"))</f>
        <v>Pending</v>
      </c>
    </row>
    <row r="23" customFormat="false" ht="15" hidden="false" customHeight="true" outlineLevel="0" collapsed="false">
      <c r="A23" s="165" t="s">
        <v>669</v>
      </c>
      <c r="B23" s="236" t="s">
        <v>848</v>
      </c>
      <c r="C23" s="165"/>
      <c r="D23" s="165"/>
      <c r="E23" s="238" t="n">
        <f aca="false">IFERROR(INDEX(Journal!$A:$A,MATCH($A23,Journal!$B:$B,0)),"")</f>
        <v>46387</v>
      </c>
      <c r="F23" s="165" t="str">
        <f aca="true">IF(C23="Y","Done",IF(AND(E23&lt;&gt;"",TODAY()&gt;E23),"OVERDUE","Pending"))</f>
        <v>Pending</v>
      </c>
    </row>
    <row r="24" customFormat="false" ht="34.5" hidden="false" customHeight="true" outlineLevel="0" collapsed="false">
      <c r="A24" s="165" t="s">
        <v>669</v>
      </c>
      <c r="B24" s="236" t="s">
        <v>849</v>
      </c>
      <c r="C24" s="165"/>
      <c r="D24" s="165"/>
      <c r="E24" s="238" t="n">
        <f aca="false">IFERROR(INDEX(Journal!$A:$A,MATCH($A24,Journal!$B:$B,0)),"")</f>
        <v>46387</v>
      </c>
      <c r="F24" s="165" t="str">
        <f aca="true">IF(C24="Y","Done",IF(AND(E24&lt;&gt;"",TODAY()&gt;E24),"OVERDUE","Pending"))</f>
        <v>Pending</v>
      </c>
    </row>
    <row r="25" customFormat="false" ht="45.75" hidden="false" customHeight="true" outlineLevel="0" collapsed="false">
      <c r="A25" s="165" t="s">
        <v>669</v>
      </c>
      <c r="B25" s="236" t="s">
        <v>850</v>
      </c>
      <c r="C25" s="165"/>
      <c r="D25" s="165"/>
      <c r="E25" s="238" t="n">
        <f aca="false">IFERROR(INDEX(Journal!$A:$A,MATCH($A25,Journal!$B:$B,0)),"")</f>
        <v>46387</v>
      </c>
      <c r="F25" s="165" t="str">
        <f aca="true">IF(C25="Y","Done",IF(AND(E25&lt;&gt;"",TODAY()&gt;E25),"OVERDUE","Pending"))</f>
        <v>Pending</v>
      </c>
    </row>
    <row r="26" customFormat="false" ht="15" hidden="false" customHeight="true" outlineLevel="0" collapsed="false">
      <c r="A26" s="165" t="s">
        <v>669</v>
      </c>
      <c r="B26" s="236" t="s">
        <v>851</v>
      </c>
      <c r="C26" s="165"/>
      <c r="D26" s="165"/>
      <c r="E26" s="238" t="n">
        <f aca="false">IFERROR(INDEX(Journal!$A:$A,MATCH($A26,Journal!$B:$B,0)),"")</f>
        <v>46387</v>
      </c>
      <c r="F26" s="165" t="str">
        <f aca="true">IF(C26="Y","Done",IF(AND(E26&lt;&gt;"",TODAY()&gt;E26),"OVERDUE","Pending"))</f>
        <v>Pending</v>
      </c>
    </row>
    <row r="27" customFormat="false" ht="15" hidden="false" customHeight="true" outlineLevel="0" collapsed="false">
      <c r="A27" s="165" t="s">
        <v>669</v>
      </c>
      <c r="B27" s="236" t="s">
        <v>852</v>
      </c>
      <c r="C27" s="165"/>
      <c r="D27" s="165"/>
      <c r="E27" s="238" t="n">
        <f aca="false">IFERROR(INDEX(Journal!$A:$A,MATCH($A27,Journal!$B:$B,0)),"")</f>
        <v>46387</v>
      </c>
      <c r="F27" s="165" t="str">
        <f aca="true">IF(C27="Y","Done",IF(AND(E27&lt;&gt;"",TODAY()&gt;E27),"OVERDUE","Pending"))</f>
        <v>Pending</v>
      </c>
    </row>
    <row r="28" customFormat="false" ht="15" hidden="false" customHeight="true" outlineLevel="0" collapsed="false">
      <c r="A28" s="165" t="s">
        <v>669</v>
      </c>
      <c r="B28" s="236" t="s">
        <v>853</v>
      </c>
      <c r="C28" s="165"/>
      <c r="D28" s="165"/>
      <c r="E28" s="238" t="n">
        <f aca="false">IFERROR(INDEX(Journal!$A:$A,MATCH($A28,Journal!$B:$B,0)),"")</f>
        <v>46387</v>
      </c>
      <c r="F28" s="165" t="str">
        <f aca="true">IF(C28="Y","Done",IF(AND(E28&lt;&gt;"",TODAY()&gt;E28),"OVERDUE","Pending"))</f>
        <v>Pending</v>
      </c>
    </row>
    <row r="29" customFormat="false" ht="15" hidden="false" customHeight="true" outlineLevel="0" collapsed="false">
      <c r="A29" s="165" t="s">
        <v>671</v>
      </c>
      <c r="B29" s="236" t="s">
        <v>858</v>
      </c>
      <c r="C29" s="165"/>
      <c r="D29" s="165"/>
      <c r="E29" s="238" t="n">
        <f aca="false">IFERROR(INDEX(Journal!$A:$A,MATCH($A29,Journal!$B:$B,0)),"")</f>
        <v>46412</v>
      </c>
      <c r="F29" s="165" t="str">
        <f aca="true">IF(C29="Y","Done",IF(AND(E29&lt;&gt;"",TODAY()&gt;E29),"OVERDUE","Pending"))</f>
        <v>Pending</v>
      </c>
    </row>
    <row r="30" customFormat="false" ht="23.25" hidden="false" customHeight="true" outlineLevel="0" collapsed="false">
      <c r="A30" s="165" t="s">
        <v>671</v>
      </c>
      <c r="B30" s="236" t="s">
        <v>859</v>
      </c>
      <c r="C30" s="165"/>
      <c r="D30" s="165"/>
      <c r="E30" s="238" t="n">
        <f aca="false">IFERROR(INDEX(Journal!$A:$A,MATCH($A30,Journal!$B:$B,0)),"")</f>
        <v>46412</v>
      </c>
      <c r="F30" s="165" t="str">
        <f aca="true">IF(C30="Y","Done",IF(AND(E30&lt;&gt;"",TODAY()&gt;E30),"OVERDUE","Pending"))</f>
        <v>Pending</v>
      </c>
    </row>
    <row r="31" customFormat="false" ht="34.5" hidden="false" customHeight="true" outlineLevel="0" collapsed="false">
      <c r="A31" s="165" t="s">
        <v>671</v>
      </c>
      <c r="B31" s="236" t="s">
        <v>849</v>
      </c>
      <c r="C31" s="165"/>
      <c r="D31" s="165"/>
      <c r="E31" s="238" t="n">
        <f aca="false">IFERROR(INDEX(Journal!$A:$A,MATCH($A31,Journal!$B:$B,0)),"")</f>
        <v>46412</v>
      </c>
      <c r="F31" s="165" t="str">
        <f aca="true">IF(C31="Y","Done",IF(AND(E31&lt;&gt;"",TODAY()&gt;E31),"OVERDUE","Pending"))</f>
        <v>Pending</v>
      </c>
    </row>
    <row r="32" customFormat="false" ht="45.75" hidden="false" customHeight="true" outlineLevel="0" collapsed="false">
      <c r="A32" s="165" t="s">
        <v>671</v>
      </c>
      <c r="B32" s="236" t="s">
        <v>857</v>
      </c>
      <c r="C32" s="165"/>
      <c r="D32" s="237"/>
      <c r="E32" s="238" t="n">
        <f aca="false">IFERROR(INDEX(Journal!$A:$A,MATCH($A32,Journal!$B:$B,0)),"")</f>
        <v>46412</v>
      </c>
      <c r="F32" s="165" t="str">
        <f aca="true">IF(C32="Y","Done",IF(AND(E32&lt;&gt;"",TODAY()&gt;E32),"OVERDUE","Pending"))</f>
        <v>Pending</v>
      </c>
    </row>
    <row r="33" customFormat="false" ht="15" hidden="false" customHeight="true" outlineLevel="0" collapsed="false">
      <c r="A33" s="165" t="s">
        <v>671</v>
      </c>
      <c r="B33" s="236" t="s">
        <v>851</v>
      </c>
      <c r="C33" s="165"/>
      <c r="D33" s="237"/>
      <c r="E33" s="238" t="n">
        <f aca="false">IFERROR(INDEX(Journal!$A:$A,MATCH($A33,Journal!$B:$B,0)),"")</f>
        <v>46412</v>
      </c>
      <c r="F33" s="165" t="str">
        <f aca="true">IF(C33="Y","Done",IF(AND(E33&lt;&gt;"",TODAY()&gt;E33),"OVERDUE","Pending"))</f>
        <v>Pending</v>
      </c>
    </row>
    <row r="34" customFormat="false" ht="15" hidden="false" customHeight="true" outlineLevel="0" collapsed="false">
      <c r="A34" s="165" t="s">
        <v>671</v>
      </c>
      <c r="B34" s="236" t="s">
        <v>852</v>
      </c>
      <c r="C34" s="165"/>
      <c r="D34" s="237"/>
      <c r="E34" s="238" t="n">
        <f aca="false">IFERROR(INDEX(Journal!$A:$A,MATCH($A34,Journal!$B:$B,0)),"")</f>
        <v>46412</v>
      </c>
      <c r="F34" s="165" t="str">
        <f aca="true">IF(C34="Y","Done",IF(AND(E34&lt;&gt;"",TODAY()&gt;E34),"OVERDUE","Pending"))</f>
        <v>Pending</v>
      </c>
    </row>
    <row r="35" customFormat="false" ht="15" hidden="false" customHeight="true" outlineLevel="0" collapsed="false">
      <c r="A35" s="165" t="s">
        <v>671</v>
      </c>
      <c r="B35" s="236" t="s">
        <v>853</v>
      </c>
      <c r="C35" s="165"/>
      <c r="D35" s="237"/>
      <c r="E35" s="238" t="n">
        <f aca="false">IFERROR(INDEX(Journal!$A:$A,MATCH($A35,Journal!$B:$B,0)),"")</f>
        <v>46412</v>
      </c>
      <c r="F35" s="165" t="str">
        <f aca="true">IF(C35="Y","Done",IF(AND(E35&lt;&gt;"",TODAY()&gt;E35),"OVERDUE","Pending"))</f>
        <v>Pending</v>
      </c>
    </row>
    <row r="36" customFormat="false" ht="15" hidden="false" customHeight="true" outlineLevel="0" collapsed="false">
      <c r="A36" s="165" t="s">
        <v>712</v>
      </c>
      <c r="B36" s="236" t="s">
        <v>860</v>
      </c>
      <c r="C36" s="165" t="s">
        <v>222</v>
      </c>
      <c r="D36" s="237" t="n">
        <v>46295</v>
      </c>
      <c r="E36" s="238" t="n">
        <f aca="false">IFERROR(INDEX(Journal!$A:$A,MATCH($A36,Journal!$B:$B,0)),"")</f>
        <v>46295</v>
      </c>
      <c r="F36" s="165" t="str">
        <f aca="true">IF(C36="Y","Done",IF(AND(E36&lt;&gt;"",TODAY()&gt;E36),"OVERDUE","Pending"))</f>
        <v>Done</v>
      </c>
    </row>
    <row r="37" customFormat="false" ht="15" hidden="false" customHeight="true" outlineLevel="0" collapsed="false">
      <c r="A37" s="165" t="s">
        <v>712</v>
      </c>
      <c r="B37" s="236" t="s">
        <v>861</v>
      </c>
      <c r="C37" s="165" t="s">
        <v>222</v>
      </c>
      <c r="D37" s="237" t="n">
        <v>46295</v>
      </c>
      <c r="E37" s="238" t="n">
        <f aca="false">IFERROR(INDEX(Journal!$A:$A,MATCH($A37,Journal!$B:$B,0)),"")</f>
        <v>46295</v>
      </c>
      <c r="F37" s="165" t="str">
        <f aca="true">IF(C37="Y","Done",IF(AND(E37&lt;&gt;"",TODAY()&gt;E37),"OVERDUE","Pending"))</f>
        <v>Done</v>
      </c>
    </row>
    <row r="38" customFormat="false" ht="45.75" hidden="false" customHeight="true" outlineLevel="0" collapsed="false">
      <c r="A38" s="165" t="s">
        <v>712</v>
      </c>
      <c r="B38" s="236" t="s">
        <v>862</v>
      </c>
      <c r="C38" s="165" t="s">
        <v>222</v>
      </c>
      <c r="D38" s="237" t="n">
        <v>46295</v>
      </c>
      <c r="E38" s="238" t="n">
        <f aca="false">IFERROR(INDEX(Journal!$A:$A,MATCH($A38,Journal!$B:$B,0)),"")</f>
        <v>46295</v>
      </c>
      <c r="F38" s="165" t="str">
        <f aca="true">IF(C38="Y","Done",IF(AND(E38&lt;&gt;"",TODAY()&gt;E38),"OVERDUE","Pending"))</f>
        <v>Done</v>
      </c>
    </row>
    <row r="39" customFormat="false" ht="15" hidden="false" customHeight="true" outlineLevel="0" collapsed="false">
      <c r="A39" s="165" t="s">
        <v>712</v>
      </c>
      <c r="B39" s="236" t="s">
        <v>863</v>
      </c>
      <c r="C39" s="165" t="s">
        <v>222</v>
      </c>
      <c r="D39" s="237" t="n">
        <v>46295</v>
      </c>
      <c r="E39" s="238" t="n">
        <f aca="false">IFERROR(INDEX(Journal!$A:$A,MATCH($A39,Journal!$B:$B,0)),"")</f>
        <v>46295</v>
      </c>
      <c r="F39" s="165" t="str">
        <f aca="true">IF(C39="Y","Done",IF(AND(E39&lt;&gt;"",TODAY()&gt;E39),"OVERDUE","Pending"))</f>
        <v>Done</v>
      </c>
    </row>
    <row r="40" customFormat="false" ht="34.5" hidden="false" customHeight="true" outlineLevel="0" collapsed="false">
      <c r="A40" s="165" t="s">
        <v>712</v>
      </c>
      <c r="B40" s="236" t="s">
        <v>864</v>
      </c>
      <c r="C40" s="165" t="s">
        <v>222</v>
      </c>
      <c r="D40" s="237" t="n">
        <v>46295</v>
      </c>
      <c r="E40" s="238" t="n">
        <f aca="false">IFERROR(INDEX(Journal!$A:$A,MATCH($A40,Journal!$B:$B,0)),"")</f>
        <v>46295</v>
      </c>
      <c r="F40" s="165" t="str">
        <f aca="true">IF(C40="Y","Done",IF(AND(E40&lt;&gt;"",TODAY()&gt;E40),"OVERDUE","Pending"))</f>
        <v>Done</v>
      </c>
    </row>
    <row r="41" customFormat="false" ht="15" hidden="false" customHeight="true" outlineLevel="0" collapsed="false">
      <c r="A41" s="165" t="s">
        <v>712</v>
      </c>
      <c r="B41" s="236" t="s">
        <v>865</v>
      </c>
      <c r="C41" s="165" t="s">
        <v>222</v>
      </c>
      <c r="D41" s="237" t="n">
        <v>46295</v>
      </c>
      <c r="E41" s="238" t="n">
        <f aca="false">IFERROR(INDEX(Journal!$A:$A,MATCH($A41,Journal!$B:$B,0)),"")</f>
        <v>46295</v>
      </c>
      <c r="F41" s="165" t="str">
        <f aca="true">IF(C41="Y","Done",IF(AND(E41&lt;&gt;"",TODAY()&gt;E41),"OVERDUE","Pending"))</f>
        <v>Done</v>
      </c>
    </row>
    <row r="42" customFormat="false" ht="15" hidden="false" customHeight="true" outlineLevel="0" collapsed="false">
      <c r="A42" s="165" t="s">
        <v>712</v>
      </c>
      <c r="B42" s="236" t="s">
        <v>851</v>
      </c>
      <c r="C42" s="165" t="s">
        <v>222</v>
      </c>
      <c r="D42" s="237" t="n">
        <v>46295</v>
      </c>
      <c r="E42" s="238" t="n">
        <f aca="false">IFERROR(INDEX(Journal!$A:$A,MATCH($A42,Journal!$B:$B,0)),"")</f>
        <v>46295</v>
      </c>
      <c r="F42" s="165" t="str">
        <f aca="true">IF(C42="Y","Done",IF(AND(E42&lt;&gt;"",TODAY()&gt;E42),"OVERDUE","Pending"))</f>
        <v>Done</v>
      </c>
    </row>
    <row r="43" customFormat="false" ht="15" hidden="false" customHeight="true" outlineLevel="0" collapsed="false">
      <c r="A43" s="165" t="s">
        <v>712</v>
      </c>
      <c r="B43" s="236" t="s">
        <v>852</v>
      </c>
      <c r="C43" s="165" t="s">
        <v>222</v>
      </c>
      <c r="D43" s="237" t="n">
        <v>46295</v>
      </c>
      <c r="E43" s="238" t="n">
        <f aca="false">IFERROR(INDEX(Journal!$A:$A,MATCH($A43,Journal!$B:$B,0)),"")</f>
        <v>46295</v>
      </c>
      <c r="F43" s="165" t="str">
        <f aca="true">IF(C43="Y","Done",IF(AND(E43&lt;&gt;"",TODAY()&gt;E43),"OVERDUE","Pending"))</f>
        <v>Done</v>
      </c>
    </row>
    <row r="44" customFormat="false" ht="15" hidden="false" customHeight="true" outlineLevel="0" collapsed="false">
      <c r="A44" s="165" t="s">
        <v>712</v>
      </c>
      <c r="B44" s="236" t="s">
        <v>853</v>
      </c>
      <c r="C44" s="165" t="s">
        <v>222</v>
      </c>
      <c r="D44" s="237" t="n">
        <v>46295</v>
      </c>
      <c r="E44" s="238" t="n">
        <f aca="false">IFERROR(INDEX(Journal!$A:$A,MATCH($A44,Journal!$B:$B,0)),"")</f>
        <v>46295</v>
      </c>
      <c r="F44" s="165" t="str">
        <f aca="true">IF(C44="Y","Done",IF(AND(E44&lt;&gt;"",TODAY()&gt;E44),"OVERDUE","Pending"))</f>
        <v>Done</v>
      </c>
    </row>
    <row r="45" customFormat="false" ht="15" hidden="false" customHeight="true" outlineLevel="0" collapsed="false">
      <c r="A45" s="165" t="s">
        <v>714</v>
      </c>
      <c r="B45" s="236" t="s">
        <v>860</v>
      </c>
      <c r="C45" s="165" t="s">
        <v>222</v>
      </c>
      <c r="D45" s="237" t="n">
        <v>46302</v>
      </c>
      <c r="E45" s="238" t="n">
        <f aca="false">IFERROR(INDEX(Journal!$A:$A,MATCH($A45,Journal!$B:$B,0)),"")</f>
        <v>46302</v>
      </c>
      <c r="F45" s="165" t="str">
        <f aca="true">IF(C45="Y","Done",IF(AND(E45&lt;&gt;"",TODAY()&gt;E45),"OVERDUE","Pending"))</f>
        <v>Done</v>
      </c>
    </row>
    <row r="46" customFormat="false" ht="15" hidden="false" customHeight="true" outlineLevel="0" collapsed="false">
      <c r="A46" s="165" t="s">
        <v>714</v>
      </c>
      <c r="B46" s="236" t="s">
        <v>861</v>
      </c>
      <c r="C46" s="165" t="s">
        <v>222</v>
      </c>
      <c r="D46" s="237" t="n">
        <v>46302</v>
      </c>
      <c r="E46" s="238" t="n">
        <f aca="false">IFERROR(INDEX(Journal!$A:$A,MATCH($A46,Journal!$B:$B,0)),"")</f>
        <v>46302</v>
      </c>
      <c r="F46" s="165" t="str">
        <f aca="true">IF(C46="Y","Done",IF(AND(E46&lt;&gt;"",TODAY()&gt;E46),"OVERDUE","Pending"))</f>
        <v>Done</v>
      </c>
    </row>
    <row r="47" customFormat="false" ht="45.75" hidden="false" customHeight="true" outlineLevel="0" collapsed="false">
      <c r="A47" s="165" t="s">
        <v>714</v>
      </c>
      <c r="B47" s="236" t="s">
        <v>862</v>
      </c>
      <c r="C47" s="165" t="s">
        <v>222</v>
      </c>
      <c r="D47" s="237" t="n">
        <v>46302</v>
      </c>
      <c r="E47" s="238" t="n">
        <f aca="false">IFERROR(INDEX(Journal!$A:$A,MATCH($A47,Journal!$B:$B,0)),"")</f>
        <v>46302</v>
      </c>
      <c r="F47" s="165" t="str">
        <f aca="true">IF(C47="Y","Done",IF(AND(E47&lt;&gt;"",TODAY()&gt;E47),"OVERDUE","Pending"))</f>
        <v>Done</v>
      </c>
    </row>
    <row r="48" customFormat="false" ht="15" hidden="false" customHeight="true" outlineLevel="0" collapsed="false">
      <c r="A48" s="165" t="s">
        <v>714</v>
      </c>
      <c r="B48" s="236" t="s">
        <v>863</v>
      </c>
      <c r="C48" s="165" t="s">
        <v>222</v>
      </c>
      <c r="D48" s="237" t="n">
        <v>46302</v>
      </c>
      <c r="E48" s="238" t="n">
        <f aca="false">IFERROR(INDEX(Journal!$A:$A,MATCH($A48,Journal!$B:$B,0)),"")</f>
        <v>46302</v>
      </c>
      <c r="F48" s="165" t="str">
        <f aca="true">IF(C48="Y","Done",IF(AND(E48&lt;&gt;"",TODAY()&gt;E48),"OVERDUE","Pending"))</f>
        <v>Done</v>
      </c>
    </row>
    <row r="49" customFormat="false" ht="34.5" hidden="false" customHeight="true" outlineLevel="0" collapsed="false">
      <c r="A49" s="165" t="s">
        <v>714</v>
      </c>
      <c r="B49" s="236" t="s">
        <v>864</v>
      </c>
      <c r="C49" s="165" t="s">
        <v>222</v>
      </c>
      <c r="D49" s="237" t="n">
        <v>46302</v>
      </c>
      <c r="E49" s="238" t="n">
        <f aca="false">IFERROR(INDEX(Journal!$A:$A,MATCH($A49,Journal!$B:$B,0)),"")</f>
        <v>46302</v>
      </c>
      <c r="F49" s="165" t="str">
        <f aca="true">IF(C49="Y","Done",IF(AND(E49&lt;&gt;"",TODAY()&gt;E49),"OVERDUE","Pending"))</f>
        <v>Done</v>
      </c>
    </row>
    <row r="50" customFormat="false" ht="34.5" hidden="false" customHeight="true" outlineLevel="0" collapsed="false">
      <c r="A50" s="165" t="s">
        <v>714</v>
      </c>
      <c r="B50" s="236" t="s">
        <v>866</v>
      </c>
      <c r="C50" s="165" t="s">
        <v>222</v>
      </c>
      <c r="D50" s="237" t="n">
        <v>46302</v>
      </c>
      <c r="E50" s="238" t="n">
        <f aca="false">IFERROR(INDEX(Journal!$A:$A,MATCH($A50,Journal!$B:$B,0)),"")</f>
        <v>46302</v>
      </c>
      <c r="F50" s="165" t="str">
        <f aca="true">IF(C50="Y","Done",IF(AND(E50&lt;&gt;"",TODAY()&gt;E50),"OVERDUE","Pending"))</f>
        <v>Done</v>
      </c>
    </row>
    <row r="51" customFormat="false" ht="34.5" hidden="false" customHeight="true" outlineLevel="0" collapsed="false">
      <c r="A51" s="165" t="s">
        <v>714</v>
      </c>
      <c r="B51" s="236" t="s">
        <v>867</v>
      </c>
      <c r="C51" s="165" t="s">
        <v>222</v>
      </c>
      <c r="D51" s="237" t="n">
        <v>46302</v>
      </c>
      <c r="E51" s="238" t="n">
        <f aca="false">IFERROR(INDEX(Journal!$A:$A,MATCH($A51,Journal!$B:$B,0)),"")</f>
        <v>46302</v>
      </c>
      <c r="F51" s="165" t="str">
        <f aca="true">IF(C51="Y","Done",IF(AND(E51&lt;&gt;"",TODAY()&gt;E51),"OVERDUE","Pending"))</f>
        <v>Done</v>
      </c>
    </row>
    <row r="52" customFormat="false" ht="15" hidden="false" customHeight="true" outlineLevel="0" collapsed="false">
      <c r="A52" s="165" t="s">
        <v>714</v>
      </c>
      <c r="B52" s="236" t="s">
        <v>865</v>
      </c>
      <c r="C52" s="165" t="s">
        <v>222</v>
      </c>
      <c r="D52" s="237" t="n">
        <v>46302</v>
      </c>
      <c r="E52" s="238" t="n">
        <f aca="false">IFERROR(INDEX(Journal!$A:$A,MATCH($A52,Journal!$B:$B,0)),"")</f>
        <v>46302</v>
      </c>
      <c r="F52" s="165" t="str">
        <f aca="true">IF(C52="Y","Done",IF(AND(E52&lt;&gt;"",TODAY()&gt;E52),"OVERDUE","Pending"))</f>
        <v>Done</v>
      </c>
    </row>
    <row r="53" customFormat="false" ht="15" hidden="false" customHeight="true" outlineLevel="0" collapsed="false">
      <c r="A53" s="165" t="s">
        <v>714</v>
      </c>
      <c r="B53" s="236" t="s">
        <v>851</v>
      </c>
      <c r="C53" s="165" t="s">
        <v>222</v>
      </c>
      <c r="D53" s="237" t="n">
        <v>46302</v>
      </c>
      <c r="E53" s="238" t="n">
        <f aca="false">IFERROR(INDEX(Journal!$A:$A,MATCH($A53,Journal!$B:$B,0)),"")</f>
        <v>46302</v>
      </c>
      <c r="F53" s="165" t="str">
        <f aca="true">IF(C53="Y","Done",IF(AND(E53&lt;&gt;"",TODAY()&gt;E53),"OVERDUE","Pending"))</f>
        <v>Done</v>
      </c>
    </row>
    <row r="54" customFormat="false" ht="15" hidden="false" customHeight="true" outlineLevel="0" collapsed="false">
      <c r="A54" s="165" t="s">
        <v>714</v>
      </c>
      <c r="B54" s="236" t="s">
        <v>852</v>
      </c>
      <c r="C54" s="165" t="s">
        <v>222</v>
      </c>
      <c r="D54" s="237" t="n">
        <v>46302</v>
      </c>
      <c r="E54" s="238" t="n">
        <f aca="false">IFERROR(INDEX(Journal!$A:$A,MATCH($A54,Journal!$B:$B,0)),"")</f>
        <v>46302</v>
      </c>
      <c r="F54" s="165" t="str">
        <f aca="true">IF(C54="Y","Done",IF(AND(E54&lt;&gt;"",TODAY()&gt;E54),"OVERDUE","Pending"))</f>
        <v>Done</v>
      </c>
    </row>
    <row r="55" customFormat="false" ht="15" hidden="false" customHeight="true" outlineLevel="0" collapsed="false">
      <c r="A55" s="165" t="s">
        <v>714</v>
      </c>
      <c r="B55" s="236" t="s">
        <v>853</v>
      </c>
      <c r="C55" s="165" t="s">
        <v>222</v>
      </c>
      <c r="D55" s="237" t="n">
        <v>46302</v>
      </c>
      <c r="E55" s="238" t="n">
        <f aca="false">IFERROR(INDEX(Journal!$A:$A,MATCH($A55,Journal!$B:$B,0)),"")</f>
        <v>46302</v>
      </c>
      <c r="F55" s="165" t="str">
        <f aca="true">IF(C55="Y","Done",IF(AND(E55&lt;&gt;"",TODAY()&gt;E55),"OVERDUE","Pending"))</f>
        <v>Done</v>
      </c>
    </row>
    <row r="56" customFormat="false" ht="15" hidden="false" customHeight="true" outlineLevel="0" collapsed="false">
      <c r="A56" s="165" t="s">
        <v>716</v>
      </c>
      <c r="B56" s="236" t="s">
        <v>860</v>
      </c>
      <c r="C56" s="165"/>
      <c r="D56" s="165"/>
      <c r="E56" s="238" t="n">
        <f aca="false">IFERROR(INDEX(Journal!$A:$A,MATCH($A56,Journal!$B:$B,0)),"")</f>
        <v>46317</v>
      </c>
      <c r="F56" s="165" t="str">
        <f aca="true">IF(C56="Y","Done",IF(AND(E56&lt;&gt;"",TODAY()&gt;E56),"OVERDUE","Pending"))</f>
        <v>Pending</v>
      </c>
    </row>
    <row r="57" customFormat="false" ht="15" hidden="false" customHeight="true" outlineLevel="0" collapsed="false">
      <c r="A57" s="165" t="s">
        <v>716</v>
      </c>
      <c r="B57" s="236" t="s">
        <v>861</v>
      </c>
      <c r="C57" s="165"/>
      <c r="D57" s="165"/>
      <c r="E57" s="238" t="n">
        <f aca="false">IFERROR(INDEX(Journal!$A:$A,MATCH($A57,Journal!$B:$B,0)),"")</f>
        <v>46317</v>
      </c>
      <c r="F57" s="165" t="str">
        <f aca="true">IF(C57="Y","Done",IF(AND(E57&lt;&gt;"",TODAY()&gt;E57),"OVERDUE","Pending"))</f>
        <v>Pending</v>
      </c>
    </row>
    <row r="58" customFormat="false" ht="45.75" hidden="false" customHeight="true" outlineLevel="0" collapsed="false">
      <c r="A58" s="165" t="s">
        <v>716</v>
      </c>
      <c r="B58" s="236" t="s">
        <v>862</v>
      </c>
      <c r="C58" s="165"/>
      <c r="D58" s="165"/>
      <c r="E58" s="238" t="n">
        <f aca="false">IFERROR(INDEX(Journal!$A:$A,MATCH($A58,Journal!$B:$B,0)),"")</f>
        <v>46317</v>
      </c>
      <c r="F58" s="165" t="str">
        <f aca="true">IF(C58="Y","Done",IF(AND(E58&lt;&gt;"",TODAY()&gt;E58),"OVERDUE","Pending"))</f>
        <v>Pending</v>
      </c>
    </row>
    <row r="59" customFormat="false" ht="15" hidden="false" customHeight="true" outlineLevel="0" collapsed="false">
      <c r="A59" s="165" t="s">
        <v>716</v>
      </c>
      <c r="B59" s="236" t="s">
        <v>863</v>
      </c>
      <c r="C59" s="165"/>
      <c r="D59" s="165"/>
      <c r="E59" s="238" t="n">
        <f aca="false">IFERROR(INDEX(Journal!$A:$A,MATCH($A59,Journal!$B:$B,0)),"")</f>
        <v>46317</v>
      </c>
      <c r="F59" s="165" t="str">
        <f aca="true">IF(C59="Y","Done",IF(AND(E59&lt;&gt;"",TODAY()&gt;E59),"OVERDUE","Pending"))</f>
        <v>Pending</v>
      </c>
    </row>
    <row r="60" customFormat="false" ht="34.5" hidden="false" customHeight="true" outlineLevel="0" collapsed="false">
      <c r="A60" s="165" t="s">
        <v>716</v>
      </c>
      <c r="B60" s="236" t="s">
        <v>864</v>
      </c>
      <c r="C60" s="165"/>
      <c r="D60" s="165"/>
      <c r="E60" s="238" t="n">
        <f aca="false">IFERROR(INDEX(Journal!$A:$A,MATCH($A60,Journal!$B:$B,0)),"")</f>
        <v>46317</v>
      </c>
      <c r="F60" s="165" t="str">
        <f aca="true">IF(C60="Y","Done",IF(AND(E60&lt;&gt;"",TODAY()&gt;E60),"OVERDUE","Pending"))</f>
        <v>Pending</v>
      </c>
    </row>
    <row r="61" customFormat="false" ht="34.5" hidden="false" customHeight="true" outlineLevel="0" collapsed="false">
      <c r="A61" s="165" t="s">
        <v>716</v>
      </c>
      <c r="B61" s="236" t="s">
        <v>866</v>
      </c>
      <c r="C61" s="165"/>
      <c r="D61" s="165"/>
      <c r="E61" s="238" t="n">
        <f aca="false">IFERROR(INDEX(Journal!$A:$A,MATCH($A61,Journal!$B:$B,0)),"")</f>
        <v>46317</v>
      </c>
      <c r="F61" s="165" t="str">
        <f aca="true">IF(C61="Y","Done",IF(AND(E61&lt;&gt;"",TODAY()&gt;E61),"OVERDUE","Pending"))</f>
        <v>Pending</v>
      </c>
    </row>
    <row r="62" customFormat="false" ht="34.5" hidden="false" customHeight="true" outlineLevel="0" collapsed="false">
      <c r="A62" s="165" t="s">
        <v>716</v>
      </c>
      <c r="B62" s="236" t="s">
        <v>867</v>
      </c>
      <c r="C62" s="165"/>
      <c r="D62" s="165"/>
      <c r="E62" s="238" t="n">
        <f aca="false">IFERROR(INDEX(Journal!$A:$A,MATCH($A62,Journal!$B:$B,0)),"")</f>
        <v>46317</v>
      </c>
      <c r="F62" s="165" t="str">
        <f aca="true">IF(C62="Y","Done",IF(AND(E62&lt;&gt;"",TODAY()&gt;E62),"OVERDUE","Pending"))</f>
        <v>Pending</v>
      </c>
    </row>
    <row r="63" customFormat="false" ht="15" hidden="false" customHeight="true" outlineLevel="0" collapsed="false">
      <c r="A63" s="165" t="s">
        <v>716</v>
      </c>
      <c r="B63" s="236" t="s">
        <v>865</v>
      </c>
      <c r="C63" s="165"/>
      <c r="D63" s="165"/>
      <c r="E63" s="238" t="n">
        <f aca="false">IFERROR(INDEX(Journal!$A:$A,MATCH($A63,Journal!$B:$B,0)),"")</f>
        <v>46317</v>
      </c>
      <c r="F63" s="165" t="str">
        <f aca="true">IF(C63="Y","Done",IF(AND(E63&lt;&gt;"",TODAY()&gt;E63),"OVERDUE","Pending"))</f>
        <v>Pending</v>
      </c>
    </row>
    <row r="64" customFormat="false" ht="15" hidden="false" customHeight="true" outlineLevel="0" collapsed="false">
      <c r="A64" s="165" t="s">
        <v>716</v>
      </c>
      <c r="B64" s="236" t="s">
        <v>851</v>
      </c>
      <c r="C64" s="165"/>
      <c r="D64" s="165"/>
      <c r="E64" s="238" t="n">
        <f aca="false">IFERROR(INDEX(Journal!$A:$A,MATCH($A64,Journal!$B:$B,0)),"")</f>
        <v>46317</v>
      </c>
      <c r="F64" s="165" t="str">
        <f aca="true">IF(C64="Y","Done",IF(AND(E64&lt;&gt;"",TODAY()&gt;E64),"OVERDUE","Pending"))</f>
        <v>Pending</v>
      </c>
    </row>
    <row r="65" customFormat="false" ht="15" hidden="false" customHeight="true" outlineLevel="0" collapsed="false">
      <c r="A65" s="165" t="s">
        <v>716</v>
      </c>
      <c r="B65" s="236" t="s">
        <v>852</v>
      </c>
      <c r="C65" s="165"/>
      <c r="D65" s="165"/>
      <c r="E65" s="238" t="n">
        <f aca="false">IFERROR(INDEX(Journal!$A:$A,MATCH($A65,Journal!$B:$B,0)),"")</f>
        <v>46317</v>
      </c>
      <c r="F65" s="165" t="str">
        <f aca="true">IF(C65="Y","Done",IF(AND(E65&lt;&gt;"",TODAY()&gt;E65),"OVERDUE","Pending"))</f>
        <v>Pending</v>
      </c>
    </row>
    <row r="66" customFormat="false" ht="15" hidden="false" customHeight="true" outlineLevel="0" collapsed="false">
      <c r="A66" s="165" t="s">
        <v>716</v>
      </c>
      <c r="B66" s="236" t="s">
        <v>853</v>
      </c>
      <c r="C66" s="165"/>
      <c r="D66" s="165"/>
      <c r="E66" s="238" t="n">
        <f aca="false">IFERROR(INDEX(Journal!$A:$A,MATCH($A66,Journal!$B:$B,0)),"")</f>
        <v>46317</v>
      </c>
      <c r="F66" s="165" t="str">
        <f aca="true">IF(C66="Y","Done",IF(AND(E66&lt;&gt;"",TODAY()&gt;E66),"OVERDUE","Pending"))</f>
        <v>Pending</v>
      </c>
    </row>
    <row r="67" customFormat="false" ht="15" hidden="false" customHeight="true" outlineLevel="0" collapsed="false">
      <c r="A67" s="165" t="s">
        <v>718</v>
      </c>
      <c r="B67" s="236" t="s">
        <v>860</v>
      </c>
      <c r="C67" s="165"/>
      <c r="D67" s="165"/>
      <c r="E67" s="238" t="n">
        <f aca="false">IFERROR(INDEX(Journal!$A:$A,MATCH($A67,Journal!$B:$B,0)),"")</f>
        <v>46335</v>
      </c>
      <c r="F67" s="165" t="str">
        <f aca="true">IF(C67="Y","Done",IF(AND(E67&lt;&gt;"",TODAY()&gt;E67),"OVERDUE","Pending"))</f>
        <v>Pending</v>
      </c>
    </row>
    <row r="68" customFormat="false" ht="15" hidden="false" customHeight="true" outlineLevel="0" collapsed="false">
      <c r="A68" s="165" t="s">
        <v>718</v>
      </c>
      <c r="B68" s="236" t="s">
        <v>861</v>
      </c>
      <c r="C68" s="165"/>
      <c r="D68" s="165"/>
      <c r="E68" s="238" t="n">
        <f aca="false">IFERROR(INDEX(Journal!$A:$A,MATCH($A68,Journal!$B:$B,0)),"")</f>
        <v>46335</v>
      </c>
      <c r="F68" s="165" t="str">
        <f aca="true">IF(C68="Y","Done",IF(AND(E68&lt;&gt;"",TODAY()&gt;E68),"OVERDUE","Pending"))</f>
        <v>Pending</v>
      </c>
    </row>
    <row r="69" customFormat="false" ht="45.75" hidden="false" customHeight="true" outlineLevel="0" collapsed="false">
      <c r="A69" s="165" t="s">
        <v>718</v>
      </c>
      <c r="B69" s="236" t="s">
        <v>862</v>
      </c>
      <c r="C69" s="165"/>
      <c r="D69" s="165"/>
      <c r="E69" s="238" t="n">
        <f aca="false">IFERROR(INDEX(Journal!$A:$A,MATCH($A69,Journal!$B:$B,0)),"")</f>
        <v>46335</v>
      </c>
      <c r="F69" s="165" t="str">
        <f aca="true">IF(C69="Y","Done",IF(AND(E69&lt;&gt;"",TODAY()&gt;E69),"OVERDUE","Pending"))</f>
        <v>Pending</v>
      </c>
    </row>
    <row r="70" customFormat="false" ht="15" hidden="false" customHeight="true" outlineLevel="0" collapsed="false">
      <c r="A70" s="165" t="s">
        <v>718</v>
      </c>
      <c r="B70" s="236" t="s">
        <v>863</v>
      </c>
      <c r="C70" s="165"/>
      <c r="D70" s="165"/>
      <c r="E70" s="238" t="n">
        <f aca="false">IFERROR(INDEX(Journal!$A:$A,MATCH($A70,Journal!$B:$B,0)),"")</f>
        <v>46335</v>
      </c>
      <c r="F70" s="165" t="str">
        <f aca="true">IF(C70="Y","Done",IF(AND(E70&lt;&gt;"",TODAY()&gt;E70),"OVERDUE","Pending"))</f>
        <v>Pending</v>
      </c>
    </row>
    <row r="71" customFormat="false" ht="34.5" hidden="false" customHeight="true" outlineLevel="0" collapsed="false">
      <c r="A71" s="165" t="s">
        <v>718</v>
      </c>
      <c r="B71" s="236" t="s">
        <v>864</v>
      </c>
      <c r="C71" s="165"/>
      <c r="D71" s="165"/>
      <c r="E71" s="238" t="n">
        <f aca="false">IFERROR(INDEX(Journal!$A:$A,MATCH($A71,Journal!$B:$B,0)),"")</f>
        <v>46335</v>
      </c>
      <c r="F71" s="165" t="str">
        <f aca="true">IF(C71="Y","Done",IF(AND(E71&lt;&gt;"",TODAY()&gt;E71),"OVERDUE","Pending"))</f>
        <v>Pending</v>
      </c>
    </row>
    <row r="72" customFormat="false" ht="34.5" hidden="false" customHeight="true" outlineLevel="0" collapsed="false">
      <c r="A72" s="165" t="s">
        <v>718</v>
      </c>
      <c r="B72" s="236" t="s">
        <v>866</v>
      </c>
      <c r="C72" s="165"/>
      <c r="D72" s="165"/>
      <c r="E72" s="238" t="n">
        <f aca="false">IFERROR(INDEX(Journal!$A:$A,MATCH($A72,Journal!$B:$B,0)),"")</f>
        <v>46335</v>
      </c>
      <c r="F72" s="165" t="str">
        <f aca="true">IF(C72="Y","Done",IF(AND(E72&lt;&gt;"",TODAY()&gt;E72),"OVERDUE","Pending"))</f>
        <v>Pending</v>
      </c>
    </row>
    <row r="73" customFormat="false" ht="34.5" hidden="false" customHeight="true" outlineLevel="0" collapsed="false">
      <c r="A73" s="165" t="s">
        <v>718</v>
      </c>
      <c r="B73" s="236" t="s">
        <v>867</v>
      </c>
      <c r="C73" s="165"/>
      <c r="D73" s="165"/>
      <c r="E73" s="238" t="n">
        <f aca="false">IFERROR(INDEX(Journal!$A:$A,MATCH($A73,Journal!$B:$B,0)),"")</f>
        <v>46335</v>
      </c>
      <c r="F73" s="165" t="str">
        <f aca="true">IF(C73="Y","Done",IF(AND(E73&lt;&gt;"",TODAY()&gt;E73),"OVERDUE","Pending"))</f>
        <v>Pending</v>
      </c>
    </row>
    <row r="74" customFormat="false" ht="15" hidden="false" customHeight="true" outlineLevel="0" collapsed="false">
      <c r="A74" s="165" t="s">
        <v>718</v>
      </c>
      <c r="B74" s="236" t="s">
        <v>865</v>
      </c>
      <c r="C74" s="165"/>
      <c r="D74" s="165"/>
      <c r="E74" s="238" t="n">
        <f aca="false">IFERROR(INDEX(Journal!$A:$A,MATCH($A74,Journal!$B:$B,0)),"")</f>
        <v>46335</v>
      </c>
      <c r="F74" s="165" t="str">
        <f aca="true">IF(C74="Y","Done",IF(AND(E74&lt;&gt;"",TODAY()&gt;E74),"OVERDUE","Pending"))</f>
        <v>Pending</v>
      </c>
    </row>
    <row r="75" customFormat="false" ht="15" hidden="false" customHeight="true" outlineLevel="0" collapsed="false">
      <c r="A75" s="165" t="s">
        <v>718</v>
      </c>
      <c r="B75" s="236" t="s">
        <v>851</v>
      </c>
      <c r="C75" s="165"/>
      <c r="D75" s="165"/>
      <c r="E75" s="238" t="n">
        <f aca="false">IFERROR(INDEX(Journal!$A:$A,MATCH($A75,Journal!$B:$B,0)),"")</f>
        <v>46335</v>
      </c>
      <c r="F75" s="165" t="str">
        <f aca="true">IF(C75="Y","Done",IF(AND(E75&lt;&gt;"",TODAY()&gt;E75),"OVERDUE","Pending"))</f>
        <v>Pending</v>
      </c>
    </row>
    <row r="76" customFormat="false" ht="15" hidden="false" customHeight="true" outlineLevel="0" collapsed="false">
      <c r="A76" s="165" t="s">
        <v>718</v>
      </c>
      <c r="B76" s="236" t="s">
        <v>852</v>
      </c>
      <c r="C76" s="165"/>
      <c r="D76" s="165"/>
      <c r="E76" s="238" t="n">
        <f aca="false">IFERROR(INDEX(Journal!$A:$A,MATCH($A76,Journal!$B:$B,0)),"")</f>
        <v>46335</v>
      </c>
      <c r="F76" s="165" t="str">
        <f aca="true">IF(C76="Y","Done",IF(AND(E76&lt;&gt;"",TODAY()&gt;E76),"OVERDUE","Pending"))</f>
        <v>Pending</v>
      </c>
    </row>
    <row r="77" customFormat="false" ht="15" hidden="false" customHeight="true" outlineLevel="0" collapsed="false">
      <c r="A77" s="165" t="s">
        <v>718</v>
      </c>
      <c r="B77" s="236" t="s">
        <v>853</v>
      </c>
      <c r="C77" s="165"/>
      <c r="D77" s="165"/>
      <c r="E77" s="238" t="n">
        <f aca="false">IFERROR(INDEX(Journal!$A:$A,MATCH($A77,Journal!$B:$B,0)),"")</f>
        <v>46335</v>
      </c>
      <c r="F77" s="165" t="str">
        <f aca="true">IF(C77="Y","Done",IF(AND(E77&lt;&gt;"",TODAY()&gt;E77),"OVERDUE","Pending"))</f>
        <v>Pending</v>
      </c>
    </row>
    <row r="78" customFormat="false" ht="15" hidden="false" customHeight="true" outlineLevel="0" collapsed="false">
      <c r="A78" s="165" t="s">
        <v>720</v>
      </c>
      <c r="B78" s="236" t="s">
        <v>860</v>
      </c>
      <c r="C78" s="165"/>
      <c r="D78" s="165"/>
      <c r="E78" s="238" t="n">
        <f aca="false">IFERROR(INDEX(Journal!$A:$A,MATCH($A78,Journal!$B:$B,0)),"")</f>
        <v>46349</v>
      </c>
      <c r="F78" s="165" t="str">
        <f aca="true">IF(C78="Y","Done",IF(AND(E78&lt;&gt;"",TODAY()&gt;E78),"OVERDUE","Pending"))</f>
        <v>Pending</v>
      </c>
    </row>
    <row r="79" customFormat="false" ht="15" hidden="false" customHeight="true" outlineLevel="0" collapsed="false">
      <c r="A79" s="165" t="s">
        <v>720</v>
      </c>
      <c r="B79" s="236" t="s">
        <v>861</v>
      </c>
      <c r="C79" s="165"/>
      <c r="D79" s="165"/>
      <c r="E79" s="238" t="n">
        <f aca="false">IFERROR(INDEX(Journal!$A:$A,MATCH($A79,Journal!$B:$B,0)),"")</f>
        <v>46349</v>
      </c>
      <c r="F79" s="165" t="str">
        <f aca="true">IF(C79="Y","Done",IF(AND(E79&lt;&gt;"",TODAY()&gt;E79),"OVERDUE","Pending"))</f>
        <v>Pending</v>
      </c>
    </row>
    <row r="80" customFormat="false" ht="45.75" hidden="false" customHeight="true" outlineLevel="0" collapsed="false">
      <c r="A80" s="165" t="s">
        <v>720</v>
      </c>
      <c r="B80" s="236" t="s">
        <v>862</v>
      </c>
      <c r="C80" s="165"/>
      <c r="D80" s="165"/>
      <c r="E80" s="238" t="n">
        <f aca="false">IFERROR(INDEX(Journal!$A:$A,MATCH($A80,Journal!$B:$B,0)),"")</f>
        <v>46349</v>
      </c>
      <c r="F80" s="165" t="str">
        <f aca="true">IF(C80="Y","Done",IF(AND(E80&lt;&gt;"",TODAY()&gt;E80),"OVERDUE","Pending"))</f>
        <v>Pending</v>
      </c>
    </row>
    <row r="81" customFormat="false" ht="15" hidden="false" customHeight="true" outlineLevel="0" collapsed="false">
      <c r="A81" s="165" t="s">
        <v>720</v>
      </c>
      <c r="B81" s="236" t="s">
        <v>863</v>
      </c>
      <c r="C81" s="165"/>
      <c r="D81" s="165"/>
      <c r="E81" s="238" t="n">
        <f aca="false">IFERROR(INDEX(Journal!$A:$A,MATCH($A81,Journal!$B:$B,0)),"")</f>
        <v>46349</v>
      </c>
      <c r="F81" s="165" t="str">
        <f aca="true">IF(C81="Y","Done",IF(AND(E81&lt;&gt;"",TODAY()&gt;E81),"OVERDUE","Pending"))</f>
        <v>Pending</v>
      </c>
    </row>
    <row r="82" customFormat="false" ht="34.5" hidden="false" customHeight="true" outlineLevel="0" collapsed="false">
      <c r="A82" s="165" t="s">
        <v>720</v>
      </c>
      <c r="B82" s="236" t="s">
        <v>864</v>
      </c>
      <c r="C82" s="165"/>
      <c r="D82" s="165"/>
      <c r="E82" s="238" t="n">
        <f aca="false">IFERROR(INDEX(Journal!$A:$A,MATCH($A82,Journal!$B:$B,0)),"")</f>
        <v>46349</v>
      </c>
      <c r="F82" s="165" t="str">
        <f aca="true">IF(C82="Y","Done",IF(AND(E82&lt;&gt;"",TODAY()&gt;E82),"OVERDUE","Pending"))</f>
        <v>Pending</v>
      </c>
    </row>
    <row r="83" customFormat="false" ht="34.5" hidden="false" customHeight="true" outlineLevel="0" collapsed="false">
      <c r="A83" s="165" t="s">
        <v>720</v>
      </c>
      <c r="B83" s="236" t="s">
        <v>866</v>
      </c>
      <c r="C83" s="165"/>
      <c r="D83" s="165"/>
      <c r="E83" s="238" t="n">
        <f aca="false">IFERROR(INDEX(Journal!$A:$A,MATCH($A83,Journal!$B:$B,0)),"")</f>
        <v>46349</v>
      </c>
      <c r="F83" s="165" t="str">
        <f aca="true">IF(C83="Y","Done",IF(AND(E83&lt;&gt;"",TODAY()&gt;E83),"OVERDUE","Pending"))</f>
        <v>Pending</v>
      </c>
    </row>
    <row r="84" customFormat="false" ht="34.5" hidden="false" customHeight="true" outlineLevel="0" collapsed="false">
      <c r="A84" s="165" t="s">
        <v>720</v>
      </c>
      <c r="B84" s="236" t="s">
        <v>867</v>
      </c>
      <c r="C84" s="165"/>
      <c r="D84" s="165"/>
      <c r="E84" s="238" t="n">
        <f aca="false">IFERROR(INDEX(Journal!$A:$A,MATCH($A84,Journal!$B:$B,0)),"")</f>
        <v>46349</v>
      </c>
      <c r="F84" s="165" t="str">
        <f aca="true">IF(C84="Y","Done",IF(AND(E84&lt;&gt;"",TODAY()&gt;E84),"OVERDUE","Pending"))</f>
        <v>Pending</v>
      </c>
    </row>
    <row r="85" customFormat="false" ht="15" hidden="false" customHeight="true" outlineLevel="0" collapsed="false">
      <c r="A85" s="165" t="s">
        <v>720</v>
      </c>
      <c r="B85" s="236" t="s">
        <v>865</v>
      </c>
      <c r="C85" s="165"/>
      <c r="D85" s="165"/>
      <c r="E85" s="238" t="n">
        <f aca="false">IFERROR(INDEX(Journal!$A:$A,MATCH($A85,Journal!$B:$B,0)),"")</f>
        <v>46349</v>
      </c>
      <c r="F85" s="165" t="str">
        <f aca="true">IF(C85="Y","Done",IF(AND(E85&lt;&gt;"",TODAY()&gt;E85),"OVERDUE","Pending"))</f>
        <v>Pending</v>
      </c>
    </row>
    <row r="86" customFormat="false" ht="15" hidden="false" customHeight="true" outlineLevel="0" collapsed="false">
      <c r="A86" s="165" t="s">
        <v>720</v>
      </c>
      <c r="B86" s="236" t="s">
        <v>851</v>
      </c>
      <c r="C86" s="165"/>
      <c r="D86" s="165"/>
      <c r="E86" s="238" t="n">
        <f aca="false">IFERROR(INDEX(Journal!$A:$A,MATCH($A86,Journal!$B:$B,0)),"")</f>
        <v>46349</v>
      </c>
      <c r="F86" s="165" t="str">
        <f aca="true">IF(C86="Y","Done",IF(AND(E86&lt;&gt;"",TODAY()&gt;E86),"OVERDUE","Pending"))</f>
        <v>Pending</v>
      </c>
    </row>
    <row r="87" customFormat="false" ht="15" hidden="false" customHeight="true" outlineLevel="0" collapsed="false">
      <c r="A87" s="165" t="s">
        <v>720</v>
      </c>
      <c r="B87" s="236" t="s">
        <v>852</v>
      </c>
      <c r="C87" s="165"/>
      <c r="D87" s="165"/>
      <c r="E87" s="238" t="n">
        <f aca="false">IFERROR(INDEX(Journal!$A:$A,MATCH($A87,Journal!$B:$B,0)),"")</f>
        <v>46349</v>
      </c>
      <c r="F87" s="165" t="str">
        <f aca="true">IF(C87="Y","Done",IF(AND(E87&lt;&gt;"",TODAY()&gt;E87),"OVERDUE","Pending"))</f>
        <v>Pending</v>
      </c>
    </row>
    <row r="88" customFormat="false" ht="15" hidden="false" customHeight="true" outlineLevel="0" collapsed="false">
      <c r="A88" s="165" t="s">
        <v>720</v>
      </c>
      <c r="B88" s="236" t="s">
        <v>853</v>
      </c>
      <c r="C88" s="165"/>
      <c r="D88" s="165"/>
      <c r="E88" s="238" t="n">
        <f aca="false">IFERROR(INDEX(Journal!$A:$A,MATCH($A88,Journal!$B:$B,0)),"")</f>
        <v>46349</v>
      </c>
      <c r="F88" s="165" t="str">
        <f aca="true">IF(C88="Y","Done",IF(AND(E88&lt;&gt;"",TODAY()&gt;E88),"OVERDUE","Pending"))</f>
        <v>Pending</v>
      </c>
    </row>
    <row r="89" customFormat="false" ht="15" hidden="false" customHeight="true" outlineLevel="0" collapsed="false">
      <c r="A89" s="165" t="s">
        <v>722</v>
      </c>
      <c r="B89" s="236" t="s">
        <v>860</v>
      </c>
      <c r="C89" s="165"/>
      <c r="D89" s="165"/>
      <c r="E89" s="238" t="n">
        <f aca="false">IFERROR(INDEX(Journal!$A:$A,MATCH($A89,Journal!$B:$B,0)),"")</f>
        <v>46363</v>
      </c>
      <c r="F89" s="165" t="str">
        <f aca="true">IF(C89="Y","Done",IF(AND(E89&lt;&gt;"",TODAY()&gt;E89),"OVERDUE","Pending"))</f>
        <v>Pending</v>
      </c>
    </row>
    <row r="90" customFormat="false" ht="15" hidden="false" customHeight="true" outlineLevel="0" collapsed="false">
      <c r="A90" s="165" t="s">
        <v>722</v>
      </c>
      <c r="B90" s="236" t="s">
        <v>861</v>
      </c>
      <c r="C90" s="165"/>
      <c r="D90" s="165"/>
      <c r="E90" s="238" t="n">
        <f aca="false">IFERROR(INDEX(Journal!$A:$A,MATCH($A90,Journal!$B:$B,0)),"")</f>
        <v>46363</v>
      </c>
      <c r="F90" s="165" t="str">
        <f aca="true">IF(C90="Y","Done",IF(AND(E90&lt;&gt;"",TODAY()&gt;E90),"OVERDUE","Pending"))</f>
        <v>Pending</v>
      </c>
    </row>
    <row r="91" customFormat="false" ht="45.75" hidden="false" customHeight="true" outlineLevel="0" collapsed="false">
      <c r="A91" s="165" t="s">
        <v>722</v>
      </c>
      <c r="B91" s="236" t="s">
        <v>862</v>
      </c>
      <c r="C91" s="165"/>
      <c r="D91" s="165"/>
      <c r="E91" s="238" t="n">
        <f aca="false">IFERROR(INDEX(Journal!$A:$A,MATCH($A91,Journal!$B:$B,0)),"")</f>
        <v>46363</v>
      </c>
      <c r="F91" s="165" t="str">
        <f aca="true">IF(C91="Y","Done",IF(AND(E91&lt;&gt;"",TODAY()&gt;E91),"OVERDUE","Pending"))</f>
        <v>Pending</v>
      </c>
    </row>
    <row r="92" customFormat="false" ht="15" hidden="false" customHeight="true" outlineLevel="0" collapsed="false">
      <c r="A92" s="165" t="s">
        <v>722</v>
      </c>
      <c r="B92" s="236" t="s">
        <v>863</v>
      </c>
      <c r="C92" s="165"/>
      <c r="D92" s="165"/>
      <c r="E92" s="238" t="n">
        <f aca="false">IFERROR(INDEX(Journal!$A:$A,MATCH($A92,Journal!$B:$B,0)),"")</f>
        <v>46363</v>
      </c>
      <c r="F92" s="165" t="str">
        <f aca="true">IF(C92="Y","Done",IF(AND(E92&lt;&gt;"",TODAY()&gt;E92),"OVERDUE","Pending"))</f>
        <v>Pending</v>
      </c>
    </row>
    <row r="93" customFormat="false" ht="34.5" hidden="false" customHeight="true" outlineLevel="0" collapsed="false">
      <c r="A93" s="165" t="s">
        <v>722</v>
      </c>
      <c r="B93" s="236" t="s">
        <v>864</v>
      </c>
      <c r="C93" s="165"/>
      <c r="D93" s="165"/>
      <c r="E93" s="238" t="n">
        <f aca="false">IFERROR(INDEX(Journal!$A:$A,MATCH($A93,Journal!$B:$B,0)),"")</f>
        <v>46363</v>
      </c>
      <c r="F93" s="165" t="str">
        <f aca="true">IF(C93="Y","Done",IF(AND(E93&lt;&gt;"",TODAY()&gt;E93),"OVERDUE","Pending"))</f>
        <v>Pending</v>
      </c>
    </row>
    <row r="94" customFormat="false" ht="34.5" hidden="false" customHeight="true" outlineLevel="0" collapsed="false">
      <c r="A94" s="165" t="s">
        <v>722</v>
      </c>
      <c r="B94" s="236" t="s">
        <v>866</v>
      </c>
      <c r="C94" s="165"/>
      <c r="D94" s="165"/>
      <c r="E94" s="238" t="n">
        <f aca="false">IFERROR(INDEX(Journal!$A:$A,MATCH($A94,Journal!$B:$B,0)),"")</f>
        <v>46363</v>
      </c>
      <c r="F94" s="165" t="str">
        <f aca="true">IF(C94="Y","Done",IF(AND(E94&lt;&gt;"",TODAY()&gt;E94),"OVERDUE","Pending"))</f>
        <v>Pending</v>
      </c>
    </row>
    <row r="95" customFormat="false" ht="34.5" hidden="false" customHeight="true" outlineLevel="0" collapsed="false">
      <c r="A95" s="165" t="s">
        <v>722</v>
      </c>
      <c r="B95" s="236" t="s">
        <v>867</v>
      </c>
      <c r="C95" s="165"/>
      <c r="D95" s="165"/>
      <c r="E95" s="238" t="n">
        <f aca="false">IFERROR(INDEX(Journal!$A:$A,MATCH($A95,Journal!$B:$B,0)),"")</f>
        <v>46363</v>
      </c>
      <c r="F95" s="165" t="str">
        <f aca="true">IF(C95="Y","Done",IF(AND(E95&lt;&gt;"",TODAY()&gt;E95),"OVERDUE","Pending"))</f>
        <v>Pending</v>
      </c>
    </row>
    <row r="96" customFormat="false" ht="15" hidden="false" customHeight="true" outlineLevel="0" collapsed="false">
      <c r="A96" s="165" t="s">
        <v>722</v>
      </c>
      <c r="B96" s="236" t="s">
        <v>865</v>
      </c>
      <c r="C96" s="165"/>
      <c r="D96" s="165"/>
      <c r="E96" s="238" t="n">
        <f aca="false">IFERROR(INDEX(Journal!$A:$A,MATCH($A96,Journal!$B:$B,0)),"")</f>
        <v>46363</v>
      </c>
      <c r="F96" s="165" t="str">
        <f aca="true">IF(C96="Y","Done",IF(AND(E96&lt;&gt;"",TODAY()&gt;E96),"OVERDUE","Pending"))</f>
        <v>Pending</v>
      </c>
    </row>
    <row r="97" customFormat="false" ht="15" hidden="false" customHeight="true" outlineLevel="0" collapsed="false">
      <c r="A97" s="165" t="s">
        <v>722</v>
      </c>
      <c r="B97" s="236" t="s">
        <v>851</v>
      </c>
      <c r="C97" s="165"/>
      <c r="D97" s="165"/>
      <c r="E97" s="238" t="n">
        <f aca="false">IFERROR(INDEX(Journal!$A:$A,MATCH($A97,Journal!$B:$B,0)),"")</f>
        <v>46363</v>
      </c>
      <c r="F97" s="165" t="str">
        <f aca="true">IF(C97="Y","Done",IF(AND(E97&lt;&gt;"",TODAY()&gt;E97),"OVERDUE","Pending"))</f>
        <v>Pending</v>
      </c>
    </row>
    <row r="98" customFormat="false" ht="15" hidden="false" customHeight="true" outlineLevel="0" collapsed="false">
      <c r="A98" s="165" t="s">
        <v>722</v>
      </c>
      <c r="B98" s="236" t="s">
        <v>852</v>
      </c>
      <c r="C98" s="165"/>
      <c r="D98" s="165"/>
      <c r="E98" s="238" t="n">
        <f aca="false">IFERROR(INDEX(Journal!$A:$A,MATCH($A98,Journal!$B:$B,0)),"")</f>
        <v>46363</v>
      </c>
      <c r="F98" s="165" t="str">
        <f aca="true">IF(C98="Y","Done",IF(AND(E98&lt;&gt;"",TODAY()&gt;E98),"OVERDUE","Pending"))</f>
        <v>Pending</v>
      </c>
    </row>
    <row r="99" customFormat="false" ht="15" hidden="false" customHeight="true" outlineLevel="0" collapsed="false">
      <c r="A99" s="165" t="s">
        <v>722</v>
      </c>
      <c r="B99" s="236" t="s">
        <v>853</v>
      </c>
      <c r="C99" s="165"/>
      <c r="D99" s="165"/>
      <c r="E99" s="238" t="n">
        <f aca="false">IFERROR(INDEX(Journal!$A:$A,MATCH($A99,Journal!$B:$B,0)),"")</f>
        <v>46363</v>
      </c>
      <c r="F99" s="165" t="str">
        <f aca="true">IF(C99="Y","Done",IF(AND(E99&lt;&gt;"",TODAY()&gt;E99),"OVERDUE","Pending"))</f>
        <v>Pending</v>
      </c>
    </row>
    <row r="100" customFormat="false" ht="15" hidden="false" customHeight="true" outlineLevel="0" collapsed="false">
      <c r="A100" s="165" t="s">
        <v>723</v>
      </c>
      <c r="B100" s="236" t="s">
        <v>860</v>
      </c>
      <c r="C100" s="165"/>
      <c r="D100" s="165"/>
      <c r="E100" s="238" t="n">
        <f aca="false">IFERROR(INDEX(Journal!$A:$A,MATCH($A100,Journal!$B:$B,0)),"")</f>
        <v>46378</v>
      </c>
      <c r="F100" s="165" t="str">
        <f aca="true">IF(C100="Y","Done",IF(AND(E100&lt;&gt;"",TODAY()&gt;E100),"OVERDUE","Pending"))</f>
        <v>Pending</v>
      </c>
    </row>
    <row r="101" customFormat="false" ht="15" hidden="false" customHeight="true" outlineLevel="0" collapsed="false">
      <c r="A101" s="165" t="s">
        <v>723</v>
      </c>
      <c r="B101" s="236" t="s">
        <v>861</v>
      </c>
      <c r="C101" s="165"/>
      <c r="D101" s="165"/>
      <c r="E101" s="238" t="n">
        <f aca="false">IFERROR(INDEX(Journal!$A:$A,MATCH($A101,Journal!$B:$B,0)),"")</f>
        <v>46378</v>
      </c>
      <c r="F101" s="165" t="str">
        <f aca="true">IF(C101="Y","Done",IF(AND(E101&lt;&gt;"",TODAY()&gt;E101),"OVERDUE","Pending"))</f>
        <v>Pending</v>
      </c>
    </row>
    <row r="102" customFormat="false" ht="45.75" hidden="false" customHeight="true" outlineLevel="0" collapsed="false">
      <c r="A102" s="165" t="s">
        <v>723</v>
      </c>
      <c r="B102" s="236" t="s">
        <v>862</v>
      </c>
      <c r="C102" s="165"/>
      <c r="D102" s="165"/>
      <c r="E102" s="238" t="n">
        <f aca="false">IFERROR(INDEX(Journal!$A:$A,MATCH($A102,Journal!$B:$B,0)),"")</f>
        <v>46378</v>
      </c>
      <c r="F102" s="165" t="str">
        <f aca="true">IF(C102="Y","Done",IF(AND(E102&lt;&gt;"",TODAY()&gt;E102),"OVERDUE","Pending"))</f>
        <v>Pending</v>
      </c>
    </row>
    <row r="103" customFormat="false" ht="15" hidden="false" customHeight="true" outlineLevel="0" collapsed="false">
      <c r="A103" s="165" t="s">
        <v>723</v>
      </c>
      <c r="B103" s="236" t="s">
        <v>863</v>
      </c>
      <c r="C103" s="165"/>
      <c r="D103" s="165"/>
      <c r="E103" s="238" t="n">
        <f aca="false">IFERROR(INDEX(Journal!$A:$A,MATCH($A103,Journal!$B:$B,0)),"")</f>
        <v>46378</v>
      </c>
      <c r="F103" s="165" t="str">
        <f aca="true">IF(C103="Y","Done",IF(AND(E103&lt;&gt;"",TODAY()&gt;E103),"OVERDUE","Pending"))</f>
        <v>Pending</v>
      </c>
    </row>
    <row r="104" customFormat="false" ht="34.5" hidden="false" customHeight="true" outlineLevel="0" collapsed="false">
      <c r="A104" s="165" t="s">
        <v>723</v>
      </c>
      <c r="B104" s="236" t="s">
        <v>864</v>
      </c>
      <c r="C104" s="165"/>
      <c r="D104" s="165"/>
      <c r="E104" s="238" t="n">
        <f aca="false">IFERROR(INDEX(Journal!$A:$A,MATCH($A104,Journal!$B:$B,0)),"")</f>
        <v>46378</v>
      </c>
      <c r="F104" s="165" t="str">
        <f aca="true">IF(C104="Y","Done",IF(AND(E104&lt;&gt;"",TODAY()&gt;E104),"OVERDUE","Pending"))</f>
        <v>Pending</v>
      </c>
    </row>
    <row r="105" customFormat="false" ht="34.5" hidden="false" customHeight="true" outlineLevel="0" collapsed="false">
      <c r="A105" s="165" t="s">
        <v>723</v>
      </c>
      <c r="B105" s="236" t="s">
        <v>866</v>
      </c>
      <c r="C105" s="165"/>
      <c r="D105" s="165"/>
      <c r="E105" s="238" t="n">
        <f aca="false">IFERROR(INDEX(Journal!$A:$A,MATCH($A105,Journal!$B:$B,0)),"")</f>
        <v>46378</v>
      </c>
      <c r="F105" s="165" t="str">
        <f aca="true">IF(C105="Y","Done",IF(AND(E105&lt;&gt;"",TODAY()&gt;E105),"OVERDUE","Pending"))</f>
        <v>Pending</v>
      </c>
    </row>
    <row r="106" customFormat="false" ht="34.5" hidden="false" customHeight="true" outlineLevel="0" collapsed="false">
      <c r="A106" s="165" t="s">
        <v>723</v>
      </c>
      <c r="B106" s="236" t="s">
        <v>867</v>
      </c>
      <c r="C106" s="165"/>
      <c r="D106" s="165"/>
      <c r="E106" s="238" t="n">
        <f aca="false">IFERROR(INDEX(Journal!$A:$A,MATCH($A106,Journal!$B:$B,0)),"")</f>
        <v>46378</v>
      </c>
      <c r="F106" s="165" t="str">
        <f aca="true">IF(C106="Y","Done",IF(AND(E106&lt;&gt;"",TODAY()&gt;E106),"OVERDUE","Pending"))</f>
        <v>Pending</v>
      </c>
    </row>
    <row r="107" customFormat="false" ht="15" hidden="false" customHeight="true" outlineLevel="0" collapsed="false">
      <c r="A107" s="165" t="s">
        <v>723</v>
      </c>
      <c r="B107" s="236" t="s">
        <v>865</v>
      </c>
      <c r="C107" s="165"/>
      <c r="D107" s="165"/>
      <c r="E107" s="238" t="n">
        <f aca="false">IFERROR(INDEX(Journal!$A:$A,MATCH($A107,Journal!$B:$B,0)),"")</f>
        <v>46378</v>
      </c>
      <c r="F107" s="165" t="str">
        <f aca="true">IF(C107="Y","Done",IF(AND(E107&lt;&gt;"",TODAY()&gt;E107),"OVERDUE","Pending"))</f>
        <v>Pending</v>
      </c>
    </row>
    <row r="108" customFormat="false" ht="15" hidden="false" customHeight="true" outlineLevel="0" collapsed="false">
      <c r="A108" s="165" t="s">
        <v>723</v>
      </c>
      <c r="B108" s="236" t="s">
        <v>851</v>
      </c>
      <c r="C108" s="165"/>
      <c r="D108" s="165"/>
      <c r="E108" s="238" t="n">
        <f aca="false">IFERROR(INDEX(Journal!$A:$A,MATCH($A108,Journal!$B:$B,0)),"")</f>
        <v>46378</v>
      </c>
      <c r="F108" s="165" t="str">
        <f aca="true">IF(C108="Y","Done",IF(AND(E108&lt;&gt;"",TODAY()&gt;E108),"OVERDUE","Pending"))</f>
        <v>Pending</v>
      </c>
    </row>
    <row r="109" customFormat="false" ht="15" hidden="false" customHeight="true" outlineLevel="0" collapsed="false">
      <c r="A109" s="165" t="s">
        <v>723</v>
      </c>
      <c r="B109" s="236" t="s">
        <v>852</v>
      </c>
      <c r="C109" s="165"/>
      <c r="D109" s="165"/>
      <c r="E109" s="238" t="n">
        <f aca="false">IFERROR(INDEX(Journal!$A:$A,MATCH($A109,Journal!$B:$B,0)),"")</f>
        <v>46378</v>
      </c>
      <c r="F109" s="165" t="str">
        <f aca="true">IF(C109="Y","Done",IF(AND(E109&lt;&gt;"",TODAY()&gt;E109),"OVERDUE","Pending"))</f>
        <v>Pending</v>
      </c>
    </row>
    <row r="110" customFormat="false" ht="15" hidden="false" customHeight="true" outlineLevel="0" collapsed="false">
      <c r="A110" s="165" t="s">
        <v>723</v>
      </c>
      <c r="B110" s="236" t="s">
        <v>853</v>
      </c>
      <c r="C110" s="165"/>
      <c r="D110" s="165"/>
      <c r="E110" s="238" t="n">
        <f aca="false">IFERROR(INDEX(Journal!$A:$A,MATCH($A110,Journal!$B:$B,0)),"")</f>
        <v>46378</v>
      </c>
      <c r="F110" s="165" t="str">
        <f aca="true">IF(C110="Y","Done",IF(AND(E110&lt;&gt;"",TODAY()&gt;E110),"OVERDUE","Pending"))</f>
        <v>Pending</v>
      </c>
    </row>
    <row r="111" customFormat="false" ht="15" hidden="false" customHeight="true" outlineLevel="0" collapsed="false">
      <c r="A111" s="165" t="s">
        <v>724</v>
      </c>
      <c r="B111" s="236" t="s">
        <v>860</v>
      </c>
      <c r="C111" s="165"/>
      <c r="D111" s="165"/>
      <c r="E111" s="238" t="n">
        <f aca="false">IFERROR(INDEX(Journal!$A:$A,MATCH($A111,Journal!$B:$B,0)),"")</f>
        <v>46394</v>
      </c>
      <c r="F111" s="165" t="str">
        <f aca="true">IF(C111="Y","Done",IF(AND(E111&lt;&gt;"",TODAY()&gt;E111),"OVERDUE","Pending"))</f>
        <v>Pending</v>
      </c>
    </row>
    <row r="112" customFormat="false" ht="15" hidden="false" customHeight="true" outlineLevel="0" collapsed="false">
      <c r="A112" s="165" t="s">
        <v>724</v>
      </c>
      <c r="B112" s="236" t="s">
        <v>861</v>
      </c>
      <c r="C112" s="165"/>
      <c r="D112" s="165"/>
      <c r="E112" s="238" t="n">
        <f aca="false">IFERROR(INDEX(Journal!$A:$A,MATCH($A112,Journal!$B:$B,0)),"")</f>
        <v>46394</v>
      </c>
      <c r="F112" s="165" t="str">
        <f aca="true">IF(C112="Y","Done",IF(AND(E112&lt;&gt;"",TODAY()&gt;E112),"OVERDUE","Pending"))</f>
        <v>Pending</v>
      </c>
    </row>
    <row r="113" customFormat="false" ht="45.75" hidden="false" customHeight="true" outlineLevel="0" collapsed="false">
      <c r="A113" s="165" t="s">
        <v>724</v>
      </c>
      <c r="B113" s="236" t="s">
        <v>862</v>
      </c>
      <c r="C113" s="165"/>
      <c r="D113" s="165"/>
      <c r="E113" s="238" t="n">
        <f aca="false">IFERROR(INDEX(Journal!$A:$A,MATCH($A113,Journal!$B:$B,0)),"")</f>
        <v>46394</v>
      </c>
      <c r="F113" s="165" t="str">
        <f aca="true">IF(C113="Y","Done",IF(AND(E113&lt;&gt;"",TODAY()&gt;E113),"OVERDUE","Pending"))</f>
        <v>Pending</v>
      </c>
    </row>
    <row r="114" customFormat="false" ht="15" hidden="false" customHeight="true" outlineLevel="0" collapsed="false">
      <c r="A114" s="165" t="s">
        <v>724</v>
      </c>
      <c r="B114" s="236" t="s">
        <v>863</v>
      </c>
      <c r="C114" s="165"/>
      <c r="D114" s="165"/>
      <c r="E114" s="238" t="n">
        <f aca="false">IFERROR(INDEX(Journal!$A:$A,MATCH($A114,Journal!$B:$B,0)),"")</f>
        <v>46394</v>
      </c>
      <c r="F114" s="165" t="str">
        <f aca="true">IF(C114="Y","Done",IF(AND(E114&lt;&gt;"",TODAY()&gt;E114),"OVERDUE","Pending"))</f>
        <v>Pending</v>
      </c>
    </row>
    <row r="115" customFormat="false" ht="34.5" hidden="false" customHeight="true" outlineLevel="0" collapsed="false">
      <c r="A115" s="165" t="s">
        <v>724</v>
      </c>
      <c r="B115" s="236" t="s">
        <v>864</v>
      </c>
      <c r="C115" s="165"/>
      <c r="D115" s="165"/>
      <c r="E115" s="238" t="n">
        <f aca="false">IFERROR(INDEX(Journal!$A:$A,MATCH($A115,Journal!$B:$B,0)),"")</f>
        <v>46394</v>
      </c>
      <c r="F115" s="165" t="str">
        <f aca="true">IF(C115="Y","Done",IF(AND(E115&lt;&gt;"",TODAY()&gt;E115),"OVERDUE","Pending"))</f>
        <v>Pending</v>
      </c>
    </row>
    <row r="116" customFormat="false" ht="34.5" hidden="false" customHeight="true" outlineLevel="0" collapsed="false">
      <c r="A116" s="165" t="s">
        <v>724</v>
      </c>
      <c r="B116" s="236" t="s">
        <v>866</v>
      </c>
      <c r="C116" s="165"/>
      <c r="D116" s="165"/>
      <c r="E116" s="238" t="n">
        <f aca="false">IFERROR(INDEX(Journal!$A:$A,MATCH($A116,Journal!$B:$B,0)),"")</f>
        <v>46394</v>
      </c>
      <c r="F116" s="165" t="str">
        <f aca="true">IF(C116="Y","Done",IF(AND(E116&lt;&gt;"",TODAY()&gt;E116),"OVERDUE","Pending"))</f>
        <v>Pending</v>
      </c>
    </row>
    <row r="117" customFormat="false" ht="34.5" hidden="false" customHeight="true" outlineLevel="0" collapsed="false">
      <c r="A117" s="165" t="s">
        <v>724</v>
      </c>
      <c r="B117" s="236" t="s">
        <v>867</v>
      </c>
      <c r="C117" s="165"/>
      <c r="D117" s="165"/>
      <c r="E117" s="238" t="n">
        <f aca="false">IFERROR(INDEX(Journal!$A:$A,MATCH($A117,Journal!$B:$B,0)),"")</f>
        <v>46394</v>
      </c>
      <c r="F117" s="165" t="str">
        <f aca="true">IF(C117="Y","Done",IF(AND(E117&lt;&gt;"",TODAY()&gt;E117),"OVERDUE","Pending"))</f>
        <v>Pending</v>
      </c>
    </row>
    <row r="118" customFormat="false" ht="15" hidden="false" customHeight="true" outlineLevel="0" collapsed="false">
      <c r="A118" s="165" t="s">
        <v>724</v>
      </c>
      <c r="B118" s="236" t="s">
        <v>865</v>
      </c>
      <c r="C118" s="165"/>
      <c r="D118" s="165"/>
      <c r="E118" s="238" t="n">
        <f aca="false">IFERROR(INDEX(Journal!$A:$A,MATCH($A118,Journal!$B:$B,0)),"")</f>
        <v>46394</v>
      </c>
      <c r="F118" s="165" t="str">
        <f aca="true">IF(C118="Y","Done",IF(AND(E118&lt;&gt;"",TODAY()&gt;E118),"OVERDUE","Pending"))</f>
        <v>Pending</v>
      </c>
    </row>
    <row r="119" customFormat="false" ht="15" hidden="false" customHeight="true" outlineLevel="0" collapsed="false">
      <c r="A119" s="165" t="s">
        <v>724</v>
      </c>
      <c r="B119" s="236" t="s">
        <v>851</v>
      </c>
      <c r="C119" s="165"/>
      <c r="D119" s="165"/>
      <c r="E119" s="238" t="n">
        <f aca="false">IFERROR(INDEX(Journal!$A:$A,MATCH($A119,Journal!$B:$B,0)),"")</f>
        <v>46394</v>
      </c>
      <c r="F119" s="165" t="str">
        <f aca="true">IF(C119="Y","Done",IF(AND(E119&lt;&gt;"",TODAY()&gt;E119),"OVERDUE","Pending"))</f>
        <v>Pending</v>
      </c>
    </row>
    <row r="120" customFormat="false" ht="15" hidden="false" customHeight="true" outlineLevel="0" collapsed="false">
      <c r="A120" s="165" t="s">
        <v>724</v>
      </c>
      <c r="B120" s="236" t="s">
        <v>852</v>
      </c>
      <c r="C120" s="165"/>
      <c r="D120" s="165"/>
      <c r="E120" s="238" t="n">
        <f aca="false">IFERROR(INDEX(Journal!$A:$A,MATCH($A120,Journal!$B:$B,0)),"")</f>
        <v>46394</v>
      </c>
      <c r="F120" s="165" t="str">
        <f aca="true">IF(C120="Y","Done",IF(AND(E120&lt;&gt;"",TODAY()&gt;E120),"OVERDUE","Pending"))</f>
        <v>Pending</v>
      </c>
    </row>
    <row r="121" customFormat="false" ht="15" hidden="false" customHeight="true" outlineLevel="0" collapsed="false">
      <c r="A121" s="165" t="s">
        <v>724</v>
      </c>
      <c r="B121" s="236" t="s">
        <v>853</v>
      </c>
      <c r="C121" s="165"/>
      <c r="D121" s="165"/>
      <c r="E121" s="238" t="n">
        <f aca="false">IFERROR(INDEX(Journal!$A:$A,MATCH($A121,Journal!$B:$B,0)),"")</f>
        <v>46394</v>
      </c>
      <c r="F121" s="165"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9"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9" width="16.83"/>
    <col collapsed="false" customWidth="true" hidden="false" outlineLevel="0" max="6" min="6" style="240" width="75.83"/>
    <col collapsed="false" customWidth="false" hidden="false" outlineLevel="0" max="16384" min="7" style="24" width="8.67"/>
  </cols>
  <sheetData>
    <row r="1" customFormat="false" ht="23.25" hidden="false" customHeight="true" outlineLevel="0" collapsed="false">
      <c r="A1" s="241" t="s">
        <v>868</v>
      </c>
      <c r="B1" s="241"/>
      <c r="C1" s="241"/>
      <c r="D1" s="241"/>
      <c r="E1" s="241"/>
      <c r="F1" s="241"/>
    </row>
    <row r="2" customFormat="false" ht="13.5" hidden="false" customHeight="true" outlineLevel="0" collapsed="false">
      <c r="A2" s="242" t="s">
        <v>869</v>
      </c>
      <c r="B2" s="243"/>
      <c r="C2" s="244" t="n">
        <f aca="false">SUMPRODUCT(($A$5:$A$200&lt;&gt;"")*($C$5:$C$200&lt;&gt;"Y"))</f>
        <v>32</v>
      </c>
      <c r="D2" s="243"/>
      <c r="F2" s="245"/>
    </row>
    <row r="3" customFormat="false" ht="13.5" hidden="false" customHeight="true" outlineLevel="0" collapsed="false">
      <c r="A3" s="243"/>
      <c r="B3" s="243"/>
      <c r="C3" s="243"/>
      <c r="D3" s="243"/>
      <c r="F3" s="245"/>
    </row>
    <row r="4" customFormat="false" ht="33.75" hidden="false" customHeight="true" outlineLevel="0" collapsed="false">
      <c r="A4" s="161" t="s">
        <v>870</v>
      </c>
      <c r="B4" s="161" t="s">
        <v>871</v>
      </c>
      <c r="C4" s="161" t="s">
        <v>843</v>
      </c>
      <c r="D4" s="161" t="s">
        <v>872</v>
      </c>
      <c r="E4" s="161" t="s">
        <v>873</v>
      </c>
      <c r="F4" s="161" t="s">
        <v>219</v>
      </c>
    </row>
    <row r="5" customFormat="false" ht="27.75" hidden="false" customHeight="true" outlineLevel="0" collapsed="false">
      <c r="A5" s="246" t="n">
        <v>1</v>
      </c>
      <c r="B5" s="247" t="s">
        <v>874</v>
      </c>
      <c r="C5" s="246" t="s">
        <v>222</v>
      </c>
      <c r="D5" s="248" t="n">
        <v>46276</v>
      </c>
      <c r="E5" s="248" t="n">
        <v>46276</v>
      </c>
      <c r="F5" s="247" t="s">
        <v>875</v>
      </c>
    </row>
    <row r="6" customFormat="false" ht="27.75" hidden="false" customHeight="true" outlineLevel="0" collapsed="false">
      <c r="A6" s="246" t="n">
        <v>2</v>
      </c>
      <c r="B6" s="247" t="s">
        <v>876</v>
      </c>
      <c r="C6" s="246" t="s">
        <v>222</v>
      </c>
      <c r="D6" s="248" t="n">
        <v>46276</v>
      </c>
      <c r="E6" s="248" t="n">
        <v>46276</v>
      </c>
      <c r="F6" s="247" t="s">
        <v>877</v>
      </c>
    </row>
    <row r="7" customFormat="false" ht="27.75" hidden="false" customHeight="true" outlineLevel="0" collapsed="false">
      <c r="A7" s="246" t="n">
        <v>3</v>
      </c>
      <c r="B7" s="247" t="s">
        <v>878</v>
      </c>
      <c r="C7" s="246" t="s">
        <v>222</v>
      </c>
      <c r="D7" s="248" t="n">
        <v>46260</v>
      </c>
      <c r="E7" s="248" t="n">
        <v>46278</v>
      </c>
      <c r="F7" s="247" t="s">
        <v>879</v>
      </c>
    </row>
    <row r="8" customFormat="false" ht="27.75" hidden="false" customHeight="true" outlineLevel="0" collapsed="false">
      <c r="A8" s="246" t="n">
        <v>4</v>
      </c>
      <c r="B8" s="247" t="s">
        <v>880</v>
      </c>
      <c r="C8" s="246"/>
      <c r="D8" s="248" t="n">
        <v>46273</v>
      </c>
      <c r="E8" s="248"/>
      <c r="F8" s="247"/>
    </row>
    <row r="9" customFormat="false" ht="27.75" hidden="false" customHeight="true" outlineLevel="0" collapsed="false">
      <c r="A9" s="246" t="n">
        <v>5</v>
      </c>
      <c r="B9" s="247" t="s">
        <v>881</v>
      </c>
      <c r="C9" s="246"/>
      <c r="D9" s="248" t="n">
        <v>46273</v>
      </c>
      <c r="E9" s="248"/>
      <c r="F9" s="247"/>
    </row>
    <row r="10" customFormat="false" ht="27.75" hidden="false" customHeight="true" outlineLevel="0" collapsed="false">
      <c r="A10" s="246" t="n">
        <v>6</v>
      </c>
      <c r="B10" s="247" t="s">
        <v>882</v>
      </c>
      <c r="C10" s="246"/>
      <c r="D10" s="248" t="n">
        <v>46273</v>
      </c>
      <c r="E10" s="248"/>
      <c r="F10" s="247"/>
    </row>
    <row r="11" customFormat="false" ht="27.75" hidden="false" customHeight="true" outlineLevel="0" collapsed="false">
      <c r="A11" s="246" t="n">
        <v>7</v>
      </c>
      <c r="B11" s="247" t="s">
        <v>883</v>
      </c>
      <c r="C11" s="246" t="s">
        <v>222</v>
      </c>
      <c r="D11" s="248" t="n">
        <v>46258</v>
      </c>
      <c r="E11" s="248" t="n">
        <v>46278</v>
      </c>
      <c r="F11" s="247" t="s">
        <v>884</v>
      </c>
    </row>
    <row r="12" customFormat="false" ht="27.75" hidden="false" customHeight="true" outlineLevel="0" collapsed="false">
      <c r="A12" s="246" t="n">
        <v>8</v>
      </c>
      <c r="B12" s="247" t="s">
        <v>885</v>
      </c>
      <c r="C12" s="246"/>
      <c r="D12" s="248" t="n">
        <v>46252</v>
      </c>
      <c r="E12" s="248"/>
      <c r="F12" s="247"/>
    </row>
    <row r="13" customFormat="false" ht="42" hidden="false" customHeight="true" outlineLevel="0" collapsed="false">
      <c r="A13" s="246" t="n">
        <v>9</v>
      </c>
      <c r="B13" s="247" t="s">
        <v>886</v>
      </c>
      <c r="C13" s="246"/>
      <c r="D13" s="248" t="n">
        <v>46276</v>
      </c>
      <c r="E13" s="248"/>
      <c r="F13" s="247" t="s">
        <v>887</v>
      </c>
    </row>
    <row r="14" customFormat="false" ht="27.75" hidden="false" customHeight="true" outlineLevel="0" collapsed="false">
      <c r="A14" s="246" t="n">
        <v>10</v>
      </c>
      <c r="B14" s="247" t="s">
        <v>888</v>
      </c>
      <c r="C14" s="246"/>
      <c r="D14" s="248" t="n">
        <v>46260</v>
      </c>
      <c r="E14" s="248"/>
      <c r="F14" s="247"/>
    </row>
    <row r="15" customFormat="false" ht="55.5" hidden="false" customHeight="true" outlineLevel="0" collapsed="false">
      <c r="A15" s="246" t="n">
        <v>11</v>
      </c>
      <c r="B15" s="247" t="s">
        <v>889</v>
      </c>
      <c r="C15" s="246"/>
      <c r="D15" s="248" t="n">
        <v>46276</v>
      </c>
      <c r="E15" s="246"/>
      <c r="F15" s="247" t="s">
        <v>890</v>
      </c>
    </row>
    <row r="16" customFormat="false" ht="45" hidden="false" customHeight="true" outlineLevel="0" collapsed="false">
      <c r="A16" s="246" t="n">
        <v>12</v>
      </c>
      <c r="B16" s="247" t="s">
        <v>891</v>
      </c>
      <c r="C16" s="249" t="s">
        <v>222</v>
      </c>
      <c r="D16" s="250" t="n">
        <v>46278</v>
      </c>
      <c r="E16" s="251" t="n">
        <v>46278</v>
      </c>
      <c r="F16" s="252" t="s">
        <v>892</v>
      </c>
    </row>
    <row r="17" customFormat="false" ht="55.5" hidden="false" customHeight="true" outlineLevel="0" collapsed="false">
      <c r="A17" s="246" t="n">
        <v>13</v>
      </c>
      <c r="B17" s="247" t="s">
        <v>893</v>
      </c>
      <c r="C17" s="249"/>
      <c r="D17" s="250" t="n">
        <v>46294</v>
      </c>
      <c r="E17" s="253"/>
      <c r="F17" s="252"/>
    </row>
    <row r="18" customFormat="false" ht="178.5" hidden="false" customHeight="true" outlineLevel="0" collapsed="false">
      <c r="A18" s="246" t="n">
        <v>14</v>
      </c>
      <c r="B18" s="247" t="s">
        <v>894</v>
      </c>
      <c r="C18" s="249"/>
      <c r="D18" s="250" t="n">
        <v>46295</v>
      </c>
      <c r="E18" s="253"/>
      <c r="F18" s="252" t="s">
        <v>895</v>
      </c>
    </row>
    <row r="19" customFormat="false" ht="42" hidden="false" customHeight="true" outlineLevel="0" collapsed="false">
      <c r="A19" s="246" t="n">
        <v>15</v>
      </c>
      <c r="B19" s="247" t="s">
        <v>896</v>
      </c>
      <c r="C19" s="249"/>
      <c r="D19" s="250" t="n">
        <v>46295</v>
      </c>
      <c r="E19" s="253"/>
      <c r="F19" s="252" t="s">
        <v>897</v>
      </c>
    </row>
    <row r="20" customFormat="false" ht="27.75" hidden="false" customHeight="true" outlineLevel="0" collapsed="false">
      <c r="A20" s="246" t="n">
        <v>16</v>
      </c>
      <c r="B20" s="247" t="s">
        <v>898</v>
      </c>
      <c r="C20" s="249"/>
      <c r="D20" s="250" t="n">
        <v>46295</v>
      </c>
      <c r="E20" s="253"/>
      <c r="F20" s="252" t="s">
        <v>899</v>
      </c>
    </row>
    <row r="21" customFormat="false" ht="55.5" hidden="false" customHeight="true" outlineLevel="0" collapsed="false">
      <c r="A21" s="246" t="n">
        <v>17</v>
      </c>
      <c r="B21" s="247" t="s">
        <v>900</v>
      </c>
      <c r="C21" s="249"/>
      <c r="D21" s="250" t="n">
        <v>46296</v>
      </c>
      <c r="E21" s="253"/>
      <c r="F21" s="252" t="s">
        <v>901</v>
      </c>
    </row>
    <row r="22" customFormat="false" ht="69.75" hidden="false" customHeight="true" outlineLevel="0" collapsed="false">
      <c r="A22" s="246" t="n">
        <v>18</v>
      </c>
      <c r="B22" s="247" t="s">
        <v>902</v>
      </c>
      <c r="C22" s="249"/>
      <c r="D22" s="250" t="n">
        <v>46296</v>
      </c>
      <c r="E22" s="253"/>
      <c r="F22" s="252" t="s">
        <v>903</v>
      </c>
    </row>
    <row r="23" customFormat="false" ht="151.5" hidden="false" customHeight="true" outlineLevel="0" collapsed="false">
      <c r="A23" s="246" t="n">
        <v>19</v>
      </c>
      <c r="B23" s="247" t="s">
        <v>904</v>
      </c>
      <c r="C23" s="249"/>
      <c r="D23" s="250" t="n">
        <v>46297</v>
      </c>
      <c r="E23" s="253"/>
      <c r="F23" s="252" t="s">
        <v>905</v>
      </c>
    </row>
    <row r="24" customFormat="false" ht="325.5" hidden="false" customHeight="true" outlineLevel="0" collapsed="false">
      <c r="A24" s="246" t="n">
        <v>20</v>
      </c>
      <c r="B24" s="247" t="s">
        <v>906</v>
      </c>
      <c r="C24" s="249"/>
      <c r="D24" s="250" t="n">
        <v>46297</v>
      </c>
      <c r="E24" s="253"/>
      <c r="F24" s="252" t="s">
        <v>907</v>
      </c>
    </row>
    <row r="25" customFormat="false" ht="60" hidden="false" customHeight="true" outlineLevel="0" collapsed="false">
      <c r="A25" s="246" t="n">
        <v>21</v>
      </c>
      <c r="B25" s="247" t="s">
        <v>908</v>
      </c>
      <c r="C25" s="249"/>
      <c r="D25" s="250" t="n">
        <v>46297</v>
      </c>
      <c r="E25" s="253"/>
      <c r="F25" s="252" t="s">
        <v>909</v>
      </c>
    </row>
    <row r="26" customFormat="false" ht="55.5" hidden="false" customHeight="true" outlineLevel="0" collapsed="false">
      <c r="A26" s="246" t="n">
        <v>22</v>
      </c>
      <c r="B26" s="247" t="s">
        <v>910</v>
      </c>
      <c r="C26" s="249"/>
      <c r="D26" s="250" t="n">
        <v>46297</v>
      </c>
      <c r="E26" s="253"/>
      <c r="F26" s="252" t="s">
        <v>911</v>
      </c>
    </row>
    <row r="27" customFormat="false" ht="42" hidden="false" customHeight="true" outlineLevel="0" collapsed="false">
      <c r="A27" s="246" t="n">
        <v>23</v>
      </c>
      <c r="B27" s="247" t="s">
        <v>912</v>
      </c>
      <c r="C27" s="249"/>
      <c r="D27" s="250" t="n">
        <v>46297</v>
      </c>
      <c r="E27" s="253"/>
      <c r="F27" s="252" t="s">
        <v>913</v>
      </c>
    </row>
    <row r="28" customFormat="false" ht="124.5" hidden="false" customHeight="true" outlineLevel="0" collapsed="false">
      <c r="A28" s="246" t="n">
        <v>24</v>
      </c>
      <c r="B28" s="247" t="s">
        <v>914</v>
      </c>
      <c r="C28" s="249" t="s">
        <v>222</v>
      </c>
      <c r="D28" s="250" t="n">
        <v>46297</v>
      </c>
      <c r="E28" s="251" t="n">
        <v>46301</v>
      </c>
      <c r="F28" s="252" t="s">
        <v>915</v>
      </c>
    </row>
    <row r="29" customFormat="false" ht="55.5" hidden="false" customHeight="true" outlineLevel="0" collapsed="false">
      <c r="A29" s="246" t="n">
        <v>25</v>
      </c>
      <c r="B29" s="247" t="s">
        <v>916</v>
      </c>
      <c r="C29" s="249"/>
      <c r="D29" s="250" t="n">
        <v>46299</v>
      </c>
      <c r="E29" s="253"/>
      <c r="F29" s="252" t="s">
        <v>917</v>
      </c>
    </row>
    <row r="30" customFormat="false" ht="30" hidden="false" customHeight="true" outlineLevel="0" collapsed="false">
      <c r="A30" s="246" t="n">
        <v>26</v>
      </c>
      <c r="B30" s="247" t="s">
        <v>918</v>
      </c>
      <c r="C30" s="249"/>
      <c r="D30" s="250" t="n">
        <v>46299</v>
      </c>
      <c r="E30" s="253"/>
      <c r="F30" s="252" t="s">
        <v>919</v>
      </c>
    </row>
    <row r="31" customFormat="false" ht="42" hidden="false" customHeight="true" outlineLevel="0" collapsed="false">
      <c r="A31" s="246" t="n">
        <v>27</v>
      </c>
      <c r="B31" s="247" t="s">
        <v>920</v>
      </c>
      <c r="C31" s="249"/>
      <c r="D31" s="250" t="n">
        <v>46299</v>
      </c>
      <c r="E31" s="253"/>
      <c r="F31" s="252" t="s">
        <v>921</v>
      </c>
    </row>
    <row r="32" customFormat="false" ht="69.75" hidden="false" customHeight="true" outlineLevel="0" collapsed="false">
      <c r="A32" s="246" t="n">
        <v>28</v>
      </c>
      <c r="B32" s="247" t="s">
        <v>922</v>
      </c>
      <c r="C32" s="249" t="s">
        <v>222</v>
      </c>
      <c r="D32" s="250" t="n">
        <v>46299</v>
      </c>
      <c r="E32" s="248" t="n">
        <v>46299</v>
      </c>
      <c r="F32" s="252" t="s">
        <v>923</v>
      </c>
    </row>
    <row r="33" customFormat="false" ht="181.5" hidden="false" customHeight="true" outlineLevel="0" collapsed="false">
      <c r="A33" s="246" t="n">
        <v>29</v>
      </c>
      <c r="B33" s="247" t="s">
        <v>924</v>
      </c>
      <c r="C33" s="249" t="s">
        <v>222</v>
      </c>
      <c r="D33" s="250" t="n">
        <v>46299</v>
      </c>
      <c r="E33" s="248" t="n">
        <v>46299</v>
      </c>
      <c r="F33" s="252" t="s">
        <v>925</v>
      </c>
    </row>
    <row r="34" customFormat="false" ht="64.5" hidden="false" customHeight="true" outlineLevel="0" collapsed="false">
      <c r="A34" s="246" t="n">
        <v>30</v>
      </c>
      <c r="B34" s="247" t="s">
        <v>926</v>
      </c>
      <c r="C34" s="249"/>
      <c r="D34" s="250" t="n">
        <v>46299</v>
      </c>
      <c r="E34" s="248"/>
      <c r="F34" s="252" t="s">
        <v>927</v>
      </c>
    </row>
    <row r="35" customFormat="false" ht="150" hidden="false" customHeight="true" outlineLevel="0" collapsed="false">
      <c r="A35" s="246" t="n">
        <v>31</v>
      </c>
      <c r="B35" s="247" t="s">
        <v>928</v>
      </c>
      <c r="C35" s="249" t="s">
        <v>222</v>
      </c>
      <c r="D35" s="250" t="n">
        <v>46300</v>
      </c>
      <c r="E35" s="248" t="n">
        <v>46300</v>
      </c>
      <c r="F35" s="252" t="s">
        <v>929</v>
      </c>
    </row>
    <row r="36" customFormat="false" ht="94.5" hidden="false" customHeight="true" outlineLevel="0" collapsed="false">
      <c r="A36" s="246" t="n">
        <v>32</v>
      </c>
      <c r="B36" s="247" t="s">
        <v>930</v>
      </c>
      <c r="C36" s="249"/>
      <c r="D36" s="250" t="n">
        <v>46300</v>
      </c>
      <c r="E36" s="248"/>
      <c r="F36" s="252" t="s">
        <v>931</v>
      </c>
    </row>
    <row r="37" customFormat="false" ht="138" hidden="false" customHeight="true" outlineLevel="0" collapsed="false">
      <c r="A37" s="246" t="n">
        <v>33</v>
      </c>
      <c r="B37" s="247" t="s">
        <v>932</v>
      </c>
      <c r="C37" s="249"/>
      <c r="D37" s="250" t="n">
        <v>46301</v>
      </c>
      <c r="E37" s="248"/>
      <c r="F37" s="252" t="s">
        <v>933</v>
      </c>
    </row>
    <row r="38" customFormat="false" ht="111" hidden="false" customHeight="true" outlineLevel="0" collapsed="false">
      <c r="A38" s="246" t="n">
        <v>34</v>
      </c>
      <c r="B38" s="247" t="s">
        <v>934</v>
      </c>
      <c r="C38" s="249"/>
      <c r="D38" s="250" t="n">
        <v>46301</v>
      </c>
      <c r="E38" s="248"/>
      <c r="F38" s="252" t="s">
        <v>935</v>
      </c>
    </row>
    <row r="39" customFormat="false" ht="111" hidden="false" customHeight="true" outlineLevel="0" collapsed="false">
      <c r="A39" s="246" t="n">
        <v>35</v>
      </c>
      <c r="B39" s="247" t="s">
        <v>936</v>
      </c>
      <c r="C39" s="249"/>
      <c r="D39" s="250" t="n">
        <v>46301</v>
      </c>
      <c r="E39" s="248"/>
      <c r="F39" s="252" t="s">
        <v>937</v>
      </c>
    </row>
    <row r="40" customFormat="false" ht="178.5" hidden="false" customHeight="true" outlineLevel="0" collapsed="false">
      <c r="A40" s="246" t="n">
        <v>36</v>
      </c>
      <c r="B40" s="247" t="s">
        <v>938</v>
      </c>
      <c r="C40" s="249"/>
      <c r="D40" s="250" t="n">
        <v>46302</v>
      </c>
      <c r="E40" s="248"/>
      <c r="F40" s="252" t="s">
        <v>939</v>
      </c>
    </row>
    <row r="41" customFormat="false" ht="273" hidden="false" customHeight="true" outlineLevel="0" collapsed="false">
      <c r="A41" s="246" t="n">
        <v>37</v>
      </c>
      <c r="B41" s="247" t="s">
        <v>940</v>
      </c>
      <c r="C41" s="249"/>
      <c r="D41" s="250" t="n">
        <v>46302</v>
      </c>
      <c r="E41" s="248"/>
      <c r="F41" s="252" t="s">
        <v>941</v>
      </c>
    </row>
    <row r="42" customFormat="false" ht="57" hidden="false" customHeight="true" outlineLevel="0" collapsed="false">
      <c r="A42" s="246" t="n">
        <v>38</v>
      </c>
      <c r="B42" s="247" t="s">
        <v>942</v>
      </c>
      <c r="C42" s="249"/>
      <c r="D42" s="250" t="n">
        <v>46302</v>
      </c>
      <c r="E42" s="248"/>
      <c r="F42" s="252" t="s">
        <v>943</v>
      </c>
    </row>
    <row r="43" customFormat="false" ht="138" hidden="false" customHeight="true" outlineLevel="0" collapsed="false">
      <c r="A43" s="246" t="n">
        <v>39</v>
      </c>
      <c r="B43" s="247" t="s">
        <v>944</v>
      </c>
      <c r="C43" s="249" t="s">
        <v>222</v>
      </c>
      <c r="D43" s="250" t="n">
        <v>46302</v>
      </c>
      <c r="E43" s="248" t="n">
        <v>46303</v>
      </c>
      <c r="F43" s="252" t="s">
        <v>945</v>
      </c>
    </row>
    <row r="44" customFormat="false" ht="246" hidden="false" customHeight="true" outlineLevel="0" collapsed="false">
      <c r="A44" s="246" t="n">
        <v>40</v>
      </c>
      <c r="B44" s="247" t="s">
        <v>946</v>
      </c>
      <c r="C44" s="249" t="s">
        <v>222</v>
      </c>
      <c r="D44" s="250" t="n">
        <v>46302</v>
      </c>
      <c r="E44" s="248" t="n">
        <v>46303</v>
      </c>
      <c r="F44" s="252" t="s">
        <v>947</v>
      </c>
    </row>
    <row r="45" customFormat="false" ht="246" hidden="false" customHeight="true" outlineLevel="0" collapsed="false">
      <c r="A45" s="246" t="n">
        <v>41</v>
      </c>
      <c r="B45" s="247" t="s">
        <v>948</v>
      </c>
      <c r="C45" s="249" t="s">
        <v>222</v>
      </c>
      <c r="D45" s="250" t="n">
        <v>46303</v>
      </c>
      <c r="E45" s="248" t="n">
        <v>46303</v>
      </c>
      <c r="F45" s="252" t="s">
        <v>949</v>
      </c>
    </row>
    <row r="46" customFormat="false" ht="178.5" hidden="false" customHeight="true" outlineLevel="0" collapsed="false">
      <c r="A46" s="246" t="n">
        <v>42</v>
      </c>
      <c r="B46" s="247" t="s">
        <v>950</v>
      </c>
      <c r="C46" s="249"/>
      <c r="D46" s="250" t="n">
        <v>46303</v>
      </c>
      <c r="E46" s="248"/>
      <c r="F46" s="252" t="s">
        <v>951</v>
      </c>
    </row>
    <row r="47" customFormat="false" ht="367.5" hidden="false" customHeight="true" outlineLevel="0" collapsed="false">
      <c r="A47" s="246" t="n">
        <v>43</v>
      </c>
      <c r="B47" s="247" t="s">
        <v>952</v>
      </c>
      <c r="C47" s="249"/>
      <c r="D47" s="250" t="n">
        <v>46303</v>
      </c>
      <c r="E47" s="248"/>
      <c r="F47" s="252" t="s">
        <v>953</v>
      </c>
    </row>
    <row r="48" customFormat="false" ht="151.5" hidden="false" customHeight="true" outlineLevel="0" collapsed="false">
      <c r="A48" s="246" t="n">
        <v>44</v>
      </c>
      <c r="B48" s="247" t="s">
        <v>954</v>
      </c>
      <c r="C48" s="249"/>
      <c r="D48" s="250" t="n">
        <v>46303</v>
      </c>
      <c r="E48" s="248"/>
      <c r="F48" s="252" t="s">
        <v>955</v>
      </c>
    </row>
    <row r="49" customFormat="false" ht="13.5" hidden="false" customHeight="true" outlineLevel="0" collapsed="false">
      <c r="A49" s="253"/>
      <c r="B49" s="249"/>
      <c r="C49" s="249"/>
      <c r="D49" s="249"/>
      <c r="E49" s="253"/>
      <c r="F49" s="252"/>
    </row>
    <row r="50" customFormat="false" ht="13.5" hidden="false" customHeight="true" outlineLevel="0" collapsed="false">
      <c r="A50" s="253"/>
      <c r="B50" s="249"/>
      <c r="C50" s="249"/>
      <c r="D50" s="249"/>
      <c r="E50" s="253"/>
      <c r="F50" s="252"/>
    </row>
    <row r="51" customFormat="false" ht="13.5" hidden="false" customHeight="true" outlineLevel="0" collapsed="false">
      <c r="A51" s="253"/>
      <c r="B51" s="249"/>
      <c r="C51" s="249"/>
      <c r="D51" s="249"/>
      <c r="E51" s="253"/>
      <c r="F51" s="252"/>
    </row>
    <row r="52" customFormat="false" ht="13.5" hidden="false" customHeight="true" outlineLevel="0" collapsed="false">
      <c r="A52" s="253"/>
      <c r="B52" s="249"/>
      <c r="C52" s="249"/>
      <c r="D52" s="249"/>
      <c r="E52" s="253"/>
      <c r="F52" s="252"/>
    </row>
    <row r="53" customFormat="false" ht="13.5" hidden="false" customHeight="true" outlineLevel="0" collapsed="false">
      <c r="A53" s="253"/>
      <c r="B53" s="249"/>
      <c r="C53" s="249"/>
      <c r="D53" s="249"/>
      <c r="E53" s="253"/>
      <c r="F53" s="252"/>
    </row>
    <row r="54" customFormat="false" ht="13.5" hidden="false" customHeight="true" outlineLevel="0" collapsed="false">
      <c r="A54" s="253"/>
      <c r="B54" s="249"/>
      <c r="C54" s="249"/>
      <c r="D54" s="249"/>
      <c r="E54" s="253"/>
      <c r="F54" s="252"/>
    </row>
    <row r="55" customFormat="false" ht="13.5" hidden="false" customHeight="true" outlineLevel="0" collapsed="false">
      <c r="A55" s="253"/>
      <c r="B55" s="249"/>
      <c r="C55" s="249"/>
      <c r="D55" s="249"/>
      <c r="E55" s="253"/>
      <c r="F55" s="252"/>
    </row>
    <row r="56" customFormat="false" ht="13.5" hidden="false" customHeight="true" outlineLevel="0" collapsed="false">
      <c r="A56" s="253"/>
      <c r="B56" s="249"/>
      <c r="C56" s="249"/>
      <c r="D56" s="249"/>
      <c r="E56" s="253"/>
      <c r="F56" s="252"/>
    </row>
    <row r="57" customFormat="false" ht="13.5" hidden="false" customHeight="true" outlineLevel="0" collapsed="false">
      <c r="A57" s="253"/>
      <c r="B57" s="249"/>
      <c r="C57" s="249"/>
      <c r="D57" s="249"/>
      <c r="E57" s="253"/>
      <c r="F57" s="252"/>
    </row>
    <row r="58" customFormat="false" ht="13.5" hidden="false" customHeight="true" outlineLevel="0" collapsed="false">
      <c r="A58" s="253"/>
      <c r="B58" s="249"/>
      <c r="C58" s="249"/>
      <c r="D58" s="249"/>
      <c r="E58" s="253"/>
      <c r="F58" s="252"/>
    </row>
    <row r="59" customFormat="false" ht="13.5" hidden="false" customHeight="true" outlineLevel="0" collapsed="false">
      <c r="A59" s="253"/>
      <c r="B59" s="249"/>
      <c r="C59" s="249"/>
      <c r="D59" s="249"/>
      <c r="E59" s="253"/>
      <c r="F59" s="252"/>
    </row>
    <row r="60" customFormat="false" ht="13.5" hidden="false" customHeight="true" outlineLevel="0" collapsed="false">
      <c r="A60" s="253"/>
      <c r="B60" s="249"/>
      <c r="C60" s="249"/>
      <c r="D60" s="249"/>
      <c r="E60" s="253"/>
      <c r="F60" s="252"/>
    </row>
    <row r="61" customFormat="false" ht="13.5" hidden="false" customHeight="true" outlineLevel="0" collapsed="false">
      <c r="A61" s="253"/>
      <c r="B61" s="249"/>
      <c r="C61" s="249"/>
      <c r="D61" s="249"/>
      <c r="E61" s="253"/>
      <c r="F61" s="252"/>
    </row>
    <row r="62" customFormat="false" ht="13.5" hidden="false" customHeight="true" outlineLevel="0" collapsed="false">
      <c r="A62" s="253"/>
      <c r="B62" s="249"/>
      <c r="C62" s="249"/>
      <c r="D62" s="249"/>
      <c r="E62" s="253"/>
      <c r="F62" s="252"/>
    </row>
    <row r="63" customFormat="false" ht="13.5" hidden="false" customHeight="true" outlineLevel="0" collapsed="false">
      <c r="A63" s="253"/>
      <c r="B63" s="249"/>
      <c r="C63" s="249"/>
      <c r="D63" s="249"/>
      <c r="E63" s="253"/>
      <c r="F63" s="252"/>
    </row>
    <row r="64" customFormat="false" ht="13.5" hidden="false" customHeight="true" outlineLevel="0" collapsed="false">
      <c r="A64" s="253"/>
      <c r="B64" s="249"/>
      <c r="C64" s="249"/>
      <c r="D64" s="249"/>
      <c r="E64" s="253"/>
      <c r="F64" s="252"/>
    </row>
    <row r="65" customFormat="false" ht="13.5" hidden="false" customHeight="true" outlineLevel="0" collapsed="false">
      <c r="A65" s="253"/>
      <c r="B65" s="249"/>
      <c r="C65" s="249"/>
      <c r="D65" s="249"/>
      <c r="E65" s="253"/>
      <c r="F65" s="252"/>
    </row>
    <row r="66" customFormat="false" ht="13.5" hidden="false" customHeight="true" outlineLevel="0" collapsed="false">
      <c r="A66" s="253"/>
      <c r="B66" s="249"/>
      <c r="C66" s="249"/>
      <c r="D66" s="249"/>
      <c r="E66" s="253"/>
      <c r="F66" s="252"/>
    </row>
    <row r="67" customFormat="false" ht="13.5" hidden="false" customHeight="true" outlineLevel="0" collapsed="false">
      <c r="A67" s="253"/>
      <c r="B67" s="249"/>
      <c r="C67" s="249"/>
      <c r="D67" s="249"/>
      <c r="E67" s="253"/>
      <c r="F67" s="252"/>
    </row>
    <row r="68" customFormat="false" ht="13.5" hidden="false" customHeight="true" outlineLevel="0" collapsed="false">
      <c r="A68" s="253"/>
      <c r="B68" s="249"/>
      <c r="C68" s="249"/>
      <c r="D68" s="249"/>
      <c r="E68" s="253"/>
      <c r="F68" s="252"/>
    </row>
    <row r="69" customFormat="false" ht="13.5" hidden="false" customHeight="true" outlineLevel="0" collapsed="false">
      <c r="A69" s="253"/>
      <c r="B69" s="249"/>
      <c r="C69" s="249"/>
      <c r="D69" s="249"/>
      <c r="E69" s="253"/>
      <c r="F69" s="252"/>
    </row>
    <row r="70" customFormat="false" ht="13.5" hidden="false" customHeight="true" outlineLevel="0" collapsed="false">
      <c r="A70" s="253"/>
      <c r="B70" s="249"/>
      <c r="C70" s="249"/>
      <c r="D70" s="249"/>
      <c r="E70" s="253"/>
      <c r="F70" s="252"/>
    </row>
    <row r="71" customFormat="false" ht="13.5" hidden="false" customHeight="true" outlineLevel="0" collapsed="false">
      <c r="A71" s="253"/>
      <c r="B71" s="249"/>
      <c r="C71" s="249"/>
      <c r="D71" s="249"/>
      <c r="E71" s="253"/>
      <c r="F71" s="252"/>
    </row>
    <row r="72" customFormat="false" ht="13.5" hidden="false" customHeight="true" outlineLevel="0" collapsed="false">
      <c r="A72" s="253"/>
      <c r="B72" s="249"/>
      <c r="C72" s="249"/>
      <c r="D72" s="249"/>
      <c r="E72" s="253"/>
      <c r="F72" s="252"/>
    </row>
    <row r="73" customFormat="false" ht="13.5" hidden="false" customHeight="true" outlineLevel="0" collapsed="false">
      <c r="A73" s="253"/>
      <c r="B73" s="249"/>
      <c r="C73" s="249"/>
      <c r="D73" s="249"/>
      <c r="E73" s="253"/>
      <c r="F73" s="252"/>
    </row>
    <row r="74" customFormat="false" ht="13.5" hidden="false" customHeight="true" outlineLevel="0" collapsed="false">
      <c r="A74" s="253"/>
      <c r="B74" s="249"/>
      <c r="C74" s="249"/>
      <c r="D74" s="249"/>
      <c r="E74" s="253"/>
      <c r="F74" s="252"/>
    </row>
    <row r="75" customFormat="false" ht="13.5" hidden="false" customHeight="true" outlineLevel="0" collapsed="false">
      <c r="A75" s="253"/>
      <c r="B75" s="249"/>
      <c r="C75" s="249"/>
      <c r="D75" s="249"/>
      <c r="E75" s="253"/>
      <c r="F75" s="252"/>
    </row>
    <row r="76" customFormat="false" ht="13.5" hidden="false" customHeight="true" outlineLevel="0" collapsed="false">
      <c r="A76" s="253"/>
      <c r="B76" s="249"/>
      <c r="C76" s="249"/>
      <c r="D76" s="249"/>
      <c r="E76" s="253"/>
      <c r="F76" s="252"/>
    </row>
    <row r="77" customFormat="false" ht="13.5" hidden="false" customHeight="true" outlineLevel="0" collapsed="false">
      <c r="A77" s="253"/>
      <c r="B77" s="249"/>
      <c r="C77" s="249"/>
      <c r="D77" s="249"/>
      <c r="E77" s="253"/>
      <c r="F77" s="252"/>
    </row>
    <row r="78" customFormat="false" ht="13.5" hidden="false" customHeight="true" outlineLevel="0" collapsed="false">
      <c r="A78" s="253"/>
      <c r="B78" s="249"/>
      <c r="C78" s="249"/>
      <c r="D78" s="249"/>
      <c r="E78" s="253"/>
      <c r="F78" s="252"/>
    </row>
    <row r="79" customFormat="false" ht="13.5" hidden="false" customHeight="true" outlineLevel="0" collapsed="false">
      <c r="A79" s="253"/>
      <c r="B79" s="249"/>
      <c r="C79" s="249"/>
      <c r="D79" s="249"/>
      <c r="E79" s="253"/>
      <c r="F79" s="252"/>
    </row>
    <row r="80" customFormat="false" ht="13.5" hidden="false" customHeight="true" outlineLevel="0" collapsed="false">
      <c r="A80" s="253"/>
      <c r="B80" s="249"/>
      <c r="C80" s="249"/>
      <c r="D80" s="249"/>
      <c r="E80" s="253"/>
      <c r="F80" s="252"/>
    </row>
    <row r="81" customFormat="false" ht="13.5" hidden="false" customHeight="true" outlineLevel="0" collapsed="false">
      <c r="A81" s="253"/>
      <c r="B81" s="249"/>
      <c r="C81" s="249"/>
      <c r="D81" s="249"/>
      <c r="E81" s="253"/>
      <c r="F81" s="252"/>
    </row>
    <row r="82" customFormat="false" ht="13.5" hidden="false" customHeight="true" outlineLevel="0" collapsed="false">
      <c r="A82" s="253"/>
      <c r="B82" s="249"/>
      <c r="C82" s="249"/>
      <c r="D82" s="249"/>
      <c r="E82" s="253"/>
      <c r="F82" s="252"/>
    </row>
    <row r="83" customFormat="false" ht="13.5" hidden="false" customHeight="true" outlineLevel="0" collapsed="false">
      <c r="A83" s="253"/>
      <c r="B83" s="249"/>
      <c r="C83" s="249"/>
      <c r="D83" s="249"/>
      <c r="E83" s="253"/>
      <c r="F83" s="252"/>
    </row>
    <row r="84" customFormat="false" ht="13.5" hidden="false" customHeight="true" outlineLevel="0" collapsed="false">
      <c r="A84" s="253"/>
      <c r="B84" s="249"/>
      <c r="C84" s="249"/>
      <c r="D84" s="249"/>
      <c r="E84" s="253"/>
      <c r="F84" s="252"/>
    </row>
    <row r="85" customFormat="false" ht="13.5" hidden="false" customHeight="true" outlineLevel="0" collapsed="false">
      <c r="A85" s="253"/>
      <c r="B85" s="249"/>
      <c r="C85" s="249"/>
      <c r="D85" s="249"/>
      <c r="E85" s="253"/>
      <c r="F85" s="252"/>
    </row>
    <row r="86" customFormat="false" ht="13.5" hidden="false" customHeight="true" outlineLevel="0" collapsed="false">
      <c r="A86" s="253"/>
      <c r="B86" s="249"/>
      <c r="C86" s="249"/>
      <c r="D86" s="249"/>
      <c r="E86" s="253"/>
      <c r="F86" s="252"/>
    </row>
    <row r="87" customFormat="false" ht="13.5" hidden="false" customHeight="true" outlineLevel="0" collapsed="false">
      <c r="A87" s="253"/>
      <c r="B87" s="249"/>
      <c r="C87" s="249"/>
      <c r="D87" s="249"/>
      <c r="E87" s="253"/>
      <c r="F87" s="252"/>
    </row>
    <row r="88" customFormat="false" ht="13.5" hidden="false" customHeight="true" outlineLevel="0" collapsed="false">
      <c r="A88" s="253"/>
      <c r="B88" s="249"/>
      <c r="C88" s="249"/>
      <c r="D88" s="249"/>
      <c r="E88" s="253"/>
      <c r="F88" s="252"/>
    </row>
    <row r="89" customFormat="false" ht="13.5" hidden="false" customHeight="true" outlineLevel="0" collapsed="false">
      <c r="A89" s="253"/>
      <c r="B89" s="249"/>
      <c r="C89" s="249"/>
      <c r="D89" s="249"/>
      <c r="E89" s="253"/>
      <c r="F89" s="252"/>
    </row>
    <row r="90" customFormat="false" ht="13.5" hidden="false" customHeight="true" outlineLevel="0" collapsed="false">
      <c r="A90" s="253"/>
      <c r="B90" s="249"/>
      <c r="C90" s="249"/>
      <c r="D90" s="249"/>
      <c r="E90" s="253"/>
      <c r="F90" s="252"/>
    </row>
    <row r="91" customFormat="false" ht="13.5" hidden="false" customHeight="true" outlineLevel="0" collapsed="false">
      <c r="A91" s="253"/>
      <c r="B91" s="249"/>
      <c r="C91" s="249"/>
      <c r="D91" s="249"/>
      <c r="E91" s="253"/>
      <c r="F91" s="252"/>
    </row>
    <row r="92" customFormat="false" ht="13.5" hidden="false" customHeight="true" outlineLevel="0" collapsed="false">
      <c r="A92" s="253"/>
      <c r="B92" s="249"/>
      <c r="C92" s="249"/>
      <c r="D92" s="249"/>
      <c r="E92" s="253"/>
      <c r="F92" s="252"/>
    </row>
    <row r="93" customFormat="false" ht="13.5" hidden="false" customHeight="true" outlineLevel="0" collapsed="false">
      <c r="A93" s="253"/>
      <c r="B93" s="249"/>
      <c r="C93" s="249"/>
      <c r="D93" s="249"/>
      <c r="E93" s="253"/>
      <c r="F93" s="252"/>
    </row>
    <row r="94" customFormat="false" ht="13.5" hidden="false" customHeight="true" outlineLevel="0" collapsed="false">
      <c r="A94" s="253"/>
      <c r="B94" s="249"/>
      <c r="C94" s="249"/>
      <c r="D94" s="249"/>
      <c r="E94" s="253"/>
      <c r="F94" s="252"/>
    </row>
    <row r="95" customFormat="false" ht="13.5" hidden="false" customHeight="true" outlineLevel="0" collapsed="false">
      <c r="A95" s="253"/>
      <c r="B95" s="249"/>
      <c r="C95" s="249"/>
      <c r="D95" s="249"/>
      <c r="E95" s="253"/>
      <c r="F95" s="252"/>
    </row>
    <row r="96" customFormat="false" ht="13.5" hidden="false" customHeight="true" outlineLevel="0" collapsed="false">
      <c r="A96" s="253"/>
      <c r="B96" s="249"/>
      <c r="C96" s="249"/>
      <c r="D96" s="249"/>
      <c r="E96" s="253"/>
      <c r="F96" s="252"/>
    </row>
    <row r="97" customFormat="false" ht="13.5" hidden="false" customHeight="true" outlineLevel="0" collapsed="false">
      <c r="A97" s="253"/>
      <c r="B97" s="249"/>
      <c r="C97" s="249"/>
      <c r="D97" s="249"/>
      <c r="E97" s="253"/>
      <c r="F97" s="252"/>
    </row>
    <row r="98" customFormat="false" ht="13.5" hidden="false" customHeight="true" outlineLevel="0" collapsed="false">
      <c r="A98" s="253"/>
      <c r="B98" s="249"/>
      <c r="C98" s="249"/>
      <c r="D98" s="249"/>
      <c r="E98" s="253"/>
      <c r="F98" s="252"/>
    </row>
    <row r="99" customFormat="false" ht="13.5" hidden="false" customHeight="true" outlineLevel="0" collapsed="false">
      <c r="A99" s="253"/>
      <c r="B99" s="249"/>
      <c r="C99" s="249"/>
      <c r="D99" s="249"/>
      <c r="E99" s="253"/>
      <c r="F99" s="252"/>
    </row>
    <row r="100" customFormat="false" ht="13.5" hidden="false" customHeight="true" outlineLevel="0" collapsed="false">
      <c r="A100" s="253"/>
      <c r="B100" s="249"/>
      <c r="C100" s="249"/>
      <c r="D100" s="249"/>
      <c r="E100" s="253"/>
      <c r="F100" s="252"/>
    </row>
    <row r="101" customFormat="false" ht="13.5" hidden="false" customHeight="true" outlineLevel="0" collapsed="false">
      <c r="A101" s="253"/>
      <c r="B101" s="249"/>
      <c r="C101" s="249"/>
      <c r="D101" s="249"/>
      <c r="E101" s="253"/>
      <c r="F101" s="252"/>
    </row>
    <row r="102" customFormat="false" ht="13.5" hidden="false" customHeight="true" outlineLevel="0" collapsed="false">
      <c r="A102" s="253"/>
      <c r="B102" s="249"/>
      <c r="C102" s="249"/>
      <c r="D102" s="249"/>
      <c r="E102" s="253"/>
      <c r="F102" s="252"/>
    </row>
    <row r="103" customFormat="false" ht="13.5" hidden="false" customHeight="true" outlineLevel="0" collapsed="false">
      <c r="A103" s="253"/>
      <c r="B103" s="249"/>
      <c r="C103" s="249"/>
      <c r="D103" s="249"/>
      <c r="E103" s="253"/>
      <c r="F103" s="252"/>
    </row>
    <row r="104" customFormat="false" ht="13.5" hidden="false" customHeight="true" outlineLevel="0" collapsed="false">
      <c r="A104" s="253"/>
      <c r="B104" s="249"/>
      <c r="C104" s="249"/>
      <c r="D104" s="249"/>
      <c r="E104" s="253"/>
      <c r="F104" s="252"/>
    </row>
    <row r="105" customFormat="false" ht="13.5" hidden="false" customHeight="true" outlineLevel="0" collapsed="false">
      <c r="A105" s="253"/>
      <c r="B105" s="249"/>
      <c r="C105" s="249"/>
      <c r="D105" s="249"/>
      <c r="E105" s="253"/>
      <c r="F105" s="252"/>
    </row>
    <row r="106" customFormat="false" ht="13.5" hidden="false" customHeight="true" outlineLevel="0" collapsed="false">
      <c r="A106" s="253"/>
      <c r="B106" s="249"/>
      <c r="C106" s="249"/>
      <c r="D106" s="249"/>
      <c r="E106" s="253"/>
      <c r="F106" s="252"/>
    </row>
    <row r="107" customFormat="false" ht="13.5" hidden="false" customHeight="true" outlineLevel="0" collapsed="false">
      <c r="A107" s="253"/>
      <c r="B107" s="249"/>
      <c r="C107" s="249"/>
      <c r="D107" s="249"/>
      <c r="E107" s="253"/>
      <c r="F107" s="252"/>
    </row>
    <row r="108" customFormat="false" ht="13.5" hidden="false" customHeight="true" outlineLevel="0" collapsed="false">
      <c r="A108" s="253"/>
      <c r="B108" s="249"/>
      <c r="C108" s="249"/>
      <c r="D108" s="249"/>
      <c r="E108" s="253"/>
      <c r="F108" s="252"/>
    </row>
    <row r="109" customFormat="false" ht="13.5" hidden="false" customHeight="true" outlineLevel="0" collapsed="false">
      <c r="A109" s="253"/>
      <c r="B109" s="249"/>
      <c r="C109" s="249"/>
      <c r="D109" s="249"/>
      <c r="E109" s="253"/>
      <c r="F109" s="252"/>
    </row>
    <row r="110" customFormat="false" ht="13.5" hidden="false" customHeight="true" outlineLevel="0" collapsed="false">
      <c r="A110" s="253"/>
      <c r="B110" s="249"/>
      <c r="C110" s="249"/>
      <c r="D110" s="249"/>
      <c r="E110" s="253"/>
      <c r="F110" s="252"/>
    </row>
    <row r="111" customFormat="false" ht="13.5" hidden="false" customHeight="true" outlineLevel="0" collapsed="false">
      <c r="A111" s="253"/>
      <c r="B111" s="249"/>
      <c r="C111" s="249"/>
      <c r="D111" s="249"/>
      <c r="E111" s="253"/>
      <c r="F111" s="252"/>
    </row>
    <row r="112" customFormat="false" ht="13.5" hidden="false" customHeight="true" outlineLevel="0" collapsed="false">
      <c r="A112" s="253"/>
      <c r="B112" s="249"/>
      <c r="C112" s="249"/>
      <c r="D112" s="249"/>
      <c r="E112" s="253"/>
      <c r="F112" s="252"/>
    </row>
    <row r="113" customFormat="false" ht="13.5" hidden="false" customHeight="true" outlineLevel="0" collapsed="false">
      <c r="A113" s="253"/>
      <c r="B113" s="249"/>
      <c r="C113" s="249"/>
      <c r="D113" s="249"/>
      <c r="E113" s="253"/>
      <c r="F113" s="252"/>
    </row>
    <row r="114" customFormat="false" ht="13.5" hidden="false" customHeight="true" outlineLevel="0" collapsed="false">
      <c r="A114" s="253"/>
      <c r="B114" s="249"/>
      <c r="C114" s="249"/>
      <c r="D114" s="249"/>
      <c r="E114" s="253"/>
      <c r="F114" s="252"/>
    </row>
    <row r="115" customFormat="false" ht="13.5" hidden="false" customHeight="true" outlineLevel="0" collapsed="false">
      <c r="A115" s="253"/>
      <c r="B115" s="249"/>
      <c r="C115" s="249"/>
      <c r="D115" s="249"/>
      <c r="E115" s="253"/>
      <c r="F115" s="252"/>
    </row>
    <row r="116" customFormat="false" ht="13.5" hidden="false" customHeight="true" outlineLevel="0" collapsed="false">
      <c r="A116" s="253"/>
      <c r="B116" s="249"/>
      <c r="C116" s="249"/>
      <c r="D116" s="249"/>
      <c r="E116" s="253"/>
      <c r="F116" s="252"/>
    </row>
    <row r="117" customFormat="false" ht="13.5" hidden="false" customHeight="true" outlineLevel="0" collapsed="false">
      <c r="A117" s="253"/>
      <c r="B117" s="249"/>
      <c r="C117" s="249"/>
      <c r="D117" s="249"/>
      <c r="E117" s="253"/>
      <c r="F117" s="252"/>
    </row>
    <row r="118" customFormat="false" ht="13.5" hidden="false" customHeight="true" outlineLevel="0" collapsed="false">
      <c r="A118" s="253"/>
      <c r="B118" s="249"/>
      <c r="C118" s="249"/>
      <c r="D118" s="249"/>
      <c r="E118" s="253"/>
      <c r="F118" s="252"/>
    </row>
    <row r="119" customFormat="false" ht="13.5" hidden="false" customHeight="true" outlineLevel="0" collapsed="false">
      <c r="A119" s="253"/>
      <c r="B119" s="249"/>
      <c r="C119" s="249"/>
      <c r="D119" s="249"/>
      <c r="E119" s="253"/>
      <c r="F119" s="252"/>
    </row>
    <row r="120" customFormat="false" ht="13.5" hidden="false" customHeight="true" outlineLevel="0" collapsed="false">
      <c r="A120" s="253"/>
      <c r="B120" s="249"/>
      <c r="C120" s="249"/>
      <c r="D120" s="249"/>
      <c r="E120" s="253"/>
      <c r="F120" s="252"/>
    </row>
    <row r="121" customFormat="false" ht="13.5" hidden="false" customHeight="true" outlineLevel="0" collapsed="false">
      <c r="A121" s="253"/>
      <c r="B121" s="249"/>
      <c r="C121" s="249"/>
      <c r="D121" s="249"/>
      <c r="E121" s="253"/>
      <c r="F121" s="252"/>
    </row>
    <row r="122" customFormat="false" ht="13.5" hidden="false" customHeight="true" outlineLevel="0" collapsed="false">
      <c r="A122" s="253"/>
      <c r="B122" s="249"/>
      <c r="C122" s="249"/>
      <c r="D122" s="249"/>
      <c r="E122" s="253"/>
      <c r="F122" s="252"/>
    </row>
    <row r="123" customFormat="false" ht="13.5" hidden="false" customHeight="true" outlineLevel="0" collapsed="false">
      <c r="A123" s="253"/>
      <c r="B123" s="249"/>
      <c r="C123" s="249"/>
      <c r="D123" s="249"/>
      <c r="E123" s="253"/>
      <c r="F123" s="252"/>
    </row>
    <row r="124" customFormat="false" ht="13.5" hidden="false" customHeight="true" outlineLevel="0" collapsed="false">
      <c r="A124" s="253"/>
      <c r="B124" s="249"/>
      <c r="C124" s="249"/>
      <c r="D124" s="249"/>
      <c r="E124" s="253"/>
      <c r="F124" s="252"/>
    </row>
    <row r="125" customFormat="false" ht="13.5" hidden="false" customHeight="true" outlineLevel="0" collapsed="false">
      <c r="A125" s="253"/>
      <c r="B125" s="249"/>
      <c r="C125" s="249"/>
      <c r="D125" s="249"/>
      <c r="E125" s="253"/>
      <c r="F125" s="252"/>
    </row>
    <row r="126" customFormat="false" ht="13.5" hidden="false" customHeight="true" outlineLevel="0" collapsed="false">
      <c r="A126" s="253"/>
      <c r="B126" s="249"/>
      <c r="C126" s="249"/>
      <c r="D126" s="249"/>
      <c r="E126" s="253"/>
      <c r="F126" s="252"/>
    </row>
    <row r="127" customFormat="false" ht="13.5" hidden="false" customHeight="true" outlineLevel="0" collapsed="false">
      <c r="A127" s="253"/>
      <c r="B127" s="249"/>
      <c r="C127" s="249"/>
      <c r="D127" s="249"/>
      <c r="E127" s="253"/>
      <c r="F127" s="252"/>
    </row>
    <row r="128" customFormat="false" ht="13.5" hidden="false" customHeight="true" outlineLevel="0" collapsed="false">
      <c r="A128" s="253"/>
      <c r="B128" s="249"/>
      <c r="C128" s="249"/>
      <c r="D128" s="249"/>
      <c r="E128" s="253"/>
      <c r="F128" s="252"/>
    </row>
    <row r="129" customFormat="false" ht="13.5" hidden="false" customHeight="true" outlineLevel="0" collapsed="false">
      <c r="A129" s="253"/>
      <c r="B129" s="249"/>
      <c r="C129" s="249"/>
      <c r="D129" s="249"/>
      <c r="E129" s="253"/>
      <c r="F129" s="252"/>
    </row>
    <row r="130" customFormat="false" ht="13.5" hidden="false" customHeight="true" outlineLevel="0" collapsed="false">
      <c r="A130" s="253"/>
      <c r="B130" s="249"/>
      <c r="C130" s="249"/>
      <c r="D130" s="249"/>
      <c r="E130" s="253"/>
      <c r="F130" s="252"/>
    </row>
    <row r="131" customFormat="false" ht="13.5" hidden="false" customHeight="true" outlineLevel="0" collapsed="false">
      <c r="A131" s="253"/>
      <c r="B131" s="249"/>
      <c r="C131" s="249"/>
      <c r="D131" s="249"/>
      <c r="E131" s="253"/>
      <c r="F131" s="252"/>
    </row>
    <row r="132" customFormat="false" ht="13.5" hidden="false" customHeight="true" outlineLevel="0" collapsed="false">
      <c r="A132" s="253"/>
      <c r="B132" s="249"/>
      <c r="C132" s="249"/>
      <c r="D132" s="249"/>
      <c r="E132" s="253"/>
      <c r="F132" s="252"/>
    </row>
    <row r="133" customFormat="false" ht="13.5" hidden="false" customHeight="true" outlineLevel="0" collapsed="false">
      <c r="A133" s="253"/>
      <c r="B133" s="249"/>
      <c r="C133" s="249"/>
      <c r="D133" s="249"/>
      <c r="E133" s="253"/>
      <c r="F133" s="252"/>
    </row>
    <row r="134" customFormat="false" ht="13.5" hidden="false" customHeight="true" outlineLevel="0" collapsed="false">
      <c r="A134" s="253"/>
      <c r="B134" s="249"/>
      <c r="C134" s="249"/>
      <c r="D134" s="249"/>
      <c r="E134" s="253"/>
      <c r="F134" s="252"/>
    </row>
    <row r="135" customFormat="false" ht="13.5" hidden="false" customHeight="true" outlineLevel="0" collapsed="false">
      <c r="A135" s="253"/>
      <c r="B135" s="249"/>
      <c r="C135" s="249"/>
      <c r="D135" s="249"/>
      <c r="E135" s="253"/>
      <c r="F135" s="252"/>
    </row>
    <row r="136" customFormat="false" ht="13.5" hidden="false" customHeight="true" outlineLevel="0" collapsed="false">
      <c r="A136" s="253"/>
      <c r="B136" s="249"/>
      <c r="C136" s="249"/>
      <c r="D136" s="249"/>
      <c r="E136" s="253"/>
      <c r="F136" s="252"/>
    </row>
    <row r="137" customFormat="false" ht="13.5" hidden="false" customHeight="true" outlineLevel="0" collapsed="false">
      <c r="A137" s="253"/>
      <c r="B137" s="249"/>
      <c r="C137" s="249"/>
      <c r="D137" s="249"/>
      <c r="E137" s="253"/>
      <c r="F137" s="252"/>
    </row>
    <row r="138" customFormat="false" ht="13.5" hidden="false" customHeight="true" outlineLevel="0" collapsed="false">
      <c r="A138" s="253"/>
      <c r="B138" s="249"/>
      <c r="C138" s="249"/>
      <c r="D138" s="249"/>
      <c r="E138" s="253"/>
      <c r="F138" s="252"/>
    </row>
    <row r="139" customFormat="false" ht="13.5" hidden="false" customHeight="true" outlineLevel="0" collapsed="false">
      <c r="A139" s="253"/>
      <c r="B139" s="249"/>
      <c r="C139" s="249"/>
      <c r="D139" s="249"/>
      <c r="E139" s="253"/>
      <c r="F139" s="252"/>
    </row>
    <row r="140" customFormat="false" ht="13.5" hidden="false" customHeight="true" outlineLevel="0" collapsed="false">
      <c r="A140" s="253"/>
      <c r="B140" s="249"/>
      <c r="C140" s="249"/>
      <c r="D140" s="249"/>
      <c r="E140" s="253"/>
      <c r="F140" s="252"/>
    </row>
    <row r="141" customFormat="false" ht="13.5" hidden="false" customHeight="true" outlineLevel="0" collapsed="false">
      <c r="A141" s="253"/>
      <c r="B141" s="249"/>
      <c r="C141" s="249"/>
      <c r="D141" s="249"/>
      <c r="E141" s="253"/>
      <c r="F141" s="252"/>
    </row>
    <row r="142" customFormat="false" ht="13.5" hidden="false" customHeight="true" outlineLevel="0" collapsed="false">
      <c r="A142" s="253"/>
      <c r="B142" s="249"/>
      <c r="C142" s="249"/>
      <c r="D142" s="249"/>
      <c r="E142" s="253"/>
      <c r="F142" s="252"/>
    </row>
    <row r="143" customFormat="false" ht="13.5" hidden="false" customHeight="true" outlineLevel="0" collapsed="false">
      <c r="A143" s="253"/>
      <c r="B143" s="249"/>
      <c r="C143" s="249"/>
      <c r="D143" s="249"/>
      <c r="E143" s="253"/>
      <c r="F143" s="252"/>
    </row>
    <row r="144" customFormat="false" ht="13.5" hidden="false" customHeight="true" outlineLevel="0" collapsed="false">
      <c r="A144" s="253"/>
      <c r="B144" s="249"/>
      <c r="C144" s="249"/>
      <c r="D144" s="249"/>
      <c r="E144" s="253"/>
      <c r="F144" s="252"/>
    </row>
    <row r="145" customFormat="false" ht="13.5" hidden="false" customHeight="true" outlineLevel="0" collapsed="false">
      <c r="A145" s="253"/>
      <c r="B145" s="249"/>
      <c r="C145" s="249"/>
      <c r="D145" s="249"/>
      <c r="E145" s="253"/>
      <c r="F145" s="252"/>
    </row>
    <row r="146" customFormat="false" ht="13.5" hidden="false" customHeight="true" outlineLevel="0" collapsed="false">
      <c r="A146" s="253"/>
      <c r="B146" s="249"/>
      <c r="C146" s="249"/>
      <c r="D146" s="249"/>
      <c r="E146" s="253"/>
      <c r="F146" s="252"/>
    </row>
    <row r="147" customFormat="false" ht="13.5" hidden="false" customHeight="true" outlineLevel="0" collapsed="false">
      <c r="A147" s="253"/>
      <c r="B147" s="249"/>
      <c r="C147" s="249"/>
      <c r="D147" s="249"/>
      <c r="E147" s="253"/>
      <c r="F147" s="252"/>
    </row>
    <row r="148" customFormat="false" ht="13.5" hidden="false" customHeight="true" outlineLevel="0" collapsed="false">
      <c r="A148" s="253"/>
      <c r="B148" s="249"/>
      <c r="C148" s="249"/>
      <c r="D148" s="249"/>
      <c r="E148" s="253"/>
      <c r="F148" s="252"/>
    </row>
    <row r="149" customFormat="false" ht="13.5" hidden="false" customHeight="true" outlineLevel="0" collapsed="false">
      <c r="A149" s="253"/>
      <c r="B149" s="249"/>
      <c r="C149" s="249"/>
      <c r="D149" s="249"/>
      <c r="E149" s="253"/>
      <c r="F149" s="252"/>
    </row>
    <row r="150" customFormat="false" ht="13.5" hidden="false" customHeight="true" outlineLevel="0" collapsed="false">
      <c r="A150" s="253"/>
      <c r="B150" s="249"/>
      <c r="C150" s="249"/>
      <c r="D150" s="249"/>
      <c r="E150" s="253"/>
      <c r="F150" s="252"/>
    </row>
    <row r="151" customFormat="false" ht="13.5" hidden="false" customHeight="true" outlineLevel="0" collapsed="false">
      <c r="A151" s="253"/>
      <c r="B151" s="249"/>
      <c r="C151" s="249"/>
      <c r="D151" s="249"/>
      <c r="E151" s="253"/>
      <c r="F151" s="252"/>
    </row>
    <row r="152" customFormat="false" ht="13.5" hidden="false" customHeight="true" outlineLevel="0" collapsed="false">
      <c r="A152" s="253"/>
      <c r="B152" s="249"/>
      <c r="C152" s="249"/>
      <c r="D152" s="249"/>
      <c r="E152" s="253"/>
      <c r="F152" s="252"/>
    </row>
    <row r="153" customFormat="false" ht="13.5" hidden="false" customHeight="true" outlineLevel="0" collapsed="false">
      <c r="A153" s="253"/>
      <c r="B153" s="249"/>
      <c r="C153" s="249"/>
      <c r="D153" s="249"/>
      <c r="E153" s="253"/>
      <c r="F153" s="252"/>
    </row>
    <row r="154" customFormat="false" ht="13.5" hidden="false" customHeight="true" outlineLevel="0" collapsed="false">
      <c r="A154" s="253"/>
      <c r="B154" s="249"/>
      <c r="C154" s="249"/>
      <c r="D154" s="249"/>
      <c r="E154" s="253"/>
      <c r="F154" s="252"/>
    </row>
    <row r="155" customFormat="false" ht="13.5" hidden="false" customHeight="true" outlineLevel="0" collapsed="false">
      <c r="A155" s="253"/>
      <c r="B155" s="249"/>
      <c r="C155" s="249"/>
      <c r="D155" s="249"/>
      <c r="E155" s="253"/>
      <c r="F155" s="252"/>
    </row>
    <row r="156" customFormat="false" ht="13.5" hidden="false" customHeight="true" outlineLevel="0" collapsed="false">
      <c r="A156" s="253"/>
      <c r="B156" s="249"/>
      <c r="C156" s="249"/>
      <c r="D156" s="249"/>
      <c r="E156" s="253"/>
      <c r="F156" s="252"/>
    </row>
    <row r="157" customFormat="false" ht="13.5" hidden="false" customHeight="true" outlineLevel="0" collapsed="false">
      <c r="A157" s="253"/>
      <c r="B157" s="249"/>
      <c r="C157" s="249"/>
      <c r="D157" s="249"/>
      <c r="E157" s="253"/>
      <c r="F157" s="252"/>
    </row>
    <row r="158" customFormat="false" ht="13.5" hidden="false" customHeight="true" outlineLevel="0" collapsed="false">
      <c r="A158" s="253"/>
      <c r="B158" s="249"/>
      <c r="C158" s="249"/>
      <c r="D158" s="249"/>
      <c r="E158" s="253"/>
      <c r="F158" s="252"/>
    </row>
    <row r="159" customFormat="false" ht="13.5" hidden="false" customHeight="true" outlineLevel="0" collapsed="false">
      <c r="A159" s="253"/>
      <c r="B159" s="249"/>
      <c r="C159" s="249"/>
      <c r="D159" s="249"/>
      <c r="E159" s="253"/>
      <c r="F159" s="252"/>
    </row>
    <row r="160" customFormat="false" ht="13.5" hidden="false" customHeight="true" outlineLevel="0" collapsed="false">
      <c r="A160" s="253"/>
      <c r="B160" s="249"/>
      <c r="C160" s="249"/>
      <c r="D160" s="249"/>
      <c r="E160" s="253"/>
      <c r="F160" s="252"/>
    </row>
    <row r="161" customFormat="false" ht="13.5" hidden="false" customHeight="true" outlineLevel="0" collapsed="false">
      <c r="A161" s="253"/>
      <c r="B161" s="249"/>
      <c r="C161" s="249"/>
      <c r="D161" s="249"/>
      <c r="E161" s="253"/>
      <c r="F161" s="252"/>
    </row>
    <row r="162" customFormat="false" ht="13.5" hidden="false" customHeight="true" outlineLevel="0" collapsed="false">
      <c r="A162" s="253"/>
      <c r="B162" s="249"/>
      <c r="C162" s="249"/>
      <c r="D162" s="249"/>
      <c r="E162" s="253"/>
      <c r="F162" s="252"/>
    </row>
    <row r="163" customFormat="false" ht="13.5" hidden="false" customHeight="true" outlineLevel="0" collapsed="false">
      <c r="A163" s="253"/>
      <c r="B163" s="249"/>
      <c r="C163" s="249"/>
      <c r="D163" s="249"/>
      <c r="E163" s="253"/>
      <c r="F163" s="252"/>
    </row>
    <row r="164" customFormat="false" ht="13.5" hidden="false" customHeight="true" outlineLevel="0" collapsed="false">
      <c r="A164" s="253"/>
      <c r="B164" s="249"/>
      <c r="C164" s="249"/>
      <c r="D164" s="249"/>
      <c r="E164" s="253"/>
      <c r="F164" s="252"/>
    </row>
    <row r="165" customFormat="false" ht="13.5" hidden="false" customHeight="true" outlineLevel="0" collapsed="false">
      <c r="A165" s="253"/>
      <c r="B165" s="249"/>
      <c r="C165" s="249"/>
      <c r="D165" s="249"/>
      <c r="E165" s="253"/>
      <c r="F165" s="252"/>
    </row>
    <row r="166" customFormat="false" ht="13.5" hidden="false" customHeight="true" outlineLevel="0" collapsed="false">
      <c r="A166" s="253"/>
      <c r="B166" s="249"/>
      <c r="C166" s="249"/>
      <c r="D166" s="249"/>
      <c r="E166" s="253"/>
      <c r="F166" s="252"/>
    </row>
    <row r="167" customFormat="false" ht="13.5" hidden="false" customHeight="true" outlineLevel="0" collapsed="false">
      <c r="A167" s="253"/>
      <c r="B167" s="249"/>
      <c r="C167" s="249"/>
      <c r="D167" s="249"/>
      <c r="E167" s="253"/>
      <c r="F167" s="252"/>
    </row>
    <row r="168" customFormat="false" ht="13.5" hidden="false" customHeight="true" outlineLevel="0" collapsed="false">
      <c r="A168" s="253"/>
      <c r="B168" s="249"/>
      <c r="C168" s="249"/>
      <c r="D168" s="249"/>
      <c r="E168" s="253"/>
      <c r="F168" s="252"/>
    </row>
    <row r="169" customFormat="false" ht="13.5" hidden="false" customHeight="true" outlineLevel="0" collapsed="false">
      <c r="A169" s="253"/>
      <c r="B169" s="249"/>
      <c r="C169" s="249"/>
      <c r="D169" s="249"/>
      <c r="E169" s="253"/>
      <c r="F169" s="252"/>
    </row>
    <row r="170" customFormat="false" ht="13.5" hidden="false" customHeight="true" outlineLevel="0" collapsed="false">
      <c r="A170" s="253"/>
      <c r="B170" s="249"/>
      <c r="C170" s="249"/>
      <c r="D170" s="249"/>
      <c r="E170" s="253"/>
      <c r="F170" s="252"/>
    </row>
    <row r="171" customFormat="false" ht="13.5" hidden="false" customHeight="true" outlineLevel="0" collapsed="false">
      <c r="A171" s="253"/>
      <c r="B171" s="249"/>
      <c r="C171" s="249"/>
      <c r="D171" s="249"/>
      <c r="E171" s="253"/>
      <c r="F171" s="252"/>
    </row>
    <row r="172" customFormat="false" ht="13.5" hidden="false" customHeight="true" outlineLevel="0" collapsed="false">
      <c r="A172" s="253"/>
      <c r="B172" s="249"/>
      <c r="C172" s="249"/>
      <c r="D172" s="249"/>
      <c r="E172" s="253"/>
      <c r="F172" s="252"/>
    </row>
    <row r="173" customFormat="false" ht="13.5" hidden="false" customHeight="true" outlineLevel="0" collapsed="false">
      <c r="A173" s="253"/>
      <c r="B173" s="249"/>
      <c r="C173" s="249"/>
      <c r="D173" s="249"/>
      <c r="E173" s="253"/>
      <c r="F173" s="252"/>
    </row>
    <row r="174" customFormat="false" ht="13.5" hidden="false" customHeight="true" outlineLevel="0" collapsed="false">
      <c r="A174" s="253"/>
      <c r="B174" s="249"/>
      <c r="C174" s="249"/>
      <c r="D174" s="249"/>
      <c r="E174" s="253"/>
      <c r="F174" s="252"/>
    </row>
    <row r="175" customFormat="false" ht="13.5" hidden="false" customHeight="true" outlineLevel="0" collapsed="false">
      <c r="A175" s="253"/>
      <c r="B175" s="249"/>
      <c r="C175" s="249"/>
      <c r="D175" s="249"/>
      <c r="E175" s="253"/>
      <c r="F175" s="252"/>
    </row>
    <row r="176" customFormat="false" ht="13.5" hidden="false" customHeight="true" outlineLevel="0" collapsed="false">
      <c r="A176" s="253"/>
      <c r="B176" s="249"/>
      <c r="C176" s="249"/>
      <c r="D176" s="249"/>
      <c r="E176" s="253"/>
      <c r="F176" s="252"/>
    </row>
    <row r="177" customFormat="false" ht="13.5" hidden="false" customHeight="true" outlineLevel="0" collapsed="false">
      <c r="A177" s="253"/>
      <c r="B177" s="249"/>
      <c r="C177" s="249"/>
      <c r="D177" s="249"/>
      <c r="E177" s="253"/>
      <c r="F177" s="252"/>
    </row>
    <row r="178" customFormat="false" ht="13.5" hidden="false" customHeight="true" outlineLevel="0" collapsed="false">
      <c r="A178" s="253"/>
      <c r="B178" s="249"/>
      <c r="C178" s="249"/>
      <c r="D178" s="249"/>
      <c r="E178" s="253"/>
      <c r="F178" s="252"/>
    </row>
    <row r="179" customFormat="false" ht="13.5" hidden="false" customHeight="true" outlineLevel="0" collapsed="false">
      <c r="A179" s="253"/>
      <c r="B179" s="249"/>
      <c r="C179" s="249"/>
      <c r="D179" s="249"/>
      <c r="E179" s="253"/>
      <c r="F179" s="252"/>
    </row>
    <row r="180" customFormat="false" ht="13.5" hidden="false" customHeight="true" outlineLevel="0" collapsed="false">
      <c r="A180" s="253"/>
      <c r="B180" s="249"/>
      <c r="C180" s="249"/>
      <c r="D180" s="249"/>
      <c r="E180" s="253"/>
      <c r="F180" s="252"/>
    </row>
    <row r="181" customFormat="false" ht="13.5" hidden="false" customHeight="true" outlineLevel="0" collapsed="false">
      <c r="A181" s="253"/>
      <c r="B181" s="249"/>
      <c r="C181" s="249"/>
      <c r="D181" s="249"/>
      <c r="E181" s="253"/>
      <c r="F181" s="252"/>
    </row>
    <row r="182" customFormat="false" ht="13.5" hidden="false" customHeight="true" outlineLevel="0" collapsed="false">
      <c r="A182" s="253"/>
      <c r="B182" s="249"/>
      <c r="C182" s="249"/>
      <c r="D182" s="249"/>
      <c r="E182" s="253"/>
      <c r="F182" s="252"/>
    </row>
    <row r="183" customFormat="false" ht="13.5" hidden="false" customHeight="true" outlineLevel="0" collapsed="false">
      <c r="A183" s="253"/>
      <c r="B183" s="249"/>
      <c r="C183" s="249"/>
      <c r="D183" s="249"/>
      <c r="E183" s="253"/>
      <c r="F183" s="252"/>
    </row>
    <row r="184" customFormat="false" ht="13.5" hidden="false" customHeight="true" outlineLevel="0" collapsed="false">
      <c r="A184" s="253"/>
      <c r="B184" s="249"/>
      <c r="C184" s="249"/>
      <c r="D184" s="249"/>
      <c r="E184" s="253"/>
      <c r="F184" s="252"/>
    </row>
    <row r="185" customFormat="false" ht="13.5" hidden="false" customHeight="true" outlineLevel="0" collapsed="false">
      <c r="A185" s="253"/>
      <c r="B185" s="249"/>
      <c r="C185" s="249"/>
      <c r="D185" s="249"/>
      <c r="E185" s="253"/>
      <c r="F185" s="252"/>
    </row>
    <row r="186" customFormat="false" ht="13.5" hidden="false" customHeight="true" outlineLevel="0" collapsed="false">
      <c r="A186" s="253"/>
      <c r="B186" s="249"/>
      <c r="C186" s="249"/>
      <c r="D186" s="249"/>
      <c r="E186" s="253"/>
      <c r="F186" s="252"/>
    </row>
    <row r="187" customFormat="false" ht="13.5" hidden="false" customHeight="true" outlineLevel="0" collapsed="false">
      <c r="A187" s="253"/>
      <c r="B187" s="249"/>
      <c r="C187" s="249"/>
      <c r="D187" s="249"/>
      <c r="E187" s="253"/>
      <c r="F187" s="252"/>
    </row>
    <row r="188" customFormat="false" ht="13.5" hidden="false" customHeight="true" outlineLevel="0" collapsed="false">
      <c r="A188" s="253"/>
      <c r="B188" s="249"/>
      <c r="C188" s="249"/>
      <c r="D188" s="249"/>
      <c r="E188" s="253"/>
      <c r="F188" s="252"/>
    </row>
    <row r="189" customFormat="false" ht="13.5" hidden="false" customHeight="true" outlineLevel="0" collapsed="false">
      <c r="A189" s="253"/>
      <c r="B189" s="249"/>
      <c r="C189" s="249"/>
      <c r="D189" s="249"/>
      <c r="E189" s="253"/>
      <c r="F189" s="252"/>
    </row>
    <row r="190" customFormat="false" ht="13.5" hidden="false" customHeight="true" outlineLevel="0" collapsed="false">
      <c r="A190" s="253"/>
      <c r="B190" s="249"/>
      <c r="C190" s="249"/>
      <c r="D190" s="249"/>
      <c r="E190" s="253"/>
      <c r="F190" s="252"/>
    </row>
    <row r="191" customFormat="false" ht="13.5" hidden="false" customHeight="true" outlineLevel="0" collapsed="false">
      <c r="A191" s="253"/>
      <c r="B191" s="249"/>
      <c r="C191" s="249"/>
      <c r="D191" s="249"/>
      <c r="E191" s="253"/>
      <c r="F191" s="252"/>
    </row>
    <row r="192" customFormat="false" ht="13.5" hidden="false" customHeight="true" outlineLevel="0" collapsed="false">
      <c r="A192" s="253"/>
      <c r="B192" s="249"/>
      <c r="C192" s="249"/>
      <c r="D192" s="249"/>
      <c r="E192" s="253"/>
      <c r="F192" s="252"/>
    </row>
    <row r="193" customFormat="false" ht="13.5" hidden="false" customHeight="true" outlineLevel="0" collapsed="false">
      <c r="A193" s="253"/>
      <c r="B193" s="249"/>
      <c r="C193" s="249"/>
      <c r="D193" s="249"/>
      <c r="E193" s="253"/>
      <c r="F193" s="252"/>
    </row>
    <row r="194" customFormat="false" ht="13.5" hidden="false" customHeight="true" outlineLevel="0" collapsed="false">
      <c r="A194" s="253"/>
      <c r="B194" s="249"/>
      <c r="C194" s="249"/>
      <c r="D194" s="249"/>
      <c r="E194" s="253"/>
      <c r="F194" s="252"/>
    </row>
    <row r="195" customFormat="false" ht="13.5" hidden="false" customHeight="true" outlineLevel="0" collapsed="false">
      <c r="A195" s="253"/>
      <c r="B195" s="249"/>
      <c r="C195" s="249"/>
      <c r="D195" s="249"/>
      <c r="E195" s="253"/>
      <c r="F195" s="252"/>
    </row>
    <row r="196" customFormat="false" ht="13.5" hidden="false" customHeight="true" outlineLevel="0" collapsed="false">
      <c r="A196" s="253"/>
      <c r="B196" s="249"/>
      <c r="C196" s="249"/>
      <c r="D196" s="249"/>
      <c r="E196" s="253"/>
      <c r="F196" s="252"/>
    </row>
    <row r="197" customFormat="false" ht="13.5" hidden="false" customHeight="true" outlineLevel="0" collapsed="false">
      <c r="A197" s="253"/>
      <c r="B197" s="249"/>
      <c r="C197" s="249"/>
      <c r="D197" s="249"/>
      <c r="E197" s="253"/>
      <c r="F197" s="252"/>
    </row>
    <row r="198" customFormat="false" ht="13.5" hidden="false" customHeight="true" outlineLevel="0" collapsed="false">
      <c r="A198" s="253"/>
      <c r="B198" s="249"/>
      <c r="C198" s="249"/>
      <c r="D198" s="249"/>
      <c r="E198" s="253"/>
      <c r="F198" s="252"/>
    </row>
    <row r="199" customFormat="false" ht="13.5" hidden="false" customHeight="true" outlineLevel="0" collapsed="false">
      <c r="A199" s="253"/>
      <c r="B199" s="249"/>
      <c r="C199" s="249"/>
      <c r="D199" s="249"/>
      <c r="E199" s="253"/>
      <c r="F199" s="252"/>
    </row>
    <row r="200" customFormat="false" ht="13.5" hidden="false" customHeight="true" outlineLevel="0" collapsed="false">
      <c r="A200" s="253"/>
      <c r="B200" s="249"/>
      <c r="C200" s="249"/>
      <c r="D200" s="249"/>
      <c r="E200" s="253"/>
      <c r="F200" s="252"/>
    </row>
    <row r="201" customFormat="false" ht="13.5" hidden="false" customHeight="true" outlineLevel="0" collapsed="false">
      <c r="A201" s="253"/>
      <c r="B201" s="249"/>
      <c r="C201" s="249"/>
      <c r="D201" s="249"/>
      <c r="E201" s="253"/>
      <c r="F201" s="252"/>
    </row>
    <row r="202" customFormat="false" ht="13.5" hidden="false" customHeight="true" outlineLevel="0" collapsed="false">
      <c r="A202" s="253"/>
      <c r="B202" s="249"/>
      <c r="C202" s="249"/>
      <c r="D202" s="249"/>
      <c r="E202" s="253"/>
      <c r="F202" s="252"/>
    </row>
    <row r="203" customFormat="false" ht="13.5" hidden="false" customHeight="true" outlineLevel="0" collapsed="false">
      <c r="A203" s="253"/>
      <c r="B203" s="249"/>
      <c r="C203" s="249"/>
      <c r="D203" s="249"/>
      <c r="E203" s="253"/>
      <c r="F203" s="252"/>
    </row>
    <row r="204" customFormat="false" ht="13.5" hidden="false" customHeight="true" outlineLevel="0" collapsed="false">
      <c r="A204" s="253"/>
      <c r="B204" s="249"/>
      <c r="C204" s="249"/>
      <c r="D204" s="249"/>
      <c r="E204" s="253"/>
      <c r="F204" s="252"/>
    </row>
    <row r="205" customFormat="false" ht="13.5" hidden="false" customHeight="true" outlineLevel="0" collapsed="false">
      <c r="A205" s="253"/>
      <c r="B205" s="249"/>
      <c r="C205" s="249"/>
      <c r="D205" s="249"/>
      <c r="E205" s="253"/>
      <c r="F205" s="252"/>
    </row>
    <row r="206" customFormat="false" ht="13.5" hidden="false" customHeight="true" outlineLevel="0" collapsed="false">
      <c r="A206" s="253"/>
      <c r="B206" s="249"/>
      <c r="C206" s="249"/>
      <c r="D206" s="249"/>
      <c r="E206" s="253"/>
      <c r="F206" s="252"/>
    </row>
    <row r="207" customFormat="false" ht="13.5" hidden="false" customHeight="true" outlineLevel="0" collapsed="false">
      <c r="A207" s="253"/>
      <c r="B207" s="249"/>
      <c r="C207" s="249"/>
      <c r="D207" s="249"/>
      <c r="E207" s="253"/>
      <c r="F207" s="252"/>
    </row>
    <row r="208" customFormat="false" ht="13.5" hidden="false" customHeight="true" outlineLevel="0" collapsed="false">
      <c r="A208" s="253"/>
      <c r="B208" s="249"/>
      <c r="C208" s="249"/>
      <c r="D208" s="249"/>
      <c r="E208" s="253"/>
      <c r="F208" s="252"/>
    </row>
    <row r="209" customFormat="false" ht="13.5" hidden="false" customHeight="true" outlineLevel="0" collapsed="false">
      <c r="A209" s="253"/>
      <c r="B209" s="249"/>
      <c r="C209" s="249"/>
      <c r="D209" s="249"/>
      <c r="E209" s="253"/>
      <c r="F209" s="252"/>
    </row>
    <row r="210" customFormat="false" ht="13.5" hidden="false" customHeight="true" outlineLevel="0" collapsed="false">
      <c r="A210" s="253"/>
      <c r="B210" s="249"/>
      <c r="C210" s="249"/>
      <c r="D210" s="249"/>
      <c r="E210" s="253"/>
      <c r="F210" s="252"/>
    </row>
    <row r="211" customFormat="false" ht="13.5" hidden="false" customHeight="true" outlineLevel="0" collapsed="false">
      <c r="A211" s="253"/>
      <c r="B211" s="249"/>
      <c r="C211" s="249"/>
      <c r="D211" s="249"/>
      <c r="E211" s="253"/>
      <c r="F211" s="252"/>
    </row>
    <row r="212" customFormat="false" ht="13.5" hidden="false" customHeight="true" outlineLevel="0" collapsed="false">
      <c r="A212" s="253"/>
      <c r="B212" s="249"/>
      <c r="C212" s="249"/>
      <c r="D212" s="249"/>
      <c r="E212" s="253"/>
      <c r="F212" s="252"/>
    </row>
    <row r="213" customFormat="false" ht="13.5" hidden="false" customHeight="true" outlineLevel="0" collapsed="false">
      <c r="A213" s="253"/>
      <c r="B213" s="249"/>
      <c r="C213" s="249"/>
      <c r="D213" s="249"/>
      <c r="E213" s="253"/>
      <c r="F213" s="252"/>
    </row>
    <row r="214" customFormat="false" ht="13.5" hidden="false" customHeight="true" outlineLevel="0" collapsed="false">
      <c r="A214" s="253"/>
      <c r="B214" s="249"/>
      <c r="C214" s="249"/>
      <c r="D214" s="249"/>
      <c r="E214" s="253"/>
      <c r="F214" s="252"/>
    </row>
    <row r="215" customFormat="false" ht="13.5" hidden="false" customHeight="true" outlineLevel="0" collapsed="false">
      <c r="A215" s="253"/>
      <c r="B215" s="249"/>
      <c r="C215" s="249"/>
      <c r="D215" s="249"/>
      <c r="E215" s="253"/>
      <c r="F215" s="252"/>
    </row>
    <row r="216" customFormat="false" ht="13.5" hidden="false" customHeight="true" outlineLevel="0" collapsed="false">
      <c r="A216" s="253"/>
      <c r="B216" s="249"/>
      <c r="C216" s="249"/>
      <c r="D216" s="249"/>
      <c r="E216" s="253"/>
      <c r="F216" s="252"/>
    </row>
    <row r="217" customFormat="false" ht="13.5" hidden="false" customHeight="true" outlineLevel="0" collapsed="false">
      <c r="A217" s="253"/>
      <c r="B217" s="249"/>
      <c r="C217" s="249"/>
      <c r="D217" s="249"/>
      <c r="E217" s="253"/>
      <c r="F217" s="252"/>
    </row>
    <row r="218" customFormat="false" ht="13.5" hidden="false" customHeight="true" outlineLevel="0" collapsed="false">
      <c r="A218" s="253"/>
      <c r="B218" s="249"/>
      <c r="C218" s="249"/>
      <c r="D218" s="249"/>
      <c r="E218" s="253"/>
      <c r="F218" s="252"/>
    </row>
    <row r="219" customFormat="false" ht="13.5" hidden="false" customHeight="true" outlineLevel="0" collapsed="false">
      <c r="A219" s="253"/>
      <c r="B219" s="249"/>
      <c r="C219" s="249"/>
      <c r="D219" s="249"/>
      <c r="E219" s="253"/>
      <c r="F219" s="252"/>
    </row>
    <row r="220" customFormat="false" ht="13.5" hidden="false" customHeight="true" outlineLevel="0" collapsed="false">
      <c r="A220" s="253"/>
      <c r="B220" s="249"/>
      <c r="C220" s="249"/>
      <c r="D220" s="249"/>
      <c r="E220" s="253"/>
      <c r="F220" s="252"/>
    </row>
    <row r="221" customFormat="false" ht="13.5" hidden="false" customHeight="true" outlineLevel="0" collapsed="false">
      <c r="A221" s="253"/>
      <c r="B221" s="249"/>
      <c r="C221" s="249"/>
      <c r="D221" s="249"/>
      <c r="E221" s="253"/>
      <c r="F221" s="252"/>
    </row>
    <row r="222" customFormat="false" ht="13.5" hidden="false" customHeight="true" outlineLevel="0" collapsed="false">
      <c r="A222" s="253"/>
      <c r="B222" s="249"/>
      <c r="C222" s="249"/>
      <c r="D222" s="249"/>
      <c r="E222" s="253"/>
      <c r="F222" s="252"/>
    </row>
    <row r="223" customFormat="false" ht="13.5" hidden="false" customHeight="true" outlineLevel="0" collapsed="false">
      <c r="A223" s="253"/>
      <c r="B223" s="249"/>
      <c r="C223" s="249"/>
      <c r="D223" s="249"/>
      <c r="E223" s="253"/>
      <c r="F223" s="252"/>
    </row>
    <row r="224" customFormat="false" ht="13.5" hidden="false" customHeight="true" outlineLevel="0" collapsed="false">
      <c r="A224" s="253"/>
      <c r="B224" s="249"/>
      <c r="C224" s="249"/>
      <c r="D224" s="249"/>
      <c r="E224" s="253"/>
      <c r="F224" s="252"/>
    </row>
    <row r="225" customFormat="false" ht="13.5" hidden="false" customHeight="true" outlineLevel="0" collapsed="false">
      <c r="A225" s="253"/>
      <c r="B225" s="249"/>
      <c r="C225" s="249"/>
      <c r="D225" s="249"/>
      <c r="E225" s="253"/>
      <c r="F225" s="252"/>
    </row>
    <row r="226" customFormat="false" ht="13.5" hidden="false" customHeight="true" outlineLevel="0" collapsed="false">
      <c r="A226" s="253"/>
      <c r="B226" s="249"/>
      <c r="C226" s="249"/>
      <c r="D226" s="249"/>
      <c r="E226" s="253"/>
      <c r="F226" s="252"/>
    </row>
    <row r="227" customFormat="false" ht="13.5" hidden="false" customHeight="true" outlineLevel="0" collapsed="false">
      <c r="A227" s="253"/>
      <c r="B227" s="249"/>
      <c r="C227" s="249"/>
      <c r="D227" s="249"/>
      <c r="E227" s="253"/>
      <c r="F227" s="252"/>
    </row>
    <row r="228" customFormat="false" ht="13.5" hidden="false" customHeight="true" outlineLevel="0" collapsed="false">
      <c r="A228" s="253"/>
      <c r="B228" s="249"/>
      <c r="C228" s="249"/>
      <c r="D228" s="249"/>
      <c r="E228" s="253"/>
      <c r="F228" s="252"/>
    </row>
    <row r="229" customFormat="false" ht="13.5" hidden="false" customHeight="true" outlineLevel="0" collapsed="false">
      <c r="A229" s="253"/>
      <c r="B229" s="249"/>
      <c r="C229" s="249"/>
      <c r="D229" s="249"/>
      <c r="E229" s="253"/>
      <c r="F229" s="252"/>
    </row>
    <row r="230" customFormat="false" ht="13.5" hidden="false" customHeight="true" outlineLevel="0" collapsed="false">
      <c r="A230" s="253"/>
      <c r="B230" s="249"/>
      <c r="C230" s="249"/>
      <c r="D230" s="249"/>
      <c r="E230" s="253"/>
      <c r="F230" s="252"/>
    </row>
    <row r="231" customFormat="false" ht="13.5" hidden="false" customHeight="true" outlineLevel="0" collapsed="false">
      <c r="A231" s="253"/>
      <c r="B231" s="249"/>
      <c r="C231" s="249"/>
      <c r="D231" s="249"/>
      <c r="E231" s="253"/>
      <c r="F231" s="252"/>
    </row>
    <row r="232" customFormat="false" ht="13.5" hidden="false" customHeight="true" outlineLevel="0" collapsed="false">
      <c r="A232" s="253"/>
      <c r="B232" s="249"/>
      <c r="C232" s="249"/>
      <c r="D232" s="249"/>
      <c r="E232" s="253"/>
      <c r="F232" s="252"/>
    </row>
    <row r="233" customFormat="false" ht="13.5" hidden="false" customHeight="true" outlineLevel="0" collapsed="false">
      <c r="A233" s="253"/>
      <c r="B233" s="249"/>
      <c r="C233" s="249"/>
      <c r="D233" s="249"/>
      <c r="E233" s="253"/>
      <c r="F233" s="252"/>
    </row>
    <row r="234" customFormat="false" ht="13.5" hidden="false" customHeight="true" outlineLevel="0" collapsed="false">
      <c r="A234" s="253"/>
      <c r="B234" s="249"/>
      <c r="C234" s="249"/>
      <c r="D234" s="249"/>
      <c r="E234" s="253"/>
      <c r="F234" s="252"/>
    </row>
    <row r="235" customFormat="false" ht="13.5" hidden="false" customHeight="true" outlineLevel="0" collapsed="false">
      <c r="A235" s="253"/>
      <c r="B235" s="249"/>
      <c r="C235" s="249"/>
      <c r="D235" s="249"/>
      <c r="E235" s="253"/>
      <c r="F235" s="252"/>
    </row>
    <row r="236" customFormat="false" ht="13.5" hidden="false" customHeight="true" outlineLevel="0" collapsed="false">
      <c r="A236" s="253"/>
      <c r="B236" s="249"/>
      <c r="C236" s="249"/>
      <c r="D236" s="249"/>
      <c r="E236" s="253"/>
      <c r="F236" s="252"/>
    </row>
    <row r="237" customFormat="false" ht="13.5" hidden="false" customHeight="true" outlineLevel="0" collapsed="false">
      <c r="A237" s="253"/>
      <c r="B237" s="249"/>
      <c r="C237" s="249"/>
      <c r="D237" s="249"/>
      <c r="E237" s="253"/>
      <c r="F237" s="252"/>
    </row>
    <row r="238" customFormat="false" ht="13.5" hidden="false" customHeight="true" outlineLevel="0" collapsed="false">
      <c r="A238" s="253"/>
      <c r="B238" s="249"/>
      <c r="C238" s="249"/>
      <c r="D238" s="249"/>
      <c r="E238" s="253"/>
      <c r="F238" s="252"/>
    </row>
    <row r="239" customFormat="false" ht="13.5" hidden="false" customHeight="true" outlineLevel="0" collapsed="false">
      <c r="A239" s="253"/>
      <c r="B239" s="249"/>
      <c r="C239" s="249"/>
      <c r="D239" s="249"/>
      <c r="E239" s="253"/>
      <c r="F239" s="252"/>
    </row>
    <row r="240" customFormat="false" ht="13.5" hidden="false" customHeight="true" outlineLevel="0" collapsed="false">
      <c r="A240" s="253"/>
      <c r="B240" s="249"/>
      <c r="C240" s="249"/>
      <c r="D240" s="249"/>
      <c r="E240" s="253"/>
      <c r="F240" s="252"/>
    </row>
    <row r="241" customFormat="false" ht="13.5" hidden="false" customHeight="true" outlineLevel="0" collapsed="false">
      <c r="A241" s="253"/>
      <c r="B241" s="249"/>
      <c r="C241" s="249"/>
      <c r="D241" s="249"/>
      <c r="E241" s="253"/>
      <c r="F241" s="252"/>
    </row>
    <row r="242" customFormat="false" ht="13.5" hidden="false" customHeight="true" outlineLevel="0" collapsed="false">
      <c r="A242" s="253"/>
      <c r="B242" s="249"/>
      <c r="C242" s="249"/>
      <c r="D242" s="249"/>
      <c r="E242" s="253"/>
      <c r="F242" s="252"/>
    </row>
    <row r="243" customFormat="false" ht="13.5" hidden="false" customHeight="true" outlineLevel="0" collapsed="false">
      <c r="A243" s="253"/>
      <c r="B243" s="249"/>
      <c r="C243" s="249"/>
      <c r="D243" s="249"/>
      <c r="E243" s="253"/>
      <c r="F243" s="252"/>
    </row>
    <row r="244" customFormat="false" ht="13.5" hidden="false" customHeight="true" outlineLevel="0" collapsed="false">
      <c r="A244" s="253"/>
      <c r="B244" s="249"/>
      <c r="C244" s="249"/>
      <c r="D244" s="249"/>
      <c r="E244" s="253"/>
      <c r="F244" s="252"/>
    </row>
    <row r="245" customFormat="false" ht="13.5" hidden="false" customHeight="true" outlineLevel="0" collapsed="false">
      <c r="A245" s="253"/>
      <c r="B245" s="249"/>
      <c r="C245" s="249"/>
      <c r="D245" s="249"/>
      <c r="E245" s="253"/>
      <c r="F245" s="252"/>
    </row>
    <row r="246" customFormat="false" ht="13.5" hidden="false" customHeight="true" outlineLevel="0" collapsed="false">
      <c r="A246" s="253"/>
      <c r="B246" s="249"/>
      <c r="C246" s="249"/>
      <c r="D246" s="249"/>
      <c r="E246" s="253"/>
      <c r="F246" s="252"/>
    </row>
    <row r="247" customFormat="false" ht="13.5" hidden="false" customHeight="true" outlineLevel="0" collapsed="false">
      <c r="A247" s="253"/>
      <c r="B247" s="249"/>
      <c r="C247" s="249"/>
      <c r="D247" s="249"/>
      <c r="E247" s="253"/>
      <c r="F247" s="252"/>
    </row>
    <row r="248" customFormat="false" ht="13.5" hidden="false" customHeight="true" outlineLevel="0" collapsed="false">
      <c r="A248" s="253"/>
      <c r="B248" s="249"/>
      <c r="C248" s="249"/>
      <c r="D248" s="249"/>
      <c r="E248" s="253"/>
      <c r="F248" s="252"/>
    </row>
    <row r="249" customFormat="false" ht="13.5" hidden="false" customHeight="true" outlineLevel="0" collapsed="false">
      <c r="A249" s="253"/>
      <c r="B249" s="249"/>
      <c r="C249" s="249"/>
      <c r="D249" s="249"/>
      <c r="E249" s="253"/>
      <c r="F249" s="252"/>
    </row>
    <row r="250" customFormat="false" ht="13.5" hidden="false" customHeight="true" outlineLevel="0" collapsed="false">
      <c r="A250" s="253"/>
      <c r="B250" s="249"/>
      <c r="C250" s="249"/>
      <c r="D250" s="249"/>
      <c r="E250" s="253"/>
      <c r="F250" s="252"/>
    </row>
    <row r="251" customFormat="false" ht="13.5" hidden="false" customHeight="true" outlineLevel="0" collapsed="false">
      <c r="A251" s="253"/>
      <c r="B251" s="249"/>
      <c r="C251" s="249"/>
      <c r="D251" s="249"/>
      <c r="E251" s="253"/>
      <c r="F251" s="252"/>
    </row>
    <row r="252" customFormat="false" ht="13.5" hidden="false" customHeight="true" outlineLevel="0" collapsed="false">
      <c r="A252" s="253"/>
      <c r="B252" s="249"/>
      <c r="C252" s="249"/>
      <c r="D252" s="249"/>
      <c r="E252" s="253"/>
      <c r="F252" s="252"/>
    </row>
    <row r="253" customFormat="false" ht="13.5" hidden="false" customHeight="true" outlineLevel="0" collapsed="false">
      <c r="A253" s="253"/>
      <c r="B253" s="249"/>
      <c r="C253" s="249"/>
      <c r="D253" s="249"/>
      <c r="E253" s="253"/>
      <c r="F253" s="252"/>
    </row>
    <row r="254" customFormat="false" ht="13.5" hidden="false" customHeight="true" outlineLevel="0" collapsed="false">
      <c r="A254" s="253"/>
      <c r="B254" s="249"/>
      <c r="C254" s="249"/>
      <c r="D254" s="249"/>
      <c r="E254" s="253"/>
      <c r="F254" s="252"/>
    </row>
    <row r="255" customFormat="false" ht="13.5" hidden="false" customHeight="true" outlineLevel="0" collapsed="false">
      <c r="A255" s="253"/>
      <c r="B255" s="249"/>
      <c r="C255" s="249"/>
      <c r="D255" s="249"/>
      <c r="E255" s="253"/>
      <c r="F255" s="252"/>
    </row>
    <row r="256" customFormat="false" ht="13.5" hidden="false" customHeight="true" outlineLevel="0" collapsed="false">
      <c r="A256" s="253"/>
      <c r="B256" s="249"/>
      <c r="C256" s="249"/>
      <c r="D256" s="249"/>
      <c r="E256" s="253"/>
      <c r="F256" s="252"/>
    </row>
    <row r="257" customFormat="false" ht="13.5" hidden="false" customHeight="true" outlineLevel="0" collapsed="false">
      <c r="A257" s="253"/>
      <c r="B257" s="249"/>
      <c r="C257" s="249"/>
      <c r="D257" s="249"/>
      <c r="E257" s="253"/>
      <c r="F257" s="252"/>
    </row>
    <row r="258" customFormat="false" ht="13.5" hidden="false" customHeight="true" outlineLevel="0" collapsed="false">
      <c r="A258" s="253"/>
      <c r="B258" s="249"/>
      <c r="C258" s="249"/>
      <c r="D258" s="249"/>
      <c r="E258" s="253"/>
      <c r="F258" s="252"/>
    </row>
    <row r="259" customFormat="false" ht="13.5" hidden="false" customHeight="true" outlineLevel="0" collapsed="false">
      <c r="A259" s="253"/>
      <c r="B259" s="249"/>
      <c r="C259" s="249"/>
      <c r="D259" s="249"/>
      <c r="E259" s="253"/>
      <c r="F259" s="252"/>
    </row>
    <row r="260" customFormat="false" ht="13.5" hidden="false" customHeight="true" outlineLevel="0" collapsed="false">
      <c r="A260" s="253"/>
      <c r="B260" s="249"/>
      <c r="C260" s="249"/>
      <c r="D260" s="249"/>
      <c r="E260" s="253"/>
      <c r="F260" s="252"/>
    </row>
    <row r="261" customFormat="false" ht="13.5" hidden="false" customHeight="true" outlineLevel="0" collapsed="false">
      <c r="A261" s="253"/>
      <c r="B261" s="249"/>
      <c r="C261" s="249"/>
      <c r="D261" s="249"/>
      <c r="E261" s="253"/>
      <c r="F261" s="252"/>
    </row>
    <row r="262" customFormat="false" ht="13.5" hidden="false" customHeight="true" outlineLevel="0" collapsed="false">
      <c r="A262" s="253"/>
      <c r="B262" s="249"/>
      <c r="C262" s="249"/>
      <c r="D262" s="249"/>
      <c r="E262" s="253"/>
      <c r="F262" s="252"/>
    </row>
    <row r="263" customFormat="false" ht="13.5" hidden="false" customHeight="true" outlineLevel="0" collapsed="false">
      <c r="A263" s="253"/>
      <c r="B263" s="249"/>
      <c r="C263" s="249"/>
      <c r="D263" s="249"/>
      <c r="E263" s="253"/>
      <c r="F263" s="252"/>
    </row>
    <row r="264" customFormat="false" ht="13.5" hidden="false" customHeight="true" outlineLevel="0" collapsed="false">
      <c r="A264" s="253"/>
      <c r="B264" s="249"/>
      <c r="C264" s="249"/>
      <c r="D264" s="249"/>
      <c r="E264" s="253"/>
      <c r="F264" s="252"/>
    </row>
    <row r="265" customFormat="false" ht="13.5" hidden="false" customHeight="true" outlineLevel="0" collapsed="false">
      <c r="A265" s="253"/>
      <c r="B265" s="249"/>
      <c r="C265" s="249"/>
      <c r="D265" s="249"/>
      <c r="E265" s="253"/>
      <c r="F265" s="252"/>
    </row>
    <row r="266" customFormat="false" ht="13.5" hidden="false" customHeight="true" outlineLevel="0" collapsed="false">
      <c r="A266" s="253"/>
      <c r="B266" s="249"/>
      <c r="C266" s="249"/>
      <c r="D266" s="249"/>
      <c r="E266" s="253"/>
      <c r="F266" s="252"/>
    </row>
    <row r="267" customFormat="false" ht="13.5" hidden="false" customHeight="true" outlineLevel="0" collapsed="false">
      <c r="A267" s="253"/>
      <c r="B267" s="249"/>
      <c r="C267" s="249"/>
      <c r="D267" s="249"/>
      <c r="E267" s="253"/>
      <c r="F267" s="252"/>
    </row>
    <row r="268" customFormat="false" ht="13.5" hidden="false" customHeight="true" outlineLevel="0" collapsed="false">
      <c r="A268" s="253"/>
      <c r="B268" s="249"/>
      <c r="C268" s="249"/>
      <c r="D268" s="249"/>
      <c r="E268" s="253"/>
      <c r="F268" s="252"/>
    </row>
    <row r="269" customFormat="false" ht="13.5" hidden="false" customHeight="true" outlineLevel="0" collapsed="false">
      <c r="A269" s="253"/>
      <c r="B269" s="249"/>
      <c r="C269" s="249"/>
      <c r="D269" s="249"/>
      <c r="E269" s="253"/>
      <c r="F269" s="252"/>
    </row>
    <row r="270" customFormat="false" ht="13.5" hidden="false" customHeight="true" outlineLevel="0" collapsed="false">
      <c r="A270" s="253"/>
      <c r="B270" s="249"/>
      <c r="C270" s="249"/>
      <c r="D270" s="249"/>
      <c r="E270" s="253"/>
      <c r="F270" s="252"/>
    </row>
    <row r="271" customFormat="false" ht="13.5" hidden="false" customHeight="true" outlineLevel="0" collapsed="false">
      <c r="A271" s="253"/>
      <c r="B271" s="249"/>
      <c r="C271" s="249"/>
      <c r="D271" s="249"/>
      <c r="E271" s="253"/>
      <c r="F271" s="252"/>
    </row>
    <row r="272" customFormat="false" ht="13.5" hidden="false" customHeight="true" outlineLevel="0" collapsed="false">
      <c r="A272" s="253"/>
      <c r="B272" s="249"/>
      <c r="C272" s="249"/>
      <c r="D272" s="249"/>
      <c r="E272" s="253"/>
      <c r="F272" s="252"/>
    </row>
    <row r="273" customFormat="false" ht="13.5" hidden="false" customHeight="true" outlineLevel="0" collapsed="false">
      <c r="A273" s="253"/>
      <c r="B273" s="249"/>
      <c r="C273" s="249"/>
      <c r="D273" s="249"/>
      <c r="E273" s="253"/>
      <c r="F273" s="252"/>
    </row>
    <row r="274" customFormat="false" ht="13.5" hidden="false" customHeight="true" outlineLevel="0" collapsed="false">
      <c r="A274" s="253"/>
      <c r="B274" s="249"/>
      <c r="C274" s="249"/>
      <c r="D274" s="249"/>
      <c r="E274" s="253"/>
      <c r="F274" s="252"/>
    </row>
    <row r="275" customFormat="false" ht="13.5" hidden="false" customHeight="true" outlineLevel="0" collapsed="false">
      <c r="A275" s="253"/>
      <c r="B275" s="249"/>
      <c r="C275" s="249"/>
      <c r="D275" s="249"/>
      <c r="E275" s="253"/>
      <c r="F275" s="252"/>
    </row>
    <row r="276" customFormat="false" ht="13.5" hidden="false" customHeight="true" outlineLevel="0" collapsed="false">
      <c r="A276" s="253"/>
      <c r="B276" s="249"/>
      <c r="C276" s="249"/>
      <c r="D276" s="249"/>
      <c r="E276" s="253"/>
      <c r="F276" s="252"/>
    </row>
    <row r="277" customFormat="false" ht="13.5" hidden="false" customHeight="true" outlineLevel="0" collapsed="false">
      <c r="A277" s="253"/>
      <c r="B277" s="249"/>
      <c r="C277" s="249"/>
      <c r="D277" s="249"/>
      <c r="E277" s="253"/>
      <c r="F277" s="252"/>
    </row>
    <row r="278" customFormat="false" ht="13.5" hidden="false" customHeight="true" outlineLevel="0" collapsed="false">
      <c r="A278" s="253"/>
      <c r="B278" s="249"/>
      <c r="C278" s="249"/>
      <c r="D278" s="249"/>
      <c r="E278" s="253"/>
      <c r="F278" s="252"/>
    </row>
    <row r="279" customFormat="false" ht="13.5" hidden="false" customHeight="true" outlineLevel="0" collapsed="false">
      <c r="A279" s="253"/>
      <c r="B279" s="249"/>
      <c r="C279" s="249"/>
      <c r="D279" s="249"/>
      <c r="E279" s="253"/>
      <c r="F279" s="252"/>
    </row>
    <row r="280" customFormat="false" ht="13.5" hidden="false" customHeight="true" outlineLevel="0" collapsed="false">
      <c r="A280" s="253"/>
      <c r="B280" s="249"/>
      <c r="C280" s="249"/>
      <c r="D280" s="249"/>
      <c r="E280" s="253"/>
      <c r="F280" s="252"/>
    </row>
    <row r="281" customFormat="false" ht="13.5" hidden="false" customHeight="true" outlineLevel="0" collapsed="false">
      <c r="A281" s="253"/>
      <c r="B281" s="249"/>
      <c r="C281" s="249"/>
      <c r="D281" s="249"/>
      <c r="E281" s="253"/>
      <c r="F281" s="252"/>
    </row>
    <row r="282" customFormat="false" ht="13.5" hidden="false" customHeight="true" outlineLevel="0" collapsed="false">
      <c r="A282" s="253"/>
      <c r="B282" s="249"/>
      <c r="C282" s="249"/>
      <c r="D282" s="249"/>
      <c r="E282" s="253"/>
      <c r="F282" s="252"/>
    </row>
    <row r="283" customFormat="false" ht="13.5" hidden="false" customHeight="true" outlineLevel="0" collapsed="false">
      <c r="A283" s="253"/>
      <c r="B283" s="249"/>
      <c r="C283" s="249"/>
      <c r="D283" s="249"/>
      <c r="E283" s="253"/>
      <c r="F283" s="252"/>
    </row>
    <row r="284" customFormat="false" ht="13.5" hidden="false" customHeight="true" outlineLevel="0" collapsed="false">
      <c r="A284" s="253"/>
      <c r="B284" s="249"/>
      <c r="C284" s="249"/>
      <c r="D284" s="249"/>
      <c r="E284" s="253"/>
      <c r="F284" s="252"/>
    </row>
    <row r="285" customFormat="false" ht="13.5" hidden="false" customHeight="true" outlineLevel="0" collapsed="false">
      <c r="A285" s="253"/>
      <c r="B285" s="249"/>
      <c r="C285" s="249"/>
      <c r="D285" s="249"/>
      <c r="E285" s="253"/>
      <c r="F285" s="252"/>
    </row>
    <row r="286" customFormat="false" ht="13.5" hidden="false" customHeight="true" outlineLevel="0" collapsed="false">
      <c r="A286" s="253"/>
      <c r="B286" s="249"/>
      <c r="C286" s="249"/>
      <c r="D286" s="249"/>
      <c r="E286" s="253"/>
      <c r="F286" s="252"/>
    </row>
    <row r="287" customFormat="false" ht="13.5" hidden="false" customHeight="true" outlineLevel="0" collapsed="false">
      <c r="A287" s="253"/>
      <c r="B287" s="249"/>
      <c r="C287" s="249"/>
      <c r="D287" s="249"/>
      <c r="E287" s="253"/>
      <c r="F287" s="252"/>
    </row>
    <row r="288" customFormat="false" ht="13.5" hidden="false" customHeight="true" outlineLevel="0" collapsed="false">
      <c r="A288" s="253"/>
      <c r="B288" s="249"/>
      <c r="C288" s="249"/>
      <c r="D288" s="249"/>
      <c r="E288" s="253"/>
      <c r="F288" s="252"/>
    </row>
    <row r="289" customFormat="false" ht="13.5" hidden="false" customHeight="true" outlineLevel="0" collapsed="false">
      <c r="A289" s="253"/>
      <c r="B289" s="249"/>
      <c r="C289" s="249"/>
      <c r="D289" s="249"/>
      <c r="E289" s="253"/>
      <c r="F289" s="252"/>
    </row>
    <row r="290" customFormat="false" ht="13.5" hidden="false" customHeight="true" outlineLevel="0" collapsed="false">
      <c r="A290" s="253"/>
      <c r="B290" s="249"/>
      <c r="C290" s="249"/>
      <c r="D290" s="249"/>
      <c r="E290" s="253"/>
      <c r="F290" s="252"/>
    </row>
    <row r="291" customFormat="false" ht="13.5" hidden="false" customHeight="true" outlineLevel="0" collapsed="false">
      <c r="A291" s="253"/>
      <c r="B291" s="249"/>
      <c r="C291" s="249"/>
      <c r="D291" s="249"/>
      <c r="E291" s="253"/>
      <c r="F291" s="252"/>
    </row>
    <row r="292" customFormat="false" ht="13.5" hidden="false" customHeight="true" outlineLevel="0" collapsed="false">
      <c r="A292" s="253"/>
      <c r="B292" s="249"/>
      <c r="C292" s="249"/>
      <c r="D292" s="249"/>
      <c r="E292" s="253"/>
      <c r="F292" s="252"/>
    </row>
    <row r="293" customFormat="false" ht="13.5" hidden="false" customHeight="true" outlineLevel="0" collapsed="false">
      <c r="A293" s="253"/>
      <c r="B293" s="249"/>
      <c r="C293" s="249"/>
      <c r="D293" s="249"/>
      <c r="E293" s="253"/>
      <c r="F293" s="252"/>
    </row>
    <row r="294" customFormat="false" ht="13.5" hidden="false" customHeight="true" outlineLevel="0" collapsed="false">
      <c r="A294" s="253"/>
      <c r="B294" s="249"/>
      <c r="C294" s="249"/>
      <c r="D294" s="249"/>
      <c r="E294" s="253"/>
      <c r="F294" s="252"/>
    </row>
    <row r="295" customFormat="false" ht="13.5" hidden="false" customHeight="true" outlineLevel="0" collapsed="false">
      <c r="A295" s="253"/>
      <c r="B295" s="249"/>
      <c r="C295" s="249"/>
      <c r="D295" s="249"/>
      <c r="E295" s="253"/>
      <c r="F295" s="252"/>
    </row>
    <row r="296" customFormat="false" ht="13.5" hidden="false" customHeight="true" outlineLevel="0" collapsed="false">
      <c r="A296" s="253"/>
      <c r="B296" s="249"/>
      <c r="C296" s="249"/>
      <c r="D296" s="249"/>
      <c r="E296" s="253"/>
      <c r="F296" s="252"/>
    </row>
    <row r="297" customFormat="false" ht="13.5" hidden="false" customHeight="true" outlineLevel="0" collapsed="false">
      <c r="A297" s="253"/>
      <c r="B297" s="249"/>
      <c r="C297" s="249"/>
      <c r="D297" s="249"/>
      <c r="E297" s="253"/>
      <c r="F297" s="252"/>
    </row>
    <row r="298" customFormat="false" ht="13.5" hidden="false" customHeight="true" outlineLevel="0" collapsed="false">
      <c r="A298" s="253"/>
      <c r="B298" s="249"/>
      <c r="C298" s="249"/>
      <c r="D298" s="249"/>
      <c r="E298" s="253"/>
      <c r="F298" s="252"/>
    </row>
    <row r="299" customFormat="false" ht="13.5" hidden="false" customHeight="true" outlineLevel="0" collapsed="false">
      <c r="A299" s="253"/>
      <c r="B299" s="249"/>
      <c r="C299" s="249"/>
      <c r="D299" s="249"/>
      <c r="E299" s="253"/>
      <c r="F299" s="252"/>
    </row>
    <row r="300" customFormat="false" ht="13.5" hidden="false" customHeight="true" outlineLevel="0" collapsed="false">
      <c r="A300" s="253"/>
      <c r="B300" s="249"/>
      <c r="C300" s="249"/>
      <c r="D300" s="249"/>
      <c r="E300" s="253"/>
      <c r="F300" s="252"/>
    </row>
    <row r="301" customFormat="false" ht="13.5" hidden="false" customHeight="true" outlineLevel="0" collapsed="false">
      <c r="A301" s="253"/>
      <c r="B301" s="249"/>
      <c r="C301" s="249"/>
      <c r="D301" s="249"/>
      <c r="E301" s="253"/>
      <c r="F301" s="252"/>
    </row>
    <row r="302" customFormat="false" ht="13.5" hidden="false" customHeight="true" outlineLevel="0" collapsed="false">
      <c r="A302" s="253"/>
      <c r="B302" s="249"/>
      <c r="C302" s="249"/>
      <c r="D302" s="249"/>
      <c r="E302" s="253"/>
      <c r="F302" s="252"/>
    </row>
    <row r="303" customFormat="false" ht="13.5" hidden="false" customHeight="true" outlineLevel="0" collapsed="false">
      <c r="A303" s="253"/>
      <c r="B303" s="249"/>
      <c r="C303" s="249"/>
      <c r="D303" s="249"/>
      <c r="E303" s="253"/>
      <c r="F303" s="252"/>
    </row>
    <row r="304" customFormat="false" ht="13.5" hidden="false" customHeight="true" outlineLevel="0" collapsed="false">
      <c r="A304" s="253"/>
      <c r="B304" s="249"/>
      <c r="C304" s="249"/>
      <c r="D304" s="249"/>
      <c r="E304" s="253"/>
      <c r="F304" s="252"/>
    </row>
    <row r="305" customFormat="false" ht="13.5" hidden="false" customHeight="true" outlineLevel="0" collapsed="false">
      <c r="A305" s="253"/>
      <c r="B305" s="249"/>
      <c r="C305" s="249"/>
      <c r="D305" s="249"/>
      <c r="E305" s="253"/>
      <c r="F305" s="25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4" t="s">
        <v>956</v>
      </c>
      <c r="B1" s="254"/>
      <c r="C1" s="254"/>
      <c r="D1" s="254"/>
      <c r="E1" s="254"/>
      <c r="F1" s="254"/>
    </row>
    <row r="2" customFormat="false" ht="15" hidden="false" customHeight="true" outlineLevel="0" collapsed="false">
      <c r="A2" s="255" t="s">
        <v>957</v>
      </c>
      <c r="B2" s="255"/>
      <c r="C2" s="255"/>
      <c r="D2" s="255"/>
      <c r="E2" s="255"/>
      <c r="F2" s="255"/>
    </row>
    <row r="4" customFormat="false" ht="15" hidden="false" customHeight="true" outlineLevel="0" collapsed="false">
      <c r="A4" s="256" t="s">
        <v>958</v>
      </c>
      <c r="B4" s="256"/>
      <c r="C4" s="256"/>
      <c r="D4" s="256"/>
      <c r="E4" s="256"/>
      <c r="F4" s="256"/>
    </row>
    <row r="5" customFormat="false" ht="15" hidden="false" customHeight="true" outlineLevel="0" collapsed="false">
      <c r="A5" s="257" t="s">
        <v>959</v>
      </c>
      <c r="B5" s="257" t="s">
        <v>960</v>
      </c>
      <c r="C5" s="257" t="s">
        <v>961</v>
      </c>
      <c r="D5" s="257" t="s">
        <v>962</v>
      </c>
    </row>
    <row r="6" customFormat="false" ht="15" hidden="false" customHeight="true" outlineLevel="0" collapsed="false">
      <c r="A6" s="258" t="s">
        <v>963</v>
      </c>
      <c r="B6" s="258" t="s">
        <v>964</v>
      </c>
      <c r="C6" s="258" t="s">
        <v>964</v>
      </c>
      <c r="D6" s="259" t="s">
        <v>965</v>
      </c>
      <c r="E6" s="259"/>
      <c r="F6" s="259"/>
    </row>
    <row r="8" customFormat="false" ht="15" hidden="false" customHeight="true" outlineLevel="0" collapsed="false">
      <c r="A8" s="256" t="s">
        <v>966</v>
      </c>
      <c r="B8" s="256"/>
      <c r="C8" s="256"/>
      <c r="D8" s="256"/>
      <c r="E8" s="256"/>
      <c r="F8" s="256"/>
    </row>
    <row r="9" customFormat="false" ht="15" hidden="false" customHeight="true" outlineLevel="0" collapsed="false">
      <c r="A9" s="257" t="s">
        <v>959</v>
      </c>
      <c r="B9" s="257" t="s">
        <v>960</v>
      </c>
      <c r="C9" s="257" t="s">
        <v>961</v>
      </c>
      <c r="D9" s="257" t="s">
        <v>962</v>
      </c>
    </row>
    <row r="10" customFormat="false" ht="15" hidden="false" customHeight="true" outlineLevel="0" collapsed="false">
      <c r="A10" s="258" t="s">
        <v>967</v>
      </c>
      <c r="B10" s="258" t="s">
        <v>964</v>
      </c>
      <c r="C10" s="258" t="s">
        <v>968</v>
      </c>
      <c r="D10" s="259" t="s">
        <v>969</v>
      </c>
      <c r="E10" s="259"/>
      <c r="F10" s="259"/>
    </row>
    <row r="12" customFormat="false" ht="15" hidden="false" customHeight="true" outlineLevel="0" collapsed="false">
      <c r="A12" s="256" t="s">
        <v>970</v>
      </c>
      <c r="B12" s="256"/>
      <c r="C12" s="256"/>
      <c r="D12" s="256"/>
      <c r="E12" s="256"/>
      <c r="F12" s="256"/>
    </row>
    <row r="13" customFormat="false" ht="15" hidden="false" customHeight="true" outlineLevel="0" collapsed="false">
      <c r="A13" s="257" t="s">
        <v>959</v>
      </c>
      <c r="B13" s="257" t="s">
        <v>960</v>
      </c>
      <c r="C13" s="257" t="s">
        <v>961</v>
      </c>
      <c r="D13" s="257" t="s">
        <v>962</v>
      </c>
    </row>
    <row r="14" customFormat="false" ht="84" hidden="false" customHeight="true" outlineLevel="0" collapsed="false">
      <c r="A14" s="258" t="s">
        <v>971</v>
      </c>
      <c r="B14" s="258" t="s">
        <v>972</v>
      </c>
      <c r="C14" s="258" t="s">
        <v>973</v>
      </c>
      <c r="D14" s="259" t="s">
        <v>974</v>
      </c>
      <c r="E14" s="259"/>
      <c r="F14" s="259"/>
    </row>
    <row r="16" customFormat="false" ht="15" hidden="false" customHeight="true" outlineLevel="0" collapsed="false">
      <c r="A16" s="256" t="s">
        <v>975</v>
      </c>
      <c r="B16" s="256"/>
      <c r="C16" s="256"/>
      <c r="D16" s="256"/>
      <c r="E16" s="256"/>
      <c r="F16" s="256"/>
    </row>
    <row r="17" customFormat="false" ht="15" hidden="false" customHeight="true" outlineLevel="0" collapsed="false">
      <c r="A17" s="257" t="s">
        <v>959</v>
      </c>
      <c r="B17" s="257" t="s">
        <v>960</v>
      </c>
      <c r="C17" s="257" t="s">
        <v>961</v>
      </c>
      <c r="D17" s="257" t="s">
        <v>962</v>
      </c>
    </row>
    <row r="18" customFormat="false" ht="79.5" hidden="false" customHeight="true" outlineLevel="0" collapsed="false">
      <c r="A18" s="258" t="s">
        <v>971</v>
      </c>
      <c r="B18" s="258" t="s">
        <v>976</v>
      </c>
      <c r="C18" s="258" t="s">
        <v>977</v>
      </c>
      <c r="D18" s="259" t="s">
        <v>978</v>
      </c>
      <c r="E18" s="259"/>
      <c r="F18" s="259"/>
    </row>
    <row r="20" customFormat="false" ht="15" hidden="false" customHeight="true" outlineLevel="0" collapsed="false">
      <c r="A20" s="256" t="s">
        <v>979</v>
      </c>
      <c r="B20" s="256"/>
      <c r="C20" s="256"/>
      <c r="D20" s="256"/>
      <c r="E20" s="256"/>
      <c r="F20" s="256"/>
    </row>
    <row r="21" customFormat="false" ht="15" hidden="false" customHeight="true" outlineLevel="0" collapsed="false">
      <c r="A21" s="257" t="s">
        <v>959</v>
      </c>
      <c r="B21" s="257" t="s">
        <v>960</v>
      </c>
      <c r="C21" s="257" t="s">
        <v>961</v>
      </c>
      <c r="D21" s="257" t="s">
        <v>962</v>
      </c>
    </row>
    <row r="22" customFormat="false" ht="96" hidden="false" customHeight="true" outlineLevel="0" collapsed="false">
      <c r="A22" s="258" t="s">
        <v>980</v>
      </c>
      <c r="B22" s="258" t="s">
        <v>964</v>
      </c>
      <c r="C22" s="258" t="s">
        <v>981</v>
      </c>
      <c r="D22" s="259" t="s">
        <v>982</v>
      </c>
      <c r="E22" s="259"/>
      <c r="F22" s="259"/>
    </row>
    <row r="24" customFormat="false" ht="15" hidden="false" customHeight="true" outlineLevel="0" collapsed="false">
      <c r="A24" s="256" t="s">
        <v>983</v>
      </c>
      <c r="B24" s="256"/>
      <c r="C24" s="256"/>
      <c r="D24" s="256"/>
      <c r="E24" s="256"/>
      <c r="F24" s="256"/>
    </row>
    <row r="25" customFormat="false" ht="15" hidden="false" customHeight="true" outlineLevel="0" collapsed="false">
      <c r="A25" s="257" t="s">
        <v>959</v>
      </c>
      <c r="B25" s="257" t="s">
        <v>960</v>
      </c>
      <c r="C25" s="257" t="s">
        <v>961</v>
      </c>
      <c r="D25" s="257" t="s">
        <v>962</v>
      </c>
    </row>
    <row r="26" customFormat="false" ht="45.75" hidden="false" customHeight="true" outlineLevel="0" collapsed="false">
      <c r="A26" s="258" t="s">
        <v>971</v>
      </c>
      <c r="B26" s="258" t="s">
        <v>984</v>
      </c>
      <c r="C26" s="258" t="s">
        <v>985</v>
      </c>
      <c r="D26" s="259" t="s">
        <v>986</v>
      </c>
      <c r="E26" s="259"/>
      <c r="F26" s="259"/>
    </row>
    <row r="28" customFormat="false" ht="15" hidden="false" customHeight="true" outlineLevel="0" collapsed="false">
      <c r="A28" s="256" t="s">
        <v>987</v>
      </c>
      <c r="B28" s="256"/>
      <c r="C28" s="256"/>
      <c r="D28" s="256"/>
      <c r="E28" s="256"/>
      <c r="F28" s="256"/>
    </row>
    <row r="29" customFormat="false" ht="15" hidden="false" customHeight="true" outlineLevel="0" collapsed="false">
      <c r="A29" s="257" t="s">
        <v>959</v>
      </c>
      <c r="B29" s="257" t="s">
        <v>960</v>
      </c>
      <c r="C29" s="257" t="s">
        <v>961</v>
      </c>
      <c r="D29" s="257" t="s">
        <v>962</v>
      </c>
    </row>
    <row r="30" customFormat="false" ht="24" hidden="false" customHeight="true" outlineLevel="0" collapsed="false">
      <c r="A30" s="258" t="s">
        <v>988</v>
      </c>
      <c r="B30" s="258" t="s">
        <v>989</v>
      </c>
      <c r="C30" s="258" t="s">
        <v>990</v>
      </c>
      <c r="D30" s="259" t="s">
        <v>991</v>
      </c>
      <c r="E30" s="259"/>
      <c r="F30" s="259"/>
    </row>
    <row r="32" customFormat="false" ht="15" hidden="false" customHeight="true" outlineLevel="0" collapsed="false">
      <c r="A32" s="256" t="s">
        <v>992</v>
      </c>
      <c r="B32" s="256"/>
      <c r="C32" s="256"/>
      <c r="D32" s="256"/>
      <c r="E32" s="256"/>
      <c r="F32" s="256"/>
    </row>
    <row r="33" customFormat="false" ht="15" hidden="false" customHeight="true" outlineLevel="0" collapsed="false">
      <c r="A33" s="257" t="s">
        <v>959</v>
      </c>
      <c r="B33" s="257" t="s">
        <v>960</v>
      </c>
      <c r="C33" s="257" t="s">
        <v>961</v>
      </c>
      <c r="D33" s="257" t="s">
        <v>962</v>
      </c>
    </row>
    <row r="34" customFormat="false" ht="99.75" hidden="false" customHeight="true" outlineLevel="0" collapsed="false">
      <c r="A34" s="258" t="s">
        <v>971</v>
      </c>
      <c r="B34" s="258" t="s">
        <v>993</v>
      </c>
      <c r="C34" s="258" t="s">
        <v>994</v>
      </c>
      <c r="D34" s="259" t="s">
        <v>995</v>
      </c>
      <c r="E34" s="259"/>
      <c r="F34" s="259"/>
    </row>
    <row r="36" customFormat="false" ht="15" hidden="false" customHeight="true" outlineLevel="0" collapsed="false">
      <c r="A36" s="256" t="s">
        <v>996</v>
      </c>
      <c r="B36" s="256"/>
      <c r="C36" s="256"/>
      <c r="D36" s="256"/>
      <c r="E36" s="256"/>
      <c r="F36" s="256"/>
    </row>
    <row r="37" customFormat="false" ht="15" hidden="false" customHeight="true" outlineLevel="0" collapsed="false">
      <c r="A37" s="257" t="s">
        <v>959</v>
      </c>
      <c r="B37" s="257" t="s">
        <v>960</v>
      </c>
      <c r="C37" s="257" t="s">
        <v>961</v>
      </c>
      <c r="D37" s="257" t="s">
        <v>962</v>
      </c>
    </row>
    <row r="38" customFormat="false" ht="36" hidden="false" customHeight="true" outlineLevel="0" collapsed="false">
      <c r="A38" s="258" t="s">
        <v>980</v>
      </c>
      <c r="B38" s="258" t="s">
        <v>964</v>
      </c>
      <c r="C38" s="258" t="s">
        <v>997</v>
      </c>
      <c r="D38" s="259" t="s">
        <v>998</v>
      </c>
      <c r="E38" s="259"/>
      <c r="F38" s="259"/>
    </row>
    <row r="40" customFormat="false" ht="15" hidden="false" customHeight="true" outlineLevel="0" collapsed="false">
      <c r="A40" s="256" t="s">
        <v>999</v>
      </c>
      <c r="B40" s="256"/>
      <c r="C40" s="256"/>
      <c r="D40" s="256"/>
      <c r="E40" s="256"/>
      <c r="F40" s="256"/>
    </row>
    <row r="41" customFormat="false" ht="15" hidden="false" customHeight="true" outlineLevel="0" collapsed="false">
      <c r="A41" s="257" t="s">
        <v>959</v>
      </c>
      <c r="B41" s="257" t="s">
        <v>960</v>
      </c>
      <c r="C41" s="257" t="s">
        <v>961</v>
      </c>
      <c r="D41" s="257" t="s">
        <v>962</v>
      </c>
    </row>
    <row r="42" customFormat="false" ht="180" hidden="false" customHeight="true" outlineLevel="0" collapsed="false">
      <c r="A42" s="258" t="s">
        <v>1000</v>
      </c>
      <c r="B42" s="258" t="s">
        <v>964</v>
      </c>
      <c r="C42" s="258" t="s">
        <v>1001</v>
      </c>
      <c r="D42" s="259" t="s">
        <v>1002</v>
      </c>
      <c r="E42" s="259"/>
      <c r="F42" s="259"/>
    </row>
    <row r="44" customFormat="false" ht="15" hidden="false" customHeight="true" outlineLevel="0" collapsed="false">
      <c r="A44" s="256" t="s">
        <v>1003</v>
      </c>
      <c r="B44" s="256"/>
      <c r="C44" s="256"/>
      <c r="D44" s="256"/>
      <c r="E44" s="256"/>
      <c r="F44" s="256"/>
    </row>
    <row r="45" customFormat="false" ht="15" hidden="false" customHeight="true" outlineLevel="0" collapsed="false">
      <c r="A45" s="257" t="s">
        <v>959</v>
      </c>
      <c r="B45" s="257" t="s">
        <v>960</v>
      </c>
      <c r="C45" s="257" t="s">
        <v>961</v>
      </c>
      <c r="D45" s="257" t="s">
        <v>962</v>
      </c>
    </row>
    <row r="46" customFormat="false" ht="90.75" hidden="false" customHeight="true" outlineLevel="0" collapsed="false">
      <c r="A46" s="258" t="s">
        <v>1004</v>
      </c>
      <c r="B46" s="258" t="s">
        <v>964</v>
      </c>
      <c r="C46" s="258" t="s">
        <v>1005</v>
      </c>
      <c r="D46" s="259" t="s">
        <v>1006</v>
      </c>
      <c r="E46" s="259"/>
      <c r="F46" s="259"/>
    </row>
    <row r="48" customFormat="false" ht="15" hidden="false" customHeight="true" outlineLevel="0" collapsed="false">
      <c r="A48" s="256" t="s">
        <v>1007</v>
      </c>
      <c r="B48" s="256"/>
      <c r="C48" s="256"/>
      <c r="D48" s="256"/>
      <c r="E48" s="256"/>
      <c r="F48" s="256"/>
    </row>
    <row r="49" customFormat="false" ht="15" hidden="false" customHeight="true" outlineLevel="0" collapsed="false">
      <c r="A49" s="257" t="s">
        <v>959</v>
      </c>
      <c r="B49" s="257" t="s">
        <v>960</v>
      </c>
      <c r="C49" s="257" t="s">
        <v>961</v>
      </c>
      <c r="D49" s="257" t="s">
        <v>962</v>
      </c>
    </row>
    <row r="50" customFormat="false" ht="27.75" hidden="false" customHeight="true" outlineLevel="0" collapsed="false">
      <c r="A50" s="258" t="s">
        <v>971</v>
      </c>
      <c r="B50" s="258" t="s">
        <v>1008</v>
      </c>
      <c r="C50" s="258" t="s">
        <v>1009</v>
      </c>
      <c r="D50" s="259" t="s">
        <v>1010</v>
      </c>
      <c r="E50" s="259"/>
      <c r="F50" s="259"/>
    </row>
    <row r="52" customFormat="false" ht="15" hidden="false" customHeight="true" outlineLevel="0" collapsed="false">
      <c r="A52" s="256" t="s">
        <v>1011</v>
      </c>
      <c r="B52" s="256"/>
      <c r="C52" s="256"/>
      <c r="D52" s="256"/>
      <c r="E52" s="256"/>
      <c r="F52" s="256"/>
    </row>
    <row r="53" customFormat="false" ht="15" hidden="false" customHeight="true" outlineLevel="0" collapsed="false">
      <c r="A53" s="257" t="s">
        <v>959</v>
      </c>
      <c r="B53" s="257" t="s">
        <v>960</v>
      </c>
      <c r="C53" s="257" t="s">
        <v>961</v>
      </c>
      <c r="D53" s="257" t="s">
        <v>962</v>
      </c>
    </row>
    <row r="54" customFormat="false" ht="27.75" hidden="false" customHeight="true" outlineLevel="0" collapsed="false">
      <c r="A54" s="258" t="s">
        <v>971</v>
      </c>
      <c r="B54" s="258" t="s">
        <v>1012</v>
      </c>
      <c r="C54" s="258" t="s">
        <v>1013</v>
      </c>
      <c r="D54" s="259" t="s">
        <v>1014</v>
      </c>
      <c r="E54" s="259"/>
      <c r="F54" s="259"/>
    </row>
    <row r="56" customFormat="false" ht="15" hidden="false" customHeight="true" outlineLevel="0" collapsed="false">
      <c r="A56" s="256" t="s">
        <v>1015</v>
      </c>
      <c r="B56" s="256"/>
      <c r="C56" s="256"/>
      <c r="D56" s="256"/>
      <c r="E56" s="256"/>
      <c r="F56" s="256"/>
    </row>
    <row r="57" customFormat="false" ht="15" hidden="false" customHeight="true" outlineLevel="0" collapsed="false">
      <c r="A57" s="257" t="s">
        <v>959</v>
      </c>
      <c r="B57" s="257" t="s">
        <v>960</v>
      </c>
      <c r="C57" s="257" t="s">
        <v>961</v>
      </c>
      <c r="D57" s="257" t="s">
        <v>962</v>
      </c>
    </row>
    <row r="58" customFormat="false" ht="60" hidden="false" customHeight="true" outlineLevel="0" collapsed="false">
      <c r="A58" s="258" t="s">
        <v>988</v>
      </c>
      <c r="B58" s="258" t="s">
        <v>1016</v>
      </c>
      <c r="C58" s="258" t="s">
        <v>1017</v>
      </c>
      <c r="D58" s="259" t="s">
        <v>1018</v>
      </c>
      <c r="E58" s="259"/>
      <c r="F58" s="259"/>
    </row>
    <row r="60" customFormat="false" ht="15" hidden="false" customHeight="true" outlineLevel="0" collapsed="false">
      <c r="A60" s="256" t="s">
        <v>1019</v>
      </c>
      <c r="B60" s="256"/>
      <c r="C60" s="256"/>
      <c r="D60" s="256"/>
      <c r="E60" s="256"/>
      <c r="F60" s="256"/>
    </row>
    <row r="61" customFormat="false" ht="15" hidden="false" customHeight="true" outlineLevel="0" collapsed="false">
      <c r="A61" s="257" t="s">
        <v>959</v>
      </c>
      <c r="B61" s="257" t="s">
        <v>960</v>
      </c>
      <c r="C61" s="257" t="s">
        <v>961</v>
      </c>
      <c r="D61" s="257" t="s">
        <v>962</v>
      </c>
    </row>
    <row r="62" customFormat="false" ht="96" hidden="false" customHeight="true" outlineLevel="0" collapsed="false">
      <c r="A62" s="258" t="s">
        <v>988</v>
      </c>
      <c r="B62" s="258" t="s">
        <v>1020</v>
      </c>
      <c r="C62" s="258" t="s">
        <v>1021</v>
      </c>
      <c r="D62" s="259" t="s">
        <v>1022</v>
      </c>
      <c r="E62" s="259"/>
      <c r="F62" s="259"/>
    </row>
    <row r="64" customFormat="false" ht="15" hidden="false" customHeight="true" outlineLevel="0" collapsed="false">
      <c r="A64" s="256" t="s">
        <v>1023</v>
      </c>
      <c r="B64" s="256"/>
      <c r="C64" s="256"/>
      <c r="D64" s="256"/>
      <c r="E64" s="256"/>
      <c r="F64" s="256"/>
    </row>
    <row r="65" customFormat="false" ht="15" hidden="false" customHeight="true" outlineLevel="0" collapsed="false">
      <c r="A65" s="257" t="s">
        <v>959</v>
      </c>
      <c r="B65" s="257" t="s">
        <v>960</v>
      </c>
      <c r="C65" s="257" t="s">
        <v>961</v>
      </c>
      <c r="D65" s="257" t="s">
        <v>962</v>
      </c>
    </row>
    <row r="66" customFormat="false" ht="177" hidden="false" customHeight="true" outlineLevel="0" collapsed="false">
      <c r="A66" s="258" t="s">
        <v>971</v>
      </c>
      <c r="B66" s="258" t="s">
        <v>1024</v>
      </c>
      <c r="C66" s="258" t="s">
        <v>1025</v>
      </c>
      <c r="D66" s="259" t="s">
        <v>1026</v>
      </c>
      <c r="E66" s="259"/>
      <c r="F66" s="259"/>
    </row>
    <row r="68" customFormat="false" ht="15" hidden="false" customHeight="true" outlineLevel="0" collapsed="false">
      <c r="A68" s="256" t="s">
        <v>1027</v>
      </c>
      <c r="B68" s="256"/>
      <c r="C68" s="256"/>
      <c r="D68" s="256"/>
      <c r="E68" s="256"/>
      <c r="F68" s="256"/>
    </row>
    <row r="69" customFormat="false" ht="15" hidden="false" customHeight="true" outlineLevel="0" collapsed="false">
      <c r="A69" s="257" t="s">
        <v>959</v>
      </c>
      <c r="B69" s="257" t="s">
        <v>960</v>
      </c>
      <c r="C69" s="257" t="s">
        <v>961</v>
      </c>
      <c r="D69" s="257" t="s">
        <v>962</v>
      </c>
    </row>
    <row r="70" customFormat="false" ht="15" hidden="false" customHeight="true" outlineLevel="0" collapsed="false">
      <c r="A70" s="258" t="s">
        <v>971</v>
      </c>
      <c r="B70" s="258" t="s">
        <v>1028</v>
      </c>
      <c r="C70" s="258" t="s">
        <v>1029</v>
      </c>
      <c r="D70" s="259" t="s">
        <v>1030</v>
      </c>
      <c r="E70" s="259"/>
      <c r="F70" s="259"/>
    </row>
    <row r="72" customFormat="false" ht="15" hidden="false" customHeight="true" outlineLevel="0" collapsed="false">
      <c r="A72" s="256" t="s">
        <v>1031</v>
      </c>
      <c r="B72" s="256"/>
      <c r="C72" s="256"/>
      <c r="D72" s="256"/>
      <c r="E72" s="256"/>
      <c r="F72" s="256"/>
    </row>
    <row r="73" customFormat="false" ht="15" hidden="false" customHeight="true" outlineLevel="0" collapsed="false">
      <c r="A73" s="257" t="s">
        <v>959</v>
      </c>
      <c r="B73" s="257" t="s">
        <v>960</v>
      </c>
      <c r="C73" s="257" t="s">
        <v>961</v>
      </c>
      <c r="D73" s="257" t="s">
        <v>962</v>
      </c>
    </row>
    <row r="74" customFormat="false" ht="60" hidden="false" customHeight="true" outlineLevel="0" collapsed="false">
      <c r="A74" s="258" t="s">
        <v>971</v>
      </c>
      <c r="B74" s="258" t="s">
        <v>1032</v>
      </c>
      <c r="C74" s="258" t="s">
        <v>1033</v>
      </c>
      <c r="D74" s="259" t="s">
        <v>1034</v>
      </c>
      <c r="E74" s="259"/>
      <c r="F74" s="259"/>
    </row>
    <row r="76" customFormat="false" ht="15" hidden="false" customHeight="true" outlineLevel="0" collapsed="false">
      <c r="A76" s="256" t="s">
        <v>1035</v>
      </c>
      <c r="B76" s="256"/>
      <c r="C76" s="256"/>
      <c r="D76" s="256"/>
      <c r="E76" s="256"/>
      <c r="F76" s="256"/>
    </row>
    <row r="77" customFormat="false" ht="15" hidden="false" customHeight="true" outlineLevel="0" collapsed="false">
      <c r="A77" s="257" t="s">
        <v>959</v>
      </c>
      <c r="B77" s="257" t="s">
        <v>960</v>
      </c>
      <c r="C77" s="257" t="s">
        <v>961</v>
      </c>
      <c r="D77" s="257" t="s">
        <v>962</v>
      </c>
    </row>
    <row r="78" customFormat="false" ht="24" hidden="false" customHeight="true" outlineLevel="0" collapsed="false">
      <c r="A78" s="258" t="s">
        <v>971</v>
      </c>
      <c r="B78" s="258" t="s">
        <v>1036</v>
      </c>
      <c r="C78" s="258" t="s">
        <v>1037</v>
      </c>
      <c r="D78" s="259" t="s">
        <v>1038</v>
      </c>
      <c r="E78" s="259"/>
      <c r="F78" s="25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2026-10-08T12:22:23Z</dcterms:modified>
  <cp:revision>320</cp:revision>
  <dc:subject/>
  <dc:title/>
</cp:coreProperties>
</file>

<file path=docProps/custom.xml><?xml version="1.0" encoding="utf-8"?>
<Properties xmlns="http://schemas.openxmlformats.org/officeDocument/2006/custom-properties" xmlns:vt="http://schemas.openxmlformats.org/officeDocument/2006/docPropsVTypes"/>
</file>