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<sst xmlns="http://schemas.openxmlformats.org/spreadsheetml/2006/main" count="2113" uniqueCount="829">
  <si>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</si>
  <si>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</si>
  <si>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</si>
  <si>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</si>
  <si>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</si>
  <si>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</si>
  <si>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</si>
  <si>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</si>
  <si>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</si>
  <si>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</si>
  <si>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</si>
  <si>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</si>
  <si>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</si>
  <si>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</si>
  <si>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</si>
  <si>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</si>
  <si>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</si>
  <si>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</si>
  <si>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</si>
  <si>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</si>
  <si>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</si>
  <si>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</si>
  <si>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</si>
  <si>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</si>
  <si>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</si>
  <si>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</si>
  <si>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</si>
  <si>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</si>
  <si>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</si>
  <si>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</si>
  <si>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</si>
  <si>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</si>
  <si>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</si>
  <si>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</si>
  <si>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</si>
  <si>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</si>
  <si>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</si>
  <si>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</si>
  <si>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</si>
  <si>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</si>
  <si>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</si>
  <si>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</si>
  <si>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</si>
  <si>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</si>
  <si>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</si>
  <si>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</si>
  <si>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</si>
  <si>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</si>
  <si>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</si>
  <si>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</si>
  <si>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</si>
  <si>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</si>
  <si>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</si>
  <si>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</si>
  <si>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</si>
  <si>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</si>
  <si>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</si>
  <si>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</si>
  <si>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</si>
  <si>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</si>
  <si>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</si>
  <si>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</si>
  <si>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</si>
  <si>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</si>
  <si>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</si>
  <si>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</si>
  <si>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</si>
  <si>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</si>
  <si>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</si>
  <si>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</si>
  <si>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</si>
  <si>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</si>
  <si>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</si>
  <si>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</si>
  <si>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</si>
  <si>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</si>
  <si>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</si>
  <si>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</si>
  <si>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</si>
  <si>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</si>
  <si>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</si>
  <si>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</si>
  <si>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</si>
  <si>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</si>
  <si>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</si>
  <si>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</si>
  <si>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</si>
  <si>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</si>
  <si>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</si>
  <si>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</si>
  <si>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</si>
  <si>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</si>
  <si>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</si>
  <si>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</si>
  <si>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</si>
  <si>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</si>
  <si>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</si>
  <si>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</si>
  <si>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</si>
  <si>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</si>
  <si>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</si>
  <si>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</si>
  <si>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</si>
  <si>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</si>
  <si>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</si>
  <si>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</si>
  <si>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</si>
  <si>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</si>
  <si>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</si>
  <si>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</si>
  <si>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</si>
  <si>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</si>
  <si>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</si>
  <si>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</si>
  <si>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</si>
  <si>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</si>
  <si>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</si>
  <si>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</si>
  <si>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</si>
  <si>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</si>
  <si>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</si>
  <si>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</si>
  <si>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</si>
  <si>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</si>
  <si>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</si>
  <si>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</si>
  <si>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</si>
  <si>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</si>
  <si>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</si>
  <si>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</si>
  <si>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</si>
  <si>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</si>
  <si>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</si>
  <si>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</si>
  <si>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</si>
  <si>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</si>
  <si>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</si>
  <si>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</si>
  <si>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</si>
  <si>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</si>
  <si>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</si>
  <si>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</si>
  <si>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</si>
  <si>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</si>
  <si>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</si>
  <si>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</si>
  <si>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</si>
  <si>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</si>
  <si>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</si>
  <si>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</si>
  <si>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</si>
  <si>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</si>
  <si>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</si>
  <si>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</si>
  <si>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</si>
  <si>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</si>
  <si>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</si>
  <si>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</si>
  <si>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</si>
  <si>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</si>
  <si>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</si>
  <si>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</si>
  <si>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</si>
  <si>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</si>
  <si>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</si>
  <si>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</si>
  <si>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</si>
  <si>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</si>
  <si>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</si>
  <si>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</si>
  <si>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</si>
  <si>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</si>
  <si>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</si>
  <si>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</si>
  <si>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</si>
  <si>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</si>
  <si>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</si>
  <si>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</si>
  <si>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</si>
  <si>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</si>
  <si>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</si>
  <si>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</si>
  <si>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</si>
  <si>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</si>
  <si>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</si>
  <si>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</si>
  <si>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</si>
  <si>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</si>
  <si>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</si>
  <si>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</si>
  <si>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</si>
  <si>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</si>
  <si>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</si>
  <si>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</si>
  <si>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</si>
  <si>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</si>
  <si>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</si>
  <si>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</si>
  <si>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</si>
  <si>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</si>
  <si>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</si>
  <si>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</si>
  <si>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</si>
  <si>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</si>
  <si>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</si>
  <si>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</si>
  <si>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</si>
  <si>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</si>
  <si>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</si>
  <si>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</si>
  <si>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</si>
  <si>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</si>
  <si>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</si>
  <si>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</si>
  <si>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</si>
  <si>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</si>
  <si>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</si>
  <si>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</si>
  <si>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</si>
  <si>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</si>
  <si>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</si>
  <si>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</si>
  <si>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</si>
  <si>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</si>
  <si>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</si>
  <si>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</si>
  <si>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</si>
  <si>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</si>
  <si>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</si>
  <si>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</si>
  <si>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</si>
  <si>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</si>
  <si>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</si>
  <si>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</si>
  <si>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</si>
  <si>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</si>
  <si>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</si>
  <si>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</si>
  <si>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</si>
  <si>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</si>
  <si>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</si>
  <si>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</si>
  <si>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</si>
  <si>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</si>
  <si>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</si>
  <si>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</si>
  <si>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</si>
  <si>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</si>
  <si>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</si>
  <si>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</si>
  <si>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</si>
  <si>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</si>
  <si>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</si>
  <si>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</si>
  <si>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</si>
  <si>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</si>
  <si>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</si>
  <si>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</si>
  <si>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</si>
  <si>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</si>
  <si>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</si>
  <si>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</si>
  <si>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</si>
  <si>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</si>
  <si>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</si>
  <si>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</si>
  <si>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</si>
  <si>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</si>
  <si>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</si>
  <si>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</si>
  <si>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</si>
  <si>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</si>
  <si>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</si>
  <si>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</si>
  <si>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</si>
  <si>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</si>
  <si>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</si>
  <si>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</si>
  <si>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</si>
  <si>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</si>
  <si>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</si>
  <si>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</si>
  <si>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</si>
  <si>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</si>
  <si>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</si>
  <si>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</si>
  <si>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</si>
  <si>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</si>
  <si>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</si>
  <si>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</si>
  <si>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</si>
  <si>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</si>
  <si>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</si>
  <si>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</si>
  <si>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</si>
  <si>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</si>
  <si>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</si>
  <si>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</si>
  <si>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</si>
  <si>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</si>
  <si>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</si>
  <si>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</si>
  <si>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</si>
  <si>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</si>
  <si>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</si>
  <si>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</si>
  <si>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</si>
  <si>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</si>
  <si>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</si>
  <si>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</si>
  <si>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</si>
  <si>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</si>
  <si>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</si>
  <si>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</si>
  <si>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</si>
  <si>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</si>
  <si>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</si>
  <si>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</si>
  <si>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</si>
  <si>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</si>
  <si>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</si>
  <si>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</si>
  <si>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</si>
  <si>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</si>
  <si>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</si>
  <si>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</si>
  <si>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</si>
  <si>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</si>
  <si>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</si>
  <si>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</si>
  <si>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</si>
  <si>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</si>
  <si>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</si>
  <si>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</si>
  <si>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</si>
  <si>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</si>
  <si>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</si>
  <si>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</si>
  <si>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</si>
  <si>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</si>
  <si>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</si>
  <si>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</si>
  <si>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</si>
  <si>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</si>
  <si>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</si>
  <si>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</si>
  <si>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</si>
  <si>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</si>
  <si>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</si>
  <si>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</si>
  <si>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</si>
  <si>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</si>
  <si>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</si>
  <si>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</si>
  <si>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</si>
  <si>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</si>
  <si>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</si>
  <si>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</si>
  <si>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</si>
  <si>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</si>
  <si>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</si>
  <si>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</si>
  <si>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</si>
  <si>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</si>
  <si>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</si>
  <si>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</si>
  <si>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</si>
  <si>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</si>
  <si>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</si>
  <si>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</si>
  <si>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</si>
  <si>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</si>
  <si>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</si>
  <si>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</si>
  <si>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</si>
  <si>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</si>
  <si>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</si>
  <si>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</si>
  <si>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</si>
  <si>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</si>
  <si>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</si>
  <si>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</si>
  <si>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</si>
  <si>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</si>
  <si>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</si>
  <si>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</si>
  <si>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</si>
  <si>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</si>
  <si>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</si>
  <si>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</si>
  <si>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</si>
  <si>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</si>
  <si>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</si>
  <si>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</si>
  <si>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</si>
  <si>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</si>
  <si>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</si>
  <si>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</si>
  <si>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</si>
  <si>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</si>
  <si>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</si>
  <si>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</si>
  <si>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</si>
  <si>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</si>
  <si>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</si>
  <si>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</si>
  <si>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</si>
  <si>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</si>
  <si>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</si>
  <si>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</si>
  <si>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</si>
  <si>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</si>
  <si>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</si>
  <si>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</si>
  <si>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</si>
  <si>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</si>
  <si>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</si>
  <si>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</si>
  <si>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</si>
  <si>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</si>
  <si>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</si>
  <si>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</si>
  <si>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</si>
  <si>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</si>
  <si>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</si>
  <si>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</si>
  <si>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</si>
  <si>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</si>
  <si>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</si>
  <si>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</si>
  <si>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</si>
  <si>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</si>
  <si>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</si>
  <si>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</si>
  <si>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</si>
  <si>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</si>
  <si>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</si>
  <si>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</si>
  <si>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</si>
  <si>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</si>
  <si>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</si>
  <si>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</si>
  <si>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</si>
  <si>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</si>
  <si>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</si>
  <si>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</si>
  <si>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</si>
  <si>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</si>
  <si>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</si>
  <si>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</si>
  <si>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</si>
  <si>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</si>
  <si>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</si>
  <si>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</si>
  <si>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</si>
  <si>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</si>
  <si>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</si>
  <si>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</si>
  <si>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</si>
  <si>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</si>
  <si>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</si>
  <si>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</si>
  <si>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</si>
  <si>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</si>
  <si>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</si>
  <si>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</si>
  <si>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</si>
  <si>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</si>
  <si>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</si>
  <si>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</si>
  <si>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</si>
  <si>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</si>
  <si>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</si>
  <si>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</si>
  <si>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</si>
  <si>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</si>
  <si>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</si>
  <si>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</si>
  <si>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</si>
  <si>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</si>
  <si>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</si>
  <si>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</si>
  <si>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</si>
  <si>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</si>
  <si>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</si>
  <si>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</si>
  <si>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</si>
  <si>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</si>
  <si>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</si>
  <si>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</si>
  <si>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</si>
  <si>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</si>
  <si>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</si>
  <si>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</si>
  <si>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</si>
  <si>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</si>
  <si>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</si>
  <si>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</si>
  <si>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</si>
  <si>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</si>
  <si>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</si>
  <si>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</si>
  <si>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</si>
  <si>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</si>
  <si>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</si>
  <si>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</si>
  <si>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</si>
  <si>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</si>
  <si>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</si>
  <si>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</si>
  <si>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</si>
  <si>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</si>
  <si>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</si>
  <si>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</si>
  <si>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</si>
  <si>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</si>
  <si>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</si>
  <si>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</si>
  <si>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</si>
  <si>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</si>
  <si>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</si>
  <si>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</si>
  <si>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</si>
  <si>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</si>
  <si>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</si>
  <si>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</si>
  <si>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</si>
  <si>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</si>
  <si>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</si>
  <si>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</si>
  <si>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</si>
  <si>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</si>
  <si>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</si>
  <si>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</si>
  <si>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</si>
  <si>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</si>
  <si>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</si>
  <si>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</si>
  <si>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</si>
  <si>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</si>
  <si>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</si>
  <si>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</si>
  <si>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</si>
  <si>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</si>
  <si>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</si>
  <si>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</si>
  <si>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</si>
  <si>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</si>
  <si>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</si>
  <si>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</si>
  <si>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</si>
  <si>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</si>
  <si>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</si>
  <si>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</si>
  <si>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</si>
  <si>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</si>
  <si>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</si>
  <si>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</si>
  <si>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</si>
  <si>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</si>
  <si>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</si>
  <si>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</si>
  <si>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</si>
  <si>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</si>
  <si>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</si>
  <si>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</si>
  <si>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</si>
  <si>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</si>
  <si>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</si>
  <si>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</si>
  <si>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</si>
  <si>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</si>
  <si>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</si>
  <si>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</si>
  <si>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</si>
  <si>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</si>
  <si>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</si>
  <si>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</si>
  <si>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</si>
  <si>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</si>
  <si>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</si>
  <si>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</si>
  <si>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</si>
  <si>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</si>
  <si>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</si>
  <si>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</si>
  <si>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</si>
  <si>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</si>
  <si>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</si>
  <si>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</si>
  <si>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</si>
  <si>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</si>
  <si>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</si>
  <si>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</si>
  <si>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</si>
  <si>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</si>
  <si>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</si>
  <si>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</si>
  <si>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</si>
  <si>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</si>
  <si>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</si>
  <si>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</si>
  <si>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</si>
  <si>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</si>
  <si>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</si>
  <si>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</si>
  <si>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</si>
  <si>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</si>
  <si>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</si>
  <si>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</si>
  <si>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</si>
  <si>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</si>
  <si>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</si>
  <si>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</si>
  <si>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</si>
  <si>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</si>
  <si>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</si>
  <si>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</si>
  <si>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</si>
  <si>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</si>
  <si>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</si>
  <si>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</si>
  <si>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</si>
  <si>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</si>
  <si>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</si>
  <si>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</si>
  <si>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</si>
  <si>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</si>
  <si>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</si>
  <si>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</si>
  <si>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</si>
  <si>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</si>
  <si>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</si>
  <si>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</si>
  <si>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</si>
  <si>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</si>
  <si>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</si>
  <si>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</si>
  <si>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</si>
  <si>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</si>
  <si>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</si>
  <si>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</si>
  <si>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</si>
  <si>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</si>
  <si>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</si>
  <si>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</si>
  <si>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</si>
  <si>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</si>
  <si>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</si>
  <si>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</si>
  <si>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</si>
  <si>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</si>
  <si>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</si>
  <si>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</si>
  <si>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</si>
  <si>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</si>
  <si>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</si>
  <si>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</si>
  <si>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</si>
  <si>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</si>
  <si>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</si>
  <si>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</si>
  <si>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</si>
  <si>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</si>
  <si>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</si>
  <si>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</si>
  <si>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</si>
  <si>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</si>
  <si>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</si>
  <si>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</si>
  <si>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</si>
  <si>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</si>
  <si>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</si>
  <si>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</si>
  <si>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</si>
  <si>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</si>
  <si>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</si>
  <si>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</si>
  <si>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</si>
  <si>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</si>
  <si>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</si>
  <si>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</si>
  <si>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</si>
  <si>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</si>
  <si>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</si>
  <si>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</si>
  <si>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</si>
  <si>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</si>
  <si>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</si>
  <si>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</si>
  <si>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</si>
  <si>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</si>
  <si>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</si>
  <si>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</si>
  <si>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</si>
  <si>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</si>
  <si>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</si>
  <si>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</si>
  <si>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</si>
  <si>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</si>
  <si>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</si>
  <si>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</si>
  <si>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</si>
  <si>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</si>
  <si>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</si>
  <si>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</si>
  <si>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</si>
  <si>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</si>
  <si>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</si>
  <si>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</si>
  <si>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</si>
  <si>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</si>
  <si>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</si>
  <si>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</si>
  <si>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</si>
  <si>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</si>
  <si>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</si>
  <si>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</si>
  <si>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</si>
  <si>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</si>
  <si>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</si>
  <si>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</si>
  <si>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</si>
  <si>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</si>
  <si>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</si>
  <si>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</si>
  <si>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</si>
  <si>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</si>
  <si>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</si>
  <si>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</si>
  <si>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</si>
  <si>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</si>
  <si>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</si>
  <si>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</si>
  <si>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</si>
  <si>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</si>
  <si>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</si>
  <si>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</si>
  <si>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</si>
  <si>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</si>
  <si>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</si>
  <si>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</si>
  <si>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</si>
  <si>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</si>
  <si>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</si>
  <si>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</si>
  <si>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</si>
  <si>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</si>
  <si>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</si>
  <si>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</si>
  <si>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</si>
  <si>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</si>
  <si>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</si>
  <si>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</si>
  <si>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</si>
  <si>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</si>
  <si>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</si>
  <si>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</si>
  <si>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</si>
  <si>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</si>
  <si>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</si>
  <si>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</si>
  <si>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</si>
  <si>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</si>
  <si>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</si>
  <si>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</si>
  <si>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</si>
  <si>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</si>
  <si>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</si>
  <si>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</si>
  <si>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</si>
  <si>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</si>
  <si>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</si>
  <si>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</si>
  <si>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</si>
  <si>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</si>
  <si>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</si>
  <si>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</si>
  <si>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</si>
  <si>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</si>
  <si>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</si>
  <si>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</si>
  <si>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</si>
  <si>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</si>
  <si>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</si>
  <si>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</si>
  <si>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</si>
  <si>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</si>
  <si>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</si>
  <si>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</si>
  <si>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</si>
  <si>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</si>
  <si>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</si>
  <si>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</si>
  <si>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</si>
  <si>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</si>
  <si>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</si>
  <si>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</si>
  <si>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</si>
  <si>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</si>
  <si>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</si>
  <si>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</si>
  <si>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</si>
  <si>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</si>
  <si>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</si>
  <si>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</si>
  <si>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</si>
  <si>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</si>
  <si>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</si>
  <si>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</si>
  <si>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</si>
  <si>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</si>
  <si>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</si>
  <si>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</si>
  <si>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</si>
  <si>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</si>
  <si>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</si>
  <si>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</si>
  <si>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</si>
  <si>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</si>
  <si>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</si>
  <si>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</si>
  <si>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</si>
  <si>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</si>
  <si>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</si>
  <si>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</si>
  <si>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</si>
  <si>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A4:F28 as of 2026-10-02 (24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</si>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</sst>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numCache>
            </c:numRef>
          </c:val>
        </c:ser>
        <c:gapWidth val="150"/>
        <c:overlap val="0"/>
        <c:axId val="43659109"/>
        <c:axId val="5611468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General</c:formatCode>
                <c:ptCount val="498"/>
              </c:numCache>
            </c:numRef>
          </c:val>
          <c:smooth val="0"/>
        </c:ser>
        <c:hiLowLines>
          <c:spPr>
            <a:ln w="0">
              <a:noFill/>
            </a:ln>
          </c:spPr>
        </c:hiLowLines>
        <c:marker val="0"/>
        <c:axId val="22604044"/>
        <c:axId val="90695515"/>
      </c:lineChart>
      <c:dateAx>
        <c:axId val="436591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14687"/>
        <c:auto val="1"/>
        <c:lblOffset val="100"/>
        <c:baseTimeUnit val="days"/>
      </c:dateAx>
      <c:valAx>
        <c:axId val="561146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659109"/>
        <c:crosses val="autoZero"/>
        <c:crossBetween val="between"/>
      </c:valAx>
      <c:dateAx>
        <c:axId val="226040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95515"/>
        <c:auto val="1"/>
        <c:lblOffset val="100"/>
        <c:baseTimeUnit val="days"/>
      </c:dateAx>
      <c:valAx>
        <c:axId val="906955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6040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numCache>
            </c:numRef>
          </c:val>
        </c:ser>
        <c:gapWidth val="150"/>
        <c:overlap val="0"/>
        <c:axId val="18043557"/>
        <c:axId val="803961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45.8877215189873</c:v>
                </c:pt>
                <c:pt idx="2">
                  <c:v>45.5954430379747</c:v>
                </c:pt>
                <c:pt idx="3">
                  <c:v>45.303164556962</c:v>
                </c:pt>
                <c:pt idx="4">
                  <c:v>45.0108860759494</c:v>
                </c:pt>
                <c:pt idx="5">
                  <c:v>44.7186075949367</c:v>
                </c:pt>
                <c:pt idx="6">
                  <c:v>44.4263291139241</c:v>
                </c:pt>
                <c:pt idx="7">
                  <c:v>44.1340506329114</c:v>
                </c:pt>
                <c:pt idx="8">
                  <c:v>43.8417721518987</c:v>
                </c:pt>
                <c:pt idx="9">
                  <c:v>43.5494936708861</c:v>
                </c:pt>
                <c:pt idx="10">
                  <c:v>43.2572151898734</c:v>
                </c:pt>
                <c:pt idx="11">
                  <c:v>42.9649367088608</c:v>
                </c:pt>
                <c:pt idx="12">
                  <c:v>42.6726582278481</c:v>
                </c:pt>
                <c:pt idx="13">
                  <c:v>42.3803797468354</c:v>
                </c:pt>
                <c:pt idx="14">
                  <c:v>42.0881012658228</c:v>
                </c:pt>
                <c:pt idx="15">
                  <c:v>41.7958227848101</c:v>
                </c:pt>
                <c:pt idx="16">
                  <c:v>41.5035443037975</c:v>
                </c:pt>
                <c:pt idx="17">
                  <c:v>41.2112658227848</c:v>
                </c:pt>
                <c:pt idx="18">
                  <c:v>40.9189873417722</c:v>
                </c:pt>
                <c:pt idx="19">
                  <c:v>40.6267088607595</c:v>
                </c:pt>
                <c:pt idx="20">
                  <c:v>40.3344303797468</c:v>
                </c:pt>
                <c:pt idx="21">
                  <c:v>40.0421518987342</c:v>
                </c:pt>
                <c:pt idx="22">
                  <c:v>39.7498734177215</c:v>
                </c:pt>
                <c:pt idx="23">
                  <c:v>39.4575949367089</c:v>
                </c:pt>
                <c:pt idx="24">
                  <c:v>39.1653164556962</c:v>
                </c:pt>
                <c:pt idx="25">
                  <c:v>38.8730379746835</c:v>
                </c:pt>
                <c:pt idx="26">
                  <c:v>38.5807594936709</c:v>
                </c:pt>
                <c:pt idx="27">
                  <c:v>38.2884810126582</c:v>
                </c:pt>
                <c:pt idx="28">
                  <c:v>37.9962025316456</c:v>
                </c:pt>
                <c:pt idx="29">
                  <c:v>37.7039240506329</c:v>
                </c:pt>
                <c:pt idx="30">
                  <c:v>37.4116455696203</c:v>
                </c:pt>
                <c:pt idx="31">
                  <c:v>37.1193670886076</c:v>
                </c:pt>
                <c:pt idx="32">
                  <c:v>36.8270886075949</c:v>
                </c:pt>
                <c:pt idx="33">
                  <c:v>36.5348101265823</c:v>
                </c:pt>
                <c:pt idx="34">
                  <c:v>36.2425316455696</c:v>
                </c:pt>
                <c:pt idx="35">
                  <c:v>35.950253164557</c:v>
                </c:pt>
                <c:pt idx="36">
                  <c:v>35.6579746835443</c:v>
                </c:pt>
                <c:pt idx="37">
                  <c:v>35.3656962025316</c:v>
                </c:pt>
                <c:pt idx="38">
                  <c:v>35.073417721519</c:v>
                </c:pt>
                <c:pt idx="39">
                  <c:v>34.7811392405063</c:v>
                </c:pt>
                <c:pt idx="40">
                  <c:v>34.4888607594937</c:v>
                </c:pt>
                <c:pt idx="41">
                  <c:v>34.196582278481</c:v>
                </c:pt>
                <c:pt idx="42">
                  <c:v>33.9043037974684</c:v>
                </c:pt>
                <c:pt idx="43">
                  <c:v>33.6120253164557</c:v>
                </c:pt>
                <c:pt idx="44">
                  <c:v>33.319746835443</c:v>
                </c:pt>
                <c:pt idx="45">
                  <c:v>33.0274683544304</c:v>
                </c:pt>
                <c:pt idx="46">
                  <c:v>32.7351898734177</c:v>
                </c:pt>
                <c:pt idx="47">
                  <c:v>32.4429113924051</c:v>
                </c:pt>
                <c:pt idx="48">
                  <c:v>32.1506329113924</c:v>
                </c:pt>
                <c:pt idx="49">
                  <c:v>31.8583544303797</c:v>
                </c:pt>
                <c:pt idx="50">
                  <c:v>31.5660759493671</c:v>
                </c:pt>
                <c:pt idx="51">
                  <c:v>31.2737974683544</c:v>
                </c:pt>
                <c:pt idx="52">
                  <c:v>30.9815189873418</c:v>
                </c:pt>
                <c:pt idx="53">
                  <c:v>30.6892405063291</c:v>
                </c:pt>
                <c:pt idx="54">
                  <c:v>30.3969620253165</c:v>
                </c:pt>
                <c:pt idx="55">
                  <c:v>30.1046835443038</c:v>
                </c:pt>
                <c:pt idx="56">
                  <c:v>29.8124050632911</c:v>
                </c:pt>
                <c:pt idx="57">
                  <c:v>29.5201265822785</c:v>
                </c:pt>
                <c:pt idx="58">
                  <c:v>29.2278481012658</c:v>
                </c:pt>
                <c:pt idx="59">
                  <c:v>28.9355696202532</c:v>
                </c:pt>
                <c:pt idx="60">
                  <c:v>28.6432911392405</c:v>
                </c:pt>
                <c:pt idx="61">
                  <c:v>28.3510126582278</c:v>
                </c:pt>
                <c:pt idx="62">
                  <c:v>28.0587341772152</c:v>
                </c:pt>
                <c:pt idx="63">
                  <c:v>27.7664556962025</c:v>
                </c:pt>
                <c:pt idx="64">
                  <c:v>27.4741772151899</c:v>
                </c:pt>
                <c:pt idx="65">
                  <c:v>27.1818987341772</c:v>
                </c:pt>
                <c:pt idx="66">
                  <c:v>26.8896202531646</c:v>
                </c:pt>
                <c:pt idx="67">
                  <c:v>26.5973417721519</c:v>
                </c:pt>
                <c:pt idx="68">
                  <c:v>26.3050632911392</c:v>
                </c:pt>
                <c:pt idx="69">
                  <c:v>26.0127848101266</c:v>
                </c:pt>
                <c:pt idx="70">
                  <c:v>25.7205063291139</c:v>
                </c:pt>
                <c:pt idx="71">
                  <c:v>25.4282278481013</c:v>
                </c:pt>
                <c:pt idx="72">
                  <c:v>25.1359493670886</c:v>
                </c:pt>
                <c:pt idx="73">
                  <c:v>24.843670886076</c:v>
                </c:pt>
                <c:pt idx="74">
                  <c:v>24.5513924050633</c:v>
                </c:pt>
                <c:pt idx="75">
                  <c:v>24.2591139240506</c:v>
                </c:pt>
                <c:pt idx="76">
                  <c:v>23.966835443038</c:v>
                </c:pt>
                <c:pt idx="77">
                  <c:v>23.6745569620253</c:v>
                </c:pt>
                <c:pt idx="78">
                  <c:v>23.3822784810127</c:v>
                </c:pt>
                <c:pt idx="79">
                  <c:v>23.09</c:v>
                </c:pt>
                <c:pt idx="80">
                  <c:v>22.7977215189873</c:v>
                </c:pt>
                <c:pt idx="81">
                  <c:v>22.5054430379747</c:v>
                </c:pt>
                <c:pt idx="82">
                  <c:v>22.213164556962</c:v>
                </c:pt>
                <c:pt idx="83">
                  <c:v>21.9208860759494</c:v>
                </c:pt>
                <c:pt idx="84">
                  <c:v>21.6286075949367</c:v>
                </c:pt>
                <c:pt idx="85">
                  <c:v>21.336329113924</c:v>
                </c:pt>
                <c:pt idx="86">
                  <c:v>21.0440506329114</c:v>
                </c:pt>
                <c:pt idx="87">
                  <c:v>20.7517721518987</c:v>
                </c:pt>
                <c:pt idx="88">
                  <c:v>20.4594936708861</c:v>
                </c:pt>
                <c:pt idx="89">
                  <c:v>20.1672151898734</c:v>
                </c:pt>
                <c:pt idx="90">
                  <c:v>19.8749367088608</c:v>
                </c:pt>
                <c:pt idx="91">
                  <c:v>19.5826582278481</c:v>
                </c:pt>
                <c:pt idx="92">
                  <c:v>19.2903797468354</c:v>
                </c:pt>
                <c:pt idx="93">
                  <c:v>18.9981012658228</c:v>
                </c:pt>
                <c:pt idx="94">
                  <c:v>18.7058227848101</c:v>
                </c:pt>
                <c:pt idx="95">
                  <c:v>18.4135443037975</c:v>
                </c:pt>
                <c:pt idx="96">
                  <c:v>18.1212658227848</c:v>
                </c:pt>
                <c:pt idx="97">
                  <c:v>17.8289873417722</c:v>
                </c:pt>
                <c:pt idx="98">
                  <c:v>17.5367088607595</c:v>
                </c:pt>
                <c:pt idx="99">
                  <c:v>17.2444303797468</c:v>
                </c:pt>
                <c:pt idx="100">
                  <c:v>16.9521518987342</c:v>
                </c:pt>
                <c:pt idx="101">
                  <c:v>16.6598734177215</c:v>
                </c:pt>
                <c:pt idx="102">
                  <c:v>16.3675949367089</c:v>
                </c:pt>
                <c:pt idx="103">
                  <c:v>16.0753164556962</c:v>
                </c:pt>
                <c:pt idx="104">
                  <c:v>15.7830379746835</c:v>
                </c:pt>
                <c:pt idx="105">
                  <c:v>15.4907594936709</c:v>
                </c:pt>
                <c:pt idx="106">
                  <c:v>15.1984810126582</c:v>
                </c:pt>
                <c:pt idx="107">
                  <c:v>14.9062025316456</c:v>
                </c:pt>
                <c:pt idx="108">
                  <c:v>14.6139240506329</c:v>
                </c:pt>
                <c:pt idx="109">
                  <c:v>14.3216455696203</c:v>
                </c:pt>
                <c:pt idx="110">
                  <c:v>14.0293670886076</c:v>
                </c:pt>
                <c:pt idx="111">
                  <c:v>13.7370886075949</c:v>
                </c:pt>
                <c:pt idx="112">
                  <c:v>13.4448101265823</c:v>
                </c:pt>
                <c:pt idx="113">
                  <c:v>13.1525316455696</c:v>
                </c:pt>
                <c:pt idx="114">
                  <c:v>12.860253164557</c:v>
                </c:pt>
                <c:pt idx="115">
                  <c:v>12.5679746835443</c:v>
                </c:pt>
                <c:pt idx="116">
                  <c:v>12.2756962025316</c:v>
                </c:pt>
                <c:pt idx="117">
                  <c:v>11.983417721519</c:v>
                </c:pt>
                <c:pt idx="118">
                  <c:v>11.6911392405063</c:v>
                </c:pt>
                <c:pt idx="119">
                  <c:v>11.3988607594937</c:v>
                </c:pt>
                <c:pt idx="120">
                  <c:v>11.106582278481</c:v>
                </c:pt>
                <c:pt idx="121">
                  <c:v>10.8143037974684</c:v>
                </c:pt>
                <c:pt idx="122">
                  <c:v>10.5220253164557</c:v>
                </c:pt>
                <c:pt idx="123">
                  <c:v>10.229746835443</c:v>
                </c:pt>
                <c:pt idx="124">
                  <c:v>9.93746835443038</c:v>
                </c:pt>
                <c:pt idx="125">
                  <c:v>9.64518987341772</c:v>
                </c:pt>
                <c:pt idx="126">
                  <c:v>9.35291139240506</c:v>
                </c:pt>
                <c:pt idx="127">
                  <c:v>9.0606329113924</c:v>
                </c:pt>
                <c:pt idx="128">
                  <c:v>8.76835443037975</c:v>
                </c:pt>
                <c:pt idx="129">
                  <c:v>8.47607594936709</c:v>
                </c:pt>
                <c:pt idx="130">
                  <c:v>8.18379746835444</c:v>
                </c:pt>
                <c:pt idx="131">
                  <c:v>7.89151898734177</c:v>
                </c:pt>
                <c:pt idx="132">
                  <c:v>7.59924050632911</c:v>
                </c:pt>
                <c:pt idx="133">
                  <c:v>7.30696202531646</c:v>
                </c:pt>
                <c:pt idx="134">
                  <c:v>7.0146835443038</c:v>
                </c:pt>
                <c:pt idx="135">
                  <c:v>6.72240506329113</c:v>
                </c:pt>
                <c:pt idx="136">
                  <c:v>6.43012658227848</c:v>
                </c:pt>
                <c:pt idx="137">
                  <c:v>6.13784810126582</c:v>
                </c:pt>
                <c:pt idx="138">
                  <c:v>5.84556962025317</c:v>
                </c:pt>
                <c:pt idx="139">
                  <c:v>5.55329113924051</c:v>
                </c:pt>
                <c:pt idx="140">
                  <c:v>5.26101265822785</c:v>
                </c:pt>
                <c:pt idx="141">
                  <c:v>4.96873417721519</c:v>
                </c:pt>
                <c:pt idx="142">
                  <c:v>4.67645569620253</c:v>
                </c:pt>
                <c:pt idx="143">
                  <c:v>4.38417721518987</c:v>
                </c:pt>
                <c:pt idx="144">
                  <c:v>4.09189873417721</c:v>
                </c:pt>
                <c:pt idx="145">
                  <c:v>3.79962025316456</c:v>
                </c:pt>
                <c:pt idx="146">
                  <c:v>3.5073417721519</c:v>
                </c:pt>
                <c:pt idx="147">
                  <c:v>3.21506329113924</c:v>
                </c:pt>
                <c:pt idx="148">
                  <c:v>2.92278481012658</c:v>
                </c:pt>
                <c:pt idx="149">
                  <c:v>2.63050632911393</c:v>
                </c:pt>
                <c:pt idx="150">
                  <c:v>2.33822784810127</c:v>
                </c:pt>
                <c:pt idx="151">
                  <c:v>2.0459493670886</c:v>
                </c:pt>
                <c:pt idx="152">
                  <c:v>1.75367088607595</c:v>
                </c:pt>
                <c:pt idx="153">
                  <c:v>1.46139240506329</c:v>
                </c:pt>
                <c:pt idx="154">
                  <c:v>1.16911392405063</c:v>
                </c:pt>
                <c:pt idx="155">
                  <c:v>0.876835443037976</c:v>
                </c:pt>
                <c:pt idx="156">
                  <c:v>0.584556962025317</c:v>
                </c:pt>
                <c:pt idx="157">
                  <c:v>0.292278481012659</c:v>
                </c:pt>
                <c:pt idx="158">
                  <c:v>0</c:v>
                </c:pt>
                <c:pt idx="159">
                  <c:v>-0.292278481012659</c:v>
                </c:pt>
              </c:numCache>
            </c:numRef>
          </c:val>
          <c:smooth val="0"/>
        </c:ser>
        <c:hiLowLines>
          <c:spPr>
            <a:ln w="0">
              <a:noFill/>
            </a:ln>
          </c:spPr>
        </c:hiLowLines>
        <c:marker val="0"/>
        <c:axId val="40464103"/>
        <c:axId val="75388154"/>
      </c:lineChart>
      <c:dateAx>
        <c:axId val="180435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9610"/>
        <c:auto val="1"/>
        <c:lblOffset val="100"/>
        <c:baseTimeUnit val="days"/>
      </c:dateAx>
      <c:valAx>
        <c:axId val="80396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43557"/>
        <c:crosses val="autoZero"/>
        <c:crossBetween val="between"/>
      </c:valAx>
      <c:dateAx>
        <c:axId val="404641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388154"/>
        <c:auto val="1"/>
        <c:lblOffset val="100"/>
        <c:baseTimeUnit val="days"/>
      </c:dateAx>
      <c:valAx>
        <c:axId val="753881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641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numCache>
            </c:numRef>
          </c:val>
        </c:ser>
        <c:gapWidth val="150"/>
        <c:overlap val="0"/>
        <c:axId val="34512555"/>
        <c:axId val="2094316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578.326392405063</c:v>
                </c:pt>
                <c:pt idx="2">
                  <c:v>574.642784810127</c:v>
                </c:pt>
                <c:pt idx="3">
                  <c:v>570.95917721519</c:v>
                </c:pt>
                <c:pt idx="4">
                  <c:v>567.275569620253</c:v>
                </c:pt>
                <c:pt idx="5">
                  <c:v>563.591962025316</c:v>
                </c:pt>
                <c:pt idx="6">
                  <c:v>559.90835443038</c:v>
                </c:pt>
                <c:pt idx="7">
                  <c:v>556.224746835443</c:v>
                </c:pt>
                <c:pt idx="8">
                  <c:v>552.541139240506</c:v>
                </c:pt>
                <c:pt idx="9">
                  <c:v>548.85753164557</c:v>
                </c:pt>
                <c:pt idx="10">
                  <c:v>545.173924050633</c:v>
                </c:pt>
                <c:pt idx="11">
                  <c:v>541.490316455696</c:v>
                </c:pt>
                <c:pt idx="12">
                  <c:v>537.80670886076</c:v>
                </c:pt>
                <c:pt idx="13">
                  <c:v>534.123101265823</c:v>
                </c:pt>
                <c:pt idx="14">
                  <c:v>530.439493670886</c:v>
                </c:pt>
                <c:pt idx="15">
                  <c:v>526.755886075949</c:v>
                </c:pt>
                <c:pt idx="16">
                  <c:v>523.072278481013</c:v>
                </c:pt>
                <c:pt idx="17">
                  <c:v>519.388670886076</c:v>
                </c:pt>
                <c:pt idx="18">
                  <c:v>515.705063291139</c:v>
                </c:pt>
                <c:pt idx="19">
                  <c:v>512.021455696203</c:v>
                </c:pt>
                <c:pt idx="20">
                  <c:v>508.337848101266</c:v>
                </c:pt>
                <c:pt idx="21">
                  <c:v>504.654240506329</c:v>
                </c:pt>
                <c:pt idx="22">
                  <c:v>500.970632911392</c:v>
                </c:pt>
                <c:pt idx="23">
                  <c:v>497.287025316456</c:v>
                </c:pt>
                <c:pt idx="24">
                  <c:v>493.603417721519</c:v>
                </c:pt>
                <c:pt idx="25">
                  <c:v>489.919810126582</c:v>
                </c:pt>
                <c:pt idx="26">
                  <c:v>486.236202531646</c:v>
                </c:pt>
                <c:pt idx="27">
                  <c:v>482.552594936709</c:v>
                </c:pt>
                <c:pt idx="28">
                  <c:v>478.868987341772</c:v>
                </c:pt>
                <c:pt idx="29">
                  <c:v>475.185379746835</c:v>
                </c:pt>
                <c:pt idx="30">
                  <c:v>471.501772151899</c:v>
                </c:pt>
                <c:pt idx="31">
                  <c:v>467.818164556962</c:v>
                </c:pt>
                <c:pt idx="32">
                  <c:v>464.134556962025</c:v>
                </c:pt>
                <c:pt idx="33">
                  <c:v>460.450949367089</c:v>
                </c:pt>
                <c:pt idx="34">
                  <c:v>456.767341772152</c:v>
                </c:pt>
                <c:pt idx="35">
                  <c:v>453.083734177215</c:v>
                </c:pt>
                <c:pt idx="36">
                  <c:v>449.400126582278</c:v>
                </c:pt>
                <c:pt idx="37">
                  <c:v>445.716518987342</c:v>
                </c:pt>
                <c:pt idx="38">
                  <c:v>442.032911392405</c:v>
                </c:pt>
                <c:pt idx="39">
                  <c:v>438.349303797468</c:v>
                </c:pt>
                <c:pt idx="40">
                  <c:v>434.665696202532</c:v>
                </c:pt>
                <c:pt idx="41">
                  <c:v>430.982088607595</c:v>
                </c:pt>
                <c:pt idx="42">
                  <c:v>427.298481012658</c:v>
                </c:pt>
                <c:pt idx="43">
                  <c:v>423.614873417721</c:v>
                </c:pt>
                <c:pt idx="44">
                  <c:v>419.931265822785</c:v>
                </c:pt>
                <c:pt idx="45">
                  <c:v>416.247658227848</c:v>
                </c:pt>
                <c:pt idx="46">
                  <c:v>412.564050632911</c:v>
                </c:pt>
                <c:pt idx="47">
                  <c:v>408.880443037975</c:v>
                </c:pt>
                <c:pt idx="48">
                  <c:v>405.196835443038</c:v>
                </c:pt>
                <c:pt idx="49">
                  <c:v>401.513227848101</c:v>
                </c:pt>
                <c:pt idx="50">
                  <c:v>397.829620253165</c:v>
                </c:pt>
                <c:pt idx="51">
                  <c:v>394.146012658228</c:v>
                </c:pt>
                <c:pt idx="52">
                  <c:v>390.462405063291</c:v>
                </c:pt>
                <c:pt idx="53">
                  <c:v>386.778797468354</c:v>
                </c:pt>
                <c:pt idx="54">
                  <c:v>383.095189873418</c:v>
                </c:pt>
                <c:pt idx="55">
                  <c:v>379.411582278481</c:v>
                </c:pt>
                <c:pt idx="56">
                  <c:v>375.727974683544</c:v>
                </c:pt>
                <c:pt idx="57">
                  <c:v>372.044367088608</c:v>
                </c:pt>
                <c:pt idx="58">
                  <c:v>368.360759493671</c:v>
                </c:pt>
                <c:pt idx="59">
                  <c:v>364.677151898734</c:v>
                </c:pt>
                <c:pt idx="60">
                  <c:v>360.993544303798</c:v>
                </c:pt>
                <c:pt idx="61">
                  <c:v>357.309936708861</c:v>
                </c:pt>
                <c:pt idx="62">
                  <c:v>353.626329113924</c:v>
                </c:pt>
                <c:pt idx="63">
                  <c:v>349.942721518987</c:v>
                </c:pt>
                <c:pt idx="64">
                  <c:v>346.259113924051</c:v>
                </c:pt>
                <c:pt idx="65">
                  <c:v>342.575506329114</c:v>
                </c:pt>
                <c:pt idx="66">
                  <c:v>338.891898734177</c:v>
                </c:pt>
                <c:pt idx="67">
                  <c:v>335.208291139241</c:v>
                </c:pt>
                <c:pt idx="68">
                  <c:v>331.524683544304</c:v>
                </c:pt>
                <c:pt idx="69">
                  <c:v>327.841075949367</c:v>
                </c:pt>
                <c:pt idx="70">
                  <c:v>324.15746835443</c:v>
                </c:pt>
                <c:pt idx="71">
                  <c:v>320.473860759494</c:v>
                </c:pt>
                <c:pt idx="72">
                  <c:v>316.790253164557</c:v>
                </c:pt>
                <c:pt idx="73">
                  <c:v>313.10664556962</c:v>
                </c:pt>
                <c:pt idx="74">
                  <c:v>309.423037974684</c:v>
                </c:pt>
                <c:pt idx="75">
                  <c:v>305.739430379747</c:v>
                </c:pt>
                <c:pt idx="76">
                  <c:v>302.05582278481</c:v>
                </c:pt>
                <c:pt idx="77">
                  <c:v>298.372215189873</c:v>
                </c:pt>
                <c:pt idx="78">
                  <c:v>294.688607594937</c:v>
                </c:pt>
                <c:pt idx="79">
                  <c:v>291.005</c:v>
                </c:pt>
                <c:pt idx="80">
                  <c:v>287.321392405063</c:v>
                </c:pt>
                <c:pt idx="81">
                  <c:v>283.637784810127</c:v>
                </c:pt>
                <c:pt idx="82">
                  <c:v>279.95417721519</c:v>
                </c:pt>
                <c:pt idx="83">
                  <c:v>276.270569620253</c:v>
                </c:pt>
                <c:pt idx="84">
                  <c:v>272.586962025317</c:v>
                </c:pt>
                <c:pt idx="85">
                  <c:v>268.90335443038</c:v>
                </c:pt>
                <c:pt idx="86">
                  <c:v>265.219746835443</c:v>
                </c:pt>
                <c:pt idx="87">
                  <c:v>261.536139240506</c:v>
                </c:pt>
                <c:pt idx="88">
                  <c:v>257.85253164557</c:v>
                </c:pt>
                <c:pt idx="89">
                  <c:v>254.168924050633</c:v>
                </c:pt>
                <c:pt idx="90">
                  <c:v>250.485316455696</c:v>
                </c:pt>
                <c:pt idx="91">
                  <c:v>246.80170886076</c:v>
                </c:pt>
                <c:pt idx="92">
                  <c:v>243.118101265823</c:v>
                </c:pt>
                <c:pt idx="93">
                  <c:v>239.434493670886</c:v>
                </c:pt>
                <c:pt idx="94">
                  <c:v>235.750886075949</c:v>
                </c:pt>
                <c:pt idx="95">
                  <c:v>232.067278481013</c:v>
                </c:pt>
                <c:pt idx="96">
                  <c:v>228.383670886076</c:v>
                </c:pt>
                <c:pt idx="97">
                  <c:v>224.700063291139</c:v>
                </c:pt>
                <c:pt idx="98">
                  <c:v>221.016455696203</c:v>
                </c:pt>
                <c:pt idx="99">
                  <c:v>217.332848101266</c:v>
                </c:pt>
                <c:pt idx="100">
                  <c:v>213.649240506329</c:v>
                </c:pt>
                <c:pt idx="101">
                  <c:v>209.965632911392</c:v>
                </c:pt>
                <c:pt idx="102">
                  <c:v>206.282025316456</c:v>
                </c:pt>
                <c:pt idx="103">
                  <c:v>202.598417721519</c:v>
                </c:pt>
                <c:pt idx="104">
                  <c:v>198.914810126582</c:v>
                </c:pt>
                <c:pt idx="105">
                  <c:v>195.231202531646</c:v>
                </c:pt>
                <c:pt idx="106">
                  <c:v>191.547594936709</c:v>
                </c:pt>
                <c:pt idx="107">
                  <c:v>187.863987341772</c:v>
                </c:pt>
                <c:pt idx="108">
                  <c:v>184.180379746835</c:v>
                </c:pt>
                <c:pt idx="109">
                  <c:v>180.496772151899</c:v>
                </c:pt>
                <c:pt idx="110">
                  <c:v>176.813164556962</c:v>
                </c:pt>
                <c:pt idx="111">
                  <c:v>173.129556962025</c:v>
                </c:pt>
                <c:pt idx="112">
                  <c:v>169.445949367089</c:v>
                </c:pt>
                <c:pt idx="113">
                  <c:v>165.762341772152</c:v>
                </c:pt>
                <c:pt idx="114">
                  <c:v>162.078734177215</c:v>
                </c:pt>
                <c:pt idx="115">
                  <c:v>158.395126582279</c:v>
                </c:pt>
                <c:pt idx="116">
                  <c:v>154.711518987342</c:v>
                </c:pt>
                <c:pt idx="117">
                  <c:v>151.027911392405</c:v>
                </c:pt>
                <c:pt idx="118">
                  <c:v>147.344303797468</c:v>
                </c:pt>
                <c:pt idx="119">
                  <c:v>143.660696202532</c:v>
                </c:pt>
                <c:pt idx="120">
                  <c:v>139.977088607595</c:v>
                </c:pt>
                <c:pt idx="121">
                  <c:v>136.293481012658</c:v>
                </c:pt>
                <c:pt idx="122">
                  <c:v>132.609873417722</c:v>
                </c:pt>
                <c:pt idx="123">
                  <c:v>128.926265822785</c:v>
                </c:pt>
                <c:pt idx="124">
                  <c:v>125.242658227848</c:v>
                </c:pt>
                <c:pt idx="125">
                  <c:v>121.559050632911</c:v>
                </c:pt>
                <c:pt idx="126">
                  <c:v>117.875443037975</c:v>
                </c:pt>
                <c:pt idx="127">
                  <c:v>114.191835443038</c:v>
                </c:pt>
                <c:pt idx="128">
                  <c:v>110.508227848101</c:v>
                </c:pt>
                <c:pt idx="129">
                  <c:v>106.824620253165</c:v>
                </c:pt>
                <c:pt idx="130">
                  <c:v>103.141012658228</c:v>
                </c:pt>
                <c:pt idx="131">
                  <c:v>99.4574050632912</c:v>
                </c:pt>
                <c:pt idx="132">
                  <c:v>95.7737974683545</c:v>
                </c:pt>
                <c:pt idx="133">
                  <c:v>92.0901898734177</c:v>
                </c:pt>
                <c:pt idx="134">
                  <c:v>88.406582278481</c:v>
                </c:pt>
                <c:pt idx="135">
                  <c:v>84.7229746835442</c:v>
                </c:pt>
                <c:pt idx="136">
                  <c:v>81.0393670886076</c:v>
                </c:pt>
                <c:pt idx="137">
                  <c:v>77.3557594936709</c:v>
                </c:pt>
                <c:pt idx="138">
                  <c:v>73.6721518987341</c:v>
                </c:pt>
                <c:pt idx="139">
                  <c:v>69.9885443037974</c:v>
                </c:pt>
                <c:pt idx="140">
                  <c:v>66.3049367088607</c:v>
                </c:pt>
                <c:pt idx="141">
                  <c:v>62.6213291139241</c:v>
                </c:pt>
                <c:pt idx="142">
                  <c:v>58.9377215189874</c:v>
                </c:pt>
                <c:pt idx="143">
                  <c:v>55.2541139240507</c:v>
                </c:pt>
                <c:pt idx="144">
                  <c:v>51.5705063291139</c:v>
                </c:pt>
                <c:pt idx="145">
                  <c:v>47.8868987341772</c:v>
                </c:pt>
                <c:pt idx="146">
                  <c:v>44.2032911392406</c:v>
                </c:pt>
                <c:pt idx="147">
                  <c:v>40.5196835443038</c:v>
                </c:pt>
                <c:pt idx="148">
                  <c:v>36.8360759493671</c:v>
                </c:pt>
                <c:pt idx="149">
                  <c:v>33.1524683544303</c:v>
                </c:pt>
                <c:pt idx="150">
                  <c:v>29.4688607594936</c:v>
                </c:pt>
                <c:pt idx="151">
                  <c:v>25.7852531645569</c:v>
                </c:pt>
                <c:pt idx="152">
                  <c:v>22.1016455696202</c:v>
                </c:pt>
                <c:pt idx="153">
                  <c:v>18.4180379746836</c:v>
                </c:pt>
                <c:pt idx="154">
                  <c:v>14.7344303797469</c:v>
                </c:pt>
                <c:pt idx="155">
                  <c:v>11.0508227848101</c:v>
                </c:pt>
                <c:pt idx="156">
                  <c:v>7.36721518987338</c:v>
                </c:pt>
                <c:pt idx="157">
                  <c:v>3.6836075949368</c:v>
                </c:pt>
                <c:pt idx="158">
                  <c:v>0</c:v>
                </c:pt>
                <c:pt idx="159">
                  <c:v>-3.68360759493669</c:v>
                </c:pt>
              </c:numCache>
            </c:numRef>
          </c:val>
          <c:smooth val="0"/>
        </c:ser>
        <c:hiLowLines>
          <c:spPr>
            <a:ln w="0">
              <a:noFill/>
            </a:ln>
          </c:spPr>
        </c:hiLowLines>
        <c:marker val="0"/>
        <c:axId val="31663651"/>
        <c:axId val="45597455"/>
      </c:lineChart>
      <c:dateAx>
        <c:axId val="345125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43163"/>
        <c:auto val="1"/>
        <c:lblOffset val="100"/>
        <c:baseTimeUnit val="days"/>
      </c:dateAx>
      <c:valAx>
        <c:axId val="209431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12555"/>
        <c:crosses val="autoZero"/>
        <c:crossBetween val="between"/>
      </c:valAx>
      <c:dateAx>
        <c:axId val="316636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97455"/>
        <c:auto val="1"/>
        <c:lblOffset val="100"/>
        <c:baseTimeUnit val="days"/>
      </c:dateAx>
      <c:valAx>
        <c:axId val="455974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6636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numCache>
            </c:numRef>
          </c:val>
        </c:ser>
        <c:gapWidth val="150"/>
        <c:overlap val="0"/>
        <c:axId val="56377781"/>
        <c:axId val="8404967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81.4810126582279</c:v>
                </c:pt>
                <c:pt idx="2">
                  <c:v>80.9620253164557</c:v>
                </c:pt>
                <c:pt idx="3">
                  <c:v>80.4430379746836</c:v>
                </c:pt>
                <c:pt idx="4">
                  <c:v>79.9240506329114</c:v>
                </c:pt>
                <c:pt idx="5">
                  <c:v>79.4050632911392</c:v>
                </c:pt>
                <c:pt idx="6">
                  <c:v>78.8860759493671</c:v>
                </c:pt>
                <c:pt idx="7">
                  <c:v>78.3670886075949</c:v>
                </c:pt>
                <c:pt idx="8">
                  <c:v>77.8481012658228</c:v>
                </c:pt>
                <c:pt idx="9">
                  <c:v>77.3291139240506</c:v>
                </c:pt>
                <c:pt idx="10">
                  <c:v>76.8101265822785</c:v>
                </c:pt>
                <c:pt idx="11">
                  <c:v>76.2911392405063</c:v>
                </c:pt>
                <c:pt idx="12">
                  <c:v>75.7721518987342</c:v>
                </c:pt>
                <c:pt idx="13">
                  <c:v>75.253164556962</c:v>
                </c:pt>
                <c:pt idx="14">
                  <c:v>74.7341772151899</c:v>
                </c:pt>
                <c:pt idx="15">
                  <c:v>74.2151898734177</c:v>
                </c:pt>
                <c:pt idx="16">
                  <c:v>73.6962025316456</c:v>
                </c:pt>
                <c:pt idx="17">
                  <c:v>73.1772151898734</c:v>
                </c:pt>
                <c:pt idx="18">
                  <c:v>72.6582278481013</c:v>
                </c:pt>
                <c:pt idx="19">
                  <c:v>72.1392405063291</c:v>
                </c:pt>
                <c:pt idx="20">
                  <c:v>71.620253164557</c:v>
                </c:pt>
                <c:pt idx="21">
                  <c:v>71.1012658227848</c:v>
                </c:pt>
                <c:pt idx="22">
                  <c:v>70.5822784810127</c:v>
                </c:pt>
                <c:pt idx="23">
                  <c:v>70.0632911392405</c:v>
                </c:pt>
                <c:pt idx="24">
                  <c:v>69.5443037974684</c:v>
                </c:pt>
                <c:pt idx="25">
                  <c:v>69.0253164556962</c:v>
                </c:pt>
                <c:pt idx="26">
                  <c:v>68.5063291139241</c:v>
                </c:pt>
                <c:pt idx="27">
                  <c:v>67.9873417721519</c:v>
                </c:pt>
                <c:pt idx="28">
                  <c:v>67.4683544303798</c:v>
                </c:pt>
                <c:pt idx="29">
                  <c:v>66.9493670886076</c:v>
                </c:pt>
                <c:pt idx="30">
                  <c:v>66.4303797468354</c:v>
                </c:pt>
                <c:pt idx="31">
                  <c:v>65.9113924050633</c:v>
                </c:pt>
                <c:pt idx="32">
                  <c:v>65.3924050632911</c:v>
                </c:pt>
                <c:pt idx="33">
                  <c:v>64.873417721519</c:v>
                </c:pt>
                <c:pt idx="34">
                  <c:v>64.3544303797468</c:v>
                </c:pt>
                <c:pt idx="35">
                  <c:v>63.8354430379747</c:v>
                </c:pt>
                <c:pt idx="36">
                  <c:v>63.3164556962025</c:v>
                </c:pt>
                <c:pt idx="37">
                  <c:v>62.7974683544304</c:v>
                </c:pt>
                <c:pt idx="38">
                  <c:v>62.2784810126582</c:v>
                </c:pt>
                <c:pt idx="39">
                  <c:v>61.7594936708861</c:v>
                </c:pt>
                <c:pt idx="40">
                  <c:v>61.2405063291139</c:v>
                </c:pt>
                <c:pt idx="41">
                  <c:v>60.7215189873418</c:v>
                </c:pt>
                <c:pt idx="42">
                  <c:v>60.2025316455696</c:v>
                </c:pt>
                <c:pt idx="43">
                  <c:v>59.6835443037975</c:v>
                </c:pt>
                <c:pt idx="44">
                  <c:v>59.1645569620253</c:v>
                </c:pt>
                <c:pt idx="45">
                  <c:v>58.6455696202532</c:v>
                </c:pt>
                <c:pt idx="46">
                  <c:v>58.126582278481</c:v>
                </c:pt>
                <c:pt idx="47">
                  <c:v>57.6075949367089</c:v>
                </c:pt>
                <c:pt idx="48">
                  <c:v>57.0886075949367</c:v>
                </c:pt>
                <c:pt idx="49">
                  <c:v>56.5696202531646</c:v>
                </c:pt>
                <c:pt idx="50">
                  <c:v>56.0506329113924</c:v>
                </c:pt>
                <c:pt idx="51">
                  <c:v>55.5316455696203</c:v>
                </c:pt>
                <c:pt idx="52">
                  <c:v>55.0126582278481</c:v>
                </c:pt>
                <c:pt idx="53">
                  <c:v>54.493670886076</c:v>
                </c:pt>
                <c:pt idx="54">
                  <c:v>53.9746835443038</c:v>
                </c:pt>
                <c:pt idx="55">
                  <c:v>53.4556962025316</c:v>
                </c:pt>
                <c:pt idx="56">
                  <c:v>52.9367088607595</c:v>
                </c:pt>
                <c:pt idx="57">
                  <c:v>52.4177215189873</c:v>
                </c:pt>
                <c:pt idx="58">
                  <c:v>51.8987341772152</c:v>
                </c:pt>
                <c:pt idx="59">
                  <c:v>51.379746835443</c:v>
                </c:pt>
                <c:pt idx="60">
                  <c:v>50.8607594936709</c:v>
                </c:pt>
                <c:pt idx="61">
                  <c:v>50.3417721518987</c:v>
                </c:pt>
                <c:pt idx="62">
                  <c:v>49.8227848101266</c:v>
                </c:pt>
                <c:pt idx="63">
                  <c:v>49.3037974683544</c:v>
                </c:pt>
                <c:pt idx="64">
                  <c:v>48.7848101265823</c:v>
                </c:pt>
                <c:pt idx="65">
                  <c:v>48.2658227848101</c:v>
                </c:pt>
                <c:pt idx="66">
                  <c:v>47.746835443038</c:v>
                </c:pt>
                <c:pt idx="67">
                  <c:v>47.2278481012658</c:v>
                </c:pt>
                <c:pt idx="68">
                  <c:v>46.7088607594937</c:v>
                </c:pt>
                <c:pt idx="69">
                  <c:v>46.1898734177215</c:v>
                </c:pt>
                <c:pt idx="70">
                  <c:v>45.6708860759494</c:v>
                </c:pt>
                <c:pt idx="71">
                  <c:v>45.1518987341772</c:v>
                </c:pt>
                <c:pt idx="72">
                  <c:v>44.6329113924051</c:v>
                </c:pt>
                <c:pt idx="73">
                  <c:v>44.1139240506329</c:v>
                </c:pt>
                <c:pt idx="74">
                  <c:v>43.5949367088608</c:v>
                </c:pt>
                <c:pt idx="75">
                  <c:v>43.0759493670886</c:v>
                </c:pt>
                <c:pt idx="76">
                  <c:v>42.5569620253165</c:v>
                </c:pt>
                <c:pt idx="77">
                  <c:v>42.0379746835443</c:v>
                </c:pt>
                <c:pt idx="78">
                  <c:v>41.5189873417722</c:v>
                </c:pt>
                <c:pt idx="79">
                  <c:v>41</c:v>
                </c:pt>
                <c:pt idx="80">
                  <c:v>40.4810126582279</c:v>
                </c:pt>
                <c:pt idx="81">
                  <c:v>39.9620253164557</c:v>
                </c:pt>
                <c:pt idx="82">
                  <c:v>39.4430379746835</c:v>
                </c:pt>
                <c:pt idx="83">
                  <c:v>38.9240506329114</c:v>
                </c:pt>
                <c:pt idx="84">
                  <c:v>38.4050632911392</c:v>
                </c:pt>
                <c:pt idx="85">
                  <c:v>37.8860759493671</c:v>
                </c:pt>
                <c:pt idx="86">
                  <c:v>37.3670886075949</c:v>
                </c:pt>
                <c:pt idx="87">
                  <c:v>36.8481012658228</c:v>
                </c:pt>
                <c:pt idx="88">
                  <c:v>36.3291139240506</c:v>
                </c:pt>
                <c:pt idx="89">
                  <c:v>35.8101265822785</c:v>
                </c:pt>
                <c:pt idx="90">
                  <c:v>35.2911392405063</c:v>
                </c:pt>
                <c:pt idx="91">
                  <c:v>34.7721518987342</c:v>
                </c:pt>
                <c:pt idx="92">
                  <c:v>34.253164556962</c:v>
                </c:pt>
                <c:pt idx="93">
                  <c:v>33.7341772151899</c:v>
                </c:pt>
                <c:pt idx="94">
                  <c:v>33.2151898734177</c:v>
                </c:pt>
                <c:pt idx="95">
                  <c:v>32.6962025316456</c:v>
                </c:pt>
                <c:pt idx="96">
                  <c:v>32.1772151898734</c:v>
                </c:pt>
                <c:pt idx="97">
                  <c:v>31.6582278481013</c:v>
                </c:pt>
                <c:pt idx="98">
                  <c:v>31.1392405063291</c:v>
                </c:pt>
                <c:pt idx="99">
                  <c:v>30.620253164557</c:v>
                </c:pt>
                <c:pt idx="100">
                  <c:v>30.1012658227848</c:v>
                </c:pt>
                <c:pt idx="101">
                  <c:v>29.5822784810127</c:v>
                </c:pt>
                <c:pt idx="102">
                  <c:v>29.0632911392405</c:v>
                </c:pt>
                <c:pt idx="103">
                  <c:v>28.5443037974684</c:v>
                </c:pt>
                <c:pt idx="104">
                  <c:v>28.0253164556962</c:v>
                </c:pt>
                <c:pt idx="105">
                  <c:v>27.5063291139241</c:v>
                </c:pt>
                <c:pt idx="106">
                  <c:v>26.9873417721519</c:v>
                </c:pt>
                <c:pt idx="107">
                  <c:v>26.4683544303797</c:v>
                </c:pt>
                <c:pt idx="108">
                  <c:v>25.9493670886076</c:v>
                </c:pt>
                <c:pt idx="109">
                  <c:v>25.4303797468354</c:v>
                </c:pt>
                <c:pt idx="110">
                  <c:v>24.9113924050633</c:v>
                </c:pt>
                <c:pt idx="111">
                  <c:v>24.3924050632911</c:v>
                </c:pt>
                <c:pt idx="112">
                  <c:v>23.873417721519</c:v>
                </c:pt>
                <c:pt idx="113">
                  <c:v>23.3544303797468</c:v>
                </c:pt>
                <c:pt idx="114">
                  <c:v>22.8354430379747</c:v>
                </c:pt>
                <c:pt idx="115">
                  <c:v>22.3164556962025</c:v>
                </c:pt>
                <c:pt idx="116">
                  <c:v>21.7974683544304</c:v>
                </c:pt>
                <c:pt idx="117">
                  <c:v>21.2784810126582</c:v>
                </c:pt>
                <c:pt idx="118">
                  <c:v>20.7594936708861</c:v>
                </c:pt>
                <c:pt idx="119">
                  <c:v>20.2405063291139</c:v>
                </c:pt>
                <c:pt idx="120">
                  <c:v>19.7215189873418</c:v>
                </c:pt>
                <c:pt idx="121">
                  <c:v>19.2025316455696</c:v>
                </c:pt>
                <c:pt idx="122">
                  <c:v>18.6835443037975</c:v>
                </c:pt>
                <c:pt idx="123">
                  <c:v>18.1645569620253</c:v>
                </c:pt>
                <c:pt idx="124">
                  <c:v>17.6455696202532</c:v>
                </c:pt>
                <c:pt idx="125">
                  <c:v>17.126582278481</c:v>
                </c:pt>
                <c:pt idx="126">
                  <c:v>16.6075949367089</c:v>
                </c:pt>
                <c:pt idx="127">
                  <c:v>16.0886075949367</c:v>
                </c:pt>
                <c:pt idx="128">
                  <c:v>15.5696202531646</c:v>
                </c:pt>
                <c:pt idx="129">
                  <c:v>15.0506329113924</c:v>
                </c:pt>
                <c:pt idx="130">
                  <c:v>14.5316455696203</c:v>
                </c:pt>
                <c:pt idx="131">
                  <c:v>14.0126582278481</c:v>
                </c:pt>
                <c:pt idx="132">
                  <c:v>13.4936708860759</c:v>
                </c:pt>
                <c:pt idx="133">
                  <c:v>12.9746835443038</c:v>
                </c:pt>
                <c:pt idx="134">
                  <c:v>12.4556962025316</c:v>
                </c:pt>
                <c:pt idx="135">
                  <c:v>11.9367088607595</c:v>
                </c:pt>
                <c:pt idx="136">
                  <c:v>11.4177215189873</c:v>
                </c:pt>
                <c:pt idx="137">
                  <c:v>10.8987341772152</c:v>
                </c:pt>
                <c:pt idx="138">
                  <c:v>10.379746835443</c:v>
                </c:pt>
                <c:pt idx="139">
                  <c:v>9.86075949367088</c:v>
                </c:pt>
                <c:pt idx="140">
                  <c:v>9.34177215189874</c:v>
                </c:pt>
                <c:pt idx="141">
                  <c:v>8.82278481012658</c:v>
                </c:pt>
                <c:pt idx="142">
                  <c:v>8.30379746835443</c:v>
                </c:pt>
                <c:pt idx="143">
                  <c:v>7.78481012658227</c:v>
                </c:pt>
                <c:pt idx="144">
                  <c:v>7.26582278481013</c:v>
                </c:pt>
                <c:pt idx="145">
                  <c:v>6.74683544303798</c:v>
                </c:pt>
                <c:pt idx="146">
                  <c:v>6.22784810126582</c:v>
                </c:pt>
                <c:pt idx="147">
                  <c:v>5.70886075949368</c:v>
                </c:pt>
                <c:pt idx="148">
                  <c:v>5.18987341772152</c:v>
                </c:pt>
                <c:pt idx="149">
                  <c:v>4.67088607594937</c:v>
                </c:pt>
                <c:pt idx="150">
                  <c:v>4.15189873417721</c:v>
                </c:pt>
                <c:pt idx="151">
                  <c:v>3.63291139240506</c:v>
                </c:pt>
                <c:pt idx="152">
                  <c:v>3.11392405063292</c:v>
                </c:pt>
                <c:pt idx="153">
                  <c:v>2.59493670886076</c:v>
                </c:pt>
                <c:pt idx="154">
                  <c:v>2.07594936708861</c:v>
                </c:pt>
                <c:pt idx="155">
                  <c:v>1.55696202531645</c:v>
                </c:pt>
                <c:pt idx="156">
                  <c:v>1.03797468354431</c:v>
                </c:pt>
                <c:pt idx="157">
                  <c:v>0.518987341772146</c:v>
                </c:pt>
                <c:pt idx="158">
                  <c:v>0</c:v>
                </c:pt>
                <c:pt idx="159">
                  <c:v>-0.518987341772146</c:v>
                </c:pt>
              </c:numCache>
            </c:numRef>
          </c:val>
          <c:smooth val="0"/>
        </c:ser>
        <c:hiLowLines>
          <c:spPr>
            <a:ln w="0">
              <a:noFill/>
            </a:ln>
          </c:spPr>
        </c:hiLowLines>
        <c:marker val="0"/>
        <c:axId val="29992197"/>
        <c:axId val="11329550"/>
      </c:lineChart>
      <c:dateAx>
        <c:axId val="563777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49672"/>
        <c:auto val="1"/>
        <c:lblOffset val="100"/>
        <c:baseTimeUnit val="days"/>
      </c:dateAx>
      <c:valAx>
        <c:axId val="840496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77781"/>
        <c:crosses val="autoZero"/>
        <c:crossBetween val="between"/>
      </c:valAx>
      <c:dateAx>
        <c:axId val="299921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29550"/>
        <c:auto val="1"/>
        <c:lblOffset val="100"/>
        <c:baseTimeUnit val="days"/>
      </c:dateAx>
      <c:valAx>
        <c:axId val="113295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9921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numCache>
            </c:numRef>
          </c:val>
        </c:ser>
        <c:gapWidth val="150"/>
        <c:overlap val="0"/>
        <c:axId val="16616272"/>
        <c:axId val="547305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75.31</c:v>
                </c:pt>
                <c:pt idx="1">
                  <c:v>74.8333544303797</c:v>
                </c:pt>
                <c:pt idx="2">
                  <c:v>74.3567088607595</c:v>
                </c:pt>
                <c:pt idx="3">
                  <c:v>73.8800632911392</c:v>
                </c:pt>
                <c:pt idx="4">
                  <c:v>73.403417721519</c:v>
                </c:pt>
                <c:pt idx="5">
                  <c:v>72.9267721518987</c:v>
                </c:pt>
                <c:pt idx="6">
                  <c:v>72.4501265822785</c:v>
                </c:pt>
                <c:pt idx="7">
                  <c:v>71.9734810126582</c:v>
                </c:pt>
                <c:pt idx="8">
                  <c:v>71.496835443038</c:v>
                </c:pt>
                <c:pt idx="9">
                  <c:v>71.0201898734177</c:v>
                </c:pt>
                <c:pt idx="10">
                  <c:v>70.5435443037975</c:v>
                </c:pt>
                <c:pt idx="11">
                  <c:v>70.0668987341772</c:v>
                </c:pt>
                <c:pt idx="12">
                  <c:v>69.590253164557</c:v>
                </c:pt>
                <c:pt idx="13">
                  <c:v>69.1136075949367</c:v>
                </c:pt>
                <c:pt idx="14">
                  <c:v>68.6369620253165</c:v>
                </c:pt>
                <c:pt idx="15">
                  <c:v>68.1603164556962</c:v>
                </c:pt>
                <c:pt idx="16">
                  <c:v>67.683670886076</c:v>
                </c:pt>
                <c:pt idx="17">
                  <c:v>67.2070253164557</c:v>
                </c:pt>
                <c:pt idx="18">
                  <c:v>66.7303797468354</c:v>
                </c:pt>
                <c:pt idx="19">
                  <c:v>66.2537341772152</c:v>
                </c:pt>
                <c:pt idx="20">
                  <c:v>65.7770886075949</c:v>
                </c:pt>
                <c:pt idx="21">
                  <c:v>65.3004430379747</c:v>
                </c:pt>
                <c:pt idx="22">
                  <c:v>64.8237974683544</c:v>
                </c:pt>
                <c:pt idx="23">
                  <c:v>64.3471518987342</c:v>
                </c:pt>
                <c:pt idx="24">
                  <c:v>63.8705063291139</c:v>
                </c:pt>
                <c:pt idx="25">
                  <c:v>63.3938607594937</c:v>
                </c:pt>
                <c:pt idx="26">
                  <c:v>62.9172151898734</c:v>
                </c:pt>
                <c:pt idx="27">
                  <c:v>62.4405696202532</c:v>
                </c:pt>
                <c:pt idx="28">
                  <c:v>61.9639240506329</c:v>
                </c:pt>
                <c:pt idx="29">
                  <c:v>61.4872784810127</c:v>
                </c:pt>
                <c:pt idx="30">
                  <c:v>61.0106329113924</c:v>
                </c:pt>
                <c:pt idx="31">
                  <c:v>60.5339873417722</c:v>
                </c:pt>
                <c:pt idx="32">
                  <c:v>60.0573417721519</c:v>
                </c:pt>
                <c:pt idx="33">
                  <c:v>59.5806962025317</c:v>
                </c:pt>
                <c:pt idx="34">
                  <c:v>59.1040506329114</c:v>
                </c:pt>
                <c:pt idx="35">
                  <c:v>58.6274050632911</c:v>
                </c:pt>
                <c:pt idx="36">
                  <c:v>58.1507594936709</c:v>
                </c:pt>
                <c:pt idx="37">
                  <c:v>57.6741139240506</c:v>
                </c:pt>
                <c:pt idx="38">
                  <c:v>57.1974683544304</c:v>
                </c:pt>
                <c:pt idx="39">
                  <c:v>56.7208227848101</c:v>
                </c:pt>
                <c:pt idx="40">
                  <c:v>56.2441772151899</c:v>
                </c:pt>
                <c:pt idx="41">
                  <c:v>55.7675316455696</c:v>
                </c:pt>
                <c:pt idx="42">
                  <c:v>55.2908860759494</c:v>
                </c:pt>
                <c:pt idx="43">
                  <c:v>54.8142405063291</c:v>
                </c:pt>
                <c:pt idx="44">
                  <c:v>54.3375949367089</c:v>
                </c:pt>
                <c:pt idx="45">
                  <c:v>53.8609493670886</c:v>
                </c:pt>
                <c:pt idx="46">
                  <c:v>53.3843037974684</c:v>
                </c:pt>
                <c:pt idx="47">
                  <c:v>52.9076582278481</c:v>
                </c:pt>
                <c:pt idx="48">
                  <c:v>52.4310126582279</c:v>
                </c:pt>
                <c:pt idx="49">
                  <c:v>51.9543670886076</c:v>
                </c:pt>
                <c:pt idx="50">
                  <c:v>51.4777215189873</c:v>
                </c:pt>
                <c:pt idx="51">
                  <c:v>51.0010759493671</c:v>
                </c:pt>
                <c:pt idx="52">
                  <c:v>50.5244303797468</c:v>
                </c:pt>
                <c:pt idx="53">
                  <c:v>50.0477848101266</c:v>
                </c:pt>
                <c:pt idx="54">
                  <c:v>49.5711392405063</c:v>
                </c:pt>
                <c:pt idx="55">
                  <c:v>49.0944936708861</c:v>
                </c:pt>
                <c:pt idx="56">
                  <c:v>48.6178481012658</c:v>
                </c:pt>
                <c:pt idx="57">
                  <c:v>48.1412025316456</c:v>
                </c:pt>
                <c:pt idx="58">
                  <c:v>47.6645569620253</c:v>
                </c:pt>
                <c:pt idx="59">
                  <c:v>47.1879113924051</c:v>
                </c:pt>
                <c:pt idx="60">
                  <c:v>46.7112658227848</c:v>
                </c:pt>
                <c:pt idx="61">
                  <c:v>46.2346202531646</c:v>
                </c:pt>
                <c:pt idx="62">
                  <c:v>45.7579746835443</c:v>
                </c:pt>
                <c:pt idx="63">
                  <c:v>45.2813291139241</c:v>
                </c:pt>
                <c:pt idx="64">
                  <c:v>44.8046835443038</c:v>
                </c:pt>
                <c:pt idx="65">
                  <c:v>44.3280379746835</c:v>
                </c:pt>
                <c:pt idx="66">
                  <c:v>43.8513924050633</c:v>
                </c:pt>
                <c:pt idx="67">
                  <c:v>43.374746835443</c:v>
                </c:pt>
                <c:pt idx="68">
                  <c:v>42.8981012658228</c:v>
                </c:pt>
                <c:pt idx="69">
                  <c:v>42.4214556962025</c:v>
                </c:pt>
                <c:pt idx="70">
                  <c:v>41.9448101265823</c:v>
                </c:pt>
                <c:pt idx="71">
                  <c:v>41.468164556962</c:v>
                </c:pt>
                <c:pt idx="72">
                  <c:v>40.9915189873418</c:v>
                </c:pt>
                <c:pt idx="73">
                  <c:v>40.5148734177215</c:v>
                </c:pt>
                <c:pt idx="74">
                  <c:v>40.0382278481013</c:v>
                </c:pt>
                <c:pt idx="75">
                  <c:v>39.561582278481</c:v>
                </c:pt>
                <c:pt idx="76">
                  <c:v>39.0849367088608</c:v>
                </c:pt>
                <c:pt idx="77">
                  <c:v>38.6082911392405</c:v>
                </c:pt>
                <c:pt idx="78">
                  <c:v>38.1316455696203</c:v>
                </c:pt>
                <c:pt idx="79">
                  <c:v>37.655</c:v>
                </c:pt>
                <c:pt idx="80">
                  <c:v>37.1783544303798</c:v>
                </c:pt>
                <c:pt idx="81">
                  <c:v>36.7017088607595</c:v>
                </c:pt>
                <c:pt idx="82">
                  <c:v>36.2250632911392</c:v>
                </c:pt>
                <c:pt idx="83">
                  <c:v>35.748417721519</c:v>
                </c:pt>
                <c:pt idx="84">
                  <c:v>35.2717721518987</c:v>
                </c:pt>
                <c:pt idx="85">
                  <c:v>34.7951265822785</c:v>
                </c:pt>
                <c:pt idx="86">
                  <c:v>34.3184810126582</c:v>
                </c:pt>
                <c:pt idx="87">
                  <c:v>33.841835443038</c:v>
                </c:pt>
                <c:pt idx="88">
                  <c:v>33.3651898734177</c:v>
                </c:pt>
                <c:pt idx="89">
                  <c:v>32.8885443037975</c:v>
                </c:pt>
                <c:pt idx="90">
                  <c:v>32.4118987341772</c:v>
                </c:pt>
                <c:pt idx="91">
                  <c:v>31.935253164557</c:v>
                </c:pt>
                <c:pt idx="92">
                  <c:v>31.4586075949367</c:v>
                </c:pt>
                <c:pt idx="93">
                  <c:v>30.9819620253165</c:v>
                </c:pt>
                <c:pt idx="94">
                  <c:v>30.5053164556962</c:v>
                </c:pt>
                <c:pt idx="95">
                  <c:v>30.028670886076</c:v>
                </c:pt>
                <c:pt idx="96">
                  <c:v>29.5520253164557</c:v>
                </c:pt>
                <c:pt idx="97">
                  <c:v>29.0753797468354</c:v>
                </c:pt>
                <c:pt idx="98">
                  <c:v>28.5987341772152</c:v>
                </c:pt>
                <c:pt idx="99">
                  <c:v>28.1220886075949</c:v>
                </c:pt>
                <c:pt idx="100">
                  <c:v>27.6454430379747</c:v>
                </c:pt>
                <c:pt idx="101">
                  <c:v>27.1687974683544</c:v>
                </c:pt>
                <c:pt idx="102">
                  <c:v>26.6921518987342</c:v>
                </c:pt>
                <c:pt idx="103">
                  <c:v>26.2155063291139</c:v>
                </c:pt>
                <c:pt idx="104">
                  <c:v>25.7388607594937</c:v>
                </c:pt>
                <c:pt idx="105">
                  <c:v>25.2622151898734</c:v>
                </c:pt>
                <c:pt idx="106">
                  <c:v>24.7855696202532</c:v>
                </c:pt>
                <c:pt idx="107">
                  <c:v>24.3089240506329</c:v>
                </c:pt>
                <c:pt idx="108">
                  <c:v>23.8322784810127</c:v>
                </c:pt>
                <c:pt idx="109">
                  <c:v>23.3556329113924</c:v>
                </c:pt>
                <c:pt idx="110">
                  <c:v>22.8789873417722</c:v>
                </c:pt>
                <c:pt idx="111">
                  <c:v>22.4023417721519</c:v>
                </c:pt>
                <c:pt idx="112">
                  <c:v>21.9256962025316</c:v>
                </c:pt>
                <c:pt idx="113">
                  <c:v>21.4490506329114</c:v>
                </c:pt>
                <c:pt idx="114">
                  <c:v>20.9724050632911</c:v>
                </c:pt>
                <c:pt idx="115">
                  <c:v>20.4957594936709</c:v>
                </c:pt>
                <c:pt idx="116">
                  <c:v>20.0191139240506</c:v>
                </c:pt>
                <c:pt idx="117">
                  <c:v>19.5424683544304</c:v>
                </c:pt>
                <c:pt idx="118">
                  <c:v>19.0658227848101</c:v>
                </c:pt>
                <c:pt idx="119">
                  <c:v>18.5891772151899</c:v>
                </c:pt>
                <c:pt idx="120">
                  <c:v>18.1125316455696</c:v>
                </c:pt>
                <c:pt idx="121">
                  <c:v>17.6358860759494</c:v>
                </c:pt>
                <c:pt idx="122">
                  <c:v>17.1592405063291</c:v>
                </c:pt>
                <c:pt idx="123">
                  <c:v>16.6825949367089</c:v>
                </c:pt>
                <c:pt idx="124">
                  <c:v>16.2059493670886</c:v>
                </c:pt>
                <c:pt idx="125">
                  <c:v>15.7293037974684</c:v>
                </c:pt>
                <c:pt idx="126">
                  <c:v>15.2526582278481</c:v>
                </c:pt>
                <c:pt idx="127">
                  <c:v>14.7760126582278</c:v>
                </c:pt>
                <c:pt idx="128">
                  <c:v>14.2993670886076</c:v>
                </c:pt>
                <c:pt idx="129">
                  <c:v>13.8227215189873</c:v>
                </c:pt>
                <c:pt idx="130">
                  <c:v>13.3460759493671</c:v>
                </c:pt>
                <c:pt idx="131">
                  <c:v>12.8694303797468</c:v>
                </c:pt>
                <c:pt idx="132">
                  <c:v>12.3927848101266</c:v>
                </c:pt>
                <c:pt idx="133">
                  <c:v>11.9161392405063</c:v>
                </c:pt>
                <c:pt idx="134">
                  <c:v>11.4394936708861</c:v>
                </c:pt>
                <c:pt idx="135">
                  <c:v>10.9628481012658</c:v>
                </c:pt>
                <c:pt idx="136">
                  <c:v>10.4862025316456</c:v>
                </c:pt>
                <c:pt idx="137">
                  <c:v>10.0095569620253</c:v>
                </c:pt>
                <c:pt idx="138">
                  <c:v>9.53291139240506</c:v>
                </c:pt>
                <c:pt idx="139">
                  <c:v>9.05626582278481</c:v>
                </c:pt>
                <c:pt idx="140">
                  <c:v>8.57962025316456</c:v>
                </c:pt>
                <c:pt idx="141">
                  <c:v>8.1029746835443</c:v>
                </c:pt>
                <c:pt idx="142">
                  <c:v>7.62632911392404</c:v>
                </c:pt>
                <c:pt idx="143">
                  <c:v>7.1496835443038</c:v>
                </c:pt>
                <c:pt idx="144">
                  <c:v>6.67303797468355</c:v>
                </c:pt>
                <c:pt idx="145">
                  <c:v>6.19639240506329</c:v>
                </c:pt>
                <c:pt idx="146">
                  <c:v>5.71974683544303</c:v>
                </c:pt>
                <c:pt idx="147">
                  <c:v>5.24310126582279</c:v>
                </c:pt>
                <c:pt idx="148">
                  <c:v>4.76645569620253</c:v>
                </c:pt>
                <c:pt idx="149">
                  <c:v>4.28981012658228</c:v>
                </c:pt>
                <c:pt idx="150">
                  <c:v>3.81316455696202</c:v>
                </c:pt>
                <c:pt idx="151">
                  <c:v>3.33651898734178</c:v>
                </c:pt>
                <c:pt idx="152">
                  <c:v>2.85987341772152</c:v>
                </c:pt>
                <c:pt idx="153">
                  <c:v>2.38322784810127</c:v>
                </c:pt>
                <c:pt idx="154">
                  <c:v>1.90658227848101</c:v>
                </c:pt>
                <c:pt idx="155">
                  <c:v>1.42993670886075</c:v>
                </c:pt>
                <c:pt idx="156">
                  <c:v>0.953291139240506</c:v>
                </c:pt>
                <c:pt idx="157">
                  <c:v>0.47664556962026</c:v>
                </c:pt>
                <c:pt idx="158">
                  <c:v>0</c:v>
                </c:pt>
                <c:pt idx="159">
                  <c:v>-0.47664556962026</c:v>
                </c:pt>
              </c:numCache>
            </c:numRef>
          </c:val>
          <c:smooth val="0"/>
        </c:ser>
        <c:hiLowLines>
          <c:spPr>
            <a:ln w="0">
              <a:noFill/>
            </a:ln>
          </c:spPr>
        </c:hiLowLines>
        <c:marker val="0"/>
        <c:axId val="23780249"/>
        <c:axId val="32301946"/>
      </c:lineChart>
      <c:dateAx>
        <c:axId val="166162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73057"/>
        <c:auto val="1"/>
        <c:lblOffset val="100"/>
        <c:baseTimeUnit val="days"/>
      </c:dateAx>
      <c:valAx>
        <c:axId val="54730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616272"/>
        <c:crosses val="autoZero"/>
        <c:crossBetween val="between"/>
      </c:valAx>
      <c:dateAx>
        <c:axId val="237802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301946"/>
        <c:auto val="1"/>
        <c:lblOffset val="100"/>
        <c:baseTimeUnit val="days"/>
      </c:dateAx>
      <c:valAx>
        <c:axId val="323019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7802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numCache>
            </c:numRef>
          </c:val>
        </c:ser>
        <c:gapWidth val="150"/>
        <c:overlap val="0"/>
        <c:axId val="79627087"/>
        <c:axId val="51650179"/>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41.36</c:v>
                </c:pt>
                <c:pt idx="1">
                  <c:v>41.0982278481013</c:v>
                </c:pt>
                <c:pt idx="2">
                  <c:v>40.8364556962025</c:v>
                </c:pt>
                <c:pt idx="3">
                  <c:v>40.5746835443038</c:v>
                </c:pt>
                <c:pt idx="4">
                  <c:v>40.3129113924051</c:v>
                </c:pt>
                <c:pt idx="5">
                  <c:v>40.0511392405063</c:v>
                </c:pt>
                <c:pt idx="6">
                  <c:v>39.7893670886076</c:v>
                </c:pt>
                <c:pt idx="7">
                  <c:v>39.5275949367089</c:v>
                </c:pt>
                <c:pt idx="8">
                  <c:v>39.2658227848101</c:v>
                </c:pt>
                <c:pt idx="9">
                  <c:v>39.0040506329114</c:v>
                </c:pt>
                <c:pt idx="10">
                  <c:v>38.7422784810127</c:v>
                </c:pt>
                <c:pt idx="11">
                  <c:v>38.4805063291139</c:v>
                </c:pt>
                <c:pt idx="12">
                  <c:v>38.2187341772152</c:v>
                </c:pt>
                <c:pt idx="13">
                  <c:v>37.9569620253165</c:v>
                </c:pt>
                <c:pt idx="14">
                  <c:v>37.6951898734177</c:v>
                </c:pt>
                <c:pt idx="15">
                  <c:v>37.433417721519</c:v>
                </c:pt>
                <c:pt idx="16">
                  <c:v>37.1716455696203</c:v>
                </c:pt>
                <c:pt idx="17">
                  <c:v>36.9098734177215</c:v>
                </c:pt>
                <c:pt idx="18">
                  <c:v>36.6481012658228</c:v>
                </c:pt>
                <c:pt idx="19">
                  <c:v>36.3863291139241</c:v>
                </c:pt>
                <c:pt idx="20">
                  <c:v>36.1245569620253</c:v>
                </c:pt>
                <c:pt idx="21">
                  <c:v>35.8627848101266</c:v>
                </c:pt>
                <c:pt idx="22">
                  <c:v>35.6010126582278</c:v>
                </c:pt>
                <c:pt idx="23">
                  <c:v>35.3392405063291</c:v>
                </c:pt>
                <c:pt idx="24">
                  <c:v>35.0774683544304</c:v>
                </c:pt>
                <c:pt idx="25">
                  <c:v>34.8156962025317</c:v>
                </c:pt>
                <c:pt idx="26">
                  <c:v>34.5539240506329</c:v>
                </c:pt>
                <c:pt idx="27">
                  <c:v>34.2921518987342</c:v>
                </c:pt>
                <c:pt idx="28">
                  <c:v>34.0303797468354</c:v>
                </c:pt>
                <c:pt idx="29">
                  <c:v>33.7686075949367</c:v>
                </c:pt>
                <c:pt idx="30">
                  <c:v>33.506835443038</c:v>
                </c:pt>
                <c:pt idx="31">
                  <c:v>33.2450632911392</c:v>
                </c:pt>
                <c:pt idx="32">
                  <c:v>32.9832911392405</c:v>
                </c:pt>
                <c:pt idx="33">
                  <c:v>32.7215189873418</c:v>
                </c:pt>
                <c:pt idx="34">
                  <c:v>32.459746835443</c:v>
                </c:pt>
                <c:pt idx="35">
                  <c:v>32.1979746835443</c:v>
                </c:pt>
                <c:pt idx="36">
                  <c:v>31.9362025316456</c:v>
                </c:pt>
                <c:pt idx="37">
                  <c:v>31.6744303797468</c:v>
                </c:pt>
                <c:pt idx="38">
                  <c:v>31.4126582278481</c:v>
                </c:pt>
                <c:pt idx="39">
                  <c:v>31.1508860759494</c:v>
                </c:pt>
                <c:pt idx="40">
                  <c:v>30.8891139240506</c:v>
                </c:pt>
                <c:pt idx="41">
                  <c:v>30.6273417721519</c:v>
                </c:pt>
                <c:pt idx="42">
                  <c:v>30.3655696202532</c:v>
                </c:pt>
                <c:pt idx="43">
                  <c:v>30.1037974683544</c:v>
                </c:pt>
                <c:pt idx="44">
                  <c:v>29.8420253164557</c:v>
                </c:pt>
                <c:pt idx="45">
                  <c:v>29.580253164557</c:v>
                </c:pt>
                <c:pt idx="46">
                  <c:v>29.3184810126582</c:v>
                </c:pt>
                <c:pt idx="47">
                  <c:v>29.0567088607595</c:v>
                </c:pt>
                <c:pt idx="48">
                  <c:v>28.7949367088608</c:v>
                </c:pt>
                <c:pt idx="49">
                  <c:v>28.533164556962</c:v>
                </c:pt>
                <c:pt idx="50">
                  <c:v>28.2713924050633</c:v>
                </c:pt>
                <c:pt idx="51">
                  <c:v>28.0096202531646</c:v>
                </c:pt>
                <c:pt idx="52">
                  <c:v>27.7478481012658</c:v>
                </c:pt>
                <c:pt idx="53">
                  <c:v>27.4860759493671</c:v>
                </c:pt>
                <c:pt idx="54">
                  <c:v>27.2243037974684</c:v>
                </c:pt>
                <c:pt idx="55">
                  <c:v>26.9625316455696</c:v>
                </c:pt>
                <c:pt idx="56">
                  <c:v>26.7007594936709</c:v>
                </c:pt>
                <c:pt idx="57">
                  <c:v>26.4389873417722</c:v>
                </c:pt>
                <c:pt idx="58">
                  <c:v>26.1772151898734</c:v>
                </c:pt>
                <c:pt idx="59">
                  <c:v>25.9154430379747</c:v>
                </c:pt>
                <c:pt idx="60">
                  <c:v>25.653670886076</c:v>
                </c:pt>
                <c:pt idx="61">
                  <c:v>25.3918987341772</c:v>
                </c:pt>
                <c:pt idx="62">
                  <c:v>25.1301265822785</c:v>
                </c:pt>
                <c:pt idx="63">
                  <c:v>24.8683544303797</c:v>
                </c:pt>
                <c:pt idx="64">
                  <c:v>24.606582278481</c:v>
                </c:pt>
                <c:pt idx="65">
                  <c:v>24.3448101265823</c:v>
                </c:pt>
                <c:pt idx="66">
                  <c:v>24.0830379746835</c:v>
                </c:pt>
                <c:pt idx="67">
                  <c:v>23.8212658227848</c:v>
                </c:pt>
                <c:pt idx="68">
                  <c:v>23.5594936708861</c:v>
                </c:pt>
                <c:pt idx="69">
                  <c:v>23.2977215189873</c:v>
                </c:pt>
                <c:pt idx="70">
                  <c:v>23.0359493670886</c:v>
                </c:pt>
                <c:pt idx="71">
                  <c:v>22.7741772151899</c:v>
                </c:pt>
                <c:pt idx="72">
                  <c:v>22.5124050632911</c:v>
                </c:pt>
                <c:pt idx="73">
                  <c:v>22.2506329113924</c:v>
                </c:pt>
                <c:pt idx="74">
                  <c:v>21.9888607594937</c:v>
                </c:pt>
                <c:pt idx="75">
                  <c:v>21.7270886075949</c:v>
                </c:pt>
                <c:pt idx="76">
                  <c:v>21.4653164556962</c:v>
                </c:pt>
                <c:pt idx="77">
                  <c:v>21.2035443037975</c:v>
                </c:pt>
                <c:pt idx="78">
                  <c:v>20.9417721518987</c:v>
                </c:pt>
                <c:pt idx="79">
                  <c:v>20.68</c:v>
                </c:pt>
                <c:pt idx="80">
                  <c:v>20.4182278481013</c:v>
                </c:pt>
                <c:pt idx="81">
                  <c:v>20.1564556962025</c:v>
                </c:pt>
                <c:pt idx="82">
                  <c:v>19.8946835443038</c:v>
                </c:pt>
                <c:pt idx="83">
                  <c:v>19.6329113924051</c:v>
                </c:pt>
                <c:pt idx="84">
                  <c:v>19.3711392405063</c:v>
                </c:pt>
                <c:pt idx="85">
                  <c:v>19.1093670886076</c:v>
                </c:pt>
                <c:pt idx="86">
                  <c:v>18.8475949367089</c:v>
                </c:pt>
                <c:pt idx="87">
                  <c:v>18.5858227848101</c:v>
                </c:pt>
                <c:pt idx="88">
                  <c:v>18.3240506329114</c:v>
                </c:pt>
                <c:pt idx="89">
                  <c:v>18.0622784810127</c:v>
                </c:pt>
                <c:pt idx="90">
                  <c:v>17.8005063291139</c:v>
                </c:pt>
                <c:pt idx="91">
                  <c:v>17.5387341772152</c:v>
                </c:pt>
                <c:pt idx="92">
                  <c:v>17.2769620253165</c:v>
                </c:pt>
                <c:pt idx="93">
                  <c:v>17.0151898734177</c:v>
                </c:pt>
                <c:pt idx="94">
                  <c:v>16.753417721519</c:v>
                </c:pt>
                <c:pt idx="95">
                  <c:v>16.4916455696203</c:v>
                </c:pt>
                <c:pt idx="96">
                  <c:v>16.2298734177215</c:v>
                </c:pt>
                <c:pt idx="97">
                  <c:v>15.9681012658228</c:v>
                </c:pt>
                <c:pt idx="98">
                  <c:v>15.7063291139241</c:v>
                </c:pt>
                <c:pt idx="99">
                  <c:v>15.4445569620253</c:v>
                </c:pt>
                <c:pt idx="100">
                  <c:v>15.1827848101266</c:v>
                </c:pt>
                <c:pt idx="101">
                  <c:v>14.9210126582278</c:v>
                </c:pt>
                <c:pt idx="102">
                  <c:v>14.6592405063291</c:v>
                </c:pt>
                <c:pt idx="103">
                  <c:v>14.3974683544304</c:v>
                </c:pt>
                <c:pt idx="104">
                  <c:v>14.1356962025316</c:v>
                </c:pt>
                <c:pt idx="105">
                  <c:v>13.8739240506329</c:v>
                </c:pt>
                <c:pt idx="106">
                  <c:v>13.6121518987342</c:v>
                </c:pt>
                <c:pt idx="107">
                  <c:v>13.3503797468354</c:v>
                </c:pt>
                <c:pt idx="108">
                  <c:v>13.0886075949367</c:v>
                </c:pt>
                <c:pt idx="109">
                  <c:v>12.826835443038</c:v>
                </c:pt>
                <c:pt idx="110">
                  <c:v>12.5650632911392</c:v>
                </c:pt>
                <c:pt idx="111">
                  <c:v>12.3032911392405</c:v>
                </c:pt>
                <c:pt idx="112">
                  <c:v>12.0415189873418</c:v>
                </c:pt>
                <c:pt idx="113">
                  <c:v>11.779746835443</c:v>
                </c:pt>
                <c:pt idx="114">
                  <c:v>11.5179746835443</c:v>
                </c:pt>
                <c:pt idx="115">
                  <c:v>11.2562025316456</c:v>
                </c:pt>
                <c:pt idx="116">
                  <c:v>10.9944303797468</c:v>
                </c:pt>
                <c:pt idx="117">
                  <c:v>10.7326582278481</c:v>
                </c:pt>
                <c:pt idx="118">
                  <c:v>10.4708860759494</c:v>
                </c:pt>
                <c:pt idx="119">
                  <c:v>10.2091139240506</c:v>
                </c:pt>
                <c:pt idx="120">
                  <c:v>9.9473417721519</c:v>
                </c:pt>
                <c:pt idx="121">
                  <c:v>9.68556962025317</c:v>
                </c:pt>
                <c:pt idx="122">
                  <c:v>9.42379746835443</c:v>
                </c:pt>
                <c:pt idx="123">
                  <c:v>9.1620253164557</c:v>
                </c:pt>
                <c:pt idx="124">
                  <c:v>8.90025316455696</c:v>
                </c:pt>
                <c:pt idx="125">
                  <c:v>8.63848101265823</c:v>
                </c:pt>
                <c:pt idx="126">
                  <c:v>8.37670886075949</c:v>
                </c:pt>
                <c:pt idx="127">
                  <c:v>8.11493670886076</c:v>
                </c:pt>
                <c:pt idx="128">
                  <c:v>7.85316455696203</c:v>
                </c:pt>
                <c:pt idx="129">
                  <c:v>7.5913924050633</c:v>
                </c:pt>
                <c:pt idx="130">
                  <c:v>7.32962025316456</c:v>
                </c:pt>
                <c:pt idx="131">
                  <c:v>7.06784810126582</c:v>
                </c:pt>
                <c:pt idx="132">
                  <c:v>6.80607594936709</c:v>
                </c:pt>
                <c:pt idx="133">
                  <c:v>6.54430379746835</c:v>
                </c:pt>
                <c:pt idx="134">
                  <c:v>6.28253164556962</c:v>
                </c:pt>
                <c:pt idx="135">
                  <c:v>6.02075949367088</c:v>
                </c:pt>
                <c:pt idx="136">
                  <c:v>5.75898734177215</c:v>
                </c:pt>
                <c:pt idx="137">
                  <c:v>5.49721518987342</c:v>
                </c:pt>
                <c:pt idx="138">
                  <c:v>5.23544303797468</c:v>
                </c:pt>
                <c:pt idx="139">
                  <c:v>4.97367088607595</c:v>
                </c:pt>
                <c:pt idx="140">
                  <c:v>4.71189873417722</c:v>
                </c:pt>
                <c:pt idx="141">
                  <c:v>4.45012658227848</c:v>
                </c:pt>
                <c:pt idx="142">
                  <c:v>4.18835443037975</c:v>
                </c:pt>
                <c:pt idx="143">
                  <c:v>3.92658227848101</c:v>
                </c:pt>
                <c:pt idx="144">
                  <c:v>3.66481012658227</c:v>
                </c:pt>
                <c:pt idx="145">
                  <c:v>3.40303797468354</c:v>
                </c:pt>
                <c:pt idx="146">
                  <c:v>3.14126582278481</c:v>
                </c:pt>
                <c:pt idx="147">
                  <c:v>2.87949367088608</c:v>
                </c:pt>
                <c:pt idx="148">
                  <c:v>2.61772151898735</c:v>
                </c:pt>
                <c:pt idx="149">
                  <c:v>2.35594936708861</c:v>
                </c:pt>
                <c:pt idx="150">
                  <c:v>2.09417721518987</c:v>
                </c:pt>
                <c:pt idx="151">
                  <c:v>1.83240506329114</c:v>
                </c:pt>
                <c:pt idx="152">
                  <c:v>1.5706329113924</c:v>
                </c:pt>
                <c:pt idx="153">
                  <c:v>1.30886075949367</c:v>
                </c:pt>
                <c:pt idx="154">
                  <c:v>1.04708860759494</c:v>
                </c:pt>
                <c:pt idx="155">
                  <c:v>0.785316455696204</c:v>
                </c:pt>
                <c:pt idx="156">
                  <c:v>0.523544303797472</c:v>
                </c:pt>
                <c:pt idx="157">
                  <c:v>0.26177215189874</c:v>
                </c:pt>
                <c:pt idx="158">
                  <c:v>0</c:v>
                </c:pt>
                <c:pt idx="159">
                  <c:v>-0.261772151898732</c:v>
                </c:pt>
              </c:numCache>
            </c:numRef>
          </c:val>
          <c:smooth val="0"/>
        </c:ser>
        <c:hiLowLines>
          <c:spPr>
            <a:ln w="0">
              <a:noFill/>
            </a:ln>
          </c:spPr>
        </c:hiLowLines>
        <c:marker val="0"/>
        <c:axId val="15232698"/>
        <c:axId val="47909555"/>
      </c:lineChart>
      <c:dateAx>
        <c:axId val="796270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650179"/>
        <c:auto val="1"/>
        <c:lblOffset val="100"/>
        <c:baseTimeUnit val="days"/>
      </c:dateAx>
      <c:valAx>
        <c:axId val="516501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27087"/>
        <c:crosses val="autoZero"/>
        <c:crossBetween val="between"/>
      </c:valAx>
      <c:dateAx>
        <c:axId val="152326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09555"/>
        <c:auto val="1"/>
        <c:lblOffset val="100"/>
        <c:baseTimeUnit val="days"/>
      </c:dateAx>
      <c:valAx>
        <c:axId val="479095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326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numCache>
            </c:numRef>
          </c:val>
        </c:ser>
        <c:gapWidth val="150"/>
        <c:overlap val="0"/>
        <c:axId val="79051043"/>
        <c:axId val="9902026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100.59</c:v>
                </c:pt>
                <c:pt idx="1">
                  <c:v>99.9533544303798</c:v>
                </c:pt>
                <c:pt idx="2">
                  <c:v>99.3167088607595</c:v>
                </c:pt>
                <c:pt idx="3">
                  <c:v>98.6800632911393</c:v>
                </c:pt>
                <c:pt idx="4">
                  <c:v>98.043417721519</c:v>
                </c:pt>
                <c:pt idx="5">
                  <c:v>97.4067721518987</c:v>
                </c:pt>
                <c:pt idx="6">
                  <c:v>96.7701265822785</c:v>
                </c:pt>
                <c:pt idx="7">
                  <c:v>96.1334810126582</c:v>
                </c:pt>
                <c:pt idx="8">
                  <c:v>95.496835443038</c:v>
                </c:pt>
                <c:pt idx="9">
                  <c:v>94.8601898734177</c:v>
                </c:pt>
                <c:pt idx="10">
                  <c:v>94.2235443037975</c:v>
                </c:pt>
                <c:pt idx="11">
                  <c:v>93.5868987341772</c:v>
                </c:pt>
                <c:pt idx="12">
                  <c:v>92.950253164557</c:v>
                </c:pt>
                <c:pt idx="13">
                  <c:v>92.3136075949367</c:v>
                </c:pt>
                <c:pt idx="14">
                  <c:v>91.6769620253165</c:v>
                </c:pt>
                <c:pt idx="15">
                  <c:v>91.0403164556962</c:v>
                </c:pt>
                <c:pt idx="16">
                  <c:v>90.403670886076</c:v>
                </c:pt>
                <c:pt idx="17">
                  <c:v>89.7670253164557</c:v>
                </c:pt>
                <c:pt idx="18">
                  <c:v>89.1303797468354</c:v>
                </c:pt>
                <c:pt idx="19">
                  <c:v>88.4937341772152</c:v>
                </c:pt>
                <c:pt idx="20">
                  <c:v>87.8570886075949</c:v>
                </c:pt>
                <c:pt idx="21">
                  <c:v>87.2204430379747</c:v>
                </c:pt>
                <c:pt idx="22">
                  <c:v>86.5837974683544</c:v>
                </c:pt>
                <c:pt idx="23">
                  <c:v>85.9471518987342</c:v>
                </c:pt>
                <c:pt idx="24">
                  <c:v>85.3105063291139</c:v>
                </c:pt>
                <c:pt idx="25">
                  <c:v>84.6738607594937</c:v>
                </c:pt>
                <c:pt idx="26">
                  <c:v>84.0372151898734</c:v>
                </c:pt>
                <c:pt idx="27">
                  <c:v>83.4005696202532</c:v>
                </c:pt>
                <c:pt idx="28">
                  <c:v>82.7639240506329</c:v>
                </c:pt>
                <c:pt idx="29">
                  <c:v>82.1272784810127</c:v>
                </c:pt>
                <c:pt idx="30">
                  <c:v>81.4906329113924</c:v>
                </c:pt>
                <c:pt idx="31">
                  <c:v>80.8539873417722</c:v>
                </c:pt>
                <c:pt idx="32">
                  <c:v>80.2173417721519</c:v>
                </c:pt>
                <c:pt idx="33">
                  <c:v>79.5806962025316</c:v>
                </c:pt>
                <c:pt idx="34">
                  <c:v>78.9440506329114</c:v>
                </c:pt>
                <c:pt idx="35">
                  <c:v>78.3074050632911</c:v>
                </c:pt>
                <c:pt idx="36">
                  <c:v>77.6707594936709</c:v>
                </c:pt>
                <c:pt idx="37">
                  <c:v>77.0341139240506</c:v>
                </c:pt>
                <c:pt idx="38">
                  <c:v>76.3974683544304</c:v>
                </c:pt>
                <c:pt idx="39">
                  <c:v>75.7608227848101</c:v>
                </c:pt>
                <c:pt idx="40">
                  <c:v>75.1241772151899</c:v>
                </c:pt>
                <c:pt idx="41">
                  <c:v>74.4875316455696</c:v>
                </c:pt>
                <c:pt idx="42">
                  <c:v>73.8508860759494</c:v>
                </c:pt>
                <c:pt idx="43">
                  <c:v>73.2142405063291</c:v>
                </c:pt>
                <c:pt idx="44">
                  <c:v>72.5775949367089</c:v>
                </c:pt>
                <c:pt idx="45">
                  <c:v>71.9409493670886</c:v>
                </c:pt>
                <c:pt idx="46">
                  <c:v>71.3043037974684</c:v>
                </c:pt>
                <c:pt idx="47">
                  <c:v>70.6676582278481</c:v>
                </c:pt>
                <c:pt idx="48">
                  <c:v>70.0310126582279</c:v>
                </c:pt>
                <c:pt idx="49">
                  <c:v>69.3943670886076</c:v>
                </c:pt>
                <c:pt idx="50">
                  <c:v>68.7577215189874</c:v>
                </c:pt>
                <c:pt idx="51">
                  <c:v>68.1210759493671</c:v>
                </c:pt>
                <c:pt idx="52">
                  <c:v>67.4844303797468</c:v>
                </c:pt>
                <c:pt idx="53">
                  <c:v>66.8477848101266</c:v>
                </c:pt>
                <c:pt idx="54">
                  <c:v>66.2111392405063</c:v>
                </c:pt>
                <c:pt idx="55">
                  <c:v>65.5744936708861</c:v>
                </c:pt>
                <c:pt idx="56">
                  <c:v>64.9378481012658</c:v>
                </c:pt>
                <c:pt idx="57">
                  <c:v>64.3012025316456</c:v>
                </c:pt>
                <c:pt idx="58">
                  <c:v>63.6645569620253</c:v>
                </c:pt>
                <c:pt idx="59">
                  <c:v>63.0279113924051</c:v>
                </c:pt>
                <c:pt idx="60">
                  <c:v>62.3912658227848</c:v>
                </c:pt>
                <c:pt idx="61">
                  <c:v>61.7546202531646</c:v>
                </c:pt>
                <c:pt idx="62">
                  <c:v>61.1179746835443</c:v>
                </c:pt>
                <c:pt idx="63">
                  <c:v>60.4813291139241</c:v>
                </c:pt>
                <c:pt idx="64">
                  <c:v>59.8446835443038</c:v>
                </c:pt>
                <c:pt idx="65">
                  <c:v>59.2080379746835</c:v>
                </c:pt>
                <c:pt idx="66">
                  <c:v>58.5713924050633</c:v>
                </c:pt>
                <c:pt idx="67">
                  <c:v>57.934746835443</c:v>
                </c:pt>
                <c:pt idx="68">
                  <c:v>57.2981012658228</c:v>
                </c:pt>
                <c:pt idx="69">
                  <c:v>56.6614556962025</c:v>
                </c:pt>
                <c:pt idx="70">
                  <c:v>56.0248101265823</c:v>
                </c:pt>
                <c:pt idx="71">
                  <c:v>55.388164556962</c:v>
                </c:pt>
                <c:pt idx="72">
                  <c:v>54.7515189873418</c:v>
                </c:pt>
                <c:pt idx="73">
                  <c:v>54.1148734177215</c:v>
                </c:pt>
                <c:pt idx="74">
                  <c:v>53.4782278481013</c:v>
                </c:pt>
                <c:pt idx="75">
                  <c:v>52.841582278481</c:v>
                </c:pt>
                <c:pt idx="76">
                  <c:v>52.2049367088608</c:v>
                </c:pt>
                <c:pt idx="77">
                  <c:v>51.5682911392405</c:v>
                </c:pt>
                <c:pt idx="78">
                  <c:v>50.9316455696203</c:v>
                </c:pt>
                <c:pt idx="79">
                  <c:v>50.295</c:v>
                </c:pt>
                <c:pt idx="80">
                  <c:v>49.6583544303797</c:v>
                </c:pt>
                <c:pt idx="81">
                  <c:v>49.0217088607595</c:v>
                </c:pt>
                <c:pt idx="82">
                  <c:v>48.3850632911392</c:v>
                </c:pt>
                <c:pt idx="83">
                  <c:v>47.748417721519</c:v>
                </c:pt>
                <c:pt idx="84">
                  <c:v>47.1117721518987</c:v>
                </c:pt>
                <c:pt idx="85">
                  <c:v>46.4751265822785</c:v>
                </c:pt>
                <c:pt idx="86">
                  <c:v>45.8384810126582</c:v>
                </c:pt>
                <c:pt idx="87">
                  <c:v>45.201835443038</c:v>
                </c:pt>
                <c:pt idx="88">
                  <c:v>44.5651898734177</c:v>
                </c:pt>
                <c:pt idx="89">
                  <c:v>43.9285443037975</c:v>
                </c:pt>
                <c:pt idx="90">
                  <c:v>43.2918987341772</c:v>
                </c:pt>
                <c:pt idx="91">
                  <c:v>42.655253164557</c:v>
                </c:pt>
                <c:pt idx="92">
                  <c:v>42.0186075949367</c:v>
                </c:pt>
                <c:pt idx="93">
                  <c:v>41.3819620253165</c:v>
                </c:pt>
                <c:pt idx="94">
                  <c:v>40.7453164556962</c:v>
                </c:pt>
                <c:pt idx="95">
                  <c:v>40.108670886076</c:v>
                </c:pt>
                <c:pt idx="96">
                  <c:v>39.4720253164557</c:v>
                </c:pt>
                <c:pt idx="97">
                  <c:v>38.8353797468355</c:v>
                </c:pt>
                <c:pt idx="98">
                  <c:v>38.1987341772152</c:v>
                </c:pt>
                <c:pt idx="99">
                  <c:v>37.5620886075949</c:v>
                </c:pt>
                <c:pt idx="100">
                  <c:v>36.9254430379747</c:v>
                </c:pt>
                <c:pt idx="101">
                  <c:v>36.2887974683544</c:v>
                </c:pt>
                <c:pt idx="102">
                  <c:v>35.6521518987342</c:v>
                </c:pt>
                <c:pt idx="103">
                  <c:v>35.0155063291139</c:v>
                </c:pt>
                <c:pt idx="104">
                  <c:v>34.3788607594937</c:v>
                </c:pt>
                <c:pt idx="105">
                  <c:v>33.7422151898734</c:v>
                </c:pt>
                <c:pt idx="106">
                  <c:v>33.1055696202532</c:v>
                </c:pt>
                <c:pt idx="107">
                  <c:v>32.4689240506329</c:v>
                </c:pt>
                <c:pt idx="108">
                  <c:v>31.8322784810127</c:v>
                </c:pt>
                <c:pt idx="109">
                  <c:v>31.1956329113924</c:v>
                </c:pt>
                <c:pt idx="110">
                  <c:v>30.5589873417722</c:v>
                </c:pt>
                <c:pt idx="111">
                  <c:v>29.9223417721519</c:v>
                </c:pt>
                <c:pt idx="112">
                  <c:v>29.2856962025317</c:v>
                </c:pt>
                <c:pt idx="113">
                  <c:v>28.6490506329114</c:v>
                </c:pt>
                <c:pt idx="114">
                  <c:v>28.0124050632911</c:v>
                </c:pt>
                <c:pt idx="115">
                  <c:v>27.3757594936709</c:v>
                </c:pt>
                <c:pt idx="116">
                  <c:v>26.7391139240506</c:v>
                </c:pt>
                <c:pt idx="117">
                  <c:v>26.1024683544304</c:v>
                </c:pt>
                <c:pt idx="118">
                  <c:v>25.4658227848101</c:v>
                </c:pt>
                <c:pt idx="119">
                  <c:v>24.8291772151899</c:v>
                </c:pt>
                <c:pt idx="120">
                  <c:v>24.1925316455696</c:v>
                </c:pt>
                <c:pt idx="121">
                  <c:v>23.5558860759494</c:v>
                </c:pt>
                <c:pt idx="122">
                  <c:v>22.9192405063291</c:v>
                </c:pt>
                <c:pt idx="123">
                  <c:v>22.2825949367089</c:v>
                </c:pt>
                <c:pt idx="124">
                  <c:v>21.6459493670886</c:v>
                </c:pt>
                <c:pt idx="125">
                  <c:v>21.0093037974684</c:v>
                </c:pt>
                <c:pt idx="126">
                  <c:v>20.3726582278481</c:v>
                </c:pt>
                <c:pt idx="127">
                  <c:v>19.7360126582279</c:v>
                </c:pt>
                <c:pt idx="128">
                  <c:v>19.0993670886076</c:v>
                </c:pt>
                <c:pt idx="129">
                  <c:v>18.4627215189873</c:v>
                </c:pt>
                <c:pt idx="130">
                  <c:v>17.8260759493671</c:v>
                </c:pt>
                <c:pt idx="131">
                  <c:v>17.1894303797468</c:v>
                </c:pt>
                <c:pt idx="132">
                  <c:v>16.5527848101266</c:v>
                </c:pt>
                <c:pt idx="133">
                  <c:v>15.9161392405063</c:v>
                </c:pt>
                <c:pt idx="134">
                  <c:v>15.2794936708861</c:v>
                </c:pt>
                <c:pt idx="135">
                  <c:v>14.6428481012658</c:v>
                </c:pt>
                <c:pt idx="136">
                  <c:v>14.0062025316456</c:v>
                </c:pt>
                <c:pt idx="137">
                  <c:v>13.3695569620253</c:v>
                </c:pt>
                <c:pt idx="138">
                  <c:v>12.7329113924051</c:v>
                </c:pt>
                <c:pt idx="139">
                  <c:v>12.0962658227848</c:v>
                </c:pt>
                <c:pt idx="140">
                  <c:v>11.4596202531646</c:v>
                </c:pt>
                <c:pt idx="141">
                  <c:v>10.8229746835443</c:v>
                </c:pt>
                <c:pt idx="142">
                  <c:v>10.186329113924</c:v>
                </c:pt>
                <c:pt idx="143">
                  <c:v>9.54968354430379</c:v>
                </c:pt>
                <c:pt idx="144">
                  <c:v>8.91303797468355</c:v>
                </c:pt>
                <c:pt idx="145">
                  <c:v>8.27639240506329</c:v>
                </c:pt>
                <c:pt idx="146">
                  <c:v>7.63974683544303</c:v>
                </c:pt>
                <c:pt idx="147">
                  <c:v>7.00310126582278</c:v>
                </c:pt>
                <c:pt idx="148">
                  <c:v>6.36645569620254</c:v>
                </c:pt>
                <c:pt idx="149">
                  <c:v>5.72981012658228</c:v>
                </c:pt>
                <c:pt idx="150">
                  <c:v>5.09316455696202</c:v>
                </c:pt>
                <c:pt idx="151">
                  <c:v>4.45651898734178</c:v>
                </c:pt>
                <c:pt idx="152">
                  <c:v>3.81987341772152</c:v>
                </c:pt>
                <c:pt idx="153">
                  <c:v>3.18322784810127</c:v>
                </c:pt>
                <c:pt idx="154">
                  <c:v>2.54658227848101</c:v>
                </c:pt>
                <c:pt idx="155">
                  <c:v>1.90993670886076</c:v>
                </c:pt>
                <c:pt idx="156">
                  <c:v>1.2732911392405</c:v>
                </c:pt>
                <c:pt idx="157">
                  <c:v>0.636645569620256</c:v>
                </c:pt>
                <c:pt idx="158">
                  <c:v>0</c:v>
                </c:pt>
                <c:pt idx="159">
                  <c:v>-0.636645569620256</c:v>
                </c:pt>
              </c:numCache>
            </c:numRef>
          </c:val>
          <c:smooth val="0"/>
        </c:ser>
        <c:hiLowLines>
          <c:spPr>
            <a:ln w="0">
              <a:noFill/>
            </a:ln>
          </c:spPr>
        </c:hiLowLines>
        <c:marker val="0"/>
        <c:axId val="92576272"/>
        <c:axId val="89187532"/>
      </c:lineChart>
      <c:dateAx>
        <c:axId val="790510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020264"/>
        <c:auto val="1"/>
        <c:lblOffset val="100"/>
        <c:baseTimeUnit val="days"/>
      </c:dateAx>
      <c:valAx>
        <c:axId val="990202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051043"/>
        <c:crosses val="autoZero"/>
        <c:crossBetween val="between"/>
      </c:valAx>
      <c:dateAx>
        <c:axId val="925762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187532"/>
        <c:auto val="1"/>
        <c:lblOffset val="100"/>
        <c:baseTimeUnit val="days"/>
      </c:dateAx>
      <c:valAx>
        <c:axId val="891875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5762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numCache>
            </c:numRef>
          </c:val>
        </c:ser>
        <c:gapWidth val="150"/>
        <c:overlap val="0"/>
        <c:axId val="87981312"/>
        <c:axId val="121913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44.35</c:v>
                </c:pt>
                <c:pt idx="1">
                  <c:v>44.0693037974684</c:v>
                </c:pt>
                <c:pt idx="2">
                  <c:v>43.7886075949367</c:v>
                </c:pt>
                <c:pt idx="3">
                  <c:v>43.5079113924051</c:v>
                </c:pt>
                <c:pt idx="4">
                  <c:v>43.2272151898734</c:v>
                </c:pt>
                <c:pt idx="5">
                  <c:v>42.9465189873418</c:v>
                </c:pt>
                <c:pt idx="6">
                  <c:v>42.6658227848101</c:v>
                </c:pt>
                <c:pt idx="7">
                  <c:v>42.3851265822785</c:v>
                </c:pt>
                <c:pt idx="8">
                  <c:v>42.1044303797468</c:v>
                </c:pt>
                <c:pt idx="9">
                  <c:v>41.8237341772152</c:v>
                </c:pt>
                <c:pt idx="10">
                  <c:v>41.5430379746835</c:v>
                </c:pt>
                <c:pt idx="11">
                  <c:v>41.2623417721519</c:v>
                </c:pt>
                <c:pt idx="12">
                  <c:v>40.9816455696203</c:v>
                </c:pt>
                <c:pt idx="13">
                  <c:v>40.7009493670886</c:v>
                </c:pt>
                <c:pt idx="14">
                  <c:v>40.420253164557</c:v>
                </c:pt>
                <c:pt idx="15">
                  <c:v>40.1395569620253</c:v>
                </c:pt>
                <c:pt idx="16">
                  <c:v>39.8588607594937</c:v>
                </c:pt>
                <c:pt idx="17">
                  <c:v>39.578164556962</c:v>
                </c:pt>
                <c:pt idx="18">
                  <c:v>39.2974683544304</c:v>
                </c:pt>
                <c:pt idx="19">
                  <c:v>39.0167721518987</c:v>
                </c:pt>
                <c:pt idx="20">
                  <c:v>38.7360759493671</c:v>
                </c:pt>
                <c:pt idx="21">
                  <c:v>38.4553797468355</c:v>
                </c:pt>
                <c:pt idx="22">
                  <c:v>38.1746835443038</c:v>
                </c:pt>
                <c:pt idx="23">
                  <c:v>37.8939873417722</c:v>
                </c:pt>
                <c:pt idx="24">
                  <c:v>37.6132911392405</c:v>
                </c:pt>
                <c:pt idx="25">
                  <c:v>37.3325949367089</c:v>
                </c:pt>
                <c:pt idx="26">
                  <c:v>37.0518987341772</c:v>
                </c:pt>
                <c:pt idx="27">
                  <c:v>36.7712025316456</c:v>
                </c:pt>
                <c:pt idx="28">
                  <c:v>36.4905063291139</c:v>
                </c:pt>
                <c:pt idx="29">
                  <c:v>36.2098101265823</c:v>
                </c:pt>
                <c:pt idx="30">
                  <c:v>35.9291139240506</c:v>
                </c:pt>
                <c:pt idx="31">
                  <c:v>35.648417721519</c:v>
                </c:pt>
                <c:pt idx="32">
                  <c:v>35.3677215189873</c:v>
                </c:pt>
                <c:pt idx="33">
                  <c:v>35.0870253164557</c:v>
                </c:pt>
                <c:pt idx="34">
                  <c:v>34.8063291139241</c:v>
                </c:pt>
                <c:pt idx="35">
                  <c:v>34.5256329113924</c:v>
                </c:pt>
                <c:pt idx="36">
                  <c:v>34.2449367088608</c:v>
                </c:pt>
                <c:pt idx="37">
                  <c:v>33.9642405063291</c:v>
                </c:pt>
                <c:pt idx="38">
                  <c:v>33.6835443037975</c:v>
                </c:pt>
                <c:pt idx="39">
                  <c:v>33.4028481012658</c:v>
                </c:pt>
                <c:pt idx="40">
                  <c:v>33.1221518987342</c:v>
                </c:pt>
                <c:pt idx="41">
                  <c:v>32.8414556962025</c:v>
                </c:pt>
                <c:pt idx="42">
                  <c:v>32.5607594936709</c:v>
                </c:pt>
                <c:pt idx="43">
                  <c:v>32.2800632911392</c:v>
                </c:pt>
                <c:pt idx="44">
                  <c:v>31.9993670886076</c:v>
                </c:pt>
                <c:pt idx="45">
                  <c:v>31.718670886076</c:v>
                </c:pt>
                <c:pt idx="46">
                  <c:v>31.4379746835443</c:v>
                </c:pt>
                <c:pt idx="47">
                  <c:v>31.1572784810127</c:v>
                </c:pt>
                <c:pt idx="48">
                  <c:v>30.876582278481</c:v>
                </c:pt>
                <c:pt idx="49">
                  <c:v>30.5958860759494</c:v>
                </c:pt>
                <c:pt idx="50">
                  <c:v>30.3151898734177</c:v>
                </c:pt>
                <c:pt idx="51">
                  <c:v>30.0344936708861</c:v>
                </c:pt>
                <c:pt idx="52">
                  <c:v>29.7537974683544</c:v>
                </c:pt>
                <c:pt idx="53">
                  <c:v>29.4731012658228</c:v>
                </c:pt>
                <c:pt idx="54">
                  <c:v>29.1924050632911</c:v>
                </c:pt>
                <c:pt idx="55">
                  <c:v>28.9117088607595</c:v>
                </c:pt>
                <c:pt idx="56">
                  <c:v>28.6310126582279</c:v>
                </c:pt>
                <c:pt idx="57">
                  <c:v>28.3503164556962</c:v>
                </c:pt>
                <c:pt idx="58">
                  <c:v>28.0696202531646</c:v>
                </c:pt>
                <c:pt idx="59">
                  <c:v>27.7889240506329</c:v>
                </c:pt>
                <c:pt idx="60">
                  <c:v>27.5082278481013</c:v>
                </c:pt>
                <c:pt idx="61">
                  <c:v>27.2275316455696</c:v>
                </c:pt>
                <c:pt idx="62">
                  <c:v>26.946835443038</c:v>
                </c:pt>
                <c:pt idx="63">
                  <c:v>26.6661392405063</c:v>
                </c:pt>
                <c:pt idx="64">
                  <c:v>26.3854430379747</c:v>
                </c:pt>
                <c:pt idx="65">
                  <c:v>26.104746835443</c:v>
                </c:pt>
                <c:pt idx="66">
                  <c:v>25.8240506329114</c:v>
                </c:pt>
                <c:pt idx="67">
                  <c:v>25.5433544303797</c:v>
                </c:pt>
                <c:pt idx="68">
                  <c:v>25.2626582278481</c:v>
                </c:pt>
                <c:pt idx="69">
                  <c:v>24.9819620253165</c:v>
                </c:pt>
                <c:pt idx="70">
                  <c:v>24.7012658227848</c:v>
                </c:pt>
                <c:pt idx="71">
                  <c:v>24.4205696202532</c:v>
                </c:pt>
                <c:pt idx="72">
                  <c:v>24.1398734177215</c:v>
                </c:pt>
                <c:pt idx="73">
                  <c:v>23.8591772151899</c:v>
                </c:pt>
                <c:pt idx="74">
                  <c:v>23.5784810126582</c:v>
                </c:pt>
                <c:pt idx="75">
                  <c:v>23.2977848101266</c:v>
                </c:pt>
                <c:pt idx="76">
                  <c:v>23.0170886075949</c:v>
                </c:pt>
                <c:pt idx="77">
                  <c:v>22.7363924050633</c:v>
                </c:pt>
                <c:pt idx="78">
                  <c:v>22.4556962025316</c:v>
                </c:pt>
                <c:pt idx="79">
                  <c:v>22.175</c:v>
                </c:pt>
                <c:pt idx="80">
                  <c:v>21.8943037974684</c:v>
                </c:pt>
                <c:pt idx="81">
                  <c:v>21.6136075949367</c:v>
                </c:pt>
                <c:pt idx="82">
                  <c:v>21.3329113924051</c:v>
                </c:pt>
                <c:pt idx="83">
                  <c:v>21.0522151898734</c:v>
                </c:pt>
                <c:pt idx="84">
                  <c:v>20.7715189873418</c:v>
                </c:pt>
                <c:pt idx="85">
                  <c:v>20.4908227848101</c:v>
                </c:pt>
                <c:pt idx="86">
                  <c:v>20.2101265822785</c:v>
                </c:pt>
                <c:pt idx="87">
                  <c:v>19.9294303797468</c:v>
                </c:pt>
                <c:pt idx="88">
                  <c:v>19.6487341772152</c:v>
                </c:pt>
                <c:pt idx="89">
                  <c:v>19.3680379746835</c:v>
                </c:pt>
                <c:pt idx="90">
                  <c:v>19.0873417721519</c:v>
                </c:pt>
                <c:pt idx="91">
                  <c:v>18.8066455696203</c:v>
                </c:pt>
                <c:pt idx="92">
                  <c:v>18.5259493670886</c:v>
                </c:pt>
                <c:pt idx="93">
                  <c:v>18.245253164557</c:v>
                </c:pt>
                <c:pt idx="94">
                  <c:v>17.9645569620253</c:v>
                </c:pt>
                <c:pt idx="95">
                  <c:v>17.6838607594937</c:v>
                </c:pt>
                <c:pt idx="96">
                  <c:v>17.403164556962</c:v>
                </c:pt>
                <c:pt idx="97">
                  <c:v>17.1224683544304</c:v>
                </c:pt>
                <c:pt idx="98">
                  <c:v>16.8417721518987</c:v>
                </c:pt>
                <c:pt idx="99">
                  <c:v>16.5610759493671</c:v>
                </c:pt>
                <c:pt idx="100">
                  <c:v>16.2803797468354</c:v>
                </c:pt>
                <c:pt idx="101">
                  <c:v>15.9996835443038</c:v>
                </c:pt>
                <c:pt idx="102">
                  <c:v>15.7189873417722</c:v>
                </c:pt>
                <c:pt idx="103">
                  <c:v>15.4382911392405</c:v>
                </c:pt>
                <c:pt idx="104">
                  <c:v>15.1575949367089</c:v>
                </c:pt>
                <c:pt idx="105">
                  <c:v>14.8768987341772</c:v>
                </c:pt>
                <c:pt idx="106">
                  <c:v>14.5962025316456</c:v>
                </c:pt>
                <c:pt idx="107">
                  <c:v>14.3155063291139</c:v>
                </c:pt>
                <c:pt idx="108">
                  <c:v>14.0348101265823</c:v>
                </c:pt>
                <c:pt idx="109">
                  <c:v>13.7541139240506</c:v>
                </c:pt>
                <c:pt idx="110">
                  <c:v>13.473417721519</c:v>
                </c:pt>
                <c:pt idx="111">
                  <c:v>13.1927215189873</c:v>
                </c:pt>
                <c:pt idx="112">
                  <c:v>12.9120253164557</c:v>
                </c:pt>
                <c:pt idx="113">
                  <c:v>12.6313291139241</c:v>
                </c:pt>
                <c:pt idx="114">
                  <c:v>12.3506329113924</c:v>
                </c:pt>
                <c:pt idx="115">
                  <c:v>12.0699367088608</c:v>
                </c:pt>
                <c:pt idx="116">
                  <c:v>11.7892405063291</c:v>
                </c:pt>
                <c:pt idx="117">
                  <c:v>11.5085443037975</c:v>
                </c:pt>
                <c:pt idx="118">
                  <c:v>11.2278481012658</c:v>
                </c:pt>
                <c:pt idx="119">
                  <c:v>10.9471518987342</c:v>
                </c:pt>
                <c:pt idx="120">
                  <c:v>10.6664556962025</c:v>
                </c:pt>
                <c:pt idx="121">
                  <c:v>10.3857594936709</c:v>
                </c:pt>
                <c:pt idx="122">
                  <c:v>10.1050632911392</c:v>
                </c:pt>
                <c:pt idx="123">
                  <c:v>9.8243670886076</c:v>
                </c:pt>
                <c:pt idx="124">
                  <c:v>9.54367088607594</c:v>
                </c:pt>
                <c:pt idx="125">
                  <c:v>9.26297468354431</c:v>
                </c:pt>
                <c:pt idx="126">
                  <c:v>8.98227848101266</c:v>
                </c:pt>
                <c:pt idx="127">
                  <c:v>8.70158227848101</c:v>
                </c:pt>
                <c:pt idx="128">
                  <c:v>8.42088607594937</c:v>
                </c:pt>
                <c:pt idx="129">
                  <c:v>8.14018987341772</c:v>
                </c:pt>
                <c:pt idx="130">
                  <c:v>7.85949367088607</c:v>
                </c:pt>
                <c:pt idx="131">
                  <c:v>7.57879746835443</c:v>
                </c:pt>
                <c:pt idx="132">
                  <c:v>7.29810126582279</c:v>
                </c:pt>
                <c:pt idx="133">
                  <c:v>7.01740506329114</c:v>
                </c:pt>
                <c:pt idx="134">
                  <c:v>6.73670886075949</c:v>
                </c:pt>
                <c:pt idx="135">
                  <c:v>6.45601265822785</c:v>
                </c:pt>
                <c:pt idx="136">
                  <c:v>6.17531645569621</c:v>
                </c:pt>
                <c:pt idx="137">
                  <c:v>5.89462025316456</c:v>
                </c:pt>
                <c:pt idx="138">
                  <c:v>5.61392405063291</c:v>
                </c:pt>
                <c:pt idx="139">
                  <c:v>5.33322784810127</c:v>
                </c:pt>
                <c:pt idx="140">
                  <c:v>5.05253164556962</c:v>
                </c:pt>
                <c:pt idx="141">
                  <c:v>4.77183544303797</c:v>
                </c:pt>
                <c:pt idx="142">
                  <c:v>4.49113924050633</c:v>
                </c:pt>
                <c:pt idx="143">
                  <c:v>4.21044303797468</c:v>
                </c:pt>
                <c:pt idx="144">
                  <c:v>3.92974683544303</c:v>
                </c:pt>
                <c:pt idx="145">
                  <c:v>3.6490506329114</c:v>
                </c:pt>
                <c:pt idx="146">
                  <c:v>3.36835443037975</c:v>
                </c:pt>
                <c:pt idx="147">
                  <c:v>3.0876582278481</c:v>
                </c:pt>
                <c:pt idx="148">
                  <c:v>2.80696202531646</c:v>
                </c:pt>
                <c:pt idx="149">
                  <c:v>2.52626582278481</c:v>
                </c:pt>
                <c:pt idx="150">
                  <c:v>2.24556962025316</c:v>
                </c:pt>
                <c:pt idx="151">
                  <c:v>1.96487341772152</c:v>
                </c:pt>
                <c:pt idx="152">
                  <c:v>1.68417721518988</c:v>
                </c:pt>
                <c:pt idx="153">
                  <c:v>1.40348101265823</c:v>
                </c:pt>
                <c:pt idx="154">
                  <c:v>1.12278481012658</c:v>
                </c:pt>
                <c:pt idx="155">
                  <c:v>0.842088607594938</c:v>
                </c:pt>
                <c:pt idx="156">
                  <c:v>0.561392405063288</c:v>
                </c:pt>
                <c:pt idx="157">
                  <c:v>0.280696202531651</c:v>
                </c:pt>
                <c:pt idx="158">
                  <c:v>0</c:v>
                </c:pt>
                <c:pt idx="159">
                  <c:v>-0.280696202531651</c:v>
                </c:pt>
              </c:numCache>
            </c:numRef>
          </c:val>
          <c:smooth val="0"/>
        </c:ser>
        <c:hiLowLines>
          <c:spPr>
            <a:ln w="0">
              <a:noFill/>
            </a:ln>
          </c:spPr>
        </c:hiLowLines>
        <c:marker val="0"/>
        <c:axId val="58116594"/>
        <c:axId val="60490519"/>
      </c:lineChart>
      <c:dateAx>
        <c:axId val="879813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9130"/>
        <c:auto val="1"/>
        <c:lblOffset val="100"/>
        <c:baseTimeUnit val="days"/>
      </c:dateAx>
      <c:valAx>
        <c:axId val="12191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81312"/>
        <c:crosses val="autoZero"/>
        <c:crossBetween val="between"/>
      </c:valAx>
      <c:dateAx>
        <c:axId val="581165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490519"/>
        <c:auto val="1"/>
        <c:lblOffset val="100"/>
        <c:baseTimeUnit val="days"/>
      </c:dateAx>
      <c:valAx>
        <c:axId val="604905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165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numCache>
            </c:numRef>
          </c:val>
        </c:ser>
        <c:gapWidth val="150"/>
        <c:overlap val="0"/>
        <c:axId val="16661320"/>
        <c:axId val="1808935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69.11</c:v>
                </c:pt>
                <c:pt idx="1">
                  <c:v>68.6725949367089</c:v>
                </c:pt>
                <c:pt idx="2">
                  <c:v>68.2351898734177</c:v>
                </c:pt>
                <c:pt idx="3">
                  <c:v>67.7977848101266</c:v>
                </c:pt>
                <c:pt idx="4">
                  <c:v>67.3603797468355</c:v>
                </c:pt>
                <c:pt idx="5">
                  <c:v>66.9229746835443</c:v>
                </c:pt>
                <c:pt idx="6">
                  <c:v>66.4855696202532</c:v>
                </c:pt>
                <c:pt idx="7">
                  <c:v>66.048164556962</c:v>
                </c:pt>
                <c:pt idx="8">
                  <c:v>65.6107594936709</c:v>
                </c:pt>
                <c:pt idx="9">
                  <c:v>65.1733544303798</c:v>
                </c:pt>
                <c:pt idx="10">
                  <c:v>64.7359493670886</c:v>
                </c:pt>
                <c:pt idx="11">
                  <c:v>64.2985443037975</c:v>
                </c:pt>
                <c:pt idx="12">
                  <c:v>63.8611392405063</c:v>
                </c:pt>
                <c:pt idx="13">
                  <c:v>63.4237341772152</c:v>
                </c:pt>
                <c:pt idx="14">
                  <c:v>62.9863291139241</c:v>
                </c:pt>
                <c:pt idx="15">
                  <c:v>62.5489240506329</c:v>
                </c:pt>
                <c:pt idx="16">
                  <c:v>62.1115189873418</c:v>
                </c:pt>
                <c:pt idx="17">
                  <c:v>61.6741139240506</c:v>
                </c:pt>
                <c:pt idx="18">
                  <c:v>61.2367088607595</c:v>
                </c:pt>
                <c:pt idx="19">
                  <c:v>60.7993037974684</c:v>
                </c:pt>
                <c:pt idx="20">
                  <c:v>60.3618987341772</c:v>
                </c:pt>
                <c:pt idx="21">
                  <c:v>59.9244936708861</c:v>
                </c:pt>
                <c:pt idx="22">
                  <c:v>59.4870886075949</c:v>
                </c:pt>
                <c:pt idx="23">
                  <c:v>59.0496835443038</c:v>
                </c:pt>
                <c:pt idx="24">
                  <c:v>58.6122784810127</c:v>
                </c:pt>
                <c:pt idx="25">
                  <c:v>58.1748734177215</c:v>
                </c:pt>
                <c:pt idx="26">
                  <c:v>57.7374683544304</c:v>
                </c:pt>
                <c:pt idx="27">
                  <c:v>57.3000632911392</c:v>
                </c:pt>
                <c:pt idx="28">
                  <c:v>56.8626582278481</c:v>
                </c:pt>
                <c:pt idx="29">
                  <c:v>56.425253164557</c:v>
                </c:pt>
                <c:pt idx="30">
                  <c:v>55.9878481012658</c:v>
                </c:pt>
                <c:pt idx="31">
                  <c:v>55.5504430379747</c:v>
                </c:pt>
                <c:pt idx="32">
                  <c:v>55.1130379746835</c:v>
                </c:pt>
                <c:pt idx="33">
                  <c:v>54.6756329113924</c:v>
                </c:pt>
                <c:pt idx="34">
                  <c:v>54.2382278481013</c:v>
                </c:pt>
                <c:pt idx="35">
                  <c:v>53.8008227848101</c:v>
                </c:pt>
                <c:pt idx="36">
                  <c:v>53.363417721519</c:v>
                </c:pt>
                <c:pt idx="37">
                  <c:v>52.9260126582279</c:v>
                </c:pt>
                <c:pt idx="38">
                  <c:v>52.4886075949367</c:v>
                </c:pt>
                <c:pt idx="39">
                  <c:v>52.0512025316456</c:v>
                </c:pt>
                <c:pt idx="40">
                  <c:v>51.6137974683544</c:v>
                </c:pt>
                <c:pt idx="41">
                  <c:v>51.1763924050633</c:v>
                </c:pt>
                <c:pt idx="42">
                  <c:v>50.7389873417722</c:v>
                </c:pt>
                <c:pt idx="43">
                  <c:v>50.301582278481</c:v>
                </c:pt>
                <c:pt idx="44">
                  <c:v>49.8641772151899</c:v>
                </c:pt>
                <c:pt idx="45">
                  <c:v>49.4267721518987</c:v>
                </c:pt>
                <c:pt idx="46">
                  <c:v>48.9893670886076</c:v>
                </c:pt>
                <c:pt idx="47">
                  <c:v>48.5519620253165</c:v>
                </c:pt>
                <c:pt idx="48">
                  <c:v>48.1145569620253</c:v>
                </c:pt>
                <c:pt idx="49">
                  <c:v>47.6771518987342</c:v>
                </c:pt>
                <c:pt idx="50">
                  <c:v>47.239746835443</c:v>
                </c:pt>
                <c:pt idx="51">
                  <c:v>46.8023417721519</c:v>
                </c:pt>
                <c:pt idx="52">
                  <c:v>46.3649367088608</c:v>
                </c:pt>
                <c:pt idx="53">
                  <c:v>45.9275316455696</c:v>
                </c:pt>
                <c:pt idx="54">
                  <c:v>45.4901265822785</c:v>
                </c:pt>
                <c:pt idx="55">
                  <c:v>45.0527215189873</c:v>
                </c:pt>
                <c:pt idx="56">
                  <c:v>44.6153164556962</c:v>
                </c:pt>
                <c:pt idx="57">
                  <c:v>44.1779113924051</c:v>
                </c:pt>
                <c:pt idx="58">
                  <c:v>43.7405063291139</c:v>
                </c:pt>
                <c:pt idx="59">
                  <c:v>43.3031012658228</c:v>
                </c:pt>
                <c:pt idx="60">
                  <c:v>42.8656962025316</c:v>
                </c:pt>
                <c:pt idx="61">
                  <c:v>42.4282911392405</c:v>
                </c:pt>
                <c:pt idx="62">
                  <c:v>41.9908860759494</c:v>
                </c:pt>
                <c:pt idx="63">
                  <c:v>41.5534810126582</c:v>
                </c:pt>
                <c:pt idx="64">
                  <c:v>41.1160759493671</c:v>
                </c:pt>
                <c:pt idx="65">
                  <c:v>40.678670886076</c:v>
                </c:pt>
                <c:pt idx="66">
                  <c:v>40.2412658227848</c:v>
                </c:pt>
                <c:pt idx="67">
                  <c:v>39.8038607594937</c:v>
                </c:pt>
                <c:pt idx="68">
                  <c:v>39.3664556962025</c:v>
                </c:pt>
                <c:pt idx="69">
                  <c:v>38.9290506329114</c:v>
                </c:pt>
                <c:pt idx="70">
                  <c:v>38.4916455696203</c:v>
                </c:pt>
                <c:pt idx="71">
                  <c:v>38.0542405063291</c:v>
                </c:pt>
                <c:pt idx="72">
                  <c:v>37.616835443038</c:v>
                </c:pt>
                <c:pt idx="73">
                  <c:v>37.1794303797468</c:v>
                </c:pt>
                <c:pt idx="74">
                  <c:v>36.7420253164557</c:v>
                </c:pt>
                <c:pt idx="75">
                  <c:v>36.3046202531646</c:v>
                </c:pt>
                <c:pt idx="76">
                  <c:v>35.8672151898734</c:v>
                </c:pt>
                <c:pt idx="77">
                  <c:v>35.4298101265823</c:v>
                </c:pt>
                <c:pt idx="78">
                  <c:v>34.9924050632911</c:v>
                </c:pt>
                <c:pt idx="79">
                  <c:v>34.555</c:v>
                </c:pt>
                <c:pt idx="80">
                  <c:v>34.1175949367089</c:v>
                </c:pt>
                <c:pt idx="81">
                  <c:v>33.6801898734177</c:v>
                </c:pt>
                <c:pt idx="82">
                  <c:v>33.2427848101266</c:v>
                </c:pt>
                <c:pt idx="83">
                  <c:v>32.8053797468354</c:v>
                </c:pt>
                <c:pt idx="84">
                  <c:v>32.3679746835443</c:v>
                </c:pt>
                <c:pt idx="85">
                  <c:v>31.9305696202532</c:v>
                </c:pt>
                <c:pt idx="86">
                  <c:v>31.493164556962</c:v>
                </c:pt>
                <c:pt idx="87">
                  <c:v>31.0557594936709</c:v>
                </c:pt>
                <c:pt idx="88">
                  <c:v>30.6183544303797</c:v>
                </c:pt>
                <c:pt idx="89">
                  <c:v>30.1809493670886</c:v>
                </c:pt>
                <c:pt idx="90">
                  <c:v>29.7435443037975</c:v>
                </c:pt>
                <c:pt idx="91">
                  <c:v>29.3061392405063</c:v>
                </c:pt>
                <c:pt idx="92">
                  <c:v>28.8687341772152</c:v>
                </c:pt>
                <c:pt idx="93">
                  <c:v>28.4313291139241</c:v>
                </c:pt>
                <c:pt idx="94">
                  <c:v>27.9939240506329</c:v>
                </c:pt>
                <c:pt idx="95">
                  <c:v>27.5565189873418</c:v>
                </c:pt>
                <c:pt idx="96">
                  <c:v>27.1191139240506</c:v>
                </c:pt>
                <c:pt idx="97">
                  <c:v>26.6817088607595</c:v>
                </c:pt>
                <c:pt idx="98">
                  <c:v>26.2443037974684</c:v>
                </c:pt>
                <c:pt idx="99">
                  <c:v>25.8068987341772</c:v>
                </c:pt>
                <c:pt idx="100">
                  <c:v>25.3694936708861</c:v>
                </c:pt>
                <c:pt idx="101">
                  <c:v>24.9320886075949</c:v>
                </c:pt>
                <c:pt idx="102">
                  <c:v>24.4946835443038</c:v>
                </c:pt>
                <c:pt idx="103">
                  <c:v>24.0572784810127</c:v>
                </c:pt>
                <c:pt idx="104">
                  <c:v>23.6198734177215</c:v>
                </c:pt>
                <c:pt idx="105">
                  <c:v>23.1824683544304</c:v>
                </c:pt>
                <c:pt idx="106">
                  <c:v>22.7450632911392</c:v>
                </c:pt>
                <c:pt idx="107">
                  <c:v>22.3076582278481</c:v>
                </c:pt>
                <c:pt idx="108">
                  <c:v>21.870253164557</c:v>
                </c:pt>
                <c:pt idx="109">
                  <c:v>21.4328481012658</c:v>
                </c:pt>
                <c:pt idx="110">
                  <c:v>20.9954430379747</c:v>
                </c:pt>
                <c:pt idx="111">
                  <c:v>20.5580379746835</c:v>
                </c:pt>
                <c:pt idx="112">
                  <c:v>20.1206329113924</c:v>
                </c:pt>
                <c:pt idx="113">
                  <c:v>19.6832278481013</c:v>
                </c:pt>
                <c:pt idx="114">
                  <c:v>19.2458227848101</c:v>
                </c:pt>
                <c:pt idx="115">
                  <c:v>18.808417721519</c:v>
                </c:pt>
                <c:pt idx="116">
                  <c:v>18.3710126582278</c:v>
                </c:pt>
                <c:pt idx="117">
                  <c:v>17.9336075949367</c:v>
                </c:pt>
                <c:pt idx="118">
                  <c:v>17.4962025316456</c:v>
                </c:pt>
                <c:pt idx="119">
                  <c:v>17.0587974683544</c:v>
                </c:pt>
                <c:pt idx="120">
                  <c:v>16.6213924050633</c:v>
                </c:pt>
                <c:pt idx="121">
                  <c:v>16.1839873417722</c:v>
                </c:pt>
                <c:pt idx="122">
                  <c:v>15.746582278481</c:v>
                </c:pt>
                <c:pt idx="123">
                  <c:v>15.3091772151899</c:v>
                </c:pt>
                <c:pt idx="124">
                  <c:v>14.8717721518987</c:v>
                </c:pt>
                <c:pt idx="125">
                  <c:v>14.4343670886076</c:v>
                </c:pt>
                <c:pt idx="126">
                  <c:v>13.9969620253165</c:v>
                </c:pt>
                <c:pt idx="127">
                  <c:v>13.5595569620253</c:v>
                </c:pt>
                <c:pt idx="128">
                  <c:v>13.1221518987342</c:v>
                </c:pt>
                <c:pt idx="129">
                  <c:v>12.684746835443</c:v>
                </c:pt>
                <c:pt idx="130">
                  <c:v>12.2473417721519</c:v>
                </c:pt>
                <c:pt idx="131">
                  <c:v>11.8099367088608</c:v>
                </c:pt>
                <c:pt idx="132">
                  <c:v>11.3725316455696</c:v>
                </c:pt>
                <c:pt idx="133">
                  <c:v>10.9351265822785</c:v>
                </c:pt>
                <c:pt idx="134">
                  <c:v>10.4977215189873</c:v>
                </c:pt>
                <c:pt idx="135">
                  <c:v>10.0603164556962</c:v>
                </c:pt>
                <c:pt idx="136">
                  <c:v>9.62291139240507</c:v>
                </c:pt>
                <c:pt idx="137">
                  <c:v>9.18550632911393</c:v>
                </c:pt>
                <c:pt idx="138">
                  <c:v>8.74810126582278</c:v>
                </c:pt>
                <c:pt idx="139">
                  <c:v>8.31069620253165</c:v>
                </c:pt>
                <c:pt idx="140">
                  <c:v>7.87329113924051</c:v>
                </c:pt>
                <c:pt idx="141">
                  <c:v>7.43588607594936</c:v>
                </c:pt>
                <c:pt idx="142">
                  <c:v>6.99848101265823</c:v>
                </c:pt>
                <c:pt idx="143">
                  <c:v>6.56107594936709</c:v>
                </c:pt>
                <c:pt idx="144">
                  <c:v>6.12367088607595</c:v>
                </c:pt>
                <c:pt idx="145">
                  <c:v>5.6862658227848</c:v>
                </c:pt>
                <c:pt idx="146">
                  <c:v>5.24886075949367</c:v>
                </c:pt>
                <c:pt idx="147">
                  <c:v>4.81145569620253</c:v>
                </c:pt>
                <c:pt idx="148">
                  <c:v>4.37405063291139</c:v>
                </c:pt>
                <c:pt idx="149">
                  <c:v>3.93664556962025</c:v>
                </c:pt>
                <c:pt idx="150">
                  <c:v>3.49924050632912</c:v>
                </c:pt>
                <c:pt idx="151">
                  <c:v>3.06183544303796</c:v>
                </c:pt>
                <c:pt idx="152">
                  <c:v>2.62443037974684</c:v>
                </c:pt>
                <c:pt idx="153">
                  <c:v>2.1870253164557</c:v>
                </c:pt>
                <c:pt idx="154">
                  <c:v>1.74962025316455</c:v>
                </c:pt>
                <c:pt idx="155">
                  <c:v>1.31221518987343</c:v>
                </c:pt>
                <c:pt idx="156">
                  <c:v>0.874810126582275</c:v>
                </c:pt>
                <c:pt idx="157">
                  <c:v>0.437405063291138</c:v>
                </c:pt>
                <c:pt idx="158">
                  <c:v>0</c:v>
                </c:pt>
                <c:pt idx="159">
                  <c:v>-0.437405063291138</c:v>
                </c:pt>
              </c:numCache>
            </c:numRef>
          </c:val>
          <c:smooth val="0"/>
        </c:ser>
        <c:hiLowLines>
          <c:spPr>
            <a:ln w="0">
              <a:noFill/>
            </a:ln>
          </c:spPr>
        </c:hiLowLines>
        <c:marker val="0"/>
        <c:axId val="97147051"/>
        <c:axId val="24093991"/>
      </c:lineChart>
      <c:dateAx>
        <c:axId val="166613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89351"/>
        <c:auto val="1"/>
        <c:lblOffset val="100"/>
        <c:baseTimeUnit val="days"/>
      </c:dateAx>
      <c:valAx>
        <c:axId val="180893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661320"/>
        <c:crosses val="autoZero"/>
        <c:crossBetween val="between"/>
      </c:valAx>
      <c:dateAx>
        <c:axId val="971470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93991"/>
        <c:auto val="1"/>
        <c:lblOffset val="100"/>
        <c:baseTimeUnit val="days"/>
      </c:dateAx>
      <c:valAx>
        <c:axId val="240939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470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numCache>
            </c:numRef>
          </c:val>
        </c:ser>
        <c:gapWidth val="150"/>
        <c:overlap val="0"/>
        <c:axId val="12535461"/>
        <c:axId val="1516108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43.77</c:v>
                </c:pt>
                <c:pt idx="1">
                  <c:v>43.4929746835443</c:v>
                </c:pt>
                <c:pt idx="2">
                  <c:v>43.2159493670886</c:v>
                </c:pt>
                <c:pt idx="3">
                  <c:v>42.9389240506329</c:v>
                </c:pt>
                <c:pt idx="4">
                  <c:v>42.6618987341772</c:v>
                </c:pt>
                <c:pt idx="5">
                  <c:v>42.3848734177215</c:v>
                </c:pt>
                <c:pt idx="6">
                  <c:v>42.1078481012658</c:v>
                </c:pt>
                <c:pt idx="7">
                  <c:v>41.8308227848101</c:v>
                </c:pt>
                <c:pt idx="8">
                  <c:v>41.5537974683544</c:v>
                </c:pt>
                <c:pt idx="9">
                  <c:v>41.2767721518987</c:v>
                </c:pt>
                <c:pt idx="10">
                  <c:v>40.999746835443</c:v>
                </c:pt>
                <c:pt idx="11">
                  <c:v>40.7227215189873</c:v>
                </c:pt>
                <c:pt idx="12">
                  <c:v>40.4456962025317</c:v>
                </c:pt>
                <c:pt idx="13">
                  <c:v>40.168670886076</c:v>
                </c:pt>
                <c:pt idx="14">
                  <c:v>39.8916455696203</c:v>
                </c:pt>
                <c:pt idx="15">
                  <c:v>39.6146202531646</c:v>
                </c:pt>
                <c:pt idx="16">
                  <c:v>39.3375949367089</c:v>
                </c:pt>
                <c:pt idx="17">
                  <c:v>39.0605696202532</c:v>
                </c:pt>
                <c:pt idx="18">
                  <c:v>38.7835443037975</c:v>
                </c:pt>
                <c:pt idx="19">
                  <c:v>38.5065189873418</c:v>
                </c:pt>
                <c:pt idx="20">
                  <c:v>38.2294936708861</c:v>
                </c:pt>
                <c:pt idx="21">
                  <c:v>37.9524683544304</c:v>
                </c:pt>
                <c:pt idx="22">
                  <c:v>37.6754430379747</c:v>
                </c:pt>
                <c:pt idx="23">
                  <c:v>37.398417721519</c:v>
                </c:pt>
                <c:pt idx="24">
                  <c:v>37.1213924050633</c:v>
                </c:pt>
                <c:pt idx="25">
                  <c:v>36.8443670886076</c:v>
                </c:pt>
                <c:pt idx="26">
                  <c:v>36.5673417721519</c:v>
                </c:pt>
                <c:pt idx="27">
                  <c:v>36.2903164556962</c:v>
                </c:pt>
                <c:pt idx="28">
                  <c:v>36.0132911392405</c:v>
                </c:pt>
                <c:pt idx="29">
                  <c:v>35.7362658227848</c:v>
                </c:pt>
                <c:pt idx="30">
                  <c:v>35.4592405063291</c:v>
                </c:pt>
                <c:pt idx="31">
                  <c:v>35.1822151898734</c:v>
                </c:pt>
                <c:pt idx="32">
                  <c:v>34.9051898734177</c:v>
                </c:pt>
                <c:pt idx="33">
                  <c:v>34.628164556962</c:v>
                </c:pt>
                <c:pt idx="34">
                  <c:v>34.3511392405063</c:v>
                </c:pt>
                <c:pt idx="35">
                  <c:v>34.0741139240506</c:v>
                </c:pt>
                <c:pt idx="36">
                  <c:v>33.7970886075949</c:v>
                </c:pt>
                <c:pt idx="37">
                  <c:v>33.5200632911392</c:v>
                </c:pt>
                <c:pt idx="38">
                  <c:v>33.2430379746835</c:v>
                </c:pt>
                <c:pt idx="39">
                  <c:v>32.9660126582279</c:v>
                </c:pt>
                <c:pt idx="40">
                  <c:v>32.6889873417722</c:v>
                </c:pt>
                <c:pt idx="41">
                  <c:v>32.4119620253165</c:v>
                </c:pt>
                <c:pt idx="42">
                  <c:v>32.1349367088608</c:v>
                </c:pt>
                <c:pt idx="43">
                  <c:v>31.8579113924051</c:v>
                </c:pt>
                <c:pt idx="44">
                  <c:v>31.5808860759494</c:v>
                </c:pt>
                <c:pt idx="45">
                  <c:v>31.3038607594937</c:v>
                </c:pt>
                <c:pt idx="46">
                  <c:v>31.026835443038</c:v>
                </c:pt>
                <c:pt idx="47">
                  <c:v>30.7498101265823</c:v>
                </c:pt>
                <c:pt idx="48">
                  <c:v>30.4727848101266</c:v>
                </c:pt>
                <c:pt idx="49">
                  <c:v>30.1957594936709</c:v>
                </c:pt>
                <c:pt idx="50">
                  <c:v>29.9187341772152</c:v>
                </c:pt>
                <c:pt idx="51">
                  <c:v>29.6417088607595</c:v>
                </c:pt>
                <c:pt idx="52">
                  <c:v>29.3646835443038</c:v>
                </c:pt>
                <c:pt idx="53">
                  <c:v>29.0876582278481</c:v>
                </c:pt>
                <c:pt idx="54">
                  <c:v>28.8106329113924</c:v>
                </c:pt>
                <c:pt idx="55">
                  <c:v>28.5336075949367</c:v>
                </c:pt>
                <c:pt idx="56">
                  <c:v>28.256582278481</c:v>
                </c:pt>
                <c:pt idx="57">
                  <c:v>27.9795569620253</c:v>
                </c:pt>
                <c:pt idx="58">
                  <c:v>27.7025316455696</c:v>
                </c:pt>
                <c:pt idx="59">
                  <c:v>27.4255063291139</c:v>
                </c:pt>
                <c:pt idx="60">
                  <c:v>27.1484810126582</c:v>
                </c:pt>
                <c:pt idx="61">
                  <c:v>26.8714556962025</c:v>
                </c:pt>
                <c:pt idx="62">
                  <c:v>26.5944303797468</c:v>
                </c:pt>
                <c:pt idx="63">
                  <c:v>26.3174050632911</c:v>
                </c:pt>
                <c:pt idx="64">
                  <c:v>26.0403797468354</c:v>
                </c:pt>
                <c:pt idx="65">
                  <c:v>25.7633544303798</c:v>
                </c:pt>
                <c:pt idx="66">
                  <c:v>25.4863291139241</c:v>
                </c:pt>
                <c:pt idx="67">
                  <c:v>25.2093037974684</c:v>
                </c:pt>
                <c:pt idx="68">
                  <c:v>24.9322784810127</c:v>
                </c:pt>
                <c:pt idx="69">
                  <c:v>24.655253164557</c:v>
                </c:pt>
                <c:pt idx="70">
                  <c:v>24.3782278481013</c:v>
                </c:pt>
                <c:pt idx="71">
                  <c:v>24.1012025316456</c:v>
                </c:pt>
                <c:pt idx="72">
                  <c:v>23.8241772151899</c:v>
                </c:pt>
                <c:pt idx="73">
                  <c:v>23.5471518987342</c:v>
                </c:pt>
                <c:pt idx="74">
                  <c:v>23.2701265822785</c:v>
                </c:pt>
                <c:pt idx="75">
                  <c:v>22.9931012658228</c:v>
                </c:pt>
                <c:pt idx="76">
                  <c:v>22.7160759493671</c:v>
                </c:pt>
                <c:pt idx="77">
                  <c:v>22.4390506329114</c:v>
                </c:pt>
                <c:pt idx="78">
                  <c:v>22.1620253164557</c:v>
                </c:pt>
                <c:pt idx="79">
                  <c:v>21.885</c:v>
                </c:pt>
                <c:pt idx="80">
                  <c:v>21.6079746835443</c:v>
                </c:pt>
                <c:pt idx="81">
                  <c:v>21.3309493670886</c:v>
                </c:pt>
                <c:pt idx="82">
                  <c:v>21.0539240506329</c:v>
                </c:pt>
                <c:pt idx="83">
                  <c:v>20.7768987341772</c:v>
                </c:pt>
                <c:pt idx="84">
                  <c:v>20.4998734177215</c:v>
                </c:pt>
                <c:pt idx="85">
                  <c:v>20.2228481012658</c:v>
                </c:pt>
                <c:pt idx="86">
                  <c:v>19.9458227848101</c:v>
                </c:pt>
                <c:pt idx="87">
                  <c:v>19.6687974683544</c:v>
                </c:pt>
                <c:pt idx="88">
                  <c:v>19.3917721518987</c:v>
                </c:pt>
                <c:pt idx="89">
                  <c:v>19.114746835443</c:v>
                </c:pt>
                <c:pt idx="90">
                  <c:v>18.8377215189873</c:v>
                </c:pt>
                <c:pt idx="91">
                  <c:v>18.5606962025317</c:v>
                </c:pt>
                <c:pt idx="92">
                  <c:v>18.283670886076</c:v>
                </c:pt>
                <c:pt idx="93">
                  <c:v>18.0066455696203</c:v>
                </c:pt>
                <c:pt idx="94">
                  <c:v>17.7296202531646</c:v>
                </c:pt>
                <c:pt idx="95">
                  <c:v>17.4525949367089</c:v>
                </c:pt>
                <c:pt idx="96">
                  <c:v>17.1755696202532</c:v>
                </c:pt>
                <c:pt idx="97">
                  <c:v>16.8985443037975</c:v>
                </c:pt>
                <c:pt idx="98">
                  <c:v>16.6215189873418</c:v>
                </c:pt>
                <c:pt idx="99">
                  <c:v>16.3444936708861</c:v>
                </c:pt>
                <c:pt idx="100">
                  <c:v>16.0674683544304</c:v>
                </c:pt>
                <c:pt idx="101">
                  <c:v>15.7904430379747</c:v>
                </c:pt>
                <c:pt idx="102">
                  <c:v>15.513417721519</c:v>
                </c:pt>
                <c:pt idx="103">
                  <c:v>15.2363924050633</c:v>
                </c:pt>
                <c:pt idx="104">
                  <c:v>14.9593670886076</c:v>
                </c:pt>
                <c:pt idx="105">
                  <c:v>14.6823417721519</c:v>
                </c:pt>
                <c:pt idx="106">
                  <c:v>14.4053164556962</c:v>
                </c:pt>
                <c:pt idx="107">
                  <c:v>14.1282911392405</c:v>
                </c:pt>
                <c:pt idx="108">
                  <c:v>13.8512658227848</c:v>
                </c:pt>
                <c:pt idx="109">
                  <c:v>13.5742405063291</c:v>
                </c:pt>
                <c:pt idx="110">
                  <c:v>13.2972151898734</c:v>
                </c:pt>
                <c:pt idx="111">
                  <c:v>13.0201898734177</c:v>
                </c:pt>
                <c:pt idx="112">
                  <c:v>12.743164556962</c:v>
                </c:pt>
                <c:pt idx="113">
                  <c:v>12.4661392405063</c:v>
                </c:pt>
                <c:pt idx="114">
                  <c:v>12.1891139240506</c:v>
                </c:pt>
                <c:pt idx="115">
                  <c:v>11.9120886075949</c:v>
                </c:pt>
                <c:pt idx="116">
                  <c:v>11.6350632911392</c:v>
                </c:pt>
                <c:pt idx="117">
                  <c:v>11.3580379746835</c:v>
                </c:pt>
                <c:pt idx="118">
                  <c:v>11.0810126582278</c:v>
                </c:pt>
                <c:pt idx="119">
                  <c:v>10.8039873417722</c:v>
                </c:pt>
                <c:pt idx="120">
                  <c:v>10.5269620253165</c:v>
                </c:pt>
                <c:pt idx="121">
                  <c:v>10.2499367088608</c:v>
                </c:pt>
                <c:pt idx="122">
                  <c:v>9.97291139240507</c:v>
                </c:pt>
                <c:pt idx="123">
                  <c:v>9.69588607594937</c:v>
                </c:pt>
                <c:pt idx="124">
                  <c:v>9.41886075949367</c:v>
                </c:pt>
                <c:pt idx="125">
                  <c:v>9.14183544303798</c:v>
                </c:pt>
                <c:pt idx="126">
                  <c:v>8.86481012658228</c:v>
                </c:pt>
                <c:pt idx="127">
                  <c:v>8.58778481012659</c:v>
                </c:pt>
                <c:pt idx="128">
                  <c:v>8.31075949367089</c:v>
                </c:pt>
                <c:pt idx="129">
                  <c:v>8.03373417721519</c:v>
                </c:pt>
                <c:pt idx="130">
                  <c:v>7.7567088607595</c:v>
                </c:pt>
                <c:pt idx="131">
                  <c:v>7.4796835443038</c:v>
                </c:pt>
                <c:pt idx="132">
                  <c:v>7.2026582278481</c:v>
                </c:pt>
                <c:pt idx="133">
                  <c:v>6.92563291139241</c:v>
                </c:pt>
                <c:pt idx="134">
                  <c:v>6.64860759493671</c:v>
                </c:pt>
                <c:pt idx="135">
                  <c:v>6.37158227848101</c:v>
                </c:pt>
                <c:pt idx="136">
                  <c:v>6.09455696202532</c:v>
                </c:pt>
                <c:pt idx="137">
                  <c:v>5.81753164556962</c:v>
                </c:pt>
                <c:pt idx="138">
                  <c:v>5.54050632911392</c:v>
                </c:pt>
                <c:pt idx="139">
                  <c:v>5.26348101265823</c:v>
                </c:pt>
                <c:pt idx="140">
                  <c:v>4.98645569620253</c:v>
                </c:pt>
                <c:pt idx="141">
                  <c:v>4.70943037974683</c:v>
                </c:pt>
                <c:pt idx="142">
                  <c:v>4.43240506329114</c:v>
                </c:pt>
                <c:pt idx="143">
                  <c:v>4.15537974683544</c:v>
                </c:pt>
                <c:pt idx="144">
                  <c:v>3.87835443037975</c:v>
                </c:pt>
                <c:pt idx="145">
                  <c:v>3.60132911392405</c:v>
                </c:pt>
                <c:pt idx="146">
                  <c:v>3.32430379746836</c:v>
                </c:pt>
                <c:pt idx="147">
                  <c:v>3.04727848101266</c:v>
                </c:pt>
                <c:pt idx="148">
                  <c:v>2.77025316455696</c:v>
                </c:pt>
                <c:pt idx="149">
                  <c:v>2.49322784810126</c:v>
                </c:pt>
                <c:pt idx="150">
                  <c:v>2.21620253164556</c:v>
                </c:pt>
                <c:pt idx="151">
                  <c:v>1.93917721518987</c:v>
                </c:pt>
                <c:pt idx="152">
                  <c:v>1.66215189873417</c:v>
                </c:pt>
                <c:pt idx="153">
                  <c:v>1.38512658227848</c:v>
                </c:pt>
                <c:pt idx="154">
                  <c:v>1.10810126582278</c:v>
                </c:pt>
                <c:pt idx="155">
                  <c:v>0.83107594936709</c:v>
                </c:pt>
                <c:pt idx="156">
                  <c:v>0.554050632911391</c:v>
                </c:pt>
                <c:pt idx="157">
                  <c:v>0.277025316455699</c:v>
                </c:pt>
                <c:pt idx="158">
                  <c:v>0</c:v>
                </c:pt>
                <c:pt idx="159">
                  <c:v>-0.277025316455692</c:v>
                </c:pt>
              </c:numCache>
            </c:numRef>
          </c:val>
          <c:smooth val="0"/>
        </c:ser>
        <c:hiLowLines>
          <c:spPr>
            <a:ln w="0">
              <a:noFill/>
            </a:ln>
          </c:spPr>
        </c:hiLowLines>
        <c:marker val="0"/>
        <c:axId val="91141392"/>
        <c:axId val="89950504"/>
      </c:lineChart>
      <c:dateAx>
        <c:axId val="125354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61084"/>
        <c:auto val="1"/>
        <c:lblOffset val="100"/>
        <c:baseTimeUnit val="days"/>
      </c:dateAx>
      <c:valAx>
        <c:axId val="151610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535461"/>
        <c:crosses val="autoZero"/>
        <c:crossBetween val="between"/>
      </c:valAx>
      <c:dateAx>
        <c:axId val="911413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950504"/>
        <c:auto val="1"/>
        <c:lblOffset val="100"/>
        <c:baseTimeUnit val="days"/>
      </c:dateAx>
      <c:valAx>
        <c:axId val="899505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413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numCache>
            </c:numRef>
          </c:val>
        </c:ser>
        <c:gapWidth val="150"/>
        <c:overlap val="0"/>
        <c:axId val="16214158"/>
        <c:axId val="7283221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111.84</c:v>
                </c:pt>
                <c:pt idx="1">
                  <c:v>111.132151898734</c:v>
                </c:pt>
                <c:pt idx="2">
                  <c:v>110.424303797468</c:v>
                </c:pt>
                <c:pt idx="3">
                  <c:v>109.716455696203</c:v>
                </c:pt>
                <c:pt idx="4">
                  <c:v>109.008607594937</c:v>
                </c:pt>
                <c:pt idx="5">
                  <c:v>108.300759493671</c:v>
                </c:pt>
                <c:pt idx="6">
                  <c:v>107.592911392405</c:v>
                </c:pt>
                <c:pt idx="7">
                  <c:v>106.885063291139</c:v>
                </c:pt>
                <c:pt idx="8">
                  <c:v>106.177215189873</c:v>
                </c:pt>
                <c:pt idx="9">
                  <c:v>105.469367088608</c:v>
                </c:pt>
                <c:pt idx="10">
                  <c:v>104.761518987342</c:v>
                </c:pt>
                <c:pt idx="11">
                  <c:v>104.053670886076</c:v>
                </c:pt>
                <c:pt idx="12">
                  <c:v>103.34582278481</c:v>
                </c:pt>
                <c:pt idx="13">
                  <c:v>102.637974683544</c:v>
                </c:pt>
                <c:pt idx="14">
                  <c:v>101.930126582278</c:v>
                </c:pt>
                <c:pt idx="15">
                  <c:v>101.222278481013</c:v>
                </c:pt>
                <c:pt idx="16">
                  <c:v>100.514430379747</c:v>
                </c:pt>
                <c:pt idx="17">
                  <c:v>99.806582278481</c:v>
                </c:pt>
                <c:pt idx="18">
                  <c:v>99.0987341772152</c:v>
                </c:pt>
                <c:pt idx="19">
                  <c:v>98.3908860759494</c:v>
                </c:pt>
                <c:pt idx="20">
                  <c:v>97.6830379746835</c:v>
                </c:pt>
                <c:pt idx="21">
                  <c:v>96.9751898734177</c:v>
                </c:pt>
                <c:pt idx="22">
                  <c:v>96.2673417721519</c:v>
                </c:pt>
                <c:pt idx="23">
                  <c:v>95.5594936708861</c:v>
                </c:pt>
                <c:pt idx="24">
                  <c:v>94.8516455696203</c:v>
                </c:pt>
                <c:pt idx="25">
                  <c:v>94.1437974683544</c:v>
                </c:pt>
                <c:pt idx="26">
                  <c:v>93.4359493670886</c:v>
                </c:pt>
                <c:pt idx="27">
                  <c:v>92.7281012658228</c:v>
                </c:pt>
                <c:pt idx="28">
                  <c:v>92.020253164557</c:v>
                </c:pt>
                <c:pt idx="29">
                  <c:v>91.3124050632911</c:v>
                </c:pt>
                <c:pt idx="30">
                  <c:v>90.6045569620253</c:v>
                </c:pt>
                <c:pt idx="31">
                  <c:v>89.8967088607595</c:v>
                </c:pt>
                <c:pt idx="32">
                  <c:v>89.1888607594937</c:v>
                </c:pt>
                <c:pt idx="33">
                  <c:v>88.4810126582279</c:v>
                </c:pt>
                <c:pt idx="34">
                  <c:v>87.773164556962</c:v>
                </c:pt>
                <c:pt idx="35">
                  <c:v>87.0653164556962</c:v>
                </c:pt>
                <c:pt idx="36">
                  <c:v>86.3574683544304</c:v>
                </c:pt>
                <c:pt idx="37">
                  <c:v>85.6496202531646</c:v>
                </c:pt>
                <c:pt idx="38">
                  <c:v>84.9417721518987</c:v>
                </c:pt>
                <c:pt idx="39">
                  <c:v>84.2339240506329</c:v>
                </c:pt>
                <c:pt idx="40">
                  <c:v>83.5260759493671</c:v>
                </c:pt>
                <c:pt idx="41">
                  <c:v>82.8182278481013</c:v>
                </c:pt>
                <c:pt idx="42">
                  <c:v>82.1103797468355</c:v>
                </c:pt>
                <c:pt idx="43">
                  <c:v>81.4025316455696</c:v>
                </c:pt>
                <c:pt idx="44">
                  <c:v>80.6946835443038</c:v>
                </c:pt>
                <c:pt idx="45">
                  <c:v>79.986835443038</c:v>
                </c:pt>
                <c:pt idx="46">
                  <c:v>79.2789873417722</c:v>
                </c:pt>
                <c:pt idx="47">
                  <c:v>78.5711392405063</c:v>
                </c:pt>
                <c:pt idx="48">
                  <c:v>77.8632911392405</c:v>
                </c:pt>
                <c:pt idx="49">
                  <c:v>77.1554430379747</c:v>
                </c:pt>
                <c:pt idx="50">
                  <c:v>76.4475949367089</c:v>
                </c:pt>
                <c:pt idx="51">
                  <c:v>75.739746835443</c:v>
                </c:pt>
                <c:pt idx="52">
                  <c:v>75.0318987341772</c:v>
                </c:pt>
                <c:pt idx="53">
                  <c:v>74.3240506329114</c:v>
                </c:pt>
                <c:pt idx="54">
                  <c:v>73.6162025316456</c:v>
                </c:pt>
                <c:pt idx="55">
                  <c:v>72.9083544303798</c:v>
                </c:pt>
                <c:pt idx="56">
                  <c:v>72.2005063291139</c:v>
                </c:pt>
                <c:pt idx="57">
                  <c:v>71.4926582278481</c:v>
                </c:pt>
                <c:pt idx="58">
                  <c:v>70.7848101265823</c:v>
                </c:pt>
                <c:pt idx="59">
                  <c:v>70.0769620253165</c:v>
                </c:pt>
                <c:pt idx="60">
                  <c:v>69.3691139240506</c:v>
                </c:pt>
                <c:pt idx="61">
                  <c:v>68.6612658227848</c:v>
                </c:pt>
                <c:pt idx="62">
                  <c:v>67.953417721519</c:v>
                </c:pt>
                <c:pt idx="63">
                  <c:v>67.2455696202532</c:v>
                </c:pt>
                <c:pt idx="64">
                  <c:v>66.5377215189874</c:v>
                </c:pt>
                <c:pt idx="65">
                  <c:v>65.8298734177215</c:v>
                </c:pt>
                <c:pt idx="66">
                  <c:v>65.1220253164557</c:v>
                </c:pt>
                <c:pt idx="67">
                  <c:v>64.4141772151899</c:v>
                </c:pt>
                <c:pt idx="68">
                  <c:v>63.7063291139241</c:v>
                </c:pt>
                <c:pt idx="69">
                  <c:v>62.9984810126582</c:v>
                </c:pt>
                <c:pt idx="70">
                  <c:v>62.2906329113924</c:v>
                </c:pt>
                <c:pt idx="71">
                  <c:v>61.5827848101266</c:v>
                </c:pt>
                <c:pt idx="72">
                  <c:v>60.8749367088608</c:v>
                </c:pt>
                <c:pt idx="73">
                  <c:v>60.1670886075949</c:v>
                </c:pt>
                <c:pt idx="74">
                  <c:v>59.4592405063291</c:v>
                </c:pt>
                <c:pt idx="75">
                  <c:v>58.7513924050633</c:v>
                </c:pt>
                <c:pt idx="76">
                  <c:v>58.0435443037975</c:v>
                </c:pt>
                <c:pt idx="77">
                  <c:v>57.3356962025317</c:v>
                </c:pt>
                <c:pt idx="78">
                  <c:v>56.6278481012658</c:v>
                </c:pt>
                <c:pt idx="79">
                  <c:v>55.92</c:v>
                </c:pt>
                <c:pt idx="80">
                  <c:v>55.2121518987342</c:v>
                </c:pt>
                <c:pt idx="81">
                  <c:v>54.5043037974684</c:v>
                </c:pt>
                <c:pt idx="82">
                  <c:v>53.7964556962025</c:v>
                </c:pt>
                <c:pt idx="83">
                  <c:v>53.0886075949367</c:v>
                </c:pt>
                <c:pt idx="84">
                  <c:v>52.3807594936709</c:v>
                </c:pt>
                <c:pt idx="85">
                  <c:v>51.6729113924051</c:v>
                </c:pt>
                <c:pt idx="86">
                  <c:v>50.9650632911392</c:v>
                </c:pt>
                <c:pt idx="87">
                  <c:v>50.2572151898734</c:v>
                </c:pt>
                <c:pt idx="88">
                  <c:v>49.5493670886076</c:v>
                </c:pt>
                <c:pt idx="89">
                  <c:v>48.8415189873418</c:v>
                </c:pt>
                <c:pt idx="90">
                  <c:v>48.133670886076</c:v>
                </c:pt>
                <c:pt idx="91">
                  <c:v>47.4258227848101</c:v>
                </c:pt>
                <c:pt idx="92">
                  <c:v>46.7179746835443</c:v>
                </c:pt>
                <c:pt idx="93">
                  <c:v>46.0101265822785</c:v>
                </c:pt>
                <c:pt idx="94">
                  <c:v>45.3022784810127</c:v>
                </c:pt>
                <c:pt idx="95">
                  <c:v>44.5944303797468</c:v>
                </c:pt>
                <c:pt idx="96">
                  <c:v>43.886582278481</c:v>
                </c:pt>
                <c:pt idx="97">
                  <c:v>43.1787341772152</c:v>
                </c:pt>
                <c:pt idx="98">
                  <c:v>42.4708860759494</c:v>
                </c:pt>
                <c:pt idx="99">
                  <c:v>41.7630379746835</c:v>
                </c:pt>
                <c:pt idx="100">
                  <c:v>41.0551898734177</c:v>
                </c:pt>
                <c:pt idx="101">
                  <c:v>40.3473417721519</c:v>
                </c:pt>
                <c:pt idx="102">
                  <c:v>39.6394936708861</c:v>
                </c:pt>
                <c:pt idx="103">
                  <c:v>38.9316455696203</c:v>
                </c:pt>
                <c:pt idx="104">
                  <c:v>38.2237974683544</c:v>
                </c:pt>
                <c:pt idx="105">
                  <c:v>37.5159493670886</c:v>
                </c:pt>
                <c:pt idx="106">
                  <c:v>36.8081012658228</c:v>
                </c:pt>
                <c:pt idx="107">
                  <c:v>36.100253164557</c:v>
                </c:pt>
                <c:pt idx="108">
                  <c:v>35.3924050632911</c:v>
                </c:pt>
                <c:pt idx="109">
                  <c:v>34.6845569620253</c:v>
                </c:pt>
                <c:pt idx="110">
                  <c:v>33.9767088607595</c:v>
                </c:pt>
                <c:pt idx="111">
                  <c:v>33.2688607594937</c:v>
                </c:pt>
                <c:pt idx="112">
                  <c:v>32.5610126582279</c:v>
                </c:pt>
                <c:pt idx="113">
                  <c:v>31.853164556962</c:v>
                </c:pt>
                <c:pt idx="114">
                  <c:v>31.1453164556962</c:v>
                </c:pt>
                <c:pt idx="115">
                  <c:v>30.4374683544304</c:v>
                </c:pt>
                <c:pt idx="116">
                  <c:v>29.7296202531646</c:v>
                </c:pt>
                <c:pt idx="117">
                  <c:v>29.0217721518987</c:v>
                </c:pt>
                <c:pt idx="118">
                  <c:v>28.3139240506329</c:v>
                </c:pt>
                <c:pt idx="119">
                  <c:v>27.6060759493671</c:v>
                </c:pt>
                <c:pt idx="120">
                  <c:v>26.8982278481013</c:v>
                </c:pt>
                <c:pt idx="121">
                  <c:v>26.1903797468354</c:v>
                </c:pt>
                <c:pt idx="122">
                  <c:v>25.4825316455696</c:v>
                </c:pt>
                <c:pt idx="123">
                  <c:v>24.7746835443038</c:v>
                </c:pt>
                <c:pt idx="124">
                  <c:v>24.066835443038</c:v>
                </c:pt>
                <c:pt idx="125">
                  <c:v>23.3589873417722</c:v>
                </c:pt>
                <c:pt idx="126">
                  <c:v>22.6511392405063</c:v>
                </c:pt>
                <c:pt idx="127">
                  <c:v>21.9432911392405</c:v>
                </c:pt>
                <c:pt idx="128">
                  <c:v>21.2354430379747</c:v>
                </c:pt>
                <c:pt idx="129">
                  <c:v>20.5275949367089</c:v>
                </c:pt>
                <c:pt idx="130">
                  <c:v>19.819746835443</c:v>
                </c:pt>
                <c:pt idx="131">
                  <c:v>19.1118987341772</c:v>
                </c:pt>
                <c:pt idx="132">
                  <c:v>18.4040506329114</c:v>
                </c:pt>
                <c:pt idx="133">
                  <c:v>17.6962025316456</c:v>
                </c:pt>
                <c:pt idx="134">
                  <c:v>16.9883544303797</c:v>
                </c:pt>
                <c:pt idx="135">
                  <c:v>16.2805063291139</c:v>
                </c:pt>
                <c:pt idx="136">
                  <c:v>15.5726582278481</c:v>
                </c:pt>
                <c:pt idx="137">
                  <c:v>14.8648101265823</c:v>
                </c:pt>
                <c:pt idx="138">
                  <c:v>14.1569620253165</c:v>
                </c:pt>
                <c:pt idx="139">
                  <c:v>13.4491139240506</c:v>
                </c:pt>
                <c:pt idx="140">
                  <c:v>12.7412658227848</c:v>
                </c:pt>
                <c:pt idx="141">
                  <c:v>12.033417721519</c:v>
                </c:pt>
                <c:pt idx="142">
                  <c:v>11.3255696202532</c:v>
                </c:pt>
                <c:pt idx="143">
                  <c:v>10.6177215189873</c:v>
                </c:pt>
                <c:pt idx="144">
                  <c:v>9.90987341772151</c:v>
                </c:pt>
                <c:pt idx="145">
                  <c:v>9.20202531645569</c:v>
                </c:pt>
                <c:pt idx="146">
                  <c:v>8.49417721518987</c:v>
                </c:pt>
                <c:pt idx="147">
                  <c:v>7.78632911392405</c:v>
                </c:pt>
                <c:pt idx="148">
                  <c:v>7.07848101265823</c:v>
                </c:pt>
                <c:pt idx="149">
                  <c:v>6.37063291139241</c:v>
                </c:pt>
                <c:pt idx="150">
                  <c:v>5.66278481012658</c:v>
                </c:pt>
                <c:pt idx="151">
                  <c:v>4.95493670886076</c:v>
                </c:pt>
                <c:pt idx="152">
                  <c:v>4.24708860759493</c:v>
                </c:pt>
                <c:pt idx="153">
                  <c:v>3.53924050632911</c:v>
                </c:pt>
                <c:pt idx="154">
                  <c:v>2.8313924050633</c:v>
                </c:pt>
                <c:pt idx="155">
                  <c:v>2.12354430379747</c:v>
                </c:pt>
                <c:pt idx="156">
                  <c:v>1.41569620253165</c:v>
                </c:pt>
                <c:pt idx="157">
                  <c:v>0.707848101265824</c:v>
                </c:pt>
                <c:pt idx="158">
                  <c:v>0</c:v>
                </c:pt>
                <c:pt idx="159">
                  <c:v>-0.707848101265824</c:v>
                </c:pt>
              </c:numCache>
            </c:numRef>
          </c:val>
          <c:smooth val="0"/>
        </c:ser>
        <c:hiLowLines>
          <c:spPr>
            <a:ln w="0">
              <a:noFill/>
            </a:ln>
          </c:spPr>
        </c:hiLowLines>
        <c:marker val="0"/>
        <c:axId val="1335754"/>
        <c:axId val="67837898"/>
      </c:lineChart>
      <c:dateAx>
        <c:axId val="162141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32211"/>
        <c:auto val="1"/>
        <c:lblOffset val="100"/>
        <c:baseTimeUnit val="days"/>
      </c:dateAx>
      <c:valAx>
        <c:axId val="728322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214158"/>
        <c:crosses val="autoZero"/>
        <c:crossBetween val="between"/>
      </c:valAx>
      <c:dateAx>
        <c:axId val="13357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37898"/>
        <c:auto val="1"/>
        <c:lblOffset val="100"/>
        <c:baseTimeUnit val="days"/>
      </c:dateAx>
      <c:valAx>
        <c:axId val="678378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357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numCache>
            </c:numRef>
          </c:val>
        </c:ser>
        <c:gapWidth val="150"/>
        <c:overlap val="0"/>
        <c:axId val="27122634"/>
        <c:axId val="6244385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15.33</c:v>
                </c:pt>
                <c:pt idx="1">
                  <c:v>15.2329746835443</c:v>
                </c:pt>
                <c:pt idx="2">
                  <c:v>15.1359493670886</c:v>
                </c:pt>
                <c:pt idx="3">
                  <c:v>15.0389240506329</c:v>
                </c:pt>
                <c:pt idx="4">
                  <c:v>14.9418987341772</c:v>
                </c:pt>
                <c:pt idx="5">
                  <c:v>14.8448734177215</c:v>
                </c:pt>
                <c:pt idx="6">
                  <c:v>14.7478481012658</c:v>
                </c:pt>
                <c:pt idx="7">
                  <c:v>14.6508227848101</c:v>
                </c:pt>
                <c:pt idx="8">
                  <c:v>14.5537974683544</c:v>
                </c:pt>
                <c:pt idx="9">
                  <c:v>14.4567721518987</c:v>
                </c:pt>
                <c:pt idx="10">
                  <c:v>14.359746835443</c:v>
                </c:pt>
                <c:pt idx="11">
                  <c:v>14.2627215189873</c:v>
                </c:pt>
                <c:pt idx="12">
                  <c:v>14.1656962025316</c:v>
                </c:pt>
                <c:pt idx="13">
                  <c:v>14.068670886076</c:v>
                </c:pt>
                <c:pt idx="14">
                  <c:v>13.9716455696203</c:v>
                </c:pt>
                <c:pt idx="15">
                  <c:v>13.8746202531646</c:v>
                </c:pt>
                <c:pt idx="16">
                  <c:v>13.7775949367089</c:v>
                </c:pt>
                <c:pt idx="17">
                  <c:v>13.6805696202532</c:v>
                </c:pt>
                <c:pt idx="18">
                  <c:v>13.5835443037975</c:v>
                </c:pt>
                <c:pt idx="19">
                  <c:v>13.4865189873418</c:v>
                </c:pt>
                <c:pt idx="20">
                  <c:v>13.3894936708861</c:v>
                </c:pt>
                <c:pt idx="21">
                  <c:v>13.2924683544304</c:v>
                </c:pt>
                <c:pt idx="22">
                  <c:v>13.1954430379747</c:v>
                </c:pt>
                <c:pt idx="23">
                  <c:v>13.098417721519</c:v>
                </c:pt>
                <c:pt idx="24">
                  <c:v>13.0013924050633</c:v>
                </c:pt>
                <c:pt idx="25">
                  <c:v>12.9043670886076</c:v>
                </c:pt>
                <c:pt idx="26">
                  <c:v>12.8073417721519</c:v>
                </c:pt>
                <c:pt idx="27">
                  <c:v>12.7103164556962</c:v>
                </c:pt>
                <c:pt idx="28">
                  <c:v>12.6132911392405</c:v>
                </c:pt>
                <c:pt idx="29">
                  <c:v>12.5162658227848</c:v>
                </c:pt>
                <c:pt idx="30">
                  <c:v>12.4192405063291</c:v>
                </c:pt>
                <c:pt idx="31">
                  <c:v>12.3222151898734</c:v>
                </c:pt>
                <c:pt idx="32">
                  <c:v>12.2251898734177</c:v>
                </c:pt>
                <c:pt idx="33">
                  <c:v>12.128164556962</c:v>
                </c:pt>
                <c:pt idx="34">
                  <c:v>12.0311392405063</c:v>
                </c:pt>
                <c:pt idx="35">
                  <c:v>11.9341139240506</c:v>
                </c:pt>
                <c:pt idx="36">
                  <c:v>11.8370886075949</c:v>
                </c:pt>
                <c:pt idx="37">
                  <c:v>11.7400632911392</c:v>
                </c:pt>
                <c:pt idx="38">
                  <c:v>11.6430379746835</c:v>
                </c:pt>
                <c:pt idx="39">
                  <c:v>11.5460126582278</c:v>
                </c:pt>
                <c:pt idx="40">
                  <c:v>11.4489873417722</c:v>
                </c:pt>
                <c:pt idx="41">
                  <c:v>11.3519620253165</c:v>
                </c:pt>
                <c:pt idx="42">
                  <c:v>11.2549367088608</c:v>
                </c:pt>
                <c:pt idx="43">
                  <c:v>11.1579113924051</c:v>
                </c:pt>
                <c:pt idx="44">
                  <c:v>11.0608860759494</c:v>
                </c:pt>
                <c:pt idx="45">
                  <c:v>10.9638607594937</c:v>
                </c:pt>
                <c:pt idx="46">
                  <c:v>10.866835443038</c:v>
                </c:pt>
                <c:pt idx="47">
                  <c:v>10.7698101265823</c:v>
                </c:pt>
                <c:pt idx="48">
                  <c:v>10.6727848101266</c:v>
                </c:pt>
                <c:pt idx="49">
                  <c:v>10.5757594936709</c:v>
                </c:pt>
                <c:pt idx="50">
                  <c:v>10.4787341772152</c:v>
                </c:pt>
                <c:pt idx="51">
                  <c:v>10.3817088607595</c:v>
                </c:pt>
                <c:pt idx="52">
                  <c:v>10.2846835443038</c:v>
                </c:pt>
                <c:pt idx="53">
                  <c:v>10.1876582278481</c:v>
                </c:pt>
                <c:pt idx="54">
                  <c:v>10.0906329113924</c:v>
                </c:pt>
                <c:pt idx="55">
                  <c:v>9.99360759493671</c:v>
                </c:pt>
                <c:pt idx="56">
                  <c:v>9.89658227848101</c:v>
                </c:pt>
                <c:pt idx="57">
                  <c:v>9.79955696202532</c:v>
                </c:pt>
                <c:pt idx="58">
                  <c:v>9.70253164556962</c:v>
                </c:pt>
                <c:pt idx="59">
                  <c:v>9.60550632911392</c:v>
                </c:pt>
                <c:pt idx="60">
                  <c:v>9.50848101265823</c:v>
                </c:pt>
                <c:pt idx="61">
                  <c:v>9.41145569620253</c:v>
                </c:pt>
                <c:pt idx="62">
                  <c:v>9.31443037974684</c:v>
                </c:pt>
                <c:pt idx="63">
                  <c:v>9.21740506329114</c:v>
                </c:pt>
                <c:pt idx="64">
                  <c:v>9.12037974683544</c:v>
                </c:pt>
                <c:pt idx="65">
                  <c:v>9.02335443037975</c:v>
                </c:pt>
                <c:pt idx="66">
                  <c:v>8.92632911392405</c:v>
                </c:pt>
                <c:pt idx="67">
                  <c:v>8.82930379746836</c:v>
                </c:pt>
                <c:pt idx="68">
                  <c:v>8.73227848101266</c:v>
                </c:pt>
                <c:pt idx="69">
                  <c:v>8.63525316455696</c:v>
                </c:pt>
                <c:pt idx="70">
                  <c:v>8.53822784810127</c:v>
                </c:pt>
                <c:pt idx="71">
                  <c:v>8.44120253164557</c:v>
                </c:pt>
                <c:pt idx="72">
                  <c:v>8.34417721518987</c:v>
                </c:pt>
                <c:pt idx="73">
                  <c:v>8.24715189873418</c:v>
                </c:pt>
                <c:pt idx="74">
                  <c:v>8.15012658227848</c:v>
                </c:pt>
                <c:pt idx="75">
                  <c:v>8.05310126582279</c:v>
                </c:pt>
                <c:pt idx="76">
                  <c:v>7.95607594936709</c:v>
                </c:pt>
                <c:pt idx="77">
                  <c:v>7.85905063291139</c:v>
                </c:pt>
                <c:pt idx="78">
                  <c:v>7.7620253164557</c:v>
                </c:pt>
                <c:pt idx="79">
                  <c:v>7.665</c:v>
                </c:pt>
                <c:pt idx="80">
                  <c:v>7.5679746835443</c:v>
                </c:pt>
                <c:pt idx="81">
                  <c:v>7.47094936708861</c:v>
                </c:pt>
                <c:pt idx="82">
                  <c:v>7.37392405063291</c:v>
                </c:pt>
                <c:pt idx="83">
                  <c:v>7.27689873417721</c:v>
                </c:pt>
                <c:pt idx="84">
                  <c:v>7.17987341772152</c:v>
                </c:pt>
                <c:pt idx="85">
                  <c:v>7.08284810126582</c:v>
                </c:pt>
                <c:pt idx="86">
                  <c:v>6.98582278481013</c:v>
                </c:pt>
                <c:pt idx="87">
                  <c:v>6.88879746835443</c:v>
                </c:pt>
                <c:pt idx="88">
                  <c:v>6.79177215189874</c:v>
                </c:pt>
                <c:pt idx="89">
                  <c:v>6.69474683544304</c:v>
                </c:pt>
                <c:pt idx="90">
                  <c:v>6.59772151898734</c:v>
                </c:pt>
                <c:pt idx="91">
                  <c:v>6.50069620253165</c:v>
                </c:pt>
                <c:pt idx="92">
                  <c:v>6.40367088607595</c:v>
                </c:pt>
                <c:pt idx="93">
                  <c:v>6.30664556962025</c:v>
                </c:pt>
                <c:pt idx="94">
                  <c:v>6.20962025316456</c:v>
                </c:pt>
                <c:pt idx="95">
                  <c:v>6.11259493670886</c:v>
                </c:pt>
                <c:pt idx="96">
                  <c:v>6.01556962025316</c:v>
                </c:pt>
                <c:pt idx="97">
                  <c:v>5.91854430379747</c:v>
                </c:pt>
                <c:pt idx="98">
                  <c:v>5.82151898734177</c:v>
                </c:pt>
                <c:pt idx="99">
                  <c:v>5.72449367088608</c:v>
                </c:pt>
                <c:pt idx="100">
                  <c:v>5.62746835443038</c:v>
                </c:pt>
                <c:pt idx="101">
                  <c:v>5.53044303797469</c:v>
                </c:pt>
                <c:pt idx="102">
                  <c:v>5.43341772151899</c:v>
                </c:pt>
                <c:pt idx="103">
                  <c:v>5.33639240506329</c:v>
                </c:pt>
                <c:pt idx="104">
                  <c:v>5.2393670886076</c:v>
                </c:pt>
                <c:pt idx="105">
                  <c:v>5.1423417721519</c:v>
                </c:pt>
                <c:pt idx="106">
                  <c:v>5.0453164556962</c:v>
                </c:pt>
                <c:pt idx="107">
                  <c:v>4.94829113924051</c:v>
                </c:pt>
                <c:pt idx="108">
                  <c:v>4.85126582278481</c:v>
                </c:pt>
                <c:pt idx="109">
                  <c:v>4.75424050632911</c:v>
                </c:pt>
                <c:pt idx="110">
                  <c:v>4.65721518987342</c:v>
                </c:pt>
                <c:pt idx="111">
                  <c:v>4.56018987341772</c:v>
                </c:pt>
                <c:pt idx="112">
                  <c:v>4.46316455696203</c:v>
                </c:pt>
                <c:pt idx="113">
                  <c:v>4.36613924050633</c:v>
                </c:pt>
                <c:pt idx="114">
                  <c:v>4.26911392405063</c:v>
                </c:pt>
                <c:pt idx="115">
                  <c:v>4.17208860759494</c:v>
                </c:pt>
                <c:pt idx="116">
                  <c:v>4.07506329113924</c:v>
                </c:pt>
                <c:pt idx="117">
                  <c:v>3.97803797468355</c:v>
                </c:pt>
                <c:pt idx="118">
                  <c:v>3.88101265822785</c:v>
                </c:pt>
                <c:pt idx="119">
                  <c:v>3.78398734177215</c:v>
                </c:pt>
                <c:pt idx="120">
                  <c:v>3.68696202531646</c:v>
                </c:pt>
                <c:pt idx="121">
                  <c:v>3.58993670886076</c:v>
                </c:pt>
                <c:pt idx="122">
                  <c:v>3.49291139240506</c:v>
                </c:pt>
                <c:pt idx="123">
                  <c:v>3.39588607594937</c:v>
                </c:pt>
                <c:pt idx="124">
                  <c:v>3.29886075949367</c:v>
                </c:pt>
                <c:pt idx="125">
                  <c:v>3.20183544303798</c:v>
                </c:pt>
                <c:pt idx="126">
                  <c:v>3.10481012658228</c:v>
                </c:pt>
                <c:pt idx="127">
                  <c:v>3.00778481012658</c:v>
                </c:pt>
                <c:pt idx="128">
                  <c:v>2.91075949367089</c:v>
                </c:pt>
                <c:pt idx="129">
                  <c:v>2.81373417721519</c:v>
                </c:pt>
                <c:pt idx="130">
                  <c:v>2.71670886075949</c:v>
                </c:pt>
                <c:pt idx="131">
                  <c:v>2.6196835443038</c:v>
                </c:pt>
                <c:pt idx="132">
                  <c:v>2.5226582278481</c:v>
                </c:pt>
                <c:pt idx="133">
                  <c:v>2.42563291139241</c:v>
                </c:pt>
                <c:pt idx="134">
                  <c:v>2.32860759493671</c:v>
                </c:pt>
                <c:pt idx="135">
                  <c:v>2.23158227848101</c:v>
                </c:pt>
                <c:pt idx="136">
                  <c:v>2.13455696202532</c:v>
                </c:pt>
                <c:pt idx="137">
                  <c:v>2.03753164556962</c:v>
                </c:pt>
                <c:pt idx="138">
                  <c:v>1.94050632911392</c:v>
                </c:pt>
                <c:pt idx="139">
                  <c:v>1.84348101265823</c:v>
                </c:pt>
                <c:pt idx="140">
                  <c:v>1.74645569620253</c:v>
                </c:pt>
                <c:pt idx="141">
                  <c:v>1.64943037974683</c:v>
                </c:pt>
                <c:pt idx="142">
                  <c:v>1.55240506329114</c:v>
                </c:pt>
                <c:pt idx="143">
                  <c:v>1.45537974683544</c:v>
                </c:pt>
                <c:pt idx="144">
                  <c:v>1.35835443037975</c:v>
                </c:pt>
                <c:pt idx="145">
                  <c:v>1.26132911392405</c:v>
                </c:pt>
                <c:pt idx="146">
                  <c:v>1.16430379746835</c:v>
                </c:pt>
                <c:pt idx="147">
                  <c:v>1.06727848101266</c:v>
                </c:pt>
                <c:pt idx="148">
                  <c:v>0.970253164556961</c:v>
                </c:pt>
                <c:pt idx="149">
                  <c:v>0.873227848101266</c:v>
                </c:pt>
                <c:pt idx="150">
                  <c:v>0.77620253164557</c:v>
                </c:pt>
                <c:pt idx="151">
                  <c:v>0.679177215189874</c:v>
                </c:pt>
                <c:pt idx="152">
                  <c:v>0.582151898734178</c:v>
                </c:pt>
                <c:pt idx="153">
                  <c:v>0.485126582278479</c:v>
                </c:pt>
                <c:pt idx="154">
                  <c:v>0.388101265822783</c:v>
                </c:pt>
                <c:pt idx="155">
                  <c:v>0.291075949367087</c:v>
                </c:pt>
                <c:pt idx="156">
                  <c:v>0.194050632911392</c:v>
                </c:pt>
                <c:pt idx="157">
                  <c:v>0.0970253164556958</c:v>
                </c:pt>
                <c:pt idx="158">
                  <c:v>0</c:v>
                </c:pt>
                <c:pt idx="159">
                  <c:v>-0.097025316455694</c:v>
                </c:pt>
              </c:numCache>
            </c:numRef>
          </c:val>
          <c:smooth val="0"/>
        </c:ser>
        <c:hiLowLines>
          <c:spPr>
            <a:ln w="0">
              <a:noFill/>
            </a:ln>
          </c:spPr>
        </c:hiLowLines>
        <c:marker val="0"/>
        <c:axId val="40934179"/>
        <c:axId val="73591739"/>
      </c:lineChart>
      <c:dateAx>
        <c:axId val="271226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43855"/>
        <c:auto val="1"/>
        <c:lblOffset val="100"/>
        <c:baseTimeUnit val="days"/>
      </c:dateAx>
      <c:valAx>
        <c:axId val="624438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22634"/>
        <c:crosses val="autoZero"/>
        <c:crossBetween val="between"/>
      </c:valAx>
      <c:dateAx>
        <c:axId val="409341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591739"/>
        <c:auto val="1"/>
        <c:lblOffset val="100"/>
        <c:baseTimeUnit val="days"/>
      </c:dateAx>
      <c:valAx>
        <c:axId val="7359173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9341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numCache>
            </c:numRef>
          </c:val>
        </c:ser>
        <c:gapWidth val="150"/>
        <c:overlap val="0"/>
        <c:axId val="50290358"/>
        <c:axId val="4397883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21.8</c:v>
                </c:pt>
                <c:pt idx="1">
                  <c:v>21.6620253164557</c:v>
                </c:pt>
                <c:pt idx="2">
                  <c:v>21.5240506329114</c:v>
                </c:pt>
                <c:pt idx="3">
                  <c:v>21.3860759493671</c:v>
                </c:pt>
                <c:pt idx="4">
                  <c:v>21.2481012658228</c:v>
                </c:pt>
                <c:pt idx="5">
                  <c:v>21.1101265822785</c:v>
                </c:pt>
                <c:pt idx="6">
                  <c:v>20.9721518987342</c:v>
                </c:pt>
                <c:pt idx="7">
                  <c:v>20.8341772151899</c:v>
                </c:pt>
                <c:pt idx="8">
                  <c:v>20.6962025316456</c:v>
                </c:pt>
                <c:pt idx="9">
                  <c:v>20.5582278481013</c:v>
                </c:pt>
                <c:pt idx="10">
                  <c:v>20.420253164557</c:v>
                </c:pt>
                <c:pt idx="11">
                  <c:v>20.2822784810127</c:v>
                </c:pt>
                <c:pt idx="12">
                  <c:v>20.1443037974684</c:v>
                </c:pt>
                <c:pt idx="13">
                  <c:v>20.0063291139241</c:v>
                </c:pt>
                <c:pt idx="14">
                  <c:v>19.8683544303797</c:v>
                </c:pt>
                <c:pt idx="15">
                  <c:v>19.7303797468354</c:v>
                </c:pt>
                <c:pt idx="16">
                  <c:v>19.5924050632911</c:v>
                </c:pt>
                <c:pt idx="17">
                  <c:v>19.4544303797468</c:v>
                </c:pt>
                <c:pt idx="18">
                  <c:v>19.3164556962025</c:v>
                </c:pt>
                <c:pt idx="19">
                  <c:v>19.1784810126582</c:v>
                </c:pt>
                <c:pt idx="20">
                  <c:v>19.0405063291139</c:v>
                </c:pt>
                <c:pt idx="21">
                  <c:v>18.9025316455696</c:v>
                </c:pt>
                <c:pt idx="22">
                  <c:v>18.7645569620253</c:v>
                </c:pt>
                <c:pt idx="23">
                  <c:v>18.626582278481</c:v>
                </c:pt>
                <c:pt idx="24">
                  <c:v>18.4886075949367</c:v>
                </c:pt>
                <c:pt idx="25">
                  <c:v>18.3506329113924</c:v>
                </c:pt>
                <c:pt idx="26">
                  <c:v>18.2126582278481</c:v>
                </c:pt>
                <c:pt idx="27">
                  <c:v>18.0746835443038</c:v>
                </c:pt>
                <c:pt idx="28">
                  <c:v>17.9367088607595</c:v>
                </c:pt>
                <c:pt idx="29">
                  <c:v>17.7987341772152</c:v>
                </c:pt>
                <c:pt idx="30">
                  <c:v>17.6607594936709</c:v>
                </c:pt>
                <c:pt idx="31">
                  <c:v>17.5227848101266</c:v>
                </c:pt>
                <c:pt idx="32">
                  <c:v>17.3848101265823</c:v>
                </c:pt>
                <c:pt idx="33">
                  <c:v>17.246835443038</c:v>
                </c:pt>
                <c:pt idx="34">
                  <c:v>17.1088607594937</c:v>
                </c:pt>
                <c:pt idx="35">
                  <c:v>16.9708860759494</c:v>
                </c:pt>
                <c:pt idx="36">
                  <c:v>16.8329113924051</c:v>
                </c:pt>
                <c:pt idx="37">
                  <c:v>16.6949367088608</c:v>
                </c:pt>
                <c:pt idx="38">
                  <c:v>16.5569620253165</c:v>
                </c:pt>
                <c:pt idx="39">
                  <c:v>16.4189873417722</c:v>
                </c:pt>
                <c:pt idx="40">
                  <c:v>16.2810126582278</c:v>
                </c:pt>
                <c:pt idx="41">
                  <c:v>16.1430379746835</c:v>
                </c:pt>
                <c:pt idx="42">
                  <c:v>16.0050632911392</c:v>
                </c:pt>
                <c:pt idx="43">
                  <c:v>15.8670886075949</c:v>
                </c:pt>
                <c:pt idx="44">
                  <c:v>15.7291139240506</c:v>
                </c:pt>
                <c:pt idx="45">
                  <c:v>15.5911392405063</c:v>
                </c:pt>
                <c:pt idx="46">
                  <c:v>15.453164556962</c:v>
                </c:pt>
                <c:pt idx="47">
                  <c:v>15.3151898734177</c:v>
                </c:pt>
                <c:pt idx="48">
                  <c:v>15.1772151898734</c:v>
                </c:pt>
                <c:pt idx="49">
                  <c:v>15.0392405063291</c:v>
                </c:pt>
                <c:pt idx="50">
                  <c:v>14.9012658227848</c:v>
                </c:pt>
                <c:pt idx="51">
                  <c:v>14.7632911392405</c:v>
                </c:pt>
                <c:pt idx="52">
                  <c:v>14.6253164556962</c:v>
                </c:pt>
                <c:pt idx="53">
                  <c:v>14.4873417721519</c:v>
                </c:pt>
                <c:pt idx="54">
                  <c:v>14.3493670886076</c:v>
                </c:pt>
                <c:pt idx="55">
                  <c:v>14.2113924050633</c:v>
                </c:pt>
                <c:pt idx="56">
                  <c:v>14.073417721519</c:v>
                </c:pt>
                <c:pt idx="57">
                  <c:v>13.9354430379747</c:v>
                </c:pt>
                <c:pt idx="58">
                  <c:v>13.7974683544304</c:v>
                </c:pt>
                <c:pt idx="59">
                  <c:v>13.6594936708861</c:v>
                </c:pt>
                <c:pt idx="60">
                  <c:v>13.5215189873418</c:v>
                </c:pt>
                <c:pt idx="61">
                  <c:v>13.3835443037975</c:v>
                </c:pt>
                <c:pt idx="62">
                  <c:v>13.2455696202532</c:v>
                </c:pt>
                <c:pt idx="63">
                  <c:v>13.1075949367089</c:v>
                </c:pt>
                <c:pt idx="64">
                  <c:v>12.9696202531646</c:v>
                </c:pt>
                <c:pt idx="65">
                  <c:v>12.8316455696203</c:v>
                </c:pt>
                <c:pt idx="66">
                  <c:v>12.693670886076</c:v>
                </c:pt>
                <c:pt idx="67">
                  <c:v>12.5556962025316</c:v>
                </c:pt>
                <c:pt idx="68">
                  <c:v>12.4177215189873</c:v>
                </c:pt>
                <c:pt idx="69">
                  <c:v>12.279746835443</c:v>
                </c:pt>
                <c:pt idx="70">
                  <c:v>12.1417721518987</c:v>
                </c:pt>
                <c:pt idx="71">
                  <c:v>12.0037974683544</c:v>
                </c:pt>
                <c:pt idx="72">
                  <c:v>11.8658227848101</c:v>
                </c:pt>
                <c:pt idx="73">
                  <c:v>11.7278481012658</c:v>
                </c:pt>
                <c:pt idx="74">
                  <c:v>11.5898734177215</c:v>
                </c:pt>
                <c:pt idx="75">
                  <c:v>11.4518987341772</c:v>
                </c:pt>
                <c:pt idx="76">
                  <c:v>11.3139240506329</c:v>
                </c:pt>
                <c:pt idx="77">
                  <c:v>11.1759493670886</c:v>
                </c:pt>
                <c:pt idx="78">
                  <c:v>11.0379746835443</c:v>
                </c:pt>
                <c:pt idx="79">
                  <c:v>10.9</c:v>
                </c:pt>
                <c:pt idx="80">
                  <c:v>10.7620253164557</c:v>
                </c:pt>
                <c:pt idx="81">
                  <c:v>10.6240506329114</c:v>
                </c:pt>
                <c:pt idx="82">
                  <c:v>10.4860759493671</c:v>
                </c:pt>
                <c:pt idx="83">
                  <c:v>10.3481012658228</c:v>
                </c:pt>
                <c:pt idx="84">
                  <c:v>10.2101265822785</c:v>
                </c:pt>
                <c:pt idx="85">
                  <c:v>10.0721518987342</c:v>
                </c:pt>
                <c:pt idx="86">
                  <c:v>9.93417721518988</c:v>
                </c:pt>
                <c:pt idx="87">
                  <c:v>9.79620253164557</c:v>
                </c:pt>
                <c:pt idx="88">
                  <c:v>9.65822784810127</c:v>
                </c:pt>
                <c:pt idx="89">
                  <c:v>9.52025316455696</c:v>
                </c:pt>
                <c:pt idx="90">
                  <c:v>9.38227848101266</c:v>
                </c:pt>
                <c:pt idx="91">
                  <c:v>9.24430379746836</c:v>
                </c:pt>
                <c:pt idx="92">
                  <c:v>9.10632911392405</c:v>
                </c:pt>
                <c:pt idx="93">
                  <c:v>8.96835443037975</c:v>
                </c:pt>
                <c:pt idx="94">
                  <c:v>8.83037974683544</c:v>
                </c:pt>
                <c:pt idx="95">
                  <c:v>8.69240506329114</c:v>
                </c:pt>
                <c:pt idx="96">
                  <c:v>8.55443037974684</c:v>
                </c:pt>
                <c:pt idx="97">
                  <c:v>8.41645569620253</c:v>
                </c:pt>
                <c:pt idx="98">
                  <c:v>8.27848101265823</c:v>
                </c:pt>
                <c:pt idx="99">
                  <c:v>8.14050632911392</c:v>
                </c:pt>
                <c:pt idx="100">
                  <c:v>8.00253164556962</c:v>
                </c:pt>
                <c:pt idx="101">
                  <c:v>7.86455696202532</c:v>
                </c:pt>
                <c:pt idx="102">
                  <c:v>7.72658227848102</c:v>
                </c:pt>
                <c:pt idx="103">
                  <c:v>7.58860759493671</c:v>
                </c:pt>
                <c:pt idx="104">
                  <c:v>7.4506329113924</c:v>
                </c:pt>
                <c:pt idx="105">
                  <c:v>7.3126582278481</c:v>
                </c:pt>
                <c:pt idx="106">
                  <c:v>7.1746835443038</c:v>
                </c:pt>
                <c:pt idx="107">
                  <c:v>7.0367088607595</c:v>
                </c:pt>
                <c:pt idx="108">
                  <c:v>6.89873417721519</c:v>
                </c:pt>
                <c:pt idx="109">
                  <c:v>6.76075949367089</c:v>
                </c:pt>
                <c:pt idx="110">
                  <c:v>6.62278481012658</c:v>
                </c:pt>
                <c:pt idx="111">
                  <c:v>6.48481012658228</c:v>
                </c:pt>
                <c:pt idx="112">
                  <c:v>6.34683544303798</c:v>
                </c:pt>
                <c:pt idx="113">
                  <c:v>6.20886075949367</c:v>
                </c:pt>
                <c:pt idx="114">
                  <c:v>6.07088607594937</c:v>
                </c:pt>
                <c:pt idx="115">
                  <c:v>5.93291139240506</c:v>
                </c:pt>
                <c:pt idx="116">
                  <c:v>5.79493670886076</c:v>
                </c:pt>
                <c:pt idx="117">
                  <c:v>5.65696202531646</c:v>
                </c:pt>
                <c:pt idx="118">
                  <c:v>5.51898734177215</c:v>
                </c:pt>
                <c:pt idx="119">
                  <c:v>5.38101265822785</c:v>
                </c:pt>
                <c:pt idx="120">
                  <c:v>5.24303797468355</c:v>
                </c:pt>
                <c:pt idx="121">
                  <c:v>5.10506329113924</c:v>
                </c:pt>
                <c:pt idx="122">
                  <c:v>4.96708860759494</c:v>
                </c:pt>
                <c:pt idx="123">
                  <c:v>4.82911392405064</c:v>
                </c:pt>
                <c:pt idx="124">
                  <c:v>4.69113924050633</c:v>
                </c:pt>
                <c:pt idx="125">
                  <c:v>4.55316455696203</c:v>
                </c:pt>
                <c:pt idx="126">
                  <c:v>4.41518987341772</c:v>
                </c:pt>
                <c:pt idx="127">
                  <c:v>4.27721518987342</c:v>
                </c:pt>
                <c:pt idx="128">
                  <c:v>4.13924050632911</c:v>
                </c:pt>
                <c:pt idx="129">
                  <c:v>4.00126582278481</c:v>
                </c:pt>
                <c:pt idx="130">
                  <c:v>3.86329113924051</c:v>
                </c:pt>
                <c:pt idx="131">
                  <c:v>3.7253164556962</c:v>
                </c:pt>
                <c:pt idx="132">
                  <c:v>3.5873417721519</c:v>
                </c:pt>
                <c:pt idx="133">
                  <c:v>3.44936708860759</c:v>
                </c:pt>
                <c:pt idx="134">
                  <c:v>3.31139240506329</c:v>
                </c:pt>
                <c:pt idx="135">
                  <c:v>3.17341772151899</c:v>
                </c:pt>
                <c:pt idx="136">
                  <c:v>3.03544303797468</c:v>
                </c:pt>
                <c:pt idx="137">
                  <c:v>2.89746835443038</c:v>
                </c:pt>
                <c:pt idx="138">
                  <c:v>2.75949367088608</c:v>
                </c:pt>
                <c:pt idx="139">
                  <c:v>2.62151898734177</c:v>
                </c:pt>
                <c:pt idx="140">
                  <c:v>2.48354430379747</c:v>
                </c:pt>
                <c:pt idx="141">
                  <c:v>2.34556962025317</c:v>
                </c:pt>
                <c:pt idx="142">
                  <c:v>2.20759493670886</c:v>
                </c:pt>
                <c:pt idx="143">
                  <c:v>2.06962025316456</c:v>
                </c:pt>
                <c:pt idx="144">
                  <c:v>1.93164556962025</c:v>
                </c:pt>
                <c:pt idx="145">
                  <c:v>1.79367088607595</c:v>
                </c:pt>
                <c:pt idx="146">
                  <c:v>1.65569620253164</c:v>
                </c:pt>
                <c:pt idx="147">
                  <c:v>1.51772151898734</c:v>
                </c:pt>
                <c:pt idx="148">
                  <c:v>1.37974683544304</c:v>
                </c:pt>
                <c:pt idx="149">
                  <c:v>1.24177215189873</c:v>
                </c:pt>
                <c:pt idx="150">
                  <c:v>1.10379746835443</c:v>
                </c:pt>
                <c:pt idx="151">
                  <c:v>0.965822784810126</c:v>
                </c:pt>
                <c:pt idx="152">
                  <c:v>0.827848101265825</c:v>
                </c:pt>
                <c:pt idx="153">
                  <c:v>0.689873417721518</c:v>
                </c:pt>
                <c:pt idx="154">
                  <c:v>0.551898734177215</c:v>
                </c:pt>
                <c:pt idx="155">
                  <c:v>0.413924050632911</c:v>
                </c:pt>
                <c:pt idx="156">
                  <c:v>0.275949367088607</c:v>
                </c:pt>
                <c:pt idx="157">
                  <c:v>0.137974683544304</c:v>
                </c:pt>
                <c:pt idx="158">
                  <c:v>0</c:v>
                </c:pt>
                <c:pt idx="159">
                  <c:v>-0.137974683544304</c:v>
                </c:pt>
              </c:numCache>
            </c:numRef>
          </c:val>
          <c:smooth val="0"/>
        </c:ser>
        <c:hiLowLines>
          <c:spPr>
            <a:ln w="0">
              <a:noFill/>
            </a:ln>
          </c:spPr>
        </c:hiLowLines>
        <c:marker val="0"/>
        <c:axId val="70504910"/>
        <c:axId val="67201558"/>
      </c:lineChart>
      <c:dateAx>
        <c:axId val="502903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978835"/>
        <c:auto val="1"/>
        <c:lblOffset val="100"/>
        <c:baseTimeUnit val="days"/>
      </c:dateAx>
      <c:valAx>
        <c:axId val="439788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90358"/>
        <c:crosses val="autoZero"/>
        <c:crossBetween val="between"/>
      </c:valAx>
      <c:dateAx>
        <c:axId val="705049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01558"/>
        <c:auto val="1"/>
        <c:lblOffset val="100"/>
        <c:baseTimeUnit val="days"/>
      </c:dateAx>
      <c:valAx>
        <c:axId val="672015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5049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numCache>
            </c:numRef>
          </c:val>
        </c:ser>
        <c:gapWidth val="150"/>
        <c:overlap val="0"/>
        <c:axId val="57116822"/>
        <c:axId val="2839864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57.63</c:v>
                </c:pt>
                <c:pt idx="1">
                  <c:v>57.265253164557</c:v>
                </c:pt>
                <c:pt idx="2">
                  <c:v>56.9005063291139</c:v>
                </c:pt>
                <c:pt idx="3">
                  <c:v>56.5357594936709</c:v>
                </c:pt>
                <c:pt idx="4">
                  <c:v>56.1710126582279</c:v>
                </c:pt>
                <c:pt idx="5">
                  <c:v>55.8062658227848</c:v>
                </c:pt>
                <c:pt idx="6">
                  <c:v>55.4415189873418</c:v>
                </c:pt>
                <c:pt idx="7">
                  <c:v>55.0767721518987</c:v>
                </c:pt>
                <c:pt idx="8">
                  <c:v>54.7120253164557</c:v>
                </c:pt>
                <c:pt idx="9">
                  <c:v>54.3472784810127</c:v>
                </c:pt>
                <c:pt idx="10">
                  <c:v>53.9825316455696</c:v>
                </c:pt>
                <c:pt idx="11">
                  <c:v>53.6177848101266</c:v>
                </c:pt>
                <c:pt idx="12">
                  <c:v>53.2530379746835</c:v>
                </c:pt>
                <c:pt idx="13">
                  <c:v>52.8882911392405</c:v>
                </c:pt>
                <c:pt idx="14">
                  <c:v>52.5235443037975</c:v>
                </c:pt>
                <c:pt idx="15">
                  <c:v>52.1587974683544</c:v>
                </c:pt>
                <c:pt idx="16">
                  <c:v>51.7940506329114</c:v>
                </c:pt>
                <c:pt idx="17">
                  <c:v>51.4293037974684</c:v>
                </c:pt>
                <c:pt idx="18">
                  <c:v>51.0645569620253</c:v>
                </c:pt>
                <c:pt idx="19">
                  <c:v>50.6998101265823</c:v>
                </c:pt>
                <c:pt idx="20">
                  <c:v>50.3350632911392</c:v>
                </c:pt>
                <c:pt idx="21">
                  <c:v>49.9703164556962</c:v>
                </c:pt>
                <c:pt idx="22">
                  <c:v>49.6055696202532</c:v>
                </c:pt>
                <c:pt idx="23">
                  <c:v>49.2408227848101</c:v>
                </c:pt>
                <c:pt idx="24">
                  <c:v>48.8760759493671</c:v>
                </c:pt>
                <c:pt idx="25">
                  <c:v>48.5113291139241</c:v>
                </c:pt>
                <c:pt idx="26">
                  <c:v>48.146582278481</c:v>
                </c:pt>
                <c:pt idx="27">
                  <c:v>47.781835443038</c:v>
                </c:pt>
                <c:pt idx="28">
                  <c:v>47.4170886075949</c:v>
                </c:pt>
                <c:pt idx="29">
                  <c:v>47.0523417721519</c:v>
                </c:pt>
                <c:pt idx="30">
                  <c:v>46.6875949367089</c:v>
                </c:pt>
                <c:pt idx="31">
                  <c:v>46.3228481012658</c:v>
                </c:pt>
                <c:pt idx="32">
                  <c:v>45.9581012658228</c:v>
                </c:pt>
                <c:pt idx="33">
                  <c:v>45.5933544303798</c:v>
                </c:pt>
                <c:pt idx="34">
                  <c:v>45.2286075949367</c:v>
                </c:pt>
                <c:pt idx="35">
                  <c:v>44.8638607594937</c:v>
                </c:pt>
                <c:pt idx="36">
                  <c:v>44.4991139240506</c:v>
                </c:pt>
                <c:pt idx="37">
                  <c:v>44.1343670886076</c:v>
                </c:pt>
                <c:pt idx="38">
                  <c:v>43.7696202531646</c:v>
                </c:pt>
                <c:pt idx="39">
                  <c:v>43.4048734177215</c:v>
                </c:pt>
                <c:pt idx="40">
                  <c:v>43.0401265822785</c:v>
                </c:pt>
                <c:pt idx="41">
                  <c:v>42.6753797468354</c:v>
                </c:pt>
                <c:pt idx="42">
                  <c:v>42.3106329113924</c:v>
                </c:pt>
                <c:pt idx="43">
                  <c:v>41.9458860759494</c:v>
                </c:pt>
                <c:pt idx="44">
                  <c:v>41.5811392405063</c:v>
                </c:pt>
                <c:pt idx="45">
                  <c:v>41.2163924050633</c:v>
                </c:pt>
                <c:pt idx="46">
                  <c:v>40.8516455696203</c:v>
                </c:pt>
                <c:pt idx="47">
                  <c:v>40.4868987341772</c:v>
                </c:pt>
                <c:pt idx="48">
                  <c:v>40.1221518987342</c:v>
                </c:pt>
                <c:pt idx="49">
                  <c:v>39.7574050632911</c:v>
                </c:pt>
                <c:pt idx="50">
                  <c:v>39.3926582278481</c:v>
                </c:pt>
                <c:pt idx="51">
                  <c:v>39.0279113924051</c:v>
                </c:pt>
                <c:pt idx="52">
                  <c:v>38.663164556962</c:v>
                </c:pt>
                <c:pt idx="53">
                  <c:v>38.298417721519</c:v>
                </c:pt>
                <c:pt idx="54">
                  <c:v>37.933670886076</c:v>
                </c:pt>
                <c:pt idx="55">
                  <c:v>37.5689240506329</c:v>
                </c:pt>
                <c:pt idx="56">
                  <c:v>37.2041772151899</c:v>
                </c:pt>
                <c:pt idx="57">
                  <c:v>36.8394303797468</c:v>
                </c:pt>
                <c:pt idx="58">
                  <c:v>36.4746835443038</c:v>
                </c:pt>
                <c:pt idx="59">
                  <c:v>36.1099367088608</c:v>
                </c:pt>
                <c:pt idx="60">
                  <c:v>35.7451898734177</c:v>
                </c:pt>
                <c:pt idx="61">
                  <c:v>35.3804430379747</c:v>
                </c:pt>
                <c:pt idx="62">
                  <c:v>35.0156962025316</c:v>
                </c:pt>
                <c:pt idx="63">
                  <c:v>34.6509493670886</c:v>
                </c:pt>
                <c:pt idx="64">
                  <c:v>34.2862025316456</c:v>
                </c:pt>
                <c:pt idx="65">
                  <c:v>33.9214556962025</c:v>
                </c:pt>
                <c:pt idx="66">
                  <c:v>33.5567088607595</c:v>
                </c:pt>
                <c:pt idx="67">
                  <c:v>33.1919620253165</c:v>
                </c:pt>
                <c:pt idx="68">
                  <c:v>32.8272151898734</c:v>
                </c:pt>
                <c:pt idx="69">
                  <c:v>32.4624683544304</c:v>
                </c:pt>
                <c:pt idx="70">
                  <c:v>32.0977215189873</c:v>
                </c:pt>
                <c:pt idx="71">
                  <c:v>31.7329746835443</c:v>
                </c:pt>
                <c:pt idx="72">
                  <c:v>31.3682278481013</c:v>
                </c:pt>
                <c:pt idx="73">
                  <c:v>31.0034810126582</c:v>
                </c:pt>
                <c:pt idx="74">
                  <c:v>30.6387341772152</c:v>
                </c:pt>
                <c:pt idx="75">
                  <c:v>30.2739873417722</c:v>
                </c:pt>
                <c:pt idx="76">
                  <c:v>29.9092405063291</c:v>
                </c:pt>
                <c:pt idx="77">
                  <c:v>29.5444936708861</c:v>
                </c:pt>
                <c:pt idx="78">
                  <c:v>29.179746835443</c:v>
                </c:pt>
                <c:pt idx="79">
                  <c:v>28.815</c:v>
                </c:pt>
                <c:pt idx="80">
                  <c:v>28.450253164557</c:v>
                </c:pt>
                <c:pt idx="81">
                  <c:v>28.0855063291139</c:v>
                </c:pt>
                <c:pt idx="82">
                  <c:v>27.7207594936709</c:v>
                </c:pt>
                <c:pt idx="83">
                  <c:v>27.3560126582279</c:v>
                </c:pt>
                <c:pt idx="84">
                  <c:v>26.9912658227848</c:v>
                </c:pt>
                <c:pt idx="85">
                  <c:v>26.6265189873418</c:v>
                </c:pt>
                <c:pt idx="86">
                  <c:v>26.2617721518987</c:v>
                </c:pt>
                <c:pt idx="87">
                  <c:v>25.8970253164557</c:v>
                </c:pt>
                <c:pt idx="88">
                  <c:v>25.5322784810127</c:v>
                </c:pt>
                <c:pt idx="89">
                  <c:v>25.1675316455696</c:v>
                </c:pt>
                <c:pt idx="90">
                  <c:v>24.8027848101266</c:v>
                </c:pt>
                <c:pt idx="91">
                  <c:v>24.4380379746835</c:v>
                </c:pt>
                <c:pt idx="92">
                  <c:v>24.0732911392405</c:v>
                </c:pt>
                <c:pt idx="93">
                  <c:v>23.7085443037975</c:v>
                </c:pt>
                <c:pt idx="94">
                  <c:v>23.3437974683544</c:v>
                </c:pt>
                <c:pt idx="95">
                  <c:v>22.9790506329114</c:v>
                </c:pt>
                <c:pt idx="96">
                  <c:v>22.6143037974684</c:v>
                </c:pt>
                <c:pt idx="97">
                  <c:v>22.2495569620253</c:v>
                </c:pt>
                <c:pt idx="98">
                  <c:v>21.8848101265823</c:v>
                </c:pt>
                <c:pt idx="99">
                  <c:v>21.5200632911392</c:v>
                </c:pt>
                <c:pt idx="100">
                  <c:v>21.1553164556962</c:v>
                </c:pt>
                <c:pt idx="101">
                  <c:v>20.7905696202532</c:v>
                </c:pt>
                <c:pt idx="102">
                  <c:v>20.4258227848101</c:v>
                </c:pt>
                <c:pt idx="103">
                  <c:v>20.0610759493671</c:v>
                </c:pt>
                <c:pt idx="104">
                  <c:v>19.6963291139241</c:v>
                </c:pt>
                <c:pt idx="105">
                  <c:v>19.331582278481</c:v>
                </c:pt>
                <c:pt idx="106">
                  <c:v>18.966835443038</c:v>
                </c:pt>
                <c:pt idx="107">
                  <c:v>18.6020886075949</c:v>
                </c:pt>
                <c:pt idx="108">
                  <c:v>18.2373417721519</c:v>
                </c:pt>
                <c:pt idx="109">
                  <c:v>17.8725949367089</c:v>
                </c:pt>
                <c:pt idx="110">
                  <c:v>17.5078481012658</c:v>
                </c:pt>
                <c:pt idx="111">
                  <c:v>17.1431012658228</c:v>
                </c:pt>
                <c:pt idx="112">
                  <c:v>16.7783544303798</c:v>
                </c:pt>
                <c:pt idx="113">
                  <c:v>16.4136075949367</c:v>
                </c:pt>
                <c:pt idx="114">
                  <c:v>16.0488607594937</c:v>
                </c:pt>
                <c:pt idx="115">
                  <c:v>15.6841139240506</c:v>
                </c:pt>
                <c:pt idx="116">
                  <c:v>15.3193670886076</c:v>
                </c:pt>
                <c:pt idx="117">
                  <c:v>14.9546202531646</c:v>
                </c:pt>
                <c:pt idx="118">
                  <c:v>14.5898734177215</c:v>
                </c:pt>
                <c:pt idx="119">
                  <c:v>14.2251265822785</c:v>
                </c:pt>
                <c:pt idx="120">
                  <c:v>13.8603797468354</c:v>
                </c:pt>
                <c:pt idx="121">
                  <c:v>13.4956329113924</c:v>
                </c:pt>
                <c:pt idx="122">
                  <c:v>13.1308860759494</c:v>
                </c:pt>
                <c:pt idx="123">
                  <c:v>12.7661392405063</c:v>
                </c:pt>
                <c:pt idx="124">
                  <c:v>12.4013924050633</c:v>
                </c:pt>
                <c:pt idx="125">
                  <c:v>12.0366455696203</c:v>
                </c:pt>
                <c:pt idx="126">
                  <c:v>11.6718987341772</c:v>
                </c:pt>
                <c:pt idx="127">
                  <c:v>11.3071518987342</c:v>
                </c:pt>
                <c:pt idx="128">
                  <c:v>10.9424050632911</c:v>
                </c:pt>
                <c:pt idx="129">
                  <c:v>10.5776582278481</c:v>
                </c:pt>
                <c:pt idx="130">
                  <c:v>10.2129113924051</c:v>
                </c:pt>
                <c:pt idx="131">
                  <c:v>9.84816455696203</c:v>
                </c:pt>
                <c:pt idx="132">
                  <c:v>9.48341772151898</c:v>
                </c:pt>
                <c:pt idx="133">
                  <c:v>9.11867088607595</c:v>
                </c:pt>
                <c:pt idx="134">
                  <c:v>8.75392405063291</c:v>
                </c:pt>
                <c:pt idx="135">
                  <c:v>8.38917721518988</c:v>
                </c:pt>
                <c:pt idx="136">
                  <c:v>8.02443037974684</c:v>
                </c:pt>
                <c:pt idx="137">
                  <c:v>7.6596835443038</c:v>
                </c:pt>
                <c:pt idx="138">
                  <c:v>7.29493670886076</c:v>
                </c:pt>
                <c:pt idx="139">
                  <c:v>6.93018987341772</c:v>
                </c:pt>
                <c:pt idx="140">
                  <c:v>6.56544303797468</c:v>
                </c:pt>
                <c:pt idx="141">
                  <c:v>6.20069620253165</c:v>
                </c:pt>
                <c:pt idx="142">
                  <c:v>5.83594936708861</c:v>
                </c:pt>
                <c:pt idx="143">
                  <c:v>5.47120253164557</c:v>
                </c:pt>
                <c:pt idx="144">
                  <c:v>5.10645569620252</c:v>
                </c:pt>
                <c:pt idx="145">
                  <c:v>4.7417088607595</c:v>
                </c:pt>
                <c:pt idx="146">
                  <c:v>4.37696202531646</c:v>
                </c:pt>
                <c:pt idx="147">
                  <c:v>4.01221518987342</c:v>
                </c:pt>
                <c:pt idx="148">
                  <c:v>3.64746835443039</c:v>
                </c:pt>
                <c:pt idx="149">
                  <c:v>3.28272151898734</c:v>
                </c:pt>
                <c:pt idx="150">
                  <c:v>2.91797468354431</c:v>
                </c:pt>
                <c:pt idx="151">
                  <c:v>2.55322784810127</c:v>
                </c:pt>
                <c:pt idx="152">
                  <c:v>2.18848101265823</c:v>
                </c:pt>
                <c:pt idx="153">
                  <c:v>1.82373417721519</c:v>
                </c:pt>
                <c:pt idx="154">
                  <c:v>1.45898734177215</c:v>
                </c:pt>
                <c:pt idx="155">
                  <c:v>1.09424050632912</c:v>
                </c:pt>
                <c:pt idx="156">
                  <c:v>0.729493670886072</c:v>
                </c:pt>
                <c:pt idx="157">
                  <c:v>0.364746835443043</c:v>
                </c:pt>
                <c:pt idx="158">
                  <c:v>0</c:v>
                </c:pt>
                <c:pt idx="159">
                  <c:v>-0.364746835443036</c:v>
                </c:pt>
              </c:numCache>
            </c:numRef>
          </c:val>
          <c:smooth val="0"/>
        </c:ser>
        <c:hiLowLines>
          <c:spPr>
            <a:ln w="0">
              <a:noFill/>
            </a:ln>
          </c:spPr>
        </c:hiLowLines>
        <c:marker val="0"/>
        <c:axId val="76145991"/>
        <c:axId val="77809138"/>
      </c:lineChart>
      <c:dateAx>
        <c:axId val="571168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398643"/>
        <c:auto val="1"/>
        <c:lblOffset val="100"/>
        <c:baseTimeUnit val="days"/>
      </c:dateAx>
      <c:valAx>
        <c:axId val="283986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116822"/>
        <c:crosses val="autoZero"/>
        <c:crossBetween val="between"/>
      </c:valAx>
      <c:dateAx>
        <c:axId val="761459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809138"/>
        <c:auto val="1"/>
        <c:lblOffset val="100"/>
        <c:baseTimeUnit val="days"/>
      </c:dateAx>
      <c:valAx>
        <c:axId val="778091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1459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numCache>
            </c:numRef>
          </c:val>
        </c:ser>
        <c:gapWidth val="150"/>
        <c:overlap val="0"/>
        <c:axId val="33767463"/>
        <c:axId val="8982531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235.63</c:v>
                </c:pt>
                <c:pt idx="1">
                  <c:v>234.138670886076</c:v>
                </c:pt>
                <c:pt idx="2">
                  <c:v>232.647341772152</c:v>
                </c:pt>
                <c:pt idx="3">
                  <c:v>231.156012658228</c:v>
                </c:pt>
                <c:pt idx="4">
                  <c:v>229.664683544304</c:v>
                </c:pt>
                <c:pt idx="5">
                  <c:v>228.17335443038</c:v>
                </c:pt>
                <c:pt idx="6">
                  <c:v>226.682025316456</c:v>
                </c:pt>
                <c:pt idx="7">
                  <c:v>225.190696202532</c:v>
                </c:pt>
                <c:pt idx="8">
                  <c:v>223.699367088608</c:v>
                </c:pt>
                <c:pt idx="9">
                  <c:v>222.208037974684</c:v>
                </c:pt>
                <c:pt idx="10">
                  <c:v>220.71670886076</c:v>
                </c:pt>
                <c:pt idx="11">
                  <c:v>219.225379746835</c:v>
                </c:pt>
                <c:pt idx="12">
                  <c:v>217.734050632911</c:v>
                </c:pt>
                <c:pt idx="13">
                  <c:v>216.242721518987</c:v>
                </c:pt>
                <c:pt idx="14">
                  <c:v>214.751392405063</c:v>
                </c:pt>
                <c:pt idx="15">
                  <c:v>213.260063291139</c:v>
                </c:pt>
                <c:pt idx="16">
                  <c:v>211.768734177215</c:v>
                </c:pt>
                <c:pt idx="17">
                  <c:v>210.277405063291</c:v>
                </c:pt>
                <c:pt idx="18">
                  <c:v>208.786075949367</c:v>
                </c:pt>
                <c:pt idx="19">
                  <c:v>207.294746835443</c:v>
                </c:pt>
                <c:pt idx="20">
                  <c:v>205.803417721519</c:v>
                </c:pt>
                <c:pt idx="21">
                  <c:v>204.312088607595</c:v>
                </c:pt>
                <c:pt idx="22">
                  <c:v>202.820759493671</c:v>
                </c:pt>
                <c:pt idx="23">
                  <c:v>201.329430379747</c:v>
                </c:pt>
                <c:pt idx="24">
                  <c:v>199.838101265823</c:v>
                </c:pt>
                <c:pt idx="25">
                  <c:v>198.346772151899</c:v>
                </c:pt>
                <c:pt idx="26">
                  <c:v>196.855443037975</c:v>
                </c:pt>
                <c:pt idx="27">
                  <c:v>195.364113924051</c:v>
                </c:pt>
                <c:pt idx="28">
                  <c:v>193.872784810127</c:v>
                </c:pt>
                <c:pt idx="29">
                  <c:v>192.381455696203</c:v>
                </c:pt>
                <c:pt idx="30">
                  <c:v>190.890126582278</c:v>
                </c:pt>
                <c:pt idx="31">
                  <c:v>189.398797468354</c:v>
                </c:pt>
                <c:pt idx="32">
                  <c:v>187.90746835443</c:v>
                </c:pt>
                <c:pt idx="33">
                  <c:v>186.416139240506</c:v>
                </c:pt>
                <c:pt idx="34">
                  <c:v>184.924810126582</c:v>
                </c:pt>
                <c:pt idx="35">
                  <c:v>183.433481012658</c:v>
                </c:pt>
                <c:pt idx="36">
                  <c:v>181.942151898734</c:v>
                </c:pt>
                <c:pt idx="37">
                  <c:v>180.45082278481</c:v>
                </c:pt>
                <c:pt idx="38">
                  <c:v>178.959493670886</c:v>
                </c:pt>
                <c:pt idx="39">
                  <c:v>177.468164556962</c:v>
                </c:pt>
                <c:pt idx="40">
                  <c:v>175.976835443038</c:v>
                </c:pt>
                <c:pt idx="41">
                  <c:v>174.485506329114</c:v>
                </c:pt>
                <c:pt idx="42">
                  <c:v>172.99417721519</c:v>
                </c:pt>
                <c:pt idx="43">
                  <c:v>171.502848101266</c:v>
                </c:pt>
                <c:pt idx="44">
                  <c:v>170.011518987342</c:v>
                </c:pt>
                <c:pt idx="45">
                  <c:v>168.520189873418</c:v>
                </c:pt>
                <c:pt idx="46">
                  <c:v>167.028860759494</c:v>
                </c:pt>
                <c:pt idx="47">
                  <c:v>165.53753164557</c:v>
                </c:pt>
                <c:pt idx="48">
                  <c:v>164.046202531646</c:v>
                </c:pt>
                <c:pt idx="49">
                  <c:v>162.554873417722</c:v>
                </c:pt>
                <c:pt idx="50">
                  <c:v>161.063544303797</c:v>
                </c:pt>
                <c:pt idx="51">
                  <c:v>159.572215189873</c:v>
                </c:pt>
                <c:pt idx="52">
                  <c:v>158.080886075949</c:v>
                </c:pt>
                <c:pt idx="53">
                  <c:v>156.589556962025</c:v>
                </c:pt>
                <c:pt idx="54">
                  <c:v>155.098227848101</c:v>
                </c:pt>
                <c:pt idx="55">
                  <c:v>153.606898734177</c:v>
                </c:pt>
                <c:pt idx="56">
                  <c:v>152.115569620253</c:v>
                </c:pt>
                <c:pt idx="57">
                  <c:v>150.624240506329</c:v>
                </c:pt>
                <c:pt idx="58">
                  <c:v>149.132911392405</c:v>
                </c:pt>
                <c:pt idx="59">
                  <c:v>147.641582278481</c:v>
                </c:pt>
                <c:pt idx="60">
                  <c:v>146.150253164557</c:v>
                </c:pt>
                <c:pt idx="61">
                  <c:v>144.658924050633</c:v>
                </c:pt>
                <c:pt idx="62">
                  <c:v>143.167594936709</c:v>
                </c:pt>
                <c:pt idx="63">
                  <c:v>141.676265822785</c:v>
                </c:pt>
                <c:pt idx="64">
                  <c:v>140.184936708861</c:v>
                </c:pt>
                <c:pt idx="65">
                  <c:v>138.693607594937</c:v>
                </c:pt>
                <c:pt idx="66">
                  <c:v>137.202278481013</c:v>
                </c:pt>
                <c:pt idx="67">
                  <c:v>135.710949367089</c:v>
                </c:pt>
                <c:pt idx="68">
                  <c:v>134.219620253165</c:v>
                </c:pt>
                <c:pt idx="69">
                  <c:v>132.728291139241</c:v>
                </c:pt>
                <c:pt idx="70">
                  <c:v>131.236962025316</c:v>
                </c:pt>
                <c:pt idx="71">
                  <c:v>129.745632911392</c:v>
                </c:pt>
                <c:pt idx="72">
                  <c:v>128.254303797468</c:v>
                </c:pt>
                <c:pt idx="73">
                  <c:v>126.762974683544</c:v>
                </c:pt>
                <c:pt idx="74">
                  <c:v>125.27164556962</c:v>
                </c:pt>
                <c:pt idx="75">
                  <c:v>123.780316455696</c:v>
                </c:pt>
                <c:pt idx="76">
                  <c:v>122.288987341772</c:v>
                </c:pt>
                <c:pt idx="77">
                  <c:v>120.797658227848</c:v>
                </c:pt>
                <c:pt idx="78">
                  <c:v>119.306329113924</c:v>
                </c:pt>
                <c:pt idx="79">
                  <c:v>117.815</c:v>
                </c:pt>
                <c:pt idx="80">
                  <c:v>116.323670886076</c:v>
                </c:pt>
                <c:pt idx="81">
                  <c:v>114.832341772152</c:v>
                </c:pt>
                <c:pt idx="82">
                  <c:v>113.341012658228</c:v>
                </c:pt>
                <c:pt idx="83">
                  <c:v>111.849683544304</c:v>
                </c:pt>
                <c:pt idx="84">
                  <c:v>110.35835443038</c:v>
                </c:pt>
                <c:pt idx="85">
                  <c:v>108.867025316456</c:v>
                </c:pt>
                <c:pt idx="86">
                  <c:v>107.375696202532</c:v>
                </c:pt>
                <c:pt idx="87">
                  <c:v>105.884367088608</c:v>
                </c:pt>
                <c:pt idx="88">
                  <c:v>104.393037974684</c:v>
                </c:pt>
                <c:pt idx="89">
                  <c:v>102.90170886076</c:v>
                </c:pt>
                <c:pt idx="90">
                  <c:v>101.410379746835</c:v>
                </c:pt>
                <c:pt idx="91">
                  <c:v>99.9190506329114</c:v>
                </c:pt>
                <c:pt idx="92">
                  <c:v>98.4277215189873</c:v>
                </c:pt>
                <c:pt idx="93">
                  <c:v>96.9363924050633</c:v>
                </c:pt>
                <c:pt idx="94">
                  <c:v>95.4450632911392</c:v>
                </c:pt>
                <c:pt idx="95">
                  <c:v>93.9537341772152</c:v>
                </c:pt>
                <c:pt idx="96">
                  <c:v>92.4624050632911</c:v>
                </c:pt>
                <c:pt idx="97">
                  <c:v>90.9710759493671</c:v>
                </c:pt>
                <c:pt idx="98">
                  <c:v>89.4797468354431</c:v>
                </c:pt>
                <c:pt idx="99">
                  <c:v>87.988417721519</c:v>
                </c:pt>
                <c:pt idx="100">
                  <c:v>86.4970886075949</c:v>
                </c:pt>
                <c:pt idx="101">
                  <c:v>85.0057594936709</c:v>
                </c:pt>
                <c:pt idx="102">
                  <c:v>83.5144303797468</c:v>
                </c:pt>
                <c:pt idx="103">
                  <c:v>82.0231012658228</c:v>
                </c:pt>
                <c:pt idx="104">
                  <c:v>80.5317721518987</c:v>
                </c:pt>
                <c:pt idx="105">
                  <c:v>79.0404430379747</c:v>
                </c:pt>
                <c:pt idx="106">
                  <c:v>77.5491139240506</c:v>
                </c:pt>
                <c:pt idx="107">
                  <c:v>76.0577848101266</c:v>
                </c:pt>
                <c:pt idx="108">
                  <c:v>74.5664556962025</c:v>
                </c:pt>
                <c:pt idx="109">
                  <c:v>73.0751265822785</c:v>
                </c:pt>
                <c:pt idx="110">
                  <c:v>71.5837974683544</c:v>
                </c:pt>
                <c:pt idx="111">
                  <c:v>70.0924683544304</c:v>
                </c:pt>
                <c:pt idx="112">
                  <c:v>68.6011392405063</c:v>
                </c:pt>
                <c:pt idx="113">
                  <c:v>67.1098101265823</c:v>
                </c:pt>
                <c:pt idx="114">
                  <c:v>65.6184810126582</c:v>
                </c:pt>
                <c:pt idx="115">
                  <c:v>64.1271518987342</c:v>
                </c:pt>
                <c:pt idx="116">
                  <c:v>62.6358227848101</c:v>
                </c:pt>
                <c:pt idx="117">
                  <c:v>61.1444936708861</c:v>
                </c:pt>
                <c:pt idx="118">
                  <c:v>59.653164556962</c:v>
                </c:pt>
                <c:pt idx="119">
                  <c:v>58.161835443038</c:v>
                </c:pt>
                <c:pt idx="120">
                  <c:v>56.6705063291139</c:v>
                </c:pt>
                <c:pt idx="121">
                  <c:v>55.1791772151899</c:v>
                </c:pt>
                <c:pt idx="122">
                  <c:v>53.6878481012658</c:v>
                </c:pt>
                <c:pt idx="123">
                  <c:v>52.1965189873418</c:v>
                </c:pt>
                <c:pt idx="124">
                  <c:v>50.7051898734177</c:v>
                </c:pt>
                <c:pt idx="125">
                  <c:v>49.2138607594937</c:v>
                </c:pt>
                <c:pt idx="126">
                  <c:v>47.7225316455696</c:v>
                </c:pt>
                <c:pt idx="127">
                  <c:v>46.2312025316456</c:v>
                </c:pt>
                <c:pt idx="128">
                  <c:v>44.7398734177215</c:v>
                </c:pt>
                <c:pt idx="129">
                  <c:v>43.2485443037975</c:v>
                </c:pt>
                <c:pt idx="130">
                  <c:v>41.7572151898734</c:v>
                </c:pt>
                <c:pt idx="131">
                  <c:v>40.2658860759494</c:v>
                </c:pt>
                <c:pt idx="132">
                  <c:v>38.7745569620253</c:v>
                </c:pt>
                <c:pt idx="133">
                  <c:v>37.2832278481013</c:v>
                </c:pt>
                <c:pt idx="134">
                  <c:v>35.7918987341772</c:v>
                </c:pt>
                <c:pt idx="135">
                  <c:v>34.3005696202532</c:v>
                </c:pt>
                <c:pt idx="136">
                  <c:v>32.8092405063291</c:v>
                </c:pt>
                <c:pt idx="137">
                  <c:v>31.3179113924051</c:v>
                </c:pt>
                <c:pt idx="138">
                  <c:v>29.826582278481</c:v>
                </c:pt>
                <c:pt idx="139">
                  <c:v>28.3352531645569</c:v>
                </c:pt>
                <c:pt idx="140">
                  <c:v>26.8439240506329</c:v>
                </c:pt>
                <c:pt idx="141">
                  <c:v>25.3525949367088</c:v>
                </c:pt>
                <c:pt idx="142">
                  <c:v>23.8612658227848</c:v>
                </c:pt>
                <c:pt idx="143">
                  <c:v>22.3699367088608</c:v>
                </c:pt>
                <c:pt idx="144">
                  <c:v>20.8786075949367</c:v>
                </c:pt>
                <c:pt idx="145">
                  <c:v>19.3872784810127</c:v>
                </c:pt>
                <c:pt idx="146">
                  <c:v>17.8959493670886</c:v>
                </c:pt>
                <c:pt idx="147">
                  <c:v>16.4046202531646</c:v>
                </c:pt>
                <c:pt idx="148">
                  <c:v>14.9132911392405</c:v>
                </c:pt>
                <c:pt idx="149">
                  <c:v>13.4219620253164</c:v>
                </c:pt>
                <c:pt idx="150">
                  <c:v>11.9306329113924</c:v>
                </c:pt>
                <c:pt idx="151">
                  <c:v>10.4393037974684</c:v>
                </c:pt>
                <c:pt idx="152">
                  <c:v>8.94797468354429</c:v>
                </c:pt>
                <c:pt idx="153">
                  <c:v>7.45664556962026</c:v>
                </c:pt>
                <c:pt idx="154">
                  <c:v>5.96531645569621</c:v>
                </c:pt>
                <c:pt idx="155">
                  <c:v>4.47398734177213</c:v>
                </c:pt>
                <c:pt idx="156">
                  <c:v>2.98265822784811</c:v>
                </c:pt>
                <c:pt idx="157">
                  <c:v>1.49132911392408</c:v>
                </c:pt>
                <c:pt idx="158">
                  <c:v>0</c:v>
                </c:pt>
                <c:pt idx="159">
                  <c:v>-1.49132911392405</c:v>
                </c:pt>
              </c:numCache>
            </c:numRef>
          </c:val>
          <c:smooth val="0"/>
        </c:ser>
        <c:hiLowLines>
          <c:spPr>
            <a:ln w="0">
              <a:noFill/>
            </a:ln>
          </c:spPr>
        </c:hiLowLines>
        <c:marker val="0"/>
        <c:axId val="58082"/>
        <c:axId val="32964208"/>
      </c:lineChart>
      <c:dateAx>
        <c:axId val="337674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25319"/>
        <c:auto val="1"/>
        <c:lblOffset val="100"/>
        <c:baseTimeUnit val="days"/>
      </c:dateAx>
      <c:valAx>
        <c:axId val="898253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67463"/>
        <c:crosses val="autoZero"/>
        <c:crossBetween val="between"/>
      </c:valAx>
      <c:dateAx>
        <c:axId val="580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64208"/>
        <c:auto val="1"/>
        <c:lblOffset val="100"/>
        <c:baseTimeUnit val="days"/>
      </c:dateAx>
      <c:valAx>
        <c:axId val="329642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numCache>
            </c:numRef>
          </c:val>
        </c:ser>
        <c:gapWidth val="150"/>
        <c:overlap val="0"/>
        <c:axId val="568833"/>
        <c:axId val="5384780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47.82</c:v>
                </c:pt>
                <c:pt idx="1">
                  <c:v>47.5173417721519</c:v>
                </c:pt>
                <c:pt idx="2">
                  <c:v>47.2146835443038</c:v>
                </c:pt>
                <c:pt idx="3">
                  <c:v>46.9120253164557</c:v>
                </c:pt>
                <c:pt idx="4">
                  <c:v>46.6093670886076</c:v>
                </c:pt>
                <c:pt idx="5">
                  <c:v>46.3067088607595</c:v>
                </c:pt>
                <c:pt idx="6">
                  <c:v>46.0040506329114</c:v>
                </c:pt>
                <c:pt idx="7">
                  <c:v>45.7013924050633</c:v>
                </c:pt>
                <c:pt idx="8">
                  <c:v>45.3987341772152</c:v>
                </c:pt>
                <c:pt idx="9">
                  <c:v>45.0960759493671</c:v>
                </c:pt>
                <c:pt idx="10">
                  <c:v>44.793417721519</c:v>
                </c:pt>
                <c:pt idx="11">
                  <c:v>44.4907594936709</c:v>
                </c:pt>
                <c:pt idx="12">
                  <c:v>44.1881012658228</c:v>
                </c:pt>
                <c:pt idx="13">
                  <c:v>43.8854430379747</c:v>
                </c:pt>
                <c:pt idx="14">
                  <c:v>43.5827848101266</c:v>
                </c:pt>
                <c:pt idx="15">
                  <c:v>43.2801265822785</c:v>
                </c:pt>
                <c:pt idx="16">
                  <c:v>42.9774683544304</c:v>
                </c:pt>
                <c:pt idx="17">
                  <c:v>42.6748101265823</c:v>
                </c:pt>
                <c:pt idx="18">
                  <c:v>42.3721518987342</c:v>
                </c:pt>
                <c:pt idx="19">
                  <c:v>42.0694936708861</c:v>
                </c:pt>
                <c:pt idx="20">
                  <c:v>41.766835443038</c:v>
                </c:pt>
                <c:pt idx="21">
                  <c:v>41.4641772151899</c:v>
                </c:pt>
                <c:pt idx="22">
                  <c:v>41.1615189873418</c:v>
                </c:pt>
                <c:pt idx="23">
                  <c:v>40.8588607594937</c:v>
                </c:pt>
                <c:pt idx="24">
                  <c:v>40.5562025316456</c:v>
                </c:pt>
                <c:pt idx="25">
                  <c:v>40.2535443037975</c:v>
                </c:pt>
                <c:pt idx="26">
                  <c:v>39.9508860759494</c:v>
                </c:pt>
                <c:pt idx="27">
                  <c:v>39.6482278481013</c:v>
                </c:pt>
                <c:pt idx="28">
                  <c:v>39.3455696202532</c:v>
                </c:pt>
                <c:pt idx="29">
                  <c:v>39.0429113924051</c:v>
                </c:pt>
                <c:pt idx="30">
                  <c:v>38.740253164557</c:v>
                </c:pt>
                <c:pt idx="31">
                  <c:v>38.4375949367089</c:v>
                </c:pt>
                <c:pt idx="32">
                  <c:v>38.1349367088608</c:v>
                </c:pt>
                <c:pt idx="33">
                  <c:v>37.8322784810127</c:v>
                </c:pt>
                <c:pt idx="34">
                  <c:v>37.5296202531646</c:v>
                </c:pt>
                <c:pt idx="35">
                  <c:v>37.2269620253165</c:v>
                </c:pt>
                <c:pt idx="36">
                  <c:v>36.9243037974684</c:v>
                </c:pt>
                <c:pt idx="37">
                  <c:v>36.6216455696203</c:v>
                </c:pt>
                <c:pt idx="38">
                  <c:v>36.3189873417722</c:v>
                </c:pt>
                <c:pt idx="39">
                  <c:v>36.0163291139241</c:v>
                </c:pt>
                <c:pt idx="40">
                  <c:v>35.7136708860759</c:v>
                </c:pt>
                <c:pt idx="41">
                  <c:v>35.4110126582279</c:v>
                </c:pt>
                <c:pt idx="42">
                  <c:v>35.1083544303798</c:v>
                </c:pt>
                <c:pt idx="43">
                  <c:v>34.8056962025316</c:v>
                </c:pt>
                <c:pt idx="44">
                  <c:v>34.5030379746835</c:v>
                </c:pt>
                <c:pt idx="45">
                  <c:v>34.2003797468354</c:v>
                </c:pt>
                <c:pt idx="46">
                  <c:v>33.8977215189873</c:v>
                </c:pt>
                <c:pt idx="47">
                  <c:v>33.5950632911392</c:v>
                </c:pt>
                <c:pt idx="48">
                  <c:v>33.2924050632911</c:v>
                </c:pt>
                <c:pt idx="49">
                  <c:v>32.989746835443</c:v>
                </c:pt>
                <c:pt idx="50">
                  <c:v>32.6870886075949</c:v>
                </c:pt>
                <c:pt idx="51">
                  <c:v>32.3844303797468</c:v>
                </c:pt>
                <c:pt idx="52">
                  <c:v>32.0817721518987</c:v>
                </c:pt>
                <c:pt idx="53">
                  <c:v>31.7791139240506</c:v>
                </c:pt>
                <c:pt idx="54">
                  <c:v>31.4764556962025</c:v>
                </c:pt>
                <c:pt idx="55">
                  <c:v>31.1737974683544</c:v>
                </c:pt>
                <c:pt idx="56">
                  <c:v>30.8711392405063</c:v>
                </c:pt>
                <c:pt idx="57">
                  <c:v>30.5684810126582</c:v>
                </c:pt>
                <c:pt idx="58">
                  <c:v>30.2658227848101</c:v>
                </c:pt>
                <c:pt idx="59">
                  <c:v>29.963164556962</c:v>
                </c:pt>
                <c:pt idx="60">
                  <c:v>29.6605063291139</c:v>
                </c:pt>
                <c:pt idx="61">
                  <c:v>29.3578481012658</c:v>
                </c:pt>
                <c:pt idx="62">
                  <c:v>29.0551898734177</c:v>
                </c:pt>
                <c:pt idx="63">
                  <c:v>28.7525316455696</c:v>
                </c:pt>
                <c:pt idx="64">
                  <c:v>28.4498734177215</c:v>
                </c:pt>
                <c:pt idx="65">
                  <c:v>28.1472151898734</c:v>
                </c:pt>
                <c:pt idx="66">
                  <c:v>27.8445569620253</c:v>
                </c:pt>
                <c:pt idx="67">
                  <c:v>27.5418987341772</c:v>
                </c:pt>
                <c:pt idx="68">
                  <c:v>27.2392405063291</c:v>
                </c:pt>
                <c:pt idx="69">
                  <c:v>26.936582278481</c:v>
                </c:pt>
                <c:pt idx="70">
                  <c:v>26.6339240506329</c:v>
                </c:pt>
                <c:pt idx="71">
                  <c:v>26.3312658227848</c:v>
                </c:pt>
                <c:pt idx="72">
                  <c:v>26.0286075949367</c:v>
                </c:pt>
                <c:pt idx="73">
                  <c:v>25.7259493670886</c:v>
                </c:pt>
                <c:pt idx="74">
                  <c:v>25.4232911392405</c:v>
                </c:pt>
                <c:pt idx="75">
                  <c:v>25.1206329113924</c:v>
                </c:pt>
                <c:pt idx="76">
                  <c:v>24.8179746835443</c:v>
                </c:pt>
                <c:pt idx="77">
                  <c:v>24.5153164556962</c:v>
                </c:pt>
                <c:pt idx="78">
                  <c:v>24.2126582278481</c:v>
                </c:pt>
                <c:pt idx="79">
                  <c:v>23.91</c:v>
                </c:pt>
                <c:pt idx="80">
                  <c:v>23.6073417721519</c:v>
                </c:pt>
                <c:pt idx="81">
                  <c:v>23.3046835443038</c:v>
                </c:pt>
                <c:pt idx="82">
                  <c:v>23.0020253164557</c:v>
                </c:pt>
                <c:pt idx="83">
                  <c:v>22.6993670886076</c:v>
                </c:pt>
                <c:pt idx="84">
                  <c:v>22.3967088607595</c:v>
                </c:pt>
                <c:pt idx="85">
                  <c:v>22.0940506329114</c:v>
                </c:pt>
                <c:pt idx="86">
                  <c:v>21.7913924050633</c:v>
                </c:pt>
                <c:pt idx="87">
                  <c:v>21.4887341772152</c:v>
                </c:pt>
                <c:pt idx="88">
                  <c:v>21.1860759493671</c:v>
                </c:pt>
                <c:pt idx="89">
                  <c:v>20.883417721519</c:v>
                </c:pt>
                <c:pt idx="90">
                  <c:v>20.5807594936709</c:v>
                </c:pt>
                <c:pt idx="91">
                  <c:v>20.2781012658228</c:v>
                </c:pt>
                <c:pt idx="92">
                  <c:v>19.9754430379747</c:v>
                </c:pt>
                <c:pt idx="93">
                  <c:v>19.6727848101266</c:v>
                </c:pt>
                <c:pt idx="94">
                  <c:v>19.3701265822785</c:v>
                </c:pt>
                <c:pt idx="95">
                  <c:v>19.0674683544304</c:v>
                </c:pt>
                <c:pt idx="96">
                  <c:v>18.7648101265823</c:v>
                </c:pt>
                <c:pt idx="97">
                  <c:v>18.4621518987342</c:v>
                </c:pt>
                <c:pt idx="98">
                  <c:v>18.1594936708861</c:v>
                </c:pt>
                <c:pt idx="99">
                  <c:v>17.856835443038</c:v>
                </c:pt>
                <c:pt idx="100">
                  <c:v>17.5541772151899</c:v>
                </c:pt>
                <c:pt idx="101">
                  <c:v>17.2515189873418</c:v>
                </c:pt>
                <c:pt idx="102">
                  <c:v>16.9488607594937</c:v>
                </c:pt>
                <c:pt idx="103">
                  <c:v>16.6462025316456</c:v>
                </c:pt>
                <c:pt idx="104">
                  <c:v>16.3435443037975</c:v>
                </c:pt>
                <c:pt idx="105">
                  <c:v>16.0408860759494</c:v>
                </c:pt>
                <c:pt idx="106">
                  <c:v>15.7382278481013</c:v>
                </c:pt>
                <c:pt idx="107">
                  <c:v>15.4355696202532</c:v>
                </c:pt>
                <c:pt idx="108">
                  <c:v>15.1329113924051</c:v>
                </c:pt>
                <c:pt idx="109">
                  <c:v>14.830253164557</c:v>
                </c:pt>
                <c:pt idx="110">
                  <c:v>14.5275949367089</c:v>
                </c:pt>
                <c:pt idx="111">
                  <c:v>14.2249367088608</c:v>
                </c:pt>
                <c:pt idx="112">
                  <c:v>13.9222784810127</c:v>
                </c:pt>
                <c:pt idx="113">
                  <c:v>13.6196202531646</c:v>
                </c:pt>
                <c:pt idx="114">
                  <c:v>13.3169620253165</c:v>
                </c:pt>
                <c:pt idx="115">
                  <c:v>13.0143037974684</c:v>
                </c:pt>
                <c:pt idx="116">
                  <c:v>12.7116455696203</c:v>
                </c:pt>
                <c:pt idx="117">
                  <c:v>12.4089873417722</c:v>
                </c:pt>
                <c:pt idx="118">
                  <c:v>12.106329113924</c:v>
                </c:pt>
                <c:pt idx="119">
                  <c:v>11.8036708860759</c:v>
                </c:pt>
                <c:pt idx="120">
                  <c:v>11.5010126582279</c:v>
                </c:pt>
                <c:pt idx="121">
                  <c:v>11.1983544303797</c:v>
                </c:pt>
                <c:pt idx="122">
                  <c:v>10.8956962025316</c:v>
                </c:pt>
                <c:pt idx="123">
                  <c:v>10.5930379746835</c:v>
                </c:pt>
                <c:pt idx="124">
                  <c:v>10.2903797468354</c:v>
                </c:pt>
                <c:pt idx="125">
                  <c:v>9.98772151898734</c:v>
                </c:pt>
                <c:pt idx="126">
                  <c:v>9.68506329113924</c:v>
                </c:pt>
                <c:pt idx="127">
                  <c:v>9.38240506329114</c:v>
                </c:pt>
                <c:pt idx="128">
                  <c:v>9.07974683544304</c:v>
                </c:pt>
                <c:pt idx="129">
                  <c:v>8.77708860759494</c:v>
                </c:pt>
                <c:pt idx="130">
                  <c:v>8.47443037974684</c:v>
                </c:pt>
                <c:pt idx="131">
                  <c:v>8.17177215189874</c:v>
                </c:pt>
                <c:pt idx="132">
                  <c:v>7.86911392405064</c:v>
                </c:pt>
                <c:pt idx="133">
                  <c:v>7.56645569620253</c:v>
                </c:pt>
                <c:pt idx="134">
                  <c:v>7.26379746835443</c:v>
                </c:pt>
                <c:pt idx="135">
                  <c:v>6.96113924050633</c:v>
                </c:pt>
                <c:pt idx="136">
                  <c:v>6.65848101265823</c:v>
                </c:pt>
                <c:pt idx="137">
                  <c:v>6.35582278481012</c:v>
                </c:pt>
                <c:pt idx="138">
                  <c:v>6.05316455696202</c:v>
                </c:pt>
                <c:pt idx="139">
                  <c:v>5.75050632911392</c:v>
                </c:pt>
                <c:pt idx="140">
                  <c:v>5.44784810126582</c:v>
                </c:pt>
                <c:pt idx="141">
                  <c:v>5.14518987341772</c:v>
                </c:pt>
                <c:pt idx="142">
                  <c:v>4.84253164556962</c:v>
                </c:pt>
                <c:pt idx="143">
                  <c:v>4.53987341772152</c:v>
                </c:pt>
                <c:pt idx="144">
                  <c:v>4.23721518987342</c:v>
                </c:pt>
                <c:pt idx="145">
                  <c:v>3.93455696202532</c:v>
                </c:pt>
                <c:pt idx="146">
                  <c:v>3.63189873417721</c:v>
                </c:pt>
                <c:pt idx="147">
                  <c:v>3.32924050632911</c:v>
                </c:pt>
                <c:pt idx="148">
                  <c:v>3.02658227848102</c:v>
                </c:pt>
                <c:pt idx="149">
                  <c:v>2.72392405063291</c:v>
                </c:pt>
                <c:pt idx="150">
                  <c:v>2.42126582278481</c:v>
                </c:pt>
                <c:pt idx="151">
                  <c:v>2.11860759493671</c:v>
                </c:pt>
                <c:pt idx="152">
                  <c:v>1.81594936708861</c:v>
                </c:pt>
                <c:pt idx="153">
                  <c:v>1.51329113924051</c:v>
                </c:pt>
                <c:pt idx="154">
                  <c:v>1.21063291139241</c:v>
                </c:pt>
                <c:pt idx="155">
                  <c:v>0.907974683544303</c:v>
                </c:pt>
                <c:pt idx="156">
                  <c:v>0.605316455696205</c:v>
                </c:pt>
                <c:pt idx="157">
                  <c:v>0.302658227848106</c:v>
                </c:pt>
                <c:pt idx="158">
                  <c:v>0</c:v>
                </c:pt>
                <c:pt idx="159">
                  <c:v>-0.302658227848099</c:v>
                </c:pt>
              </c:numCache>
            </c:numRef>
          </c:val>
          <c:smooth val="0"/>
        </c:ser>
        <c:hiLowLines>
          <c:spPr>
            <a:ln w="0">
              <a:noFill/>
            </a:ln>
          </c:spPr>
        </c:hiLowLines>
        <c:marker val="0"/>
        <c:axId val="95495748"/>
        <c:axId val="96159241"/>
      </c:lineChart>
      <c:dateAx>
        <c:axId val="5688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847803"/>
        <c:auto val="1"/>
        <c:lblOffset val="100"/>
        <c:baseTimeUnit val="days"/>
      </c:dateAx>
      <c:valAx>
        <c:axId val="538478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833"/>
        <c:crosses val="autoZero"/>
        <c:crossBetween val="between"/>
      </c:valAx>
      <c:dateAx>
        <c:axId val="954957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59241"/>
        <c:auto val="1"/>
        <c:lblOffset val="100"/>
        <c:baseTimeUnit val="days"/>
      </c:dateAx>
      <c:valAx>
        <c:axId val="9615924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957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numCache>
            </c:numRef>
          </c:val>
        </c:ser>
        <c:gapWidth val="150"/>
        <c:overlap val="0"/>
        <c:axId val="29494647"/>
        <c:axId val="8125337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58.54</c:v>
                </c:pt>
                <c:pt idx="1">
                  <c:v>58.1694936708861</c:v>
                </c:pt>
                <c:pt idx="2">
                  <c:v>57.7989873417722</c:v>
                </c:pt>
                <c:pt idx="3">
                  <c:v>57.4284810126582</c:v>
                </c:pt>
                <c:pt idx="4">
                  <c:v>57.0579746835443</c:v>
                </c:pt>
                <c:pt idx="5">
                  <c:v>56.6874683544304</c:v>
                </c:pt>
                <c:pt idx="6">
                  <c:v>56.3169620253165</c:v>
                </c:pt>
                <c:pt idx="7">
                  <c:v>55.9464556962025</c:v>
                </c:pt>
                <c:pt idx="8">
                  <c:v>55.5759493670886</c:v>
                </c:pt>
                <c:pt idx="9">
                  <c:v>55.2054430379747</c:v>
                </c:pt>
                <c:pt idx="10">
                  <c:v>54.8349367088608</c:v>
                </c:pt>
                <c:pt idx="11">
                  <c:v>54.4644303797468</c:v>
                </c:pt>
                <c:pt idx="12">
                  <c:v>54.0939240506329</c:v>
                </c:pt>
                <c:pt idx="13">
                  <c:v>53.723417721519</c:v>
                </c:pt>
                <c:pt idx="14">
                  <c:v>53.3529113924051</c:v>
                </c:pt>
                <c:pt idx="15">
                  <c:v>52.9824050632911</c:v>
                </c:pt>
                <c:pt idx="16">
                  <c:v>52.6118987341772</c:v>
                </c:pt>
                <c:pt idx="17">
                  <c:v>52.2413924050633</c:v>
                </c:pt>
                <c:pt idx="18">
                  <c:v>51.8708860759494</c:v>
                </c:pt>
                <c:pt idx="19">
                  <c:v>51.5003797468354</c:v>
                </c:pt>
                <c:pt idx="20">
                  <c:v>51.1298734177215</c:v>
                </c:pt>
                <c:pt idx="21">
                  <c:v>50.7593670886076</c:v>
                </c:pt>
                <c:pt idx="22">
                  <c:v>50.3888607594937</c:v>
                </c:pt>
                <c:pt idx="23">
                  <c:v>50.0183544303797</c:v>
                </c:pt>
                <c:pt idx="24">
                  <c:v>49.6478481012658</c:v>
                </c:pt>
                <c:pt idx="25">
                  <c:v>49.2773417721519</c:v>
                </c:pt>
                <c:pt idx="26">
                  <c:v>48.906835443038</c:v>
                </c:pt>
                <c:pt idx="27">
                  <c:v>48.5363291139241</c:v>
                </c:pt>
                <c:pt idx="28">
                  <c:v>48.1658227848101</c:v>
                </c:pt>
                <c:pt idx="29">
                  <c:v>47.7953164556962</c:v>
                </c:pt>
                <c:pt idx="30">
                  <c:v>47.4248101265823</c:v>
                </c:pt>
                <c:pt idx="31">
                  <c:v>47.0543037974684</c:v>
                </c:pt>
                <c:pt idx="32">
                  <c:v>46.6837974683544</c:v>
                </c:pt>
                <c:pt idx="33">
                  <c:v>46.3132911392405</c:v>
                </c:pt>
                <c:pt idx="34">
                  <c:v>45.9427848101266</c:v>
                </c:pt>
                <c:pt idx="35">
                  <c:v>45.5722784810127</c:v>
                </c:pt>
                <c:pt idx="36">
                  <c:v>45.2017721518987</c:v>
                </c:pt>
                <c:pt idx="37">
                  <c:v>44.8312658227848</c:v>
                </c:pt>
                <c:pt idx="38">
                  <c:v>44.4607594936709</c:v>
                </c:pt>
                <c:pt idx="39">
                  <c:v>44.090253164557</c:v>
                </c:pt>
                <c:pt idx="40">
                  <c:v>43.719746835443</c:v>
                </c:pt>
                <c:pt idx="41">
                  <c:v>43.3492405063291</c:v>
                </c:pt>
                <c:pt idx="42">
                  <c:v>42.9787341772152</c:v>
                </c:pt>
                <c:pt idx="43">
                  <c:v>42.6082278481013</c:v>
                </c:pt>
                <c:pt idx="44">
                  <c:v>42.2377215189873</c:v>
                </c:pt>
                <c:pt idx="45">
                  <c:v>41.8672151898734</c:v>
                </c:pt>
                <c:pt idx="46">
                  <c:v>41.4967088607595</c:v>
                </c:pt>
                <c:pt idx="47">
                  <c:v>41.1262025316456</c:v>
                </c:pt>
                <c:pt idx="48">
                  <c:v>40.7556962025316</c:v>
                </c:pt>
                <c:pt idx="49">
                  <c:v>40.3851898734177</c:v>
                </c:pt>
                <c:pt idx="50">
                  <c:v>40.0146835443038</c:v>
                </c:pt>
                <c:pt idx="51">
                  <c:v>39.6441772151899</c:v>
                </c:pt>
                <c:pt idx="52">
                  <c:v>39.273670886076</c:v>
                </c:pt>
                <c:pt idx="53">
                  <c:v>38.903164556962</c:v>
                </c:pt>
                <c:pt idx="54">
                  <c:v>38.5326582278481</c:v>
                </c:pt>
                <c:pt idx="55">
                  <c:v>38.1621518987342</c:v>
                </c:pt>
                <c:pt idx="56">
                  <c:v>37.7916455696203</c:v>
                </c:pt>
                <c:pt idx="57">
                  <c:v>37.4211392405063</c:v>
                </c:pt>
                <c:pt idx="58">
                  <c:v>37.0506329113924</c:v>
                </c:pt>
                <c:pt idx="59">
                  <c:v>36.6801265822785</c:v>
                </c:pt>
                <c:pt idx="60">
                  <c:v>36.3096202531646</c:v>
                </c:pt>
                <c:pt idx="61">
                  <c:v>35.9391139240506</c:v>
                </c:pt>
                <c:pt idx="62">
                  <c:v>35.5686075949367</c:v>
                </c:pt>
                <c:pt idx="63">
                  <c:v>35.1981012658228</c:v>
                </c:pt>
                <c:pt idx="64">
                  <c:v>34.8275949367089</c:v>
                </c:pt>
                <c:pt idx="65">
                  <c:v>34.4570886075949</c:v>
                </c:pt>
                <c:pt idx="66">
                  <c:v>34.086582278481</c:v>
                </c:pt>
                <c:pt idx="67">
                  <c:v>33.7160759493671</c:v>
                </c:pt>
                <c:pt idx="68">
                  <c:v>33.3455696202532</c:v>
                </c:pt>
                <c:pt idx="69">
                  <c:v>32.9750632911392</c:v>
                </c:pt>
                <c:pt idx="70">
                  <c:v>32.6045569620253</c:v>
                </c:pt>
                <c:pt idx="71">
                  <c:v>32.2340506329114</c:v>
                </c:pt>
                <c:pt idx="72">
                  <c:v>31.8635443037975</c:v>
                </c:pt>
                <c:pt idx="73">
                  <c:v>31.4930379746835</c:v>
                </c:pt>
                <c:pt idx="74">
                  <c:v>31.1225316455696</c:v>
                </c:pt>
                <c:pt idx="75">
                  <c:v>30.7520253164557</c:v>
                </c:pt>
                <c:pt idx="76">
                  <c:v>30.3815189873418</c:v>
                </c:pt>
                <c:pt idx="77">
                  <c:v>30.0110126582279</c:v>
                </c:pt>
                <c:pt idx="78">
                  <c:v>29.6405063291139</c:v>
                </c:pt>
                <c:pt idx="79">
                  <c:v>29.27</c:v>
                </c:pt>
                <c:pt idx="80">
                  <c:v>28.8994936708861</c:v>
                </c:pt>
                <c:pt idx="81">
                  <c:v>28.5289873417722</c:v>
                </c:pt>
                <c:pt idx="82">
                  <c:v>28.1584810126582</c:v>
                </c:pt>
                <c:pt idx="83">
                  <c:v>27.7879746835443</c:v>
                </c:pt>
                <c:pt idx="84">
                  <c:v>27.4174683544304</c:v>
                </c:pt>
                <c:pt idx="85">
                  <c:v>27.0469620253165</c:v>
                </c:pt>
                <c:pt idx="86">
                  <c:v>26.6764556962025</c:v>
                </c:pt>
                <c:pt idx="87">
                  <c:v>26.3059493670886</c:v>
                </c:pt>
                <c:pt idx="88">
                  <c:v>25.9354430379747</c:v>
                </c:pt>
                <c:pt idx="89">
                  <c:v>25.5649367088608</c:v>
                </c:pt>
                <c:pt idx="90">
                  <c:v>25.1944303797468</c:v>
                </c:pt>
                <c:pt idx="91">
                  <c:v>24.8239240506329</c:v>
                </c:pt>
                <c:pt idx="92">
                  <c:v>24.453417721519</c:v>
                </c:pt>
                <c:pt idx="93">
                  <c:v>24.0829113924051</c:v>
                </c:pt>
                <c:pt idx="94">
                  <c:v>23.7124050632911</c:v>
                </c:pt>
                <c:pt idx="95">
                  <c:v>23.3418987341772</c:v>
                </c:pt>
                <c:pt idx="96">
                  <c:v>22.9713924050633</c:v>
                </c:pt>
                <c:pt idx="97">
                  <c:v>22.6008860759494</c:v>
                </c:pt>
                <c:pt idx="98">
                  <c:v>22.2303797468354</c:v>
                </c:pt>
                <c:pt idx="99">
                  <c:v>21.8598734177215</c:v>
                </c:pt>
                <c:pt idx="100">
                  <c:v>21.4893670886076</c:v>
                </c:pt>
                <c:pt idx="101">
                  <c:v>21.1188607594937</c:v>
                </c:pt>
                <c:pt idx="102">
                  <c:v>20.7483544303798</c:v>
                </c:pt>
                <c:pt idx="103">
                  <c:v>20.3778481012658</c:v>
                </c:pt>
                <c:pt idx="104">
                  <c:v>20.0073417721519</c:v>
                </c:pt>
                <c:pt idx="105">
                  <c:v>19.636835443038</c:v>
                </c:pt>
                <c:pt idx="106">
                  <c:v>19.2663291139241</c:v>
                </c:pt>
                <c:pt idx="107">
                  <c:v>18.8958227848101</c:v>
                </c:pt>
                <c:pt idx="108">
                  <c:v>18.5253164556962</c:v>
                </c:pt>
                <c:pt idx="109">
                  <c:v>18.1548101265823</c:v>
                </c:pt>
                <c:pt idx="110">
                  <c:v>17.7843037974684</c:v>
                </c:pt>
                <c:pt idx="111">
                  <c:v>17.4137974683544</c:v>
                </c:pt>
                <c:pt idx="112">
                  <c:v>17.0432911392405</c:v>
                </c:pt>
                <c:pt idx="113">
                  <c:v>16.6727848101266</c:v>
                </c:pt>
                <c:pt idx="114">
                  <c:v>16.3022784810127</c:v>
                </c:pt>
                <c:pt idx="115">
                  <c:v>15.9317721518987</c:v>
                </c:pt>
                <c:pt idx="116">
                  <c:v>15.5612658227848</c:v>
                </c:pt>
                <c:pt idx="117">
                  <c:v>15.1907594936709</c:v>
                </c:pt>
                <c:pt idx="118">
                  <c:v>14.820253164557</c:v>
                </c:pt>
                <c:pt idx="119">
                  <c:v>14.449746835443</c:v>
                </c:pt>
                <c:pt idx="120">
                  <c:v>14.0792405063291</c:v>
                </c:pt>
                <c:pt idx="121">
                  <c:v>13.7087341772152</c:v>
                </c:pt>
                <c:pt idx="122">
                  <c:v>13.3382278481013</c:v>
                </c:pt>
                <c:pt idx="123">
                  <c:v>12.9677215189873</c:v>
                </c:pt>
                <c:pt idx="124">
                  <c:v>12.5972151898734</c:v>
                </c:pt>
                <c:pt idx="125">
                  <c:v>12.2267088607595</c:v>
                </c:pt>
                <c:pt idx="126">
                  <c:v>11.8562025316456</c:v>
                </c:pt>
                <c:pt idx="127">
                  <c:v>11.4856962025316</c:v>
                </c:pt>
                <c:pt idx="128">
                  <c:v>11.1151898734177</c:v>
                </c:pt>
                <c:pt idx="129">
                  <c:v>10.7446835443038</c:v>
                </c:pt>
                <c:pt idx="130">
                  <c:v>10.3741772151899</c:v>
                </c:pt>
                <c:pt idx="131">
                  <c:v>10.003670886076</c:v>
                </c:pt>
                <c:pt idx="132">
                  <c:v>9.63316455696203</c:v>
                </c:pt>
                <c:pt idx="133">
                  <c:v>9.2626582278481</c:v>
                </c:pt>
                <c:pt idx="134">
                  <c:v>8.89215189873418</c:v>
                </c:pt>
                <c:pt idx="135">
                  <c:v>8.52164556962025</c:v>
                </c:pt>
                <c:pt idx="136">
                  <c:v>8.15113924050633</c:v>
                </c:pt>
                <c:pt idx="137">
                  <c:v>7.78063291139241</c:v>
                </c:pt>
                <c:pt idx="138">
                  <c:v>7.41012658227848</c:v>
                </c:pt>
                <c:pt idx="139">
                  <c:v>7.03962025316456</c:v>
                </c:pt>
                <c:pt idx="140">
                  <c:v>6.66911392405063</c:v>
                </c:pt>
                <c:pt idx="141">
                  <c:v>6.29860759493671</c:v>
                </c:pt>
                <c:pt idx="142">
                  <c:v>5.92810126582278</c:v>
                </c:pt>
                <c:pt idx="143">
                  <c:v>5.55759493670887</c:v>
                </c:pt>
                <c:pt idx="144">
                  <c:v>5.18708860759494</c:v>
                </c:pt>
                <c:pt idx="145">
                  <c:v>4.81658227848102</c:v>
                </c:pt>
                <c:pt idx="146">
                  <c:v>4.44607594936709</c:v>
                </c:pt>
                <c:pt idx="147">
                  <c:v>4.07556962025317</c:v>
                </c:pt>
                <c:pt idx="148">
                  <c:v>3.70506329113924</c:v>
                </c:pt>
                <c:pt idx="149">
                  <c:v>3.33455696202532</c:v>
                </c:pt>
                <c:pt idx="150">
                  <c:v>2.96405063291139</c:v>
                </c:pt>
                <c:pt idx="151">
                  <c:v>2.59354430379747</c:v>
                </c:pt>
                <c:pt idx="152">
                  <c:v>2.22303797468354</c:v>
                </c:pt>
                <c:pt idx="153">
                  <c:v>1.85253164556963</c:v>
                </c:pt>
                <c:pt idx="154">
                  <c:v>1.4820253164557</c:v>
                </c:pt>
                <c:pt idx="155">
                  <c:v>1.11151898734177</c:v>
                </c:pt>
                <c:pt idx="156">
                  <c:v>0.741012658227845</c:v>
                </c:pt>
                <c:pt idx="157">
                  <c:v>0.370506329113923</c:v>
                </c:pt>
                <c:pt idx="158">
                  <c:v>0</c:v>
                </c:pt>
                <c:pt idx="159">
                  <c:v>-0.37050632911393</c:v>
                </c:pt>
              </c:numCache>
            </c:numRef>
          </c:val>
          <c:smooth val="0"/>
        </c:ser>
        <c:hiLowLines>
          <c:spPr>
            <a:ln w="0">
              <a:noFill/>
            </a:ln>
          </c:spPr>
        </c:hiLowLines>
        <c:marker val="0"/>
        <c:axId val="74202932"/>
        <c:axId val="41235901"/>
      </c:lineChart>
      <c:dateAx>
        <c:axId val="294946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253370"/>
        <c:auto val="1"/>
        <c:lblOffset val="100"/>
        <c:baseTimeUnit val="days"/>
      </c:dateAx>
      <c:valAx>
        <c:axId val="812533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94647"/>
        <c:crosses val="autoZero"/>
        <c:crossBetween val="between"/>
      </c:valAx>
      <c:dateAx>
        <c:axId val="742029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235901"/>
        <c:auto val="1"/>
        <c:lblOffset val="100"/>
        <c:baseTimeUnit val="days"/>
      </c:dateAx>
      <c:valAx>
        <c:axId val="412359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029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numCache>
            </c:numRef>
          </c:val>
        </c:ser>
        <c:gapWidth val="150"/>
        <c:overlap val="0"/>
        <c:axId val="40967029"/>
        <c:axId val="71135004"/>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26.91</c:v>
                </c:pt>
                <c:pt idx="1">
                  <c:v>26.7396835443038</c:v>
                </c:pt>
                <c:pt idx="2">
                  <c:v>26.5693670886076</c:v>
                </c:pt>
                <c:pt idx="3">
                  <c:v>26.3990506329114</c:v>
                </c:pt>
                <c:pt idx="4">
                  <c:v>26.2287341772152</c:v>
                </c:pt>
                <c:pt idx="5">
                  <c:v>26.058417721519</c:v>
                </c:pt>
                <c:pt idx="6">
                  <c:v>25.8881012658228</c:v>
                </c:pt>
                <c:pt idx="7">
                  <c:v>25.7177848101266</c:v>
                </c:pt>
                <c:pt idx="8">
                  <c:v>25.5474683544304</c:v>
                </c:pt>
                <c:pt idx="9">
                  <c:v>25.3771518987342</c:v>
                </c:pt>
                <c:pt idx="10">
                  <c:v>25.206835443038</c:v>
                </c:pt>
                <c:pt idx="11">
                  <c:v>25.0365189873418</c:v>
                </c:pt>
                <c:pt idx="12">
                  <c:v>24.8662025316456</c:v>
                </c:pt>
                <c:pt idx="13">
                  <c:v>24.6958860759494</c:v>
                </c:pt>
                <c:pt idx="14">
                  <c:v>24.5255696202532</c:v>
                </c:pt>
                <c:pt idx="15">
                  <c:v>24.355253164557</c:v>
                </c:pt>
                <c:pt idx="16">
                  <c:v>24.1849367088608</c:v>
                </c:pt>
                <c:pt idx="17">
                  <c:v>24.0146202531646</c:v>
                </c:pt>
                <c:pt idx="18">
                  <c:v>23.8443037974684</c:v>
                </c:pt>
                <c:pt idx="19">
                  <c:v>23.6739873417722</c:v>
                </c:pt>
                <c:pt idx="20">
                  <c:v>23.503670886076</c:v>
                </c:pt>
                <c:pt idx="21">
                  <c:v>23.3333544303797</c:v>
                </c:pt>
                <c:pt idx="22">
                  <c:v>23.1630379746835</c:v>
                </c:pt>
                <c:pt idx="23">
                  <c:v>22.9927215189873</c:v>
                </c:pt>
                <c:pt idx="24">
                  <c:v>22.8224050632911</c:v>
                </c:pt>
                <c:pt idx="25">
                  <c:v>22.6520886075949</c:v>
                </c:pt>
                <c:pt idx="26">
                  <c:v>22.4817721518987</c:v>
                </c:pt>
                <c:pt idx="27">
                  <c:v>22.3114556962025</c:v>
                </c:pt>
                <c:pt idx="28">
                  <c:v>22.1411392405063</c:v>
                </c:pt>
                <c:pt idx="29">
                  <c:v>21.9708227848101</c:v>
                </c:pt>
                <c:pt idx="30">
                  <c:v>21.8005063291139</c:v>
                </c:pt>
                <c:pt idx="31">
                  <c:v>21.6301898734177</c:v>
                </c:pt>
                <c:pt idx="32">
                  <c:v>21.4598734177215</c:v>
                </c:pt>
                <c:pt idx="33">
                  <c:v>21.2895569620253</c:v>
                </c:pt>
                <c:pt idx="34">
                  <c:v>21.1192405063291</c:v>
                </c:pt>
                <c:pt idx="35">
                  <c:v>20.9489240506329</c:v>
                </c:pt>
                <c:pt idx="36">
                  <c:v>20.7786075949367</c:v>
                </c:pt>
                <c:pt idx="37">
                  <c:v>20.6082911392405</c:v>
                </c:pt>
                <c:pt idx="38">
                  <c:v>20.4379746835443</c:v>
                </c:pt>
                <c:pt idx="39">
                  <c:v>20.2676582278481</c:v>
                </c:pt>
                <c:pt idx="40">
                  <c:v>20.0973417721519</c:v>
                </c:pt>
                <c:pt idx="41">
                  <c:v>19.9270253164557</c:v>
                </c:pt>
                <c:pt idx="42">
                  <c:v>19.7567088607595</c:v>
                </c:pt>
                <c:pt idx="43">
                  <c:v>19.5863924050633</c:v>
                </c:pt>
                <c:pt idx="44">
                  <c:v>19.4160759493671</c:v>
                </c:pt>
                <c:pt idx="45">
                  <c:v>19.2457594936709</c:v>
                </c:pt>
                <c:pt idx="46">
                  <c:v>19.0754430379747</c:v>
                </c:pt>
                <c:pt idx="47">
                  <c:v>18.9051265822785</c:v>
                </c:pt>
                <c:pt idx="48">
                  <c:v>18.7348101265823</c:v>
                </c:pt>
                <c:pt idx="49">
                  <c:v>18.5644936708861</c:v>
                </c:pt>
                <c:pt idx="50">
                  <c:v>18.3941772151899</c:v>
                </c:pt>
                <c:pt idx="51">
                  <c:v>18.2238607594937</c:v>
                </c:pt>
                <c:pt idx="52">
                  <c:v>18.0535443037975</c:v>
                </c:pt>
                <c:pt idx="53">
                  <c:v>17.8832278481013</c:v>
                </c:pt>
                <c:pt idx="54">
                  <c:v>17.7129113924051</c:v>
                </c:pt>
                <c:pt idx="55">
                  <c:v>17.5425949367089</c:v>
                </c:pt>
                <c:pt idx="56">
                  <c:v>17.3722784810127</c:v>
                </c:pt>
                <c:pt idx="57">
                  <c:v>17.2019620253165</c:v>
                </c:pt>
                <c:pt idx="58">
                  <c:v>17.0316455696203</c:v>
                </c:pt>
                <c:pt idx="59">
                  <c:v>16.8613291139241</c:v>
                </c:pt>
                <c:pt idx="60">
                  <c:v>16.6910126582278</c:v>
                </c:pt>
                <c:pt idx="61">
                  <c:v>16.5206962025316</c:v>
                </c:pt>
                <c:pt idx="62">
                  <c:v>16.3503797468354</c:v>
                </c:pt>
                <c:pt idx="63">
                  <c:v>16.1800632911392</c:v>
                </c:pt>
                <c:pt idx="64">
                  <c:v>16.009746835443</c:v>
                </c:pt>
                <c:pt idx="65">
                  <c:v>15.8394303797468</c:v>
                </c:pt>
                <c:pt idx="66">
                  <c:v>15.6691139240506</c:v>
                </c:pt>
                <c:pt idx="67">
                  <c:v>15.4987974683544</c:v>
                </c:pt>
                <c:pt idx="68">
                  <c:v>15.3284810126582</c:v>
                </c:pt>
                <c:pt idx="69">
                  <c:v>15.158164556962</c:v>
                </c:pt>
                <c:pt idx="70">
                  <c:v>14.9878481012658</c:v>
                </c:pt>
                <c:pt idx="71">
                  <c:v>14.8175316455696</c:v>
                </c:pt>
                <c:pt idx="72">
                  <c:v>14.6472151898734</c:v>
                </c:pt>
                <c:pt idx="73">
                  <c:v>14.4768987341772</c:v>
                </c:pt>
                <c:pt idx="74">
                  <c:v>14.306582278481</c:v>
                </c:pt>
                <c:pt idx="75">
                  <c:v>14.1362658227848</c:v>
                </c:pt>
                <c:pt idx="76">
                  <c:v>13.9659493670886</c:v>
                </c:pt>
                <c:pt idx="77">
                  <c:v>13.7956329113924</c:v>
                </c:pt>
                <c:pt idx="78">
                  <c:v>13.6253164556962</c:v>
                </c:pt>
                <c:pt idx="79">
                  <c:v>13.455</c:v>
                </c:pt>
                <c:pt idx="80">
                  <c:v>13.2846835443038</c:v>
                </c:pt>
                <c:pt idx="81">
                  <c:v>13.1143670886076</c:v>
                </c:pt>
                <c:pt idx="82">
                  <c:v>12.9440506329114</c:v>
                </c:pt>
                <c:pt idx="83">
                  <c:v>12.7737341772152</c:v>
                </c:pt>
                <c:pt idx="84">
                  <c:v>12.603417721519</c:v>
                </c:pt>
                <c:pt idx="85">
                  <c:v>12.4331012658228</c:v>
                </c:pt>
                <c:pt idx="86">
                  <c:v>12.2627848101266</c:v>
                </c:pt>
                <c:pt idx="87">
                  <c:v>12.0924683544304</c:v>
                </c:pt>
                <c:pt idx="88">
                  <c:v>11.9221518987342</c:v>
                </c:pt>
                <c:pt idx="89">
                  <c:v>11.751835443038</c:v>
                </c:pt>
                <c:pt idx="90">
                  <c:v>11.5815189873418</c:v>
                </c:pt>
                <c:pt idx="91">
                  <c:v>11.4112025316456</c:v>
                </c:pt>
                <c:pt idx="92">
                  <c:v>11.2408860759494</c:v>
                </c:pt>
                <c:pt idx="93">
                  <c:v>11.0705696202532</c:v>
                </c:pt>
                <c:pt idx="94">
                  <c:v>10.900253164557</c:v>
                </c:pt>
                <c:pt idx="95">
                  <c:v>10.7299367088608</c:v>
                </c:pt>
                <c:pt idx="96">
                  <c:v>10.5596202531646</c:v>
                </c:pt>
                <c:pt idx="97">
                  <c:v>10.3893037974684</c:v>
                </c:pt>
                <c:pt idx="98">
                  <c:v>10.2189873417722</c:v>
                </c:pt>
                <c:pt idx="99">
                  <c:v>10.048670886076</c:v>
                </c:pt>
                <c:pt idx="100">
                  <c:v>9.87835443037975</c:v>
                </c:pt>
                <c:pt idx="101">
                  <c:v>9.70803797468355</c:v>
                </c:pt>
                <c:pt idx="102">
                  <c:v>9.53772151898734</c:v>
                </c:pt>
                <c:pt idx="103">
                  <c:v>9.36740506329114</c:v>
                </c:pt>
                <c:pt idx="104">
                  <c:v>9.19708860759494</c:v>
                </c:pt>
                <c:pt idx="105">
                  <c:v>9.02677215189873</c:v>
                </c:pt>
                <c:pt idx="106">
                  <c:v>8.85645569620253</c:v>
                </c:pt>
                <c:pt idx="107">
                  <c:v>8.68613924050633</c:v>
                </c:pt>
                <c:pt idx="108">
                  <c:v>8.51582278481013</c:v>
                </c:pt>
                <c:pt idx="109">
                  <c:v>8.34550632911392</c:v>
                </c:pt>
                <c:pt idx="110">
                  <c:v>8.17518987341772</c:v>
                </c:pt>
                <c:pt idx="111">
                  <c:v>8.00487341772152</c:v>
                </c:pt>
                <c:pt idx="112">
                  <c:v>7.83455696202532</c:v>
                </c:pt>
                <c:pt idx="113">
                  <c:v>7.66424050632912</c:v>
                </c:pt>
                <c:pt idx="114">
                  <c:v>7.49392405063291</c:v>
                </c:pt>
                <c:pt idx="115">
                  <c:v>7.32360759493671</c:v>
                </c:pt>
                <c:pt idx="116">
                  <c:v>7.15329113924051</c:v>
                </c:pt>
                <c:pt idx="117">
                  <c:v>6.98297468354431</c:v>
                </c:pt>
                <c:pt idx="118">
                  <c:v>6.8126582278481</c:v>
                </c:pt>
                <c:pt idx="119">
                  <c:v>6.6423417721519</c:v>
                </c:pt>
                <c:pt idx="120">
                  <c:v>6.4720253164557</c:v>
                </c:pt>
                <c:pt idx="121">
                  <c:v>6.30170886075949</c:v>
                </c:pt>
                <c:pt idx="122">
                  <c:v>6.13139240506329</c:v>
                </c:pt>
                <c:pt idx="123">
                  <c:v>5.96107594936709</c:v>
                </c:pt>
                <c:pt idx="124">
                  <c:v>5.79075949367089</c:v>
                </c:pt>
                <c:pt idx="125">
                  <c:v>5.62044303797469</c:v>
                </c:pt>
                <c:pt idx="126">
                  <c:v>5.45012658227848</c:v>
                </c:pt>
                <c:pt idx="127">
                  <c:v>5.27981012658228</c:v>
                </c:pt>
                <c:pt idx="128">
                  <c:v>5.10949367088607</c:v>
                </c:pt>
                <c:pt idx="129">
                  <c:v>4.93917721518988</c:v>
                </c:pt>
                <c:pt idx="130">
                  <c:v>4.76886075949367</c:v>
                </c:pt>
                <c:pt idx="131">
                  <c:v>4.59854430379747</c:v>
                </c:pt>
                <c:pt idx="132">
                  <c:v>4.42822784810127</c:v>
                </c:pt>
                <c:pt idx="133">
                  <c:v>4.25791139240506</c:v>
                </c:pt>
                <c:pt idx="134">
                  <c:v>4.08759493670886</c:v>
                </c:pt>
                <c:pt idx="135">
                  <c:v>3.91727848101266</c:v>
                </c:pt>
                <c:pt idx="136">
                  <c:v>3.74696202531645</c:v>
                </c:pt>
                <c:pt idx="137">
                  <c:v>3.57664556962025</c:v>
                </c:pt>
                <c:pt idx="138">
                  <c:v>3.40632911392405</c:v>
                </c:pt>
                <c:pt idx="139">
                  <c:v>3.23601265822785</c:v>
                </c:pt>
                <c:pt idx="140">
                  <c:v>3.06569620253164</c:v>
                </c:pt>
                <c:pt idx="141">
                  <c:v>2.89537974683545</c:v>
                </c:pt>
                <c:pt idx="142">
                  <c:v>2.72506329113924</c:v>
                </c:pt>
                <c:pt idx="143">
                  <c:v>2.55474683544304</c:v>
                </c:pt>
                <c:pt idx="144">
                  <c:v>2.38443037974684</c:v>
                </c:pt>
                <c:pt idx="145">
                  <c:v>2.21411392405063</c:v>
                </c:pt>
                <c:pt idx="146">
                  <c:v>2.04379746835443</c:v>
                </c:pt>
                <c:pt idx="147">
                  <c:v>1.87348101265823</c:v>
                </c:pt>
                <c:pt idx="148">
                  <c:v>1.70316455696203</c:v>
                </c:pt>
                <c:pt idx="149">
                  <c:v>1.53284810126582</c:v>
                </c:pt>
                <c:pt idx="150">
                  <c:v>1.36253164556962</c:v>
                </c:pt>
                <c:pt idx="151">
                  <c:v>1.19221518987342</c:v>
                </c:pt>
                <c:pt idx="152">
                  <c:v>1.02189873417721</c:v>
                </c:pt>
                <c:pt idx="153">
                  <c:v>0.851582278481011</c:v>
                </c:pt>
                <c:pt idx="154">
                  <c:v>0.681265822784809</c:v>
                </c:pt>
                <c:pt idx="155">
                  <c:v>0.510949367088607</c:v>
                </c:pt>
                <c:pt idx="156">
                  <c:v>0.340632911392405</c:v>
                </c:pt>
                <c:pt idx="157">
                  <c:v>0.170316455696202</c:v>
                </c:pt>
                <c:pt idx="158">
                  <c:v>0</c:v>
                </c:pt>
                <c:pt idx="159">
                  <c:v>-0.170316455696199</c:v>
                </c:pt>
              </c:numCache>
            </c:numRef>
          </c:val>
          <c:smooth val="0"/>
        </c:ser>
        <c:hiLowLines>
          <c:spPr>
            <a:ln w="0">
              <a:noFill/>
            </a:ln>
          </c:spPr>
        </c:hiLowLines>
        <c:marker val="0"/>
        <c:axId val="38939770"/>
        <c:axId val="24166050"/>
      </c:lineChart>
      <c:dateAx>
        <c:axId val="409670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35004"/>
        <c:auto val="1"/>
        <c:lblOffset val="100"/>
        <c:baseTimeUnit val="days"/>
      </c:dateAx>
      <c:valAx>
        <c:axId val="711350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967029"/>
        <c:crosses val="autoZero"/>
        <c:crossBetween val="between"/>
      </c:valAx>
      <c:dateAx>
        <c:axId val="389397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166050"/>
        <c:auto val="1"/>
        <c:lblOffset val="100"/>
        <c:baseTimeUnit val="days"/>
      </c:dateAx>
      <c:valAx>
        <c:axId val="241660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397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numCache>
            </c:numRef>
          </c:val>
        </c:ser>
        <c:gapWidth val="150"/>
        <c:overlap val="0"/>
        <c:axId val="85339486"/>
        <c:axId val="98853655"/>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91279987"/>
        <c:axId val="22536017"/>
      </c:lineChart>
      <c:dateAx>
        <c:axId val="853394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853655"/>
        <c:auto val="1"/>
        <c:lblOffset val="100"/>
        <c:baseTimeUnit val="days"/>
      </c:dateAx>
      <c:valAx>
        <c:axId val="988536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339486"/>
        <c:crosses val="autoZero"/>
        <c:crossBetween val="between"/>
      </c:valAx>
      <c:dateAx>
        <c:axId val="912799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536017"/>
        <c:auto val="1"/>
        <c:lblOffset val="100"/>
        <c:baseTimeUnit val="days"/>
      </c:dateAx>
      <c:valAx>
        <c:axId val="225360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2799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340560</xdr:colOff>
      <xdr:row>174</xdr:row>
      <xdr:rowOff>163440</xdr:rowOff>
    </xdr:to>
    <xdr:graphicFrame>
      <xdr:nvGraphicFramePr>
        <xdr:cNvPr id="1" name="Chart 1"/>
        <xdr:cNvGraphicFramePr/>
      </xdr:nvGraphicFramePr>
      <xdr:xfrm>
        <a:off x="0" y="31194360"/>
        <a:ext cx="2695680" cy="2154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362160</xdr:colOff>
      <xdr:row>174</xdr:row>
      <xdr:rowOff>163440</xdr:rowOff>
    </xdr:to>
    <xdr:graphicFrame>
      <xdr:nvGraphicFramePr>
        <xdr:cNvPr id="2" name="Chart 2"/>
        <xdr:cNvGraphicFramePr/>
      </xdr:nvGraphicFramePr>
      <xdr:xfrm>
        <a:off x="3551400" y="31194360"/>
        <a:ext cx="2356200" cy="2154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128160</xdr:colOff>
      <xdr:row>174</xdr:row>
      <xdr:rowOff>163440</xdr:rowOff>
    </xdr:to>
    <xdr:graphicFrame>
      <xdr:nvGraphicFramePr>
        <xdr:cNvPr id="3" name="Chart 3"/>
        <xdr:cNvGraphicFramePr/>
      </xdr:nvGraphicFramePr>
      <xdr:xfrm>
        <a:off x="6741720" y="31194360"/>
        <a:ext cx="2411640" cy="2154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380520</xdr:colOff>
      <xdr:row>174</xdr:row>
      <xdr:rowOff>163440</xdr:rowOff>
    </xdr:to>
    <xdr:graphicFrame>
      <xdr:nvGraphicFramePr>
        <xdr:cNvPr id="4" name="Chart 4"/>
        <xdr:cNvGraphicFramePr/>
      </xdr:nvGraphicFramePr>
      <xdr:xfrm>
        <a:off x="10450080" y="31194360"/>
        <a:ext cx="4655520" cy="21542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340560</xdr:colOff>
      <xdr:row>190</xdr:row>
      <xdr:rowOff>163440</xdr:rowOff>
    </xdr:to>
    <xdr:graphicFrame>
      <xdr:nvGraphicFramePr>
        <xdr:cNvPr id="5" name="Chart 5"/>
        <xdr:cNvGraphicFramePr/>
      </xdr:nvGraphicFramePr>
      <xdr:xfrm>
        <a:off x="0" y="34089840"/>
        <a:ext cx="2695680" cy="21542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362160</xdr:colOff>
      <xdr:row>190</xdr:row>
      <xdr:rowOff>163440</xdr:rowOff>
    </xdr:to>
    <xdr:graphicFrame>
      <xdr:nvGraphicFramePr>
        <xdr:cNvPr id="6" name="Chart 6"/>
        <xdr:cNvGraphicFramePr/>
      </xdr:nvGraphicFramePr>
      <xdr:xfrm>
        <a:off x="3551400" y="34089840"/>
        <a:ext cx="2356200" cy="21542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128160</xdr:colOff>
      <xdr:row>190</xdr:row>
      <xdr:rowOff>163440</xdr:rowOff>
    </xdr:to>
    <xdr:graphicFrame>
      <xdr:nvGraphicFramePr>
        <xdr:cNvPr id="7" name="Chart 7"/>
        <xdr:cNvGraphicFramePr/>
      </xdr:nvGraphicFramePr>
      <xdr:xfrm>
        <a:off x="6741720" y="34089840"/>
        <a:ext cx="2411640" cy="21542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380520</xdr:colOff>
      <xdr:row>190</xdr:row>
      <xdr:rowOff>163440</xdr:rowOff>
    </xdr:to>
    <xdr:graphicFrame>
      <xdr:nvGraphicFramePr>
        <xdr:cNvPr id="8" name="Chart 8"/>
        <xdr:cNvGraphicFramePr/>
      </xdr:nvGraphicFramePr>
      <xdr:xfrm>
        <a:off x="10450080" y="34089840"/>
        <a:ext cx="4655520" cy="21542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340560</xdr:colOff>
      <xdr:row>206</xdr:row>
      <xdr:rowOff>162720</xdr:rowOff>
    </xdr:to>
    <xdr:graphicFrame>
      <xdr:nvGraphicFramePr>
        <xdr:cNvPr id="9" name="Chart 9"/>
        <xdr:cNvGraphicFramePr/>
      </xdr:nvGraphicFramePr>
      <xdr:xfrm>
        <a:off x="0" y="36985680"/>
        <a:ext cx="2695680" cy="21535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362160</xdr:colOff>
      <xdr:row>206</xdr:row>
      <xdr:rowOff>162720</xdr:rowOff>
    </xdr:to>
    <xdr:graphicFrame>
      <xdr:nvGraphicFramePr>
        <xdr:cNvPr id="10" name="Chart 10"/>
        <xdr:cNvGraphicFramePr/>
      </xdr:nvGraphicFramePr>
      <xdr:xfrm>
        <a:off x="3551400" y="36985680"/>
        <a:ext cx="2356200" cy="21535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128160</xdr:colOff>
      <xdr:row>206</xdr:row>
      <xdr:rowOff>162720</xdr:rowOff>
    </xdr:to>
    <xdr:graphicFrame>
      <xdr:nvGraphicFramePr>
        <xdr:cNvPr id="11" name="Chart 11"/>
        <xdr:cNvGraphicFramePr/>
      </xdr:nvGraphicFramePr>
      <xdr:xfrm>
        <a:off x="6741720" y="36985680"/>
        <a:ext cx="2411640" cy="21535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380520</xdr:colOff>
      <xdr:row>206</xdr:row>
      <xdr:rowOff>162720</xdr:rowOff>
    </xdr:to>
    <xdr:graphicFrame>
      <xdr:nvGraphicFramePr>
        <xdr:cNvPr id="12" name="Chart 12"/>
        <xdr:cNvGraphicFramePr/>
      </xdr:nvGraphicFramePr>
      <xdr:xfrm>
        <a:off x="10450080" y="36985680"/>
        <a:ext cx="4655520" cy="21535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340560</xdr:colOff>
      <xdr:row>222</xdr:row>
      <xdr:rowOff>163440</xdr:rowOff>
    </xdr:to>
    <xdr:graphicFrame>
      <xdr:nvGraphicFramePr>
        <xdr:cNvPr id="13" name="Chart 13"/>
        <xdr:cNvGraphicFramePr/>
      </xdr:nvGraphicFramePr>
      <xdr:xfrm>
        <a:off x="0" y="39881160"/>
        <a:ext cx="2695680" cy="21542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362160</xdr:colOff>
      <xdr:row>222</xdr:row>
      <xdr:rowOff>163440</xdr:rowOff>
    </xdr:to>
    <xdr:graphicFrame>
      <xdr:nvGraphicFramePr>
        <xdr:cNvPr id="14" name="Chart 14"/>
        <xdr:cNvGraphicFramePr/>
      </xdr:nvGraphicFramePr>
      <xdr:xfrm>
        <a:off x="3551400" y="39881160"/>
        <a:ext cx="2356200" cy="21542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128160</xdr:colOff>
      <xdr:row>222</xdr:row>
      <xdr:rowOff>163440</xdr:rowOff>
    </xdr:to>
    <xdr:graphicFrame>
      <xdr:nvGraphicFramePr>
        <xdr:cNvPr id="15" name="Chart 15"/>
        <xdr:cNvGraphicFramePr/>
      </xdr:nvGraphicFramePr>
      <xdr:xfrm>
        <a:off x="6741720" y="39881160"/>
        <a:ext cx="2411640" cy="21542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380520</xdr:colOff>
      <xdr:row>222</xdr:row>
      <xdr:rowOff>163440</xdr:rowOff>
    </xdr:to>
    <xdr:graphicFrame>
      <xdr:nvGraphicFramePr>
        <xdr:cNvPr id="16" name="Chart 16"/>
        <xdr:cNvGraphicFramePr/>
      </xdr:nvGraphicFramePr>
      <xdr:xfrm>
        <a:off x="10450080" y="39881160"/>
        <a:ext cx="4655520" cy="21542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340560</xdr:colOff>
      <xdr:row>238</xdr:row>
      <xdr:rowOff>163440</xdr:rowOff>
    </xdr:to>
    <xdr:graphicFrame>
      <xdr:nvGraphicFramePr>
        <xdr:cNvPr id="17" name="Chart 17"/>
        <xdr:cNvGraphicFramePr/>
      </xdr:nvGraphicFramePr>
      <xdr:xfrm>
        <a:off x="0" y="42776640"/>
        <a:ext cx="2695680" cy="21542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362160</xdr:colOff>
      <xdr:row>238</xdr:row>
      <xdr:rowOff>163440</xdr:rowOff>
    </xdr:to>
    <xdr:graphicFrame>
      <xdr:nvGraphicFramePr>
        <xdr:cNvPr id="18" name="Chart 18"/>
        <xdr:cNvGraphicFramePr/>
      </xdr:nvGraphicFramePr>
      <xdr:xfrm>
        <a:off x="3551400" y="42776640"/>
        <a:ext cx="2356200" cy="21542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396000</xdr:colOff>
      <xdr:row>252</xdr:row>
      <xdr:rowOff>163440</xdr:rowOff>
    </xdr:to>
    <xdr:graphicFrame>
      <xdr:nvGraphicFramePr>
        <xdr:cNvPr id="19" name="Chart 19"/>
        <xdr:cNvGraphicFramePr/>
      </xdr:nvGraphicFramePr>
      <xdr:xfrm>
        <a:off x="0" y="45310320"/>
        <a:ext cx="2352600" cy="21542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8"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776662.72174865</v>
      </c>
      <c r="H50" s="34" t="n">
        <f aca="false">SUM(H3:H23)+SUM(H27:H46)</f>
        <v>761324.56</v>
      </c>
      <c r="I50" s="35" t="n">
        <f aca="false">SUM(I3:I23)+SUM(I27:I46)</f>
        <v>15338.16174865</v>
      </c>
    </row>
    <row r="51" customFormat="false" ht="14.25" hidden="false" customHeight="true" outlineLevel="0" collapsed="false">
      <c r="A51" s="28"/>
      <c r="B51" s="29"/>
      <c r="C51" s="30" t="s">
        <v>191</v>
      </c>
      <c r="D51" s="31"/>
      <c r="E51" s="30"/>
      <c r="F51" s="30"/>
      <c r="G51" s="33" t="n">
        <f aca="false">SUM(G14:G21)+G27+G28+G29+G31+G35+G36+G43+G46</f>
        <v>469091.8438424</v>
      </c>
      <c r="H51" s="34" t="n">
        <f aca="false">SUM(H14:H21)+H27+H28+H29+H31+H35+H36+H43+H46</f>
        <v>490791.69</v>
      </c>
      <c r="I51" s="35" t="n">
        <f aca="false">G51-H51</f>
        <v>-21699.8461576</v>
      </c>
      <c r="L51" s="36" t="n">
        <f aca="false">IFERROR(G51/G50,"")</f>
        <v>0.603983982630508</v>
      </c>
      <c r="M51" s="28" t="s">
        <v>192</v>
      </c>
    </row>
    <row r="52" customFormat="false" ht="90"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46275</v>
      </c>
      <c r="K3" s="62" t="s">
        <v>213</v>
      </c>
      <c r="L3" s="69"/>
      <c r="M3" s="62" t="s">
        <v>213</v>
      </c>
      <c r="N3" s="69"/>
      <c r="O3" s="70" t="n">
        <f aca="true">IF(C3="","",TODAY()-C3)</f>
        <v>57</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57</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57</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57</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57</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46295</v>
      </c>
      <c r="K8" s="62" t="s">
        <v>214</v>
      </c>
      <c r="L8" s="69" t="s">
        <v>219</v>
      </c>
      <c r="M8" s="62" t="s">
        <v>213</v>
      </c>
      <c r="N8" s="69"/>
      <c r="O8" s="70" t="n">
        <f aca="true">IF(C8="","",TODAY()-C8)</f>
        <v>57</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57</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57</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57</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57</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46267</v>
      </c>
      <c r="K13" s="62" t="s">
        <v>213</v>
      </c>
      <c r="L13" s="69"/>
      <c r="M13" s="62" t="s">
        <v>213</v>
      </c>
      <c r="N13" s="69"/>
      <c r="O13" s="70" t="n">
        <f aca="true">IF(C13="","",TODAY()-C13)</f>
        <v>57</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57</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56</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51</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51</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46331</v>
      </c>
      <c r="K18" s="62" t="s">
        <v>213</v>
      </c>
      <c r="L18" s="69"/>
      <c r="M18" s="62" t="s">
        <v>213</v>
      </c>
      <c r="N18" s="69"/>
      <c r="O18" s="70" t="n">
        <f aca="true">IF(C18="","",TODAY()-C18)</f>
        <v>52</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52</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46330</v>
      </c>
      <c r="K20" s="62" t="s">
        <v>213</v>
      </c>
      <c r="L20" s="69"/>
      <c r="M20" s="62" t="s">
        <v>213</v>
      </c>
      <c r="N20" s="69"/>
      <c r="O20" s="70" t="n">
        <f aca="true">IF(C20="","",TODAY()-C20)</f>
        <v>52</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46289</v>
      </c>
      <c r="K21" s="62" t="s">
        <v>213</v>
      </c>
      <c r="L21" s="69"/>
      <c r="M21" s="62" t="s">
        <v>213</v>
      </c>
      <c r="N21" s="69"/>
      <c r="O21" s="70" t="n">
        <f aca="true">IF(C21="","",TODAY()-C21)</f>
        <v>52</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52</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52</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39</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52</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52</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46330</v>
      </c>
      <c r="K27" s="62" t="s">
        <v>214</v>
      </c>
      <c r="L27" s="69" t="s">
        <v>242</v>
      </c>
      <c r="M27" s="62" t="s">
        <v>213</v>
      </c>
      <c r="N27" s="69"/>
      <c r="O27" s="70" t="n">
        <f aca="true">IF(C27="","",TODAY()-C27)</f>
        <v>21</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50</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51</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50</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51</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52</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52</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52</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52</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39</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46294</v>
      </c>
      <c r="K37" s="62" t="s">
        <v>214</v>
      </c>
      <c r="L37" s="69" t="s">
        <v>257</v>
      </c>
      <c r="M37" s="62" t="s">
        <v>214</v>
      </c>
      <c r="N37" s="69" t="s">
        <v>258</v>
      </c>
      <c r="O37" s="70" t="n">
        <f aca="true">IF(C37="","",TODAY()-C37)</f>
        <v>51</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46321</v>
      </c>
      <c r="K38" s="62" t="s">
        <v>214</v>
      </c>
      <c r="L38" s="69" t="s">
        <v>260</v>
      </c>
      <c r="M38" s="62" t="s">
        <v>214</v>
      </c>
      <c r="N38" s="69" t="s">
        <v>261</v>
      </c>
      <c r="O38" s="70" t="n">
        <f aca="true">IF(C38="","",TODAY()-C38)</f>
        <v>52</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57</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52</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50</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52</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57</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57</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52</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51</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52</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21</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5" min="15" style="82" width="6.77"/>
    <col collapsed="false" customWidth="true" hidden="false" outlineLevel="0" max="16" min="16" style="82" width="4.44"/>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0" min="20" style="82" width="6.56"/>
    <col collapsed="false" customWidth="true" hidden="false" outlineLevel="0" max="21" min="21" style="82" width="3.76"/>
    <col collapsed="false" customWidth="true" hidden="false" outlineLevel="0" max="22" min="22" style="82" width="6.56"/>
    <col collapsed="false" customWidth="true" hidden="false" outlineLevel="0" max="27" min="23" style="82" width="5.6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156</v>
      </c>
      <c r="G2" s="85" t="s">
        <v>104</v>
      </c>
      <c r="H2" s="85" t="s">
        <v>126</v>
      </c>
      <c r="I2" s="85" t="s">
        <v>106</v>
      </c>
      <c r="J2" s="85" t="s">
        <v>108</v>
      </c>
      <c r="K2" s="85" t="s">
        <v>110</v>
      </c>
      <c r="L2" s="85" t="s">
        <v>170</v>
      </c>
      <c r="M2" s="85" t="s">
        <v>112</v>
      </c>
      <c r="N2" s="85" t="s">
        <v>132</v>
      </c>
      <c r="O2" s="85" t="s">
        <v>138</v>
      </c>
      <c r="P2" s="85" t="s">
        <v>114</v>
      </c>
      <c r="Q2" s="85" t="s">
        <v>118</v>
      </c>
      <c r="R2" s="85" t="s">
        <v>152</v>
      </c>
      <c r="S2" s="85" t="s">
        <v>138</v>
      </c>
      <c r="T2" s="85" t="s">
        <v>129</v>
      </c>
      <c r="U2" s="85"/>
      <c r="V2" s="85" t="s">
        <v>118</v>
      </c>
      <c r="W2" s="85"/>
      <c r="X2" s="85"/>
      <c r="Y2" s="85"/>
      <c r="Z2" s="85"/>
      <c r="AA2" s="85"/>
    </row>
    <row r="3" customFormat="false" ht="15" hidden="false" customHeight="true" outlineLevel="0" collapsed="false">
      <c r="A3" s="86" t="n">
        <v>45184</v>
      </c>
      <c r="B3" s="87" t="n">
        <v>528.89</v>
      </c>
      <c r="C3" s="87" t="n">
        <v>46.18</v>
      </c>
      <c r="D3" s="87" t="n">
        <v>582.01</v>
      </c>
      <c r="E3" s="87" t="n">
        <v>82</v>
      </c>
      <c r="F3" s="87" t="n">
        <v>75.31</v>
      </c>
      <c r="G3" s="87" t="n">
        <v>41.36</v>
      </c>
      <c r="H3" s="87" t="n">
        <v>100.59</v>
      </c>
      <c r="I3" s="87" t="n">
        <v>44.35</v>
      </c>
      <c r="J3" s="87" t="n">
        <v>69.11</v>
      </c>
      <c r="K3" s="87" t="n">
        <v>43.77</v>
      </c>
      <c r="L3" s="87" t="n">
        <v>111.84</v>
      </c>
      <c r="M3" s="87" t="n">
        <v>15.33</v>
      </c>
      <c r="N3" s="87" t="n">
        <v>21.8</v>
      </c>
      <c r="O3" s="87" t="n">
        <v>57.63</v>
      </c>
      <c r="P3" s="87" t="n">
        <v>85.75</v>
      </c>
      <c r="Q3" s="87" t="n">
        <v>235.63</v>
      </c>
      <c r="R3" s="87" t="n">
        <v>47.82</v>
      </c>
      <c r="S3" s="87" t="n">
        <v>58.54</v>
      </c>
      <c r="T3" s="87" t="n">
        <v>26.91</v>
      </c>
      <c r="U3" s="87"/>
      <c r="V3" s="87"/>
      <c r="W3" s="87"/>
      <c r="X3" s="87"/>
      <c r="Y3" s="87"/>
      <c r="Z3" s="87"/>
      <c r="AA3" s="87"/>
    </row>
    <row r="4" customFormat="false" ht="15" hidden="false" customHeight="true" outlineLevel="0" collapsed="false">
      <c r="A4" s="68" t="n">
        <v>45191</v>
      </c>
      <c r="B4" s="65" t="n">
        <v>512.9</v>
      </c>
      <c r="C4" s="65" t="n">
        <v>45.08</v>
      </c>
      <c r="D4" s="65" t="n">
        <v>572.69</v>
      </c>
      <c r="E4" s="65" t="n">
        <v>80.26</v>
      </c>
      <c r="F4" s="65" t="n">
        <v>73.11</v>
      </c>
      <c r="G4" s="65" t="n">
        <v>40.64</v>
      </c>
      <c r="H4" s="65" t="n">
        <v>98.44</v>
      </c>
      <c r="I4" s="65" t="n">
        <v>44.12</v>
      </c>
      <c r="J4" s="65" t="n">
        <v>68.12</v>
      </c>
      <c r="K4" s="65" t="n">
        <v>41.49</v>
      </c>
      <c r="L4" s="65" t="n">
        <v>103.57</v>
      </c>
      <c r="M4" s="65" t="n">
        <v>14.13</v>
      </c>
      <c r="N4" s="65" t="n">
        <v>21.3</v>
      </c>
      <c r="O4" s="65" t="n">
        <v>56.23</v>
      </c>
      <c r="P4" s="65" t="n">
        <v>82.28</v>
      </c>
      <c r="Q4" s="65" t="n">
        <v>229.78</v>
      </c>
      <c r="R4" s="65" t="n">
        <v>46.93</v>
      </c>
      <c r="S4" s="65" t="n">
        <v>58.05</v>
      </c>
      <c r="T4" s="65" t="n">
        <v>26.19</v>
      </c>
      <c r="U4" s="65"/>
      <c r="V4" s="65"/>
      <c r="W4" s="65"/>
      <c r="X4" s="65"/>
      <c r="Y4" s="65"/>
      <c r="Z4" s="65"/>
      <c r="AA4" s="65"/>
    </row>
    <row r="5" customFormat="false" ht="15" hidden="false" customHeight="true" outlineLevel="0" collapsed="false">
      <c r="A5" s="68" t="n">
        <v>45198</v>
      </c>
      <c r="B5" s="65" t="n">
        <v>509.9</v>
      </c>
      <c r="C5" s="65" t="n">
        <v>45.98</v>
      </c>
      <c r="D5" s="65" t="n">
        <v>574.21</v>
      </c>
      <c r="E5" s="65" t="n">
        <v>80.41</v>
      </c>
      <c r="F5" s="65" t="n">
        <v>74.31</v>
      </c>
      <c r="G5" s="65" t="n">
        <v>41.85</v>
      </c>
      <c r="H5" s="65" t="n">
        <v>96.59</v>
      </c>
      <c r="I5" s="65" t="n">
        <v>44.79</v>
      </c>
      <c r="J5" s="65" t="n">
        <v>67.28</v>
      </c>
      <c r="K5" s="65" t="n">
        <v>43.37</v>
      </c>
      <c r="L5" s="65" t="n">
        <v>101.88</v>
      </c>
      <c r="M5" s="65" t="n">
        <v>16</v>
      </c>
      <c r="N5" s="65" t="n">
        <v>21.14</v>
      </c>
      <c r="O5" s="65" t="n">
        <v>56.06</v>
      </c>
      <c r="P5" s="65" t="n">
        <v>83.49</v>
      </c>
      <c r="Q5" s="65" t="n">
        <v>224.82</v>
      </c>
      <c r="R5" s="65" t="n">
        <v>47.68</v>
      </c>
      <c r="S5" s="65" t="n">
        <v>57.89</v>
      </c>
      <c r="T5" s="65" t="n">
        <v>25.98</v>
      </c>
      <c r="U5" s="65"/>
      <c r="V5" s="65"/>
      <c r="W5" s="65"/>
      <c r="X5" s="65"/>
      <c r="Y5" s="65"/>
      <c r="Z5" s="65"/>
      <c r="AA5" s="65"/>
    </row>
    <row r="6" customFormat="false" ht="15" hidden="false" customHeight="true" outlineLevel="0" collapsed="false">
      <c r="A6" s="68" t="n">
        <v>45205</v>
      </c>
      <c r="B6" s="65" t="n">
        <v>526.68</v>
      </c>
      <c r="C6" s="65" t="n">
        <v>48.51</v>
      </c>
      <c r="D6" s="65" t="n">
        <v>582.69</v>
      </c>
      <c r="E6" s="65" t="n">
        <v>81.83</v>
      </c>
      <c r="F6" s="65" t="n">
        <v>72.07</v>
      </c>
      <c r="G6" s="65" t="n">
        <v>44.17</v>
      </c>
      <c r="H6" s="65" t="n">
        <v>94.44</v>
      </c>
      <c r="I6" s="65" t="n">
        <v>45.7</v>
      </c>
      <c r="J6" s="65" t="n">
        <v>69.3</v>
      </c>
      <c r="K6" s="65" t="n">
        <v>45.63</v>
      </c>
      <c r="L6" s="65" t="n">
        <v>98.88</v>
      </c>
      <c r="M6" s="65" t="n">
        <v>16.61</v>
      </c>
      <c r="N6" s="65" t="n">
        <v>20.8</v>
      </c>
      <c r="O6" s="65" t="n">
        <v>56.68</v>
      </c>
      <c r="P6" s="65" t="n">
        <v>85.79</v>
      </c>
      <c r="Q6" s="65" t="n">
        <v>229.74</v>
      </c>
      <c r="R6" s="65" t="n">
        <v>48.55</v>
      </c>
      <c r="S6" s="65" t="n">
        <v>58.82</v>
      </c>
      <c r="T6" s="65" t="n">
        <v>26.66</v>
      </c>
      <c r="U6" s="65"/>
      <c r="V6" s="65"/>
      <c r="W6" s="65"/>
      <c r="X6" s="65"/>
      <c r="Y6" s="65"/>
      <c r="Z6" s="65"/>
      <c r="AA6" s="65"/>
    </row>
    <row r="7" customFormat="false" ht="15" hidden="false" customHeight="true" outlineLevel="0" collapsed="false">
      <c r="A7" s="68" t="n">
        <v>45212</v>
      </c>
      <c r="B7" s="65" t="n">
        <v>548.76</v>
      </c>
      <c r="C7" s="65" t="n">
        <v>47.46</v>
      </c>
      <c r="D7" s="65" t="n">
        <v>585.03</v>
      </c>
      <c r="E7" s="65" t="n">
        <v>85.5</v>
      </c>
      <c r="F7" s="65" t="n">
        <v>72.26</v>
      </c>
      <c r="G7" s="65" t="n">
        <v>46.43</v>
      </c>
      <c r="H7" s="65" t="n">
        <v>95.73</v>
      </c>
      <c r="I7" s="65" t="n">
        <v>47.54</v>
      </c>
      <c r="J7" s="65" t="n">
        <v>68.56</v>
      </c>
      <c r="K7" s="65" t="n">
        <v>45.33</v>
      </c>
      <c r="L7" s="65" t="n">
        <v>99.56</v>
      </c>
      <c r="M7" s="65" t="n">
        <v>17.36</v>
      </c>
      <c r="N7" s="65" t="n">
        <v>21.01</v>
      </c>
      <c r="O7" s="65" t="n">
        <v>57</v>
      </c>
      <c r="P7" s="65" t="n">
        <v>86.92</v>
      </c>
      <c r="Q7" s="65" t="n">
        <v>232.31</v>
      </c>
      <c r="R7" s="65" t="n">
        <v>48.23</v>
      </c>
      <c r="S7" s="65" t="n">
        <v>59.17</v>
      </c>
      <c r="T7" s="65" t="n">
        <v>26.47</v>
      </c>
      <c r="U7" s="65"/>
      <c r="V7" s="65" t="n">
        <v>241.71</v>
      </c>
      <c r="W7" s="65"/>
      <c r="X7" s="65"/>
      <c r="Y7" s="65"/>
      <c r="Z7" s="65"/>
      <c r="AA7" s="65"/>
    </row>
    <row r="8" customFormat="false" ht="15" hidden="false" customHeight="true" outlineLevel="0" collapsed="false">
      <c r="A8" s="68" t="n">
        <v>45219</v>
      </c>
      <c r="B8" s="65" t="n">
        <v>540.96</v>
      </c>
      <c r="C8" s="65" t="n">
        <v>46.53</v>
      </c>
      <c r="D8" s="65" t="n">
        <v>565.86</v>
      </c>
      <c r="E8" s="65" t="n">
        <v>82.64</v>
      </c>
      <c r="F8" s="65" t="n">
        <v>71.05</v>
      </c>
      <c r="G8" s="65" t="n">
        <v>44.69</v>
      </c>
      <c r="H8" s="65" t="n">
        <v>93.91</v>
      </c>
      <c r="I8" s="65" t="n">
        <v>45.16</v>
      </c>
      <c r="J8" s="65" t="n">
        <v>66.59</v>
      </c>
      <c r="K8" s="65" t="n">
        <v>41.26</v>
      </c>
      <c r="L8" s="65" t="n">
        <v>93</v>
      </c>
      <c r="M8" s="65" t="n">
        <v>16.11</v>
      </c>
      <c r="N8" s="65" t="n">
        <v>20.7</v>
      </c>
      <c r="O8" s="65" t="n">
        <v>55.35</v>
      </c>
      <c r="P8" s="65" t="n">
        <v>87.73</v>
      </c>
      <c r="Q8" s="65" t="n">
        <v>228.12</v>
      </c>
      <c r="R8" s="65" t="n">
        <v>48.21</v>
      </c>
      <c r="S8" s="65" t="n">
        <v>59.17</v>
      </c>
      <c r="T8" s="65" t="n">
        <v>26.3</v>
      </c>
      <c r="U8" s="65"/>
      <c r="V8" s="65" t="n">
        <v>235.63</v>
      </c>
      <c r="W8" s="65"/>
      <c r="X8" s="65"/>
      <c r="Y8" s="65"/>
      <c r="Z8" s="65"/>
      <c r="AA8" s="65"/>
    </row>
    <row r="9" customFormat="false" ht="15" hidden="false" customHeight="true" outlineLevel="0" collapsed="false">
      <c r="A9" s="68" t="n">
        <v>45226</v>
      </c>
      <c r="B9" s="65" t="n">
        <v>508.12</v>
      </c>
      <c r="C9" s="65" t="n">
        <v>44.05</v>
      </c>
      <c r="D9" s="65" t="n">
        <v>575.52</v>
      </c>
      <c r="E9" s="65" t="n">
        <v>81.16</v>
      </c>
      <c r="F9" s="65" t="n">
        <v>69.95</v>
      </c>
      <c r="G9" s="65" t="n">
        <v>43.21</v>
      </c>
      <c r="H9" s="65" t="n">
        <v>92.4</v>
      </c>
      <c r="I9" s="65" t="n">
        <v>44.72</v>
      </c>
      <c r="J9" s="65" t="n">
        <v>65.03</v>
      </c>
      <c r="K9" s="65" t="n">
        <v>40.38</v>
      </c>
      <c r="L9" s="65" t="n">
        <v>88.36</v>
      </c>
      <c r="M9" s="65" t="n">
        <v>15.07</v>
      </c>
      <c r="N9" s="65" t="n">
        <v>19.99</v>
      </c>
      <c r="O9" s="65" t="n">
        <v>54.23</v>
      </c>
      <c r="P9" s="65" t="n">
        <v>82.62</v>
      </c>
      <c r="Q9" s="65" t="n">
        <v>224.1</v>
      </c>
      <c r="R9" s="65" t="n">
        <v>46.91</v>
      </c>
      <c r="S9" s="65" t="n">
        <v>57.46</v>
      </c>
      <c r="T9" s="65" t="n">
        <v>25.91</v>
      </c>
      <c r="U9" s="65"/>
      <c r="V9" s="65" t="n">
        <v>229.78</v>
      </c>
      <c r="W9" s="65"/>
      <c r="X9" s="65"/>
      <c r="Y9" s="65"/>
      <c r="Z9" s="65"/>
      <c r="AA9" s="65"/>
    </row>
    <row r="10" customFormat="false" ht="15" hidden="false" customHeight="true" outlineLevel="0" collapsed="false">
      <c r="A10" s="68" t="n">
        <v>45233</v>
      </c>
      <c r="B10" s="65" t="n">
        <v>563.66</v>
      </c>
      <c r="C10" s="65" t="n">
        <v>53.12</v>
      </c>
      <c r="D10" s="65" t="n">
        <v>628.24</v>
      </c>
      <c r="E10" s="65" t="n">
        <v>85.45</v>
      </c>
      <c r="F10" s="65" t="n">
        <v>74.96</v>
      </c>
      <c r="G10" s="65" t="n">
        <v>47.06</v>
      </c>
      <c r="H10" s="65" t="n">
        <v>97.82</v>
      </c>
      <c r="I10" s="65" t="n">
        <v>48.79</v>
      </c>
      <c r="J10" s="65" t="n">
        <v>71.9</v>
      </c>
      <c r="K10" s="65" t="n">
        <v>44.87</v>
      </c>
      <c r="L10" s="65" t="n">
        <v>96.74</v>
      </c>
      <c r="M10" s="65" t="n">
        <v>18.89</v>
      </c>
      <c r="N10" s="65" t="n">
        <v>20.99</v>
      </c>
      <c r="O10" s="65" t="n">
        <v>57.4</v>
      </c>
      <c r="P10" s="65" t="n">
        <v>88.19</v>
      </c>
      <c r="Q10" s="65" t="n">
        <v>238.11</v>
      </c>
      <c r="R10" s="65" t="n">
        <v>46.93</v>
      </c>
      <c r="S10" s="65" t="n">
        <v>57.28</v>
      </c>
      <c r="T10" s="65" t="n">
        <v>25.98</v>
      </c>
      <c r="U10" s="65"/>
      <c r="V10" s="65" t="n">
        <v>224.82</v>
      </c>
      <c r="W10" s="65"/>
      <c r="X10" s="65"/>
      <c r="Y10" s="65"/>
      <c r="Z10" s="65"/>
      <c r="AA10" s="65"/>
    </row>
    <row r="11" customFormat="false" ht="15" hidden="false" customHeight="true" outlineLevel="0" collapsed="false">
      <c r="A11" s="68" t="n">
        <v>45240</v>
      </c>
      <c r="B11" s="65" t="n">
        <v>597.22</v>
      </c>
      <c r="C11" s="65" t="n">
        <v>51.71</v>
      </c>
      <c r="D11" s="65" t="n">
        <v>646.7</v>
      </c>
      <c r="E11" s="65" t="n">
        <v>92.69</v>
      </c>
      <c r="F11" s="65" t="n">
        <v>72.4</v>
      </c>
      <c r="G11" s="65" t="n">
        <v>49.08</v>
      </c>
      <c r="H11" s="65" t="n">
        <v>95.61</v>
      </c>
      <c r="I11" s="65" t="n">
        <v>52.17</v>
      </c>
      <c r="J11" s="65" t="n">
        <v>74.65</v>
      </c>
      <c r="K11" s="65" t="n">
        <v>48.19</v>
      </c>
      <c r="L11" s="65" t="n">
        <v>94.93</v>
      </c>
      <c r="M11" s="65" t="n">
        <v>19.67</v>
      </c>
      <c r="N11" s="65" t="n">
        <v>20.75</v>
      </c>
      <c r="O11" s="65" t="n">
        <v>59.09</v>
      </c>
      <c r="P11" s="65" t="n">
        <v>93.62</v>
      </c>
      <c r="Q11" s="65" t="n">
        <v>240.23</v>
      </c>
      <c r="R11" s="65" t="n">
        <v>47.13</v>
      </c>
      <c r="S11" s="65" t="n">
        <v>57.92</v>
      </c>
      <c r="T11" s="65" t="n">
        <v>25.5</v>
      </c>
      <c r="U11" s="65"/>
      <c r="V11" s="65" t="n">
        <v>229.74</v>
      </c>
      <c r="W11" s="65"/>
      <c r="X11" s="65"/>
      <c r="Y11" s="65"/>
      <c r="Z11" s="65"/>
      <c r="AA11" s="65"/>
    </row>
    <row r="12" customFormat="false" ht="15" hidden="false" customHeight="true" outlineLevel="0" collapsed="false">
      <c r="A12" s="68" t="n">
        <v>45247</v>
      </c>
      <c r="B12" s="65" t="n">
        <v>602.66</v>
      </c>
      <c r="C12" s="65" t="n">
        <v>53.66</v>
      </c>
      <c r="D12" s="65" t="n">
        <v>670.96</v>
      </c>
      <c r="E12" s="65" t="n">
        <v>94.65</v>
      </c>
      <c r="F12" s="65" t="n">
        <v>76.42</v>
      </c>
      <c r="G12" s="65" t="n">
        <v>51.77</v>
      </c>
      <c r="H12" s="65" t="n">
        <v>99</v>
      </c>
      <c r="I12" s="65" t="n">
        <v>53.32</v>
      </c>
      <c r="J12" s="65" t="n">
        <v>76.83</v>
      </c>
      <c r="K12" s="65" t="n">
        <v>49.15</v>
      </c>
      <c r="L12" s="65" t="n">
        <v>99.94</v>
      </c>
      <c r="M12" s="65" t="n">
        <v>20.49</v>
      </c>
      <c r="N12" s="65" t="n">
        <v>21.25</v>
      </c>
      <c r="O12" s="65" t="n">
        <v>60.37</v>
      </c>
      <c r="P12" s="65" t="n">
        <v>95.68</v>
      </c>
      <c r="Q12" s="65" t="n">
        <v>244.45</v>
      </c>
      <c r="R12" s="65" t="n">
        <v>47.26</v>
      </c>
      <c r="S12" s="65" t="n">
        <v>58.25</v>
      </c>
      <c r="T12" s="65" t="n">
        <v>25.83</v>
      </c>
      <c r="U12" s="65"/>
      <c r="V12" s="65" t="n">
        <v>232.31</v>
      </c>
      <c r="W12" s="65"/>
      <c r="X12" s="65"/>
      <c r="Y12" s="65"/>
      <c r="Z12" s="65"/>
      <c r="AA12" s="65"/>
    </row>
    <row r="13" customFormat="false" ht="15" hidden="false" customHeight="true" outlineLevel="0" collapsed="false">
      <c r="A13" s="68" t="n">
        <v>45254</v>
      </c>
      <c r="B13" s="65" t="n">
        <v>619.43</v>
      </c>
      <c r="C13" s="65" t="n">
        <v>54.6</v>
      </c>
      <c r="D13" s="65" t="n">
        <v>675.94</v>
      </c>
      <c r="E13" s="65" t="n">
        <v>94.76</v>
      </c>
      <c r="F13" s="65" t="n">
        <v>76.43</v>
      </c>
      <c r="G13" s="65" t="n">
        <v>52.67</v>
      </c>
      <c r="H13" s="65" t="n">
        <v>99.35</v>
      </c>
      <c r="I13" s="65" t="n">
        <v>54.41</v>
      </c>
      <c r="J13" s="65" t="n">
        <v>76.15</v>
      </c>
      <c r="K13" s="65" t="n">
        <v>47.63</v>
      </c>
      <c r="L13" s="65" t="n">
        <v>101.69</v>
      </c>
      <c r="M13" s="65" t="n">
        <v>19.2</v>
      </c>
      <c r="N13" s="65" t="n">
        <v>21.45</v>
      </c>
      <c r="O13" s="65" t="n">
        <v>60.7</v>
      </c>
      <c r="P13" s="65" t="n">
        <v>94</v>
      </c>
      <c r="Q13" s="65" t="n">
        <v>249.1</v>
      </c>
      <c r="R13" s="65" t="n">
        <v>46.32</v>
      </c>
      <c r="S13" s="65" t="n">
        <v>56.56</v>
      </c>
      <c r="T13" s="65" t="n">
        <v>25.5</v>
      </c>
      <c r="U13" s="65"/>
      <c r="V13" s="65" t="n">
        <v>228.12</v>
      </c>
      <c r="W13" s="65"/>
      <c r="X13" s="65"/>
      <c r="Y13" s="65"/>
      <c r="Z13" s="65"/>
      <c r="AA13" s="65"/>
    </row>
    <row r="14" customFormat="false" ht="15" hidden="false" customHeight="true" outlineLevel="0" collapsed="false">
      <c r="A14" s="68" t="n">
        <v>45261</v>
      </c>
      <c r="B14" s="65" t="n">
        <v>612.47</v>
      </c>
      <c r="C14" s="65" t="n">
        <v>54.16</v>
      </c>
      <c r="D14" s="65" t="n">
        <v>676.94</v>
      </c>
      <c r="E14" s="65" t="n">
        <v>90.03</v>
      </c>
      <c r="F14" s="65" t="n">
        <v>78.99</v>
      </c>
      <c r="G14" s="65" t="n">
        <v>58.76</v>
      </c>
      <c r="H14" s="65" t="n">
        <v>102.26</v>
      </c>
      <c r="I14" s="65" t="n">
        <v>53.76</v>
      </c>
      <c r="J14" s="65" t="n">
        <v>75.22</v>
      </c>
      <c r="K14" s="65" t="n">
        <v>46.63</v>
      </c>
      <c r="L14" s="65" t="n">
        <v>107.37</v>
      </c>
      <c r="M14" s="65" t="n">
        <v>20.27</v>
      </c>
      <c r="N14" s="65" t="n">
        <v>21.85</v>
      </c>
      <c r="O14" s="65" t="n">
        <v>60.57</v>
      </c>
      <c r="P14" s="65" t="n">
        <v>94.69</v>
      </c>
      <c r="Q14" s="65" t="n">
        <v>251.2</v>
      </c>
      <c r="R14" s="65" t="n">
        <v>45.36</v>
      </c>
      <c r="S14" s="65" t="n">
        <v>55.42</v>
      </c>
      <c r="T14" s="65" t="n">
        <v>24.66</v>
      </c>
      <c r="U14" s="65"/>
      <c r="V14" s="65" t="n">
        <v>224.1</v>
      </c>
      <c r="W14" s="65"/>
      <c r="X14" s="65"/>
      <c r="Y14" s="65"/>
      <c r="Z14" s="65"/>
      <c r="AA14" s="65"/>
    </row>
    <row r="15" customFormat="false" ht="15" hidden="false" customHeight="true" outlineLevel="0" collapsed="false">
      <c r="A15" s="68" t="n">
        <v>45268</v>
      </c>
      <c r="B15" s="65" t="n">
        <v>610.01</v>
      </c>
      <c r="C15" s="65" t="n">
        <v>56.01</v>
      </c>
      <c r="D15" s="65" t="n">
        <v>681.07</v>
      </c>
      <c r="E15" s="65" t="n">
        <v>91.41</v>
      </c>
      <c r="F15" s="65" t="n">
        <v>79.65</v>
      </c>
      <c r="G15" s="65" t="n">
        <v>60.64</v>
      </c>
      <c r="H15" s="65" t="n">
        <v>102.48</v>
      </c>
      <c r="I15" s="65" t="n">
        <v>52.33</v>
      </c>
      <c r="J15" s="65" t="n">
        <v>74.26</v>
      </c>
      <c r="K15" s="65" t="n">
        <v>47.37</v>
      </c>
      <c r="L15" s="65" t="n">
        <v>108.82</v>
      </c>
      <c r="M15" s="65" t="n">
        <v>17.77</v>
      </c>
      <c r="N15" s="65" t="n">
        <v>21.89</v>
      </c>
      <c r="O15" s="65" t="n">
        <v>60.79</v>
      </c>
      <c r="P15" s="65" t="n">
        <v>96.42</v>
      </c>
      <c r="Q15" s="65" t="n">
        <v>250.51</v>
      </c>
      <c r="R15" s="65" t="n">
        <v>47.52</v>
      </c>
      <c r="S15" s="65" t="n">
        <v>58.65</v>
      </c>
      <c r="T15" s="65" t="n">
        <v>26.11</v>
      </c>
      <c r="U15" s="65"/>
      <c r="V15" s="65" t="n">
        <v>238.11</v>
      </c>
      <c r="W15" s="65"/>
      <c r="X15" s="65"/>
      <c r="Y15" s="65"/>
      <c r="Z15" s="65"/>
      <c r="AA15" s="65"/>
    </row>
    <row r="16" customFormat="false" ht="15" hidden="false" customHeight="true" outlineLevel="0" collapsed="false">
      <c r="A16" s="68" t="n">
        <v>45275</v>
      </c>
      <c r="B16" s="65" t="n">
        <v>584.68</v>
      </c>
      <c r="C16" s="65" t="n">
        <v>58.9</v>
      </c>
      <c r="D16" s="65" t="n">
        <v>736.36</v>
      </c>
      <c r="E16" s="65" t="n">
        <v>109.37</v>
      </c>
      <c r="F16" s="65" t="n">
        <v>84.02</v>
      </c>
      <c r="G16" s="65" t="n">
        <v>65.02</v>
      </c>
      <c r="H16" s="65" t="n">
        <v>105.54</v>
      </c>
      <c r="I16" s="65" t="n">
        <v>57.29</v>
      </c>
      <c r="J16" s="65" t="n">
        <v>80.64</v>
      </c>
      <c r="K16" s="65" t="n">
        <v>48.75</v>
      </c>
      <c r="L16" s="65" t="n">
        <v>122.68</v>
      </c>
      <c r="M16" s="65" t="n">
        <v>18.2</v>
      </c>
      <c r="N16" s="65" t="n">
        <v>22.77</v>
      </c>
      <c r="O16" s="65" t="n">
        <v>62.87</v>
      </c>
      <c r="P16" s="65" t="n">
        <v>98.99</v>
      </c>
      <c r="Q16" s="65" t="n">
        <v>252.75</v>
      </c>
      <c r="R16" s="65" t="n">
        <v>48.51</v>
      </c>
      <c r="S16" s="65" t="n">
        <v>60.38</v>
      </c>
      <c r="T16" s="65" t="n">
        <v>25.93</v>
      </c>
      <c r="U16" s="65"/>
      <c r="V16" s="65" t="n">
        <v>240.23</v>
      </c>
      <c r="W16" s="65"/>
      <c r="X16" s="65"/>
      <c r="Y16" s="65"/>
      <c r="Z16" s="65"/>
      <c r="AA16" s="65"/>
    </row>
    <row r="17" customFormat="false" ht="15" hidden="false" customHeight="true" outlineLevel="0" collapsed="false">
      <c r="A17" s="68" t="n">
        <v>45282</v>
      </c>
      <c r="B17" s="65" t="n">
        <v>598.75</v>
      </c>
      <c r="C17" s="65" t="n">
        <v>59.56</v>
      </c>
      <c r="D17" s="65" t="n">
        <v>735.94</v>
      </c>
      <c r="E17" s="65" t="n">
        <v>109.11</v>
      </c>
      <c r="F17" s="65" t="n">
        <v>86.35</v>
      </c>
      <c r="G17" s="65" t="n">
        <v>63.91</v>
      </c>
      <c r="H17" s="65" t="n">
        <v>105.82</v>
      </c>
      <c r="I17" s="65" t="n">
        <v>57.05</v>
      </c>
      <c r="J17" s="65" t="n">
        <v>85.68</v>
      </c>
      <c r="K17" s="65" t="n">
        <v>48.69</v>
      </c>
      <c r="L17" s="65" t="n">
        <v>120.98</v>
      </c>
      <c r="M17" s="65" t="n">
        <v>17.41</v>
      </c>
      <c r="N17" s="65" t="n">
        <v>22.89</v>
      </c>
      <c r="O17" s="65" t="n">
        <v>63.81</v>
      </c>
      <c r="P17" s="65" t="n">
        <v>99.57</v>
      </c>
      <c r="Q17" s="65" t="n">
        <v>253.14</v>
      </c>
      <c r="R17" s="65" t="n">
        <v>48.97</v>
      </c>
      <c r="S17" s="65" t="n">
        <v>61.69</v>
      </c>
      <c r="T17" s="65" t="n">
        <v>26.59</v>
      </c>
      <c r="U17" s="65"/>
      <c r="V17" s="65" t="n">
        <v>244.45</v>
      </c>
      <c r="W17" s="65"/>
      <c r="X17" s="65"/>
      <c r="Y17" s="65"/>
      <c r="Z17" s="65"/>
      <c r="AA17" s="65"/>
    </row>
    <row r="18" customFormat="false" ht="15" hidden="false" customHeight="true" outlineLevel="0" collapsed="false">
      <c r="A18" s="68" t="n">
        <v>45289</v>
      </c>
      <c r="B18" s="65" t="n">
        <v>596.6</v>
      </c>
      <c r="C18" s="65" t="n">
        <v>58.88</v>
      </c>
      <c r="D18" s="65" t="n">
        <v>740.23</v>
      </c>
      <c r="E18" s="65" t="n">
        <v>108.56</v>
      </c>
      <c r="F18" s="65" t="n">
        <v>86.03</v>
      </c>
      <c r="G18" s="65" t="n">
        <v>63.83</v>
      </c>
      <c r="H18" s="65" t="n">
        <v>106.25</v>
      </c>
      <c r="I18" s="65" t="n">
        <v>56.92</v>
      </c>
      <c r="J18" s="65" t="n">
        <v>84.65</v>
      </c>
      <c r="K18" s="65" t="n">
        <v>49.38</v>
      </c>
      <c r="L18" s="65" t="n">
        <v>121.8</v>
      </c>
      <c r="M18" s="65" t="n">
        <v>17.17</v>
      </c>
      <c r="N18" s="65" t="n">
        <v>22.98</v>
      </c>
      <c r="O18" s="65" t="n">
        <v>64.26</v>
      </c>
      <c r="P18" s="65" t="n">
        <v>100.4</v>
      </c>
      <c r="Q18" s="65" t="n">
        <v>255.02</v>
      </c>
      <c r="R18" s="65" t="n">
        <v>49.23</v>
      </c>
      <c r="S18" s="65" t="n">
        <v>62.03</v>
      </c>
      <c r="T18" s="65" t="n">
        <v>26.78</v>
      </c>
      <c r="U18" s="65"/>
      <c r="V18" s="65" t="n">
        <v>249.1</v>
      </c>
      <c r="W18" s="65"/>
      <c r="X18" s="65"/>
      <c r="Y18" s="65"/>
      <c r="Z18" s="65"/>
      <c r="AA18" s="65"/>
    </row>
    <row r="19" customFormat="false" ht="15" hidden="false" customHeight="true" outlineLevel="0" collapsed="false">
      <c r="A19" s="68" t="n">
        <v>45296</v>
      </c>
      <c r="B19" s="65" t="n">
        <v>564.6</v>
      </c>
      <c r="C19" s="65" t="n">
        <v>57.73</v>
      </c>
      <c r="D19" s="65" t="n">
        <v>687.83</v>
      </c>
      <c r="E19" s="65" t="n">
        <v>102.04</v>
      </c>
      <c r="F19" s="65" t="n">
        <v>83.8</v>
      </c>
      <c r="G19" s="65" t="n">
        <v>61.87</v>
      </c>
      <c r="H19" s="65" t="n">
        <v>107</v>
      </c>
      <c r="I19" s="65" t="n">
        <v>53.3</v>
      </c>
      <c r="J19" s="65" t="n">
        <v>82.78</v>
      </c>
      <c r="K19" s="65" t="n">
        <v>48.96</v>
      </c>
      <c r="L19" s="65" t="n">
        <v>119.3</v>
      </c>
      <c r="M19" s="65" t="n">
        <v>15.98</v>
      </c>
      <c r="N19" s="65" t="n">
        <v>23.05</v>
      </c>
      <c r="O19" s="65" t="n">
        <v>63.6</v>
      </c>
      <c r="P19" s="65" t="n">
        <v>96.16</v>
      </c>
      <c r="Q19" s="65" t="n">
        <v>254.38</v>
      </c>
      <c r="R19" s="65" t="n">
        <v>48.9</v>
      </c>
      <c r="S19" s="65" t="n">
        <v>61.89</v>
      </c>
      <c r="T19" s="65" t="n">
        <v>27.14</v>
      </c>
      <c r="U19" s="65"/>
      <c r="V19" s="65" t="n">
        <v>251.2</v>
      </c>
      <c r="W19" s="65"/>
      <c r="X19" s="65"/>
      <c r="Y19" s="65"/>
      <c r="Z19" s="65"/>
      <c r="AA19" s="65"/>
    </row>
    <row r="20" customFormat="false" ht="15" hidden="false" customHeight="true" outlineLevel="0" collapsed="false">
      <c r="A20" s="68" t="n">
        <v>45303</v>
      </c>
      <c r="B20" s="65" t="n">
        <v>596.54</v>
      </c>
      <c r="C20" s="65" t="n">
        <v>63.01</v>
      </c>
      <c r="D20" s="65" t="n">
        <v>697.49</v>
      </c>
      <c r="E20" s="65" t="n">
        <v>107.72</v>
      </c>
      <c r="F20" s="65" t="n">
        <v>82.85</v>
      </c>
      <c r="G20" s="65" t="n">
        <v>70.84</v>
      </c>
      <c r="H20" s="65" t="n">
        <v>105.52</v>
      </c>
      <c r="I20" s="65" t="n">
        <v>54.89</v>
      </c>
      <c r="J20" s="65" t="n">
        <v>81.72</v>
      </c>
      <c r="K20" s="65" t="n">
        <v>54.55</v>
      </c>
      <c r="L20" s="65" t="n">
        <v>120.2</v>
      </c>
      <c r="M20" s="65" t="n">
        <v>16.76</v>
      </c>
      <c r="N20" s="65" t="n">
        <v>23.02</v>
      </c>
      <c r="O20" s="65" t="n">
        <v>65.57</v>
      </c>
      <c r="P20" s="65" t="n">
        <v>97.73</v>
      </c>
      <c r="Q20" s="65" t="n">
        <v>258.76</v>
      </c>
      <c r="R20" s="65" t="n">
        <v>49.26</v>
      </c>
      <c r="S20" s="65" t="n">
        <v>62.12</v>
      </c>
      <c r="T20" s="65" t="n">
        <v>27.38</v>
      </c>
      <c r="U20" s="65"/>
      <c r="V20" s="65" t="n">
        <v>250.51</v>
      </c>
      <c r="W20" s="65"/>
      <c r="X20" s="65"/>
      <c r="Y20" s="65"/>
      <c r="Z20" s="65"/>
      <c r="AA20" s="65"/>
    </row>
    <row r="21" customFormat="false" ht="15" hidden="false" customHeight="true" outlineLevel="0" collapsed="false">
      <c r="A21" s="68" t="n">
        <v>45310</v>
      </c>
      <c r="B21" s="65" t="n">
        <v>611.55</v>
      </c>
      <c r="C21" s="65" t="n">
        <v>65.88</v>
      </c>
      <c r="D21" s="65" t="n">
        <v>741.12</v>
      </c>
      <c r="E21" s="65" t="n">
        <v>117.79</v>
      </c>
      <c r="F21" s="65" t="n">
        <v>83.1</v>
      </c>
      <c r="G21" s="65" t="n">
        <v>72.64</v>
      </c>
      <c r="H21" s="65" t="n">
        <v>104.13</v>
      </c>
      <c r="I21" s="65" t="n">
        <v>60.02</v>
      </c>
      <c r="J21" s="65" t="n">
        <v>86.8</v>
      </c>
      <c r="K21" s="65" t="n">
        <v>59.32</v>
      </c>
      <c r="L21" s="65" t="n">
        <v>117.36</v>
      </c>
      <c r="M21" s="65" t="n">
        <v>16.78</v>
      </c>
      <c r="N21" s="65" t="n">
        <v>23.12</v>
      </c>
      <c r="O21" s="65" t="n">
        <v>66.96</v>
      </c>
      <c r="P21" s="65" t="n">
        <v>110.24</v>
      </c>
      <c r="Q21" s="65" t="n">
        <v>265.36</v>
      </c>
      <c r="R21" s="65" t="n">
        <v>50</v>
      </c>
      <c r="S21" s="65" t="n">
        <v>64.24</v>
      </c>
      <c r="T21" s="65" t="n">
        <v>28.14</v>
      </c>
      <c r="U21" s="65"/>
      <c r="V21" s="65" t="n">
        <v>252.75</v>
      </c>
      <c r="W21" s="65"/>
      <c r="X21" s="65"/>
      <c r="Y21" s="65"/>
      <c r="Z21" s="65"/>
      <c r="AA21" s="65"/>
    </row>
    <row r="22" customFormat="false" ht="15" hidden="false" customHeight="true" outlineLevel="0" collapsed="false">
      <c r="A22" s="68" t="n">
        <v>45317</v>
      </c>
      <c r="B22" s="65" t="n">
        <v>613.93</v>
      </c>
      <c r="C22" s="65" t="n">
        <v>66.1</v>
      </c>
      <c r="D22" s="65" t="n">
        <v>848.61</v>
      </c>
      <c r="E22" s="65" t="n">
        <v>117.18</v>
      </c>
      <c r="F22" s="65" t="n">
        <v>85.06</v>
      </c>
      <c r="G22" s="65" t="n">
        <v>72.58</v>
      </c>
      <c r="H22" s="65" t="n">
        <v>105.77</v>
      </c>
      <c r="I22" s="65" t="n">
        <v>58.69</v>
      </c>
      <c r="J22" s="65" t="n">
        <v>87.34</v>
      </c>
      <c r="K22" s="65" t="n">
        <v>60.85</v>
      </c>
      <c r="L22" s="65" t="n">
        <v>115.93</v>
      </c>
      <c r="M22" s="65" t="n">
        <v>16.35</v>
      </c>
      <c r="N22" s="65" t="n">
        <v>23.25</v>
      </c>
      <c r="O22" s="65" t="n">
        <v>68.04</v>
      </c>
      <c r="P22" s="65" t="n">
        <v>113.2</v>
      </c>
      <c r="Q22" s="65" t="n">
        <v>262.46</v>
      </c>
      <c r="R22" s="65" t="n">
        <v>50.16</v>
      </c>
      <c r="S22" s="65" t="n">
        <v>65.04</v>
      </c>
      <c r="T22" s="65" t="n">
        <v>28.41</v>
      </c>
      <c r="U22" s="65"/>
      <c r="V22" s="65" t="n">
        <v>253.14</v>
      </c>
      <c r="W22" s="65"/>
      <c r="X22" s="65"/>
      <c r="Y22" s="65"/>
      <c r="Z22" s="65"/>
      <c r="AA22" s="65"/>
    </row>
    <row r="23" customFormat="false" ht="15" hidden="false" customHeight="true" outlineLevel="0" collapsed="false">
      <c r="A23" s="68" t="n">
        <v>45324</v>
      </c>
      <c r="B23" s="65" t="n">
        <v>634.76</v>
      </c>
      <c r="C23" s="65" t="n">
        <v>68.28</v>
      </c>
      <c r="D23" s="65" t="n">
        <v>871.02</v>
      </c>
      <c r="E23" s="65" t="n">
        <v>119.07</v>
      </c>
      <c r="F23" s="65" t="n">
        <v>83.47</v>
      </c>
      <c r="G23" s="65" t="n">
        <v>75.89</v>
      </c>
      <c r="H23" s="65" t="n">
        <v>104.41</v>
      </c>
      <c r="I23" s="65" t="n">
        <v>59.17</v>
      </c>
      <c r="J23" s="65" t="n">
        <v>85.78</v>
      </c>
      <c r="K23" s="65" t="n">
        <v>65.97</v>
      </c>
      <c r="L23" s="65" t="n">
        <v>118.1</v>
      </c>
      <c r="M23" s="65" t="n">
        <v>17.02</v>
      </c>
      <c r="N23" s="65" t="n">
        <v>23.24</v>
      </c>
      <c r="O23" s="65" t="n">
        <v>71.15</v>
      </c>
      <c r="P23" s="65" t="n">
        <v>111.74</v>
      </c>
      <c r="Q23" s="65" t="n">
        <v>271.51</v>
      </c>
      <c r="R23" s="65" t="n">
        <v>49.93</v>
      </c>
      <c r="S23" s="65" t="n">
        <v>65.5</v>
      </c>
      <c r="T23" s="65" t="n">
        <v>28.34</v>
      </c>
      <c r="U23" s="65"/>
      <c r="V23" s="65" t="n">
        <v>255.02</v>
      </c>
      <c r="W23" s="65"/>
      <c r="X23" s="65"/>
      <c r="Y23" s="65"/>
      <c r="Z23" s="65"/>
      <c r="AA23" s="65"/>
    </row>
    <row r="24" customFormat="false" ht="15" hidden="false" customHeight="true" outlineLevel="0" collapsed="false">
      <c r="A24" s="68" t="n">
        <v>45331</v>
      </c>
      <c r="B24" s="65" t="n">
        <v>627.21</v>
      </c>
      <c r="C24" s="65" t="n">
        <v>70.61</v>
      </c>
      <c r="D24" s="65" t="n">
        <v>930.28</v>
      </c>
      <c r="E24" s="65" t="n">
        <v>124.82</v>
      </c>
      <c r="F24" s="65" t="n">
        <v>84.22</v>
      </c>
      <c r="G24" s="65" t="n">
        <v>82.33</v>
      </c>
      <c r="H24" s="65" t="n">
        <v>103.48</v>
      </c>
      <c r="I24" s="65" t="n">
        <v>63.63</v>
      </c>
      <c r="J24" s="65" t="n">
        <v>84.87</v>
      </c>
      <c r="K24" s="65" t="n">
        <v>71.92</v>
      </c>
      <c r="L24" s="65" t="n">
        <v>121.05</v>
      </c>
      <c r="M24" s="65" t="n">
        <v>24.38</v>
      </c>
      <c r="N24" s="65" t="n">
        <v>23.18</v>
      </c>
      <c r="O24" s="65" t="n">
        <v>72.85</v>
      </c>
      <c r="P24" s="65" t="n">
        <v>128.5</v>
      </c>
      <c r="Q24" s="65" t="n">
        <v>271.28</v>
      </c>
      <c r="R24" s="65" t="n">
        <v>49.15</v>
      </c>
      <c r="S24" s="65" t="n">
        <v>64.82</v>
      </c>
      <c r="T24" s="65" t="n">
        <v>28.37</v>
      </c>
      <c r="U24" s="65"/>
      <c r="V24" s="65" t="n">
        <v>254.37</v>
      </c>
      <c r="W24" s="65"/>
      <c r="X24" s="65"/>
      <c r="Y24" s="65"/>
      <c r="Z24" s="65"/>
      <c r="AA24" s="65"/>
    </row>
    <row r="25" customFormat="false" ht="15" hidden="false" customHeight="true" outlineLevel="0" collapsed="false">
      <c r="A25" s="68" t="n">
        <v>45338</v>
      </c>
      <c r="B25" s="65" t="n">
        <v>546.66</v>
      </c>
      <c r="C25" s="65" t="n">
        <v>65.44</v>
      </c>
      <c r="D25" s="65" t="n">
        <v>910.05</v>
      </c>
      <c r="E25" s="65" t="n">
        <v>121.12</v>
      </c>
      <c r="F25" s="65" t="n">
        <v>84.82</v>
      </c>
      <c r="G25" s="65" t="n">
        <v>82.31</v>
      </c>
      <c r="H25" s="65" t="n">
        <v>104.69</v>
      </c>
      <c r="I25" s="65" t="n">
        <v>64.9</v>
      </c>
      <c r="J25" s="65" t="n">
        <v>78.86</v>
      </c>
      <c r="K25" s="65" t="n">
        <v>72.4</v>
      </c>
      <c r="L25" s="65" t="n">
        <v>121.88</v>
      </c>
      <c r="M25" s="65" t="n">
        <v>24.44</v>
      </c>
      <c r="N25" s="65" t="n">
        <v>23.24</v>
      </c>
      <c r="O25" s="65" t="n">
        <v>73.46</v>
      </c>
      <c r="P25" s="65" t="n">
        <v>122.3</v>
      </c>
      <c r="Q25" s="65" t="n">
        <v>273.37</v>
      </c>
      <c r="R25" s="65" t="n">
        <v>50.49</v>
      </c>
      <c r="S25" s="65" t="n">
        <v>66.84</v>
      </c>
      <c r="T25" s="65" t="n">
        <v>28.29</v>
      </c>
      <c r="U25" s="65"/>
      <c r="V25" s="65" t="n">
        <v>258.76</v>
      </c>
      <c r="W25" s="65"/>
      <c r="X25" s="65"/>
      <c r="Y25" s="65"/>
      <c r="Z25" s="65"/>
      <c r="AA25" s="65"/>
    </row>
    <row r="26" customFormat="false" ht="15" hidden="false" customHeight="true" outlineLevel="0" collapsed="false">
      <c r="A26" s="68" t="n">
        <v>45345</v>
      </c>
      <c r="B26" s="65" t="n">
        <v>553.44</v>
      </c>
      <c r="C26" s="65" t="n">
        <v>66.92</v>
      </c>
      <c r="D26" s="65" t="n">
        <v>914.27</v>
      </c>
      <c r="E26" s="65" t="n">
        <v>126.07</v>
      </c>
      <c r="F26" s="65" t="n">
        <v>84.54</v>
      </c>
      <c r="G26" s="65" t="n">
        <v>77.87</v>
      </c>
      <c r="H26" s="65" t="n">
        <v>105.57</v>
      </c>
      <c r="I26" s="65" t="n">
        <v>65.63</v>
      </c>
      <c r="J26" s="65" t="n">
        <v>85.31</v>
      </c>
      <c r="K26" s="65" t="n">
        <v>78.59</v>
      </c>
      <c r="L26" s="65" t="n">
        <v>121.72</v>
      </c>
      <c r="M26" s="65" t="n">
        <v>22.97</v>
      </c>
      <c r="N26" s="65" t="n">
        <v>23.51</v>
      </c>
      <c r="O26" s="65" t="n">
        <v>75.1</v>
      </c>
      <c r="P26" s="65" t="n">
        <v>125.04</v>
      </c>
      <c r="Q26" s="65" t="n">
        <v>278.31</v>
      </c>
      <c r="R26" s="65" t="n">
        <v>51.39</v>
      </c>
      <c r="S26" s="65" t="n">
        <v>68.25</v>
      </c>
      <c r="T26" s="65" t="n">
        <v>28.02</v>
      </c>
      <c r="U26" s="65"/>
      <c r="V26" s="65" t="n">
        <v>265.36</v>
      </c>
      <c r="W26" s="65"/>
      <c r="X26" s="65"/>
      <c r="Y26" s="65"/>
      <c r="Z26" s="65"/>
      <c r="AA26" s="65"/>
    </row>
    <row r="27" customFormat="false" ht="15" hidden="false" customHeight="true" outlineLevel="0" collapsed="false">
      <c r="A27" s="68" t="n">
        <v>45352</v>
      </c>
      <c r="B27" s="65" t="n">
        <v>570.93</v>
      </c>
      <c r="C27" s="65" t="n">
        <v>71.93</v>
      </c>
      <c r="D27" s="65" t="n">
        <v>970.78</v>
      </c>
      <c r="E27" s="65" t="n">
        <v>136.07</v>
      </c>
      <c r="F27" s="65" t="n">
        <v>85.87</v>
      </c>
      <c r="G27" s="65" t="n">
        <v>78.65</v>
      </c>
      <c r="H27" s="65" t="n">
        <v>105.59</v>
      </c>
      <c r="I27" s="65" t="n">
        <v>70.42</v>
      </c>
      <c r="J27" s="65" t="n">
        <v>94.38</v>
      </c>
      <c r="K27" s="65" t="n">
        <v>82.04</v>
      </c>
      <c r="L27" s="65" t="n">
        <v>122.99</v>
      </c>
      <c r="M27" s="65" t="n">
        <v>24.93</v>
      </c>
      <c r="N27" s="65" t="n">
        <v>23.59</v>
      </c>
      <c r="O27" s="65" t="n">
        <v>77.21</v>
      </c>
      <c r="P27" s="65" t="n">
        <v>129.26</v>
      </c>
      <c r="Q27" s="65" t="n">
        <v>277.88</v>
      </c>
      <c r="R27" s="65" t="n">
        <v>51.79</v>
      </c>
      <c r="S27" s="65" t="n">
        <v>69.35</v>
      </c>
      <c r="T27" s="65" t="n">
        <v>28.25</v>
      </c>
      <c r="U27" s="65"/>
      <c r="V27" s="65" t="n">
        <v>262.46</v>
      </c>
      <c r="W27" s="65"/>
      <c r="X27" s="65"/>
      <c r="Y27" s="65"/>
      <c r="Z27" s="65"/>
      <c r="AA27" s="65"/>
    </row>
    <row r="28" customFormat="false" ht="15" hidden="false" customHeight="true" outlineLevel="0" collapsed="false">
      <c r="A28" s="68" t="n">
        <v>45359</v>
      </c>
      <c r="B28" s="65" t="n">
        <v>551.69</v>
      </c>
      <c r="C28" s="65" t="n">
        <v>68.28</v>
      </c>
      <c r="D28" s="65" t="n">
        <v>974.11</v>
      </c>
      <c r="E28" s="65" t="n">
        <v>127.27</v>
      </c>
      <c r="F28" s="65" t="n">
        <v>85.97</v>
      </c>
      <c r="G28" s="65" t="n">
        <v>80.71</v>
      </c>
      <c r="H28" s="65" t="n">
        <v>108.41</v>
      </c>
      <c r="I28" s="65" t="n">
        <v>68.62</v>
      </c>
      <c r="J28" s="65" t="n">
        <v>96.83</v>
      </c>
      <c r="K28" s="65" t="n">
        <v>87.28</v>
      </c>
      <c r="L28" s="65" t="n">
        <v>123.42</v>
      </c>
      <c r="M28" s="65" t="n">
        <v>26.04</v>
      </c>
      <c r="N28" s="65" t="n">
        <v>23.67</v>
      </c>
      <c r="O28" s="65" t="n">
        <v>77.51</v>
      </c>
      <c r="P28" s="65" t="n">
        <v>141.3</v>
      </c>
      <c r="Q28" s="65" t="n">
        <v>274.82</v>
      </c>
      <c r="R28" s="65" t="n">
        <v>51.94</v>
      </c>
      <c r="S28" s="65" t="n">
        <v>72.52</v>
      </c>
      <c r="T28" s="65" t="n">
        <v>28.52</v>
      </c>
      <c r="U28" s="65"/>
      <c r="V28" s="65" t="n">
        <v>271.51</v>
      </c>
      <c r="W28" s="65"/>
      <c r="X28" s="65"/>
      <c r="Y28" s="65"/>
      <c r="Z28" s="65"/>
      <c r="AA28" s="65"/>
    </row>
    <row r="29" customFormat="false" ht="15" hidden="false" customHeight="true" outlineLevel="0" collapsed="false">
      <c r="A29" s="68" t="n">
        <v>45366</v>
      </c>
      <c r="B29" s="65" t="n">
        <v>492.46</v>
      </c>
      <c r="C29" s="65" t="n">
        <v>69.43</v>
      </c>
      <c r="D29" s="65" t="n">
        <v>921.09</v>
      </c>
      <c r="E29" s="65" t="n">
        <v>120.15</v>
      </c>
      <c r="F29" s="65" t="n">
        <v>85.24</v>
      </c>
      <c r="G29" s="65" t="n">
        <v>78.91</v>
      </c>
      <c r="H29" s="65" t="n">
        <v>108.06</v>
      </c>
      <c r="I29" s="65" t="n">
        <v>67.11</v>
      </c>
      <c r="J29" s="65" t="n">
        <v>92.5</v>
      </c>
      <c r="K29" s="65" t="n">
        <v>87.59</v>
      </c>
      <c r="L29" s="65" t="n">
        <v>118.76</v>
      </c>
      <c r="M29" s="65" t="n">
        <v>23.49</v>
      </c>
      <c r="N29" s="65" t="n">
        <v>23.71</v>
      </c>
      <c r="O29" s="65" t="n">
        <v>77.11</v>
      </c>
      <c r="P29" s="65" t="n">
        <v>132.23</v>
      </c>
      <c r="Q29" s="65" t="n">
        <v>277.76</v>
      </c>
      <c r="R29" s="65" t="n">
        <v>52.49</v>
      </c>
      <c r="S29" s="65" t="n">
        <v>74.25</v>
      </c>
      <c r="T29" s="65" t="n">
        <v>28.63</v>
      </c>
      <c r="U29" s="65"/>
      <c r="V29" s="65" t="n">
        <v>271.28</v>
      </c>
      <c r="W29" s="65"/>
      <c r="X29" s="65"/>
      <c r="Y29" s="65"/>
      <c r="Z29" s="65"/>
      <c r="AA29" s="65"/>
    </row>
    <row r="30" customFormat="false" ht="15" hidden="false" customHeight="true" outlineLevel="0" collapsed="false">
      <c r="A30" s="68" t="n">
        <v>45373</v>
      </c>
      <c r="B30" s="65" t="n">
        <v>499.52</v>
      </c>
      <c r="C30" s="65" t="n">
        <v>76.61</v>
      </c>
      <c r="D30" s="65" t="n">
        <v>960.03</v>
      </c>
      <c r="E30" s="65" t="n">
        <v>132.19</v>
      </c>
      <c r="F30" s="65" t="n">
        <v>87.57</v>
      </c>
      <c r="G30" s="65" t="n">
        <v>81.89</v>
      </c>
      <c r="H30" s="65" t="n">
        <v>109.81</v>
      </c>
      <c r="I30" s="65" t="n">
        <v>69.73</v>
      </c>
      <c r="J30" s="65" t="n">
        <v>109.32</v>
      </c>
      <c r="K30" s="65" t="n">
        <v>94.02</v>
      </c>
      <c r="L30" s="65" t="n">
        <v>118.4</v>
      </c>
      <c r="M30" s="65" t="n">
        <v>24.18</v>
      </c>
      <c r="N30" s="65" t="n">
        <v>24.15</v>
      </c>
      <c r="O30" s="65" t="n">
        <v>79.43</v>
      </c>
      <c r="P30" s="65" t="n">
        <v>136.22</v>
      </c>
      <c r="Q30" s="65" t="n">
        <v>277.98</v>
      </c>
      <c r="R30" s="65" t="n">
        <v>52.32</v>
      </c>
      <c r="S30" s="65" t="n">
        <v>74.87</v>
      </c>
      <c r="T30" s="65" t="n">
        <v>28.87</v>
      </c>
      <c r="U30" s="65"/>
      <c r="V30" s="65" t="n">
        <v>273.37</v>
      </c>
      <c r="W30" s="65"/>
      <c r="X30" s="65"/>
      <c r="Y30" s="65"/>
      <c r="Z30" s="65"/>
      <c r="AA30" s="65"/>
    </row>
    <row r="31" customFormat="false" ht="15" hidden="false" customHeight="true" outlineLevel="0" collapsed="false">
      <c r="A31" s="68" t="n">
        <v>45380</v>
      </c>
      <c r="B31" s="65" t="n">
        <v>504.6</v>
      </c>
      <c r="C31" s="65" t="n">
        <v>72.5</v>
      </c>
      <c r="D31" s="65" t="n">
        <v>950.73</v>
      </c>
      <c r="E31" s="65" t="n">
        <v>129.45</v>
      </c>
      <c r="F31" s="65" t="n">
        <v>90.08</v>
      </c>
      <c r="G31" s="65" t="n">
        <v>80.15</v>
      </c>
      <c r="H31" s="65" t="n">
        <v>112.58</v>
      </c>
      <c r="I31" s="65" t="n">
        <v>68.55</v>
      </c>
      <c r="J31" s="65" t="n">
        <v>117.05</v>
      </c>
      <c r="K31" s="65" t="n">
        <v>90.1</v>
      </c>
      <c r="L31" s="65" t="n">
        <v>119.87</v>
      </c>
      <c r="M31" s="65" t="n">
        <v>23.01</v>
      </c>
      <c r="N31" s="65" t="n">
        <v>24.53</v>
      </c>
      <c r="O31" s="65" t="n">
        <v>78.83</v>
      </c>
      <c r="P31" s="65" t="n">
        <v>131.87</v>
      </c>
      <c r="Q31" s="65" t="n">
        <v>273.88</v>
      </c>
      <c r="R31" s="65" t="n">
        <v>52.98</v>
      </c>
      <c r="S31" s="65" t="n">
        <v>76.55</v>
      </c>
      <c r="T31" s="65" t="n">
        <v>29.5</v>
      </c>
      <c r="U31" s="65"/>
      <c r="V31" s="65" t="n">
        <v>278.31</v>
      </c>
      <c r="W31" s="65"/>
      <c r="X31" s="65"/>
      <c r="Y31" s="65"/>
      <c r="Z31" s="65"/>
      <c r="AA31" s="65"/>
    </row>
    <row r="32" customFormat="false" ht="15" hidden="false" customHeight="true" outlineLevel="0" collapsed="false">
      <c r="A32" s="68" t="n">
        <v>45387</v>
      </c>
      <c r="B32" s="65" t="n">
        <v>485.12</v>
      </c>
      <c r="C32" s="65" t="n">
        <v>74.4</v>
      </c>
      <c r="D32" s="65" t="n">
        <v>959.63</v>
      </c>
      <c r="E32" s="65" t="n">
        <v>130.82</v>
      </c>
      <c r="F32" s="65" t="n">
        <v>88.14</v>
      </c>
      <c r="G32" s="65" t="n">
        <v>78.88</v>
      </c>
      <c r="H32" s="65" t="n">
        <v>110.58</v>
      </c>
      <c r="I32" s="65" t="n">
        <v>67.01</v>
      </c>
      <c r="J32" s="65" t="n">
        <v>122.7</v>
      </c>
      <c r="K32" s="65" t="n">
        <v>87.76</v>
      </c>
      <c r="L32" s="65" t="n">
        <v>114.82</v>
      </c>
      <c r="M32" s="65" t="n">
        <v>22.96</v>
      </c>
      <c r="N32" s="65" t="n">
        <v>24.03</v>
      </c>
      <c r="O32" s="65" t="n">
        <v>79.06</v>
      </c>
      <c r="P32" s="65" t="n">
        <v>137.01</v>
      </c>
      <c r="Q32" s="65" t="n">
        <v>271.97</v>
      </c>
      <c r="R32" s="65" t="n">
        <v>53.26</v>
      </c>
      <c r="S32" s="65" t="n">
        <v>78.7</v>
      </c>
      <c r="T32" s="65" t="n">
        <v>30.15</v>
      </c>
      <c r="U32" s="65"/>
      <c r="V32" s="65" t="n">
        <v>277.88</v>
      </c>
      <c r="W32" s="65"/>
      <c r="X32" s="65"/>
      <c r="Y32" s="65"/>
      <c r="Z32" s="65"/>
      <c r="AA32" s="65"/>
    </row>
    <row r="33" customFormat="false" ht="15" hidden="false" customHeight="true" outlineLevel="0" collapsed="false">
      <c r="A33" s="68" t="n">
        <v>45394</v>
      </c>
      <c r="B33" s="65" t="n">
        <v>474.09</v>
      </c>
      <c r="C33" s="65" t="n">
        <v>67.81</v>
      </c>
      <c r="D33" s="65" t="n">
        <v>942.28</v>
      </c>
      <c r="E33" s="65" t="n">
        <v>131.27</v>
      </c>
      <c r="F33" s="65" t="n">
        <v>85.42</v>
      </c>
      <c r="G33" s="65" t="n">
        <v>77.26</v>
      </c>
      <c r="H33" s="65" t="n">
        <v>107.42</v>
      </c>
      <c r="I33" s="65" t="n">
        <v>66.81</v>
      </c>
      <c r="J33" s="65" t="n">
        <v>121.65</v>
      </c>
      <c r="K33" s="65" t="n">
        <v>87.94</v>
      </c>
      <c r="L33" s="65" t="n">
        <v>109.54</v>
      </c>
      <c r="M33" s="65" t="n">
        <v>22.67</v>
      </c>
      <c r="N33" s="65" t="n">
        <v>23.36</v>
      </c>
      <c r="O33" s="65" t="n">
        <v>77.95</v>
      </c>
      <c r="P33" s="65" t="n">
        <v>138.14</v>
      </c>
      <c r="Q33" s="65" t="n">
        <v>270.82</v>
      </c>
      <c r="R33" s="65" t="n">
        <v>53.19</v>
      </c>
      <c r="S33" s="65" t="n">
        <v>79</v>
      </c>
      <c r="T33" s="65" t="n">
        <v>30.74</v>
      </c>
      <c r="U33" s="65"/>
      <c r="V33" s="65" t="n">
        <v>274.82</v>
      </c>
      <c r="W33" s="65"/>
      <c r="X33" s="65"/>
      <c r="Y33" s="65"/>
      <c r="Z33" s="65"/>
      <c r="AA33" s="65"/>
    </row>
    <row r="34" customFormat="false" ht="15" hidden="false" customHeight="true" outlineLevel="0" collapsed="false">
      <c r="A34" s="68" t="n">
        <v>45401</v>
      </c>
      <c r="B34" s="65" t="n">
        <v>465.02</v>
      </c>
      <c r="C34" s="65" t="n">
        <v>61.52</v>
      </c>
      <c r="D34" s="65" t="n">
        <v>842.06</v>
      </c>
      <c r="E34" s="65" t="n">
        <v>117.66</v>
      </c>
      <c r="F34" s="65" t="n">
        <v>84.65</v>
      </c>
      <c r="G34" s="65" t="n">
        <v>70.66</v>
      </c>
      <c r="H34" s="65" t="n">
        <v>108.48</v>
      </c>
      <c r="I34" s="65" t="n">
        <v>61.64</v>
      </c>
      <c r="J34" s="65" t="n">
        <v>106.01</v>
      </c>
      <c r="K34" s="65" t="n">
        <v>75.98</v>
      </c>
      <c r="L34" s="65" t="n">
        <v>95.26</v>
      </c>
      <c r="M34" s="65" t="n">
        <v>20.47</v>
      </c>
      <c r="N34" s="65" t="n">
        <v>23.32</v>
      </c>
      <c r="O34" s="65" t="n">
        <v>73.52</v>
      </c>
      <c r="P34" s="65" t="n">
        <v>123.77</v>
      </c>
      <c r="Q34" s="65" t="n">
        <v>264.75</v>
      </c>
      <c r="R34" s="65" t="n">
        <v>52.91</v>
      </c>
      <c r="S34" s="65" t="n">
        <v>78.59</v>
      </c>
      <c r="T34" s="65" t="n">
        <v>31.16</v>
      </c>
      <c r="U34" s="65"/>
      <c r="V34" s="65" t="n">
        <v>277.76</v>
      </c>
      <c r="W34" s="65"/>
      <c r="X34" s="65"/>
      <c r="Y34" s="65"/>
      <c r="Z34" s="65"/>
      <c r="AA34" s="65"/>
    </row>
    <row r="35" customFormat="false" ht="15" hidden="false" customHeight="true" outlineLevel="0" collapsed="false">
      <c r="A35" s="68" t="n">
        <v>45408</v>
      </c>
      <c r="B35" s="65" t="n">
        <v>477.56</v>
      </c>
      <c r="C35" s="65" t="n">
        <v>66.18</v>
      </c>
      <c r="D35" s="65" t="n">
        <v>902.15</v>
      </c>
      <c r="E35" s="65" t="n">
        <v>131.27</v>
      </c>
      <c r="F35" s="65" t="n">
        <v>86.75</v>
      </c>
      <c r="G35" s="65" t="n">
        <v>76.02</v>
      </c>
      <c r="H35" s="65" t="n">
        <v>109.47</v>
      </c>
      <c r="I35" s="65" t="n">
        <v>69.31</v>
      </c>
      <c r="J35" s="65" t="n">
        <v>114.02</v>
      </c>
      <c r="K35" s="65" t="n">
        <v>87.49</v>
      </c>
      <c r="L35" s="65" t="n">
        <v>95.79</v>
      </c>
      <c r="M35" s="65" t="n">
        <v>22.52</v>
      </c>
      <c r="N35" s="65" t="n">
        <v>23.57</v>
      </c>
      <c r="O35" s="65" t="n">
        <v>75.73</v>
      </c>
      <c r="P35" s="65" t="n">
        <v>134.05</v>
      </c>
      <c r="Q35" s="65" t="n">
        <v>269.4</v>
      </c>
      <c r="R35" s="65" t="n">
        <v>54.26</v>
      </c>
      <c r="S35" s="65" t="n">
        <v>80.83</v>
      </c>
      <c r="T35" s="65" t="n">
        <v>31.91</v>
      </c>
      <c r="U35" s="65"/>
      <c r="V35" s="65" t="n">
        <v>277.98</v>
      </c>
      <c r="W35" s="65"/>
      <c r="X35" s="65"/>
      <c r="Y35" s="65"/>
      <c r="Z35" s="65"/>
      <c r="AA35" s="65"/>
    </row>
    <row r="36" customFormat="false" ht="15" hidden="false" customHeight="true" outlineLevel="0" collapsed="false">
      <c r="A36" s="68" t="n">
        <v>45415</v>
      </c>
      <c r="B36" s="65" t="n">
        <v>486.18</v>
      </c>
      <c r="C36" s="65" t="n">
        <v>68.6</v>
      </c>
      <c r="D36" s="65" t="n">
        <v>885.13</v>
      </c>
      <c r="E36" s="65" t="n">
        <v>124.83</v>
      </c>
      <c r="F36" s="65" t="n">
        <v>87.34</v>
      </c>
      <c r="G36" s="65" t="n">
        <v>77.55</v>
      </c>
      <c r="H36" s="65" t="n">
        <v>110.81</v>
      </c>
      <c r="I36" s="65" t="n">
        <v>68.36</v>
      </c>
      <c r="J36" s="65" t="n">
        <v>113.88</v>
      </c>
      <c r="K36" s="65" t="n">
        <v>88.54</v>
      </c>
      <c r="L36" s="65" t="n">
        <v>97.47</v>
      </c>
      <c r="M36" s="65" t="n">
        <v>23.33</v>
      </c>
      <c r="N36" s="65" t="n">
        <v>23.72</v>
      </c>
      <c r="O36" s="65" t="n">
        <v>76.47</v>
      </c>
      <c r="P36" s="65" t="n">
        <v>137.21</v>
      </c>
      <c r="Q36" s="65" t="n">
        <v>263.49</v>
      </c>
      <c r="R36" s="65" t="n">
        <v>54.24</v>
      </c>
      <c r="S36" s="65" t="n">
        <v>80.22</v>
      </c>
      <c r="T36" s="65" t="n">
        <v>32.41</v>
      </c>
      <c r="U36" s="65"/>
      <c r="V36" s="65"/>
      <c r="W36" s="65"/>
      <c r="X36" s="65"/>
      <c r="Y36" s="65"/>
      <c r="Z36" s="65"/>
      <c r="AA36" s="65"/>
    </row>
    <row r="37" customFormat="false" ht="15" hidden="false" customHeight="true" outlineLevel="0" collapsed="false">
      <c r="A37" s="68" t="n">
        <v>45422</v>
      </c>
      <c r="B37" s="65" t="n">
        <v>482.29</v>
      </c>
      <c r="C37" s="65" t="n">
        <v>78.51</v>
      </c>
      <c r="D37" s="65" t="n">
        <v>913.26</v>
      </c>
      <c r="E37" s="65" t="n">
        <v>130.17</v>
      </c>
      <c r="F37" s="65" t="n">
        <v>88.85</v>
      </c>
      <c r="G37" s="65" t="n">
        <v>80.19</v>
      </c>
      <c r="H37" s="65" t="n">
        <v>113.55</v>
      </c>
      <c r="I37" s="65" t="n">
        <v>70.49</v>
      </c>
      <c r="J37" s="65" t="n">
        <v>120.38</v>
      </c>
      <c r="K37" s="65" t="n">
        <v>89.62</v>
      </c>
      <c r="L37" s="65" t="n">
        <v>98.95</v>
      </c>
      <c r="M37" s="65" t="n">
        <v>20.6</v>
      </c>
      <c r="N37" s="65" t="n">
        <v>24.12</v>
      </c>
      <c r="O37" s="65" t="n">
        <v>78.17</v>
      </c>
      <c r="P37" s="65" t="n">
        <v>144.67</v>
      </c>
      <c r="Q37" s="65" t="n">
        <v>275.51</v>
      </c>
      <c r="R37" s="65" t="n">
        <v>53.59</v>
      </c>
      <c r="S37" s="65" t="n">
        <v>80.45</v>
      </c>
      <c r="T37" s="65" t="n">
        <v>32.33</v>
      </c>
      <c r="U37" s="65"/>
      <c r="V37" s="65" t="n">
        <v>271.97</v>
      </c>
      <c r="W37" s="65"/>
      <c r="X37" s="65"/>
      <c r="Y37" s="65"/>
      <c r="Z37" s="65"/>
      <c r="AA37" s="65"/>
    </row>
    <row r="38" customFormat="false" ht="15" hidden="false" customHeight="true" outlineLevel="0" collapsed="false">
      <c r="A38" s="68" t="n">
        <v>45429</v>
      </c>
      <c r="B38" s="65" t="n">
        <v>483.43</v>
      </c>
      <c r="C38" s="65" t="n">
        <v>79.97</v>
      </c>
      <c r="D38" s="65" t="n">
        <v>908.04</v>
      </c>
      <c r="E38" s="65" t="n">
        <v>136.27</v>
      </c>
      <c r="F38" s="65" t="n">
        <v>89.83</v>
      </c>
      <c r="G38" s="65" t="n">
        <v>86.48</v>
      </c>
      <c r="H38" s="65" t="n">
        <v>114.93</v>
      </c>
      <c r="I38" s="65" t="n">
        <v>73.52</v>
      </c>
      <c r="J38" s="65" t="n">
        <v>124.4</v>
      </c>
      <c r="K38" s="65" t="n">
        <v>92.22</v>
      </c>
      <c r="L38" s="65" t="n">
        <v>102.64</v>
      </c>
      <c r="M38" s="65" t="n">
        <v>21.76</v>
      </c>
      <c r="N38" s="65" t="n">
        <v>24.36</v>
      </c>
      <c r="O38" s="65" t="n">
        <v>79.35</v>
      </c>
      <c r="P38" s="65" t="n">
        <v>147.02</v>
      </c>
      <c r="Q38" s="65" t="n">
        <v>275.39</v>
      </c>
      <c r="R38" s="65" t="n">
        <v>53.4</v>
      </c>
      <c r="S38" s="65" t="n">
        <v>79.32</v>
      </c>
      <c r="T38" s="65" t="n">
        <v>31.49</v>
      </c>
      <c r="U38" s="65"/>
      <c r="V38" s="65" t="n">
        <v>270.82</v>
      </c>
      <c r="W38" s="65"/>
      <c r="X38" s="65"/>
      <c r="Y38" s="65"/>
      <c r="Z38" s="65"/>
      <c r="AA38" s="65"/>
    </row>
    <row r="39" customFormat="false" ht="15" hidden="false" customHeight="true" outlineLevel="0" collapsed="false">
      <c r="A39" s="68" t="n">
        <v>45436</v>
      </c>
      <c r="B39" s="65" t="n">
        <v>475.43</v>
      </c>
      <c r="C39" s="65" t="n">
        <v>76.64</v>
      </c>
      <c r="D39" s="65" t="n">
        <v>938.72</v>
      </c>
      <c r="E39" s="65" t="n">
        <v>137.5</v>
      </c>
      <c r="F39" s="65" t="n">
        <v>88.5</v>
      </c>
      <c r="G39" s="65" t="n">
        <v>87.87</v>
      </c>
      <c r="H39" s="65" t="n">
        <v>112.58</v>
      </c>
      <c r="I39" s="65" t="n">
        <v>76.61</v>
      </c>
      <c r="J39" s="65" t="n">
        <v>128.57</v>
      </c>
      <c r="K39" s="65" t="n">
        <v>106.17</v>
      </c>
      <c r="L39" s="65" t="n">
        <v>96.42</v>
      </c>
      <c r="M39" s="65" t="n">
        <v>21.01</v>
      </c>
      <c r="N39" s="65" t="n">
        <v>23.76</v>
      </c>
      <c r="O39" s="65" t="n">
        <v>80.9</v>
      </c>
      <c r="P39" s="65" t="n">
        <v>155.08</v>
      </c>
      <c r="Q39" s="65" t="n">
        <v>269.87</v>
      </c>
      <c r="R39" s="65" t="n">
        <v>50.84</v>
      </c>
      <c r="S39" s="65" t="n">
        <v>74.81</v>
      </c>
      <c r="T39" s="65" t="n">
        <v>30.93</v>
      </c>
      <c r="U39" s="65"/>
      <c r="V39" s="65" t="n">
        <v>264.75</v>
      </c>
      <c r="W39" s="65"/>
      <c r="X39" s="65"/>
      <c r="Y39" s="65"/>
      <c r="Z39" s="65"/>
      <c r="AA39" s="65"/>
    </row>
    <row r="40" customFormat="false" ht="15" hidden="false" customHeight="true" outlineLevel="0" collapsed="false">
      <c r="A40" s="68" t="n">
        <v>45443</v>
      </c>
      <c r="B40" s="65" t="n">
        <v>444.76</v>
      </c>
      <c r="C40" s="65" t="n">
        <v>74.41</v>
      </c>
      <c r="D40" s="65" t="n">
        <v>942.77</v>
      </c>
      <c r="E40" s="65" t="n">
        <v>129.75</v>
      </c>
      <c r="F40" s="65" t="n">
        <v>89.45</v>
      </c>
      <c r="G40" s="65" t="n">
        <v>78.42</v>
      </c>
      <c r="H40" s="65" t="n">
        <v>113.76</v>
      </c>
      <c r="I40" s="65" t="n">
        <v>74.69</v>
      </c>
      <c r="J40" s="65" t="n">
        <v>124.11</v>
      </c>
      <c r="K40" s="65" t="n">
        <v>109.32</v>
      </c>
      <c r="L40" s="65" t="n">
        <v>101.71</v>
      </c>
      <c r="M40" s="65" t="n">
        <v>21.68</v>
      </c>
      <c r="N40" s="65" t="n">
        <v>23.9</v>
      </c>
      <c r="O40" s="65" t="n">
        <v>80.01</v>
      </c>
      <c r="P40" s="65" t="n">
        <v>146.4</v>
      </c>
      <c r="Q40" s="65" t="n">
        <v>267.88</v>
      </c>
      <c r="R40" s="65" t="n">
        <v>52.66</v>
      </c>
      <c r="S40" s="65" t="n">
        <v>77.06</v>
      </c>
      <c r="T40" s="65" t="n">
        <v>31.32</v>
      </c>
      <c r="U40" s="65"/>
      <c r="V40" s="65" t="n">
        <v>269.4</v>
      </c>
      <c r="W40" s="65"/>
      <c r="X40" s="65"/>
      <c r="Y40" s="65"/>
      <c r="Z40" s="65"/>
      <c r="AA40" s="65"/>
    </row>
    <row r="41" customFormat="false" ht="15" hidden="false" customHeight="true" outlineLevel="0" collapsed="false">
      <c r="A41" s="68" t="n">
        <v>45450</v>
      </c>
      <c r="B41" s="65" t="n">
        <v>465.43</v>
      </c>
      <c r="C41" s="65" t="n">
        <v>74.2</v>
      </c>
      <c r="D41" s="65" t="n">
        <v>1009.6</v>
      </c>
      <c r="E41" s="65" t="n">
        <v>137.38</v>
      </c>
      <c r="F41" s="65" t="n">
        <v>86.4</v>
      </c>
      <c r="G41" s="65" t="n">
        <v>87.28</v>
      </c>
      <c r="H41" s="65" t="n">
        <v>111.46</v>
      </c>
      <c r="I41" s="65" t="n">
        <v>75.61</v>
      </c>
      <c r="J41" s="65" t="n">
        <v>130.01</v>
      </c>
      <c r="K41" s="65" t="n">
        <v>120.54</v>
      </c>
      <c r="L41" s="65" t="n">
        <v>101.44</v>
      </c>
      <c r="M41" s="65" t="n">
        <v>23.31</v>
      </c>
      <c r="N41" s="65" t="n">
        <v>23.69</v>
      </c>
      <c r="O41" s="65" t="n">
        <v>82.44</v>
      </c>
      <c r="P41" s="65" t="n">
        <v>159.34</v>
      </c>
      <c r="Q41" s="65" t="n">
        <v>273.98</v>
      </c>
      <c r="R41" s="65" t="n">
        <v>52.75</v>
      </c>
      <c r="S41" s="65" t="n">
        <v>77.82</v>
      </c>
      <c r="T41" s="65" t="n">
        <v>30.83</v>
      </c>
      <c r="U41" s="65"/>
      <c r="V41" s="65" t="n">
        <v>263.49</v>
      </c>
      <c r="W41" s="65"/>
      <c r="X41" s="65"/>
      <c r="Y41" s="65"/>
      <c r="Z41" s="65"/>
      <c r="AA41" s="65"/>
    </row>
    <row r="42" customFormat="false" ht="15" hidden="false" customHeight="true" outlineLevel="0" collapsed="false">
      <c r="A42" s="68" t="n">
        <v>45457</v>
      </c>
      <c r="B42" s="65" t="n">
        <v>525.31</v>
      </c>
      <c r="C42" s="65" t="n">
        <v>82.12</v>
      </c>
      <c r="D42" s="65" t="n">
        <v>1009.09</v>
      </c>
      <c r="E42" s="65" t="n">
        <v>169.45</v>
      </c>
      <c r="F42" s="65" t="n">
        <v>84.34</v>
      </c>
      <c r="G42" s="65" t="n">
        <v>96.36</v>
      </c>
      <c r="H42" s="65" t="n">
        <v>109.58</v>
      </c>
      <c r="I42" s="65" t="n">
        <v>81.11</v>
      </c>
      <c r="J42" s="65" t="n">
        <v>140.35</v>
      </c>
      <c r="K42" s="65" t="n">
        <v>131.52</v>
      </c>
      <c r="L42" s="65" t="n">
        <v>103.36</v>
      </c>
      <c r="M42" s="65" t="n">
        <v>23.57</v>
      </c>
      <c r="N42" s="65" t="n">
        <v>23.36</v>
      </c>
      <c r="O42" s="65" t="n">
        <v>85.92</v>
      </c>
      <c r="P42" s="65" t="n">
        <v>167.73</v>
      </c>
      <c r="Q42" s="65" t="n">
        <v>266.11</v>
      </c>
      <c r="R42" s="65" t="n">
        <v>53.48</v>
      </c>
      <c r="S42" s="65" t="n">
        <v>79.55</v>
      </c>
      <c r="T42" s="65" t="n">
        <v>31.51</v>
      </c>
      <c r="U42" s="65"/>
      <c r="V42" s="65" t="n">
        <v>275.51</v>
      </c>
      <c r="W42" s="65"/>
      <c r="X42" s="65"/>
      <c r="Y42" s="65"/>
      <c r="Z42" s="65"/>
      <c r="AA42" s="65"/>
    </row>
    <row r="43" customFormat="false" ht="15" hidden="false" customHeight="true" outlineLevel="0" collapsed="false">
      <c r="A43" s="68" t="n">
        <v>45464</v>
      </c>
      <c r="B43" s="65" t="n">
        <v>533.44</v>
      </c>
      <c r="C43" s="65" t="n">
        <v>84.34</v>
      </c>
      <c r="D43" s="65" t="n">
        <v>1017.63</v>
      </c>
      <c r="E43" s="65" t="n">
        <v>161.99</v>
      </c>
      <c r="F43" s="65" t="n">
        <v>85.25</v>
      </c>
      <c r="G43" s="65" t="n">
        <v>95.16</v>
      </c>
      <c r="H43" s="65" t="n">
        <v>111.09</v>
      </c>
      <c r="I43" s="65" t="n">
        <v>80.29</v>
      </c>
      <c r="J43" s="65" t="n">
        <v>138.55</v>
      </c>
      <c r="K43" s="65" t="n">
        <v>126.22</v>
      </c>
      <c r="L43" s="65" t="n">
        <v>101.57</v>
      </c>
      <c r="M43" s="65" t="n">
        <v>23.84</v>
      </c>
      <c r="N43" s="65" t="n">
        <v>23.76</v>
      </c>
      <c r="O43" s="65" t="n">
        <v>85.85</v>
      </c>
      <c r="P43" s="65" t="n">
        <v>169.14</v>
      </c>
      <c r="Q43" s="65" t="n">
        <v>270.59</v>
      </c>
      <c r="R43" s="65" t="n">
        <v>54.12</v>
      </c>
      <c r="S43" s="65" t="n">
        <v>80.75</v>
      </c>
      <c r="T43" s="65" t="n">
        <v>31.8</v>
      </c>
      <c r="U43" s="65"/>
      <c r="V43" s="65" t="n">
        <v>275.39</v>
      </c>
      <c r="W43" s="65"/>
      <c r="X43" s="65"/>
      <c r="Y43" s="65"/>
      <c r="Z43" s="65"/>
      <c r="AA43" s="65"/>
    </row>
    <row r="44" customFormat="false" ht="15" hidden="false" customHeight="true" outlineLevel="0" collapsed="false">
      <c r="A44" s="68" t="n">
        <v>45471</v>
      </c>
      <c r="B44" s="65" t="n">
        <v>555.54</v>
      </c>
      <c r="C44" s="65" t="n">
        <v>87.62</v>
      </c>
      <c r="D44" s="65" t="n">
        <v>1004.01</v>
      </c>
      <c r="E44" s="65" t="n">
        <v>157.3</v>
      </c>
      <c r="F44" s="65" t="n">
        <v>86.67</v>
      </c>
      <c r="G44" s="65" t="n">
        <v>95.8</v>
      </c>
      <c r="H44" s="65" t="n">
        <v>111.42</v>
      </c>
      <c r="I44" s="65" t="n">
        <v>81.08</v>
      </c>
      <c r="J44" s="65" t="n">
        <v>130.59</v>
      </c>
      <c r="K44" s="65" t="n">
        <v>123.2</v>
      </c>
      <c r="L44" s="65" t="n">
        <v>104.27</v>
      </c>
      <c r="M44" s="65" t="n">
        <v>25.33</v>
      </c>
      <c r="N44" s="65" t="n">
        <v>23.9</v>
      </c>
      <c r="O44" s="65" t="n">
        <v>86.01</v>
      </c>
      <c r="P44" s="65" t="n">
        <v>169</v>
      </c>
      <c r="Q44" s="65" t="n">
        <v>258.05</v>
      </c>
      <c r="R44" s="65" t="n">
        <v>54.38</v>
      </c>
      <c r="S44" s="65" t="n">
        <v>82.32</v>
      </c>
      <c r="T44" s="65" t="n">
        <v>31.26</v>
      </c>
      <c r="U44" s="65"/>
      <c r="V44" s="65" t="n">
        <v>269.87</v>
      </c>
      <c r="W44" s="65"/>
      <c r="X44" s="65"/>
      <c r="Y44" s="65"/>
      <c r="Z44" s="65"/>
      <c r="AA44" s="65"/>
    </row>
    <row r="45" customFormat="false" ht="15" hidden="false" customHeight="true" outlineLevel="0" collapsed="false">
      <c r="A45" s="68" t="n">
        <v>45478</v>
      </c>
      <c r="B45" s="65" t="n">
        <v>578.34</v>
      </c>
      <c r="C45" s="65" t="n">
        <v>91.54</v>
      </c>
      <c r="D45" s="65" t="n">
        <v>1054.81</v>
      </c>
      <c r="E45" s="65" t="n">
        <v>166.88</v>
      </c>
      <c r="F45" s="65" t="n">
        <v>85.24</v>
      </c>
      <c r="G45" s="65" t="n">
        <v>97.42</v>
      </c>
      <c r="H45" s="65" t="n">
        <v>110.51</v>
      </c>
      <c r="I45" s="65" t="n">
        <v>84.1</v>
      </c>
      <c r="J45" s="65" t="n">
        <v>130.66</v>
      </c>
      <c r="K45" s="65" t="n">
        <v>125.48</v>
      </c>
      <c r="L45" s="65" t="n">
        <v>106.27</v>
      </c>
      <c r="M45" s="65" t="n">
        <v>27.23</v>
      </c>
      <c r="N45" s="65" t="n">
        <v>23.68</v>
      </c>
      <c r="O45" s="65" t="n">
        <v>88.68</v>
      </c>
      <c r="P45" s="65" t="n">
        <v>178.9</v>
      </c>
      <c r="Q45" s="65" t="n">
        <v>265.81</v>
      </c>
      <c r="R45" s="65" t="n">
        <v>54.19</v>
      </c>
      <c r="S45" s="65" t="n">
        <v>81.42</v>
      </c>
      <c r="T45" s="65" t="n">
        <v>31.62</v>
      </c>
      <c r="U45" s="65"/>
      <c r="V45" s="65" t="n">
        <v>267.88</v>
      </c>
      <c r="W45" s="65"/>
      <c r="X45" s="65"/>
      <c r="Y45" s="65"/>
      <c r="Z45" s="65"/>
      <c r="AA45" s="65"/>
    </row>
    <row r="46" customFormat="false" ht="15" hidden="false" customHeight="true" outlineLevel="0" collapsed="false">
      <c r="A46" s="68" t="n">
        <v>45485</v>
      </c>
      <c r="B46" s="65" t="n">
        <v>559.05</v>
      </c>
      <c r="C46" s="65" t="n">
        <v>90.47</v>
      </c>
      <c r="D46" s="65" t="n">
        <v>1065.4</v>
      </c>
      <c r="E46" s="65" t="n">
        <v>166.62</v>
      </c>
      <c r="F46" s="65" t="n">
        <v>89.99</v>
      </c>
      <c r="G46" s="65" t="n">
        <v>92.83</v>
      </c>
      <c r="H46" s="65" t="n">
        <v>115.16</v>
      </c>
      <c r="I46" s="65" t="n">
        <v>84.34</v>
      </c>
      <c r="J46" s="65" t="n">
        <v>132.72</v>
      </c>
      <c r="K46" s="65" t="n">
        <v>128.88</v>
      </c>
      <c r="L46" s="65" t="n">
        <v>111.55</v>
      </c>
      <c r="M46" s="65" t="n">
        <v>28.07</v>
      </c>
      <c r="N46" s="65" t="n">
        <v>24.48</v>
      </c>
      <c r="O46" s="65" t="n">
        <v>88.5</v>
      </c>
      <c r="P46" s="65" t="n">
        <v>182.16</v>
      </c>
      <c r="Q46" s="65" t="n">
        <v>261.27</v>
      </c>
      <c r="R46" s="65" t="n">
        <v>54.49</v>
      </c>
      <c r="S46" s="65" t="n">
        <v>83.89</v>
      </c>
      <c r="T46" s="65" t="n">
        <v>30.95</v>
      </c>
      <c r="U46" s="65"/>
      <c r="V46" s="65" t="n">
        <v>273.98</v>
      </c>
      <c r="W46" s="65"/>
      <c r="X46" s="65"/>
      <c r="Y46" s="65"/>
      <c r="Z46" s="65"/>
      <c r="AA46" s="65"/>
    </row>
    <row r="47" customFormat="false" ht="15" hidden="false" customHeight="true" outlineLevel="0" collapsed="false">
      <c r="A47" s="68" t="n">
        <v>45492</v>
      </c>
      <c r="B47" s="65" t="n">
        <v>551</v>
      </c>
      <c r="C47" s="65" t="n">
        <v>82.64</v>
      </c>
      <c r="D47" s="65" t="n">
        <v>878.98</v>
      </c>
      <c r="E47" s="65" t="n">
        <v>154.16</v>
      </c>
      <c r="F47" s="65" t="n">
        <v>92.37</v>
      </c>
      <c r="G47" s="65" t="n">
        <v>76.24</v>
      </c>
      <c r="H47" s="65" t="n">
        <v>116.79</v>
      </c>
      <c r="I47" s="65" t="n">
        <v>74.98</v>
      </c>
      <c r="J47" s="65" t="n">
        <v>113.55</v>
      </c>
      <c r="K47" s="65" t="n">
        <v>117.6</v>
      </c>
      <c r="L47" s="65" t="n">
        <v>114.9</v>
      </c>
      <c r="M47" s="65" t="n">
        <v>28.58</v>
      </c>
      <c r="N47" s="65" t="n">
        <v>24.93</v>
      </c>
      <c r="O47" s="65" t="n">
        <v>84.92</v>
      </c>
      <c r="P47" s="65" t="n">
        <v>161.18</v>
      </c>
      <c r="Q47" s="65" t="n">
        <v>260.99</v>
      </c>
      <c r="R47" s="65" t="n">
        <v>55.18</v>
      </c>
      <c r="S47" s="65" t="n">
        <v>87.43</v>
      </c>
      <c r="T47" s="65" t="n">
        <v>30.82</v>
      </c>
      <c r="U47" s="65"/>
      <c r="V47" s="65" t="n">
        <v>266.11</v>
      </c>
      <c r="W47" s="65"/>
      <c r="X47" s="65"/>
      <c r="Y47" s="65"/>
      <c r="Z47" s="65"/>
      <c r="AA47" s="65"/>
    </row>
    <row r="48" customFormat="false" ht="15" hidden="false" customHeight="true" outlineLevel="0" collapsed="false">
      <c r="A48" s="68" t="n">
        <v>45499</v>
      </c>
      <c r="B48" s="65" t="n">
        <v>542.44</v>
      </c>
      <c r="C48" s="65" t="n">
        <v>79.8</v>
      </c>
      <c r="D48" s="65" t="n">
        <v>872.13</v>
      </c>
      <c r="E48" s="65" t="n">
        <v>148.56</v>
      </c>
      <c r="F48" s="65" t="n">
        <v>95.72</v>
      </c>
      <c r="G48" s="65" t="n">
        <v>64.04</v>
      </c>
      <c r="H48" s="65" t="n">
        <v>119.26</v>
      </c>
      <c r="I48" s="65" t="n">
        <v>77.43</v>
      </c>
      <c r="J48" s="65" t="n">
        <v>108.73</v>
      </c>
      <c r="K48" s="65" t="n">
        <v>112.75</v>
      </c>
      <c r="L48" s="65" t="n">
        <v>113.9</v>
      </c>
      <c r="M48" s="65" t="n">
        <v>27.18</v>
      </c>
      <c r="N48" s="65" t="n">
        <v>25.35</v>
      </c>
      <c r="O48" s="65" t="n">
        <v>83.32</v>
      </c>
      <c r="P48" s="65" t="n">
        <v>157.46</v>
      </c>
      <c r="Q48" s="65" t="n">
        <v>255.09</v>
      </c>
      <c r="R48" s="65" t="n">
        <v>55.24</v>
      </c>
      <c r="S48" s="65" t="n">
        <v>87.36</v>
      </c>
      <c r="T48" s="65" t="n">
        <v>31.12</v>
      </c>
      <c r="U48" s="65"/>
      <c r="V48" s="65" t="n">
        <v>270.59</v>
      </c>
      <c r="W48" s="65"/>
      <c r="X48" s="65"/>
      <c r="Y48" s="65"/>
      <c r="Z48" s="65"/>
      <c r="AA48" s="65"/>
    </row>
    <row r="49" customFormat="false" ht="15" hidden="false" customHeight="true" outlineLevel="0" collapsed="false">
      <c r="A49" s="68" t="n">
        <v>45506</v>
      </c>
      <c r="B49" s="65" t="n">
        <v>526.17</v>
      </c>
      <c r="C49" s="65" t="n">
        <v>79.83</v>
      </c>
      <c r="D49" s="65" t="n">
        <v>796.01</v>
      </c>
      <c r="E49" s="65" t="n">
        <v>140.91</v>
      </c>
      <c r="F49" s="65" t="n">
        <v>88.88</v>
      </c>
      <c r="G49" s="65" t="n">
        <v>54.47</v>
      </c>
      <c r="H49" s="65" t="n">
        <v>117.54</v>
      </c>
      <c r="I49" s="65" t="n">
        <v>68.46</v>
      </c>
      <c r="J49" s="65" t="n">
        <v>92.12</v>
      </c>
      <c r="K49" s="65" t="n">
        <v>106.97</v>
      </c>
      <c r="L49" s="65" t="n">
        <v>115.11</v>
      </c>
      <c r="M49" s="65" t="n">
        <v>24.74</v>
      </c>
      <c r="N49" s="65" t="n">
        <v>24.84</v>
      </c>
      <c r="O49" s="65" t="n">
        <v>80.84</v>
      </c>
      <c r="P49" s="65" t="n">
        <v>145.71</v>
      </c>
      <c r="Q49" s="65" t="n">
        <v>262.1</v>
      </c>
      <c r="R49" s="65" t="n">
        <v>55.5</v>
      </c>
      <c r="S49" s="65" t="n">
        <v>87.46</v>
      </c>
      <c r="T49" s="65" t="n">
        <v>30.92</v>
      </c>
      <c r="U49" s="65"/>
      <c r="V49" s="65" t="n">
        <v>258.05</v>
      </c>
      <c r="W49" s="65"/>
      <c r="X49" s="65"/>
      <c r="Y49" s="65"/>
      <c r="Z49" s="65"/>
      <c r="AA49" s="65"/>
    </row>
    <row r="50" customFormat="false" ht="15" hidden="false" customHeight="true" outlineLevel="0" collapsed="false">
      <c r="A50" s="68" t="n">
        <v>45513</v>
      </c>
      <c r="B50" s="65" t="n">
        <v>536.3</v>
      </c>
      <c r="C50" s="65" t="n">
        <v>83.95</v>
      </c>
      <c r="D50" s="65" t="n">
        <v>846.36</v>
      </c>
      <c r="E50" s="65" t="n">
        <v>145.26</v>
      </c>
      <c r="F50" s="65" t="n">
        <v>87.31</v>
      </c>
      <c r="G50" s="65" t="n">
        <v>60.22</v>
      </c>
      <c r="H50" s="65" t="n">
        <v>116.35</v>
      </c>
      <c r="I50" s="65" t="n">
        <v>73.43</v>
      </c>
      <c r="J50" s="65" t="n">
        <v>92.5</v>
      </c>
      <c r="K50" s="65" t="n">
        <v>104.46</v>
      </c>
      <c r="L50" s="65" t="n">
        <v>113.18</v>
      </c>
      <c r="M50" s="65" t="n">
        <v>30.01</v>
      </c>
      <c r="N50" s="65" t="n">
        <v>24.64</v>
      </c>
      <c r="O50" s="65" t="n">
        <v>82.24</v>
      </c>
      <c r="P50" s="65" t="n">
        <v>162.49</v>
      </c>
      <c r="Q50" s="65" t="n">
        <v>255.9</v>
      </c>
      <c r="R50" s="65" t="n">
        <v>55.88</v>
      </c>
      <c r="S50" s="65" t="n">
        <v>90.17</v>
      </c>
      <c r="T50" s="65" t="n">
        <v>30.3</v>
      </c>
      <c r="U50" s="65"/>
      <c r="V50" s="65" t="n">
        <v>265.81</v>
      </c>
      <c r="W50" s="65"/>
      <c r="X50" s="65"/>
      <c r="Y50" s="65"/>
      <c r="Z50" s="65"/>
      <c r="AA50" s="65"/>
    </row>
    <row r="51" customFormat="false" ht="15" hidden="false" customHeight="true" outlineLevel="0" collapsed="false">
      <c r="A51" s="68" t="n">
        <v>45520</v>
      </c>
      <c r="B51" s="65" t="n">
        <v>553.46</v>
      </c>
      <c r="C51" s="65" t="n">
        <v>88.47</v>
      </c>
      <c r="D51" s="65" t="n">
        <v>903.52</v>
      </c>
      <c r="E51" s="65" t="n">
        <v>162.37</v>
      </c>
      <c r="F51" s="65" t="n">
        <v>89.81</v>
      </c>
      <c r="G51" s="65" t="n">
        <v>65.64</v>
      </c>
      <c r="H51" s="65" t="n">
        <v>119.33</v>
      </c>
      <c r="I51" s="65" t="n">
        <v>80.74</v>
      </c>
      <c r="J51" s="65" t="n">
        <v>107.32</v>
      </c>
      <c r="K51" s="65" t="n">
        <v>124.24</v>
      </c>
      <c r="L51" s="65" t="n">
        <v>114.06</v>
      </c>
      <c r="M51" s="65" t="n">
        <v>32.08</v>
      </c>
      <c r="N51" s="65" t="n">
        <v>25.2</v>
      </c>
      <c r="O51" s="65" t="n">
        <v>86.93</v>
      </c>
      <c r="P51" s="65" t="n">
        <v>169.71</v>
      </c>
      <c r="Q51" s="65" t="n">
        <v>263.41</v>
      </c>
      <c r="R51" s="65" t="n">
        <v>55.84</v>
      </c>
      <c r="S51" s="65" t="n">
        <v>89.99</v>
      </c>
      <c r="T51" s="65" t="n">
        <v>31.46</v>
      </c>
      <c r="U51" s="65"/>
      <c r="V51" s="65" t="n">
        <v>261.27</v>
      </c>
      <c r="W51" s="65"/>
      <c r="X51" s="65"/>
      <c r="Y51" s="65"/>
      <c r="Z51" s="65"/>
      <c r="AA51" s="65"/>
    </row>
    <row r="52" customFormat="false" ht="15" hidden="false" customHeight="true" outlineLevel="0" collapsed="false">
      <c r="A52" s="68" t="n">
        <v>45527</v>
      </c>
      <c r="B52" s="65" t="n">
        <v>558.3</v>
      </c>
      <c r="C52" s="65" t="n">
        <v>88.78</v>
      </c>
      <c r="D52" s="65" t="n">
        <v>892.3</v>
      </c>
      <c r="E52" s="65" t="n">
        <v>162.99</v>
      </c>
      <c r="F52" s="65" t="n">
        <v>92.6</v>
      </c>
      <c r="G52" s="65" t="n">
        <v>67.89</v>
      </c>
      <c r="H52" s="65" t="n">
        <v>121.81</v>
      </c>
      <c r="I52" s="65" t="n">
        <v>80.57</v>
      </c>
      <c r="J52" s="65" t="n">
        <v>102.21</v>
      </c>
      <c r="K52" s="65" t="n">
        <v>129.01</v>
      </c>
      <c r="L52" s="65" t="n">
        <v>119.64</v>
      </c>
      <c r="M52" s="65" t="n">
        <v>31.78</v>
      </c>
      <c r="N52" s="65" t="n">
        <v>25.67</v>
      </c>
      <c r="O52" s="65" t="n">
        <v>88.13</v>
      </c>
      <c r="P52" s="65" t="n">
        <v>166.54</v>
      </c>
      <c r="Q52" s="65" t="n">
        <v>263.47</v>
      </c>
      <c r="R52" s="65" t="n">
        <v>54.19</v>
      </c>
      <c r="S52" s="65" t="n">
        <v>86.35</v>
      </c>
      <c r="T52" s="65" t="n">
        <v>31.94</v>
      </c>
      <c r="U52" s="65"/>
      <c r="V52" s="65" t="n">
        <v>260.99</v>
      </c>
      <c r="W52" s="65"/>
      <c r="X52" s="65"/>
      <c r="Y52" s="65"/>
      <c r="Z52" s="65"/>
      <c r="AA52" s="65"/>
    </row>
    <row r="53" customFormat="false" ht="15" hidden="false" customHeight="true" outlineLevel="0" collapsed="false">
      <c r="A53" s="68" t="n">
        <v>45534</v>
      </c>
      <c r="B53" s="65" t="n">
        <v>574.41</v>
      </c>
      <c r="C53" s="65" t="n">
        <v>88.35</v>
      </c>
      <c r="D53" s="65" t="n">
        <v>888.97</v>
      </c>
      <c r="E53" s="65" t="n">
        <v>159.52</v>
      </c>
      <c r="F53" s="65" t="n">
        <v>92.65</v>
      </c>
      <c r="G53" s="65" t="n">
        <v>69.32</v>
      </c>
      <c r="H53" s="65" t="n">
        <v>123.48</v>
      </c>
      <c r="I53" s="65" t="n">
        <v>80.72</v>
      </c>
      <c r="J53" s="65" t="n">
        <v>95.64</v>
      </c>
      <c r="K53" s="65" t="n">
        <v>119.04</v>
      </c>
      <c r="L53" s="65" t="n">
        <v>118.67</v>
      </c>
      <c r="M53" s="65" t="n">
        <v>31.48</v>
      </c>
      <c r="N53" s="65" t="n">
        <v>25.99</v>
      </c>
      <c r="O53" s="65" t="n">
        <v>87.78</v>
      </c>
      <c r="P53" s="65" t="n">
        <v>166.95</v>
      </c>
      <c r="Q53" s="65" t="n">
        <v>272.27</v>
      </c>
      <c r="R53" s="65" t="n">
        <v>52.96</v>
      </c>
      <c r="S53" s="65" t="n">
        <v>84.72</v>
      </c>
      <c r="T53" s="65" t="n">
        <v>32.51</v>
      </c>
      <c r="U53" s="65"/>
      <c r="V53" s="65" t="n">
        <v>255.09</v>
      </c>
      <c r="W53" s="65"/>
      <c r="X53" s="65"/>
      <c r="Y53" s="65"/>
      <c r="Z53" s="65"/>
      <c r="AA53" s="65"/>
    </row>
    <row r="54" customFormat="false" ht="15" hidden="false" customHeight="true" outlineLevel="0" collapsed="false">
      <c r="A54" s="68" t="n">
        <v>45541</v>
      </c>
      <c r="B54" s="65" t="n">
        <v>563.41</v>
      </c>
      <c r="C54" s="65" t="n">
        <v>78.58</v>
      </c>
      <c r="D54" s="65" t="n">
        <v>740.38</v>
      </c>
      <c r="E54" s="65" t="n">
        <v>134.23</v>
      </c>
      <c r="F54" s="65" t="n">
        <v>87.4</v>
      </c>
      <c r="G54" s="65" t="n">
        <v>61.6</v>
      </c>
      <c r="H54" s="65" t="n">
        <v>120.84</v>
      </c>
      <c r="I54" s="65" t="n">
        <v>69.23</v>
      </c>
      <c r="J54" s="65" t="n">
        <v>85.84</v>
      </c>
      <c r="K54" s="65" t="n">
        <v>102.55</v>
      </c>
      <c r="L54" s="65" t="n">
        <v>118.13</v>
      </c>
      <c r="M54" s="65" t="n">
        <v>30.33</v>
      </c>
      <c r="N54" s="65" t="n">
        <v>25.21</v>
      </c>
      <c r="O54" s="65" t="n">
        <v>82.53</v>
      </c>
      <c r="P54" s="65" t="n">
        <v>152.48</v>
      </c>
      <c r="Q54" s="65" t="n">
        <v>275.22</v>
      </c>
      <c r="R54" s="65" t="n">
        <v>51.14</v>
      </c>
      <c r="S54" s="65" t="n">
        <v>82.2</v>
      </c>
      <c r="T54" s="65" t="n">
        <v>31.58</v>
      </c>
      <c r="U54" s="65"/>
      <c r="V54" s="65" t="n">
        <v>262.1</v>
      </c>
      <c r="W54" s="65"/>
      <c r="X54" s="65"/>
      <c r="Y54" s="65"/>
      <c r="Z54" s="65"/>
      <c r="AA54" s="65"/>
    </row>
    <row r="55" customFormat="false" ht="15" hidden="false" customHeight="true" outlineLevel="0" collapsed="false">
      <c r="A55" s="68" t="n">
        <v>45548</v>
      </c>
      <c r="B55" s="65" t="n">
        <v>536.87</v>
      </c>
      <c r="C55" s="65" t="n">
        <v>89.94</v>
      </c>
      <c r="D55" s="65" t="n">
        <v>802.9</v>
      </c>
      <c r="E55" s="65" t="n">
        <v>164.3</v>
      </c>
      <c r="F55" s="65" t="n">
        <v>89.92</v>
      </c>
      <c r="G55" s="65" t="n">
        <v>64.78</v>
      </c>
      <c r="H55" s="65" t="n">
        <v>123.08</v>
      </c>
      <c r="I55" s="65" t="n">
        <v>74.03</v>
      </c>
      <c r="J55" s="65" t="n">
        <v>90.65</v>
      </c>
      <c r="K55" s="65" t="n">
        <v>118.78</v>
      </c>
      <c r="L55" s="65" t="n">
        <v>120.68</v>
      </c>
      <c r="M55" s="65" t="n">
        <v>35.59</v>
      </c>
      <c r="N55" s="65" t="n">
        <v>25.63</v>
      </c>
      <c r="O55" s="65" t="n">
        <v>87.61</v>
      </c>
      <c r="P55" s="65" t="n">
        <v>168.34</v>
      </c>
      <c r="Q55" s="65" t="n">
        <v>283.08</v>
      </c>
      <c r="R55" s="65" t="n">
        <v>51.29</v>
      </c>
      <c r="S55" s="65" t="n">
        <v>83.62</v>
      </c>
      <c r="T55" s="65" t="n">
        <v>31.53</v>
      </c>
      <c r="U55" s="65"/>
      <c r="V55" s="65" t="n">
        <v>255.9</v>
      </c>
      <c r="W55" s="65"/>
      <c r="X55" s="65"/>
      <c r="Y55" s="65"/>
      <c r="Z55" s="65"/>
      <c r="AA55" s="65"/>
    </row>
    <row r="56" customFormat="false" ht="15" hidden="false" customHeight="true" outlineLevel="0" collapsed="false">
      <c r="A56" s="68" t="n">
        <v>45555</v>
      </c>
      <c r="B56" s="65" t="n">
        <v>522.3</v>
      </c>
      <c r="C56" s="65" t="n">
        <v>96.11</v>
      </c>
      <c r="D56" s="65" t="n">
        <v>782.17</v>
      </c>
      <c r="E56" s="65" t="n">
        <v>168.19</v>
      </c>
      <c r="F56" s="65" t="n">
        <v>92.64</v>
      </c>
      <c r="G56" s="65" t="n">
        <v>74.96</v>
      </c>
      <c r="H56" s="65" t="n">
        <v>124.57</v>
      </c>
      <c r="I56" s="65" t="n">
        <v>74.76</v>
      </c>
      <c r="J56" s="65" t="n">
        <v>90.33</v>
      </c>
      <c r="K56" s="65" t="n">
        <v>115.69</v>
      </c>
      <c r="L56" s="65" t="n">
        <v>117.36</v>
      </c>
      <c r="M56" s="65" t="n">
        <v>37.2</v>
      </c>
      <c r="N56" s="65" t="n">
        <v>25.97</v>
      </c>
      <c r="O56" s="65" t="n">
        <v>89.03</v>
      </c>
      <c r="P56" s="65" t="n">
        <v>169.89</v>
      </c>
      <c r="Q56" s="65" t="n">
        <v>280.54</v>
      </c>
      <c r="R56" s="65" t="n">
        <v>53.45</v>
      </c>
      <c r="S56" s="65" t="n">
        <v>88.39</v>
      </c>
      <c r="T56" s="65" t="n">
        <v>32.04</v>
      </c>
      <c r="U56" s="65"/>
      <c r="V56" s="65" t="n">
        <v>263.41</v>
      </c>
      <c r="W56" s="65"/>
      <c r="X56" s="65"/>
      <c r="Y56" s="65"/>
      <c r="Z56" s="65"/>
      <c r="AA56" s="65"/>
    </row>
    <row r="57" customFormat="false" ht="15" hidden="false" customHeight="true" outlineLevel="0" collapsed="false">
      <c r="A57" s="68" t="n">
        <v>45562</v>
      </c>
      <c r="B57" s="65" t="n">
        <v>515.48</v>
      </c>
      <c r="C57" s="65" t="n">
        <v>95.07</v>
      </c>
      <c r="D57" s="65" t="n">
        <v>827.67</v>
      </c>
      <c r="E57" s="65" t="n">
        <v>169.75</v>
      </c>
      <c r="F57" s="65" t="n">
        <v>92.68</v>
      </c>
      <c r="G57" s="65" t="n">
        <v>71.46</v>
      </c>
      <c r="H57" s="65" t="n">
        <v>125.53</v>
      </c>
      <c r="I57" s="65" t="n">
        <v>77.08</v>
      </c>
      <c r="J57" s="65" t="n">
        <v>106.83</v>
      </c>
      <c r="K57" s="65" t="n">
        <v>121.08</v>
      </c>
      <c r="L57" s="65" t="n">
        <v>117.47</v>
      </c>
      <c r="M57" s="65" t="n">
        <v>36.84</v>
      </c>
      <c r="N57" s="65" t="n">
        <v>26.13</v>
      </c>
      <c r="O57" s="65" t="n">
        <v>88.91</v>
      </c>
      <c r="P57" s="65" t="n">
        <v>173.68</v>
      </c>
      <c r="Q57" s="65" t="n">
        <v>271.08</v>
      </c>
      <c r="R57" s="65" t="n">
        <v>53.9</v>
      </c>
      <c r="S57" s="65" t="n">
        <v>89.61</v>
      </c>
      <c r="T57" s="65" t="n">
        <v>33.09</v>
      </c>
      <c r="U57" s="65"/>
      <c r="V57" s="65" t="n">
        <v>263.47</v>
      </c>
      <c r="W57" s="65"/>
      <c r="X57" s="65"/>
      <c r="Y57" s="65"/>
      <c r="Z57" s="65"/>
      <c r="AA57" s="65"/>
    </row>
    <row r="58" customFormat="false" ht="15" hidden="false" customHeight="true" outlineLevel="0" collapsed="false">
      <c r="A58" s="68" t="n">
        <v>45569</v>
      </c>
      <c r="B58" s="65" t="n">
        <v>507.22</v>
      </c>
      <c r="C58" s="65" t="n">
        <v>98.99</v>
      </c>
      <c r="D58" s="65" t="n">
        <v>819.27</v>
      </c>
      <c r="E58" s="65" t="n">
        <v>173.63</v>
      </c>
      <c r="F58" s="65" t="n">
        <v>92.94</v>
      </c>
      <c r="G58" s="65" t="n">
        <v>73.06</v>
      </c>
      <c r="H58" s="65" t="n">
        <v>125.03</v>
      </c>
      <c r="I58" s="65" t="n">
        <v>77.57</v>
      </c>
      <c r="J58" s="65" t="n">
        <v>101.61</v>
      </c>
      <c r="K58" s="65" t="n">
        <v>124.59</v>
      </c>
      <c r="L58" s="65" t="n">
        <v>114.51</v>
      </c>
      <c r="M58" s="65" t="n">
        <v>40.01</v>
      </c>
      <c r="N58" s="65" t="n">
        <v>26.26</v>
      </c>
      <c r="O58" s="65" t="n">
        <v>90.24</v>
      </c>
      <c r="P58" s="65" t="n">
        <v>176.8</v>
      </c>
      <c r="Q58" s="65" t="n">
        <v>273.8</v>
      </c>
      <c r="R58" s="65" t="n">
        <v>54.08</v>
      </c>
      <c r="S58" s="65" t="n">
        <v>89.25</v>
      </c>
      <c r="T58" s="65" t="n">
        <v>33.2</v>
      </c>
      <c r="U58" s="65"/>
      <c r="V58" s="65" t="n">
        <v>272.27</v>
      </c>
      <c r="W58" s="65"/>
      <c r="X58" s="65"/>
      <c r="Y58" s="65"/>
      <c r="Z58" s="65"/>
      <c r="AA58" s="65"/>
    </row>
    <row r="59" customFormat="false" ht="15" hidden="false" customHeight="true" outlineLevel="0" collapsed="false">
      <c r="A59" s="68" t="n">
        <v>45576</v>
      </c>
      <c r="B59" s="65" t="n">
        <v>495.42</v>
      </c>
      <c r="C59" s="65" t="n">
        <v>104.23</v>
      </c>
      <c r="D59" s="65" t="n">
        <v>826.83</v>
      </c>
      <c r="E59" s="65" t="n">
        <v>178.39</v>
      </c>
      <c r="F59" s="65" t="n">
        <v>94.05</v>
      </c>
      <c r="G59" s="65" t="n">
        <v>80.05</v>
      </c>
      <c r="H59" s="65" t="n">
        <v>125.1</v>
      </c>
      <c r="I59" s="65" t="n">
        <v>79.18</v>
      </c>
      <c r="J59" s="65" t="n">
        <v>106.37</v>
      </c>
      <c r="K59" s="65" t="n">
        <v>134.44</v>
      </c>
      <c r="L59" s="65" t="n">
        <v>112.47</v>
      </c>
      <c r="M59" s="65" t="n">
        <v>43.51</v>
      </c>
      <c r="N59" s="65" t="n">
        <v>26.56</v>
      </c>
      <c r="O59" s="65" t="n">
        <v>92.19</v>
      </c>
      <c r="P59" s="65" t="n">
        <v>186.21</v>
      </c>
      <c r="Q59" s="65" t="n">
        <v>273.71</v>
      </c>
      <c r="R59" s="65" t="n">
        <v>51.36</v>
      </c>
      <c r="S59" s="65" t="n">
        <v>83.92</v>
      </c>
      <c r="T59" s="65" t="n">
        <v>31.83</v>
      </c>
      <c r="U59" s="65"/>
      <c r="V59" s="65" t="n">
        <v>275.22</v>
      </c>
      <c r="W59" s="65"/>
      <c r="X59" s="65"/>
      <c r="Y59" s="65"/>
      <c r="Z59" s="65"/>
      <c r="AA59" s="65"/>
    </row>
    <row r="60" customFormat="false" ht="15" hidden="false" customHeight="true" outlineLevel="0" collapsed="false">
      <c r="A60" s="68" t="n">
        <v>45583</v>
      </c>
      <c r="B60" s="65" t="n">
        <v>494.9</v>
      </c>
      <c r="C60" s="65" t="n">
        <v>100.5</v>
      </c>
      <c r="D60" s="65" t="n">
        <v>711.34</v>
      </c>
      <c r="E60" s="65" t="n">
        <v>176.83</v>
      </c>
      <c r="F60" s="65" t="n">
        <v>95.23</v>
      </c>
      <c r="G60" s="65" t="n">
        <v>77.54</v>
      </c>
      <c r="H60" s="65" t="n">
        <v>127.52</v>
      </c>
      <c r="I60" s="65" t="n">
        <v>66.84</v>
      </c>
      <c r="J60" s="65" t="n">
        <v>110.58</v>
      </c>
      <c r="K60" s="65" t="n">
        <v>137.63</v>
      </c>
      <c r="L60" s="65" t="n">
        <v>114.58</v>
      </c>
      <c r="M60" s="65" t="n">
        <v>42.97</v>
      </c>
      <c r="N60" s="65" t="n">
        <v>26.81</v>
      </c>
      <c r="O60" s="65" t="n">
        <v>92.59</v>
      </c>
      <c r="P60" s="65" t="n">
        <v>195.94</v>
      </c>
      <c r="Q60" s="65" t="n">
        <v>286.3</v>
      </c>
      <c r="R60" s="65" t="n">
        <v>53.75</v>
      </c>
      <c r="S60" s="65" t="n">
        <v>89.08</v>
      </c>
      <c r="T60" s="65" t="n">
        <v>32.58</v>
      </c>
      <c r="U60" s="65"/>
      <c r="V60" s="65" t="n">
        <v>283.08</v>
      </c>
      <c r="W60" s="65"/>
      <c r="X60" s="65"/>
      <c r="Y60" s="65"/>
      <c r="Z60" s="65"/>
      <c r="AA60" s="65"/>
    </row>
    <row r="61" customFormat="false" ht="15" hidden="false" customHeight="true" outlineLevel="0" collapsed="false">
      <c r="A61" s="68" t="n">
        <v>45590</v>
      </c>
      <c r="B61" s="65" t="n">
        <v>483.72</v>
      </c>
      <c r="C61" s="65" t="n">
        <v>98.52</v>
      </c>
      <c r="D61" s="65" t="n">
        <v>699.97</v>
      </c>
      <c r="E61" s="65" t="n">
        <v>170.06</v>
      </c>
      <c r="F61" s="65" t="n">
        <v>92.06</v>
      </c>
      <c r="G61" s="65" t="n">
        <v>75.15</v>
      </c>
      <c r="H61" s="65" t="n">
        <v>124.51</v>
      </c>
      <c r="I61" s="65" t="n">
        <v>66.31</v>
      </c>
      <c r="J61" s="65" t="n">
        <v>107.36</v>
      </c>
      <c r="K61" s="65" t="n">
        <v>141.16</v>
      </c>
      <c r="L61" s="65" t="n">
        <v>109.94</v>
      </c>
      <c r="M61" s="65" t="n">
        <v>44.86</v>
      </c>
      <c r="N61" s="65" t="n">
        <v>26.19</v>
      </c>
      <c r="O61" s="65" t="n">
        <v>91.23</v>
      </c>
      <c r="P61" s="65" t="n">
        <v>198.54</v>
      </c>
      <c r="Q61" s="65" t="n">
        <v>277.55</v>
      </c>
      <c r="R61" s="65" t="n">
        <v>54.41</v>
      </c>
      <c r="S61" s="65" t="n">
        <v>90.53</v>
      </c>
      <c r="T61" s="65" t="n">
        <v>33.14</v>
      </c>
      <c r="U61" s="65"/>
      <c r="V61" s="65" t="n">
        <v>280.54</v>
      </c>
      <c r="W61" s="65"/>
      <c r="X61" s="65"/>
      <c r="Y61" s="65"/>
      <c r="Z61" s="65"/>
      <c r="AA61" s="65"/>
    </row>
    <row r="62" customFormat="false" ht="15" hidden="false" customHeight="true" outlineLevel="0" collapsed="false">
      <c r="A62" s="68" t="n">
        <v>45597</v>
      </c>
      <c r="B62" s="65" t="n">
        <v>482.8</v>
      </c>
      <c r="C62" s="65" t="n">
        <v>98.54</v>
      </c>
      <c r="D62" s="65" t="n">
        <v>665.15</v>
      </c>
      <c r="E62" s="65" t="n">
        <v>166.04</v>
      </c>
      <c r="F62" s="65" t="n">
        <v>91.84</v>
      </c>
      <c r="G62" s="65" t="n">
        <v>75.78</v>
      </c>
      <c r="H62" s="65" t="n">
        <v>124.39</v>
      </c>
      <c r="I62" s="65" t="n">
        <v>65.94</v>
      </c>
      <c r="J62" s="65" t="n">
        <v>99.22</v>
      </c>
      <c r="K62" s="65" t="n">
        <v>135.04</v>
      </c>
      <c r="L62" s="65" t="n">
        <v>106.07</v>
      </c>
      <c r="M62" s="65" t="n">
        <v>41.92</v>
      </c>
      <c r="N62" s="65" t="n">
        <v>26.15</v>
      </c>
      <c r="O62" s="65" t="n">
        <v>89.98</v>
      </c>
      <c r="P62" s="65" t="n">
        <v>188.3</v>
      </c>
      <c r="Q62" s="65" t="n">
        <v>286.42</v>
      </c>
      <c r="R62" s="65" t="n">
        <v>54.8</v>
      </c>
      <c r="S62" s="65" t="n">
        <v>90.34</v>
      </c>
      <c r="T62" s="65" t="n">
        <v>33.21</v>
      </c>
      <c r="U62" s="65"/>
      <c r="V62" s="65" t="n">
        <v>271.08</v>
      </c>
      <c r="W62" s="65"/>
      <c r="X62" s="65"/>
      <c r="Y62" s="65"/>
      <c r="Z62" s="65"/>
      <c r="AA62" s="65"/>
    </row>
    <row r="63" customFormat="false" ht="15" hidden="false" customHeight="true" outlineLevel="0" collapsed="false">
      <c r="A63" s="68" t="n">
        <v>45604</v>
      </c>
      <c r="B63" s="65" t="n">
        <v>494.68</v>
      </c>
      <c r="C63" s="65" t="n">
        <v>100.11</v>
      </c>
      <c r="D63" s="65" t="n">
        <v>659.96</v>
      </c>
      <c r="E63" s="65" t="n">
        <v>180.51</v>
      </c>
      <c r="F63" s="65" t="n">
        <v>99.98</v>
      </c>
      <c r="G63" s="65" t="n">
        <v>82.51</v>
      </c>
      <c r="H63" s="65" t="n">
        <v>128.71</v>
      </c>
      <c r="I63" s="65" t="n">
        <v>67.72</v>
      </c>
      <c r="J63" s="65" t="n">
        <v>111.33</v>
      </c>
      <c r="K63" s="65" t="n">
        <v>147.23</v>
      </c>
      <c r="L63" s="65" t="n">
        <v>108.34</v>
      </c>
      <c r="M63" s="65" t="n">
        <v>58.39</v>
      </c>
      <c r="N63" s="65" t="n">
        <v>27.06</v>
      </c>
      <c r="O63" s="65" t="n">
        <v>95.36</v>
      </c>
      <c r="P63" s="65" t="n">
        <v>196.35</v>
      </c>
      <c r="Q63" s="65" t="n">
        <v>303.3</v>
      </c>
      <c r="R63" s="65" t="n">
        <v>54.37</v>
      </c>
      <c r="S63" s="65" t="n">
        <v>91.69</v>
      </c>
      <c r="T63" s="65" t="n">
        <v>33.83</v>
      </c>
      <c r="U63" s="65"/>
      <c r="V63" s="65" t="n">
        <v>273.8</v>
      </c>
      <c r="W63" s="65"/>
      <c r="X63" s="65"/>
      <c r="Y63" s="65"/>
      <c r="Z63" s="65"/>
      <c r="AA63" s="65"/>
    </row>
    <row r="64" customFormat="false" ht="15" hidden="false" customHeight="true" outlineLevel="0" collapsed="false">
      <c r="A64" s="68" t="n">
        <v>45611</v>
      </c>
      <c r="B64" s="65" t="n">
        <v>503.37</v>
      </c>
      <c r="C64" s="65" t="n">
        <v>93.6</v>
      </c>
      <c r="D64" s="65" t="n">
        <v>649.28</v>
      </c>
      <c r="E64" s="65" t="n">
        <v>162.03</v>
      </c>
      <c r="F64" s="65" t="n">
        <v>98.04</v>
      </c>
      <c r="G64" s="65" t="n">
        <v>84.19</v>
      </c>
      <c r="H64" s="65" t="n">
        <v>128.87</v>
      </c>
      <c r="I64" s="65" t="n">
        <v>60.53</v>
      </c>
      <c r="J64" s="65" t="n">
        <v>95.85</v>
      </c>
      <c r="K64" s="65" t="n">
        <v>141.6</v>
      </c>
      <c r="L64" s="65" t="n">
        <v>106.09</v>
      </c>
      <c r="M64" s="65" t="n">
        <v>65.77</v>
      </c>
      <c r="N64" s="65" t="n">
        <v>26.64</v>
      </c>
      <c r="O64" s="65" t="n">
        <v>92.42</v>
      </c>
      <c r="P64" s="65" t="n">
        <v>181.53</v>
      </c>
      <c r="Q64" s="65" t="n">
        <v>305.62</v>
      </c>
      <c r="R64" s="65" t="n">
        <v>54.86</v>
      </c>
      <c r="S64" s="65" t="n">
        <v>93.67</v>
      </c>
      <c r="T64" s="65" t="n">
        <v>33.95</v>
      </c>
      <c r="U64" s="65"/>
      <c r="V64" s="65" t="n">
        <v>273.71</v>
      </c>
      <c r="W64" s="65"/>
      <c r="X64" s="65"/>
      <c r="Y64" s="65"/>
      <c r="Z64" s="65"/>
      <c r="AA64" s="65"/>
    </row>
    <row r="65" customFormat="false" ht="15" hidden="false" customHeight="true" outlineLevel="0" collapsed="false">
      <c r="A65" s="68" t="n">
        <v>45618</v>
      </c>
      <c r="B65" s="65" t="n">
        <v>512.15</v>
      </c>
      <c r="C65" s="65" t="n">
        <v>101.62</v>
      </c>
      <c r="D65" s="65" t="n">
        <v>663.32</v>
      </c>
      <c r="E65" s="65" t="n">
        <v>161.43</v>
      </c>
      <c r="F65" s="65" t="n">
        <v>101.62</v>
      </c>
      <c r="G65" s="65" t="n">
        <v>93.07</v>
      </c>
      <c r="H65" s="65" t="n">
        <v>132.37</v>
      </c>
      <c r="I65" s="65" t="n">
        <v>63.18</v>
      </c>
      <c r="J65" s="65" t="n">
        <v>102.11</v>
      </c>
      <c r="K65" s="65" t="n">
        <v>141.57</v>
      </c>
      <c r="L65" s="65" t="n">
        <v>108.31</v>
      </c>
      <c r="M65" s="65" t="n">
        <v>64.35</v>
      </c>
      <c r="N65" s="65" t="n">
        <v>27.31</v>
      </c>
      <c r="O65" s="65" t="n">
        <v>94.07</v>
      </c>
      <c r="P65" s="65" t="n">
        <v>185.5</v>
      </c>
      <c r="Q65" s="65" t="n">
        <v>305.9</v>
      </c>
      <c r="R65" s="65" t="n">
        <v>55.27</v>
      </c>
      <c r="S65" s="65" t="n">
        <v>94.07</v>
      </c>
      <c r="T65" s="65" t="n">
        <v>33.79</v>
      </c>
      <c r="U65" s="65"/>
      <c r="V65" s="65" t="n">
        <v>286.3</v>
      </c>
      <c r="W65" s="65"/>
      <c r="X65" s="65"/>
      <c r="Y65" s="65"/>
      <c r="Z65" s="65"/>
      <c r="AA65" s="65"/>
    </row>
    <row r="66" customFormat="false" ht="15" hidden="false" customHeight="true" outlineLevel="0" collapsed="false">
      <c r="A66" s="68" t="n">
        <v>45625</v>
      </c>
      <c r="B66" s="65" t="n">
        <v>515.93</v>
      </c>
      <c r="C66" s="65" t="n">
        <v>101.46</v>
      </c>
      <c r="D66" s="65" t="n">
        <v>676.86</v>
      </c>
      <c r="E66" s="65" t="n">
        <v>159.32</v>
      </c>
      <c r="F66" s="65" t="n">
        <v>102.31</v>
      </c>
      <c r="G66" s="65" t="n">
        <v>86.49</v>
      </c>
      <c r="H66" s="65" t="n">
        <v>133.61</v>
      </c>
      <c r="I66" s="65" t="n">
        <v>63.92</v>
      </c>
      <c r="J66" s="65" t="n">
        <v>97.45</v>
      </c>
      <c r="K66" s="65" t="n">
        <v>137.88</v>
      </c>
      <c r="L66" s="65" t="n">
        <v>109.23</v>
      </c>
      <c r="M66" s="65" t="n">
        <v>67.08</v>
      </c>
      <c r="N66" s="65" t="n">
        <v>27.48</v>
      </c>
      <c r="O66" s="65" t="n">
        <v>95.3</v>
      </c>
      <c r="P66" s="65" t="n">
        <v>180.21</v>
      </c>
      <c r="Q66" s="65" t="n">
        <v>310.99</v>
      </c>
      <c r="R66" s="65" t="n">
        <v>55.4</v>
      </c>
      <c r="S66" s="65" t="n">
        <v>92.69</v>
      </c>
      <c r="T66" s="65" t="n">
        <v>33.14</v>
      </c>
      <c r="U66" s="65"/>
      <c r="V66" s="65" t="n">
        <v>277.55</v>
      </c>
      <c r="W66" s="65"/>
      <c r="X66" s="65"/>
      <c r="Y66" s="65"/>
      <c r="Z66" s="65"/>
      <c r="AA66" s="65"/>
    </row>
    <row r="67" customFormat="false" ht="15" hidden="false" customHeight="true" outlineLevel="0" collapsed="false">
      <c r="A67" s="68" t="n">
        <v>45632</v>
      </c>
      <c r="B67" s="65" t="n">
        <v>552.96</v>
      </c>
      <c r="C67" s="65" t="n">
        <v>108.25</v>
      </c>
      <c r="D67" s="65" t="n">
        <v>698.91</v>
      </c>
      <c r="E67" s="65" t="n">
        <v>176.47</v>
      </c>
      <c r="F67" s="65" t="n">
        <v>100.18</v>
      </c>
      <c r="G67" s="65" t="n">
        <v>91.41</v>
      </c>
      <c r="H67" s="65" t="n">
        <v>130.23</v>
      </c>
      <c r="I67" s="65" t="n">
        <v>64.05</v>
      </c>
      <c r="J67" s="65" t="n">
        <v>100.65</v>
      </c>
      <c r="K67" s="65" t="n">
        <v>142.07</v>
      </c>
      <c r="L67" s="65" t="n">
        <v>104.76</v>
      </c>
      <c r="M67" s="65" t="n">
        <v>76.34</v>
      </c>
      <c r="N67" s="65" t="n">
        <v>26.82</v>
      </c>
      <c r="O67" s="65" t="n">
        <v>97.14</v>
      </c>
      <c r="P67" s="65" t="n">
        <v>198.13</v>
      </c>
      <c r="Q67" s="65" t="n">
        <v>306.97</v>
      </c>
      <c r="R67" s="65" t="n">
        <v>54.44</v>
      </c>
      <c r="S67" s="65" t="n">
        <v>91.42</v>
      </c>
      <c r="T67" s="65" t="n">
        <v>33.16</v>
      </c>
      <c r="U67" s="65"/>
      <c r="V67" s="65" t="n">
        <v>286.42</v>
      </c>
      <c r="W67" s="65"/>
      <c r="X67" s="65"/>
      <c r="Y67" s="65"/>
      <c r="Z67" s="65"/>
      <c r="AA67" s="65"/>
    </row>
    <row r="68" customFormat="false" ht="15" hidden="false" customHeight="true" outlineLevel="0" collapsed="false">
      <c r="A68" s="68" t="n">
        <v>45639</v>
      </c>
      <c r="B68" s="65" t="n">
        <v>465.69</v>
      </c>
      <c r="C68" s="65" t="n">
        <v>112.37</v>
      </c>
      <c r="D68" s="65" t="n">
        <v>708.38</v>
      </c>
      <c r="E68" s="65" t="n">
        <v>220.97</v>
      </c>
      <c r="F68" s="65" t="n">
        <v>98.94</v>
      </c>
      <c r="G68" s="65" t="n">
        <v>92</v>
      </c>
      <c r="H68" s="65" t="n">
        <v>127.6</v>
      </c>
      <c r="I68" s="65" t="n">
        <v>64.58</v>
      </c>
      <c r="J68" s="65" t="n">
        <v>101.97</v>
      </c>
      <c r="K68" s="65" t="n">
        <v>133.9</v>
      </c>
      <c r="L68" s="65" t="n">
        <v>103.95</v>
      </c>
      <c r="M68" s="65" t="n">
        <v>76.07</v>
      </c>
      <c r="N68" s="65" t="n">
        <v>26.42</v>
      </c>
      <c r="O68" s="65" t="n">
        <v>96.23</v>
      </c>
      <c r="P68" s="65" t="n">
        <v>196.77</v>
      </c>
      <c r="Q68" s="65" t="n">
        <v>310.65</v>
      </c>
      <c r="R68" s="65" t="n">
        <v>56.54</v>
      </c>
      <c r="S68" s="65" t="n">
        <v>96.89</v>
      </c>
      <c r="T68" s="65" t="n">
        <v>35.73</v>
      </c>
      <c r="U68" s="65"/>
      <c r="V68" s="65" t="n">
        <v>303.3</v>
      </c>
      <c r="W68" s="65"/>
      <c r="X68" s="65"/>
      <c r="Y68" s="65"/>
      <c r="Z68" s="65"/>
      <c r="AA68" s="65"/>
    </row>
    <row r="69" customFormat="false" ht="15" hidden="false" customHeight="true" outlineLevel="0" collapsed="false">
      <c r="A69" s="68" t="n">
        <v>45646</v>
      </c>
      <c r="B69" s="65" t="n">
        <v>447.17</v>
      </c>
      <c r="C69" s="65" t="n">
        <v>112.81</v>
      </c>
      <c r="D69" s="65" t="n">
        <v>695.66</v>
      </c>
      <c r="E69" s="65" t="n">
        <v>217.03</v>
      </c>
      <c r="F69" s="65" t="n">
        <v>93.61</v>
      </c>
      <c r="G69" s="65" t="n">
        <v>90.57</v>
      </c>
      <c r="H69" s="65" t="n">
        <v>123.57</v>
      </c>
      <c r="I69" s="65" t="n">
        <v>62.17</v>
      </c>
      <c r="J69" s="65" t="n">
        <v>89.66</v>
      </c>
      <c r="K69" s="65" t="n">
        <v>134.35</v>
      </c>
      <c r="L69" s="65" t="n">
        <v>97.48</v>
      </c>
      <c r="M69" s="65" t="n">
        <v>80.55</v>
      </c>
      <c r="N69" s="65" t="n">
        <v>25.63</v>
      </c>
      <c r="O69" s="65" t="n">
        <v>94.07</v>
      </c>
      <c r="P69" s="65" t="n">
        <v>193.07</v>
      </c>
      <c r="Q69" s="65" t="n">
        <v>313.59</v>
      </c>
      <c r="R69" s="65" t="n">
        <v>55.61</v>
      </c>
      <c r="S69" s="65" t="n">
        <v>93.9</v>
      </c>
      <c r="T69" s="65" t="n">
        <v>35.18</v>
      </c>
      <c r="U69" s="65"/>
      <c r="V69" s="65" t="n">
        <v>305.62</v>
      </c>
      <c r="W69" s="65"/>
      <c r="X69" s="65"/>
      <c r="Y69" s="65"/>
      <c r="Z69" s="65"/>
      <c r="AA69" s="65"/>
    </row>
    <row r="70" customFormat="false" ht="15" hidden="false" customHeight="true" outlineLevel="0" collapsed="false">
      <c r="A70" s="68" t="n">
        <v>45653</v>
      </c>
      <c r="B70" s="65" t="n">
        <v>446.48</v>
      </c>
      <c r="C70" s="65" t="n">
        <v>113.03</v>
      </c>
      <c r="D70" s="65" t="n">
        <v>703.46</v>
      </c>
      <c r="E70" s="65" t="n">
        <v>238.27</v>
      </c>
      <c r="F70" s="65" t="n">
        <v>93.98</v>
      </c>
      <c r="G70" s="65" t="n">
        <v>88.75</v>
      </c>
      <c r="H70" s="65" t="n">
        <v>124.13</v>
      </c>
      <c r="I70" s="65" t="n">
        <v>63.7</v>
      </c>
      <c r="J70" s="65" t="n">
        <v>88.18</v>
      </c>
      <c r="K70" s="65" t="n">
        <v>136.65</v>
      </c>
      <c r="L70" s="65" t="n">
        <v>99.29</v>
      </c>
      <c r="M70" s="65" t="n">
        <v>79.08</v>
      </c>
      <c r="N70" s="65" t="n">
        <v>25.8</v>
      </c>
      <c r="O70" s="65" t="n">
        <v>95.26</v>
      </c>
      <c r="P70" s="65" t="n">
        <v>197.4</v>
      </c>
      <c r="Q70" s="65" t="n">
        <v>314.52</v>
      </c>
      <c r="R70" s="65" t="n">
        <v>56.57</v>
      </c>
      <c r="S70" s="65" t="n">
        <v>95.58</v>
      </c>
      <c r="T70" s="65" t="n">
        <v>36.54</v>
      </c>
      <c r="U70" s="65"/>
      <c r="V70" s="65" t="n">
        <v>305.9</v>
      </c>
      <c r="W70" s="65"/>
      <c r="X70" s="65"/>
      <c r="Y70" s="65"/>
      <c r="Z70" s="65"/>
      <c r="AA70" s="65"/>
    </row>
    <row r="71" customFormat="false" ht="15" hidden="false" customHeight="true" outlineLevel="0" collapsed="false">
      <c r="A71" s="68" t="n">
        <v>45660</v>
      </c>
      <c r="B71" s="65" t="n">
        <v>430.57</v>
      </c>
      <c r="C71" s="65" t="n">
        <v>115.2</v>
      </c>
      <c r="D71" s="65" t="n">
        <v>704.22</v>
      </c>
      <c r="E71" s="65" t="n">
        <v>229.2</v>
      </c>
      <c r="F71" s="65" t="n">
        <v>94.72</v>
      </c>
      <c r="G71" s="65" t="n">
        <v>89.75</v>
      </c>
      <c r="H71" s="65" t="n">
        <v>124.06</v>
      </c>
      <c r="I71" s="65" t="n">
        <v>64.9</v>
      </c>
      <c r="J71" s="65" t="n">
        <v>89.53</v>
      </c>
      <c r="K71" s="65" t="n">
        <v>144.09</v>
      </c>
      <c r="L71" s="65" t="n">
        <v>99.66</v>
      </c>
      <c r="M71" s="65" t="n">
        <v>79.89</v>
      </c>
      <c r="N71" s="65" t="n">
        <v>25.77</v>
      </c>
      <c r="O71" s="65" t="n">
        <v>95.55</v>
      </c>
      <c r="P71" s="65" t="n">
        <v>204.23</v>
      </c>
      <c r="Q71" s="65" t="n">
        <v>310.82</v>
      </c>
      <c r="R71" s="65" t="n">
        <v>57.09</v>
      </c>
      <c r="S71" s="65" t="n">
        <v>96.83</v>
      </c>
      <c r="T71" s="65" t="n">
        <v>36.61</v>
      </c>
      <c r="U71" s="65"/>
      <c r="V71" s="65" t="n">
        <v>310.99</v>
      </c>
      <c r="W71" s="65"/>
      <c r="X71" s="65"/>
      <c r="Y71" s="65"/>
      <c r="Z71" s="65"/>
      <c r="AA71" s="65"/>
    </row>
    <row r="72" customFormat="false" ht="15" hidden="false" customHeight="true" outlineLevel="0" collapsed="false">
      <c r="A72" s="68" t="n">
        <v>45667</v>
      </c>
      <c r="B72" s="65" t="n">
        <v>405.92</v>
      </c>
      <c r="C72" s="65" t="n">
        <v>114.34</v>
      </c>
      <c r="D72" s="65" t="n">
        <v>728.52</v>
      </c>
      <c r="E72" s="65" t="n">
        <v>221.08</v>
      </c>
      <c r="F72" s="65" t="n">
        <v>92.23</v>
      </c>
      <c r="G72" s="65" t="n">
        <v>87.21</v>
      </c>
      <c r="H72" s="65" t="n">
        <v>120.96</v>
      </c>
      <c r="I72" s="65" t="n">
        <v>67.48</v>
      </c>
      <c r="J72" s="65" t="n">
        <v>98.96</v>
      </c>
      <c r="K72" s="65" t="n">
        <v>135.56</v>
      </c>
      <c r="L72" s="65" t="n">
        <v>97.74</v>
      </c>
      <c r="M72" s="65" t="n">
        <v>67.26</v>
      </c>
      <c r="N72" s="65" t="n">
        <v>25.37</v>
      </c>
      <c r="O72" s="65" t="n">
        <v>94.26</v>
      </c>
      <c r="P72" s="65" t="n">
        <v>204</v>
      </c>
      <c r="Q72" s="65" t="n">
        <v>303.72</v>
      </c>
      <c r="R72" s="65" t="n">
        <v>57.62</v>
      </c>
      <c r="S72" s="65" t="n">
        <v>98.7</v>
      </c>
      <c r="T72" s="65" t="n">
        <v>36.58</v>
      </c>
      <c r="U72" s="65"/>
      <c r="V72" s="65" t="n">
        <v>306.97</v>
      </c>
      <c r="W72" s="65"/>
      <c r="X72" s="65"/>
      <c r="Y72" s="65"/>
      <c r="Z72" s="65"/>
      <c r="AA72" s="65"/>
    </row>
    <row r="73" customFormat="false" ht="15" hidden="false" customHeight="true" outlineLevel="0" collapsed="false">
      <c r="A73" s="68" t="n">
        <v>45674</v>
      </c>
      <c r="B73" s="65" t="n">
        <v>429.99</v>
      </c>
      <c r="C73" s="65" t="n">
        <v>119.95</v>
      </c>
      <c r="D73" s="65" t="n">
        <v>745.59</v>
      </c>
      <c r="E73" s="65" t="n">
        <v>234.02</v>
      </c>
      <c r="F73" s="65" t="n">
        <v>96.74</v>
      </c>
      <c r="G73" s="65" t="n">
        <v>89.25</v>
      </c>
      <c r="H73" s="65" t="n">
        <v>126.81</v>
      </c>
      <c r="I73" s="65" t="n">
        <v>74.83</v>
      </c>
      <c r="J73" s="65" t="n">
        <v>105.34</v>
      </c>
      <c r="K73" s="65" t="n">
        <v>137.35</v>
      </c>
      <c r="L73" s="65" t="n">
        <v>103.29</v>
      </c>
      <c r="M73" s="65" t="n">
        <v>71.77</v>
      </c>
      <c r="N73" s="65" t="n">
        <v>26.29</v>
      </c>
      <c r="O73" s="65" t="n">
        <v>97.29</v>
      </c>
      <c r="P73" s="65" t="n">
        <v>207.06</v>
      </c>
      <c r="Q73" s="65" t="n">
        <v>315.47</v>
      </c>
      <c r="R73" s="65" t="n">
        <v>57.85</v>
      </c>
      <c r="S73" s="65" t="n">
        <v>97.77</v>
      </c>
      <c r="T73" s="65" t="n">
        <v>34.97</v>
      </c>
      <c r="U73" s="65"/>
      <c r="V73" s="65" t="n">
        <v>310.65</v>
      </c>
      <c r="W73" s="65"/>
      <c r="X73" s="65"/>
      <c r="Y73" s="65"/>
      <c r="Z73" s="65"/>
      <c r="AA73" s="65"/>
    </row>
    <row r="74" customFormat="false" ht="15" hidden="false" customHeight="true" outlineLevel="0" collapsed="false">
      <c r="A74" s="68" t="n">
        <v>45681</v>
      </c>
      <c r="B74" s="65" t="n">
        <v>435.38</v>
      </c>
      <c r="C74" s="65" t="n">
        <v>129.17</v>
      </c>
      <c r="D74" s="65" t="n">
        <v>721.85</v>
      </c>
      <c r="E74" s="65" t="n">
        <v>241.18</v>
      </c>
      <c r="F74" s="65" t="n">
        <v>97.23</v>
      </c>
      <c r="G74" s="65" t="n">
        <v>93.73</v>
      </c>
      <c r="H74" s="65" t="n">
        <v>127.09</v>
      </c>
      <c r="I74" s="65" t="n">
        <v>74.07</v>
      </c>
      <c r="J74" s="65" t="n">
        <v>102.79</v>
      </c>
      <c r="K74" s="65" t="n">
        <v>142.25</v>
      </c>
      <c r="L74" s="65" t="n">
        <v>112.21</v>
      </c>
      <c r="M74" s="65" t="n">
        <v>78.98</v>
      </c>
      <c r="N74" s="65" t="n">
        <v>26.36</v>
      </c>
      <c r="O74" s="65" t="n">
        <v>99.93</v>
      </c>
      <c r="P74" s="65" t="n">
        <v>217.22</v>
      </c>
      <c r="Q74" s="65" t="n">
        <v>325.91</v>
      </c>
      <c r="R74" s="65" t="n">
        <v>57.2</v>
      </c>
      <c r="S74" s="65" t="n">
        <v>95.58</v>
      </c>
      <c r="T74" s="65" t="n">
        <v>33.9</v>
      </c>
      <c r="U74" s="65"/>
      <c r="V74" s="65" t="n">
        <v>313.59</v>
      </c>
      <c r="W74" s="65"/>
      <c r="X74" s="65"/>
      <c r="Y74" s="65"/>
      <c r="Z74" s="65"/>
      <c r="AA74" s="65"/>
    </row>
    <row r="75" customFormat="false" ht="15" hidden="false" customHeight="true" outlineLevel="0" collapsed="false">
      <c r="A75" s="68" t="n">
        <v>45688</v>
      </c>
      <c r="B75" s="65" t="n">
        <v>437.45</v>
      </c>
      <c r="C75" s="65" t="n">
        <v>115.23</v>
      </c>
      <c r="D75" s="65" t="n">
        <v>728.81</v>
      </c>
      <c r="E75" s="65" t="n">
        <v>218.09</v>
      </c>
      <c r="F75" s="65" t="n">
        <v>95.76</v>
      </c>
      <c r="G75" s="65" t="n">
        <v>99.52</v>
      </c>
      <c r="H75" s="65" t="n">
        <v>126.76</v>
      </c>
      <c r="I75" s="65" t="n">
        <v>72.93</v>
      </c>
      <c r="J75" s="65" t="n">
        <v>90.89</v>
      </c>
      <c r="K75" s="65" t="n">
        <v>119.76</v>
      </c>
      <c r="L75" s="65" t="n">
        <v>112.51</v>
      </c>
      <c r="M75" s="65" t="n">
        <v>82.49</v>
      </c>
      <c r="N75" s="65" t="n">
        <v>26.14</v>
      </c>
      <c r="O75" s="65" t="n">
        <v>98.66</v>
      </c>
      <c r="P75" s="65" t="n">
        <v>204.93</v>
      </c>
      <c r="Q75" s="65" t="n">
        <v>337.36</v>
      </c>
      <c r="R75" s="65" t="n">
        <v>57.74</v>
      </c>
      <c r="S75" s="65" t="n">
        <v>96.59</v>
      </c>
      <c r="T75" s="65" t="n">
        <v>34.21</v>
      </c>
      <c r="U75" s="65"/>
      <c r="V75" s="65" t="n">
        <v>314.52</v>
      </c>
      <c r="W75" s="65"/>
      <c r="X75" s="65"/>
      <c r="Y75" s="65"/>
      <c r="Z75" s="65"/>
      <c r="AA75" s="65"/>
    </row>
    <row r="76" customFormat="false" ht="15" hidden="false" customHeight="true" outlineLevel="0" collapsed="false">
      <c r="A76" s="68" t="n">
        <v>45695</v>
      </c>
      <c r="B76" s="65" t="n">
        <v>433.07</v>
      </c>
      <c r="C76" s="65" t="n">
        <v>118.47</v>
      </c>
      <c r="D76" s="65" t="n">
        <v>717.37</v>
      </c>
      <c r="E76" s="65" t="n">
        <v>221.63</v>
      </c>
      <c r="F76" s="65" t="n">
        <v>94.65</v>
      </c>
      <c r="G76" s="65" t="n">
        <v>105.4</v>
      </c>
      <c r="H76" s="65" t="n">
        <v>126.15</v>
      </c>
      <c r="I76" s="65" t="n">
        <v>73.86</v>
      </c>
      <c r="J76" s="65" t="n">
        <v>91.95</v>
      </c>
      <c r="K76" s="65" t="n">
        <v>129.5</v>
      </c>
      <c r="L76" s="65" t="n">
        <v>110.72</v>
      </c>
      <c r="M76" s="65" t="n">
        <v>110.85</v>
      </c>
      <c r="N76" s="65" t="n">
        <v>25.88</v>
      </c>
      <c r="O76" s="65" t="n">
        <v>100.62</v>
      </c>
      <c r="P76" s="65" t="n">
        <v>201.79</v>
      </c>
      <c r="Q76" s="65" t="n">
        <v>343.5</v>
      </c>
      <c r="R76" s="65" t="n">
        <v>57.08</v>
      </c>
      <c r="S76" s="65" t="n">
        <v>96.89</v>
      </c>
      <c r="T76" s="65" t="n">
        <v>34.47</v>
      </c>
      <c r="U76" s="65"/>
      <c r="V76" s="65" t="n">
        <v>310.82</v>
      </c>
      <c r="W76" s="65"/>
      <c r="X76" s="65"/>
      <c r="Y76" s="65"/>
      <c r="Z76" s="65"/>
      <c r="AA76" s="65"/>
    </row>
    <row r="77" customFormat="false" ht="15" hidden="false" customHeight="true" outlineLevel="0" collapsed="false">
      <c r="A77" s="68" t="n">
        <v>45702</v>
      </c>
      <c r="B77" s="65" t="n">
        <v>460.16</v>
      </c>
      <c r="C77" s="65" t="n">
        <v>106.87</v>
      </c>
      <c r="D77" s="65" t="n">
        <v>742.44</v>
      </c>
      <c r="E77" s="65" t="n">
        <v>229.69</v>
      </c>
      <c r="F77" s="65" t="n">
        <v>94.94</v>
      </c>
      <c r="G77" s="65" t="n">
        <v>112.93</v>
      </c>
      <c r="H77" s="65" t="n">
        <v>127.66</v>
      </c>
      <c r="I77" s="65" t="n">
        <v>74.16</v>
      </c>
      <c r="J77" s="65" t="n">
        <v>99.14</v>
      </c>
      <c r="K77" s="65" t="n">
        <v>138.49</v>
      </c>
      <c r="L77" s="65" t="n">
        <v>114.02</v>
      </c>
      <c r="M77" s="65" t="n">
        <v>119.16</v>
      </c>
      <c r="N77" s="65" t="n">
        <v>26.1</v>
      </c>
      <c r="O77" s="65" t="n">
        <v>101.64</v>
      </c>
      <c r="P77" s="65" t="n">
        <v>199.62</v>
      </c>
      <c r="Q77" s="65" t="n">
        <v>349.81</v>
      </c>
      <c r="R77" s="65" t="n">
        <v>55.98</v>
      </c>
      <c r="S77" s="65" t="n">
        <v>95.58</v>
      </c>
      <c r="T77" s="65" t="n">
        <v>34.46</v>
      </c>
      <c r="U77" s="65"/>
      <c r="V77" s="65" t="n">
        <v>303.72</v>
      </c>
      <c r="W77" s="65"/>
      <c r="X77" s="65"/>
      <c r="Y77" s="65"/>
      <c r="Z77" s="65"/>
      <c r="AA77" s="65"/>
    </row>
    <row r="78" customFormat="false" ht="15" hidden="false" customHeight="true" outlineLevel="0" collapsed="false">
      <c r="A78" s="68" t="n">
        <v>45709</v>
      </c>
      <c r="B78" s="65" t="n">
        <v>444.32</v>
      </c>
      <c r="C78" s="65" t="n">
        <v>98.3</v>
      </c>
      <c r="D78" s="65" t="n">
        <v>728.28</v>
      </c>
      <c r="E78" s="65" t="n">
        <v>215.51</v>
      </c>
      <c r="F78" s="65" t="n">
        <v>91.47</v>
      </c>
      <c r="G78" s="65" t="n">
        <v>101.67</v>
      </c>
      <c r="H78" s="65" t="n">
        <v>128.59</v>
      </c>
      <c r="I78" s="65" t="n">
        <v>74.51</v>
      </c>
      <c r="J78" s="65" t="n">
        <v>98.46</v>
      </c>
      <c r="K78" s="65" t="n">
        <v>134.08</v>
      </c>
      <c r="L78" s="65" t="n">
        <v>114.14</v>
      </c>
      <c r="M78" s="65" t="n">
        <v>101.35</v>
      </c>
      <c r="N78" s="65" t="n">
        <v>26.49</v>
      </c>
      <c r="O78" s="65" t="n">
        <v>98.53</v>
      </c>
      <c r="P78" s="65" t="n">
        <v>194.08</v>
      </c>
      <c r="Q78" s="65" t="n">
        <v>344.59</v>
      </c>
      <c r="R78" s="65" t="n">
        <v>57.27</v>
      </c>
      <c r="S78" s="65" t="n">
        <v>98.65</v>
      </c>
      <c r="T78" s="65" t="n">
        <v>35.79</v>
      </c>
      <c r="U78" s="65"/>
      <c r="V78" s="65" t="n">
        <v>315.47</v>
      </c>
      <c r="W78" s="65"/>
      <c r="X78" s="65"/>
      <c r="Y78" s="65"/>
      <c r="Z78" s="65"/>
      <c r="AA78" s="65"/>
    </row>
    <row r="79" customFormat="false" ht="15" hidden="false" customHeight="true" outlineLevel="0" collapsed="false">
      <c r="A79" s="68" t="n">
        <v>45716</v>
      </c>
      <c r="B79" s="65" t="n">
        <v>438.56</v>
      </c>
      <c r="C79" s="65" t="n">
        <v>93.05</v>
      </c>
      <c r="D79" s="65" t="n">
        <v>700.49</v>
      </c>
      <c r="E79" s="65" t="n">
        <v>196.56</v>
      </c>
      <c r="F79" s="65" t="n">
        <v>90.44</v>
      </c>
      <c r="G79" s="65" t="n">
        <v>97.42</v>
      </c>
      <c r="H79" s="65" t="n">
        <v>129.91</v>
      </c>
      <c r="I79" s="65" t="n">
        <v>70.18</v>
      </c>
      <c r="J79" s="65" t="n">
        <v>93.27</v>
      </c>
      <c r="K79" s="65" t="n">
        <v>124.59</v>
      </c>
      <c r="L79" s="65" t="n">
        <v>116.92</v>
      </c>
      <c r="M79" s="65" t="n">
        <v>84.92</v>
      </c>
      <c r="N79" s="65" t="n">
        <v>26.8</v>
      </c>
      <c r="O79" s="65" t="n">
        <v>98.42</v>
      </c>
      <c r="P79" s="65" t="n">
        <v>176.74</v>
      </c>
      <c r="Q79" s="65" t="n">
        <v>358.6</v>
      </c>
      <c r="R79" s="65" t="n">
        <v>58.07</v>
      </c>
      <c r="S79" s="65" t="n">
        <v>101.33</v>
      </c>
      <c r="T79" s="65" t="n">
        <v>35.88</v>
      </c>
      <c r="U79" s="65"/>
      <c r="V79" s="65" t="n">
        <v>325.91</v>
      </c>
      <c r="W79" s="65"/>
      <c r="X79" s="65"/>
      <c r="Y79" s="65"/>
      <c r="Z79" s="65"/>
      <c r="AA79" s="65"/>
    </row>
    <row r="80" customFormat="false" ht="15" hidden="false" customHeight="true" outlineLevel="0" collapsed="false">
      <c r="A80" s="68" t="n">
        <v>45723</v>
      </c>
      <c r="B80" s="65" t="n">
        <v>449.4</v>
      </c>
      <c r="C80" s="65" t="n">
        <v>83.36</v>
      </c>
      <c r="D80" s="65" t="n">
        <v>723.35</v>
      </c>
      <c r="E80" s="65" t="n">
        <v>192.16</v>
      </c>
      <c r="F80" s="65" t="n">
        <v>86.38</v>
      </c>
      <c r="G80" s="65" t="n">
        <v>83.38</v>
      </c>
      <c r="H80" s="65" t="n">
        <v>126.34</v>
      </c>
      <c r="I80" s="65" t="n">
        <v>70.42</v>
      </c>
      <c r="J80" s="65" t="n">
        <v>92.6</v>
      </c>
      <c r="K80" s="65" t="n">
        <v>112.4</v>
      </c>
      <c r="L80" s="65" t="n">
        <v>113.14</v>
      </c>
      <c r="M80" s="65" t="n">
        <v>84.91</v>
      </c>
      <c r="N80" s="65" t="n">
        <v>26.73</v>
      </c>
      <c r="O80" s="65" t="n">
        <v>93.24</v>
      </c>
      <c r="P80" s="65" t="n">
        <v>173.38</v>
      </c>
      <c r="Q80" s="65" t="n">
        <v>341.41</v>
      </c>
      <c r="R80" s="65" t="n">
        <v>57.47</v>
      </c>
      <c r="S80" s="65" t="n">
        <v>100.04</v>
      </c>
      <c r="T80" s="65" t="n">
        <v>35.51</v>
      </c>
      <c r="U80" s="65"/>
      <c r="V80" s="65" t="n">
        <v>337.36</v>
      </c>
      <c r="W80" s="65"/>
      <c r="X80" s="65"/>
      <c r="Y80" s="65"/>
      <c r="Z80" s="65"/>
      <c r="AA80" s="65"/>
    </row>
    <row r="81" customFormat="false" ht="15" hidden="false" customHeight="true" outlineLevel="0" collapsed="false">
      <c r="A81" s="68" t="n">
        <v>45730</v>
      </c>
      <c r="B81" s="65" t="n">
        <v>394.74</v>
      </c>
      <c r="C81" s="65" t="n">
        <v>83.51</v>
      </c>
      <c r="D81" s="65" t="n">
        <v>705.35</v>
      </c>
      <c r="E81" s="65" t="n">
        <v>192.73</v>
      </c>
      <c r="F81" s="65" t="n">
        <v>84.76</v>
      </c>
      <c r="G81" s="65" t="n">
        <v>88.43</v>
      </c>
      <c r="H81" s="65" t="n">
        <v>125.28</v>
      </c>
      <c r="I81" s="65" t="n">
        <v>70.59</v>
      </c>
      <c r="J81" s="65" t="n">
        <v>100.4</v>
      </c>
      <c r="K81" s="65" t="n">
        <v>121.36</v>
      </c>
      <c r="L81" s="65" t="n">
        <v>105.57</v>
      </c>
      <c r="M81" s="65" t="n">
        <v>86.24</v>
      </c>
      <c r="N81" s="65" t="n">
        <v>25.96</v>
      </c>
      <c r="O81" s="65" t="n">
        <v>92.57</v>
      </c>
      <c r="P81" s="65" t="n">
        <v>170.44</v>
      </c>
      <c r="Q81" s="65" t="n">
        <v>328.04</v>
      </c>
      <c r="R81" s="65" t="n">
        <v>57.17</v>
      </c>
      <c r="S81" s="65" t="n">
        <v>102.03</v>
      </c>
      <c r="T81" s="65" t="n">
        <v>35.2</v>
      </c>
      <c r="U81" s="65"/>
      <c r="V81" s="65" t="n">
        <v>343.5</v>
      </c>
      <c r="W81" s="65"/>
      <c r="X81" s="65"/>
      <c r="Y81" s="65"/>
      <c r="Z81" s="65"/>
      <c r="AA81" s="65"/>
    </row>
    <row r="82" customFormat="false" ht="15" hidden="false" customHeight="true" outlineLevel="0" collapsed="false">
      <c r="A82" s="68" t="n">
        <v>45737</v>
      </c>
      <c r="B82" s="65" t="n">
        <v>387.26</v>
      </c>
      <c r="C82" s="65" t="n">
        <v>83.13</v>
      </c>
      <c r="D82" s="65" t="n">
        <v>707.54</v>
      </c>
      <c r="E82" s="65" t="n">
        <v>189.47</v>
      </c>
      <c r="F82" s="65" t="n">
        <v>85.58</v>
      </c>
      <c r="G82" s="65" t="n">
        <v>90.56</v>
      </c>
      <c r="H82" s="65" t="n">
        <v>125.88</v>
      </c>
      <c r="I82" s="65" t="n">
        <v>69.95</v>
      </c>
      <c r="J82" s="65" t="n">
        <v>94.36</v>
      </c>
      <c r="K82" s="65" t="n">
        <v>117.4</v>
      </c>
      <c r="L82" s="65" t="n">
        <v>103.21</v>
      </c>
      <c r="M82" s="65" t="n">
        <v>90.96</v>
      </c>
      <c r="N82" s="65" t="n">
        <v>26.07</v>
      </c>
      <c r="O82" s="65" t="n">
        <v>92.92</v>
      </c>
      <c r="P82" s="65" t="n">
        <v>173.69</v>
      </c>
      <c r="Q82" s="65" t="n">
        <v>331.86</v>
      </c>
      <c r="R82" s="65" t="n">
        <v>58.27</v>
      </c>
      <c r="S82" s="65" t="n">
        <v>103.06</v>
      </c>
      <c r="T82" s="65" t="n">
        <v>35.61</v>
      </c>
      <c r="U82" s="65"/>
      <c r="V82" s="65" t="n">
        <v>349.81</v>
      </c>
      <c r="W82" s="65"/>
      <c r="X82" s="65"/>
      <c r="Y82" s="65"/>
      <c r="Z82" s="65"/>
      <c r="AA82" s="65"/>
    </row>
    <row r="83" customFormat="false" ht="15" hidden="false" customHeight="true" outlineLevel="0" collapsed="false">
      <c r="A83" s="68" t="n">
        <v>45744</v>
      </c>
      <c r="B83" s="65" t="n">
        <v>385.71</v>
      </c>
      <c r="C83" s="65" t="n">
        <v>77.94</v>
      </c>
      <c r="D83" s="65" t="n">
        <v>666.41</v>
      </c>
      <c r="E83" s="65" t="n">
        <v>167.19</v>
      </c>
      <c r="F83" s="65" t="n">
        <v>85.18</v>
      </c>
      <c r="G83" s="65" t="n">
        <v>89.28</v>
      </c>
      <c r="H83" s="65" t="n">
        <v>125.85</v>
      </c>
      <c r="I83" s="65" t="n">
        <v>66.69</v>
      </c>
      <c r="J83" s="65" t="n">
        <v>88.1</v>
      </c>
      <c r="K83" s="65" t="n">
        <v>109.39</v>
      </c>
      <c r="L83" s="65" t="n">
        <v>105.14</v>
      </c>
      <c r="M83" s="65" t="n">
        <v>85.85</v>
      </c>
      <c r="N83" s="65" t="n">
        <v>26.14</v>
      </c>
      <c r="O83" s="65" t="n">
        <v>91.09</v>
      </c>
      <c r="P83" s="65" t="n">
        <v>162.41</v>
      </c>
      <c r="Q83" s="65" t="n">
        <v>338.97</v>
      </c>
      <c r="R83" s="65" t="n">
        <v>57.57</v>
      </c>
      <c r="S83" s="65" t="n">
        <v>99.91</v>
      </c>
      <c r="T83" s="65" t="n">
        <v>35.49</v>
      </c>
      <c r="U83" s="65"/>
      <c r="V83" s="65" t="n">
        <v>344.59</v>
      </c>
      <c r="W83" s="65"/>
      <c r="X83" s="65"/>
      <c r="Y83" s="65"/>
      <c r="Z83" s="65"/>
      <c r="AA83" s="65"/>
    </row>
    <row r="84" customFormat="false" ht="15" hidden="false" customHeight="true" outlineLevel="0" collapsed="false">
      <c r="A84" s="68" t="n">
        <v>45751</v>
      </c>
      <c r="B84" s="65" t="n">
        <v>349.07</v>
      </c>
      <c r="C84" s="65" t="n">
        <v>64.37</v>
      </c>
      <c r="D84" s="65" t="n">
        <v>598.21</v>
      </c>
      <c r="E84" s="65" t="n">
        <v>144.62</v>
      </c>
      <c r="F84" s="65" t="n">
        <v>76.26</v>
      </c>
      <c r="G84" s="65" t="n">
        <v>80.41</v>
      </c>
      <c r="H84" s="65" t="n">
        <v>115.74</v>
      </c>
      <c r="I84" s="65" t="n">
        <v>57.08</v>
      </c>
      <c r="J84" s="65" t="n">
        <v>64.56</v>
      </c>
      <c r="K84" s="65" t="n">
        <v>94.07</v>
      </c>
      <c r="L84" s="65" t="n">
        <v>93.51</v>
      </c>
      <c r="M84" s="65" t="n">
        <v>74.01</v>
      </c>
      <c r="N84" s="65" t="n">
        <v>23.96</v>
      </c>
      <c r="O84" s="65" t="n">
        <v>81.34</v>
      </c>
      <c r="P84" s="65" t="n">
        <v>144.28</v>
      </c>
      <c r="Q84" s="65" t="n">
        <v>309.59</v>
      </c>
      <c r="R84" s="65" t="n">
        <v>55.98</v>
      </c>
      <c r="S84" s="65" t="n">
        <v>99.8</v>
      </c>
      <c r="T84" s="65" t="n">
        <v>35.32</v>
      </c>
      <c r="U84" s="65"/>
      <c r="V84" s="65" t="n">
        <v>358.6</v>
      </c>
      <c r="W84" s="65"/>
      <c r="X84" s="65"/>
      <c r="Y84" s="65"/>
      <c r="Z84" s="65"/>
      <c r="AA84" s="65"/>
    </row>
    <row r="85" customFormat="false" ht="15" hidden="false" customHeight="true" outlineLevel="0" collapsed="false">
      <c r="A85" s="68" t="n">
        <v>45758</v>
      </c>
      <c r="B85" s="65" t="n">
        <v>352.47</v>
      </c>
      <c r="C85" s="65" t="n">
        <v>72.67</v>
      </c>
      <c r="D85" s="65" t="n">
        <v>660.71</v>
      </c>
      <c r="E85" s="65" t="n">
        <v>179.86</v>
      </c>
      <c r="F85" s="65" t="n">
        <v>77.22</v>
      </c>
      <c r="G85" s="65" t="n">
        <v>94.47</v>
      </c>
      <c r="H85" s="65" t="n">
        <v>117.6</v>
      </c>
      <c r="I85" s="65" t="n">
        <v>66.36</v>
      </c>
      <c r="J85" s="65" t="n">
        <v>69.37</v>
      </c>
      <c r="K85" s="65" t="n">
        <v>110.65</v>
      </c>
      <c r="L85" s="65" t="n">
        <v>91.6</v>
      </c>
      <c r="M85" s="65" t="n">
        <v>88.55</v>
      </c>
      <c r="N85" s="65" t="n">
        <v>23.98</v>
      </c>
      <c r="O85" s="65" t="n">
        <v>88.75</v>
      </c>
      <c r="P85" s="65" t="n">
        <v>154.38</v>
      </c>
      <c r="Q85" s="65" t="n">
        <v>329.63</v>
      </c>
      <c r="R85" s="65" t="n">
        <v>53.76</v>
      </c>
      <c r="S85" s="65" t="n">
        <v>94.54</v>
      </c>
      <c r="T85" s="65" t="n">
        <v>34.81</v>
      </c>
      <c r="U85" s="65"/>
      <c r="V85" s="65" t="n">
        <v>341.41</v>
      </c>
      <c r="W85" s="65"/>
      <c r="X85" s="65"/>
      <c r="Y85" s="65"/>
      <c r="Z85" s="65"/>
      <c r="AA85" s="65"/>
    </row>
    <row r="86" customFormat="false" ht="15" hidden="false" customHeight="true" outlineLevel="0" collapsed="false">
      <c r="A86" s="68" t="n">
        <v>45765</v>
      </c>
      <c r="B86" s="65" t="n">
        <v>348.8</v>
      </c>
      <c r="C86" s="65" t="n">
        <v>71.2</v>
      </c>
      <c r="D86" s="65" t="n">
        <v>632.4</v>
      </c>
      <c r="E86" s="65" t="n">
        <v>169.04</v>
      </c>
      <c r="F86" s="65" t="n">
        <v>78.66</v>
      </c>
      <c r="G86" s="65" t="n">
        <v>93.9</v>
      </c>
      <c r="H86" s="65" t="n">
        <v>119.33</v>
      </c>
      <c r="I86" s="65" t="n">
        <v>62.81</v>
      </c>
      <c r="J86" s="65" t="n">
        <v>68.63</v>
      </c>
      <c r="K86" s="65" t="n">
        <v>101.23</v>
      </c>
      <c r="L86" s="65" t="n">
        <v>97.19</v>
      </c>
      <c r="M86" s="65" t="n">
        <v>93.78</v>
      </c>
      <c r="N86" s="65" t="n">
        <v>24.09</v>
      </c>
      <c r="O86" s="65" t="n">
        <v>87.21</v>
      </c>
      <c r="P86" s="65" t="n">
        <v>149.13</v>
      </c>
      <c r="Q86" s="65" t="n">
        <v>325.88</v>
      </c>
      <c r="R86" s="65" t="n">
        <v>52.61</v>
      </c>
      <c r="S86" s="65" t="n">
        <v>93.86</v>
      </c>
      <c r="T86" s="65" t="n">
        <v>34.09</v>
      </c>
      <c r="U86" s="65"/>
      <c r="V86" s="65" t="n">
        <v>328.04</v>
      </c>
      <c r="W86" s="65"/>
      <c r="X86" s="65"/>
      <c r="Y86" s="65"/>
      <c r="Z86" s="65"/>
      <c r="AA86" s="65"/>
    </row>
    <row r="87" customFormat="false" ht="15" hidden="false" customHeight="true" outlineLevel="0" collapsed="false">
      <c r="A87" s="68" t="n">
        <v>45772</v>
      </c>
      <c r="B87" s="65" t="n">
        <v>367.72</v>
      </c>
      <c r="C87" s="65" t="n">
        <v>77.91</v>
      </c>
      <c r="D87" s="65" t="n">
        <v>669.06</v>
      </c>
      <c r="E87" s="65" t="n">
        <v>190.12</v>
      </c>
      <c r="F87" s="65" t="n">
        <v>80.87</v>
      </c>
      <c r="G87" s="65" t="n">
        <v>106.22</v>
      </c>
      <c r="H87" s="65" t="n">
        <v>121.04</v>
      </c>
      <c r="I87" s="65" t="n">
        <v>68.77</v>
      </c>
      <c r="J87" s="65" t="n">
        <v>79.58</v>
      </c>
      <c r="K87" s="65" t="n">
        <v>110.73</v>
      </c>
      <c r="L87" s="65" t="n">
        <v>97.32</v>
      </c>
      <c r="M87" s="65" t="n">
        <v>112.78</v>
      </c>
      <c r="N87" s="65" t="n">
        <v>24.33</v>
      </c>
      <c r="O87" s="65" t="n">
        <v>92.9</v>
      </c>
      <c r="P87" s="65" t="n">
        <v>162.26</v>
      </c>
      <c r="Q87" s="65" t="n">
        <v>331.38</v>
      </c>
      <c r="R87" s="65" t="n">
        <v>52.8</v>
      </c>
      <c r="S87" s="65" t="n">
        <v>94.22</v>
      </c>
      <c r="T87" s="65" t="n">
        <v>34.67</v>
      </c>
      <c r="U87" s="65"/>
      <c r="V87" s="65" t="n">
        <v>331.86</v>
      </c>
      <c r="W87" s="65"/>
      <c r="X87" s="65"/>
      <c r="Y87" s="65"/>
      <c r="Z87" s="65"/>
      <c r="AA87" s="65"/>
    </row>
    <row r="88" customFormat="false" ht="15" hidden="false" customHeight="true" outlineLevel="0" collapsed="false">
      <c r="A88" s="68" t="n">
        <v>45779</v>
      </c>
      <c r="B88" s="65" t="n">
        <v>380.87</v>
      </c>
      <c r="C88" s="65" t="n">
        <v>91.02</v>
      </c>
      <c r="D88" s="65" t="n">
        <v>684.08</v>
      </c>
      <c r="E88" s="65" t="n">
        <v>201.32</v>
      </c>
      <c r="F88" s="65" t="n">
        <v>83.61</v>
      </c>
      <c r="G88" s="65" t="n">
        <v>110.14</v>
      </c>
      <c r="H88" s="65" t="n">
        <v>123.05</v>
      </c>
      <c r="I88" s="65" t="n">
        <v>69.12</v>
      </c>
      <c r="J88" s="65" t="n">
        <v>80.51</v>
      </c>
      <c r="K88" s="65" t="n">
        <v>114.21</v>
      </c>
      <c r="L88" s="65" t="n">
        <v>100.34</v>
      </c>
      <c r="M88" s="65" t="n">
        <v>124.28</v>
      </c>
      <c r="N88" s="65" t="n">
        <v>24.7</v>
      </c>
      <c r="O88" s="65" t="n">
        <v>96.64</v>
      </c>
      <c r="P88" s="65" t="n">
        <v>176.2</v>
      </c>
      <c r="Q88" s="65" t="n">
        <v>343.67</v>
      </c>
      <c r="R88" s="65" t="n">
        <v>51.81</v>
      </c>
      <c r="S88" s="65" t="n">
        <v>92.19</v>
      </c>
      <c r="T88" s="65" t="n">
        <v>34.1</v>
      </c>
      <c r="U88" s="65"/>
      <c r="V88" s="65" t="n">
        <v>338.97</v>
      </c>
      <c r="W88" s="65"/>
      <c r="X88" s="65"/>
      <c r="Y88" s="65"/>
      <c r="Z88" s="65"/>
      <c r="AA88" s="65"/>
    </row>
    <row r="89" customFormat="false" ht="15" hidden="false" customHeight="true" outlineLevel="0" collapsed="false">
      <c r="A89" s="68" t="n">
        <v>45786</v>
      </c>
      <c r="B89" s="65" t="n">
        <v>383.28</v>
      </c>
      <c r="C89" s="65" t="n">
        <v>86.52</v>
      </c>
      <c r="D89" s="65" t="n">
        <v>699.81</v>
      </c>
      <c r="E89" s="65" t="n">
        <v>205.83</v>
      </c>
      <c r="F89" s="65" t="n">
        <v>84.58</v>
      </c>
      <c r="G89" s="65" t="n">
        <v>102.64</v>
      </c>
      <c r="H89" s="65" t="n">
        <v>122.9</v>
      </c>
      <c r="I89" s="65" t="n">
        <v>69.43</v>
      </c>
      <c r="J89" s="65" t="n">
        <v>85.64</v>
      </c>
      <c r="K89" s="65" t="n">
        <v>116.36</v>
      </c>
      <c r="L89" s="65" t="n">
        <v>101.77</v>
      </c>
      <c r="M89" s="65" t="n">
        <v>117.3</v>
      </c>
      <c r="N89" s="65" t="n">
        <v>24.38</v>
      </c>
      <c r="O89" s="65" t="n">
        <v>97.31</v>
      </c>
      <c r="P89" s="65" t="n">
        <v>173.49</v>
      </c>
      <c r="Q89" s="65" t="n">
        <v>348.55</v>
      </c>
      <c r="R89" s="65" t="n">
        <v>46.6</v>
      </c>
      <c r="S89" s="65" t="n">
        <v>82.32</v>
      </c>
      <c r="T89" s="65" t="n">
        <v>30.95</v>
      </c>
      <c r="U89" s="65"/>
      <c r="V89" s="65" t="n">
        <v>309.59</v>
      </c>
      <c r="W89" s="65"/>
      <c r="X89" s="65"/>
      <c r="Y89" s="65"/>
      <c r="Z89" s="65"/>
      <c r="AA89" s="65"/>
    </row>
    <row r="90" customFormat="false" ht="15" hidden="false" customHeight="true" outlineLevel="0" collapsed="false">
      <c r="A90" s="68" t="n">
        <v>45793</v>
      </c>
      <c r="B90" s="65" t="n">
        <v>417.13</v>
      </c>
      <c r="C90" s="65" t="n">
        <v>96.42</v>
      </c>
      <c r="D90" s="65" t="n">
        <v>741.32</v>
      </c>
      <c r="E90" s="65" t="n">
        <v>226</v>
      </c>
      <c r="F90" s="65" t="n">
        <v>88.72</v>
      </c>
      <c r="G90" s="65" t="n">
        <v>109.82</v>
      </c>
      <c r="H90" s="65" t="n">
        <v>126.84</v>
      </c>
      <c r="I90" s="65" t="n">
        <v>78.33</v>
      </c>
      <c r="J90" s="65" t="n">
        <v>97.75</v>
      </c>
      <c r="K90" s="65" t="n">
        <v>135.06</v>
      </c>
      <c r="L90" s="65" t="n">
        <v>105.23</v>
      </c>
      <c r="M90" s="65" t="n">
        <v>129.52</v>
      </c>
      <c r="N90" s="65" t="n">
        <v>25.21</v>
      </c>
      <c r="O90" s="65" t="n">
        <v>103.95</v>
      </c>
      <c r="P90" s="65" t="n">
        <v>190.88</v>
      </c>
      <c r="Q90" s="65" t="n">
        <v>361.59</v>
      </c>
      <c r="R90" s="65" t="n">
        <v>49.54</v>
      </c>
      <c r="S90" s="65" t="n">
        <v>89.82</v>
      </c>
      <c r="T90" s="65" t="n">
        <v>31.56</v>
      </c>
      <c r="U90" s="65"/>
      <c r="V90" s="65" t="n">
        <v>329.63</v>
      </c>
      <c r="W90" s="65"/>
      <c r="X90" s="65"/>
      <c r="Y90" s="65"/>
      <c r="Z90" s="65"/>
      <c r="AA90" s="65"/>
    </row>
    <row r="91" customFormat="false" ht="15" hidden="false" customHeight="true" outlineLevel="0" collapsed="false">
      <c r="A91" s="68" t="n">
        <v>45800</v>
      </c>
      <c r="B91" s="65" t="n">
        <v>407.69</v>
      </c>
      <c r="C91" s="65" t="n">
        <v>91.2</v>
      </c>
      <c r="D91" s="65" t="n">
        <v>725.86</v>
      </c>
      <c r="E91" s="65" t="n">
        <v>226.11</v>
      </c>
      <c r="F91" s="65" t="n">
        <v>85.17</v>
      </c>
      <c r="G91" s="65" t="n">
        <v>113.9</v>
      </c>
      <c r="H91" s="65" t="n">
        <v>123.56</v>
      </c>
      <c r="I91" s="65" t="n">
        <v>75.15</v>
      </c>
      <c r="J91" s="65" t="n">
        <v>93.13</v>
      </c>
      <c r="K91" s="65" t="n">
        <v>130.96</v>
      </c>
      <c r="L91" s="65" t="n">
        <v>99.04</v>
      </c>
      <c r="M91" s="65" t="n">
        <v>123.31</v>
      </c>
      <c r="N91" s="65" t="n">
        <v>24.53</v>
      </c>
      <c r="O91" s="65" t="n">
        <v>101.63</v>
      </c>
      <c r="P91" s="65" t="n">
        <v>188.68</v>
      </c>
      <c r="Q91" s="65" t="n">
        <v>350.12</v>
      </c>
      <c r="R91" s="65" t="n">
        <v>48.74</v>
      </c>
      <c r="S91" s="65" t="n">
        <v>88.26</v>
      </c>
      <c r="T91" s="65" t="n">
        <v>31.78</v>
      </c>
      <c r="U91" s="65"/>
      <c r="V91" s="65"/>
      <c r="W91" s="65"/>
      <c r="X91" s="65"/>
      <c r="Y91" s="65"/>
      <c r="Z91" s="65"/>
      <c r="AA91" s="65"/>
    </row>
    <row r="92" customFormat="false" ht="15" hidden="false" customHeight="true" outlineLevel="0" collapsed="false">
      <c r="A92" s="68" t="n">
        <v>45807</v>
      </c>
      <c r="B92" s="65" t="n">
        <v>415.09</v>
      </c>
      <c r="C92" s="65" t="n">
        <v>86.64</v>
      </c>
      <c r="D92" s="65" t="n">
        <v>730.1</v>
      </c>
      <c r="E92" s="65" t="n">
        <v>239.31</v>
      </c>
      <c r="F92" s="65" t="n">
        <v>86.17</v>
      </c>
      <c r="G92" s="65" t="n">
        <v>117.84</v>
      </c>
      <c r="H92" s="65" t="n">
        <v>124.36</v>
      </c>
      <c r="I92" s="65" t="n">
        <v>75.12</v>
      </c>
      <c r="J92" s="65" t="n">
        <v>94.22</v>
      </c>
      <c r="K92" s="65" t="n">
        <v>134.79</v>
      </c>
      <c r="L92" s="65" t="n">
        <v>103.38</v>
      </c>
      <c r="M92" s="65" t="n">
        <v>131.78</v>
      </c>
      <c r="N92" s="65" t="n">
        <v>24.8</v>
      </c>
      <c r="O92" s="65" t="n">
        <v>104.1</v>
      </c>
      <c r="P92" s="65" t="n">
        <v>190</v>
      </c>
      <c r="Q92" s="65" t="n">
        <v>361.66</v>
      </c>
      <c r="R92" s="65" t="n">
        <v>51.09</v>
      </c>
      <c r="S92" s="65" t="n">
        <v>94.02</v>
      </c>
      <c r="T92" s="65" t="n">
        <v>32.83</v>
      </c>
      <c r="U92" s="65"/>
      <c r="V92" s="65" t="n">
        <v>331.38</v>
      </c>
      <c r="W92" s="65"/>
      <c r="X92" s="65"/>
      <c r="Y92" s="65"/>
      <c r="Z92" s="65"/>
      <c r="AA92" s="65"/>
    </row>
    <row r="93" customFormat="false" ht="15" hidden="false" customHeight="true" outlineLevel="0" collapsed="false">
      <c r="A93" s="68" t="n">
        <v>45814</v>
      </c>
      <c r="B93" s="65" t="n">
        <v>416.92</v>
      </c>
      <c r="C93" s="65" t="n">
        <v>97.25</v>
      </c>
      <c r="D93" s="65" t="n">
        <v>746.2</v>
      </c>
      <c r="E93" s="65" t="n">
        <v>244.11</v>
      </c>
      <c r="F93" s="65" t="n">
        <v>87.76</v>
      </c>
      <c r="G93" s="65" t="n">
        <v>117.1</v>
      </c>
      <c r="H93" s="65" t="n">
        <v>124.82</v>
      </c>
      <c r="I93" s="65" t="n">
        <v>80.19</v>
      </c>
      <c r="J93" s="65" t="n">
        <v>108.28</v>
      </c>
      <c r="K93" s="65" t="n">
        <v>141.36</v>
      </c>
      <c r="L93" s="65" t="n">
        <v>103.56</v>
      </c>
      <c r="M93" s="65" t="n">
        <v>127.72</v>
      </c>
      <c r="N93" s="65" t="n">
        <v>25.15</v>
      </c>
      <c r="O93" s="65" t="n">
        <v>105.65</v>
      </c>
      <c r="P93" s="65" t="n">
        <v>201.66</v>
      </c>
      <c r="Q93" s="65" t="n">
        <v>366.64</v>
      </c>
      <c r="R93" s="65" t="n">
        <v>51.49</v>
      </c>
      <c r="S93" s="65" t="n">
        <v>97.8</v>
      </c>
      <c r="T93" s="65" t="n">
        <v>33.46</v>
      </c>
      <c r="U93" s="65"/>
      <c r="V93" s="65" t="n">
        <v>343.67</v>
      </c>
      <c r="W93" s="65"/>
      <c r="X93" s="65"/>
      <c r="Y93" s="65"/>
      <c r="Z93" s="65"/>
      <c r="AA93" s="65"/>
    </row>
    <row r="94" customFormat="false" ht="15" hidden="false" customHeight="true" outlineLevel="0" collapsed="false">
      <c r="A94" s="68" t="n">
        <v>45821</v>
      </c>
      <c r="B94" s="65" t="n">
        <v>391.68</v>
      </c>
      <c r="C94" s="65" t="n">
        <v>92.35</v>
      </c>
      <c r="D94" s="65" t="n">
        <v>754.11</v>
      </c>
      <c r="E94" s="65" t="n">
        <v>245.86</v>
      </c>
      <c r="F94" s="65" t="n">
        <v>87.23</v>
      </c>
      <c r="G94" s="65" t="n">
        <v>120.15</v>
      </c>
      <c r="H94" s="65" t="n">
        <v>124.38</v>
      </c>
      <c r="I94" s="65" t="n">
        <v>86.11</v>
      </c>
      <c r="J94" s="65" t="n">
        <v>115.31</v>
      </c>
      <c r="K94" s="65" t="n">
        <v>141.62</v>
      </c>
      <c r="L94" s="65" t="n">
        <v>102.12</v>
      </c>
      <c r="M94" s="65" t="n">
        <v>137.4</v>
      </c>
      <c r="N94" s="65" t="n">
        <v>25.49</v>
      </c>
      <c r="O94" s="65" t="n">
        <v>104.9</v>
      </c>
      <c r="P94" s="65" t="n">
        <v>208.23</v>
      </c>
      <c r="Q94" s="65" t="n">
        <v>349.44</v>
      </c>
      <c r="R94" s="65" t="n">
        <v>51.63</v>
      </c>
      <c r="S94" s="65" t="n">
        <v>98.48</v>
      </c>
      <c r="T94" s="65" t="n">
        <v>33.4</v>
      </c>
      <c r="U94" s="65"/>
      <c r="V94" s="65" t="n">
        <v>348.55</v>
      </c>
      <c r="W94" s="65"/>
      <c r="X94" s="65"/>
      <c r="Y94" s="65"/>
      <c r="Z94" s="65"/>
      <c r="AA94" s="65"/>
    </row>
    <row r="95" customFormat="false" ht="15" hidden="false" customHeight="true" outlineLevel="0" collapsed="false">
      <c r="A95" s="68" t="n">
        <v>45828</v>
      </c>
      <c r="B95" s="65" t="n">
        <v>376.92</v>
      </c>
      <c r="C95" s="65" t="n">
        <v>86.25</v>
      </c>
      <c r="D95" s="65" t="n">
        <v>749.68</v>
      </c>
      <c r="E95" s="65" t="n">
        <v>247.72</v>
      </c>
      <c r="F95" s="65" t="n">
        <v>87.38</v>
      </c>
      <c r="G95" s="65" t="n">
        <v>119.07</v>
      </c>
      <c r="H95" s="65" t="n">
        <v>124.75</v>
      </c>
      <c r="I95" s="65" t="n">
        <v>84.36</v>
      </c>
      <c r="J95" s="65" t="n">
        <v>123.29</v>
      </c>
      <c r="K95" s="65" t="n">
        <v>143.5</v>
      </c>
      <c r="L95" s="65" t="n">
        <v>101.57</v>
      </c>
      <c r="M95" s="65" t="n">
        <v>137.3</v>
      </c>
      <c r="N95" s="65" t="n">
        <v>25.3</v>
      </c>
      <c r="O95" s="65" t="n">
        <v>105.64</v>
      </c>
      <c r="P95" s="65" t="n">
        <v>206.66</v>
      </c>
      <c r="Q95" s="65" t="n">
        <v>335.29</v>
      </c>
      <c r="R95" s="65" t="n">
        <v>52.52</v>
      </c>
      <c r="S95" s="65" t="n">
        <v>105.2</v>
      </c>
      <c r="T95" s="65" t="n">
        <v>34.84</v>
      </c>
      <c r="U95" s="65"/>
      <c r="V95" s="65" t="n">
        <v>361.59</v>
      </c>
      <c r="W95" s="65"/>
      <c r="X95" s="65"/>
      <c r="Y95" s="65"/>
      <c r="Z95" s="65"/>
      <c r="AA95" s="65"/>
    </row>
    <row r="96" customFormat="false" ht="15" hidden="false" customHeight="true" outlineLevel="0" collapsed="false">
      <c r="A96" s="68" t="n">
        <v>45835</v>
      </c>
      <c r="B96" s="65" t="n">
        <v>385.83</v>
      </c>
      <c r="C96" s="65" t="n">
        <v>99.39</v>
      </c>
      <c r="D96" s="65" t="n">
        <v>788.74</v>
      </c>
      <c r="E96" s="65" t="n">
        <v>266.9</v>
      </c>
      <c r="F96" s="65" t="n">
        <v>89.61</v>
      </c>
      <c r="G96" s="65" t="n">
        <v>124.83</v>
      </c>
      <c r="H96" s="65" t="n">
        <v>126.47</v>
      </c>
      <c r="I96" s="65" t="n">
        <v>88.32</v>
      </c>
      <c r="J96" s="65" t="n">
        <v>124.44</v>
      </c>
      <c r="K96" s="65" t="n">
        <v>157.36</v>
      </c>
      <c r="L96" s="65" t="n">
        <v>101.5</v>
      </c>
      <c r="M96" s="65" t="n">
        <v>130.74</v>
      </c>
      <c r="N96" s="65" t="n">
        <v>25.25</v>
      </c>
      <c r="O96" s="65" t="n">
        <v>110.73</v>
      </c>
      <c r="P96" s="65" t="n">
        <v>225.46</v>
      </c>
      <c r="Q96" s="65" t="n">
        <v>345.24</v>
      </c>
      <c r="R96" s="65" t="n">
        <v>52.04</v>
      </c>
      <c r="S96" s="65" t="n">
        <v>102.85</v>
      </c>
      <c r="T96" s="65" t="n">
        <v>33.63</v>
      </c>
      <c r="U96" s="65"/>
      <c r="V96" s="65" t="n">
        <v>350.12</v>
      </c>
      <c r="W96" s="65"/>
      <c r="X96" s="65"/>
      <c r="Y96" s="65"/>
      <c r="Z96" s="65"/>
      <c r="AA96" s="65"/>
    </row>
    <row r="97" customFormat="false" ht="15" hidden="false" customHeight="true" outlineLevel="0" collapsed="false">
      <c r="A97" s="68" t="n">
        <v>45842</v>
      </c>
      <c r="B97" s="65" t="n">
        <v>379.31</v>
      </c>
      <c r="C97" s="65" t="n">
        <v>102.52</v>
      </c>
      <c r="D97" s="65" t="n">
        <v>787.3</v>
      </c>
      <c r="E97" s="65" t="n">
        <v>272.68</v>
      </c>
      <c r="F97" s="65" t="n">
        <v>93.34</v>
      </c>
      <c r="G97" s="65" t="n">
        <v>128.52</v>
      </c>
      <c r="H97" s="65" t="n">
        <v>130.79</v>
      </c>
      <c r="I97" s="65" t="n">
        <v>91.76</v>
      </c>
      <c r="J97" s="65" t="n">
        <v>121.98</v>
      </c>
      <c r="K97" s="65" t="n">
        <v>158.95</v>
      </c>
      <c r="L97" s="65" t="n">
        <v>103.81</v>
      </c>
      <c r="M97" s="65" t="n">
        <v>134.36</v>
      </c>
      <c r="N97" s="65" t="n">
        <v>26.17</v>
      </c>
      <c r="O97" s="65" t="n">
        <v>111.39</v>
      </c>
      <c r="P97" s="65" t="n">
        <v>231.61</v>
      </c>
      <c r="Q97" s="65" t="n">
        <v>355.39</v>
      </c>
      <c r="R97" s="65" t="n">
        <v>52.63</v>
      </c>
      <c r="S97" s="65" t="n">
        <v>105.35</v>
      </c>
      <c r="T97" s="65" t="n">
        <v>33.89</v>
      </c>
      <c r="U97" s="65"/>
      <c r="V97" s="65" t="n">
        <v>361.66</v>
      </c>
      <c r="W97" s="65"/>
      <c r="X97" s="65"/>
      <c r="Y97" s="65"/>
      <c r="Z97" s="65"/>
      <c r="AA97" s="65"/>
    </row>
    <row r="98" customFormat="false" ht="15" hidden="false" customHeight="true" outlineLevel="0" collapsed="false">
      <c r="A98" s="68" t="n">
        <v>45849</v>
      </c>
      <c r="B98" s="65" t="n">
        <v>363.35</v>
      </c>
      <c r="C98" s="65" t="n">
        <v>108.57</v>
      </c>
      <c r="D98" s="65" t="n">
        <v>794.67</v>
      </c>
      <c r="E98" s="65" t="n">
        <v>271.89</v>
      </c>
      <c r="F98" s="65" t="n">
        <v>93.22</v>
      </c>
      <c r="G98" s="65" t="n">
        <v>119.61</v>
      </c>
      <c r="H98" s="65" t="n">
        <v>130.35</v>
      </c>
      <c r="I98" s="65" t="n">
        <v>91.76</v>
      </c>
      <c r="J98" s="65" t="n">
        <v>124.33</v>
      </c>
      <c r="K98" s="65" t="n">
        <v>164.52</v>
      </c>
      <c r="L98" s="65" t="n">
        <v>104.91</v>
      </c>
      <c r="M98" s="65" t="n">
        <v>142.1</v>
      </c>
      <c r="N98" s="65" t="n">
        <v>26.15</v>
      </c>
      <c r="O98" s="65" t="n">
        <v>111.05</v>
      </c>
      <c r="P98" s="65" t="n">
        <v>227.27</v>
      </c>
      <c r="Q98" s="65" t="n">
        <v>344.56</v>
      </c>
      <c r="R98" s="65" t="n">
        <v>52.7</v>
      </c>
      <c r="S98" s="65" t="n">
        <v>106.92</v>
      </c>
      <c r="T98" s="65" t="n">
        <v>34.69</v>
      </c>
      <c r="U98" s="65"/>
      <c r="V98" s="65" t="n">
        <v>366.64</v>
      </c>
      <c r="W98" s="65"/>
      <c r="X98" s="65"/>
      <c r="Y98" s="65"/>
      <c r="Z98" s="65"/>
      <c r="AA98" s="65"/>
    </row>
    <row r="99" customFormat="false" ht="15" hidden="false" customHeight="true" outlineLevel="0" collapsed="false">
      <c r="A99" s="68" t="n">
        <v>45856</v>
      </c>
      <c r="B99" s="65" t="n">
        <v>365.79</v>
      </c>
      <c r="C99" s="65" t="n">
        <v>111.78</v>
      </c>
      <c r="D99" s="65" t="n">
        <v>727.93</v>
      </c>
      <c r="E99" s="65" t="n">
        <v>280.77</v>
      </c>
      <c r="F99" s="65" t="n">
        <v>92.12</v>
      </c>
      <c r="G99" s="65" t="n">
        <v>118.99</v>
      </c>
      <c r="H99" s="65" t="n">
        <v>129.8</v>
      </c>
      <c r="I99" s="65" t="n">
        <v>92.41</v>
      </c>
      <c r="J99" s="65" t="n">
        <v>114.21</v>
      </c>
      <c r="K99" s="65" t="n">
        <v>171.99</v>
      </c>
      <c r="L99" s="65" t="n">
        <v>102.61</v>
      </c>
      <c r="M99" s="65" t="n">
        <v>153.52</v>
      </c>
      <c r="N99" s="65" t="n">
        <v>25.86</v>
      </c>
      <c r="O99" s="65" t="n">
        <v>112.7</v>
      </c>
      <c r="P99" s="65" t="n">
        <v>237.13</v>
      </c>
      <c r="Q99" s="65" t="n">
        <v>345.67</v>
      </c>
      <c r="R99" s="65" t="n">
        <v>52.59</v>
      </c>
      <c r="S99" s="65" t="n">
        <v>106.16</v>
      </c>
      <c r="T99" s="65" t="n">
        <v>35.07</v>
      </c>
      <c r="U99" s="65"/>
      <c r="V99" s="65" t="n">
        <v>349.44</v>
      </c>
      <c r="W99" s="65"/>
      <c r="X99" s="65"/>
      <c r="Y99" s="65"/>
      <c r="Z99" s="65"/>
      <c r="AA99" s="65"/>
    </row>
    <row r="100" customFormat="false" ht="15" hidden="false" customHeight="true" outlineLevel="0" collapsed="false">
      <c r="A100" s="68" t="n">
        <v>45863</v>
      </c>
      <c r="B100" s="65" t="n">
        <v>370.74</v>
      </c>
      <c r="C100" s="65" t="n">
        <v>114.28</v>
      </c>
      <c r="D100" s="65" t="n">
        <v>704.81</v>
      </c>
      <c r="E100" s="65" t="n">
        <v>287.55</v>
      </c>
      <c r="F100" s="65" t="n">
        <v>93.48</v>
      </c>
      <c r="G100" s="65" t="n">
        <v>116.98</v>
      </c>
      <c r="H100" s="65" t="n">
        <v>132.16</v>
      </c>
      <c r="I100" s="65" t="n">
        <v>89.53</v>
      </c>
      <c r="J100" s="65" t="n">
        <v>111.08</v>
      </c>
      <c r="K100" s="65" t="n">
        <v>173.08</v>
      </c>
      <c r="L100" s="65" t="n">
        <v>105.99</v>
      </c>
      <c r="M100" s="65" t="n">
        <v>158.8</v>
      </c>
      <c r="N100" s="65" t="n">
        <v>26.14</v>
      </c>
      <c r="O100" s="65" t="n">
        <v>113.89</v>
      </c>
      <c r="P100" s="65" t="n">
        <v>242.26</v>
      </c>
      <c r="Q100" s="65" t="n">
        <v>353.59</v>
      </c>
      <c r="R100" s="65" t="n">
        <v>52.75</v>
      </c>
      <c r="S100" s="65" t="n">
        <v>106.91</v>
      </c>
      <c r="T100" s="65" t="n">
        <v>35.03</v>
      </c>
      <c r="U100" s="65"/>
      <c r="V100" s="65" t="n">
        <v>335.29</v>
      </c>
      <c r="W100" s="65"/>
      <c r="X100" s="65"/>
      <c r="Y100" s="65"/>
      <c r="Z100" s="65"/>
      <c r="AA100" s="65"/>
    </row>
    <row r="101" customFormat="false" ht="15" hidden="false" customHeight="true" outlineLevel="0" collapsed="false">
      <c r="A101" s="68" t="n">
        <v>45870</v>
      </c>
      <c r="B101" s="65" t="n">
        <v>347.8</v>
      </c>
      <c r="C101" s="65" t="n">
        <v>117.57</v>
      </c>
      <c r="D101" s="65" t="n">
        <v>685.31</v>
      </c>
      <c r="E101" s="65" t="n">
        <v>286.02</v>
      </c>
      <c r="F101" s="65" t="n">
        <v>88.78</v>
      </c>
      <c r="G101" s="65" t="n">
        <v>111.67</v>
      </c>
      <c r="H101" s="65" t="n">
        <v>128.19</v>
      </c>
      <c r="I101" s="65" t="n">
        <v>88</v>
      </c>
      <c r="J101" s="65" t="n">
        <v>104.71</v>
      </c>
      <c r="K101" s="65" t="n">
        <v>173.3</v>
      </c>
      <c r="L101" s="65" t="n">
        <v>100.82</v>
      </c>
      <c r="M101" s="65" t="n">
        <v>154.27</v>
      </c>
      <c r="N101" s="65" t="n">
        <v>25.24</v>
      </c>
      <c r="O101" s="65" t="n">
        <v>112.1</v>
      </c>
      <c r="P101" s="65" t="n">
        <v>232.01</v>
      </c>
      <c r="Q101" s="65" t="n">
        <v>336.07</v>
      </c>
      <c r="R101" s="65" t="n">
        <v>54.27</v>
      </c>
      <c r="S101" s="65" t="n">
        <v>111.84</v>
      </c>
      <c r="T101" s="65" t="n">
        <v>35.33</v>
      </c>
      <c r="U101" s="65"/>
      <c r="V101" s="65" t="n">
        <v>345.24</v>
      </c>
      <c r="W101" s="65"/>
      <c r="X101" s="65"/>
      <c r="Y101" s="65"/>
      <c r="Z101" s="65"/>
      <c r="AA101" s="65"/>
    </row>
    <row r="102" customFormat="false" ht="15" hidden="false" customHeight="true" outlineLevel="0" collapsed="false">
      <c r="A102" s="68" t="n">
        <v>45877</v>
      </c>
      <c r="B102" s="65" t="n">
        <v>341.05</v>
      </c>
      <c r="C102" s="65" t="n">
        <v>139.18</v>
      </c>
      <c r="D102" s="65" t="n">
        <v>717.59</v>
      </c>
      <c r="E102" s="65" t="n">
        <v>302.2</v>
      </c>
      <c r="F102" s="65" t="n">
        <v>90.85</v>
      </c>
      <c r="G102" s="65" t="n">
        <v>106.12</v>
      </c>
      <c r="H102" s="65" t="n">
        <v>130.26</v>
      </c>
      <c r="I102" s="65" t="n">
        <v>90.79</v>
      </c>
      <c r="J102" s="65" t="n">
        <v>118.7</v>
      </c>
      <c r="K102" s="65" t="n">
        <v>182.25</v>
      </c>
      <c r="L102" s="65" t="n">
        <v>101.56</v>
      </c>
      <c r="M102" s="65" t="n">
        <v>186.96</v>
      </c>
      <c r="N102" s="65" t="n">
        <v>25.72</v>
      </c>
      <c r="O102" s="65" t="n">
        <v>116.02</v>
      </c>
      <c r="P102" s="65" t="n">
        <v>238.54</v>
      </c>
      <c r="Q102" s="65" t="n">
        <v>333.52</v>
      </c>
      <c r="R102" s="65" t="n">
        <v>54.16</v>
      </c>
      <c r="S102" s="65" t="n">
        <v>112.51</v>
      </c>
      <c r="T102" s="65" t="n">
        <v>35.77</v>
      </c>
      <c r="U102" s="65"/>
      <c r="V102" s="65"/>
      <c r="W102" s="65"/>
      <c r="X102" s="65"/>
      <c r="Y102" s="65"/>
      <c r="Z102" s="65"/>
      <c r="AA102" s="65"/>
    </row>
    <row r="103" customFormat="false" ht="15" hidden="false" customHeight="true" outlineLevel="0" collapsed="false">
      <c r="A103" s="68" t="n">
        <v>45884</v>
      </c>
      <c r="B103" s="65" t="n">
        <v>354.85</v>
      </c>
      <c r="C103" s="65" t="n">
        <v>137.3</v>
      </c>
      <c r="D103" s="65" t="n">
        <v>737.3</v>
      </c>
      <c r="E103" s="65" t="n">
        <v>303.56</v>
      </c>
      <c r="F103" s="65" t="n">
        <v>93.56</v>
      </c>
      <c r="G103" s="65" t="n">
        <v>106.97</v>
      </c>
      <c r="H103" s="65" t="n">
        <v>132.26</v>
      </c>
      <c r="I103" s="65" t="n">
        <v>86.84</v>
      </c>
      <c r="J103" s="65" t="n">
        <v>120.68</v>
      </c>
      <c r="K103" s="65" t="n">
        <v>180.01</v>
      </c>
      <c r="L103" s="65" t="n">
        <v>102.43</v>
      </c>
      <c r="M103" s="65" t="n">
        <v>177.17</v>
      </c>
      <c r="N103" s="65" t="n">
        <v>26.15</v>
      </c>
      <c r="O103" s="65" t="n">
        <v>116.14</v>
      </c>
      <c r="P103" s="65" t="n">
        <v>235.63</v>
      </c>
      <c r="Q103" s="65" t="n">
        <v>341.74</v>
      </c>
      <c r="R103" s="65" t="n">
        <v>54.36</v>
      </c>
      <c r="S103" s="65" t="n">
        <v>112.17</v>
      </c>
      <c r="T103" s="65" t="n">
        <v>35.84</v>
      </c>
      <c r="U103" s="65"/>
      <c r="V103" s="65" t="n">
        <v>344.56</v>
      </c>
      <c r="W103" s="65"/>
      <c r="X103" s="65"/>
      <c r="Y103" s="65"/>
      <c r="Z103" s="65"/>
      <c r="AA103" s="65"/>
    </row>
    <row r="104" customFormat="false" ht="15" hidden="false" customHeight="true" outlineLevel="0" collapsed="false">
      <c r="A104" s="68" t="n">
        <v>45891</v>
      </c>
      <c r="B104" s="65" t="n">
        <v>362.09</v>
      </c>
      <c r="C104" s="65" t="n">
        <v>133.25</v>
      </c>
      <c r="D104" s="65" t="n">
        <v>749.95</v>
      </c>
      <c r="E104" s="65" t="n">
        <v>291.33</v>
      </c>
      <c r="F104" s="65" t="n">
        <v>97.28</v>
      </c>
      <c r="G104" s="65" t="n">
        <v>105.14</v>
      </c>
      <c r="H104" s="65" t="n">
        <v>136.08</v>
      </c>
      <c r="I104" s="65" t="n">
        <v>86.56</v>
      </c>
      <c r="J104" s="65" t="n">
        <v>117.49</v>
      </c>
      <c r="K104" s="65" t="n">
        <v>177.55</v>
      </c>
      <c r="L104" s="65" t="n">
        <v>107.9</v>
      </c>
      <c r="M104" s="65" t="n">
        <v>158.74</v>
      </c>
      <c r="N104" s="65" t="n">
        <v>26.75</v>
      </c>
      <c r="O104" s="65" t="n">
        <v>115.35</v>
      </c>
      <c r="P104" s="65" t="n">
        <v>229.82</v>
      </c>
      <c r="Q104" s="65" t="n">
        <v>347.26</v>
      </c>
      <c r="R104" s="65" t="n">
        <v>54.69</v>
      </c>
      <c r="S104" s="65" t="n">
        <v>113.83</v>
      </c>
      <c r="T104" s="65" t="n">
        <v>35.08</v>
      </c>
      <c r="U104" s="65"/>
      <c r="V104" s="65" t="n">
        <v>345.67</v>
      </c>
      <c r="W104" s="65"/>
      <c r="X104" s="65"/>
      <c r="Y104" s="65"/>
      <c r="Z104" s="65"/>
      <c r="AA104" s="65"/>
    </row>
    <row r="105" customFormat="false" ht="15" hidden="false" customHeight="true" outlineLevel="0" collapsed="false">
      <c r="A105" s="68" t="n">
        <v>45898</v>
      </c>
      <c r="B105" s="65" t="n">
        <v>356.7</v>
      </c>
      <c r="C105" s="65" t="n">
        <v>136.55</v>
      </c>
      <c r="D105" s="65" t="n">
        <v>737.76</v>
      </c>
      <c r="E105" s="65" t="n">
        <v>294.69</v>
      </c>
      <c r="F105" s="65" t="n">
        <v>98.1</v>
      </c>
      <c r="G105" s="65" t="n">
        <v>105.93</v>
      </c>
      <c r="H105" s="65" t="n">
        <v>135.78</v>
      </c>
      <c r="I105" s="65" t="n">
        <v>86.73</v>
      </c>
      <c r="J105" s="65" t="n">
        <v>118.82</v>
      </c>
      <c r="K105" s="65" t="n">
        <v>173.75</v>
      </c>
      <c r="L105" s="65" t="n">
        <v>109.34</v>
      </c>
      <c r="M105" s="65" t="n">
        <v>156.71</v>
      </c>
      <c r="N105" s="65" t="n">
        <v>26.72</v>
      </c>
      <c r="O105" s="65" t="n">
        <v>115.32</v>
      </c>
      <c r="P105" s="65" t="n">
        <v>227.73</v>
      </c>
      <c r="Q105" s="65" t="n">
        <v>348.99</v>
      </c>
      <c r="R105" s="65" t="n">
        <v>55.08</v>
      </c>
      <c r="S105" s="65" t="n">
        <v>115.03</v>
      </c>
      <c r="T105" s="65" t="n">
        <v>35.85</v>
      </c>
      <c r="U105" s="65"/>
      <c r="V105" s="65" t="n">
        <v>353.59</v>
      </c>
      <c r="W105" s="65"/>
      <c r="X105" s="65"/>
      <c r="Y105" s="65"/>
      <c r="Z105" s="65"/>
      <c r="AA105" s="65"/>
    </row>
    <row r="106" customFormat="false" ht="15" hidden="false" customHeight="true" outlineLevel="0" collapsed="false">
      <c r="A106" s="68" t="n">
        <v>45905</v>
      </c>
      <c r="B106" s="65" t="n">
        <v>348.97</v>
      </c>
      <c r="C106" s="65" t="n">
        <v>142.85</v>
      </c>
      <c r="D106" s="65" t="n">
        <v>776.58</v>
      </c>
      <c r="E106" s="65" t="n">
        <v>331.85</v>
      </c>
      <c r="F106" s="65" t="n">
        <v>99.17</v>
      </c>
      <c r="G106" s="65" t="n">
        <v>104.41</v>
      </c>
      <c r="H106" s="65" t="n">
        <v>135.66</v>
      </c>
      <c r="I106" s="65" t="n">
        <v>90.02</v>
      </c>
      <c r="J106" s="65" t="n">
        <v>131.16</v>
      </c>
      <c r="K106" s="65" t="n">
        <v>166.61</v>
      </c>
      <c r="L106" s="65" t="n">
        <v>109.22</v>
      </c>
      <c r="M106" s="65" t="n">
        <v>153.11</v>
      </c>
      <c r="N106" s="65" t="n">
        <v>26.45</v>
      </c>
      <c r="O106" s="65" t="n">
        <v>115.89</v>
      </c>
      <c r="P106" s="65" t="n">
        <v>240.1</v>
      </c>
      <c r="Q106" s="65" t="n">
        <v>340.5</v>
      </c>
      <c r="R106" s="65" t="n">
        <v>53.81</v>
      </c>
      <c r="S106" s="65" t="n">
        <v>113.23</v>
      </c>
      <c r="T106" s="65" t="n">
        <v>34.35</v>
      </c>
      <c r="U106" s="65"/>
      <c r="V106" s="65" t="n">
        <v>336.07</v>
      </c>
      <c r="W106" s="65"/>
      <c r="X106" s="65"/>
      <c r="Y106" s="65"/>
      <c r="Z106" s="65"/>
      <c r="AA106" s="65"/>
    </row>
    <row r="107" customFormat="false" ht="15" hidden="false" customHeight="true" outlineLevel="0" collapsed="false">
      <c r="A107" s="68" t="n">
        <v>45912</v>
      </c>
      <c r="B107" s="65" t="n">
        <v>349.36</v>
      </c>
      <c r="C107" s="65" t="n">
        <v>139.39</v>
      </c>
      <c r="D107" s="65" t="n">
        <v>808.54</v>
      </c>
      <c r="E107" s="65" t="n">
        <v>356.6</v>
      </c>
      <c r="F107" s="65" t="n">
        <v>98.38</v>
      </c>
      <c r="G107" s="65" t="n">
        <v>109.03</v>
      </c>
      <c r="H107" s="65" t="n">
        <v>135.84</v>
      </c>
      <c r="I107" s="65" t="n">
        <v>95.88</v>
      </c>
      <c r="J107" s="65" t="n">
        <v>156.98</v>
      </c>
      <c r="K107" s="65" t="n">
        <v>177.4</v>
      </c>
      <c r="L107" s="65" t="n">
        <v>110.85</v>
      </c>
      <c r="M107" s="65" t="n">
        <v>171.43</v>
      </c>
      <c r="N107" s="65" t="n">
        <v>26.3</v>
      </c>
      <c r="O107" s="65" t="n">
        <v>119.28</v>
      </c>
      <c r="P107" s="65" t="n">
        <v>255.81</v>
      </c>
      <c r="Q107" s="65" t="n">
        <v>336.74</v>
      </c>
      <c r="R107" s="65" t="n">
        <v>55.32</v>
      </c>
      <c r="S107" s="65" t="n">
        <v>117.19</v>
      </c>
      <c r="T107" s="65" t="n">
        <v>34.69</v>
      </c>
      <c r="U107" s="65"/>
      <c r="V107" s="65" t="n">
        <v>333.52</v>
      </c>
      <c r="W107" s="65"/>
      <c r="X107" s="65"/>
      <c r="Y107" s="65"/>
      <c r="Z107" s="65"/>
      <c r="AA107" s="65"/>
    </row>
    <row r="108" customFormat="false" ht="15" hidden="false" customHeight="true" outlineLevel="0" collapsed="false">
      <c r="A108" s="68" t="n">
        <v>45919</v>
      </c>
      <c r="B108" s="65" t="n">
        <v>365.9</v>
      </c>
      <c r="C108" s="65" t="n">
        <v>149.61</v>
      </c>
      <c r="D108" s="65" t="n">
        <v>926.05</v>
      </c>
      <c r="E108" s="65" t="n">
        <v>341.81</v>
      </c>
      <c r="F108" s="65" t="n">
        <v>98.94</v>
      </c>
      <c r="G108" s="65" t="n">
        <v>125.64</v>
      </c>
      <c r="H108" s="65" t="n">
        <v>135.46</v>
      </c>
      <c r="I108" s="65" t="n">
        <v>103.92</v>
      </c>
      <c r="J108" s="65" t="n">
        <v>162.47</v>
      </c>
      <c r="K108" s="65" t="n">
        <v>176.25</v>
      </c>
      <c r="L108" s="65" t="n">
        <v>110.05</v>
      </c>
      <c r="M108" s="65" t="n">
        <v>182.39</v>
      </c>
      <c r="N108" s="65" t="n">
        <v>26.15</v>
      </c>
      <c r="O108" s="65" t="n">
        <v>120.72</v>
      </c>
      <c r="P108" s="65" t="n">
        <v>262.1</v>
      </c>
      <c r="Q108" s="65" t="n">
        <v>338.9</v>
      </c>
      <c r="R108" s="65" t="n">
        <v>55.8</v>
      </c>
      <c r="S108" s="65" t="n">
        <v>117.31</v>
      </c>
      <c r="T108" s="65" t="n">
        <v>36.06</v>
      </c>
      <c r="U108" s="65"/>
      <c r="V108" s="65" t="n">
        <v>341.74</v>
      </c>
      <c r="W108" s="65"/>
      <c r="X108" s="65"/>
      <c r="Y108" s="65"/>
      <c r="Z108" s="65"/>
      <c r="AA108" s="65"/>
    </row>
    <row r="109" customFormat="false" ht="15" hidden="false" customHeight="true" outlineLevel="0" collapsed="false">
      <c r="A109" s="68" t="n">
        <v>45926</v>
      </c>
      <c r="B109" s="65" t="n">
        <v>360.37</v>
      </c>
      <c r="C109" s="65" t="n">
        <v>142.5</v>
      </c>
      <c r="D109" s="65" t="n">
        <v>945.29</v>
      </c>
      <c r="E109" s="65" t="n">
        <v>332.06</v>
      </c>
      <c r="F109" s="65" t="n">
        <v>99.24</v>
      </c>
      <c r="G109" s="65" t="n">
        <v>120.36</v>
      </c>
      <c r="H109" s="65" t="n">
        <v>136.5</v>
      </c>
      <c r="I109" s="65" t="n">
        <v>105.86</v>
      </c>
      <c r="J109" s="65" t="n">
        <v>157.02</v>
      </c>
      <c r="K109" s="65" t="n">
        <v>177.76</v>
      </c>
      <c r="L109" s="65" t="n">
        <v>110.71</v>
      </c>
      <c r="M109" s="65" t="n">
        <v>177.57</v>
      </c>
      <c r="N109" s="65" t="n">
        <v>26.29</v>
      </c>
      <c r="O109" s="65" t="n">
        <v>119.57</v>
      </c>
      <c r="P109" s="65" t="n">
        <v>270.5</v>
      </c>
      <c r="Q109" s="65" t="n">
        <v>334.69</v>
      </c>
      <c r="R109" s="65" t="n">
        <v>55.67</v>
      </c>
      <c r="S109" s="65" t="n">
        <v>116.51</v>
      </c>
      <c r="T109" s="65" t="n">
        <v>36.99</v>
      </c>
      <c r="U109" s="65"/>
      <c r="V109" s="65" t="n">
        <v>347.26</v>
      </c>
      <c r="W109" s="65"/>
      <c r="X109" s="65"/>
      <c r="Y109" s="65"/>
      <c r="Z109" s="65"/>
      <c r="AA109" s="65"/>
    </row>
    <row r="110" customFormat="false" ht="15" hidden="false" customHeight="true" outlineLevel="0" collapsed="false">
      <c r="A110" s="68" t="n">
        <v>45933</v>
      </c>
      <c r="B110" s="65" t="n">
        <v>346.74</v>
      </c>
      <c r="C110" s="65" t="n">
        <v>145.5</v>
      </c>
      <c r="D110" s="65" t="n">
        <v>1025.47</v>
      </c>
      <c r="E110" s="65" t="n">
        <v>335.87</v>
      </c>
      <c r="F110" s="65" t="n">
        <v>99.35</v>
      </c>
      <c r="G110" s="65" t="n">
        <v>122.47</v>
      </c>
      <c r="H110" s="65" t="n">
        <v>138.19</v>
      </c>
      <c r="I110" s="65" t="n">
        <v>109.56</v>
      </c>
      <c r="J110" s="65" t="n">
        <v>187.65</v>
      </c>
      <c r="K110" s="65" t="n">
        <v>187.17</v>
      </c>
      <c r="L110" s="65" t="n">
        <v>113.5</v>
      </c>
      <c r="M110" s="65" t="n">
        <v>173.07</v>
      </c>
      <c r="N110" s="65" t="n">
        <v>26.48</v>
      </c>
      <c r="O110" s="65" t="n">
        <v>119.08</v>
      </c>
      <c r="P110" s="65" t="n">
        <v>289.13</v>
      </c>
      <c r="Q110" s="65" t="n">
        <v>347.06</v>
      </c>
      <c r="R110" s="65" t="n">
        <v>55.68</v>
      </c>
      <c r="S110" s="65" t="n">
        <v>116.48</v>
      </c>
      <c r="T110" s="65" t="n">
        <v>37.33</v>
      </c>
      <c r="U110" s="65"/>
      <c r="V110" s="65" t="n">
        <v>348.99</v>
      </c>
      <c r="W110" s="65"/>
      <c r="X110" s="65"/>
      <c r="Y110" s="65"/>
      <c r="Z110" s="65"/>
      <c r="AA110" s="65"/>
    </row>
    <row r="111" customFormat="false" ht="15" hidden="false" customHeight="true" outlineLevel="0" collapsed="false">
      <c r="A111" s="68" t="n">
        <v>45940</v>
      </c>
      <c r="B111" s="65" t="n">
        <v>337.51</v>
      </c>
      <c r="C111" s="65" t="n">
        <v>154.1</v>
      </c>
      <c r="D111" s="65" t="n">
        <v>930.06</v>
      </c>
      <c r="E111" s="65" t="n">
        <v>322.23</v>
      </c>
      <c r="F111" s="65" t="n">
        <v>93.95</v>
      </c>
      <c r="G111" s="65" t="n">
        <v>123.42</v>
      </c>
      <c r="H111" s="65" t="n">
        <v>133.41</v>
      </c>
      <c r="I111" s="65" t="n">
        <v>97.75</v>
      </c>
      <c r="J111" s="65" t="n">
        <v>181.42</v>
      </c>
      <c r="K111" s="65" t="n">
        <v>182.72</v>
      </c>
      <c r="L111" s="65" t="n">
        <v>107.84</v>
      </c>
      <c r="M111" s="65" t="n">
        <v>175.44</v>
      </c>
      <c r="N111" s="65" t="n">
        <v>25.64</v>
      </c>
      <c r="O111" s="65" t="n">
        <v>117.51</v>
      </c>
      <c r="P111" s="65" t="n">
        <v>277.72</v>
      </c>
      <c r="Q111" s="65" t="n">
        <v>340.92</v>
      </c>
      <c r="R111" s="65" t="n">
        <v>55.78</v>
      </c>
      <c r="S111" s="65" t="n">
        <v>117.05</v>
      </c>
      <c r="T111" s="65" t="n">
        <v>37.61</v>
      </c>
      <c r="U111" s="65"/>
      <c r="V111" s="65" t="n">
        <v>340.5</v>
      </c>
      <c r="W111" s="65"/>
      <c r="X111" s="65"/>
      <c r="Y111" s="65"/>
      <c r="Z111" s="65"/>
      <c r="AA111" s="65"/>
    </row>
    <row r="112" customFormat="false" ht="15" hidden="false" customHeight="true" outlineLevel="0" collapsed="false">
      <c r="A112" s="68" t="n">
        <v>45947</v>
      </c>
      <c r="B112" s="65" t="n">
        <v>333.26</v>
      </c>
      <c r="C112" s="65" t="n">
        <v>143.1</v>
      </c>
      <c r="D112" s="65" t="n">
        <v>1022.53</v>
      </c>
      <c r="E112" s="65" t="n">
        <v>346.75</v>
      </c>
      <c r="F112" s="65" t="n">
        <v>95.79</v>
      </c>
      <c r="G112" s="65" t="n">
        <v>121.16</v>
      </c>
      <c r="H112" s="65" t="n">
        <v>135.37</v>
      </c>
      <c r="I112" s="65" t="n">
        <v>110.07</v>
      </c>
      <c r="J112" s="65" t="n">
        <v>202.18</v>
      </c>
      <c r="K112" s="65" t="n">
        <v>182.78</v>
      </c>
      <c r="L112" s="65" t="n">
        <v>120.3</v>
      </c>
      <c r="M112" s="65" t="n">
        <v>178.15</v>
      </c>
      <c r="N112" s="65" t="n">
        <v>25.88</v>
      </c>
      <c r="O112" s="65" t="n">
        <v>119.41</v>
      </c>
      <c r="P112" s="65" t="n">
        <v>291.99</v>
      </c>
      <c r="Q112" s="65" t="n">
        <v>339.18</v>
      </c>
      <c r="R112" s="65" t="n">
        <v>56.54</v>
      </c>
      <c r="S112" s="65" t="n">
        <v>120.48</v>
      </c>
      <c r="T112" s="65" t="n">
        <v>37.5</v>
      </c>
      <c r="U112" s="65"/>
      <c r="V112" s="65" t="n">
        <v>336.74</v>
      </c>
      <c r="W112" s="65"/>
      <c r="X112" s="65"/>
      <c r="Y112" s="65"/>
      <c r="Z112" s="65"/>
      <c r="AA112" s="65"/>
    </row>
    <row r="113" customFormat="false" ht="15" hidden="false" customHeight="true" outlineLevel="0" collapsed="false">
      <c r="A113" s="68" t="n">
        <v>45954</v>
      </c>
      <c r="B113" s="65" t="n">
        <v>353.52</v>
      </c>
      <c r="C113" s="65" t="n">
        <v>153.82</v>
      </c>
      <c r="D113" s="65" t="n">
        <v>1026.34</v>
      </c>
      <c r="E113" s="65" t="n">
        <v>351.52</v>
      </c>
      <c r="F113" s="65" t="n">
        <v>98.61</v>
      </c>
      <c r="G113" s="65" t="n">
        <v>131.83</v>
      </c>
      <c r="H113" s="65" t="n">
        <v>137.67</v>
      </c>
      <c r="I113" s="65" t="n">
        <v>117.65</v>
      </c>
      <c r="J113" s="65" t="n">
        <v>218.81</v>
      </c>
      <c r="K113" s="65" t="n">
        <v>185.81</v>
      </c>
      <c r="L113" s="65" t="n">
        <v>122.58</v>
      </c>
      <c r="M113" s="65" t="n">
        <v>184.63</v>
      </c>
      <c r="N113" s="65" t="n">
        <v>26.11</v>
      </c>
      <c r="O113" s="65" t="n">
        <v>120.69</v>
      </c>
      <c r="P113" s="65" t="n">
        <v>291.87</v>
      </c>
      <c r="Q113" s="65" t="n">
        <v>344.62</v>
      </c>
      <c r="R113" s="65" t="n">
        <v>57.16</v>
      </c>
      <c r="S113" s="65" t="n">
        <v>121.93</v>
      </c>
      <c r="T113" s="65" t="n">
        <v>37.45</v>
      </c>
      <c r="U113" s="65"/>
      <c r="V113" s="65" t="n">
        <v>338.9</v>
      </c>
      <c r="W113" s="65"/>
      <c r="X113" s="65"/>
      <c r="Y113" s="65"/>
      <c r="Z113" s="65"/>
      <c r="AA113" s="65"/>
    </row>
    <row r="114" customFormat="false" ht="15" hidden="false" customHeight="true" outlineLevel="0" collapsed="false">
      <c r="A114" s="68" t="n">
        <v>45961</v>
      </c>
      <c r="B114" s="65" t="n">
        <v>340.31</v>
      </c>
      <c r="C114" s="65" t="n">
        <v>157.69</v>
      </c>
      <c r="D114" s="65" t="n">
        <v>1054.17</v>
      </c>
      <c r="E114" s="65" t="n">
        <v>366.9</v>
      </c>
      <c r="F114" s="65" t="n">
        <v>96.52</v>
      </c>
      <c r="G114" s="65" t="n">
        <v>135.75</v>
      </c>
      <c r="H114" s="65" t="n">
        <v>134.39</v>
      </c>
      <c r="I114" s="65" t="n">
        <v>120.23</v>
      </c>
      <c r="J114" s="65" t="n">
        <v>223.55</v>
      </c>
      <c r="K114" s="65" t="n">
        <v>202.01</v>
      </c>
      <c r="L114" s="65" t="n">
        <v>120.31</v>
      </c>
      <c r="M114" s="65" t="n">
        <v>200.47</v>
      </c>
      <c r="N114" s="65" t="n">
        <v>25.84</v>
      </c>
      <c r="O114" s="65" t="n">
        <v>120.68</v>
      </c>
      <c r="P114" s="65" t="n">
        <v>297.28</v>
      </c>
      <c r="Q114" s="65" t="n">
        <v>338.04</v>
      </c>
      <c r="R114" s="65" t="n">
        <v>57.25</v>
      </c>
      <c r="S114" s="65" t="n">
        <v>120.58</v>
      </c>
      <c r="T114" s="65" t="n">
        <v>37.74</v>
      </c>
      <c r="U114" s="65"/>
      <c r="V114" s="65" t="n">
        <v>334.69</v>
      </c>
      <c r="W114" s="65"/>
      <c r="X114" s="65"/>
      <c r="Y114" s="65"/>
      <c r="Z114" s="65"/>
      <c r="AA114" s="65"/>
    </row>
    <row r="115" customFormat="false" ht="15" hidden="false" customHeight="true" outlineLevel="0" collapsed="false">
      <c r="A115" s="68" t="n">
        <v>45968</v>
      </c>
      <c r="B115" s="65" t="n">
        <v>326.95</v>
      </c>
      <c r="C115" s="65" t="n">
        <v>134.65</v>
      </c>
      <c r="D115" s="65" t="n">
        <v>1012.1</v>
      </c>
      <c r="E115" s="65" t="n">
        <v>346.85</v>
      </c>
      <c r="F115" s="65" t="n">
        <v>96.46</v>
      </c>
      <c r="G115" s="65" t="n">
        <v>134.95</v>
      </c>
      <c r="H115" s="65" t="n">
        <v>135.39</v>
      </c>
      <c r="I115" s="65" t="n">
        <v>118.7</v>
      </c>
      <c r="J115" s="65" t="n">
        <v>237.69</v>
      </c>
      <c r="K115" s="65" t="n">
        <v>187.7</v>
      </c>
      <c r="L115" s="65" t="n">
        <v>121.78</v>
      </c>
      <c r="M115" s="65" t="n">
        <v>177.93</v>
      </c>
      <c r="N115" s="65" t="n">
        <v>25.81</v>
      </c>
      <c r="O115" s="65" t="n">
        <v>117.54</v>
      </c>
      <c r="P115" s="65" t="n">
        <v>283.5</v>
      </c>
      <c r="Q115" s="65" t="n">
        <v>333.35</v>
      </c>
      <c r="R115" s="65" t="n">
        <v>57.28</v>
      </c>
      <c r="S115" s="65" t="n">
        <v>120.09</v>
      </c>
      <c r="T115" s="65" t="n">
        <v>37.87</v>
      </c>
      <c r="U115" s="65"/>
      <c r="V115" s="65" t="n">
        <v>347.06</v>
      </c>
      <c r="W115" s="65"/>
      <c r="X115" s="65"/>
      <c r="Y115" s="65"/>
      <c r="Z115" s="65"/>
      <c r="AA115" s="65"/>
    </row>
    <row r="116" customFormat="false" ht="15" hidden="false" customHeight="true" outlineLevel="0" collapsed="false">
      <c r="A116" s="68" t="n">
        <v>45975</v>
      </c>
      <c r="B116" s="65" t="n">
        <v>331.11</v>
      </c>
      <c r="C116" s="65" t="n">
        <v>131.37</v>
      </c>
      <c r="D116" s="65" t="n">
        <v>1002.17</v>
      </c>
      <c r="E116" s="65" t="n">
        <v>339.93</v>
      </c>
      <c r="F116" s="65" t="n">
        <v>96.32</v>
      </c>
      <c r="G116" s="65" t="n">
        <v>134.39</v>
      </c>
      <c r="H116" s="65" t="n">
        <v>135.81</v>
      </c>
      <c r="I116" s="65" t="n">
        <v>112.82</v>
      </c>
      <c r="J116" s="65" t="n">
        <v>246.59</v>
      </c>
      <c r="K116" s="65" t="n">
        <v>189.72</v>
      </c>
      <c r="L116" s="65" t="n">
        <v>119.09</v>
      </c>
      <c r="M116" s="65" t="n">
        <v>174.01</v>
      </c>
      <c r="N116" s="65" t="n">
        <v>26.32</v>
      </c>
      <c r="O116" s="65" t="n">
        <v>116.84</v>
      </c>
      <c r="P116" s="65" t="n">
        <v>281.84</v>
      </c>
      <c r="Q116" s="65" t="n">
        <v>328.05</v>
      </c>
      <c r="R116" s="65" t="n">
        <v>56.33</v>
      </c>
      <c r="S116" s="65" t="n">
        <v>118.5</v>
      </c>
      <c r="T116" s="65" t="n">
        <v>36.58</v>
      </c>
      <c r="U116" s="65"/>
      <c r="V116" s="65" t="n">
        <v>340.92</v>
      </c>
      <c r="W116" s="65"/>
      <c r="X116" s="65"/>
      <c r="Y116" s="65"/>
      <c r="Z116" s="65"/>
      <c r="AA116" s="65"/>
    </row>
    <row r="117" customFormat="false" ht="15" hidden="false" customHeight="true" outlineLevel="0" collapsed="false">
      <c r="A117" s="68" t="n">
        <v>45982</v>
      </c>
      <c r="B117" s="65" t="n">
        <v>324.19</v>
      </c>
      <c r="C117" s="65" t="n">
        <v>117.43</v>
      </c>
      <c r="D117" s="65" t="n">
        <v>961.95</v>
      </c>
      <c r="E117" s="65" t="n">
        <v>337.69</v>
      </c>
      <c r="F117" s="65" t="n">
        <v>95.57</v>
      </c>
      <c r="G117" s="65" t="n">
        <v>122.67</v>
      </c>
      <c r="H117" s="65" t="n">
        <v>135.14</v>
      </c>
      <c r="I117" s="65" t="n">
        <v>109.31</v>
      </c>
      <c r="J117" s="65" t="n">
        <v>207.17</v>
      </c>
      <c r="K117" s="65" t="n">
        <v>178.45</v>
      </c>
      <c r="L117" s="65" t="n">
        <v>121.96</v>
      </c>
      <c r="M117" s="65" t="n">
        <v>154.85</v>
      </c>
      <c r="N117" s="65" t="n">
        <v>26.18</v>
      </c>
      <c r="O117" s="65" t="n">
        <v>113.34</v>
      </c>
      <c r="P117" s="65" t="n">
        <v>272.18</v>
      </c>
      <c r="Q117" s="65" t="n">
        <v>326.02</v>
      </c>
      <c r="R117" s="65" t="n">
        <v>57.48</v>
      </c>
      <c r="S117" s="65" t="n">
        <v>120.42</v>
      </c>
      <c r="T117" s="65" t="n">
        <v>37.09</v>
      </c>
      <c r="U117" s="65"/>
      <c r="V117" s="65" t="n">
        <v>339.18</v>
      </c>
      <c r="W117" s="65"/>
      <c r="X117" s="65"/>
      <c r="Y117" s="65"/>
      <c r="Z117" s="65"/>
      <c r="AA117" s="65"/>
    </row>
    <row r="118" customFormat="false" ht="15" hidden="false" customHeight="true" outlineLevel="0" collapsed="false">
      <c r="A118" s="68" t="n">
        <v>45989</v>
      </c>
      <c r="B118" s="65" t="n">
        <v>320.13</v>
      </c>
      <c r="C118" s="65" t="n">
        <v>130.68</v>
      </c>
      <c r="D118" s="65" t="n">
        <v>1054.93</v>
      </c>
      <c r="E118" s="65" t="n">
        <v>399.99</v>
      </c>
      <c r="F118" s="65" t="n">
        <v>99.81</v>
      </c>
      <c r="G118" s="65" t="n">
        <v>127.29</v>
      </c>
      <c r="H118" s="65" t="n">
        <v>138.62</v>
      </c>
      <c r="I118" s="65" t="n">
        <v>117.11</v>
      </c>
      <c r="J118" s="65" t="n">
        <v>236.25</v>
      </c>
      <c r="K118" s="65" t="n">
        <v>176.58</v>
      </c>
      <c r="L118" s="65" t="n">
        <v>124.62</v>
      </c>
      <c r="M118" s="65" t="n">
        <v>168.45</v>
      </c>
      <c r="N118" s="65" t="n">
        <v>26.66</v>
      </c>
      <c r="O118" s="65" t="n">
        <v>119.11</v>
      </c>
      <c r="P118" s="65" t="n">
        <v>288.46</v>
      </c>
      <c r="Q118" s="65" t="n">
        <v>332.44</v>
      </c>
      <c r="R118" s="65" t="n">
        <v>58.55</v>
      </c>
      <c r="S118" s="65" t="n">
        <v>121.71</v>
      </c>
      <c r="T118" s="65" t="n">
        <v>38.06</v>
      </c>
      <c r="U118" s="65"/>
      <c r="V118" s="65" t="n">
        <v>344.62</v>
      </c>
      <c r="W118" s="65"/>
      <c r="X118" s="65"/>
      <c r="Y118" s="65"/>
      <c r="Z118" s="65"/>
      <c r="AA118" s="65"/>
    </row>
    <row r="119" customFormat="false" ht="15" hidden="false" customHeight="true" outlineLevel="0" collapsed="false">
      <c r="A119" s="68" t="n">
        <v>45996</v>
      </c>
      <c r="B119" s="65" t="n">
        <v>346.26</v>
      </c>
      <c r="C119" s="65" t="n">
        <v>128.59</v>
      </c>
      <c r="D119" s="65" t="n">
        <v>1094.21</v>
      </c>
      <c r="E119" s="65" t="n">
        <v>387.36</v>
      </c>
      <c r="F119" s="65" t="n">
        <v>101.56</v>
      </c>
      <c r="G119" s="65" t="n">
        <v>128.01</v>
      </c>
      <c r="H119" s="65" t="n">
        <v>136.97</v>
      </c>
      <c r="I119" s="65" t="n">
        <v>121</v>
      </c>
      <c r="J119" s="65" t="n">
        <v>236.99</v>
      </c>
      <c r="K119" s="65" t="n">
        <v>181.98</v>
      </c>
      <c r="L119" s="65" t="n">
        <v>124.08</v>
      </c>
      <c r="M119" s="65" t="n">
        <v>181.76</v>
      </c>
      <c r="N119" s="65" t="n">
        <v>26.77</v>
      </c>
      <c r="O119" s="65" t="n">
        <v>119.84</v>
      </c>
      <c r="P119" s="65" t="n">
        <v>291.63</v>
      </c>
      <c r="Q119" s="65" t="n">
        <v>329.26</v>
      </c>
      <c r="R119" s="65" t="n">
        <v>59.1</v>
      </c>
      <c r="S119" s="65" t="n">
        <v>121.7</v>
      </c>
      <c r="T119" s="65" t="n">
        <v>37.82</v>
      </c>
      <c r="U119" s="65"/>
      <c r="V119" s="65" t="n">
        <v>338.04</v>
      </c>
      <c r="W119" s="65"/>
      <c r="X119" s="65"/>
      <c r="Y119" s="65"/>
      <c r="Z119" s="65"/>
      <c r="AA119" s="65"/>
    </row>
    <row r="120" customFormat="false" ht="15" hidden="false" customHeight="true" outlineLevel="0" collapsed="false">
      <c r="A120" s="68" t="n">
        <v>46003</v>
      </c>
      <c r="B120" s="65" t="n">
        <v>356.43</v>
      </c>
      <c r="C120" s="65" t="n">
        <v>124.76</v>
      </c>
      <c r="D120" s="65" t="n">
        <v>1075.68</v>
      </c>
      <c r="E120" s="65" t="n">
        <v>357.27</v>
      </c>
      <c r="F120" s="65" t="n">
        <v>103.74</v>
      </c>
      <c r="G120" s="65" t="n">
        <v>126.19</v>
      </c>
      <c r="H120" s="65" t="n">
        <v>139.19</v>
      </c>
      <c r="I120" s="65" t="n">
        <v>118.95</v>
      </c>
      <c r="J120" s="65" t="n">
        <v>240.9</v>
      </c>
      <c r="K120" s="65" t="n">
        <v>174.61</v>
      </c>
      <c r="L120" s="65" t="n">
        <v>126.22</v>
      </c>
      <c r="M120" s="65" t="n">
        <v>183.57</v>
      </c>
      <c r="N120" s="65" t="n">
        <v>27.02</v>
      </c>
      <c r="O120" s="65" t="n">
        <v>118.1</v>
      </c>
      <c r="P120" s="65" t="n">
        <v>289.76</v>
      </c>
      <c r="Q120" s="65" t="n">
        <v>345.75</v>
      </c>
      <c r="R120" s="65" t="n">
        <v>57.71</v>
      </c>
      <c r="S120" s="65" t="n">
        <v>118.53</v>
      </c>
      <c r="T120" s="65" t="n">
        <v>37.88</v>
      </c>
      <c r="U120" s="65"/>
      <c r="V120" s="65" t="n">
        <v>333.35</v>
      </c>
      <c r="W120" s="65"/>
      <c r="X120" s="65"/>
      <c r="Y120" s="65"/>
      <c r="Z120" s="65"/>
      <c r="AA120" s="65"/>
    </row>
    <row r="121" customFormat="false" ht="15" hidden="false" customHeight="true" outlineLevel="0" collapsed="false">
      <c r="A121" s="68" t="n">
        <v>46010</v>
      </c>
      <c r="B121" s="65" t="n">
        <v>355.86</v>
      </c>
      <c r="C121" s="65" t="n">
        <v>131.12</v>
      </c>
      <c r="D121" s="65" t="n">
        <v>1050.97</v>
      </c>
      <c r="E121" s="65" t="n">
        <v>337.85</v>
      </c>
      <c r="F121" s="65" t="n">
        <v>102.8</v>
      </c>
      <c r="G121" s="65" t="n">
        <v>120.32</v>
      </c>
      <c r="H121" s="65" t="n">
        <v>138.55</v>
      </c>
      <c r="I121" s="65" t="n">
        <v>124.11</v>
      </c>
      <c r="J121" s="65" t="n">
        <v>265.66</v>
      </c>
      <c r="K121" s="65" t="n">
        <v>180.57</v>
      </c>
      <c r="L121" s="65" t="n">
        <v>124.32</v>
      </c>
      <c r="M121" s="65" t="n">
        <v>193.38</v>
      </c>
      <c r="N121" s="65" t="n">
        <v>26.8</v>
      </c>
      <c r="O121" s="65" t="n">
        <v>118.53</v>
      </c>
      <c r="P121" s="65" t="n">
        <v>286.7</v>
      </c>
      <c r="Q121" s="65" t="n">
        <v>347.17</v>
      </c>
      <c r="R121" s="65" t="n">
        <v>57.82</v>
      </c>
      <c r="S121" s="65" t="n">
        <v>117.83</v>
      </c>
      <c r="T121" s="65" t="n">
        <v>38.3</v>
      </c>
      <c r="U121" s="65"/>
      <c r="V121" s="65" t="n">
        <v>328.05</v>
      </c>
      <c r="W121" s="65"/>
      <c r="X121" s="65"/>
      <c r="Y121" s="65"/>
      <c r="Z121" s="65"/>
      <c r="AA121" s="65"/>
    </row>
    <row r="122" customFormat="false" ht="15" hidden="false" customHeight="true" outlineLevel="0" collapsed="false">
      <c r="A122" s="68" t="n">
        <v>46017</v>
      </c>
      <c r="B122" s="65" t="n">
        <v>353.8</v>
      </c>
      <c r="C122" s="65" t="n">
        <v>131.84</v>
      </c>
      <c r="D122" s="65" t="n">
        <v>1067.62</v>
      </c>
      <c r="E122" s="65" t="n">
        <v>350.2</v>
      </c>
      <c r="F122" s="65" t="n">
        <v>102.71</v>
      </c>
      <c r="G122" s="65" t="n">
        <v>120.3</v>
      </c>
      <c r="H122" s="65" t="n">
        <v>139.28</v>
      </c>
      <c r="I122" s="65" t="n">
        <v>127.49</v>
      </c>
      <c r="J122" s="65" t="n">
        <v>284.51</v>
      </c>
      <c r="K122" s="65" t="n">
        <v>190.09</v>
      </c>
      <c r="L122" s="65" t="n">
        <v>125.76</v>
      </c>
      <c r="M122" s="65" t="n">
        <v>188.71</v>
      </c>
      <c r="N122" s="65" t="n">
        <v>26.98</v>
      </c>
      <c r="O122" s="65" t="n">
        <v>120.66</v>
      </c>
      <c r="P122" s="65" t="n">
        <v>300.48</v>
      </c>
      <c r="Q122" s="65" t="n">
        <v>352.88</v>
      </c>
      <c r="R122" s="65" t="n">
        <v>56.24</v>
      </c>
      <c r="S122" s="65" t="n">
        <v>114.3</v>
      </c>
      <c r="T122" s="65" t="n">
        <v>37.53</v>
      </c>
      <c r="U122" s="65"/>
      <c r="V122" s="65" t="n">
        <v>326.02</v>
      </c>
      <c r="W122" s="65"/>
      <c r="X122" s="65"/>
      <c r="Y122" s="65"/>
      <c r="Z122" s="65"/>
      <c r="AA122" s="65"/>
    </row>
    <row r="123" customFormat="false" ht="15" hidden="false" customHeight="true" outlineLevel="0" collapsed="false">
      <c r="A123" s="68" t="n">
        <v>46024</v>
      </c>
      <c r="B123" s="65" t="n">
        <v>333.3</v>
      </c>
      <c r="C123" s="65" t="n">
        <v>133.6</v>
      </c>
      <c r="D123" s="65" t="n">
        <v>1158.22</v>
      </c>
      <c r="E123" s="65" t="n">
        <v>345.71</v>
      </c>
      <c r="F123" s="65" t="n">
        <v>102.14</v>
      </c>
      <c r="G123" s="65" t="n">
        <v>113.39</v>
      </c>
      <c r="H123" s="65" t="n">
        <v>139.29</v>
      </c>
      <c r="I123" s="65" t="n">
        <v>126.98</v>
      </c>
      <c r="J123" s="65" t="n">
        <v>315.24</v>
      </c>
      <c r="K123" s="65" t="n">
        <v>188.41</v>
      </c>
      <c r="L123" s="65" t="n">
        <v>126.1</v>
      </c>
      <c r="M123" s="65" t="n">
        <v>167.86</v>
      </c>
      <c r="N123" s="65" t="n">
        <v>27.06</v>
      </c>
      <c r="O123" s="65" t="n">
        <v>118.96</v>
      </c>
      <c r="P123" s="65" t="n">
        <v>317.12</v>
      </c>
      <c r="Q123" s="65" t="n">
        <v>344.41</v>
      </c>
      <c r="R123" s="65" t="n">
        <v>58.81</v>
      </c>
      <c r="S123" s="65" t="n">
        <v>120.12</v>
      </c>
      <c r="T123" s="65" t="n">
        <v>38.82</v>
      </c>
      <c r="U123" s="65"/>
      <c r="V123" s="65" t="n">
        <v>332.44</v>
      </c>
      <c r="W123" s="65"/>
      <c r="X123" s="65"/>
      <c r="Y123" s="65"/>
      <c r="Z123" s="65"/>
      <c r="AA123" s="65"/>
    </row>
    <row r="124" customFormat="false" ht="15" hidden="false" customHeight="true" outlineLevel="0" collapsed="false">
      <c r="A124" s="68" t="n">
        <v>46031</v>
      </c>
      <c r="B124" s="65" t="n">
        <v>333.95</v>
      </c>
      <c r="C124" s="65" t="n">
        <v>122.89</v>
      </c>
      <c r="D124" s="65" t="n">
        <v>1267.79</v>
      </c>
      <c r="E124" s="65" t="n">
        <v>343.08</v>
      </c>
      <c r="F124" s="65" t="n">
        <v>106.31</v>
      </c>
      <c r="G124" s="65" t="n">
        <v>117.65</v>
      </c>
      <c r="H124" s="65" t="n">
        <v>142.21</v>
      </c>
      <c r="I124" s="65" t="n">
        <v>139.48</v>
      </c>
      <c r="J124" s="65" t="n">
        <v>344.89</v>
      </c>
      <c r="K124" s="65" t="n">
        <v>184.43</v>
      </c>
      <c r="L124" s="65" t="n">
        <v>126.44</v>
      </c>
      <c r="M124" s="65" t="n">
        <v>177.49</v>
      </c>
      <c r="N124" s="65" t="n">
        <v>27.86</v>
      </c>
      <c r="O124" s="65" t="n">
        <v>119.31</v>
      </c>
      <c r="P124" s="65" t="n">
        <v>321.11</v>
      </c>
      <c r="Q124" s="65" t="n">
        <v>347.68</v>
      </c>
      <c r="R124" s="65" t="n">
        <v>58.82</v>
      </c>
      <c r="S124" s="65" t="n">
        <v>120.85</v>
      </c>
      <c r="T124" s="65" t="n">
        <v>39.42</v>
      </c>
      <c r="U124" s="65"/>
      <c r="V124" s="65" t="n">
        <v>329.26</v>
      </c>
      <c r="W124" s="65"/>
      <c r="X124" s="65"/>
      <c r="Y124" s="65"/>
      <c r="Z124" s="65"/>
      <c r="AA124" s="65"/>
    </row>
    <row r="125" customFormat="false" ht="15" hidden="false" customHeight="true" outlineLevel="0" collapsed="false">
      <c r="A125" s="68" t="n">
        <v>46038</v>
      </c>
      <c r="B125" s="65" t="n">
        <v>296.12</v>
      </c>
      <c r="C125" s="65" t="n">
        <v>129.83</v>
      </c>
      <c r="D125" s="65" t="n">
        <v>1352.07</v>
      </c>
      <c r="E125" s="65" t="n">
        <v>349.78</v>
      </c>
      <c r="F125" s="65" t="n">
        <v>107.48</v>
      </c>
      <c r="G125" s="65" t="n">
        <v>113.47</v>
      </c>
      <c r="H125" s="65" t="n">
        <v>144.06</v>
      </c>
      <c r="I125" s="65" t="n">
        <v>156.2</v>
      </c>
      <c r="J125" s="65" t="n">
        <v>362.54</v>
      </c>
      <c r="K125" s="65" t="n">
        <v>185.8</v>
      </c>
      <c r="L125" s="65" t="n">
        <v>130.16</v>
      </c>
      <c r="M125" s="65" t="n">
        <v>170.96</v>
      </c>
      <c r="N125" s="65" t="n">
        <v>28.21</v>
      </c>
      <c r="O125" s="65" t="n">
        <v>119.28</v>
      </c>
      <c r="P125" s="65" t="n">
        <v>339.73</v>
      </c>
      <c r="Q125" s="65" t="n">
        <v>326.34</v>
      </c>
      <c r="R125" s="65" t="n">
        <v>58.18</v>
      </c>
      <c r="S125" s="65" t="n">
        <v>119.1</v>
      </c>
      <c r="T125" s="65" t="n">
        <v>39.7</v>
      </c>
      <c r="U125" s="65"/>
      <c r="V125" s="65" t="n">
        <v>345.75</v>
      </c>
      <c r="W125" s="65"/>
      <c r="X125" s="65"/>
      <c r="Y125" s="65"/>
      <c r="Z125" s="65"/>
      <c r="AA125" s="65"/>
    </row>
    <row r="126" customFormat="false" ht="15" hidden="false" customHeight="true" outlineLevel="0" collapsed="false">
      <c r="A126" s="68" t="n">
        <v>46045</v>
      </c>
      <c r="B126" s="65" t="n">
        <v>301.07</v>
      </c>
      <c r="C126" s="65" t="n">
        <v>136.34</v>
      </c>
      <c r="D126" s="65" t="n">
        <v>1382.4</v>
      </c>
      <c r="E126" s="65" t="n">
        <v>318.3</v>
      </c>
      <c r="F126" s="65" t="n">
        <v>107.46</v>
      </c>
      <c r="G126" s="65" t="n">
        <v>113.12</v>
      </c>
      <c r="H126" s="65" t="n">
        <v>144.42</v>
      </c>
      <c r="I126" s="65" t="n">
        <v>150.72</v>
      </c>
      <c r="J126" s="65" t="n">
        <v>399.42</v>
      </c>
      <c r="K126" s="65" t="n">
        <v>187.23</v>
      </c>
      <c r="L126" s="65" t="n">
        <v>124.24</v>
      </c>
      <c r="M126" s="65" t="n">
        <v>169.6</v>
      </c>
      <c r="N126" s="65" t="n">
        <v>28.44</v>
      </c>
      <c r="O126" s="65" t="n">
        <v>117.22</v>
      </c>
      <c r="P126" s="65" t="n">
        <v>332.26</v>
      </c>
      <c r="Q126" s="65" t="n">
        <v>324.23</v>
      </c>
      <c r="R126" s="65" t="n">
        <v>58.62</v>
      </c>
      <c r="S126" s="65" t="n">
        <v>119.53</v>
      </c>
      <c r="T126" s="65" t="n">
        <v>39.53</v>
      </c>
      <c r="U126" s="65"/>
      <c r="V126" s="65" t="n">
        <v>347.17</v>
      </c>
      <c r="W126" s="65"/>
      <c r="X126" s="65"/>
      <c r="Y126" s="65"/>
      <c r="Z126" s="65"/>
      <c r="AA126" s="65"/>
    </row>
    <row r="127" customFormat="false" ht="15" hidden="false" customHeight="true" outlineLevel="0" collapsed="false">
      <c r="A127" s="68" t="n">
        <v>46052</v>
      </c>
      <c r="B127" s="65" t="n">
        <v>293.25</v>
      </c>
      <c r="C127" s="65" t="n">
        <v>141.74</v>
      </c>
      <c r="D127" s="65" t="n">
        <v>1416.2</v>
      </c>
      <c r="E127" s="65" t="n">
        <v>329.48</v>
      </c>
      <c r="F127" s="65" t="n">
        <v>108.24</v>
      </c>
      <c r="G127" s="65" t="n">
        <v>110.35</v>
      </c>
      <c r="H127" s="65" t="n">
        <v>146.93</v>
      </c>
      <c r="I127" s="65" t="n">
        <v>142.27</v>
      </c>
      <c r="J127" s="65" t="n">
        <v>414.64</v>
      </c>
      <c r="K127" s="65" t="n">
        <v>190.68</v>
      </c>
      <c r="L127" s="65" t="n">
        <v>127.57</v>
      </c>
      <c r="M127" s="65" t="n">
        <v>146.59</v>
      </c>
      <c r="N127" s="65" t="n">
        <v>29.1</v>
      </c>
      <c r="O127" s="65" t="n">
        <v>119.15</v>
      </c>
      <c r="P127" s="65" t="n">
        <v>327.98</v>
      </c>
      <c r="Q127" s="65" t="n">
        <v>319.91</v>
      </c>
      <c r="R127" s="65" t="n">
        <v>59.34</v>
      </c>
      <c r="S127" s="65" t="n">
        <v>121.38</v>
      </c>
      <c r="T127" s="65" t="n">
        <v>39.79</v>
      </c>
      <c r="U127" s="65"/>
      <c r="V127" s="65" t="n">
        <v>352.88</v>
      </c>
      <c r="W127" s="65"/>
      <c r="X127" s="65"/>
      <c r="Y127" s="65"/>
      <c r="Z127" s="65"/>
      <c r="AA127" s="65"/>
    </row>
    <row r="128" customFormat="false" ht="15" hidden="false" customHeight="true" outlineLevel="0" collapsed="false">
      <c r="A128" s="68" t="n">
        <v>46059</v>
      </c>
      <c r="B128" s="65" t="n">
        <v>268.38</v>
      </c>
      <c r="C128" s="65" t="n">
        <v>137.49</v>
      </c>
      <c r="D128" s="65" t="n">
        <v>1406.25</v>
      </c>
      <c r="E128" s="65" t="n">
        <v>331.1</v>
      </c>
      <c r="F128" s="65" t="n">
        <v>114.1</v>
      </c>
      <c r="G128" s="65" t="n">
        <v>98.88</v>
      </c>
      <c r="H128" s="65" t="n">
        <v>151.79</v>
      </c>
      <c r="I128" s="65" t="n">
        <v>143.76</v>
      </c>
      <c r="J128" s="65" t="n">
        <v>394.46</v>
      </c>
      <c r="K128" s="65" t="n">
        <v>184.98</v>
      </c>
      <c r="L128" s="65" t="n">
        <v>133.82</v>
      </c>
      <c r="M128" s="65" t="n">
        <v>135.9</v>
      </c>
      <c r="N128" s="65" t="n">
        <v>30.71</v>
      </c>
      <c r="O128" s="65" t="n">
        <v>119.12</v>
      </c>
      <c r="P128" s="65" t="n">
        <v>346.13</v>
      </c>
      <c r="Q128" s="65" t="n">
        <v>329.6</v>
      </c>
      <c r="R128" s="65" t="n">
        <v>58.09</v>
      </c>
      <c r="S128" s="65" t="n">
        <v>119.67</v>
      </c>
      <c r="T128" s="65" t="n">
        <v>39.42</v>
      </c>
      <c r="U128" s="65"/>
      <c r="V128" s="65" t="n">
        <v>344.41</v>
      </c>
      <c r="W128" s="65"/>
      <c r="X128" s="65"/>
      <c r="Y128" s="65"/>
      <c r="Z128" s="65"/>
      <c r="AA128" s="65"/>
    </row>
    <row r="129" customFormat="false" ht="15" hidden="false" customHeight="true" outlineLevel="0" collapsed="false">
      <c r="A129" s="68" t="n">
        <v>46066</v>
      </c>
      <c r="B129" s="65" t="n">
        <v>263.97</v>
      </c>
      <c r="C129" s="65" t="n">
        <v>141.59</v>
      </c>
      <c r="D129" s="65" t="n">
        <v>1401.73</v>
      </c>
      <c r="E129" s="65" t="n">
        <v>323.39</v>
      </c>
      <c r="F129" s="65" t="n">
        <v>113.81</v>
      </c>
      <c r="G129" s="65" t="n">
        <v>107.41</v>
      </c>
      <c r="H129" s="65" t="n">
        <v>154.23</v>
      </c>
      <c r="I129" s="65" t="n">
        <v>145.87</v>
      </c>
      <c r="J129" s="65" t="n">
        <v>411.42</v>
      </c>
      <c r="K129" s="65" t="n">
        <v>182.38</v>
      </c>
      <c r="L129" s="65" t="n">
        <v>135.79</v>
      </c>
      <c r="M129" s="65" t="n">
        <v>131.41</v>
      </c>
      <c r="N129" s="65" t="n">
        <v>30.85</v>
      </c>
      <c r="O129" s="65" t="n">
        <v>117.54</v>
      </c>
      <c r="P129" s="65" t="n">
        <v>363.5</v>
      </c>
      <c r="Q129" s="65" t="n">
        <v>312.85</v>
      </c>
      <c r="R129" s="65" t="n">
        <v>59.16</v>
      </c>
      <c r="S129" s="65" t="n">
        <v>120.03</v>
      </c>
      <c r="T129" s="65" t="n">
        <v>40.43</v>
      </c>
      <c r="U129" s="65"/>
      <c r="V129" s="65" t="n">
        <v>347.68</v>
      </c>
      <c r="W129" s="65"/>
      <c r="X129" s="65"/>
      <c r="Y129" s="65"/>
      <c r="Z129" s="65"/>
      <c r="AA129" s="65"/>
    </row>
    <row r="130" customFormat="false" ht="15" hidden="false" customHeight="true" outlineLevel="0" collapsed="false">
      <c r="A130" s="68" t="n">
        <v>46073</v>
      </c>
      <c r="B130" s="65" t="n">
        <v>258.61</v>
      </c>
      <c r="C130" s="65" t="n">
        <v>132.79</v>
      </c>
      <c r="D130" s="65" t="n">
        <v>1464.49</v>
      </c>
      <c r="E130" s="65" t="n">
        <v>330.83</v>
      </c>
      <c r="F130" s="65" t="n">
        <v>114.45</v>
      </c>
      <c r="G130" s="65" t="n">
        <v>97.15</v>
      </c>
      <c r="H130" s="65" t="n">
        <v>153.13</v>
      </c>
      <c r="I130" s="65" t="n">
        <v>149.24</v>
      </c>
      <c r="J130" s="65" t="n">
        <v>427.92</v>
      </c>
      <c r="K130" s="65" t="n">
        <v>189.38</v>
      </c>
      <c r="L130" s="65" t="n">
        <v>138.27</v>
      </c>
      <c r="M130" s="65" t="n">
        <v>135.24</v>
      </c>
      <c r="N130" s="65" t="n">
        <v>30.85</v>
      </c>
      <c r="O130" s="65" t="n">
        <v>119.24</v>
      </c>
      <c r="P130" s="65" t="n">
        <v>367.65</v>
      </c>
      <c r="Q130" s="65" t="n">
        <v>319.69</v>
      </c>
      <c r="R130" s="65" t="n">
        <v>58.92</v>
      </c>
      <c r="S130" s="65" t="n">
        <v>120</v>
      </c>
      <c r="T130" s="65" t="n">
        <v>39.61</v>
      </c>
      <c r="U130" s="65"/>
      <c r="V130" s="65" t="n">
        <v>326.34</v>
      </c>
      <c r="W130" s="65"/>
      <c r="X130" s="65"/>
      <c r="Y130" s="65"/>
      <c r="Z130" s="65"/>
      <c r="AA130" s="65"/>
    </row>
    <row r="131" customFormat="false" ht="15" hidden="false" customHeight="true" outlineLevel="0" collapsed="false">
      <c r="A131" s="68" t="n">
        <v>46080</v>
      </c>
      <c r="B131" s="65" t="n">
        <v>262.41</v>
      </c>
      <c r="C131" s="65" t="n">
        <v>133.5</v>
      </c>
      <c r="D131" s="65" t="n">
        <v>1445.53</v>
      </c>
      <c r="E131" s="65" t="n">
        <v>317.8</v>
      </c>
      <c r="F131" s="65" t="n">
        <v>111.91</v>
      </c>
      <c r="G131" s="65" t="n">
        <v>93</v>
      </c>
      <c r="H131" s="65" t="n">
        <v>152.62</v>
      </c>
      <c r="I131" s="65" t="n">
        <v>152.09</v>
      </c>
      <c r="J131" s="65" t="n">
        <v>412.13</v>
      </c>
      <c r="K131" s="65" t="n">
        <v>176.78</v>
      </c>
      <c r="L131" s="65" t="n">
        <v>139.31</v>
      </c>
      <c r="M131" s="65" t="n">
        <v>137.19</v>
      </c>
      <c r="N131" s="65" t="n">
        <v>31.01</v>
      </c>
      <c r="O131" s="65" t="n">
        <v>118.76</v>
      </c>
      <c r="P131" s="65" t="n">
        <v>371.66</v>
      </c>
      <c r="Q131" s="65" t="n">
        <v>318.89</v>
      </c>
      <c r="R131" s="65" t="n">
        <v>59.22</v>
      </c>
      <c r="S131" s="65" t="n">
        <v>117.92</v>
      </c>
      <c r="T131" s="65" t="n">
        <v>39.86</v>
      </c>
      <c r="U131" s="65"/>
      <c r="V131" s="65" t="n">
        <v>324.23</v>
      </c>
      <c r="W131" s="65"/>
      <c r="X131" s="65"/>
      <c r="Y131" s="65"/>
      <c r="Z131" s="65"/>
      <c r="AA131" s="65"/>
    </row>
    <row r="132" customFormat="false" ht="15" hidden="false" customHeight="true" outlineLevel="0" collapsed="false">
      <c r="A132" s="68" t="n">
        <v>46087</v>
      </c>
      <c r="B132" s="65" t="n">
        <v>283.62</v>
      </c>
      <c r="C132" s="65" t="n">
        <v>132.89</v>
      </c>
      <c r="D132" s="65" t="n">
        <v>1288.32</v>
      </c>
      <c r="E132" s="65" t="n">
        <v>328.67</v>
      </c>
      <c r="F132" s="65" t="n">
        <v>107.62</v>
      </c>
      <c r="G132" s="65" t="n">
        <v>107.25</v>
      </c>
      <c r="H132" s="65" t="n">
        <v>148.85</v>
      </c>
      <c r="I132" s="65" t="n">
        <v>134.13</v>
      </c>
      <c r="J132" s="65" t="n">
        <v>370.09</v>
      </c>
      <c r="K132" s="65" t="n">
        <v>177.4</v>
      </c>
      <c r="L132" s="65" t="n">
        <v>131.46</v>
      </c>
      <c r="M132" s="65" t="n">
        <v>157.16</v>
      </c>
      <c r="N132" s="65" t="n">
        <v>30.38</v>
      </c>
      <c r="O132" s="65" t="n">
        <v>117.53</v>
      </c>
      <c r="P132" s="65" t="n">
        <v>336.25</v>
      </c>
      <c r="Q132" s="65" t="n">
        <v>316.12</v>
      </c>
      <c r="R132" s="65" t="n">
        <v>59.43</v>
      </c>
      <c r="S132" s="65" t="n">
        <v>119.87</v>
      </c>
      <c r="T132" s="65" t="n">
        <v>39.47</v>
      </c>
      <c r="U132" s="65"/>
      <c r="V132" s="65" t="n">
        <v>319.91</v>
      </c>
      <c r="W132" s="65"/>
      <c r="X132" s="65"/>
      <c r="Y132" s="65"/>
      <c r="Z132" s="65"/>
      <c r="AA132" s="65"/>
    </row>
    <row r="133" customFormat="false" ht="15" hidden="false" customHeight="true" outlineLevel="0" collapsed="false">
      <c r="A133" s="68" t="n">
        <v>46094</v>
      </c>
      <c r="B133" s="65" t="n">
        <v>249.32</v>
      </c>
      <c r="C133" s="65" t="n">
        <v>133.57</v>
      </c>
      <c r="D133" s="65" t="n">
        <v>1341.02</v>
      </c>
      <c r="E133" s="65" t="n">
        <v>320.39</v>
      </c>
      <c r="F133" s="65" t="n">
        <v>105.56</v>
      </c>
      <c r="G133" s="65" t="n">
        <v>110.44</v>
      </c>
      <c r="H133" s="65" t="n">
        <v>147.04</v>
      </c>
      <c r="I133" s="65" t="n">
        <v>141.52</v>
      </c>
      <c r="J133" s="65" t="n">
        <v>425.89</v>
      </c>
      <c r="K133" s="65" t="n">
        <v>179.84</v>
      </c>
      <c r="L133" s="65" t="n">
        <v>128.73</v>
      </c>
      <c r="M133" s="65" t="n">
        <v>150.95</v>
      </c>
      <c r="N133" s="65" t="n">
        <v>30.06</v>
      </c>
      <c r="O133" s="65" t="n">
        <v>115.49</v>
      </c>
      <c r="P133" s="65" t="n">
        <v>335.67</v>
      </c>
      <c r="Q133" s="65" t="n">
        <v>305.94</v>
      </c>
      <c r="R133" s="65" t="n">
        <v>58.05</v>
      </c>
      <c r="S133" s="65" t="n">
        <v>119.84</v>
      </c>
      <c r="T133" s="65" t="n">
        <v>40.43</v>
      </c>
      <c r="U133" s="65"/>
      <c r="V133" s="65" t="n">
        <v>329.6</v>
      </c>
      <c r="W133" s="65"/>
      <c r="X133" s="65"/>
      <c r="Y133" s="65"/>
      <c r="Z133" s="65"/>
      <c r="AA133" s="65"/>
    </row>
    <row r="134" customFormat="false" ht="15" hidden="false" customHeight="true" outlineLevel="0" collapsed="false">
      <c r="A134" s="68" t="n">
        <v>46101</v>
      </c>
      <c r="B134" s="65" t="n">
        <v>248.15</v>
      </c>
      <c r="C134" s="65" t="n">
        <v>131.22</v>
      </c>
      <c r="D134" s="65" t="n">
        <v>1312.68</v>
      </c>
      <c r="E134" s="65" t="n">
        <v>308.81</v>
      </c>
      <c r="F134" s="65" t="n">
        <v>105.35</v>
      </c>
      <c r="G134" s="65" t="n">
        <v>102.25</v>
      </c>
      <c r="H134" s="65" t="n">
        <v>143.6</v>
      </c>
      <c r="I134" s="65" t="n">
        <v>149.51</v>
      </c>
      <c r="J134" s="65" t="n">
        <v>422.66</v>
      </c>
      <c r="K134" s="65" t="n">
        <v>172.31</v>
      </c>
      <c r="L134" s="65" t="n">
        <v>126.09</v>
      </c>
      <c r="M134" s="65" t="n">
        <v>150.68</v>
      </c>
      <c r="N134" s="65" t="n">
        <v>29.66</v>
      </c>
      <c r="O134" s="65" t="n">
        <v>113.1</v>
      </c>
      <c r="P134" s="65" t="n">
        <v>327.59</v>
      </c>
      <c r="Q134" s="65" t="n">
        <v>300.44</v>
      </c>
      <c r="R134" s="65" t="n">
        <v>57.51</v>
      </c>
      <c r="S134" s="65" t="n">
        <v>118.25</v>
      </c>
      <c r="T134" s="65" t="n">
        <v>40.26</v>
      </c>
      <c r="U134" s="65"/>
      <c r="V134" s="65" t="n">
        <v>312.85</v>
      </c>
      <c r="W134" s="65"/>
      <c r="X134" s="65"/>
      <c r="Y134" s="65"/>
      <c r="Z134" s="65"/>
      <c r="AA134" s="65"/>
    </row>
    <row r="135" customFormat="false" ht="15" hidden="false" customHeight="true" outlineLevel="0" collapsed="false">
      <c r="A135" s="68" t="n">
        <v>46108</v>
      </c>
      <c r="B135" s="65" t="n">
        <v>234.84</v>
      </c>
      <c r="C135" s="65" t="n">
        <v>120.77</v>
      </c>
      <c r="D135" s="65" t="n">
        <v>1297.95</v>
      </c>
      <c r="E135" s="65" t="n">
        <v>299.66</v>
      </c>
      <c r="F135" s="65" t="n">
        <v>108.47</v>
      </c>
      <c r="G135" s="65" t="n">
        <v>92.39</v>
      </c>
      <c r="H135" s="65" t="n">
        <v>147.11</v>
      </c>
      <c r="I135" s="65" t="n">
        <v>143.97</v>
      </c>
      <c r="J135" s="65" t="n">
        <v>357.02</v>
      </c>
      <c r="K135" s="65" t="n">
        <v>167.14</v>
      </c>
      <c r="L135" s="65" t="n">
        <v>126.96</v>
      </c>
      <c r="M135" s="65" t="n">
        <v>143.06</v>
      </c>
      <c r="N135" s="65" t="n">
        <v>29.96</v>
      </c>
      <c r="O135" s="65" t="n">
        <v>109.96</v>
      </c>
      <c r="P135" s="65" t="n">
        <v>325.1</v>
      </c>
      <c r="Q135" s="65" t="n">
        <v>294.36</v>
      </c>
      <c r="R135" s="65" t="n">
        <v>58.15</v>
      </c>
      <c r="S135" s="65" t="n">
        <v>119.96</v>
      </c>
      <c r="T135" s="65" t="n">
        <v>40.34</v>
      </c>
      <c r="U135" s="65"/>
      <c r="V135" s="65" t="n">
        <v>319.69</v>
      </c>
      <c r="W135" s="65"/>
      <c r="X135" s="65"/>
      <c r="Y135" s="65"/>
      <c r="Z135" s="65"/>
      <c r="AA135" s="65"/>
    </row>
    <row r="136" customFormat="false" ht="15" hidden="false" customHeight="true" outlineLevel="0" collapsed="false">
      <c r="A136" s="68" t="n">
        <v>46115</v>
      </c>
      <c r="B136" s="65" t="n">
        <v>242.92</v>
      </c>
      <c r="C136" s="65" t="n">
        <v>126.68</v>
      </c>
      <c r="D136" s="65" t="n">
        <v>1312.66</v>
      </c>
      <c r="E136" s="65" t="n">
        <v>313.48</v>
      </c>
      <c r="F136" s="65" t="n">
        <v>110.65</v>
      </c>
      <c r="G136" s="65" t="n">
        <v>99.78</v>
      </c>
      <c r="H136" s="65" t="n">
        <v>149.24</v>
      </c>
      <c r="I136" s="65" t="n">
        <v>151.32</v>
      </c>
      <c r="J136" s="65" t="n">
        <v>366.18</v>
      </c>
      <c r="K136" s="65" t="n">
        <v>176.99</v>
      </c>
      <c r="L136" s="65" t="n">
        <v>131.76</v>
      </c>
      <c r="M136" s="65" t="n">
        <v>148.46</v>
      </c>
      <c r="N136" s="65" t="n">
        <v>30.08</v>
      </c>
      <c r="O136" s="65" t="n">
        <v>114.38</v>
      </c>
      <c r="P136" s="65" t="n">
        <v>337.34</v>
      </c>
      <c r="Q136" s="65" t="n">
        <v>299.62</v>
      </c>
      <c r="R136" s="65" t="n">
        <v>58.04</v>
      </c>
      <c r="S136" s="65" t="n">
        <v>119.47</v>
      </c>
      <c r="T136" s="65" t="n">
        <v>40.48</v>
      </c>
      <c r="U136" s="65"/>
      <c r="V136" s="65" t="n">
        <v>318.89</v>
      </c>
      <c r="W136" s="65"/>
      <c r="X136" s="65"/>
      <c r="Y136" s="65"/>
      <c r="Z136" s="65"/>
      <c r="AA136" s="65"/>
    </row>
    <row r="137" customFormat="false" ht="15" hidden="false" customHeight="true" outlineLevel="0" collapsed="false">
      <c r="A137" s="68" t="n">
        <v>46122</v>
      </c>
      <c r="B137" s="65" t="n">
        <v>225.35</v>
      </c>
      <c r="C137" s="65" t="n">
        <v>147.35</v>
      </c>
      <c r="D137" s="65" t="n">
        <v>1473.15</v>
      </c>
      <c r="E137" s="65" t="n">
        <v>370.29</v>
      </c>
      <c r="F137" s="65" t="n">
        <v>113.94</v>
      </c>
      <c r="G137" s="65" t="n">
        <v>94.75</v>
      </c>
      <c r="H137" s="65" t="n">
        <v>150.01</v>
      </c>
      <c r="I137" s="65" t="n">
        <v>173.31</v>
      </c>
      <c r="J137" s="65" t="n">
        <v>420.53</v>
      </c>
      <c r="K137" s="65" t="n">
        <v>188.2</v>
      </c>
      <c r="L137" s="65" t="n">
        <v>135.13</v>
      </c>
      <c r="M137" s="65" t="n">
        <v>128.06</v>
      </c>
      <c r="N137" s="65" t="n">
        <v>30.08</v>
      </c>
      <c r="O137" s="65" t="n">
        <v>122.95</v>
      </c>
      <c r="P137" s="65" t="n">
        <v>368.74</v>
      </c>
      <c r="Q137" s="65" t="n">
        <v>303.17</v>
      </c>
      <c r="R137" s="65" t="n">
        <v>56.85</v>
      </c>
      <c r="S137" s="65" t="n">
        <v>118.24</v>
      </c>
      <c r="T137" s="65" t="n">
        <v>40.11</v>
      </c>
      <c r="U137" s="65"/>
      <c r="V137" s="65" t="n">
        <v>316.12</v>
      </c>
      <c r="W137" s="65"/>
      <c r="X137" s="65"/>
      <c r="Y137" s="65"/>
      <c r="Z137" s="65"/>
      <c r="AA137" s="65"/>
    </row>
    <row r="138" customFormat="false" ht="15" hidden="false" customHeight="true" outlineLevel="0" collapsed="false">
      <c r="A138" s="68" t="n">
        <v>46129</v>
      </c>
      <c r="B138" s="65" t="n">
        <v>244.45</v>
      </c>
      <c r="C138" s="65" t="n">
        <v>164.23</v>
      </c>
      <c r="D138" s="65" t="n">
        <v>1454.74</v>
      </c>
      <c r="E138" s="65" t="n">
        <v>405.16</v>
      </c>
      <c r="F138" s="65" t="n">
        <v>116.71</v>
      </c>
      <c r="G138" s="65" t="n">
        <v>105.99</v>
      </c>
      <c r="H138" s="65" t="n">
        <v>150.7</v>
      </c>
      <c r="I138" s="65" t="n">
        <v>178.71</v>
      </c>
      <c r="J138" s="65" t="n">
        <v>455</v>
      </c>
      <c r="K138" s="65" t="n">
        <v>201.22</v>
      </c>
      <c r="L138" s="65" t="n">
        <v>142.92</v>
      </c>
      <c r="M138" s="65" t="n">
        <v>146.39</v>
      </c>
      <c r="N138" s="65" t="n">
        <v>30.56</v>
      </c>
      <c r="O138" s="65" t="n">
        <v>127.89</v>
      </c>
      <c r="P138" s="65" t="n">
        <v>368.65</v>
      </c>
      <c r="Q138" s="65" t="n">
        <v>315.78</v>
      </c>
      <c r="R138" s="65" t="n">
        <v>56.56</v>
      </c>
      <c r="S138" s="65" t="n">
        <v>116.18</v>
      </c>
      <c r="T138" s="65" t="n">
        <v>39.2</v>
      </c>
      <c r="U138" s="65"/>
      <c r="V138" s="65" t="n">
        <v>305.94</v>
      </c>
      <c r="W138" s="65"/>
      <c r="X138" s="65"/>
      <c r="Y138" s="65"/>
      <c r="Z138" s="65"/>
      <c r="AA138" s="65"/>
    </row>
    <row r="139" customFormat="false" ht="15" hidden="false" customHeight="true" outlineLevel="0" collapsed="false">
      <c r="A139" s="68" t="n">
        <v>46136</v>
      </c>
      <c r="B139" s="65" t="n">
        <v>245.44</v>
      </c>
      <c r="C139" s="65" t="n">
        <v>176.91</v>
      </c>
      <c r="D139" s="65" t="n">
        <v>1452.64</v>
      </c>
      <c r="E139" s="65" t="n">
        <v>421.32</v>
      </c>
      <c r="F139" s="65" t="n">
        <v>118.14</v>
      </c>
      <c r="G139" s="65" t="n">
        <v>112.03</v>
      </c>
      <c r="H139" s="65" t="n">
        <v>149.48</v>
      </c>
      <c r="I139" s="65" t="n">
        <v>193.04</v>
      </c>
      <c r="J139" s="65" t="n">
        <v>496.64</v>
      </c>
      <c r="K139" s="65" t="n">
        <v>207.8</v>
      </c>
      <c r="L139" s="65" t="n">
        <v>139.96</v>
      </c>
      <c r="M139" s="65" t="n">
        <v>143.09</v>
      </c>
      <c r="N139" s="65" t="n">
        <v>30.71</v>
      </c>
      <c r="O139" s="65" t="n">
        <v>131.1</v>
      </c>
      <c r="P139" s="65" t="n">
        <v>400.45</v>
      </c>
      <c r="Q139" s="65" t="n">
        <v>308.21</v>
      </c>
      <c r="R139" s="65" t="n">
        <v>55.76</v>
      </c>
      <c r="S139" s="65" t="n">
        <v>113.78</v>
      </c>
      <c r="T139" s="65" t="n">
        <v>39.24</v>
      </c>
      <c r="U139" s="65"/>
      <c r="V139" s="65" t="n">
        <v>300.44</v>
      </c>
      <c r="W139" s="65"/>
      <c r="X139" s="65"/>
      <c r="Y139" s="65"/>
      <c r="Z139" s="65"/>
      <c r="AA139" s="65"/>
    </row>
    <row r="140" customFormat="false" ht="15" hidden="false" customHeight="true" outlineLevel="0" collapsed="false">
      <c r="A140" s="68" t="n">
        <v>46143</v>
      </c>
      <c r="B140" s="65" t="n">
        <v>250.71</v>
      </c>
      <c r="C140" s="65" t="n">
        <v>172.7</v>
      </c>
      <c r="D140" s="65" t="n">
        <v>1425.18</v>
      </c>
      <c r="E140" s="65" t="n">
        <v>419.85</v>
      </c>
      <c r="F140" s="65" t="n">
        <v>119.13</v>
      </c>
      <c r="G140" s="65" t="n">
        <v>113.91</v>
      </c>
      <c r="H140" s="65" t="n">
        <v>152.16</v>
      </c>
      <c r="I140" s="65" t="n">
        <v>172.21</v>
      </c>
      <c r="J140" s="65" t="n">
        <v>542.13</v>
      </c>
      <c r="K140" s="65" t="n">
        <v>198</v>
      </c>
      <c r="L140" s="65" t="n">
        <v>139.29</v>
      </c>
      <c r="M140" s="65" t="n">
        <v>144.07</v>
      </c>
      <c r="N140" s="65" t="n">
        <v>31.36</v>
      </c>
      <c r="O140" s="65" t="n">
        <v>134</v>
      </c>
      <c r="P140" s="65" t="n">
        <v>395.68</v>
      </c>
      <c r="Q140" s="65" t="n">
        <v>326.74</v>
      </c>
      <c r="R140" s="65" t="n">
        <v>54.13</v>
      </c>
      <c r="S140" s="65" t="n">
        <v>110.31</v>
      </c>
      <c r="T140" s="65" t="n">
        <v>38.75</v>
      </c>
      <c r="U140" s="65"/>
      <c r="V140" s="65" t="n">
        <v>294.36</v>
      </c>
      <c r="W140" s="65"/>
      <c r="X140" s="65"/>
      <c r="Y140" s="65"/>
      <c r="Z140" s="65"/>
      <c r="AA140" s="65"/>
    </row>
    <row r="141" customFormat="false" ht="15" hidden="false" customHeight="true" outlineLevel="0" collapsed="false">
      <c r="A141" s="68" t="n">
        <v>46150</v>
      </c>
      <c r="B141" s="65" t="n">
        <v>253.04</v>
      </c>
      <c r="C141" s="65" t="n">
        <v>141.77</v>
      </c>
      <c r="D141" s="65" t="n">
        <v>1589.96</v>
      </c>
      <c r="E141" s="65" t="n">
        <v>428.54</v>
      </c>
      <c r="F141" s="65" t="n">
        <v>119.01</v>
      </c>
      <c r="G141" s="65" t="n">
        <v>131.94</v>
      </c>
      <c r="H141" s="65" t="n">
        <v>149.85</v>
      </c>
      <c r="I141" s="65" t="n">
        <v>186.47</v>
      </c>
      <c r="J141" s="65" t="n">
        <v>746.7</v>
      </c>
      <c r="K141" s="65" t="n">
        <v>214.71</v>
      </c>
      <c r="L141" s="65" t="n">
        <v>141.92</v>
      </c>
      <c r="M141" s="65" t="n">
        <v>137.8</v>
      </c>
      <c r="N141" s="65" t="n">
        <v>31.12</v>
      </c>
      <c r="O141" s="65" t="n">
        <v>143.36</v>
      </c>
      <c r="P141" s="65" t="n">
        <v>409.62</v>
      </c>
      <c r="Q141" s="65" t="n">
        <v>317.54</v>
      </c>
      <c r="R141" s="65" t="n">
        <v>55.59</v>
      </c>
      <c r="S141" s="65" t="n">
        <v>114.74</v>
      </c>
      <c r="T141" s="65" t="n">
        <v>39.84</v>
      </c>
      <c r="U141" s="65"/>
      <c r="V141" s="65"/>
      <c r="W141" s="65"/>
      <c r="X141" s="65"/>
      <c r="Y141" s="65"/>
      <c r="Z141" s="65"/>
      <c r="AA141" s="65"/>
    </row>
    <row r="142" customFormat="false" ht="15" hidden="false" customHeight="true" outlineLevel="0" collapsed="false">
      <c r="A142" s="68" t="n">
        <v>46157</v>
      </c>
      <c r="B142" s="65" t="n">
        <v>247.6</v>
      </c>
      <c r="C142" s="65" t="n">
        <v>141.97</v>
      </c>
      <c r="D142" s="65" t="n">
        <v>1499.87</v>
      </c>
      <c r="E142" s="65" t="n">
        <v>423.75</v>
      </c>
      <c r="F142" s="65" t="n">
        <v>116.44</v>
      </c>
      <c r="G142" s="65" t="n">
        <v>148.52</v>
      </c>
      <c r="H142" s="65" t="n">
        <v>148.55</v>
      </c>
      <c r="I142" s="65" t="n">
        <v>180</v>
      </c>
      <c r="J142" s="65" t="n">
        <v>724.55</v>
      </c>
      <c r="K142" s="65" t="n">
        <v>224.81</v>
      </c>
      <c r="L142" s="65" t="n">
        <v>138.42</v>
      </c>
      <c r="M142" s="65" t="n">
        <v>133.99</v>
      </c>
      <c r="N142" s="65" t="n">
        <v>31.22</v>
      </c>
      <c r="O142" s="65" t="n">
        <v>143.03</v>
      </c>
      <c r="P142" s="65" t="n">
        <v>402.33</v>
      </c>
      <c r="Q142" s="65" t="n">
        <v>325.15</v>
      </c>
      <c r="R142" s="65" t="n">
        <v>57.62</v>
      </c>
      <c r="S142" s="65" t="n">
        <v>123.34</v>
      </c>
      <c r="T142" s="65" t="n">
        <v>39.64</v>
      </c>
      <c r="U142" s="65"/>
      <c r="V142" s="65" t="n">
        <v>303.17</v>
      </c>
      <c r="W142" s="65"/>
      <c r="X142" s="65"/>
      <c r="Y142" s="65"/>
      <c r="Z142" s="65"/>
      <c r="AA142" s="65"/>
    </row>
    <row r="143" customFormat="false" ht="15" hidden="false" customHeight="true" outlineLevel="0" collapsed="false">
      <c r="A143" s="68" t="n">
        <v>46164</v>
      </c>
      <c r="B143" s="65" t="n">
        <v>244.76</v>
      </c>
      <c r="C143" s="65" t="n">
        <v>154.03</v>
      </c>
      <c r="D143" s="65" t="n">
        <v>1630.79</v>
      </c>
      <c r="E143" s="65" t="n">
        <v>412.73</v>
      </c>
      <c r="F143" s="65" t="n">
        <v>119.2</v>
      </c>
      <c r="G143" s="65" t="n">
        <v>165.87</v>
      </c>
      <c r="H143" s="65" t="n">
        <v>153.27</v>
      </c>
      <c r="I143" s="65" t="n">
        <v>188.62</v>
      </c>
      <c r="J143" s="65" t="n">
        <v>750.88</v>
      </c>
      <c r="K143" s="65" t="n">
        <v>214.84</v>
      </c>
      <c r="L143" s="65" t="n">
        <v>143.71</v>
      </c>
      <c r="M143" s="65" t="n">
        <v>136.88</v>
      </c>
      <c r="N143" s="65" t="n">
        <v>32.31</v>
      </c>
      <c r="O143" s="65" t="n">
        <v>144.48</v>
      </c>
      <c r="P143" s="65" t="n">
        <v>402.5</v>
      </c>
      <c r="Q143" s="65" t="n">
        <v>328.27</v>
      </c>
      <c r="R143" s="65" t="n">
        <v>58.66</v>
      </c>
      <c r="S143" s="65" t="n">
        <v>128.3</v>
      </c>
      <c r="T143" s="65" t="n">
        <v>41.76</v>
      </c>
      <c r="U143" s="65"/>
      <c r="V143" s="65" t="n">
        <v>315.78</v>
      </c>
      <c r="W143" s="65"/>
      <c r="X143" s="65"/>
      <c r="Y143" s="65"/>
      <c r="Z143" s="65"/>
      <c r="AA143" s="65"/>
    </row>
    <row r="144" customFormat="false" ht="15" hidden="false" customHeight="true" outlineLevel="0" collapsed="false">
      <c r="A144" s="68" t="n">
        <v>46171</v>
      </c>
      <c r="B144" s="65" t="n">
        <v>259.21</v>
      </c>
      <c r="C144" s="65" t="n">
        <v>159.47</v>
      </c>
      <c r="D144" s="65" t="n">
        <v>1610.68</v>
      </c>
      <c r="E144" s="65" t="n">
        <v>445.25</v>
      </c>
      <c r="F144" s="65" t="n">
        <v>119.22</v>
      </c>
      <c r="G144" s="65" t="n">
        <v>182.75</v>
      </c>
      <c r="H144" s="65" t="n">
        <v>152.49</v>
      </c>
      <c r="I144" s="65" t="n">
        <v>191.95</v>
      </c>
      <c r="J144" s="65" t="n">
        <v>970.85</v>
      </c>
      <c r="K144" s="65" t="n">
        <v>210.66</v>
      </c>
      <c r="L144" s="65" t="n">
        <v>141.31</v>
      </c>
      <c r="M144" s="65" t="n">
        <v>156.54</v>
      </c>
      <c r="N144" s="65" t="n">
        <v>31.99</v>
      </c>
      <c r="O144" s="65" t="n">
        <v>150.11</v>
      </c>
      <c r="P144" s="65" t="n">
        <v>416.36</v>
      </c>
      <c r="Q144" s="65" t="n">
        <v>325.75</v>
      </c>
      <c r="R144" s="65" t="n">
        <v>58.99</v>
      </c>
      <c r="S144" s="65" t="n">
        <v>131.52</v>
      </c>
      <c r="T144" s="65" t="n">
        <v>41.52</v>
      </c>
      <c r="U144" s="65"/>
      <c r="V144" s="65" t="n">
        <v>308.21</v>
      </c>
      <c r="W144" s="65"/>
      <c r="X144" s="65"/>
      <c r="Y144" s="65"/>
      <c r="Z144" s="65"/>
      <c r="AA144" s="65"/>
    </row>
    <row r="145" customFormat="false" ht="15" hidden="false" customHeight="true" outlineLevel="0" collapsed="false">
      <c r="A145" s="68" t="n">
        <v>46178</v>
      </c>
      <c r="B145" s="65" t="n">
        <v>251.44</v>
      </c>
      <c r="C145" s="65" t="n">
        <v>154.27</v>
      </c>
      <c r="D145" s="65" t="n">
        <v>1639.62</v>
      </c>
      <c r="E145" s="65" t="n">
        <v>384.42</v>
      </c>
      <c r="F145" s="65" t="n">
        <v>118.87</v>
      </c>
      <c r="G145" s="65" t="n">
        <v>167.76</v>
      </c>
      <c r="H145" s="65" t="n">
        <v>152.92</v>
      </c>
      <c r="I145" s="65" t="n">
        <v>192.7</v>
      </c>
      <c r="J145" s="65" t="n">
        <v>863.88</v>
      </c>
      <c r="K145" s="65" t="n">
        <v>204.87</v>
      </c>
      <c r="L145" s="65" t="n">
        <v>142.37</v>
      </c>
      <c r="M145" s="65" t="n">
        <v>135.53</v>
      </c>
      <c r="N145" s="65" t="n">
        <v>31.79</v>
      </c>
      <c r="O145" s="65" t="n">
        <v>143.82</v>
      </c>
      <c r="P145" s="65" t="n">
        <v>413.09</v>
      </c>
      <c r="Q145" s="65" t="n">
        <v>322.97</v>
      </c>
      <c r="R145" s="65" t="n">
        <v>58.86</v>
      </c>
      <c r="S145" s="65" t="n">
        <v>134.42</v>
      </c>
      <c r="T145" s="65" t="n">
        <v>42.59</v>
      </c>
      <c r="U145" s="65"/>
      <c r="V145" s="65" t="n">
        <v>326.74</v>
      </c>
      <c r="W145" s="65"/>
      <c r="X145" s="65"/>
      <c r="Y145" s="65"/>
      <c r="Z145" s="65"/>
      <c r="AA145" s="65"/>
    </row>
    <row r="146" customFormat="false" ht="15" hidden="false" customHeight="true" outlineLevel="0" collapsed="false">
      <c r="A146" s="68" t="n">
        <v>46185</v>
      </c>
      <c r="B146" s="65" t="n">
        <v>204.02</v>
      </c>
      <c r="C146" s="65" t="n">
        <v>163.24</v>
      </c>
      <c r="D146" s="65" t="n">
        <v>1861.14</v>
      </c>
      <c r="E146" s="65" t="n">
        <v>380.77</v>
      </c>
      <c r="F146" s="65" t="n">
        <v>123.97</v>
      </c>
      <c r="G146" s="65" t="n">
        <v>170.7</v>
      </c>
      <c r="H146" s="65" t="n">
        <v>156.3</v>
      </c>
      <c r="I146" s="65" t="n">
        <v>254.25</v>
      </c>
      <c r="J146" s="65" t="n">
        <v>981.46</v>
      </c>
      <c r="K146" s="65" t="n">
        <v>204.96</v>
      </c>
      <c r="L146" s="65" t="n">
        <v>146.51</v>
      </c>
      <c r="M146" s="65" t="n">
        <v>127.99</v>
      </c>
      <c r="N146" s="65" t="n">
        <v>32.3</v>
      </c>
      <c r="O146" s="65" t="n">
        <v>152</v>
      </c>
      <c r="P146" s="65" t="n">
        <v>422.8</v>
      </c>
      <c r="Q146" s="65" t="n">
        <v>321.79</v>
      </c>
      <c r="R146" s="65" t="n">
        <v>59.61</v>
      </c>
      <c r="S146" s="65" t="n">
        <v>143.81</v>
      </c>
      <c r="T146" s="65" t="n">
        <v>43.62</v>
      </c>
      <c r="U146" s="65"/>
      <c r="V146" s="65" t="n">
        <v>317.54</v>
      </c>
      <c r="W146" s="65"/>
      <c r="X146" s="65"/>
      <c r="Y146" s="65"/>
      <c r="Z146" s="65"/>
      <c r="AA146" s="65"/>
    </row>
    <row r="147" customFormat="false" ht="15" hidden="false" customHeight="true" outlineLevel="0" collapsed="false">
      <c r="A147" s="68" t="n">
        <v>46192</v>
      </c>
      <c r="B147" s="65" t="n">
        <v>195.16</v>
      </c>
      <c r="C147" s="65" t="n">
        <v>169.67</v>
      </c>
      <c r="D147" s="65" t="n">
        <v>1927.19</v>
      </c>
      <c r="E147" s="65" t="n">
        <v>409.95</v>
      </c>
      <c r="F147" s="65" t="n">
        <v>121.6</v>
      </c>
      <c r="G147" s="65" t="n">
        <v>171.21</v>
      </c>
      <c r="H147" s="65" t="n">
        <v>152.05</v>
      </c>
      <c r="I147" s="65" t="n">
        <v>259.27</v>
      </c>
      <c r="J147" s="65" t="n">
        <v>1133.82</v>
      </c>
      <c r="K147" s="65" t="n">
        <v>210.45</v>
      </c>
      <c r="L147" s="65" t="n">
        <v>139.43</v>
      </c>
      <c r="M147" s="65" t="n">
        <v>128.47</v>
      </c>
      <c r="N147" s="65" t="n">
        <v>31.36</v>
      </c>
      <c r="O147" s="65" t="n">
        <v>159.39</v>
      </c>
      <c r="P147" s="65" t="n">
        <v>460.88</v>
      </c>
      <c r="Q147" s="65" t="n">
        <v>326.63</v>
      </c>
      <c r="R147" s="65" t="n">
        <v>59.77</v>
      </c>
      <c r="S147" s="65" t="n">
        <v>143.48</v>
      </c>
      <c r="T147" s="65" t="n">
        <v>42.5</v>
      </c>
      <c r="U147" s="65"/>
      <c r="V147" s="65" t="n">
        <v>325.15</v>
      </c>
      <c r="W147" s="65"/>
      <c r="X147" s="65"/>
      <c r="Y147" s="65"/>
      <c r="Z147" s="65"/>
      <c r="AA147" s="65"/>
    </row>
    <row r="148" customFormat="false" ht="15" hidden="false" customHeight="true" outlineLevel="0" collapsed="false">
      <c r="A148" s="68" t="n">
        <v>46199</v>
      </c>
      <c r="B148" s="65" t="n">
        <v>202.73</v>
      </c>
      <c r="C148" s="65" t="n">
        <v>157.6</v>
      </c>
      <c r="D148" s="65" t="n">
        <v>1792.3</v>
      </c>
      <c r="E148" s="65" t="n">
        <v>364.36</v>
      </c>
      <c r="F148" s="65" t="n">
        <v>124.53</v>
      </c>
      <c r="G148" s="65" t="n">
        <v>175.27</v>
      </c>
      <c r="H148" s="65" t="n">
        <v>156.87</v>
      </c>
      <c r="I148" s="65" t="n">
        <v>248.36</v>
      </c>
      <c r="J148" s="65" t="n">
        <v>1132.16</v>
      </c>
      <c r="K148" s="65" t="n">
        <v>192.31</v>
      </c>
      <c r="L148" s="65" t="n">
        <v>138.87</v>
      </c>
      <c r="M148" s="65" t="n">
        <v>112.93</v>
      </c>
      <c r="N148" s="65" t="n">
        <v>31.84</v>
      </c>
      <c r="O148" s="65" t="n">
        <v>153.95</v>
      </c>
      <c r="P148" s="65" t="n">
        <v>431.19</v>
      </c>
      <c r="Q148" s="65" t="n">
        <v>335.61</v>
      </c>
      <c r="R148" s="65" t="n">
        <v>60.21</v>
      </c>
      <c r="S148" s="65" t="n">
        <v>144.94</v>
      </c>
      <c r="T148" s="65" t="n">
        <v>44.18</v>
      </c>
      <c r="U148" s="65"/>
      <c r="V148" s="65" t="n">
        <v>328.27</v>
      </c>
      <c r="W148" s="65"/>
      <c r="X148" s="65"/>
      <c r="Y148" s="65"/>
      <c r="Z148" s="65"/>
      <c r="AA148" s="65"/>
    </row>
    <row r="149" customFormat="false" ht="15" hidden="false" customHeight="true" outlineLevel="0" collapsed="false">
      <c r="A149" s="68" t="n">
        <v>46206</v>
      </c>
      <c r="B149" s="65" t="n">
        <v>219.72</v>
      </c>
      <c r="C149" s="65" t="n">
        <v>159.99</v>
      </c>
      <c r="D149" s="65" t="n">
        <v>1767.03</v>
      </c>
      <c r="E149" s="65" t="n">
        <v>359.79</v>
      </c>
      <c r="F149" s="65" t="n">
        <v>123.11</v>
      </c>
      <c r="G149" s="65" t="n">
        <v>193.98</v>
      </c>
      <c r="H149" s="65" t="n">
        <v>157.78</v>
      </c>
      <c r="I149" s="65" t="n">
        <v>235.28</v>
      </c>
      <c r="J149" s="65" t="n">
        <v>975.41</v>
      </c>
      <c r="K149" s="65" t="n">
        <v>194.61</v>
      </c>
      <c r="L149" s="65" t="n">
        <v>138.33</v>
      </c>
      <c r="M149" s="65" t="n">
        <v>129.3</v>
      </c>
      <c r="N149" s="65" t="n">
        <v>32.13</v>
      </c>
      <c r="O149" s="65" t="n">
        <v>150.58</v>
      </c>
      <c r="P149" s="65" t="n">
        <v>433</v>
      </c>
      <c r="Q149" s="65" t="n">
        <v>361.46</v>
      </c>
      <c r="R149" s="65" t="n">
        <v>61.15</v>
      </c>
      <c r="S149" s="65" t="n">
        <v>150.59</v>
      </c>
      <c r="T149" s="65" t="n">
        <v>46.57</v>
      </c>
      <c r="U149" s="65"/>
      <c r="V149" s="65" t="n">
        <v>325.75</v>
      </c>
      <c r="W149" s="65"/>
      <c r="X149" s="65"/>
      <c r="Y149" s="65"/>
      <c r="Z149" s="65"/>
      <c r="AA149" s="65"/>
    </row>
    <row r="150" customFormat="false" ht="15" hidden="false" customHeight="true" outlineLevel="0" collapsed="false">
      <c r="A150" s="68" t="n">
        <v>46213</v>
      </c>
      <c r="B150" s="65" t="n">
        <v>223.64</v>
      </c>
      <c r="C150" s="65" t="n">
        <v>186.96</v>
      </c>
      <c r="D150" s="65" t="n">
        <v>1795</v>
      </c>
      <c r="E150" s="65" t="n">
        <v>399.24</v>
      </c>
      <c r="F150" s="65" t="n">
        <v>123.55</v>
      </c>
      <c r="G150" s="65" t="n">
        <v>187.18</v>
      </c>
      <c r="H150" s="65" t="n">
        <v>158.15</v>
      </c>
      <c r="I150" s="65" t="n">
        <v>231.26</v>
      </c>
      <c r="J150" s="65" t="n">
        <v>979.3</v>
      </c>
      <c r="K150" s="65" t="n">
        <v>210.72</v>
      </c>
      <c r="L150" s="65" t="n">
        <v>139.76</v>
      </c>
      <c r="M150" s="65" t="n">
        <v>126.79</v>
      </c>
      <c r="N150" s="65" t="n">
        <v>32.14</v>
      </c>
      <c r="O150" s="65" t="n">
        <v>153.5</v>
      </c>
      <c r="P150" s="65" t="n">
        <v>432.95</v>
      </c>
      <c r="Q150" s="65" t="n">
        <v>348.32</v>
      </c>
      <c r="R150" s="65" t="n">
        <v>58.9</v>
      </c>
      <c r="S150" s="65" t="n">
        <v>144.28</v>
      </c>
      <c r="T150" s="65" t="n">
        <v>46.05</v>
      </c>
      <c r="U150" s="65"/>
      <c r="V150" s="65" t="n">
        <v>322.97</v>
      </c>
      <c r="W150" s="65"/>
      <c r="X150" s="65"/>
      <c r="Y150" s="65"/>
      <c r="Z150" s="65"/>
      <c r="AA150" s="65"/>
    </row>
    <row r="151" customFormat="false" ht="15" hidden="false" customHeight="true" outlineLevel="0" collapsed="false">
      <c r="A151" s="68" t="n">
        <v>46220</v>
      </c>
      <c r="B151" s="65" t="n">
        <v>237.25</v>
      </c>
      <c r="C151" s="65" t="n">
        <v>168.61</v>
      </c>
      <c r="D151" s="65" t="n">
        <v>1745.32</v>
      </c>
      <c r="E151" s="65" t="n">
        <v>370.16</v>
      </c>
      <c r="F151" s="65" t="n">
        <v>124.94</v>
      </c>
      <c r="G151" s="65" t="n">
        <v>203.08</v>
      </c>
      <c r="H151" s="65" t="n">
        <v>160.51</v>
      </c>
      <c r="I151" s="65" t="n">
        <v>212.51</v>
      </c>
      <c r="J151" s="65" t="n">
        <v>848.95</v>
      </c>
      <c r="K151" s="65" t="n">
        <v>202.58</v>
      </c>
      <c r="L151" s="65" t="n">
        <v>148.61</v>
      </c>
      <c r="M151" s="65" t="n">
        <v>132.38</v>
      </c>
      <c r="N151" s="65" t="n">
        <v>32.65</v>
      </c>
      <c r="O151" s="65" t="n">
        <v>143.66</v>
      </c>
      <c r="P151" s="65" t="n">
        <v>397.3</v>
      </c>
      <c r="Q151" s="65" t="n">
        <v>357.9</v>
      </c>
      <c r="R151" s="65" t="n">
        <v>59.86</v>
      </c>
      <c r="S151" s="65" t="n">
        <v>152.48</v>
      </c>
      <c r="T151" s="65" t="n">
        <v>46.29</v>
      </c>
      <c r="U151" s="65"/>
      <c r="V151" s="65" t="n">
        <v>321.79</v>
      </c>
      <c r="W151" s="65"/>
      <c r="X151" s="65"/>
      <c r="Y151" s="65"/>
      <c r="Z151" s="65"/>
      <c r="AA151" s="65"/>
    </row>
    <row r="152" customFormat="false" ht="15" hidden="false" customHeight="true" outlineLevel="0" collapsed="false">
      <c r="A152" s="68" t="n">
        <v>46227</v>
      </c>
      <c r="B152" s="65" t="n">
        <v>225.11</v>
      </c>
      <c r="C152" s="65" t="n">
        <v>173.99</v>
      </c>
      <c r="D152" s="65" t="n">
        <v>1754.82</v>
      </c>
      <c r="E152" s="65" t="n">
        <v>381.23</v>
      </c>
      <c r="F152" s="65" t="n">
        <v>124.87</v>
      </c>
      <c r="G152" s="65" t="n">
        <v>183.28</v>
      </c>
      <c r="H152" s="65" t="n">
        <v>161.66</v>
      </c>
      <c r="I152" s="65" t="n">
        <v>210.28</v>
      </c>
      <c r="J152" s="65" t="n">
        <v>920.95</v>
      </c>
      <c r="K152" s="65" t="n">
        <v>206.61</v>
      </c>
      <c r="L152" s="65" t="n">
        <v>146.47</v>
      </c>
      <c r="M152" s="65" t="n">
        <v>122.92</v>
      </c>
      <c r="N152" s="65" t="n">
        <v>33.03</v>
      </c>
      <c r="O152" s="65" t="n">
        <v>146.27</v>
      </c>
      <c r="P152" s="65" t="n">
        <v>402.33</v>
      </c>
      <c r="Q152" s="65" t="n">
        <v>355.08</v>
      </c>
      <c r="R152" s="65" t="n">
        <v>61.34</v>
      </c>
      <c r="S152" s="65" t="n">
        <v>159.9</v>
      </c>
      <c r="T152" s="65" t="n">
        <v>45.25</v>
      </c>
      <c r="U152" s="65"/>
      <c r="V152" s="65"/>
      <c r="W152" s="65"/>
      <c r="X152" s="65"/>
      <c r="Y152" s="65"/>
      <c r="Z152" s="65"/>
      <c r="AA152" s="65"/>
    </row>
    <row r="153" customFormat="false" ht="15" hidden="false" customHeight="true" outlineLevel="0" collapsed="false">
      <c r="A153" s="68" t="n">
        <v>46234</v>
      </c>
      <c r="B153" s="65" t="n">
        <v>250.41</v>
      </c>
      <c r="C153" s="65" t="n">
        <v>180.35</v>
      </c>
      <c r="D153" s="65" t="n">
        <v>1629</v>
      </c>
      <c r="E153" s="65" t="n">
        <v>388.57</v>
      </c>
      <c r="F153" s="65" t="n">
        <v>124.87</v>
      </c>
      <c r="G153" s="65" t="n">
        <v>190.86</v>
      </c>
      <c r="H153" s="65" t="n">
        <v>159.89</v>
      </c>
      <c r="I153" s="65" t="n">
        <v>182.61</v>
      </c>
      <c r="J153" s="65" t="n">
        <v>823.03</v>
      </c>
      <c r="K153" s="65" t="n">
        <v>200.53</v>
      </c>
      <c r="L153" s="65" t="n">
        <v>143.47</v>
      </c>
      <c r="M153" s="65" t="n">
        <v>123.06</v>
      </c>
      <c r="N153" s="65" t="n">
        <v>33.21</v>
      </c>
      <c r="O153" s="65" t="n">
        <v>143.6</v>
      </c>
      <c r="P153" s="65" t="n">
        <v>403.17</v>
      </c>
      <c r="Q153" s="88" t="n">
        <v>365.45</v>
      </c>
      <c r="R153" s="65" t="n">
        <v>59.42</v>
      </c>
      <c r="S153" s="65" t="n">
        <v>154.2</v>
      </c>
      <c r="T153" s="65" t="n">
        <v>46.19</v>
      </c>
      <c r="U153" s="65"/>
      <c r="V153" s="65" t="n">
        <v>335.61</v>
      </c>
      <c r="W153" s="65"/>
      <c r="X153" s="65"/>
      <c r="Y153" s="65"/>
      <c r="Z153" s="65"/>
      <c r="AA153" s="65"/>
    </row>
    <row r="154" customFormat="false" ht="15" hidden="false" customHeight="true" outlineLevel="0" collapsed="false">
      <c r="A154" s="68" t="n">
        <v>46241</v>
      </c>
      <c r="B154" s="65" t="n">
        <v>265.21</v>
      </c>
      <c r="C154" s="65" t="n">
        <v>188.67</v>
      </c>
      <c r="D154" s="65" t="n">
        <v>1740.99</v>
      </c>
      <c r="E154" s="65" t="n">
        <v>426.98</v>
      </c>
      <c r="F154" s="65" t="n">
        <v>126.47</v>
      </c>
      <c r="G154" s="65" t="n">
        <v>214.42</v>
      </c>
      <c r="H154" s="65" t="n">
        <v>160.58</v>
      </c>
      <c r="I154" s="65" t="n">
        <v>197.89</v>
      </c>
      <c r="J154" s="65" t="n">
        <v>877.57</v>
      </c>
      <c r="K154" s="65" t="n">
        <v>223.71</v>
      </c>
      <c r="L154" s="65" t="n">
        <v>139.06</v>
      </c>
      <c r="M154" s="65" t="n">
        <v>172.01</v>
      </c>
      <c r="N154" s="65" t="n">
        <v>33.63</v>
      </c>
      <c r="O154" s="65" t="n">
        <v>149.45</v>
      </c>
      <c r="P154" s="65" t="n">
        <v>418.92</v>
      </c>
      <c r="Q154" s="65" t="n">
        <v>361.83</v>
      </c>
      <c r="R154" s="65" t="n">
        <v>59.39</v>
      </c>
      <c r="S154" s="65" t="n">
        <v>150.83</v>
      </c>
      <c r="T154" s="65" t="n">
        <v>47</v>
      </c>
      <c r="U154" s="65"/>
      <c r="V154" s="65"/>
      <c r="W154" s="65"/>
      <c r="X154" s="65"/>
      <c r="Y154" s="65"/>
      <c r="Z154" s="65"/>
      <c r="AA154" s="65"/>
    </row>
    <row r="155" customFormat="false" ht="15" hidden="false" customHeight="true" outlineLevel="0" collapsed="false">
      <c r="A155" s="68" t="n">
        <v>46248</v>
      </c>
      <c r="B155" s="65" t="n">
        <v>264.02</v>
      </c>
      <c r="C155" s="65" t="n">
        <v>198.82</v>
      </c>
      <c r="D155" s="65" t="n">
        <v>1844.08</v>
      </c>
      <c r="E155" s="65" t="n">
        <v>392.28</v>
      </c>
      <c r="F155" s="65" t="n">
        <v>128.31</v>
      </c>
      <c r="G155" s="65" t="n">
        <v>216.95</v>
      </c>
      <c r="H155" s="65" t="n">
        <v>164.15</v>
      </c>
      <c r="I155" s="65" t="n">
        <v>203.49</v>
      </c>
      <c r="J155" s="65" t="n">
        <v>971.66</v>
      </c>
      <c r="K155" s="65" t="n">
        <v>224.91</v>
      </c>
      <c r="L155" s="65" t="n">
        <v>139.92</v>
      </c>
      <c r="M155" s="65" t="n">
        <v>174.04</v>
      </c>
      <c r="N155" s="65" t="n">
        <v>34.25</v>
      </c>
      <c r="O155" s="65" t="n">
        <v>153.06</v>
      </c>
      <c r="P155" s="65" t="n">
        <v>425.21</v>
      </c>
      <c r="Q155" s="88" t="n">
        <v>364.15</v>
      </c>
      <c r="R155" s="65" t="n">
        <v>60.51</v>
      </c>
      <c r="S155" s="65" t="n">
        <v>153.75</v>
      </c>
      <c r="T155" s="65" t="n">
        <v>47.39</v>
      </c>
      <c r="U155" s="65"/>
      <c r="V155" s="65" t="n">
        <v>348.32</v>
      </c>
      <c r="W155" s="65"/>
      <c r="X155" s="65"/>
      <c r="Y155" s="65"/>
      <c r="Z155" s="65"/>
      <c r="AA155" s="65"/>
    </row>
    <row r="156" customFormat="false" ht="15" hidden="false" customHeight="true" outlineLevel="0" collapsed="false">
      <c r="A156" s="68" t="n">
        <v>46255</v>
      </c>
      <c r="B156" s="65" t="n">
        <v>275.3</v>
      </c>
      <c r="C156" s="65" t="n">
        <v>188.65</v>
      </c>
      <c r="D156" s="65" t="n">
        <v>1763.76</v>
      </c>
      <c r="E156" s="65" t="n">
        <v>367.78</v>
      </c>
      <c r="F156" s="65" t="n">
        <v>126.04</v>
      </c>
      <c r="G156" s="65" t="n">
        <v>191.95</v>
      </c>
      <c r="H156" s="65" t="n">
        <v>162.75</v>
      </c>
      <c r="I156" s="65" t="n">
        <v>183.99</v>
      </c>
      <c r="J156" s="65" t="n">
        <v>966.78</v>
      </c>
      <c r="K156" s="65" t="n">
        <v>214.48</v>
      </c>
      <c r="L156" s="65" t="n">
        <v>140.68</v>
      </c>
      <c r="M156" s="65" t="n">
        <v>179.94</v>
      </c>
      <c r="N156" s="65" t="n">
        <v>34.83</v>
      </c>
      <c r="O156" s="65" t="n">
        <v>148.49</v>
      </c>
      <c r="P156" s="65" t="n">
        <v>417.83</v>
      </c>
      <c r="Q156" s="65" t="n">
        <v>371.04</v>
      </c>
      <c r="R156" s="65" t="n">
        <v>58.51</v>
      </c>
      <c r="S156" s="65" t="n">
        <v>143.89</v>
      </c>
      <c r="T156" s="65" t="n">
        <v>47.8</v>
      </c>
      <c r="U156" s="65"/>
      <c r="V156" s="65" t="n">
        <v>357.9</v>
      </c>
      <c r="W156" s="65"/>
      <c r="X156" s="65"/>
      <c r="Y156" s="65"/>
      <c r="Z156" s="65"/>
      <c r="AA156" s="65"/>
    </row>
    <row r="157" customFormat="false" ht="15" hidden="false" customHeight="true" outlineLevel="0" collapsed="false">
      <c r="A157" s="68" t="n">
        <v>46262</v>
      </c>
      <c r="B157" s="65" t="n">
        <v>291.52</v>
      </c>
      <c r="C157" s="65" t="n">
        <v>195.38</v>
      </c>
      <c r="D157" s="65" t="n">
        <v>1696.16</v>
      </c>
      <c r="E157" s="65" t="n">
        <v>368.12</v>
      </c>
      <c r="F157" s="65" t="n">
        <v>125.16</v>
      </c>
      <c r="G157" s="65" t="n">
        <v>218.4</v>
      </c>
      <c r="H157" s="65" t="n">
        <v>162.46</v>
      </c>
      <c r="I157" s="65" t="n">
        <v>175.54</v>
      </c>
      <c r="J157" s="65" t="n">
        <v>932.86</v>
      </c>
      <c r="K157" s="65" t="n">
        <v>217.31</v>
      </c>
      <c r="L157" s="65" t="n">
        <v>139.59</v>
      </c>
      <c r="M157" s="65" t="n">
        <v>186.29</v>
      </c>
      <c r="N157" s="65" t="n">
        <v>34.62</v>
      </c>
      <c r="O157" s="65" t="n">
        <v>146.54</v>
      </c>
      <c r="P157" s="65" t="n">
        <v>416.4</v>
      </c>
      <c r="Q157" s="65" t="n">
        <v>381.6</v>
      </c>
      <c r="R157" s="65" t="n">
        <v>57.96</v>
      </c>
      <c r="S157" s="65" t="n">
        <v>146.51</v>
      </c>
      <c r="T157" s="65" t="n">
        <v>48.14</v>
      </c>
      <c r="U157" s="65"/>
      <c r="V157" s="65" t="n">
        <v>355.08</v>
      </c>
      <c r="W157" s="65"/>
      <c r="X157" s="65"/>
      <c r="Y157" s="65"/>
      <c r="Z157" s="65"/>
      <c r="AA157" s="65"/>
    </row>
    <row r="158" customFormat="false" ht="15" hidden="false" customHeight="true" outlineLevel="0" collapsed="false">
      <c r="A158" s="68" t="n">
        <v>46269</v>
      </c>
      <c r="B158" s="65" t="n">
        <v>266.51</v>
      </c>
      <c r="C158" s="65" t="n">
        <v>193.78</v>
      </c>
      <c r="D158" s="65" t="n">
        <v>1714.88</v>
      </c>
      <c r="E158" s="65" t="n">
        <v>357.25</v>
      </c>
      <c r="F158" s="65" t="n">
        <v>126.52</v>
      </c>
      <c r="G158" s="65" t="n">
        <v>213.1</v>
      </c>
      <c r="H158" s="65" t="n">
        <v>162.91</v>
      </c>
      <c r="I158" s="65" t="n">
        <v>185.6</v>
      </c>
      <c r="J158" s="65" t="n">
        <v>1016.59</v>
      </c>
      <c r="K158" s="65" t="n">
        <v>230.1</v>
      </c>
      <c r="L158" s="65" t="n">
        <v>136.26</v>
      </c>
      <c r="M158" s="65" t="n">
        <v>174.33</v>
      </c>
      <c r="N158" s="65" t="n">
        <v>34.52</v>
      </c>
      <c r="O158" s="65" t="n">
        <v>149.48</v>
      </c>
      <c r="P158" s="65" t="n">
        <v>427.76</v>
      </c>
      <c r="Q158" s="65" t="n">
        <v>375.07</v>
      </c>
      <c r="R158" s="65" t="n">
        <v>58.25</v>
      </c>
      <c r="S158" s="65" t="n">
        <v>143.83</v>
      </c>
      <c r="T158" s="65" t="n">
        <v>49.74</v>
      </c>
      <c r="U158" s="65"/>
      <c r="V158" s="65" t="n">
        <v>365.45</v>
      </c>
      <c r="W158" s="65"/>
      <c r="X158" s="65"/>
      <c r="Y158" s="65"/>
      <c r="Z158" s="65"/>
      <c r="AA158" s="65"/>
    </row>
    <row r="159" customFormat="false" ht="15" hidden="false" customHeight="true" outlineLevel="0" collapsed="false">
      <c r="A159" s="68" t="n">
        <v>46276</v>
      </c>
      <c r="B159" s="65" t="n">
        <v>252.23</v>
      </c>
      <c r="C159" s="65" t="n">
        <v>199.59</v>
      </c>
      <c r="D159" s="65" t="n">
        <v>1698.3</v>
      </c>
      <c r="E159" s="65" t="n">
        <v>361.33</v>
      </c>
      <c r="F159" s="65" t="n">
        <v>124.5</v>
      </c>
      <c r="G159" s="65" t="n">
        <v>206.74</v>
      </c>
      <c r="H159" s="65" t="n">
        <v>161.03</v>
      </c>
      <c r="I159" s="65" t="n">
        <v>180.64</v>
      </c>
      <c r="J159" s="65" t="n">
        <v>975.26</v>
      </c>
      <c r="K159" s="65" t="n">
        <v>218.29</v>
      </c>
      <c r="L159" s="65" t="n">
        <v>134.68</v>
      </c>
      <c r="M159" s="65" t="n">
        <v>167.23</v>
      </c>
      <c r="N159" s="65" t="n">
        <v>33.85</v>
      </c>
      <c r="O159" s="65" t="n">
        <v>148.07</v>
      </c>
      <c r="P159" s="65" t="n">
        <v>432.08</v>
      </c>
      <c r="Q159" s="65" t="n">
        <v>370.45</v>
      </c>
      <c r="R159" s="65" t="n">
        <v>59.74</v>
      </c>
      <c r="S159" s="65" t="n">
        <v>149.69</v>
      </c>
      <c r="T159" s="65" t="n">
        <v>51.46</v>
      </c>
      <c r="U159" s="65"/>
      <c r="V159" s="65" t="n">
        <v>361.83</v>
      </c>
      <c r="W159" s="65"/>
      <c r="X159" s="65"/>
      <c r="Y159" s="65"/>
      <c r="Z159" s="65"/>
      <c r="AA159" s="65"/>
    </row>
    <row r="160" customFormat="false" ht="15" hidden="false" customHeight="true" outlineLevel="0" collapsed="false">
      <c r="A160" s="68" t="n">
        <v>46283</v>
      </c>
      <c r="B160" s="65" t="n">
        <v>248.92</v>
      </c>
      <c r="C160" s="65" t="n">
        <v>199.39</v>
      </c>
      <c r="D160" s="65" t="n">
        <v>1679.92</v>
      </c>
      <c r="E160" s="65" t="n">
        <v>356.96</v>
      </c>
      <c r="F160" s="65" t="n">
        <v>121.96</v>
      </c>
      <c r="G160" s="65" t="n">
        <v>237.65</v>
      </c>
      <c r="H160" s="65" t="n">
        <v>158.24</v>
      </c>
      <c r="I160" s="65" t="n">
        <v>176.99</v>
      </c>
      <c r="J160" s="65" t="n">
        <v>1015.8</v>
      </c>
      <c r="K160" s="65" t="n">
        <v>222.27</v>
      </c>
      <c r="L160" s="65" t="n">
        <v>134.84</v>
      </c>
      <c r="M160" s="65" t="n">
        <v>177.64</v>
      </c>
      <c r="N160" s="65" t="n">
        <v>33.41</v>
      </c>
      <c r="O160" s="65" t="n">
        <v>148.97</v>
      </c>
      <c r="P160" s="65" t="n">
        <v>434.67</v>
      </c>
      <c r="Q160" s="65" t="n">
        <v>368.29</v>
      </c>
      <c r="R160" s="65" t="n">
        <v>60.53</v>
      </c>
      <c r="S160" s="65" t="n">
        <v>153.31</v>
      </c>
      <c r="T160" s="65" t="n">
        <v>53.71</v>
      </c>
      <c r="U160" s="65"/>
      <c r="V160" s="65" t="n">
        <v>364.15</v>
      </c>
      <c r="W160" s="65"/>
      <c r="X160" s="65"/>
      <c r="Y160" s="65"/>
      <c r="Z160" s="65"/>
      <c r="AA160" s="65"/>
    </row>
    <row r="161" customFormat="false" ht="15" hidden="false" customHeight="true" outlineLevel="0" collapsed="false">
      <c r="A161" s="68" t="n">
        <v>46290</v>
      </c>
      <c r="B161" s="65" t="n">
        <v>235.47</v>
      </c>
      <c r="C161" s="65" t="n">
        <v>206.55</v>
      </c>
      <c r="D161" s="65" t="n">
        <v>1743.94</v>
      </c>
      <c r="E161" s="65" t="n">
        <v>352.81</v>
      </c>
      <c r="F161" s="65" t="n">
        <v>120.41</v>
      </c>
      <c r="G161" s="65" t="n">
        <v>252.13</v>
      </c>
      <c r="H161" s="65" t="n">
        <v>154.73</v>
      </c>
      <c r="I161" s="65" t="n">
        <v>187.92</v>
      </c>
      <c r="J161" s="65" t="n">
        <v>1082.28</v>
      </c>
      <c r="K161" s="65" t="n">
        <v>225.07</v>
      </c>
      <c r="L161" s="65" t="n">
        <v>133.05</v>
      </c>
      <c r="M161" s="65" t="n">
        <v>189.67</v>
      </c>
      <c r="N161" s="65" t="n">
        <v>33.21</v>
      </c>
      <c r="O161" s="65" t="n">
        <v>152.92</v>
      </c>
      <c r="P161" s="65" t="n">
        <v>450.61</v>
      </c>
      <c r="Q161" s="65" t="n">
        <v>367.38</v>
      </c>
      <c r="R161" s="65" t="n">
        <v>59.84</v>
      </c>
      <c r="S161" s="65" t="n">
        <v>148.73</v>
      </c>
      <c r="T161" s="65" t="n">
        <v>55.45</v>
      </c>
      <c r="U161" s="65"/>
      <c r="V161" s="65" t="n">
        <v>371.04</v>
      </c>
      <c r="W161" s="65"/>
      <c r="X161" s="65"/>
      <c r="Y161" s="65"/>
      <c r="Z161" s="65"/>
      <c r="AA161" s="65"/>
    </row>
    <row r="162" customFormat="false" ht="15" hidden="false" customHeight="true" outlineLevel="0" collapsed="false">
      <c r="A162" s="68" t="n">
        <v>46297</v>
      </c>
      <c r="B162" s="65" t="n">
        <v>231.01</v>
      </c>
      <c r="C162" s="65" t="n">
        <v>204.92</v>
      </c>
      <c r="D162" s="65" t="n">
        <v>1771.41</v>
      </c>
      <c r="E162" s="65" t="n">
        <v>349.57</v>
      </c>
      <c r="F162" s="65" t="n">
        <v>119.55</v>
      </c>
      <c r="G162" s="65" t="n">
        <v>259.25</v>
      </c>
      <c r="H162" s="65" t="n">
        <v>153.65</v>
      </c>
      <c r="I162" s="65" t="n">
        <v>189.17</v>
      </c>
      <c r="J162" s="65" t="n">
        <v>1053.98</v>
      </c>
      <c r="K162" s="65" t="n">
        <v>228.86</v>
      </c>
      <c r="L162" s="65" t="n">
        <v>132.44</v>
      </c>
      <c r="M162" s="65" t="n">
        <v>187.48</v>
      </c>
      <c r="N162" s="65" t="n">
        <v>33.01</v>
      </c>
      <c r="O162" s="65" t="n">
        <v>151.18</v>
      </c>
      <c r="P162" s="65" t="n">
        <v>452.88</v>
      </c>
      <c r="Q162" s="65" t="n">
        <v>367.74</v>
      </c>
      <c r="R162" s="65" t="n">
        <v>59.47</v>
      </c>
      <c r="S162" s="65" t="n">
        <v>146.78</v>
      </c>
      <c r="T162" s="65" t="n">
        <v>55.66</v>
      </c>
      <c r="U162" s="65"/>
      <c r="V162" s="65" t="n">
        <v>381.6</v>
      </c>
      <c r="W162" s="65"/>
      <c r="X162" s="65"/>
      <c r="Y162" s="65"/>
      <c r="Z162" s="65"/>
      <c r="AA162" s="65"/>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95</v>
      </c>
      <c r="B3" s="112" t="s">
        <v>96</v>
      </c>
      <c r="C3" s="135" t="n">
        <v>233.17</v>
      </c>
      <c r="D3" s="119" t="n">
        <v>3955803</v>
      </c>
      <c r="E3" s="136" t="n">
        <v>92685.074432</v>
      </c>
      <c r="F3" s="137" t="n">
        <v>13.0262575</v>
      </c>
      <c r="G3" s="135" t="n">
        <v>190.12</v>
      </c>
      <c r="H3" s="135" t="n">
        <v>363.7</v>
      </c>
      <c r="I3" s="121"/>
    </row>
    <row r="4" customFormat="false" ht="15" hidden="false" customHeight="true" outlineLevel="0" collapsed="false">
      <c r="A4" s="114" t="s">
        <v>100</v>
      </c>
      <c r="B4" s="112" t="s">
        <v>101</v>
      </c>
      <c r="C4" s="135" t="n">
        <v>202.805</v>
      </c>
      <c r="D4" s="119" t="n">
        <v>3645350</v>
      </c>
      <c r="E4" s="136" t="n">
        <v>255782.66624</v>
      </c>
      <c r="F4" s="137" t="n">
        <v>64.38254</v>
      </c>
      <c r="G4" s="135" t="n">
        <v>114.52</v>
      </c>
      <c r="H4" s="135" t="n">
        <v>214.89</v>
      </c>
      <c r="I4" s="121"/>
    </row>
    <row r="5" customFormat="false" ht="15" hidden="false" customHeight="true" outlineLevel="0" collapsed="false">
      <c r="A5" s="114" t="s">
        <v>102</v>
      </c>
      <c r="B5" s="112" t="s">
        <v>103</v>
      </c>
      <c r="C5" s="135" t="n">
        <v>1834.39</v>
      </c>
      <c r="D5" s="119" t="n">
        <v>1633836</v>
      </c>
      <c r="E5" s="136" t="n">
        <v>704589.201408</v>
      </c>
      <c r="F5" s="137" t="n">
        <v>63.539658</v>
      </c>
      <c r="G5" s="135" t="n">
        <v>935.41</v>
      </c>
      <c r="H5" s="135" t="n">
        <v>1999.96</v>
      </c>
      <c r="I5" s="121" t="n">
        <v>0.51</v>
      </c>
    </row>
    <row r="6" customFormat="false" ht="15" hidden="false" customHeight="true" outlineLevel="0" collapsed="false">
      <c r="A6" s="114" t="s">
        <v>165</v>
      </c>
      <c r="B6" s="112" t="s">
        <v>166</v>
      </c>
      <c r="C6" s="135" t="n">
        <v>355.1</v>
      </c>
      <c r="D6" s="119" t="n">
        <v>17377536</v>
      </c>
      <c r="E6" s="136" t="n">
        <v>1695116.034048</v>
      </c>
      <c r="F6" s="137" t="n">
        <v>45.760307</v>
      </c>
      <c r="G6" s="135" t="n">
        <v>289.96</v>
      </c>
      <c r="H6" s="135" t="n">
        <v>495</v>
      </c>
      <c r="I6" s="121" t="n">
        <v>0.74</v>
      </c>
    </row>
    <row r="7" customFormat="false" ht="15" hidden="false" customHeight="true" outlineLevel="0" collapsed="false">
      <c r="A7" s="114" t="s">
        <v>156</v>
      </c>
      <c r="B7" s="112" t="s">
        <v>157</v>
      </c>
      <c r="C7" s="135" t="n">
        <v>118.77</v>
      </c>
      <c r="D7" s="119" t="n">
        <v>1735494</v>
      </c>
      <c r="E7" s="136"/>
      <c r="F7" s="137" t="n">
        <v>11.794926</v>
      </c>
      <c r="G7" s="135" t="n">
        <v>93.87</v>
      </c>
      <c r="H7" s="135" t="n">
        <v>129.05</v>
      </c>
      <c r="I7" s="121" t="n">
        <v>1.25</v>
      </c>
    </row>
    <row r="8" customFormat="false" ht="15" hidden="false" customHeight="true" outlineLevel="0" collapsed="false">
      <c r="A8" s="114" t="s">
        <v>231</v>
      </c>
      <c r="B8" s="112" t="s">
        <v>380</v>
      </c>
      <c r="C8" s="135" t="n">
        <v>36.96</v>
      </c>
      <c r="D8" s="119" t="n">
        <v>9787856</v>
      </c>
      <c r="E8" s="136" t="n">
        <v>46769.8</v>
      </c>
      <c r="F8" s="137" t="n">
        <v>34.22222</v>
      </c>
      <c r="G8" s="135" t="n">
        <v>28.04</v>
      </c>
      <c r="H8" s="135" t="n">
        <v>42.82</v>
      </c>
      <c r="I8" s="121"/>
    </row>
    <row r="9" customFormat="false" ht="15" hidden="false" customHeight="true" outlineLevel="0" collapsed="false">
      <c r="A9" s="114" t="s">
        <v>233</v>
      </c>
      <c r="B9" s="112" t="s">
        <v>351</v>
      </c>
      <c r="C9" s="135" t="n">
        <v>910.18</v>
      </c>
      <c r="D9" s="119" t="n">
        <v>2225742</v>
      </c>
      <c r="E9" s="136" t="n">
        <v>403645.5</v>
      </c>
      <c r="F9" s="137" t="n">
        <v>45.80674</v>
      </c>
      <c r="G9" s="135" t="n">
        <v>844.06</v>
      </c>
      <c r="H9" s="135" t="n">
        <v>1096.5</v>
      </c>
      <c r="I9" s="121" t="n">
        <v>0.64</v>
      </c>
    </row>
    <row r="10" customFormat="false" ht="15" hidden="false" customHeight="true" outlineLevel="0" collapsed="false">
      <c r="A10" s="114" t="s">
        <v>104</v>
      </c>
      <c r="B10" s="112" t="s">
        <v>105</v>
      </c>
      <c r="C10" s="135" t="n">
        <v>262.74</v>
      </c>
      <c r="D10" s="119" t="n">
        <v>6775435</v>
      </c>
      <c r="E10" s="136" t="n">
        <v>269028.63872</v>
      </c>
      <c r="F10" s="137" t="n">
        <v>8758</v>
      </c>
      <c r="G10" s="135" t="n">
        <v>85.68</v>
      </c>
      <c r="H10" s="135" t="n">
        <v>263.87</v>
      </c>
      <c r="I10" s="121"/>
    </row>
    <row r="11" customFormat="false" ht="15" hidden="false" customHeight="true" outlineLevel="0" collapsed="false">
      <c r="A11" s="114" t="s">
        <v>238</v>
      </c>
      <c r="B11" s="112" t="s">
        <v>382</v>
      </c>
      <c r="C11" s="135" t="n">
        <v>335.41</v>
      </c>
      <c r="D11" s="119" t="n">
        <v>556220</v>
      </c>
      <c r="E11" s="136" t="n">
        <v>11095.9</v>
      </c>
      <c r="F11" s="137" t="n">
        <v>19.024958</v>
      </c>
      <c r="G11" s="135" t="n">
        <v>282</v>
      </c>
      <c r="H11" s="135" t="n">
        <v>464.23</v>
      </c>
      <c r="I11" s="121" t="n">
        <v>2.33</v>
      </c>
    </row>
    <row r="12" customFormat="false" ht="15" hidden="false" customHeight="true" outlineLevel="0" collapsed="false">
      <c r="A12" s="114" t="s">
        <v>126</v>
      </c>
      <c r="B12" s="112" t="s">
        <v>127</v>
      </c>
      <c r="C12" s="135" t="n">
        <v>153.17</v>
      </c>
      <c r="D12" s="119" t="n">
        <v>281494</v>
      </c>
      <c r="E12" s="136"/>
      <c r="F12" s="137" t="n">
        <v>14.566291</v>
      </c>
      <c r="G12" s="135" t="n">
        <v>137.16</v>
      </c>
      <c r="H12" s="135" t="n">
        <v>167.06</v>
      </c>
      <c r="I12" s="121" t="n">
        <v>3.24</v>
      </c>
    </row>
    <row r="13" customFormat="false" ht="15" hidden="false" customHeight="true" outlineLevel="0" collapsed="false">
      <c r="A13" s="114" t="s">
        <v>241</v>
      </c>
      <c r="B13" s="112" t="s">
        <v>361</v>
      </c>
      <c r="C13" s="135" t="n">
        <v>21.51</v>
      </c>
      <c r="D13" s="119" t="n">
        <v>6978880</v>
      </c>
      <c r="E13" s="136" t="n">
        <v>74065.4</v>
      </c>
      <c r="F13" s="137" t="n">
        <v>14.732877</v>
      </c>
      <c r="G13" s="135" t="n">
        <v>16.18</v>
      </c>
      <c r="H13" s="135" t="n">
        <v>21.77</v>
      </c>
      <c r="I13" s="121" t="n">
        <v>6.33</v>
      </c>
    </row>
    <row r="14" customFormat="false" ht="15" hidden="false" customHeight="true" outlineLevel="0" collapsed="false">
      <c r="A14" s="114" t="s">
        <v>243</v>
      </c>
      <c r="B14" s="112" t="s">
        <v>397</v>
      </c>
      <c r="C14" s="135" t="n">
        <v>422.13</v>
      </c>
      <c r="D14" s="119" t="n">
        <v>2032961</v>
      </c>
      <c r="E14" s="136" t="n">
        <v>163955.3</v>
      </c>
      <c r="F14" s="137" t="n">
        <v>42.986763</v>
      </c>
      <c r="G14" s="135" t="n">
        <v>311.92</v>
      </c>
      <c r="H14" s="135" t="n">
        <v>478</v>
      </c>
      <c r="I14" s="121" t="n">
        <v>1.07</v>
      </c>
    </row>
    <row r="15" customFormat="false" ht="15" hidden="false" customHeight="true" outlineLevel="0" collapsed="false">
      <c r="A15" s="114" t="s">
        <v>245</v>
      </c>
      <c r="B15" s="112" t="s">
        <v>393</v>
      </c>
      <c r="C15" s="135" t="n">
        <v>72.82</v>
      </c>
      <c r="D15" s="119" t="n">
        <v>4895271</v>
      </c>
      <c r="E15" s="136" t="n">
        <v>6683.5</v>
      </c>
      <c r="F15" s="137" t="n">
        <v>23.044304</v>
      </c>
      <c r="G15" s="135" t="n">
        <v>44</v>
      </c>
      <c r="H15" s="135" t="n">
        <v>87.974</v>
      </c>
      <c r="I15" s="121" t="n">
        <v>0.54</v>
      </c>
    </row>
    <row r="16" customFormat="false" ht="15" hidden="false" customHeight="true" outlineLevel="0" collapsed="false">
      <c r="A16" s="114" t="s">
        <v>140</v>
      </c>
      <c r="B16" s="112" t="s">
        <v>141</v>
      </c>
      <c r="C16" s="135" t="n">
        <v>334.91</v>
      </c>
      <c r="D16" s="119" t="n">
        <v>3059378</v>
      </c>
      <c r="E16" s="136" t="n">
        <v>347490.1</v>
      </c>
      <c r="F16" s="137" t="n">
        <v>39.401176</v>
      </c>
      <c r="G16" s="135" t="n">
        <v>268.91</v>
      </c>
      <c r="H16" s="135" t="n">
        <v>388.84</v>
      </c>
      <c r="I16" s="121" t="n">
        <v>0.56</v>
      </c>
    </row>
    <row r="17" customFormat="false" ht="15" hidden="false" customHeight="true" outlineLevel="0" collapsed="false">
      <c r="A17" s="114" t="s">
        <v>162</v>
      </c>
      <c r="B17" s="112" t="s">
        <v>163</v>
      </c>
      <c r="C17" s="135" t="n">
        <v>69.39</v>
      </c>
      <c r="D17" s="119" t="n">
        <v>203268</v>
      </c>
      <c r="E17" s="136"/>
      <c r="F17" s="137" t="n">
        <v>24.4576</v>
      </c>
      <c r="G17" s="135" t="n">
        <v>63.24</v>
      </c>
      <c r="H17" s="135" t="n">
        <v>70.23</v>
      </c>
      <c r="I17" s="121" t="n">
        <v>0.62</v>
      </c>
    </row>
    <row r="18" customFormat="false" ht="15" hidden="false" customHeight="true" outlineLevel="0" collapsed="false">
      <c r="A18" s="114" t="s">
        <v>187</v>
      </c>
      <c r="B18" s="112" t="s">
        <v>188</v>
      </c>
      <c r="C18" s="135" t="n">
        <v>56.87</v>
      </c>
      <c r="D18" s="119" t="n">
        <v>4759638</v>
      </c>
      <c r="E18" s="136"/>
      <c r="F18" s="137" t="n">
        <v>25.282299</v>
      </c>
      <c r="G18" s="135" t="n">
        <v>55.1</v>
      </c>
      <c r="H18" s="135" t="n">
        <v>59.9</v>
      </c>
      <c r="I18" s="121" t="n">
        <v>7.97</v>
      </c>
    </row>
    <row r="19" customFormat="false" ht="15" hidden="false" customHeight="true" outlineLevel="0" collapsed="false">
      <c r="A19" s="114" t="s">
        <v>152</v>
      </c>
      <c r="B19" s="112" t="s">
        <v>153</v>
      </c>
      <c r="C19" s="135" t="n">
        <v>59.85</v>
      </c>
      <c r="D19" s="119" t="n">
        <v>5120618</v>
      </c>
      <c r="E19" s="136" t="n">
        <v>225986.3</v>
      </c>
      <c r="F19" s="137" t="n">
        <v>28.95007</v>
      </c>
      <c r="G19" s="135" t="n">
        <v>53.51</v>
      </c>
      <c r="H19" s="135" t="n">
        <v>61.72</v>
      </c>
      <c r="I19" s="121" t="n">
        <v>10.84</v>
      </c>
    </row>
    <row r="20" customFormat="false" ht="15" hidden="false" customHeight="true" outlineLevel="0" collapsed="false">
      <c r="A20" s="114" t="s">
        <v>106</v>
      </c>
      <c r="B20" s="112" t="s">
        <v>107</v>
      </c>
      <c r="C20" s="135" t="n">
        <v>196.53</v>
      </c>
      <c r="D20" s="119" t="n">
        <v>7447910</v>
      </c>
      <c r="E20" s="136" t="n">
        <v>256472.92416</v>
      </c>
      <c r="F20" s="137" t="n">
        <v>53.843834</v>
      </c>
      <c r="G20" s="135" t="n">
        <v>98.097</v>
      </c>
      <c r="H20" s="135" t="n">
        <v>307.37</v>
      </c>
      <c r="I20" s="121" t="n">
        <v>0.49</v>
      </c>
    </row>
    <row r="21" customFormat="false" ht="15" hidden="false" customHeight="true" outlineLevel="0" collapsed="false">
      <c r="A21" s="114" t="s">
        <v>252</v>
      </c>
      <c r="B21" s="112" t="s">
        <v>371</v>
      </c>
      <c r="C21" s="135" t="n">
        <v>468.38</v>
      </c>
      <c r="D21" s="119" t="n">
        <v>2533696</v>
      </c>
      <c r="E21" s="136" t="n">
        <v>215913.9</v>
      </c>
      <c r="F21" s="137" t="n">
        <v>30.179123</v>
      </c>
      <c r="G21" s="135" t="n">
        <v>387.78</v>
      </c>
      <c r="H21" s="135" t="n">
        <v>548.2</v>
      </c>
      <c r="I21" s="121" t="n">
        <v>1.34</v>
      </c>
    </row>
    <row r="22" customFormat="false" ht="15" hidden="false" customHeight="true" outlineLevel="0" collapsed="false">
      <c r="A22" s="114" t="s">
        <v>136</v>
      </c>
      <c r="B22" s="112" t="s">
        <v>137</v>
      </c>
      <c r="C22" s="135" t="n">
        <v>54.93</v>
      </c>
      <c r="D22" s="119" t="n">
        <v>350807</v>
      </c>
      <c r="E22" s="136"/>
      <c r="F22" s="137" t="n">
        <v>18.950302</v>
      </c>
      <c r="G22" s="135" t="n">
        <v>49.15</v>
      </c>
      <c r="H22" s="135" t="n">
        <v>58.47</v>
      </c>
      <c r="I22" s="121" t="n">
        <v>0.47</v>
      </c>
    </row>
    <row r="23" customFormat="false" ht="15" hidden="false" customHeight="true" outlineLevel="0" collapsed="false">
      <c r="A23" s="114" t="s">
        <v>108</v>
      </c>
      <c r="B23" s="112" t="s">
        <v>109</v>
      </c>
      <c r="C23" s="135" t="n">
        <v>1065.08</v>
      </c>
      <c r="D23" s="119" t="n">
        <v>17447896</v>
      </c>
      <c r="E23" s="136" t="n">
        <v>1202894.012416</v>
      </c>
      <c r="F23" s="137" t="n">
        <v>24.05873</v>
      </c>
      <c r="G23" s="135" t="n">
        <v>163.96</v>
      </c>
      <c r="H23" s="135" t="n">
        <v>1255</v>
      </c>
      <c r="I23" s="121" t="n">
        <v>0.05</v>
      </c>
    </row>
    <row r="24" customFormat="false" ht="15" hidden="false" customHeight="true" outlineLevel="0" collapsed="false">
      <c r="A24" s="114" t="s">
        <v>143</v>
      </c>
      <c r="B24" s="112" t="s">
        <v>144</v>
      </c>
      <c r="C24" s="135" t="n">
        <v>76.77</v>
      </c>
      <c r="D24" s="119" t="n">
        <v>33613528</v>
      </c>
      <c r="E24" s="136" t="n">
        <v>319665.6</v>
      </c>
      <c r="F24" s="137" t="n">
        <v>24.141508</v>
      </c>
      <c r="G24" s="135" t="n">
        <v>65.08</v>
      </c>
      <c r="H24" s="135" t="n">
        <v>126.7</v>
      </c>
      <c r="I24" s="121" t="n">
        <v>0.79</v>
      </c>
    </row>
    <row r="25" customFormat="false" ht="15" hidden="false" customHeight="true" outlineLevel="0" collapsed="false">
      <c r="A25" s="114" t="s">
        <v>110</v>
      </c>
      <c r="B25" s="112" t="s">
        <v>111</v>
      </c>
      <c r="C25" s="135" t="n">
        <v>227.21</v>
      </c>
      <c r="D25" s="119" t="n">
        <v>93878615</v>
      </c>
      <c r="E25" s="136" t="n">
        <v>5486440.087552</v>
      </c>
      <c r="F25" s="137" t="n">
        <v>28.688131</v>
      </c>
      <c r="G25" s="135" t="n">
        <v>164.27</v>
      </c>
      <c r="H25" s="135" t="n">
        <v>236.54</v>
      </c>
      <c r="I25" s="121" t="n">
        <v>0.44</v>
      </c>
    </row>
    <row r="26" customFormat="false" ht="15" hidden="false" customHeight="true" outlineLevel="0" collapsed="false">
      <c r="A26" s="114" t="s">
        <v>263</v>
      </c>
      <c r="B26" s="112" t="s">
        <v>379</v>
      </c>
      <c r="C26" s="135" t="n">
        <v>145.58</v>
      </c>
      <c r="D26" s="119" t="n">
        <v>6281928</v>
      </c>
      <c r="E26" s="136" t="n">
        <v>338134.7</v>
      </c>
      <c r="F26" s="137" t="n">
        <v>21.990936</v>
      </c>
      <c r="G26" s="135" t="n">
        <v>137.62</v>
      </c>
      <c r="H26" s="135" t="n">
        <v>167.25</v>
      </c>
      <c r="I26" s="121" t="n">
        <v>2.97</v>
      </c>
    </row>
    <row r="27" customFormat="false" ht="15" hidden="false" customHeight="true" outlineLevel="0" collapsed="false">
      <c r="A27" s="114" t="s">
        <v>265</v>
      </c>
      <c r="B27" s="112" t="s">
        <v>395</v>
      </c>
      <c r="C27" s="135" t="n">
        <v>955.87</v>
      </c>
      <c r="D27" s="119" t="n">
        <v>437579</v>
      </c>
      <c r="E27" s="136" t="n">
        <v>120485</v>
      </c>
      <c r="F27" s="137" t="n">
        <v>33.55107</v>
      </c>
      <c r="G27" s="135" t="n">
        <v>715.37</v>
      </c>
      <c r="H27" s="135" t="n">
        <v>1099.94</v>
      </c>
      <c r="I27" s="121" t="n">
        <v>0.83</v>
      </c>
    </row>
    <row r="28" customFormat="false" ht="15" hidden="false" customHeight="true" outlineLevel="0" collapsed="false">
      <c r="A28" s="114" t="s">
        <v>170</v>
      </c>
      <c r="B28" s="112" t="s">
        <v>337</v>
      </c>
      <c r="C28" s="135" t="n">
        <v>132.62</v>
      </c>
      <c r="D28" s="119" t="n">
        <v>2857085</v>
      </c>
      <c r="E28" s="136" t="n">
        <v>128918.757376</v>
      </c>
      <c r="F28" s="137" t="n">
        <v>29.536749</v>
      </c>
      <c r="G28" s="135" t="n">
        <v>111.03</v>
      </c>
      <c r="H28" s="135" t="n">
        <v>153.35</v>
      </c>
      <c r="I28" s="121" t="n">
        <v>3.23</v>
      </c>
    </row>
    <row r="29" customFormat="false" ht="15" hidden="false" customHeight="true" outlineLevel="0" collapsed="false">
      <c r="A29" s="114" t="s">
        <v>112</v>
      </c>
      <c r="B29" s="112" t="s">
        <v>113</v>
      </c>
      <c r="C29" s="135" t="n">
        <v>186.97</v>
      </c>
      <c r="D29" s="119" t="n">
        <v>12022739</v>
      </c>
      <c r="E29" s="136" t="n">
        <v>449299.841024</v>
      </c>
      <c r="F29" s="137" t="n">
        <v>158.44916</v>
      </c>
      <c r="G29" s="135" t="n">
        <v>106.37</v>
      </c>
      <c r="H29" s="135" t="n">
        <v>207.52</v>
      </c>
      <c r="I29" s="121" t="n">
        <v>0.7</v>
      </c>
    </row>
    <row r="30" customFormat="false" ht="15" hidden="false" customHeight="true" outlineLevel="0" collapsed="false">
      <c r="A30" s="114" t="s">
        <v>132</v>
      </c>
      <c r="B30" s="112" t="s">
        <v>133</v>
      </c>
      <c r="C30" s="135" t="n">
        <v>32.85</v>
      </c>
      <c r="D30" s="119" t="n">
        <v>24557259</v>
      </c>
      <c r="E30" s="136"/>
      <c r="F30" s="137" t="n">
        <v>18.129059</v>
      </c>
      <c r="G30" s="135" t="n">
        <v>26.32</v>
      </c>
      <c r="H30" s="135" t="n">
        <v>35.31</v>
      </c>
      <c r="I30" s="121" t="n">
        <v>3</v>
      </c>
    </row>
    <row r="31" customFormat="false" ht="15" hidden="false" customHeight="true" outlineLevel="0" collapsed="false">
      <c r="A31" s="114" t="s">
        <v>138</v>
      </c>
      <c r="B31" s="112" t="s">
        <v>139</v>
      </c>
      <c r="C31" s="135" t="n">
        <v>151.235</v>
      </c>
      <c r="D31" s="119" t="n">
        <v>1582352</v>
      </c>
      <c r="E31" s="136" t="n">
        <v>100824.6</v>
      </c>
      <c r="F31" s="137" t="n">
        <v>27.9245</v>
      </c>
      <c r="G31" s="135" t="n">
        <v>107.24</v>
      </c>
      <c r="H31" s="135" t="n">
        <v>162.3</v>
      </c>
      <c r="I31" s="121" t="n">
        <v>0.71</v>
      </c>
    </row>
    <row r="32" customFormat="false" ht="15" hidden="false" customHeight="true" outlineLevel="0" collapsed="false">
      <c r="A32" s="114" t="s">
        <v>114</v>
      </c>
      <c r="B32" s="112" t="s">
        <v>348</v>
      </c>
      <c r="C32" s="135" t="n">
        <v>457.005</v>
      </c>
      <c r="D32" s="119" t="n">
        <v>8345842</v>
      </c>
      <c r="E32" s="136" t="n">
        <v>2370244.44416</v>
      </c>
      <c r="F32" s="137" t="n">
        <v>33.97807</v>
      </c>
      <c r="G32" s="135" t="n">
        <v>266.82</v>
      </c>
      <c r="H32" s="135" t="n">
        <v>479</v>
      </c>
      <c r="I32" s="121" t="n">
        <v>0.9</v>
      </c>
    </row>
    <row r="33" customFormat="false" ht="15" hidden="false" customHeight="true" outlineLevel="0" collapsed="false">
      <c r="A33" s="114" t="s">
        <v>118</v>
      </c>
      <c r="B33" s="112" t="s">
        <v>119</v>
      </c>
      <c r="C33" s="135" t="n">
        <v>366.03</v>
      </c>
      <c r="D33" s="119" t="n">
        <v>3385491</v>
      </c>
      <c r="E33" s="136" t="n">
        <v>687168.356352</v>
      </c>
      <c r="F33" s="137" t="n">
        <v>31.098555</v>
      </c>
      <c r="G33" s="135" t="n">
        <v>293.89</v>
      </c>
      <c r="H33" s="135" t="n">
        <v>385.57</v>
      </c>
      <c r="I33" s="121" t="n">
        <v>0.73</v>
      </c>
    </row>
    <row r="34" customFormat="false" ht="15" hidden="false" customHeight="true" outlineLevel="0" collapsed="false">
      <c r="A34" s="114" t="s">
        <v>129</v>
      </c>
      <c r="B34" s="112" t="s">
        <v>130</v>
      </c>
      <c r="C34" s="135" t="n">
        <v>51.01</v>
      </c>
      <c r="D34" s="119" t="n">
        <v>2136556</v>
      </c>
      <c r="E34" s="136"/>
      <c r="F34" s="137" t="n">
        <v>16.20076</v>
      </c>
      <c r="G34" s="135" t="n">
        <v>36.56</v>
      </c>
      <c r="H34" s="135" t="n">
        <v>56.44</v>
      </c>
      <c r="I34" s="121" t="n">
        <v>1.01</v>
      </c>
    </row>
    <row r="35" customFormat="false" ht="15" hidden="false" customHeight="true" outlineLevel="0" collapsed="false">
      <c r="A35" s="114" t="s">
        <v>116</v>
      </c>
      <c r="B35" s="112" t="s">
        <v>117</v>
      </c>
      <c r="C35" s="135" t="n">
        <v>248.43</v>
      </c>
      <c r="D35" s="119" t="n">
        <v>2871756</v>
      </c>
      <c r="E35" s="136" t="n">
        <v>95642.607616</v>
      </c>
      <c r="F35" s="137" t="n">
        <v>56.079006</v>
      </c>
      <c r="G35" s="135" t="n">
        <v>144</v>
      </c>
      <c r="H35" s="135" t="n">
        <v>379.935</v>
      </c>
      <c r="I35" s="121" t="n">
        <v>0.1</v>
      </c>
    </row>
    <row r="36" customFormat="false" ht="15" hidden="false" customHeight="true" outlineLevel="0" collapsed="false">
      <c r="A36" s="114" t="s">
        <v>167</v>
      </c>
      <c r="B36" s="112" t="s">
        <v>168</v>
      </c>
      <c r="C36" s="135" t="n">
        <v>526.73</v>
      </c>
      <c r="D36" s="119" t="n">
        <v>630441</v>
      </c>
      <c r="E36" s="136" t="n">
        <v>133505.466368</v>
      </c>
      <c r="F36" s="137" t="n">
        <v>30.71312</v>
      </c>
      <c r="G36" s="135" t="n">
        <v>385.86</v>
      </c>
      <c r="H36" s="135" t="n">
        <v>560.25</v>
      </c>
      <c r="I36" s="121"/>
    </row>
    <row r="37" customFormat="false" ht="15" hidden="false" customHeight="true" outlineLevel="0" collapsed="false">
      <c r="A37" s="114" t="s">
        <v>134</v>
      </c>
      <c r="B37" s="112" t="s">
        <v>135</v>
      </c>
      <c r="C37" s="135" t="n">
        <v>156.45</v>
      </c>
      <c r="D37" s="119" t="n">
        <v>975438</v>
      </c>
      <c r="E37" s="136"/>
      <c r="F37" s="137" t="n">
        <v>19.652536</v>
      </c>
      <c r="G37" s="135" t="n">
        <v>137.42</v>
      </c>
      <c r="H37" s="135" t="n">
        <v>167.61</v>
      </c>
      <c r="I37" s="121" t="n">
        <v>2.22</v>
      </c>
    </row>
    <row r="38" customFormat="false" ht="15" hidden="false" customHeight="true" outlineLevel="0" collapsed="false">
      <c r="A38" s="114" t="s">
        <v>273</v>
      </c>
      <c r="B38" s="112" t="s">
        <v>384</v>
      </c>
      <c r="C38" s="135" t="n">
        <v>149.51</v>
      </c>
      <c r="D38" s="119" t="n">
        <v>1616462</v>
      </c>
      <c r="E38" s="136" t="n">
        <v>40801.4</v>
      </c>
      <c r="F38" s="137" t="n">
        <v>18.829973</v>
      </c>
      <c r="G38" s="135" t="n">
        <v>137.33</v>
      </c>
      <c r="H38" s="135" t="n">
        <v>170.14</v>
      </c>
      <c r="I38" s="121"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AVUV</v>
      </c>
      <c r="G2" s="110" t="str">
        <f aca="false">'Price History'!G2</f>
        <v>CRWD</v>
      </c>
      <c r="H2" s="110" t="str">
        <f aca="false">'Price History'!H2</f>
        <v>DVY</v>
      </c>
      <c r="I2" s="110" t="str">
        <f aca="false">'Price History'!I2</f>
        <v>KLAC</v>
      </c>
      <c r="J2" s="110" t="str">
        <f aca="false">'Price History'!J2</f>
        <v>MU</v>
      </c>
      <c r="K2" s="110" t="str">
        <f aca="false">'Price History'!K2</f>
        <v>NVDA</v>
      </c>
      <c r="L2" s="110" t="str">
        <f aca="false">'Price History'!L2</f>
        <v>PLD</v>
      </c>
      <c r="M2" s="110" t="str">
        <f aca="false">'Price History'!M2</f>
        <v>PLTR</v>
      </c>
      <c r="N2" s="110" t="str">
        <f aca="false">'Price History'!N2</f>
        <v>SCHD</v>
      </c>
      <c r="O2" s="110" t="str">
        <f aca="false">'Price History'!O2</f>
        <v>SPMO</v>
      </c>
      <c r="P2" s="110" t="str">
        <f aca="false">'Price History'!P2</f>
        <v>TSM</v>
      </c>
      <c r="Q2" s="110" t="str">
        <f aca="false">'Price History'!Q2</f>
        <v>V</v>
      </c>
      <c r="R2" s="110" t="str">
        <f aca="false">'Price History'!R2</f>
        <v>JEPQ</v>
      </c>
      <c r="S2" s="110" t="str">
        <f aca="false">'Price History'!S2</f>
        <v>SPMO</v>
      </c>
      <c r="T2" s="110" t="str">
        <f aca="false">'Price History'!T2</f>
        <v>VFLO</v>
      </c>
      <c r="U2" s="110" t="n">
        <f aca="false">'Price History'!U2</f>
        <v>0</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-0.0292125879697251</v>
      </c>
      <c r="G3" s="142" t="n">
        <f aca="false">IFERROR(IF(OR(NOT(ISNUMBER('Price History'!G4)),NOT(ISNUMBER('Price History'!G3)),'Price History'!G3=0),"",'Price History'!G4/'Price History'!G3-1),"")</f>
        <v>-0.0174081237911025</v>
      </c>
      <c r="H3" s="142" t="n">
        <f aca="false">IFERROR(IF(OR(NOT(ISNUMBER('Price History'!H4)),NOT(ISNUMBER('Price History'!H3)),'Price History'!H3=0),"",'Price History'!H4/'Price History'!H3-1),"")</f>
        <v>-0.021373894025251</v>
      </c>
      <c r="I3" s="142" t="n">
        <f aca="false">IFERROR(IF(OR(NOT(ISNUMBER('Price History'!I4)),NOT(ISNUMBER('Price History'!I3)),'Price History'!I3=0),"",'Price History'!I4/'Price History'!I3-1),"")</f>
        <v>-0.00518602029312298</v>
      </c>
      <c r="J3" s="142" t="n">
        <f aca="false">IFERROR(IF(OR(NOT(ISNUMBER('Price History'!J4)),NOT(ISNUMBER('Price History'!J3)),'Price History'!J3=0),"",'Price History'!J4/'Price History'!J3-1),"")</f>
        <v>-0.0143249891477354</v>
      </c>
      <c r="K3" s="142" t="n">
        <f aca="false">IFERROR(IF(OR(NOT(ISNUMBER('Price History'!K4)),NOT(ISNUMBER('Price History'!K3)),'Price History'!K3=0),"",'Price History'!K4/'Price History'!K3-1),"")</f>
        <v>-0.0520904729266621</v>
      </c>
      <c r="L3" s="142" t="n">
        <f aca="false">IFERROR(IF(OR(NOT(ISNUMBER('Price History'!L4)),NOT(ISNUMBER('Price History'!L3)),'Price History'!L3=0),"",'Price History'!L4/'Price History'!L3-1),"")</f>
        <v>-0.073944921316166</v>
      </c>
      <c r="M3" s="142" t="n">
        <f aca="false">IFERROR(IF(OR(NOT(ISNUMBER('Price History'!M4)),NOT(ISNUMBER('Price History'!M3)),'Price History'!M3=0),"",'Price History'!M4/'Price History'!M3-1),"")</f>
        <v>-0.0782778864970646</v>
      </c>
      <c r="N3" s="142" t="n">
        <f aca="false">IFERROR(IF(OR(NOT(ISNUMBER('Price History'!N4)),NOT(ISNUMBER('Price History'!N3)),'Price History'!N3=0),"",'Price History'!N4/'Price History'!N3-1),"")</f>
        <v>-0.0229357798165137</v>
      </c>
      <c r="O3" s="142" t="n">
        <f aca="false">IFERROR(IF(OR(NOT(ISNUMBER('Price History'!O4)),NOT(ISNUMBER('Price History'!O3)),'Price History'!O3=0),"",'Price History'!O4/'Price History'!O3-1),"")</f>
        <v>-0.0242929030019088</v>
      </c>
      <c r="P3" s="142" t="n">
        <f aca="false">IFERROR(IF(OR(NOT(ISNUMBER('Price History'!P4)),NOT(ISNUMBER('Price History'!P3)),'Price History'!P3=0),"",'Price History'!P4/'Price History'!P3-1),"")</f>
        <v>-0.040466472303207</v>
      </c>
      <c r="Q3" s="142" t="n">
        <f aca="false">IFERROR(IF(OR(NOT(ISNUMBER('Price History'!Q4)),NOT(ISNUMBER('Price History'!Q3)),'Price History'!Q3=0),"",'Price History'!Q4/'Price History'!Q3-1),"")</f>
        <v>-0.0248270593727454</v>
      </c>
      <c r="R3" s="142" t="n">
        <f aca="false">IFERROR(IF(OR(NOT(ISNUMBER('Price History'!R4)),NOT(ISNUMBER('Price History'!R3)),'Price History'!R3=0),"",'Price History'!R4/'Price History'!R3-1),"")</f>
        <v>-0.0186114596403179</v>
      </c>
      <c r="S3" s="142" t="n">
        <f aca="false">IFERROR(IF(OR(NOT(ISNUMBER('Price History'!S4)),NOT(ISNUMBER('Price History'!S3)),'Price History'!S3=0),"",'Price History'!S4/'Price History'!S3-1),"")</f>
        <v>-0.00837034506320467</v>
      </c>
      <c r="T3" s="142" t="n">
        <f aca="false">IFERROR(IF(OR(NOT(ISNUMBER('Price History'!T4)),NOT(ISNUMBER('Price History'!T3)),'Price History'!T3=0),"",'Price History'!T4/'Price History'!T3-1),"")</f>
        <v>-0.0267558528428093</v>
      </c>
      <c r="U3" s="142" t="str">
        <f aca="false">IFERROR(IF(OR(NOT(ISNUMBER('Price History'!U4)),NOT(ISNUMBER('Price History'!U3)),'Price History'!U3=0),"",'Price History'!U4/'Price History'!U3-1),"")</f>
        <v/>
      </c>
      <c r="V3" s="143" t="str">
        <f aca="false">IFERROR(IF(OR(NOT(ISNUMBER('Price History'!V4)),NOT(ISNUMBER('Price History'!V3)),'Price History'!V3=0),"",'Price History'!V4/'Price History'!V3-1),"")</f>
        <v/>
      </c>
      <c r="W3" s="144" t="str">
        <f aca="false">IFERROR('Price History'!B3+(INDEX('Price History'!B:B,MATCH(9.99E+307,'Price History'!$A:$A))-'Price History'!B3)*(ROW()-3)/(MATCH(9.99E+307,'Returns (Calc)'!$A:$A)-3),"")</f>
        <v/>
      </c>
      <c r="X3" s="144" t="n">
        <f aca="false">IFERROR('Price History'!C3+(INDEX('Price History'!C:C,MATCH(9.99E+307,'Price History'!$A:$A))-'Price History'!C3)*(ROW()-3)/(MATCH(9.99E+307,'Returns (Calc)'!$A:$A)-3),"")</f>
        <v>46.18</v>
      </c>
      <c r="Y3" s="144" t="n">
        <f aca="false">IFERROR('Price History'!D3+(INDEX('Price History'!D:D,MATCH(9.99E+307,'Price History'!$A:$A))-'Price History'!D3)*(ROW()-3)/(MATCH(9.99E+307,'Returns (Calc)'!$A:$A)-3),"")</f>
        <v>582.01</v>
      </c>
      <c r="Z3" s="144" t="n">
        <f aca="false">IFERROR('Price History'!E3+(INDEX('Price History'!E:E,MATCH(9.99E+307,'Price History'!$A:$A))-'Price History'!E3)*(ROW()-3)/(MATCH(9.99E+307,'Returns (Calc)'!$A:$A)-3),"")</f>
        <v>82</v>
      </c>
      <c r="AA3" s="144" t="n">
        <f aca="false">IFERROR('Price History'!F3+(INDEX('Price History'!F:F,MATCH(9.99E+307,'Price History'!$A:$A))-'Price History'!F3)*(ROW()-3)/(MATCH(9.99E+307,'Returns (Calc)'!$A:$A)-3),"")</f>
        <v>75.31</v>
      </c>
      <c r="AB3" s="144" t="n">
        <f aca="false">IFERROR('Price History'!G3+(INDEX('Price History'!G:G,MATCH(9.99E+307,'Price History'!$A:$A))-'Price History'!G3)*(ROW()-3)/(MATCH(9.99E+307,'Returns (Calc)'!$A:$A)-3),"")</f>
        <v>41.36</v>
      </c>
      <c r="AC3" s="144" t="n">
        <f aca="false">IFERROR('Price History'!H3+(INDEX('Price History'!H:H,MATCH(9.99E+307,'Price History'!$A:$A))-'Price History'!H3)*(ROW()-3)/(MATCH(9.99E+307,'Returns (Calc)'!$A:$A)-3),"")</f>
        <v>100.59</v>
      </c>
      <c r="AD3" s="144" t="n">
        <f aca="false">IFERROR('Price History'!I3+(INDEX('Price History'!I:I,MATCH(9.99E+307,'Price History'!$A:$A))-'Price History'!I3)*(ROW()-3)/(MATCH(9.99E+307,'Returns (Calc)'!$A:$A)-3),"")</f>
        <v>44.35</v>
      </c>
      <c r="AE3" s="144" t="n">
        <f aca="false">IFERROR('Price History'!J3+(INDEX('Price History'!J:J,MATCH(9.99E+307,'Price History'!$A:$A))-'Price History'!J3)*(ROW()-3)/(MATCH(9.99E+307,'Returns (Calc)'!$A:$A)-3),"")</f>
        <v>69.11</v>
      </c>
      <c r="AF3" s="144" t="n">
        <f aca="false">IFERROR('Price History'!K3+(INDEX('Price History'!K:K,MATCH(9.99E+307,'Price History'!$A:$A))-'Price History'!K3)*(ROW()-3)/(MATCH(9.99E+307,'Returns (Calc)'!$A:$A)-3),"")</f>
        <v>43.77</v>
      </c>
      <c r="AG3" s="144" t="n">
        <f aca="false">IFERROR('Price History'!L3+(INDEX('Price History'!L:L,MATCH(9.99E+307,'Price History'!$A:$A))-'Price History'!L3)*(ROW()-3)/(MATCH(9.99E+307,'Returns (Calc)'!$A:$A)-3),"")</f>
        <v>111.84</v>
      </c>
      <c r="AH3" s="144" t="n">
        <f aca="false">IFERROR('Price History'!M3+(INDEX('Price History'!M:M,MATCH(9.99E+307,'Price History'!$A:$A))-'Price History'!M3)*(ROW()-3)/(MATCH(9.99E+307,'Returns (Calc)'!$A:$A)-3),"")</f>
        <v>15.33</v>
      </c>
      <c r="AI3" s="144" t="n">
        <f aca="false">IFERROR('Price History'!N3+(INDEX('Price History'!N:N,MATCH(9.99E+307,'Price History'!$A:$A))-'Price History'!N3)*(ROW()-3)/(MATCH(9.99E+307,'Returns (Calc)'!$A:$A)-3),"")</f>
        <v>21.8</v>
      </c>
      <c r="AJ3" s="144" t="n">
        <f aca="false">IFERROR('Price History'!O3+(INDEX('Price History'!O:O,MATCH(9.99E+307,'Price History'!$A:$A))-'Price History'!O3)*(ROW()-3)/(MATCH(9.99E+307,'Returns (Calc)'!$A:$A)-3),"")</f>
        <v>57.63</v>
      </c>
      <c r="AK3" s="144" t="n">
        <f aca="false">IFERROR('Price History'!Q3+(INDEX('Price History'!Q:Q,MATCH(9.99E+307,'Price History'!$A:$A))-'Price History'!Q3)*(ROW()-3)/(MATCH(9.99E+307,'Returns (Calc)'!$A:$A)-3),"")</f>
        <v>235.63</v>
      </c>
      <c r="AL3" s="144" t="n">
        <f aca="false">IFERROR('Price History'!R3+(INDEX('Price History'!R:R,MATCH(9.99E+307,'Price History'!$A:$A))-'Price History'!R3)*(ROW()-3)/(MATCH(9.99E+307,'Returns (Calc)'!$A:$A)-3),"")</f>
        <v>47.82</v>
      </c>
      <c r="AM3" s="144" t="n">
        <f aca="false">IFERROR('Price History'!S3+(INDEX('Price History'!S:S,MATCH(9.99E+307,'Price History'!$A:$A))-'Price History'!S3)*(ROW()-3)/(MATCH(9.99E+307,'Returns (Calc)'!$A:$A)-3),"")</f>
        <v>58.54</v>
      </c>
      <c r="AN3" s="144" t="n">
        <f aca="false">IFERROR('Price History'!T3+(INDEX('Price History'!T:T,MATCH(9.99E+307,'Price History'!$A:$A))-'Price History'!T3)*(ROW()-3)/(MATCH(9.99E+307,'Returns (Calc)'!$A:$A)-3),"")</f>
        <v>26.91</v>
      </c>
      <c r="AO3" s="145" t="n">
        <f aca="false">IFERROR('Price History'!V3+(INDEX('Price History'!V:V,MATCH(9.99E+307,'Price History'!$A:$A))-'Price History'!V3)*(ROW()-3)/(MATCH(9.99E+307,'Returns (Calc)'!$A:$A)-3),"")</f>
        <v>0</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0.0164136233073451</v>
      </c>
      <c r="G4" s="142" t="n">
        <f aca="false">IFERROR(IF(OR(NOT(ISNUMBER('Price History'!G5)),NOT(ISNUMBER('Price History'!G4)),'Price History'!G4=0),"",'Price History'!G5/'Price History'!G4-1),"")</f>
        <v>0.0297736220472442</v>
      </c>
      <c r="H4" s="142" t="n">
        <f aca="false">IFERROR(IF(OR(NOT(ISNUMBER('Price History'!H5)),NOT(ISNUMBER('Price History'!H4)),'Price History'!H4=0),"",'Price History'!H5/'Price History'!H4-1),"")</f>
        <v>-0.0187931735067045</v>
      </c>
      <c r="I4" s="142" t="n">
        <f aca="false">IFERROR(IF(OR(NOT(ISNUMBER('Price History'!I5)),NOT(ISNUMBER('Price History'!I4)),'Price History'!I4=0),"",'Price History'!I5/'Price History'!I4-1),"")</f>
        <v>0.0151858567543064</v>
      </c>
      <c r="J4" s="142" t="n">
        <f aca="false">IFERROR(IF(OR(NOT(ISNUMBER('Price History'!J5)),NOT(ISNUMBER('Price History'!J4)),'Price History'!J4=0),"",'Price History'!J5/'Price History'!J4-1),"")</f>
        <v>-0.0123311802701116</v>
      </c>
      <c r="K4" s="142" t="n">
        <f aca="false">IFERROR(IF(OR(NOT(ISNUMBER('Price History'!K5)),NOT(ISNUMBER('Price History'!K4)),'Price History'!K4=0),"",'Price History'!K5/'Price History'!K4-1),"")</f>
        <v>0.0453121234032297</v>
      </c>
      <c r="L4" s="142" t="n">
        <f aca="false">IFERROR(IF(OR(NOT(ISNUMBER('Price History'!L5)),NOT(ISNUMBER('Price History'!L4)),'Price History'!L4=0),"",'Price History'!L5/'Price History'!L4-1),"")</f>
        <v>-0.0163174664478131</v>
      </c>
      <c r="M4" s="142" t="n">
        <f aca="false">IFERROR(IF(OR(NOT(ISNUMBER('Price History'!M5)),NOT(ISNUMBER('Price History'!M4)),'Price History'!M4=0),"",'Price History'!M5/'Price History'!M4-1),"")</f>
        <v>0.132342533616419</v>
      </c>
      <c r="N4" s="142" t="n">
        <f aca="false">IFERROR(IF(OR(NOT(ISNUMBER('Price History'!N5)),NOT(ISNUMBER('Price History'!N4)),'Price History'!N4=0),"",'Price History'!N5/'Price History'!N4-1),"")</f>
        <v>-0.00751173708920183</v>
      </c>
      <c r="O4" s="142" t="n">
        <f aca="false">IFERROR(IF(OR(NOT(ISNUMBER('Price History'!O5)),NOT(ISNUMBER('Price History'!O4)),'Price History'!O4=0),"",'Price History'!O5/'Price History'!O4-1),"")</f>
        <v>-0.00302329717232785</v>
      </c>
      <c r="P4" s="142" t="n">
        <f aca="false">IFERROR(IF(OR(NOT(ISNUMBER('Price History'!P5)),NOT(ISNUMBER('Price History'!P4)),'Price History'!P4=0),"",'Price History'!P5/'Price History'!P4-1),"")</f>
        <v>0.0147058823529411</v>
      </c>
      <c r="Q4" s="142" t="n">
        <f aca="false">IFERROR(IF(OR(NOT(ISNUMBER('Price History'!Q5)),NOT(ISNUMBER('Price History'!Q4)),'Price History'!Q4=0),"",'Price History'!Q5/'Price History'!Q4-1),"")</f>
        <v>-0.0215858647401863</v>
      </c>
      <c r="R4" s="142" t="n">
        <f aca="false">IFERROR(IF(OR(NOT(ISNUMBER('Price History'!R5)),NOT(ISNUMBER('Price History'!R4)),'Price History'!R4=0),"",'Price History'!R5/'Price History'!R4-1),"")</f>
        <v>0.0159812486682294</v>
      </c>
      <c r="S4" s="142" t="n">
        <f aca="false">IFERROR(IF(OR(NOT(ISNUMBER('Price History'!S5)),NOT(ISNUMBER('Price History'!S4)),'Price History'!S4=0),"",'Price History'!S5/'Price History'!S4-1),"")</f>
        <v>-0.00275624461670965</v>
      </c>
      <c r="T4" s="142" t="n">
        <f aca="false">IFERROR(IF(OR(NOT(ISNUMBER('Price History'!T5)),NOT(ISNUMBER('Price History'!T4)),'Price History'!T4=0),"",'Price History'!T5/'Price History'!T4-1),"")</f>
        <v>-0.00801832760595655</v>
      </c>
      <c r="U4" s="142" t="str">
        <f aca="false">IFERROR(IF(OR(NOT(ISNUMBER('Price History'!U5)),NOT(ISNUMBER('Price History'!U4)),'Price History'!U4=0),"",'Price History'!U5/'Price History'!U4-1),"")</f>
        <v/>
      </c>
      <c r="V4" s="143" t="str">
        <f aca="false">IFERROR(IF(OR(NOT(ISNUMBER('Price History'!V5)),NOT(ISNUMBER('Price History'!V4)),'Price History'!V4=0),"",'Price History'!V5/'Price History'!V4-1),"")</f>
        <v/>
      </c>
      <c r="W4" s="144" t="str">
        <f aca="false">IFERROR('Price History'!B3+(INDEX('Price History'!B:B,MATCH(9.99E+307,'Price History'!$A:$A))-'Price History'!B3)*(ROW()-3)/(MATCH(9.99E+307,'Returns (Calc)'!$A:$A)-3),"")</f>
        <v/>
      </c>
      <c r="X4" s="144" t="n">
        <f aca="false">IFERROR('Price History'!C3+(INDEX('Price History'!C:C,MATCH(9.99E+307,'Price History'!$A:$A))-'Price History'!C3)*(ROW()-3)/(MATCH(9.99E+307,'Returns (Calc)'!$A:$A)-3),"")</f>
        <v>45.8877215189873</v>
      </c>
      <c r="Y4" s="144" t="n">
        <f aca="false">IFERROR('Price History'!D3+(INDEX('Price History'!D:D,MATCH(9.99E+307,'Price History'!$A:$A))-'Price History'!D3)*(ROW()-3)/(MATCH(9.99E+307,'Returns (Calc)'!$A:$A)-3),"")</f>
        <v>578.326392405063</v>
      </c>
      <c r="Z4" s="144" t="n">
        <f aca="false">IFERROR('Price History'!E3+(INDEX('Price History'!E:E,MATCH(9.99E+307,'Price History'!$A:$A))-'Price History'!E3)*(ROW()-3)/(MATCH(9.99E+307,'Returns (Calc)'!$A:$A)-3),"")</f>
        <v>81.4810126582279</v>
      </c>
      <c r="AA4" s="144" t="n">
        <f aca="false">IFERROR('Price History'!F3+(INDEX('Price History'!F:F,MATCH(9.99E+307,'Price History'!$A:$A))-'Price History'!F3)*(ROW()-3)/(MATCH(9.99E+307,'Returns (Calc)'!$A:$A)-3),"")</f>
        <v>74.8333544303797</v>
      </c>
      <c r="AB4" s="144" t="n">
        <f aca="false">IFERROR('Price History'!G3+(INDEX('Price History'!G:G,MATCH(9.99E+307,'Price History'!$A:$A))-'Price History'!G3)*(ROW()-3)/(MATCH(9.99E+307,'Returns (Calc)'!$A:$A)-3),"")</f>
        <v>41.0982278481013</v>
      </c>
      <c r="AC4" s="144" t="n">
        <f aca="false">IFERROR('Price History'!H3+(INDEX('Price History'!H:H,MATCH(9.99E+307,'Price History'!$A:$A))-'Price History'!H3)*(ROW()-3)/(MATCH(9.99E+307,'Returns (Calc)'!$A:$A)-3),"")</f>
        <v>99.9533544303798</v>
      </c>
      <c r="AD4" s="144" t="n">
        <f aca="false">IFERROR('Price History'!I3+(INDEX('Price History'!I:I,MATCH(9.99E+307,'Price History'!$A:$A))-'Price History'!I3)*(ROW()-3)/(MATCH(9.99E+307,'Returns (Calc)'!$A:$A)-3),"")</f>
        <v>44.0693037974684</v>
      </c>
      <c r="AE4" s="144" t="n">
        <f aca="false">IFERROR('Price History'!J3+(INDEX('Price History'!J:J,MATCH(9.99E+307,'Price History'!$A:$A))-'Price History'!J3)*(ROW()-3)/(MATCH(9.99E+307,'Returns (Calc)'!$A:$A)-3),"")</f>
        <v>68.6725949367089</v>
      </c>
      <c r="AF4" s="144" t="n">
        <f aca="false">IFERROR('Price History'!K3+(INDEX('Price History'!K:K,MATCH(9.99E+307,'Price History'!$A:$A))-'Price History'!K3)*(ROW()-3)/(MATCH(9.99E+307,'Returns (Calc)'!$A:$A)-3),"")</f>
        <v>43.4929746835443</v>
      </c>
      <c r="AG4" s="144" t="n">
        <f aca="false">IFERROR('Price History'!L3+(INDEX('Price History'!L:L,MATCH(9.99E+307,'Price History'!$A:$A))-'Price History'!L3)*(ROW()-3)/(MATCH(9.99E+307,'Returns (Calc)'!$A:$A)-3),"")</f>
        <v>111.132151898734</v>
      </c>
      <c r="AH4" s="144" t="n">
        <f aca="false">IFERROR('Price History'!M3+(INDEX('Price History'!M:M,MATCH(9.99E+307,'Price History'!$A:$A))-'Price History'!M3)*(ROW()-3)/(MATCH(9.99E+307,'Returns (Calc)'!$A:$A)-3),"")</f>
        <v>15.2329746835443</v>
      </c>
      <c r="AI4" s="144" t="n">
        <f aca="false">IFERROR('Price History'!N3+(INDEX('Price History'!N:N,MATCH(9.99E+307,'Price History'!$A:$A))-'Price History'!N3)*(ROW()-3)/(MATCH(9.99E+307,'Returns (Calc)'!$A:$A)-3),"")</f>
        <v>21.6620253164557</v>
      </c>
      <c r="AJ4" s="144" t="n">
        <f aca="false">IFERROR('Price History'!O3+(INDEX('Price History'!O:O,MATCH(9.99E+307,'Price History'!$A:$A))-'Price History'!O3)*(ROW()-3)/(MATCH(9.99E+307,'Returns (Calc)'!$A:$A)-3),"")</f>
        <v>57.265253164557</v>
      </c>
      <c r="AK4" s="144" t="n">
        <f aca="false">IFERROR('Price History'!Q3+(INDEX('Price History'!Q:Q,MATCH(9.99E+307,'Price History'!$A:$A))-'Price History'!Q3)*(ROW()-3)/(MATCH(9.99E+307,'Returns (Calc)'!$A:$A)-3),"")</f>
        <v>234.138670886076</v>
      </c>
      <c r="AL4" s="144" t="n">
        <f aca="false">IFERROR('Price History'!R3+(INDEX('Price History'!R:R,MATCH(9.99E+307,'Price History'!$A:$A))-'Price History'!R3)*(ROW()-3)/(MATCH(9.99E+307,'Returns (Calc)'!$A:$A)-3),"")</f>
        <v>47.5173417721519</v>
      </c>
      <c r="AM4" s="144" t="n">
        <f aca="false">IFERROR('Price History'!S3+(INDEX('Price History'!S:S,MATCH(9.99E+307,'Price History'!$A:$A))-'Price History'!S3)*(ROW()-3)/(MATCH(9.99E+307,'Returns (Calc)'!$A:$A)-3),"")</f>
        <v>58.1694936708861</v>
      </c>
      <c r="AN4" s="144" t="n">
        <f aca="false">IFERROR('Price History'!T3+(INDEX('Price History'!T:T,MATCH(9.99E+307,'Price History'!$A:$A))-'Price History'!T3)*(ROW()-3)/(MATCH(9.99E+307,'Returns (Calc)'!$A:$A)-3),"")</f>
        <v>26.7396835443038</v>
      </c>
      <c r="AO4" s="145" t="n">
        <f aca="false">IFERROR('Price History'!V3+(INDEX('Price History'!V:V,MATCH(9.99E+307,'Price History'!$A:$A))-'Price History'!V3)*(ROW()-3)/(MATCH(9.99E+307,'Returns (Calc)'!$A:$A)-3),"")</f>
        <v>0</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-0.0301439913874312</v>
      </c>
      <c r="G5" s="142" t="n">
        <f aca="false">IFERROR(IF(OR(NOT(ISNUMBER('Price History'!G6)),NOT(ISNUMBER('Price History'!G5)),'Price History'!G5=0),"",'Price History'!G6/'Price History'!G5-1),"")</f>
        <v>0.055436081242533</v>
      </c>
      <c r="H5" s="142" t="n">
        <f aca="false">IFERROR(IF(OR(NOT(ISNUMBER('Price History'!H6)),NOT(ISNUMBER('Price History'!H5)),'Price History'!H5=0),"",'Price History'!H6/'Price History'!H5-1),"")</f>
        <v>-0.0222590330261933</v>
      </c>
      <c r="I5" s="142" t="n">
        <f aca="false">IFERROR(IF(OR(NOT(ISNUMBER('Price History'!I6)),NOT(ISNUMBER('Price History'!I5)),'Price History'!I5=0),"",'Price History'!I6/'Price History'!I5-1),"")</f>
        <v>0.0203170350524671</v>
      </c>
      <c r="J5" s="142" t="n">
        <f aca="false">IFERROR(IF(OR(NOT(ISNUMBER('Price History'!J6)),NOT(ISNUMBER('Price History'!J5)),'Price History'!J5=0),"",'Price History'!J6/'Price History'!J5-1),"")</f>
        <v>0.0300237812128419</v>
      </c>
      <c r="K5" s="142" t="n">
        <f aca="false">IFERROR(IF(OR(NOT(ISNUMBER('Price History'!K6)),NOT(ISNUMBER('Price History'!K5)),'Price History'!K5=0),"",'Price History'!K6/'Price History'!K5-1),"")</f>
        <v>0.0521097532856816</v>
      </c>
      <c r="L5" s="142" t="n">
        <f aca="false">IFERROR(IF(OR(NOT(ISNUMBER('Price History'!L6)),NOT(ISNUMBER('Price History'!L5)),'Price History'!L5=0),"",'Price History'!L6/'Price History'!L5-1),"")</f>
        <v>-0.0294464075382803</v>
      </c>
      <c r="M5" s="142" t="n">
        <f aca="false">IFERROR(IF(OR(NOT(ISNUMBER('Price History'!M6)),NOT(ISNUMBER('Price History'!M5)),'Price History'!M5=0),"",'Price History'!M6/'Price History'!M5-1),"")</f>
        <v>0.038125</v>
      </c>
      <c r="N5" s="142" t="n">
        <f aca="false">IFERROR(IF(OR(NOT(ISNUMBER('Price History'!N6)),NOT(ISNUMBER('Price History'!N5)),'Price History'!N5=0),"",'Price History'!N6/'Price History'!N5-1),"")</f>
        <v>-0.0160832544938505</v>
      </c>
      <c r="O5" s="142" t="n">
        <f aca="false">IFERROR(IF(OR(NOT(ISNUMBER('Price History'!O6)),NOT(ISNUMBER('Price History'!O5)),'Price History'!O5=0),"",'Price History'!O6/'Price History'!O5-1),"")</f>
        <v>0.0110595790224759</v>
      </c>
      <c r="P5" s="142" t="n">
        <f aca="false">IFERROR(IF(OR(NOT(ISNUMBER('Price History'!P6)),NOT(ISNUMBER('Price History'!P5)),'Price History'!P5=0),"",'Price History'!P6/'Price History'!P5-1),"")</f>
        <v>0.0275482093663912</v>
      </c>
      <c r="Q5" s="142" t="n">
        <f aca="false">IFERROR(IF(OR(NOT(ISNUMBER('Price History'!Q6)),NOT(ISNUMBER('Price History'!Q5)),'Price History'!Q5=0),"",'Price History'!Q6/'Price History'!Q5-1),"")</f>
        <v>0.0218841740058715</v>
      </c>
      <c r="R5" s="142" t="n">
        <f aca="false">IFERROR(IF(OR(NOT(ISNUMBER('Price History'!R6)),NOT(ISNUMBER('Price History'!R5)),'Price History'!R5=0),"",'Price History'!R6/'Price History'!R5-1),"")</f>
        <v>0.018246644295302</v>
      </c>
      <c r="S5" s="142" t="n">
        <f aca="false">IFERROR(IF(OR(NOT(ISNUMBER('Price History'!S6)),NOT(ISNUMBER('Price History'!S5)),'Price History'!S5=0),"",'Price History'!S6/'Price History'!S5-1),"")</f>
        <v>0.0160649507686992</v>
      </c>
      <c r="T5" s="142" t="n">
        <f aca="false">IFERROR(IF(OR(NOT(ISNUMBER('Price History'!T6)),NOT(ISNUMBER('Price History'!T5)),'Price History'!T5=0),"",'Price History'!T6/'Price History'!T5-1),"")</f>
        <v>0.0261739799846035</v>
      </c>
      <c r="U5" s="142" t="str">
        <f aca="false">IFERROR(IF(OR(NOT(ISNUMBER('Price History'!U6)),NOT(ISNUMBER('Price History'!U5)),'Price History'!U5=0),"",'Price History'!U6/'Price History'!U5-1),"")</f>
        <v/>
      </c>
      <c r="V5" s="143" t="str">
        <f aca="false">IFERROR(IF(OR(NOT(ISNUMBER('Price History'!V6)),NOT(ISNUMBER('Price History'!V5)),'Price History'!V5=0),"",'Price History'!V6/'Price History'!V5-1),"")</f>
        <v/>
      </c>
      <c r="W5" s="144" t="str">
        <f aca="false">IFERROR('Price History'!B3+(INDEX('Price History'!B:B,MATCH(9.99E+307,'Price History'!$A:$A))-'Price History'!B3)*(ROW()-3)/(MATCH(9.99E+307,'Returns (Calc)'!$A:$A)-3),"")</f>
        <v/>
      </c>
      <c r="X5" s="144" t="n">
        <f aca="false">IFERROR('Price History'!C3+(INDEX('Price History'!C:C,MATCH(9.99E+307,'Price History'!$A:$A))-'Price History'!C3)*(ROW()-3)/(MATCH(9.99E+307,'Returns (Calc)'!$A:$A)-3),"")</f>
        <v>45.5954430379747</v>
      </c>
      <c r="Y5" s="144" t="n">
        <f aca="false">IFERROR('Price History'!D3+(INDEX('Price History'!D:D,MATCH(9.99E+307,'Price History'!$A:$A))-'Price History'!D3)*(ROW()-3)/(MATCH(9.99E+307,'Returns (Calc)'!$A:$A)-3),"")</f>
        <v>574.642784810127</v>
      </c>
      <c r="Z5" s="144" t="n">
        <f aca="false">IFERROR('Price History'!E3+(INDEX('Price History'!E:E,MATCH(9.99E+307,'Price History'!$A:$A))-'Price History'!E3)*(ROW()-3)/(MATCH(9.99E+307,'Returns (Calc)'!$A:$A)-3),"")</f>
        <v>80.9620253164557</v>
      </c>
      <c r="AA5" s="144" t="n">
        <f aca="false">IFERROR('Price History'!F3+(INDEX('Price History'!F:F,MATCH(9.99E+307,'Price History'!$A:$A))-'Price History'!F3)*(ROW()-3)/(MATCH(9.99E+307,'Returns (Calc)'!$A:$A)-3),"")</f>
        <v>74.3567088607595</v>
      </c>
      <c r="AB5" s="144" t="n">
        <f aca="false">IFERROR('Price History'!G3+(INDEX('Price History'!G:G,MATCH(9.99E+307,'Price History'!$A:$A))-'Price History'!G3)*(ROW()-3)/(MATCH(9.99E+307,'Returns (Calc)'!$A:$A)-3),"")</f>
        <v>40.8364556962025</v>
      </c>
      <c r="AC5" s="144" t="n">
        <f aca="false">IFERROR('Price History'!H3+(INDEX('Price History'!H:H,MATCH(9.99E+307,'Price History'!$A:$A))-'Price History'!H3)*(ROW()-3)/(MATCH(9.99E+307,'Returns (Calc)'!$A:$A)-3),"")</f>
        <v>99.3167088607595</v>
      </c>
      <c r="AD5" s="144" t="n">
        <f aca="false">IFERROR('Price History'!I3+(INDEX('Price History'!I:I,MATCH(9.99E+307,'Price History'!$A:$A))-'Price History'!I3)*(ROW()-3)/(MATCH(9.99E+307,'Returns (Calc)'!$A:$A)-3),"")</f>
        <v>43.7886075949367</v>
      </c>
      <c r="AE5" s="144" t="n">
        <f aca="false">IFERROR('Price History'!J3+(INDEX('Price History'!J:J,MATCH(9.99E+307,'Price History'!$A:$A))-'Price History'!J3)*(ROW()-3)/(MATCH(9.99E+307,'Returns (Calc)'!$A:$A)-3),"")</f>
        <v>68.2351898734177</v>
      </c>
      <c r="AF5" s="144" t="n">
        <f aca="false">IFERROR('Price History'!K3+(INDEX('Price History'!K:K,MATCH(9.99E+307,'Price History'!$A:$A))-'Price History'!K3)*(ROW()-3)/(MATCH(9.99E+307,'Returns (Calc)'!$A:$A)-3),"")</f>
        <v>43.2159493670886</v>
      </c>
      <c r="AG5" s="144" t="n">
        <f aca="false">IFERROR('Price History'!L3+(INDEX('Price History'!L:L,MATCH(9.99E+307,'Price History'!$A:$A))-'Price History'!L3)*(ROW()-3)/(MATCH(9.99E+307,'Returns (Calc)'!$A:$A)-3),"")</f>
        <v>110.424303797468</v>
      </c>
      <c r="AH5" s="144" t="n">
        <f aca="false">IFERROR('Price History'!M3+(INDEX('Price History'!M:M,MATCH(9.99E+307,'Price History'!$A:$A))-'Price History'!M3)*(ROW()-3)/(MATCH(9.99E+307,'Returns (Calc)'!$A:$A)-3),"")</f>
        <v>15.1359493670886</v>
      </c>
      <c r="AI5" s="144" t="n">
        <f aca="false">IFERROR('Price History'!N3+(INDEX('Price History'!N:N,MATCH(9.99E+307,'Price History'!$A:$A))-'Price History'!N3)*(ROW()-3)/(MATCH(9.99E+307,'Returns (Calc)'!$A:$A)-3),"")</f>
        <v>21.5240506329114</v>
      </c>
      <c r="AJ5" s="144" t="n">
        <f aca="false">IFERROR('Price History'!O3+(INDEX('Price History'!O:O,MATCH(9.99E+307,'Price History'!$A:$A))-'Price History'!O3)*(ROW()-3)/(MATCH(9.99E+307,'Returns (Calc)'!$A:$A)-3),"")</f>
        <v>56.9005063291139</v>
      </c>
      <c r="AK5" s="144" t="n">
        <f aca="false">IFERROR('Price History'!Q3+(INDEX('Price History'!Q:Q,MATCH(9.99E+307,'Price History'!$A:$A))-'Price History'!Q3)*(ROW()-3)/(MATCH(9.99E+307,'Returns (Calc)'!$A:$A)-3),"")</f>
        <v>232.647341772152</v>
      </c>
      <c r="AL5" s="144" t="n">
        <f aca="false">IFERROR('Price History'!R3+(INDEX('Price History'!R:R,MATCH(9.99E+307,'Price History'!$A:$A))-'Price History'!R3)*(ROW()-3)/(MATCH(9.99E+307,'Returns (Calc)'!$A:$A)-3),"")</f>
        <v>47.2146835443038</v>
      </c>
      <c r="AM5" s="144" t="n">
        <f aca="false">IFERROR('Price History'!S3+(INDEX('Price History'!S:S,MATCH(9.99E+307,'Price History'!$A:$A))-'Price History'!S3)*(ROW()-3)/(MATCH(9.99E+307,'Returns (Calc)'!$A:$A)-3),"")</f>
        <v>57.7989873417722</v>
      </c>
      <c r="AN5" s="144" t="n">
        <f aca="false">IFERROR('Price History'!T3+(INDEX('Price History'!T:T,MATCH(9.99E+307,'Price History'!$A:$A))-'Price History'!T3)*(ROW()-3)/(MATCH(9.99E+307,'Returns (Calc)'!$A:$A)-3),"")</f>
        <v>26.5693670886076</v>
      </c>
      <c r="AO5" s="145" t="n">
        <f aca="false">IFERROR('Price History'!V3+(INDEX('Price History'!V:V,MATCH(9.99E+307,'Price History'!$A:$A))-'Price History'!V3)*(ROW()-3)/(MATCH(9.99E+307,'Returns (Calc)'!$A:$A)-3),"")</f>
        <v>0</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0.00263632579436668</v>
      </c>
      <c r="G6" s="142" t="n">
        <f aca="false">IFERROR(IF(OR(NOT(ISNUMBER('Price History'!G7)),NOT(ISNUMBER('Price History'!G6)),'Price History'!G6=0),"",'Price History'!G7/'Price History'!G6-1),"")</f>
        <v>0.0511659497396422</v>
      </c>
      <c r="H6" s="142" t="n">
        <f aca="false">IFERROR(IF(OR(NOT(ISNUMBER('Price History'!H7)),NOT(ISNUMBER('Price History'!H6)),'Price History'!H6=0),"",'Price History'!H7/'Price History'!H6-1),"")</f>
        <v>0.0136594663278273</v>
      </c>
      <c r="I6" s="142" t="n">
        <f aca="false">IFERROR(IF(OR(NOT(ISNUMBER('Price History'!I7)),NOT(ISNUMBER('Price History'!I6)),'Price History'!I6=0),"",'Price History'!I7/'Price History'!I6-1),"")</f>
        <v>0.0402625820568927</v>
      </c>
      <c r="J6" s="142" t="n">
        <f aca="false">IFERROR(IF(OR(NOT(ISNUMBER('Price History'!J7)),NOT(ISNUMBER('Price History'!J6)),'Price History'!J6=0),"",'Price History'!J7/'Price History'!J6-1),"")</f>
        <v>-0.0106782106782106</v>
      </c>
      <c r="K6" s="142" t="n">
        <f aca="false">IFERROR(IF(OR(NOT(ISNUMBER('Price History'!K7)),NOT(ISNUMBER('Price History'!K6)),'Price History'!K6=0),"",'Price History'!K7/'Price History'!K6-1),"")</f>
        <v>-0.00657462195923741</v>
      </c>
      <c r="L6" s="142" t="n">
        <f aca="false">IFERROR(IF(OR(NOT(ISNUMBER('Price History'!L7)),NOT(ISNUMBER('Price History'!L6)),'Price History'!L6=0),"",'Price History'!L7/'Price History'!L6-1),"")</f>
        <v>0.00687702265372181</v>
      </c>
      <c r="M6" s="142" t="n">
        <f aca="false">IFERROR(IF(OR(NOT(ISNUMBER('Price History'!M7)),NOT(ISNUMBER('Price History'!M6)),'Price History'!M6=0),"",'Price History'!M7/'Price History'!M6-1),"")</f>
        <v>0.0451535219747141</v>
      </c>
      <c r="N6" s="142" t="n">
        <f aca="false">IFERROR(IF(OR(NOT(ISNUMBER('Price History'!N7)),NOT(ISNUMBER('Price History'!N6)),'Price History'!N6=0),"",'Price History'!N7/'Price History'!N6-1),"")</f>
        <v>0.0100961538461539</v>
      </c>
      <c r="O6" s="142" t="n">
        <f aca="false">IFERROR(IF(OR(NOT(ISNUMBER('Price History'!O7)),NOT(ISNUMBER('Price History'!O6)),'Price History'!O6=0),"",'Price History'!O7/'Price History'!O6-1),"")</f>
        <v>0.00564573041637262</v>
      </c>
      <c r="P6" s="142" t="n">
        <f aca="false">IFERROR(IF(OR(NOT(ISNUMBER('Price History'!P7)),NOT(ISNUMBER('Price History'!P6)),'Price History'!P6=0),"",'Price History'!P7/'Price History'!P6-1),"")</f>
        <v>0.0131716983331389</v>
      </c>
      <c r="Q6" s="142" t="n">
        <f aca="false">IFERROR(IF(OR(NOT(ISNUMBER('Price History'!Q7)),NOT(ISNUMBER('Price History'!Q6)),'Price History'!Q6=0),"",'Price History'!Q7/'Price History'!Q6-1),"")</f>
        <v>0.0111865587185513</v>
      </c>
      <c r="R6" s="142" t="n">
        <f aca="false">IFERROR(IF(OR(NOT(ISNUMBER('Price History'!R7)),NOT(ISNUMBER('Price History'!R6)),'Price History'!R6=0),"",'Price History'!R7/'Price History'!R6-1),"")</f>
        <v>-0.00659114315139031</v>
      </c>
      <c r="S6" s="142" t="n">
        <f aca="false">IFERROR(IF(OR(NOT(ISNUMBER('Price History'!S7)),NOT(ISNUMBER('Price History'!S6)),'Price History'!S6=0),"",'Price History'!S7/'Price History'!S6-1),"")</f>
        <v>0.00595035702142122</v>
      </c>
      <c r="T6" s="142" t="n">
        <f aca="false">IFERROR(IF(OR(NOT(ISNUMBER('Price History'!T7)),NOT(ISNUMBER('Price History'!T6)),'Price History'!T6=0),"",'Price History'!T7/'Price History'!T6-1),"")</f>
        <v>-0.00712678169542391</v>
      </c>
      <c r="U6" s="142" t="str">
        <f aca="false">IFERROR(IF(OR(NOT(ISNUMBER('Price History'!U7)),NOT(ISNUMBER('Price History'!U6)),'Price History'!U6=0),"",'Price History'!U7/'Price History'!U6-1),"")</f>
        <v/>
      </c>
      <c r="V6" s="143" t="str">
        <f aca="false">IFERROR(IF(OR(NOT(ISNUMBER('Price History'!V7)),NOT(ISNUMBER('Price History'!V6)),'Price History'!V6=0),"",'Price History'!V7/'Price History'!V6-1),"")</f>
        <v/>
      </c>
      <c r="W6" s="144" t="str">
        <f aca="false">IFERROR('Price History'!B3+(INDEX('Price History'!B:B,MATCH(9.99E+307,'Price History'!$A:$A))-'Price History'!B3)*(ROW()-3)/(MATCH(9.99E+307,'Returns (Calc)'!$A:$A)-3),"")</f>
        <v/>
      </c>
      <c r="X6" s="144" t="n">
        <f aca="false">IFERROR('Price History'!C3+(INDEX('Price History'!C:C,MATCH(9.99E+307,'Price History'!$A:$A))-'Price History'!C3)*(ROW()-3)/(MATCH(9.99E+307,'Returns (Calc)'!$A:$A)-3),"")</f>
        <v>45.303164556962</v>
      </c>
      <c r="Y6" s="144" t="n">
        <f aca="false">IFERROR('Price History'!D3+(INDEX('Price History'!D:D,MATCH(9.99E+307,'Price History'!$A:$A))-'Price History'!D3)*(ROW()-3)/(MATCH(9.99E+307,'Returns (Calc)'!$A:$A)-3),"")</f>
        <v>570.95917721519</v>
      </c>
      <c r="Z6" s="144" t="n">
        <f aca="false">IFERROR('Price History'!E3+(INDEX('Price History'!E:E,MATCH(9.99E+307,'Price History'!$A:$A))-'Price History'!E3)*(ROW()-3)/(MATCH(9.99E+307,'Returns (Calc)'!$A:$A)-3),"")</f>
        <v>80.4430379746836</v>
      </c>
      <c r="AA6" s="144" t="n">
        <f aca="false">IFERROR('Price History'!F3+(INDEX('Price History'!F:F,MATCH(9.99E+307,'Price History'!$A:$A))-'Price History'!F3)*(ROW()-3)/(MATCH(9.99E+307,'Returns (Calc)'!$A:$A)-3),"")</f>
        <v>73.8800632911392</v>
      </c>
      <c r="AB6" s="144" t="n">
        <f aca="false">IFERROR('Price History'!G3+(INDEX('Price History'!G:G,MATCH(9.99E+307,'Price History'!$A:$A))-'Price History'!G3)*(ROW()-3)/(MATCH(9.99E+307,'Returns (Calc)'!$A:$A)-3),"")</f>
        <v>40.5746835443038</v>
      </c>
      <c r="AC6" s="144" t="n">
        <f aca="false">IFERROR('Price History'!H3+(INDEX('Price History'!H:H,MATCH(9.99E+307,'Price History'!$A:$A))-'Price History'!H3)*(ROW()-3)/(MATCH(9.99E+307,'Returns (Calc)'!$A:$A)-3),"")</f>
        <v>98.6800632911393</v>
      </c>
      <c r="AD6" s="144" t="n">
        <f aca="false">IFERROR('Price History'!I3+(INDEX('Price History'!I:I,MATCH(9.99E+307,'Price History'!$A:$A))-'Price History'!I3)*(ROW()-3)/(MATCH(9.99E+307,'Returns (Calc)'!$A:$A)-3),"")</f>
        <v>43.5079113924051</v>
      </c>
      <c r="AE6" s="144" t="n">
        <f aca="false">IFERROR('Price History'!J3+(INDEX('Price History'!J:J,MATCH(9.99E+307,'Price History'!$A:$A))-'Price History'!J3)*(ROW()-3)/(MATCH(9.99E+307,'Returns (Calc)'!$A:$A)-3),"")</f>
        <v>67.7977848101266</v>
      </c>
      <c r="AF6" s="144" t="n">
        <f aca="false">IFERROR('Price History'!K3+(INDEX('Price History'!K:K,MATCH(9.99E+307,'Price History'!$A:$A))-'Price History'!K3)*(ROW()-3)/(MATCH(9.99E+307,'Returns (Calc)'!$A:$A)-3),"")</f>
        <v>42.9389240506329</v>
      </c>
      <c r="AG6" s="144" t="n">
        <f aca="false">IFERROR('Price History'!L3+(INDEX('Price History'!L:L,MATCH(9.99E+307,'Price History'!$A:$A))-'Price History'!L3)*(ROW()-3)/(MATCH(9.99E+307,'Returns (Calc)'!$A:$A)-3),"")</f>
        <v>109.716455696203</v>
      </c>
      <c r="AH6" s="144" t="n">
        <f aca="false">IFERROR('Price History'!M3+(INDEX('Price History'!M:M,MATCH(9.99E+307,'Price History'!$A:$A))-'Price History'!M3)*(ROW()-3)/(MATCH(9.99E+307,'Returns (Calc)'!$A:$A)-3),"")</f>
        <v>15.0389240506329</v>
      </c>
      <c r="AI6" s="144" t="n">
        <f aca="false">IFERROR('Price History'!N3+(INDEX('Price History'!N:N,MATCH(9.99E+307,'Price History'!$A:$A))-'Price History'!N3)*(ROW()-3)/(MATCH(9.99E+307,'Returns (Calc)'!$A:$A)-3),"")</f>
        <v>21.3860759493671</v>
      </c>
      <c r="AJ6" s="144" t="n">
        <f aca="false">IFERROR('Price History'!O3+(INDEX('Price History'!O:O,MATCH(9.99E+307,'Price History'!$A:$A))-'Price History'!O3)*(ROW()-3)/(MATCH(9.99E+307,'Returns (Calc)'!$A:$A)-3),"")</f>
        <v>56.5357594936709</v>
      </c>
      <c r="AK6" s="144" t="n">
        <f aca="false">IFERROR('Price History'!Q3+(INDEX('Price History'!Q:Q,MATCH(9.99E+307,'Price History'!$A:$A))-'Price History'!Q3)*(ROW()-3)/(MATCH(9.99E+307,'Returns (Calc)'!$A:$A)-3),"")</f>
        <v>231.156012658228</v>
      </c>
      <c r="AL6" s="144" t="n">
        <f aca="false">IFERROR('Price History'!R3+(INDEX('Price History'!R:R,MATCH(9.99E+307,'Price History'!$A:$A))-'Price History'!R3)*(ROW()-3)/(MATCH(9.99E+307,'Returns (Calc)'!$A:$A)-3),"")</f>
        <v>46.9120253164557</v>
      </c>
      <c r="AM6" s="144" t="n">
        <f aca="false">IFERROR('Price History'!S3+(INDEX('Price History'!S:S,MATCH(9.99E+307,'Price History'!$A:$A))-'Price History'!S3)*(ROW()-3)/(MATCH(9.99E+307,'Returns (Calc)'!$A:$A)-3),"")</f>
        <v>57.4284810126582</v>
      </c>
      <c r="AN6" s="144" t="n">
        <f aca="false">IFERROR('Price History'!T3+(INDEX('Price History'!T:T,MATCH(9.99E+307,'Price History'!$A:$A))-'Price History'!T3)*(ROW()-3)/(MATCH(9.99E+307,'Returns (Calc)'!$A:$A)-3),"")</f>
        <v>26.3990506329114</v>
      </c>
      <c r="AO6" s="145" t="n">
        <f aca="false">IFERROR('Price History'!V3+(INDEX('Price History'!V:V,MATCH(9.99E+307,'Price History'!$A:$A))-'Price History'!V3)*(ROW()-3)/(MATCH(9.99E+307,'Returns (Calc)'!$A:$A)-3),"")</f>
        <v>0</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-0.0167450871851648</v>
      </c>
      <c r="G7" s="142" t="n">
        <f aca="false">IFERROR(IF(OR(NOT(ISNUMBER('Price History'!G8)),NOT(ISNUMBER('Price History'!G7)),'Price History'!G7=0),"",'Price History'!G8/'Price History'!G7-1),"")</f>
        <v>-0.0374757699763084</v>
      </c>
      <c r="H7" s="142" t="n">
        <f aca="false">IFERROR(IF(OR(NOT(ISNUMBER('Price History'!H8)),NOT(ISNUMBER('Price History'!H7)),'Price History'!H7=0),"",'Price History'!H8/'Price History'!H7-1),"")</f>
        <v>-0.019011804032174</v>
      </c>
      <c r="I7" s="142" t="n">
        <f aca="false">IFERROR(IF(OR(NOT(ISNUMBER('Price History'!I8)),NOT(ISNUMBER('Price History'!I7)),'Price History'!I7=0),"",'Price History'!I8/'Price History'!I7-1),"")</f>
        <v>-0.0500631047538915</v>
      </c>
      <c r="J7" s="142" t="n">
        <f aca="false">IFERROR(IF(OR(NOT(ISNUMBER('Price History'!J8)),NOT(ISNUMBER('Price History'!J7)),'Price History'!J7=0),"",'Price History'!J8/'Price History'!J7-1),"")</f>
        <v>-0.0287339556592765</v>
      </c>
      <c r="K7" s="142" t="n">
        <f aca="false">IFERROR(IF(OR(NOT(ISNUMBER('Price History'!K8)),NOT(ISNUMBER('Price History'!K7)),'Price History'!K7=0),"",'Price History'!K8/'Price History'!K7-1),"")</f>
        <v>-0.0897860136774763</v>
      </c>
      <c r="L7" s="142" t="n">
        <f aca="false">IFERROR(IF(OR(NOT(ISNUMBER('Price History'!L8)),NOT(ISNUMBER('Price History'!L7)),'Price History'!L7=0),"",'Price History'!L8/'Price History'!L7-1),"")</f>
        <v>-0.0658899156287666</v>
      </c>
      <c r="M7" s="142" t="n">
        <f aca="false">IFERROR(IF(OR(NOT(ISNUMBER('Price History'!M8)),NOT(ISNUMBER('Price History'!M7)),'Price History'!M7=0),"",'Price History'!M8/'Price History'!M7-1),"")</f>
        <v>-0.0720046082949308</v>
      </c>
      <c r="N7" s="142" t="n">
        <f aca="false">IFERROR(IF(OR(NOT(ISNUMBER('Price History'!N8)),NOT(ISNUMBER('Price History'!N7)),'Price History'!N7=0),"",'Price History'!N8/'Price History'!N7-1),"")</f>
        <v>-0.0147548786292243</v>
      </c>
      <c r="O7" s="142" t="n">
        <f aca="false">IFERROR(IF(OR(NOT(ISNUMBER('Price History'!O8)),NOT(ISNUMBER('Price History'!O7)),'Price History'!O7=0),"",'Price History'!O8/'Price History'!O7-1),"")</f>
        <v>-0.0289473684210526</v>
      </c>
      <c r="P7" s="142" t="n">
        <f aca="false">IFERROR(IF(OR(NOT(ISNUMBER('Price History'!P8)),NOT(ISNUMBER('Price History'!P7)),'Price History'!P7=0),"",'Price History'!P8/'Price History'!P7-1),"")</f>
        <v>0.00931891394385653</v>
      </c>
      <c r="Q7" s="142" t="n">
        <f aca="false">IFERROR(IF(OR(NOT(ISNUMBER('Price History'!Q8)),NOT(ISNUMBER('Price History'!Q7)),'Price History'!Q7=0),"",'Price History'!Q8/'Price History'!Q7-1),"")</f>
        <v>-0.0180362446730662</v>
      </c>
      <c r="R7" s="142" t="n">
        <f aca="false">IFERROR(IF(OR(NOT(ISNUMBER('Price History'!R8)),NOT(ISNUMBER('Price History'!R7)),'Price History'!R7=0),"",'Price History'!R8/'Price History'!R7-1),"")</f>
        <v>-0.000414679659962558</v>
      </c>
      <c r="S7" s="142" t="n">
        <f aca="false">IFERROR(IF(OR(NOT(ISNUMBER('Price History'!S8)),NOT(ISNUMBER('Price History'!S7)),'Price History'!S7=0),"",'Price History'!S8/'Price History'!S7-1),"")</f>
        <v>0</v>
      </c>
      <c r="T7" s="142" t="n">
        <f aca="false">IFERROR(IF(OR(NOT(ISNUMBER('Price History'!T8)),NOT(ISNUMBER('Price History'!T7)),'Price History'!T7=0),"",'Price History'!T8/'Price History'!T7-1),"")</f>
        <v>-0.0064223649414431</v>
      </c>
      <c r="U7" s="142" t="str">
        <f aca="false">IFERROR(IF(OR(NOT(ISNUMBER('Price History'!U8)),NOT(ISNUMBER('Price History'!U7)),'Price History'!U7=0),"",'Price History'!U8/'Price History'!U7-1),"")</f>
        <v/>
      </c>
      <c r="V7" s="143" t="n">
        <f aca="false">IFERROR(IF(OR(NOT(ISNUMBER('Price History'!V8)),NOT(ISNUMBER('Price History'!V7)),'Price History'!V7=0),"",'Price History'!V8/'Price History'!V7-1),"")</f>
        <v>-0.025154110297464</v>
      </c>
      <c r="W7" s="144" t="str">
        <f aca="false">IFERROR('Price History'!B3+(INDEX('Price History'!B:B,MATCH(9.99E+307,'Price History'!$A:$A))-'Price History'!B3)*(ROW()-3)/(MATCH(9.99E+307,'Returns (Calc)'!$A:$A)-3),"")</f>
        <v/>
      </c>
      <c r="X7" s="144" t="n">
        <f aca="false">IFERROR('Price History'!C3+(INDEX('Price History'!C:C,MATCH(9.99E+307,'Price History'!$A:$A))-'Price History'!C3)*(ROW()-3)/(MATCH(9.99E+307,'Returns (Calc)'!$A:$A)-3),"")</f>
        <v>45.0108860759494</v>
      </c>
      <c r="Y7" s="144" t="n">
        <f aca="false">IFERROR('Price History'!D3+(INDEX('Price History'!D:D,MATCH(9.99E+307,'Price History'!$A:$A))-'Price History'!D3)*(ROW()-3)/(MATCH(9.99E+307,'Returns (Calc)'!$A:$A)-3),"")</f>
        <v>567.275569620253</v>
      </c>
      <c r="Z7" s="144" t="n">
        <f aca="false">IFERROR('Price History'!E3+(INDEX('Price History'!E:E,MATCH(9.99E+307,'Price History'!$A:$A))-'Price History'!E3)*(ROW()-3)/(MATCH(9.99E+307,'Returns (Calc)'!$A:$A)-3),"")</f>
        <v>79.9240506329114</v>
      </c>
      <c r="AA7" s="144" t="n">
        <f aca="false">IFERROR('Price History'!F3+(INDEX('Price History'!F:F,MATCH(9.99E+307,'Price History'!$A:$A))-'Price History'!F3)*(ROW()-3)/(MATCH(9.99E+307,'Returns (Calc)'!$A:$A)-3),"")</f>
        <v>73.403417721519</v>
      </c>
      <c r="AB7" s="144" t="n">
        <f aca="false">IFERROR('Price History'!G3+(INDEX('Price History'!G:G,MATCH(9.99E+307,'Price History'!$A:$A))-'Price History'!G3)*(ROW()-3)/(MATCH(9.99E+307,'Returns (Calc)'!$A:$A)-3),"")</f>
        <v>40.3129113924051</v>
      </c>
      <c r="AC7" s="144" t="n">
        <f aca="false">IFERROR('Price History'!H3+(INDEX('Price History'!H:H,MATCH(9.99E+307,'Price History'!$A:$A))-'Price History'!H3)*(ROW()-3)/(MATCH(9.99E+307,'Returns (Calc)'!$A:$A)-3),"")</f>
        <v>98.043417721519</v>
      </c>
      <c r="AD7" s="144" t="n">
        <f aca="false">IFERROR('Price History'!I3+(INDEX('Price History'!I:I,MATCH(9.99E+307,'Price History'!$A:$A))-'Price History'!I3)*(ROW()-3)/(MATCH(9.99E+307,'Returns (Calc)'!$A:$A)-3),"")</f>
        <v>43.2272151898734</v>
      </c>
      <c r="AE7" s="144" t="n">
        <f aca="false">IFERROR('Price History'!J3+(INDEX('Price History'!J:J,MATCH(9.99E+307,'Price History'!$A:$A))-'Price History'!J3)*(ROW()-3)/(MATCH(9.99E+307,'Returns (Calc)'!$A:$A)-3),"")</f>
        <v>67.3603797468355</v>
      </c>
      <c r="AF7" s="144" t="n">
        <f aca="false">IFERROR('Price History'!K3+(INDEX('Price History'!K:K,MATCH(9.99E+307,'Price History'!$A:$A))-'Price History'!K3)*(ROW()-3)/(MATCH(9.99E+307,'Returns (Calc)'!$A:$A)-3),"")</f>
        <v>42.6618987341772</v>
      </c>
      <c r="AG7" s="144" t="n">
        <f aca="false">IFERROR('Price History'!L3+(INDEX('Price History'!L:L,MATCH(9.99E+307,'Price History'!$A:$A))-'Price History'!L3)*(ROW()-3)/(MATCH(9.99E+307,'Returns (Calc)'!$A:$A)-3),"")</f>
        <v>109.008607594937</v>
      </c>
      <c r="AH7" s="144" t="n">
        <f aca="false">IFERROR('Price History'!M3+(INDEX('Price History'!M:M,MATCH(9.99E+307,'Price History'!$A:$A))-'Price History'!M3)*(ROW()-3)/(MATCH(9.99E+307,'Returns (Calc)'!$A:$A)-3),"")</f>
        <v>14.9418987341772</v>
      </c>
      <c r="AI7" s="144" t="n">
        <f aca="false">IFERROR('Price History'!N3+(INDEX('Price History'!N:N,MATCH(9.99E+307,'Price History'!$A:$A))-'Price History'!N3)*(ROW()-3)/(MATCH(9.99E+307,'Returns (Calc)'!$A:$A)-3),"")</f>
        <v>21.2481012658228</v>
      </c>
      <c r="AJ7" s="144" t="n">
        <f aca="false">IFERROR('Price History'!O3+(INDEX('Price History'!O:O,MATCH(9.99E+307,'Price History'!$A:$A))-'Price History'!O3)*(ROW()-3)/(MATCH(9.99E+307,'Returns (Calc)'!$A:$A)-3),"")</f>
        <v>56.1710126582279</v>
      </c>
      <c r="AK7" s="144" t="n">
        <f aca="false">IFERROR('Price History'!Q3+(INDEX('Price History'!Q:Q,MATCH(9.99E+307,'Price History'!$A:$A))-'Price History'!Q3)*(ROW()-3)/(MATCH(9.99E+307,'Returns (Calc)'!$A:$A)-3),"")</f>
        <v>229.664683544304</v>
      </c>
      <c r="AL7" s="144" t="n">
        <f aca="false">IFERROR('Price History'!R3+(INDEX('Price History'!R:R,MATCH(9.99E+307,'Price History'!$A:$A))-'Price History'!R3)*(ROW()-3)/(MATCH(9.99E+307,'Returns (Calc)'!$A:$A)-3),"")</f>
        <v>46.6093670886076</v>
      </c>
      <c r="AM7" s="144" t="n">
        <f aca="false">IFERROR('Price History'!S3+(INDEX('Price History'!S:S,MATCH(9.99E+307,'Price History'!$A:$A))-'Price History'!S3)*(ROW()-3)/(MATCH(9.99E+307,'Returns (Calc)'!$A:$A)-3),"")</f>
        <v>57.0579746835443</v>
      </c>
      <c r="AN7" s="144" t="n">
        <f aca="false">IFERROR('Price History'!T3+(INDEX('Price History'!T:T,MATCH(9.99E+307,'Price History'!$A:$A))-'Price History'!T3)*(ROW()-3)/(MATCH(9.99E+307,'Returns (Calc)'!$A:$A)-3),"")</f>
        <v>26.2287341772152</v>
      </c>
      <c r="AO7" s="145" t="n">
        <f aca="false">IFERROR('Price History'!V3+(INDEX('Price History'!V:V,MATCH(9.99E+307,'Price History'!$A:$A))-'Price History'!V3)*(ROW()-3)/(MATCH(9.99E+307,'Returns (Calc)'!$A:$A)-3),"")</f>
        <v>0</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-0.0154820548909218</v>
      </c>
      <c r="G8" s="142" t="n">
        <f aca="false">IFERROR(IF(OR(NOT(ISNUMBER('Price History'!G9)),NOT(ISNUMBER('Price History'!G8)),'Price History'!G8=0),"",'Price History'!G9/'Price History'!G8-1),"")</f>
        <v>-0.0331170284179906</v>
      </c>
      <c r="H8" s="142" t="n">
        <f aca="false">IFERROR(IF(OR(NOT(ISNUMBER('Price History'!H9)),NOT(ISNUMBER('Price History'!H8)),'Price History'!H8=0),"",'Price History'!H9/'Price History'!H8-1),"")</f>
        <v>-0.0160792247896921</v>
      </c>
      <c r="I8" s="142" t="n">
        <f aca="false">IFERROR(IF(OR(NOT(ISNUMBER('Price History'!I9)),NOT(ISNUMBER('Price History'!I8)),'Price History'!I8=0),"",'Price History'!I9/'Price History'!I8-1),"")</f>
        <v>-0.00974313551815764</v>
      </c>
      <c r="J8" s="142" t="n">
        <f aca="false">IFERROR(IF(OR(NOT(ISNUMBER('Price History'!J9)),NOT(ISNUMBER('Price History'!J8)),'Price History'!J8=0),"",'Price History'!J9/'Price History'!J8-1),"")</f>
        <v>-0.0234269409821295</v>
      </c>
      <c r="K8" s="142" t="n">
        <f aca="false">IFERROR(IF(OR(NOT(ISNUMBER('Price History'!K9)),NOT(ISNUMBER('Price History'!K8)),'Price History'!K8=0),"",'Price History'!K9/'Price History'!K8-1),"")</f>
        <v>-0.0213281628696073</v>
      </c>
      <c r="L8" s="142" t="n">
        <f aca="false">IFERROR(IF(OR(NOT(ISNUMBER('Price History'!L9)),NOT(ISNUMBER('Price History'!L8)),'Price History'!L8=0),"",'Price History'!L9/'Price History'!L8-1),"")</f>
        <v>-0.0498924731182796</v>
      </c>
      <c r="M8" s="142" t="n">
        <f aca="false">IFERROR(IF(OR(NOT(ISNUMBER('Price History'!M9)),NOT(ISNUMBER('Price History'!M8)),'Price History'!M8=0),"",'Price History'!M9/'Price History'!M8-1),"")</f>
        <v>-0.0645561762880198</v>
      </c>
      <c r="N8" s="142" t="n">
        <f aca="false">IFERROR(IF(OR(NOT(ISNUMBER('Price History'!N9)),NOT(ISNUMBER('Price History'!N8)),'Price History'!N8=0),"",'Price History'!N9/'Price History'!N8-1),"")</f>
        <v>-0.0342995169082126</v>
      </c>
      <c r="O8" s="142" t="n">
        <f aca="false">IFERROR(IF(OR(NOT(ISNUMBER('Price History'!O9)),NOT(ISNUMBER('Price History'!O8)),'Price History'!O8=0),"",'Price History'!O9/'Price History'!O8-1),"")</f>
        <v>-0.0202348690153569</v>
      </c>
      <c r="P8" s="142" t="n">
        <f aca="false">IFERROR(IF(OR(NOT(ISNUMBER('Price History'!P9)),NOT(ISNUMBER('Price History'!P8)),'Price History'!P8=0),"",'Price History'!P9/'Price History'!P8-1),"")</f>
        <v>-0.0582468938789468</v>
      </c>
      <c r="Q8" s="142" t="n">
        <f aca="false">IFERROR(IF(OR(NOT(ISNUMBER('Price History'!Q9)),NOT(ISNUMBER('Price History'!Q8)),'Price History'!Q8=0),"",'Price History'!Q9/'Price History'!Q8-1),"")</f>
        <v>-0.0176223040504998</v>
      </c>
      <c r="R8" s="142" t="n">
        <f aca="false">IFERROR(IF(OR(NOT(ISNUMBER('Price History'!R9)),NOT(ISNUMBER('Price History'!R8)),'Price History'!R8=0),"",'Price History'!R9/'Price History'!R8-1),"")</f>
        <v>-0.0269653598838416</v>
      </c>
      <c r="S8" s="142" t="n">
        <f aca="false">IFERROR(IF(OR(NOT(ISNUMBER('Price History'!S9)),NOT(ISNUMBER('Price History'!S8)),'Price History'!S8=0),"",'Price History'!S9/'Price History'!S8-1),"")</f>
        <v>-0.0288997802940679</v>
      </c>
      <c r="T8" s="142" t="n">
        <f aca="false">IFERROR(IF(OR(NOT(ISNUMBER('Price History'!T9)),NOT(ISNUMBER('Price History'!T8)),'Price History'!T8=0),"",'Price History'!T9/'Price History'!T8-1),"")</f>
        <v>-0.0148288973384031</v>
      </c>
      <c r="U8" s="142" t="str">
        <f aca="false">IFERROR(IF(OR(NOT(ISNUMBER('Price History'!U9)),NOT(ISNUMBER('Price History'!U8)),'Price History'!U8=0),"",'Price History'!U9/'Price History'!U8-1),"")</f>
        <v/>
      </c>
      <c r="V8" s="143" t="n">
        <f aca="false">IFERROR(IF(OR(NOT(ISNUMBER('Price History'!V9)),NOT(ISNUMBER('Price History'!V8)),'Price History'!V8=0),"",'Price History'!V9/'Price History'!V8-1),"")</f>
        <v>-0.0248270593727454</v>
      </c>
      <c r="W8" s="144" t="str">
        <f aca="false">IFERROR('Price History'!B3+(INDEX('Price History'!B:B,MATCH(9.99E+307,'Price History'!$A:$A))-'Price History'!B3)*(ROW()-3)/(MATCH(9.99E+307,'Returns (Calc)'!$A:$A)-3),"")</f>
        <v/>
      </c>
      <c r="X8" s="144" t="n">
        <f aca="false">IFERROR('Price History'!C3+(INDEX('Price History'!C:C,MATCH(9.99E+307,'Price History'!$A:$A))-'Price History'!C3)*(ROW()-3)/(MATCH(9.99E+307,'Returns (Calc)'!$A:$A)-3),"")</f>
        <v>44.7186075949367</v>
      </c>
      <c r="Y8" s="144" t="n">
        <f aca="false">IFERROR('Price History'!D3+(INDEX('Price History'!D:D,MATCH(9.99E+307,'Price History'!$A:$A))-'Price History'!D3)*(ROW()-3)/(MATCH(9.99E+307,'Returns (Calc)'!$A:$A)-3),"")</f>
        <v>563.591962025316</v>
      </c>
      <c r="Z8" s="144" t="n">
        <f aca="false">IFERROR('Price History'!E3+(INDEX('Price History'!E:E,MATCH(9.99E+307,'Price History'!$A:$A))-'Price History'!E3)*(ROW()-3)/(MATCH(9.99E+307,'Returns (Calc)'!$A:$A)-3),"")</f>
        <v>79.4050632911392</v>
      </c>
      <c r="AA8" s="144" t="n">
        <f aca="false">IFERROR('Price History'!F3+(INDEX('Price History'!F:F,MATCH(9.99E+307,'Price History'!$A:$A))-'Price History'!F3)*(ROW()-3)/(MATCH(9.99E+307,'Returns (Calc)'!$A:$A)-3),"")</f>
        <v>72.9267721518987</v>
      </c>
      <c r="AB8" s="144" t="n">
        <f aca="false">IFERROR('Price History'!G3+(INDEX('Price History'!G:G,MATCH(9.99E+307,'Price History'!$A:$A))-'Price History'!G3)*(ROW()-3)/(MATCH(9.99E+307,'Returns (Calc)'!$A:$A)-3),"")</f>
        <v>40.0511392405063</v>
      </c>
      <c r="AC8" s="144" t="n">
        <f aca="false">IFERROR('Price History'!H3+(INDEX('Price History'!H:H,MATCH(9.99E+307,'Price History'!$A:$A))-'Price History'!H3)*(ROW()-3)/(MATCH(9.99E+307,'Returns (Calc)'!$A:$A)-3),"")</f>
        <v>97.4067721518987</v>
      </c>
      <c r="AD8" s="144" t="n">
        <f aca="false">IFERROR('Price History'!I3+(INDEX('Price History'!I:I,MATCH(9.99E+307,'Price History'!$A:$A))-'Price History'!I3)*(ROW()-3)/(MATCH(9.99E+307,'Returns (Calc)'!$A:$A)-3),"")</f>
        <v>42.9465189873418</v>
      </c>
      <c r="AE8" s="144" t="n">
        <f aca="false">IFERROR('Price History'!J3+(INDEX('Price History'!J:J,MATCH(9.99E+307,'Price History'!$A:$A))-'Price History'!J3)*(ROW()-3)/(MATCH(9.99E+307,'Returns (Calc)'!$A:$A)-3),"")</f>
        <v>66.9229746835443</v>
      </c>
      <c r="AF8" s="144" t="n">
        <f aca="false">IFERROR('Price History'!K3+(INDEX('Price History'!K:K,MATCH(9.99E+307,'Price History'!$A:$A))-'Price History'!K3)*(ROW()-3)/(MATCH(9.99E+307,'Returns (Calc)'!$A:$A)-3),"")</f>
        <v>42.3848734177215</v>
      </c>
      <c r="AG8" s="144" t="n">
        <f aca="false">IFERROR('Price History'!L3+(INDEX('Price History'!L:L,MATCH(9.99E+307,'Price History'!$A:$A))-'Price History'!L3)*(ROW()-3)/(MATCH(9.99E+307,'Returns (Calc)'!$A:$A)-3),"")</f>
        <v>108.300759493671</v>
      </c>
      <c r="AH8" s="144" t="n">
        <f aca="false">IFERROR('Price History'!M3+(INDEX('Price History'!M:M,MATCH(9.99E+307,'Price History'!$A:$A))-'Price History'!M3)*(ROW()-3)/(MATCH(9.99E+307,'Returns (Calc)'!$A:$A)-3),"")</f>
        <v>14.8448734177215</v>
      </c>
      <c r="AI8" s="144" t="n">
        <f aca="false">IFERROR('Price History'!N3+(INDEX('Price History'!N:N,MATCH(9.99E+307,'Price History'!$A:$A))-'Price History'!N3)*(ROW()-3)/(MATCH(9.99E+307,'Returns (Calc)'!$A:$A)-3),"")</f>
        <v>21.1101265822785</v>
      </c>
      <c r="AJ8" s="144" t="n">
        <f aca="false">IFERROR('Price History'!O3+(INDEX('Price History'!O:O,MATCH(9.99E+307,'Price History'!$A:$A))-'Price History'!O3)*(ROW()-3)/(MATCH(9.99E+307,'Returns (Calc)'!$A:$A)-3),"")</f>
        <v>55.8062658227848</v>
      </c>
      <c r="AK8" s="144" t="n">
        <f aca="false">IFERROR('Price History'!Q3+(INDEX('Price History'!Q:Q,MATCH(9.99E+307,'Price History'!$A:$A))-'Price History'!Q3)*(ROW()-3)/(MATCH(9.99E+307,'Returns (Calc)'!$A:$A)-3),"")</f>
        <v>228.17335443038</v>
      </c>
      <c r="AL8" s="144" t="n">
        <f aca="false">IFERROR('Price History'!R3+(INDEX('Price History'!R:R,MATCH(9.99E+307,'Price History'!$A:$A))-'Price History'!R3)*(ROW()-3)/(MATCH(9.99E+307,'Returns (Calc)'!$A:$A)-3),"")</f>
        <v>46.3067088607595</v>
      </c>
      <c r="AM8" s="144" t="n">
        <f aca="false">IFERROR('Price History'!S3+(INDEX('Price History'!S:S,MATCH(9.99E+307,'Price History'!$A:$A))-'Price History'!S3)*(ROW()-3)/(MATCH(9.99E+307,'Returns (Calc)'!$A:$A)-3),"")</f>
        <v>56.6874683544304</v>
      </c>
      <c r="AN8" s="144" t="n">
        <f aca="false">IFERROR('Price History'!T3+(INDEX('Price History'!T:T,MATCH(9.99E+307,'Price History'!$A:$A))-'Price History'!T3)*(ROW()-3)/(MATCH(9.99E+307,'Returns (Calc)'!$A:$A)-3),"")</f>
        <v>26.058417721519</v>
      </c>
      <c r="AO8" s="145" t="n">
        <f aca="false">IFERROR('Price History'!V3+(INDEX('Price History'!V:V,MATCH(9.99E+307,'Price History'!$A:$A))-'Price History'!V3)*(ROW()-3)/(MATCH(9.99E+307,'Returns (Calc)'!$A:$A)-3),"")</f>
        <v>0</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0.0716225875625445</v>
      </c>
      <c r="G9" s="142" t="n">
        <f aca="false">IFERROR(IF(OR(NOT(ISNUMBER('Price History'!G10)),NOT(ISNUMBER('Price History'!G9)),'Price History'!G9=0),"",'Price History'!G10/'Price History'!G9-1),"")</f>
        <v>0.0890997454292988</v>
      </c>
      <c r="H9" s="142" t="n">
        <f aca="false">IFERROR(IF(OR(NOT(ISNUMBER('Price History'!H10)),NOT(ISNUMBER('Price History'!H9)),'Price History'!H9=0),"",'Price History'!H10/'Price History'!H9-1),"")</f>
        <v>0.0586580086580084</v>
      </c>
      <c r="I9" s="142" t="n">
        <f aca="false">IFERROR(IF(OR(NOT(ISNUMBER('Price History'!I10)),NOT(ISNUMBER('Price History'!I9)),'Price History'!I9=0),"",'Price History'!I10/'Price History'!I9-1),"")</f>
        <v>0.091010733452594</v>
      </c>
      <c r="J9" s="142" t="n">
        <f aca="false">IFERROR(IF(OR(NOT(ISNUMBER('Price History'!J10)),NOT(ISNUMBER('Price History'!J9)),'Price History'!J9=0),"",'Price History'!J10/'Price History'!J9-1),"")</f>
        <v>0.10564354913117</v>
      </c>
      <c r="K9" s="142" t="n">
        <f aca="false">IFERROR(IF(OR(NOT(ISNUMBER('Price History'!K10)),NOT(ISNUMBER('Price History'!K9)),'Price History'!K9=0),"",'Price History'!K10/'Price History'!K9-1),"")</f>
        <v>0.111193660227835</v>
      </c>
      <c r="L9" s="142" t="n">
        <f aca="false">IFERROR(IF(OR(NOT(ISNUMBER('Price History'!L10)),NOT(ISNUMBER('Price History'!L9)),'Price History'!L9=0),"",'Price History'!L10/'Price History'!L9-1),"")</f>
        <v>0.0948392937980986</v>
      </c>
      <c r="M9" s="142" t="n">
        <f aca="false">IFERROR(IF(OR(NOT(ISNUMBER('Price History'!M10)),NOT(ISNUMBER('Price History'!M9)),'Price History'!M9=0),"",'Price History'!M10/'Price History'!M9-1),"")</f>
        <v>0.253483742534838</v>
      </c>
      <c r="N9" s="142" t="n">
        <f aca="false">IFERROR(IF(OR(NOT(ISNUMBER('Price History'!N10)),NOT(ISNUMBER('Price History'!N9)),'Price History'!N9=0),"",'Price History'!N10/'Price History'!N9-1),"")</f>
        <v>0.0500250125062531</v>
      </c>
      <c r="O9" s="142" t="n">
        <f aca="false">IFERROR(IF(OR(NOT(ISNUMBER('Price History'!O10)),NOT(ISNUMBER('Price History'!O9)),'Price History'!O9=0),"",'Price History'!O10/'Price History'!O9-1),"")</f>
        <v>0.0584547298543243</v>
      </c>
      <c r="P9" s="142" t="n">
        <f aca="false">IFERROR(IF(OR(NOT(ISNUMBER('Price History'!P10)),NOT(ISNUMBER('Price History'!P9)),'Price History'!P9=0),"",'Price History'!P10/'Price History'!P9-1),"")</f>
        <v>0.0674170902929072</v>
      </c>
      <c r="Q9" s="142" t="n">
        <f aca="false">IFERROR(IF(OR(NOT(ISNUMBER('Price History'!Q10)),NOT(ISNUMBER('Price History'!Q9)),'Price History'!Q9=0),"",'Price History'!Q10/'Price History'!Q9-1),"")</f>
        <v>0.062516733601071</v>
      </c>
      <c r="R9" s="142" t="n">
        <f aca="false">IFERROR(IF(OR(NOT(ISNUMBER('Price History'!R10)),NOT(ISNUMBER('Price History'!R9)),'Price History'!R9=0),"",'Price History'!R10/'Price History'!R9-1),"")</f>
        <v>0.000426348326582948</v>
      </c>
      <c r="S9" s="142" t="n">
        <f aca="false">IFERROR(IF(OR(NOT(ISNUMBER('Price History'!S10)),NOT(ISNUMBER('Price History'!S9)),'Price History'!S9=0),"",'Price History'!S10/'Price History'!S9-1),"")</f>
        <v>-0.00313261399234255</v>
      </c>
      <c r="T9" s="142" t="n">
        <f aca="false">IFERROR(IF(OR(NOT(ISNUMBER('Price History'!T10)),NOT(ISNUMBER('Price History'!T9)),'Price History'!T9=0),"",'Price History'!T10/'Price History'!T9-1),"")</f>
        <v>0.00270165959089153</v>
      </c>
      <c r="U9" s="142" t="str">
        <f aca="false">IFERROR(IF(OR(NOT(ISNUMBER('Price History'!U10)),NOT(ISNUMBER('Price History'!U9)),'Price History'!U9=0),"",'Price History'!U10/'Price History'!U9-1),"")</f>
        <v/>
      </c>
      <c r="V9" s="143" t="n">
        <f aca="false">IFERROR(IF(OR(NOT(ISNUMBER('Price History'!V10)),NOT(ISNUMBER('Price History'!V9)),'Price History'!V9=0),"",'Price History'!V10/'Price History'!V9-1),"")</f>
        <v>-0.0215858647401863</v>
      </c>
      <c r="W9" s="144" t="str">
        <f aca="false">IFERROR('Price History'!B3+(INDEX('Price History'!B:B,MATCH(9.99E+307,'Price History'!$A:$A))-'Price History'!B3)*(ROW()-3)/(MATCH(9.99E+307,'Returns (Calc)'!$A:$A)-3),"")</f>
        <v/>
      </c>
      <c r="X9" s="144" t="n">
        <f aca="false">IFERROR('Price History'!C3+(INDEX('Price History'!C:C,MATCH(9.99E+307,'Price History'!$A:$A))-'Price History'!C3)*(ROW()-3)/(MATCH(9.99E+307,'Returns (Calc)'!$A:$A)-3),"")</f>
        <v>44.4263291139241</v>
      </c>
      <c r="Y9" s="144" t="n">
        <f aca="false">IFERROR('Price History'!D3+(INDEX('Price History'!D:D,MATCH(9.99E+307,'Price History'!$A:$A))-'Price History'!D3)*(ROW()-3)/(MATCH(9.99E+307,'Returns (Calc)'!$A:$A)-3),"")</f>
        <v>559.90835443038</v>
      </c>
      <c r="Z9" s="144" t="n">
        <f aca="false">IFERROR('Price History'!E3+(INDEX('Price History'!E:E,MATCH(9.99E+307,'Price History'!$A:$A))-'Price History'!E3)*(ROW()-3)/(MATCH(9.99E+307,'Returns (Calc)'!$A:$A)-3),"")</f>
        <v>78.8860759493671</v>
      </c>
      <c r="AA9" s="144" t="n">
        <f aca="false">IFERROR('Price History'!F3+(INDEX('Price History'!F:F,MATCH(9.99E+307,'Price History'!$A:$A))-'Price History'!F3)*(ROW()-3)/(MATCH(9.99E+307,'Returns (Calc)'!$A:$A)-3),"")</f>
        <v>72.4501265822785</v>
      </c>
      <c r="AB9" s="144" t="n">
        <f aca="false">IFERROR('Price History'!G3+(INDEX('Price History'!G:G,MATCH(9.99E+307,'Price History'!$A:$A))-'Price History'!G3)*(ROW()-3)/(MATCH(9.99E+307,'Returns (Calc)'!$A:$A)-3),"")</f>
        <v>39.7893670886076</v>
      </c>
      <c r="AC9" s="144" t="n">
        <f aca="false">IFERROR('Price History'!H3+(INDEX('Price History'!H:H,MATCH(9.99E+307,'Price History'!$A:$A))-'Price History'!H3)*(ROW()-3)/(MATCH(9.99E+307,'Returns (Calc)'!$A:$A)-3),"")</f>
        <v>96.7701265822785</v>
      </c>
      <c r="AD9" s="144" t="n">
        <f aca="false">IFERROR('Price History'!I3+(INDEX('Price History'!I:I,MATCH(9.99E+307,'Price History'!$A:$A))-'Price History'!I3)*(ROW()-3)/(MATCH(9.99E+307,'Returns (Calc)'!$A:$A)-3),"")</f>
        <v>42.6658227848101</v>
      </c>
      <c r="AE9" s="144" t="n">
        <f aca="false">IFERROR('Price History'!J3+(INDEX('Price History'!J:J,MATCH(9.99E+307,'Price History'!$A:$A))-'Price History'!J3)*(ROW()-3)/(MATCH(9.99E+307,'Returns (Calc)'!$A:$A)-3),"")</f>
        <v>66.4855696202532</v>
      </c>
      <c r="AF9" s="144" t="n">
        <f aca="false">IFERROR('Price History'!K3+(INDEX('Price History'!K:K,MATCH(9.99E+307,'Price History'!$A:$A))-'Price History'!K3)*(ROW()-3)/(MATCH(9.99E+307,'Returns (Calc)'!$A:$A)-3),"")</f>
        <v>42.1078481012658</v>
      </c>
      <c r="AG9" s="144" t="n">
        <f aca="false">IFERROR('Price History'!L3+(INDEX('Price History'!L:L,MATCH(9.99E+307,'Price History'!$A:$A))-'Price History'!L3)*(ROW()-3)/(MATCH(9.99E+307,'Returns (Calc)'!$A:$A)-3),"")</f>
        <v>107.592911392405</v>
      </c>
      <c r="AH9" s="144" t="n">
        <f aca="false">IFERROR('Price History'!M3+(INDEX('Price History'!M:M,MATCH(9.99E+307,'Price History'!$A:$A))-'Price History'!M3)*(ROW()-3)/(MATCH(9.99E+307,'Returns (Calc)'!$A:$A)-3),"")</f>
        <v>14.7478481012658</v>
      </c>
      <c r="AI9" s="144" t="n">
        <f aca="false">IFERROR('Price History'!N3+(INDEX('Price History'!N:N,MATCH(9.99E+307,'Price History'!$A:$A))-'Price History'!N3)*(ROW()-3)/(MATCH(9.99E+307,'Returns (Calc)'!$A:$A)-3),"")</f>
        <v>20.9721518987342</v>
      </c>
      <c r="AJ9" s="144" t="n">
        <f aca="false">IFERROR('Price History'!O3+(INDEX('Price History'!O:O,MATCH(9.99E+307,'Price History'!$A:$A))-'Price History'!O3)*(ROW()-3)/(MATCH(9.99E+307,'Returns (Calc)'!$A:$A)-3),"")</f>
        <v>55.4415189873418</v>
      </c>
      <c r="AK9" s="144" t="n">
        <f aca="false">IFERROR('Price History'!Q3+(INDEX('Price History'!Q:Q,MATCH(9.99E+307,'Price History'!$A:$A))-'Price History'!Q3)*(ROW()-3)/(MATCH(9.99E+307,'Returns (Calc)'!$A:$A)-3),"")</f>
        <v>226.682025316456</v>
      </c>
      <c r="AL9" s="144" t="n">
        <f aca="false">IFERROR('Price History'!R3+(INDEX('Price History'!R:R,MATCH(9.99E+307,'Price History'!$A:$A))-'Price History'!R3)*(ROW()-3)/(MATCH(9.99E+307,'Returns (Calc)'!$A:$A)-3),"")</f>
        <v>46.0040506329114</v>
      </c>
      <c r="AM9" s="144" t="n">
        <f aca="false">IFERROR('Price History'!S3+(INDEX('Price History'!S:S,MATCH(9.99E+307,'Price History'!$A:$A))-'Price History'!S3)*(ROW()-3)/(MATCH(9.99E+307,'Returns (Calc)'!$A:$A)-3),"")</f>
        <v>56.3169620253165</v>
      </c>
      <c r="AN9" s="144" t="n">
        <f aca="false">IFERROR('Price History'!T3+(INDEX('Price History'!T:T,MATCH(9.99E+307,'Price History'!$A:$A))-'Price History'!T3)*(ROW()-3)/(MATCH(9.99E+307,'Returns (Calc)'!$A:$A)-3),"")</f>
        <v>25.8881012658228</v>
      </c>
      <c r="AO9" s="145" t="n">
        <f aca="false">IFERROR('Price History'!V3+(INDEX('Price History'!V:V,MATCH(9.99E+307,'Price History'!$A:$A))-'Price History'!V3)*(ROW()-3)/(MATCH(9.99E+307,'Returns (Calc)'!$A:$A)-3),"")</f>
        <v>0</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-0.0341515474919956</v>
      </c>
      <c r="G10" s="142" t="n">
        <f aca="false">IFERROR(IF(OR(NOT(ISNUMBER('Price History'!G11)),NOT(ISNUMBER('Price History'!G10)),'Price History'!G10=0),"",'Price History'!G11/'Price History'!G10-1),"")</f>
        <v>0.0429239269018273</v>
      </c>
      <c r="H10" s="142" t="n">
        <f aca="false">IFERROR(IF(OR(NOT(ISNUMBER('Price History'!H11)),NOT(ISNUMBER('Price History'!H10)),'Price History'!H10=0),"",'Price History'!H11/'Price History'!H10-1),"")</f>
        <v>-0.0225925168677161</v>
      </c>
      <c r="I10" s="142" t="n">
        <f aca="false">IFERROR(IF(OR(NOT(ISNUMBER('Price History'!I11)),NOT(ISNUMBER('Price History'!I10)),'Price History'!I10=0),"",'Price History'!I11/'Price History'!I10-1),"")</f>
        <v>0.0692764910842387</v>
      </c>
      <c r="J10" s="142" t="n">
        <f aca="false">IFERROR(IF(OR(NOT(ISNUMBER('Price History'!J11)),NOT(ISNUMBER('Price History'!J10)),'Price History'!J10=0),"",'Price History'!J11/'Price History'!J10-1),"")</f>
        <v>0.0382475660639778</v>
      </c>
      <c r="K10" s="142" t="n">
        <f aca="false">IFERROR(IF(OR(NOT(ISNUMBER('Price History'!K11)),NOT(ISNUMBER('Price History'!K10)),'Price History'!K10=0),"",'Price History'!K11/'Price History'!K10-1),"")</f>
        <v>0.0739915310898149</v>
      </c>
      <c r="L10" s="142" t="n">
        <f aca="false">IFERROR(IF(OR(NOT(ISNUMBER('Price History'!L11)),NOT(ISNUMBER('Price History'!L10)),'Price History'!L10=0),"",'Price History'!L11/'Price History'!L10-1),"")</f>
        <v>-0.0187099441802769</v>
      </c>
      <c r="M10" s="142" t="n">
        <f aca="false">IFERROR(IF(OR(NOT(ISNUMBER('Price History'!M11)),NOT(ISNUMBER('Price History'!M10)),'Price History'!M10=0),"",'Price History'!M11/'Price History'!M10-1),"")</f>
        <v>0.0412916887241928</v>
      </c>
      <c r="N10" s="142" t="n">
        <f aca="false">IFERROR(IF(OR(NOT(ISNUMBER('Price History'!N11)),NOT(ISNUMBER('Price History'!N10)),'Price History'!N10=0),"",'Price History'!N11/'Price History'!N10-1),"")</f>
        <v>-0.0114340161981895</v>
      </c>
      <c r="O10" s="142" t="n">
        <f aca="false">IFERROR(IF(OR(NOT(ISNUMBER('Price History'!O11)),NOT(ISNUMBER('Price History'!O10)),'Price History'!O10=0),"",'Price History'!O11/'Price History'!O10-1),"")</f>
        <v>0.0294425087108015</v>
      </c>
      <c r="P10" s="142" t="n">
        <f aca="false">IFERROR(IF(OR(NOT(ISNUMBER('Price History'!P11)),NOT(ISNUMBER('Price History'!P10)),'Price History'!P10=0),"",'Price History'!P11/'Price History'!P10-1),"")</f>
        <v>0.061571606758136</v>
      </c>
      <c r="Q10" s="142" t="n">
        <f aca="false">IFERROR(IF(OR(NOT(ISNUMBER('Price History'!Q11)),NOT(ISNUMBER('Price History'!Q10)),'Price History'!Q10=0),"",'Price History'!Q11/'Price History'!Q10-1),"")</f>
        <v>0.00890344798622467</v>
      </c>
      <c r="R10" s="142" t="n">
        <f aca="false">IFERROR(IF(OR(NOT(ISNUMBER('Price History'!R11)),NOT(ISNUMBER('Price History'!R10)),'Price History'!R10=0),"",'Price History'!R11/'Price History'!R10-1),"")</f>
        <v>0.0042616663115278</v>
      </c>
      <c r="S10" s="142" t="n">
        <f aca="false">IFERROR(IF(OR(NOT(ISNUMBER('Price History'!S11)),NOT(ISNUMBER('Price History'!S10)),'Price History'!S10=0),"",'Price History'!S11/'Price History'!S10-1),"")</f>
        <v>0.011173184357542</v>
      </c>
      <c r="T10" s="142" t="n">
        <f aca="false">IFERROR(IF(OR(NOT(ISNUMBER('Price History'!T11)),NOT(ISNUMBER('Price History'!T10)),'Price History'!T10=0),"",'Price History'!T11/'Price History'!T10-1),"")</f>
        <v>-0.0184757505773672</v>
      </c>
      <c r="U10" s="142" t="str">
        <f aca="false">IFERROR(IF(OR(NOT(ISNUMBER('Price History'!U11)),NOT(ISNUMBER('Price History'!U10)),'Price History'!U10=0),"",'Price History'!U11/'Price History'!U10-1),"")</f>
        <v/>
      </c>
      <c r="V10" s="143" t="n">
        <f aca="false">IFERROR(IF(OR(NOT(ISNUMBER('Price History'!V11)),NOT(ISNUMBER('Price History'!V10)),'Price History'!V10=0),"",'Price History'!V11/'Price History'!V10-1),"")</f>
        <v>0.0218841740058715</v>
      </c>
      <c r="W10" s="144" t="str">
        <f aca="false">IFERROR('Price History'!B3+(INDEX('Price History'!B:B,MATCH(9.99E+307,'Price History'!$A:$A))-'Price History'!B3)*(ROW()-3)/(MATCH(9.99E+307,'Returns (Calc)'!$A:$A)-3),"")</f>
        <v/>
      </c>
      <c r="X10" s="144" t="n">
        <f aca="false">IFERROR('Price History'!C3+(INDEX('Price History'!C:C,MATCH(9.99E+307,'Price History'!$A:$A))-'Price History'!C3)*(ROW()-3)/(MATCH(9.99E+307,'Returns (Calc)'!$A:$A)-3),"")</f>
        <v>44.1340506329114</v>
      </c>
      <c r="Y10" s="144" t="n">
        <f aca="false">IFERROR('Price History'!D3+(INDEX('Price History'!D:D,MATCH(9.99E+307,'Price History'!$A:$A))-'Price History'!D3)*(ROW()-3)/(MATCH(9.99E+307,'Returns (Calc)'!$A:$A)-3),"")</f>
        <v>556.224746835443</v>
      </c>
      <c r="Z10" s="144" t="n">
        <f aca="false">IFERROR('Price History'!E3+(INDEX('Price History'!E:E,MATCH(9.99E+307,'Price History'!$A:$A))-'Price History'!E3)*(ROW()-3)/(MATCH(9.99E+307,'Returns (Calc)'!$A:$A)-3),"")</f>
        <v>78.3670886075949</v>
      </c>
      <c r="AA10" s="144" t="n">
        <f aca="false">IFERROR('Price History'!F3+(INDEX('Price History'!F:F,MATCH(9.99E+307,'Price History'!$A:$A))-'Price History'!F3)*(ROW()-3)/(MATCH(9.99E+307,'Returns (Calc)'!$A:$A)-3),"")</f>
        <v>71.9734810126582</v>
      </c>
      <c r="AB10" s="144" t="n">
        <f aca="false">IFERROR('Price History'!G3+(INDEX('Price History'!G:G,MATCH(9.99E+307,'Price History'!$A:$A))-'Price History'!G3)*(ROW()-3)/(MATCH(9.99E+307,'Returns (Calc)'!$A:$A)-3),"")</f>
        <v>39.5275949367089</v>
      </c>
      <c r="AC10" s="144" t="n">
        <f aca="false">IFERROR('Price History'!H3+(INDEX('Price History'!H:H,MATCH(9.99E+307,'Price History'!$A:$A))-'Price History'!H3)*(ROW()-3)/(MATCH(9.99E+307,'Returns (Calc)'!$A:$A)-3),"")</f>
        <v>96.1334810126582</v>
      </c>
      <c r="AD10" s="144" t="n">
        <f aca="false">IFERROR('Price History'!I3+(INDEX('Price History'!I:I,MATCH(9.99E+307,'Price History'!$A:$A))-'Price History'!I3)*(ROW()-3)/(MATCH(9.99E+307,'Returns (Calc)'!$A:$A)-3),"")</f>
        <v>42.3851265822785</v>
      </c>
      <c r="AE10" s="144" t="n">
        <f aca="false">IFERROR('Price History'!J3+(INDEX('Price History'!J:J,MATCH(9.99E+307,'Price History'!$A:$A))-'Price History'!J3)*(ROW()-3)/(MATCH(9.99E+307,'Returns (Calc)'!$A:$A)-3),"")</f>
        <v>66.048164556962</v>
      </c>
      <c r="AF10" s="144" t="n">
        <f aca="false">IFERROR('Price History'!K3+(INDEX('Price History'!K:K,MATCH(9.99E+307,'Price History'!$A:$A))-'Price History'!K3)*(ROW()-3)/(MATCH(9.99E+307,'Returns (Calc)'!$A:$A)-3),"")</f>
        <v>41.8308227848101</v>
      </c>
      <c r="AG10" s="144" t="n">
        <f aca="false">IFERROR('Price History'!L3+(INDEX('Price History'!L:L,MATCH(9.99E+307,'Price History'!$A:$A))-'Price History'!L3)*(ROW()-3)/(MATCH(9.99E+307,'Returns (Calc)'!$A:$A)-3),"")</f>
        <v>106.885063291139</v>
      </c>
      <c r="AH10" s="144" t="n">
        <f aca="false">IFERROR('Price History'!M3+(INDEX('Price History'!M:M,MATCH(9.99E+307,'Price History'!$A:$A))-'Price History'!M3)*(ROW()-3)/(MATCH(9.99E+307,'Returns (Calc)'!$A:$A)-3),"")</f>
        <v>14.6508227848101</v>
      </c>
      <c r="AI10" s="144" t="n">
        <f aca="false">IFERROR('Price History'!N3+(INDEX('Price History'!N:N,MATCH(9.99E+307,'Price History'!$A:$A))-'Price History'!N3)*(ROW()-3)/(MATCH(9.99E+307,'Returns (Calc)'!$A:$A)-3),"")</f>
        <v>20.8341772151899</v>
      </c>
      <c r="AJ10" s="144" t="n">
        <f aca="false">IFERROR('Price History'!O3+(INDEX('Price History'!O:O,MATCH(9.99E+307,'Price History'!$A:$A))-'Price History'!O3)*(ROW()-3)/(MATCH(9.99E+307,'Returns (Calc)'!$A:$A)-3),"")</f>
        <v>55.0767721518987</v>
      </c>
      <c r="AK10" s="144" t="n">
        <f aca="false">IFERROR('Price History'!Q3+(INDEX('Price History'!Q:Q,MATCH(9.99E+307,'Price History'!$A:$A))-'Price History'!Q3)*(ROW()-3)/(MATCH(9.99E+307,'Returns (Calc)'!$A:$A)-3),"")</f>
        <v>225.190696202532</v>
      </c>
      <c r="AL10" s="144" t="n">
        <f aca="false">IFERROR('Price History'!R3+(INDEX('Price History'!R:R,MATCH(9.99E+307,'Price History'!$A:$A))-'Price History'!R3)*(ROW()-3)/(MATCH(9.99E+307,'Returns (Calc)'!$A:$A)-3),"")</f>
        <v>45.7013924050633</v>
      </c>
      <c r="AM10" s="144" t="n">
        <f aca="false">IFERROR('Price History'!S3+(INDEX('Price History'!S:S,MATCH(9.99E+307,'Price History'!$A:$A))-'Price History'!S3)*(ROW()-3)/(MATCH(9.99E+307,'Returns (Calc)'!$A:$A)-3),"")</f>
        <v>55.9464556962025</v>
      </c>
      <c r="AN10" s="144" t="n">
        <f aca="false">IFERROR('Price History'!T3+(INDEX('Price History'!T:T,MATCH(9.99E+307,'Price History'!$A:$A))-'Price History'!T3)*(ROW()-3)/(MATCH(9.99E+307,'Returns (Calc)'!$A:$A)-3),"")</f>
        <v>25.7177848101266</v>
      </c>
      <c r="AO10" s="145" t="n">
        <f aca="false">IFERROR('Price History'!V3+(INDEX('Price History'!V:V,MATCH(9.99E+307,'Price History'!$A:$A))-'Price History'!V3)*(ROW()-3)/(MATCH(9.99E+307,'Returns (Calc)'!$A:$A)-3),"")</f>
        <v>0</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0.055524861878453</v>
      </c>
      <c r="G11" s="142" t="n">
        <f aca="false">IFERROR(IF(OR(NOT(ISNUMBER('Price History'!G12)),NOT(ISNUMBER('Price History'!G11)),'Price History'!G11=0),"",'Price History'!G12/'Price History'!G11-1),"")</f>
        <v>0.0548084759576204</v>
      </c>
      <c r="H11" s="142" t="n">
        <f aca="false">IFERROR(IF(OR(NOT(ISNUMBER('Price History'!H12)),NOT(ISNUMBER('Price History'!H11)),'Price History'!H11=0),"",'Price History'!H12/'Price History'!H11-1),"")</f>
        <v>0.0354565422026985</v>
      </c>
      <c r="I11" s="142" t="n">
        <f aca="false">IFERROR(IF(OR(NOT(ISNUMBER('Price History'!I12)),NOT(ISNUMBER('Price History'!I11)),'Price History'!I11=0),"",'Price History'!I12/'Price History'!I11-1),"")</f>
        <v>0.0220433199156602</v>
      </c>
      <c r="J11" s="142" t="n">
        <f aca="false">IFERROR(IF(OR(NOT(ISNUMBER('Price History'!J12)),NOT(ISNUMBER('Price History'!J11)),'Price History'!J11=0),"",'Price History'!J12/'Price History'!J11-1),"")</f>
        <v>0.029202947086403</v>
      </c>
      <c r="K11" s="142" t="n">
        <f aca="false">IFERROR(IF(OR(NOT(ISNUMBER('Price History'!K12)),NOT(ISNUMBER('Price History'!K11)),'Price History'!K11=0),"",'Price History'!K12/'Price History'!K11-1),"")</f>
        <v>0.0199211454658643</v>
      </c>
      <c r="L11" s="142" t="n">
        <f aca="false">IFERROR(IF(OR(NOT(ISNUMBER('Price History'!L12)),NOT(ISNUMBER('Price History'!L11)),'Price History'!L11=0),"",'Price History'!L12/'Price History'!L11-1),"")</f>
        <v>0.0527757294848834</v>
      </c>
      <c r="M11" s="142" t="n">
        <f aca="false">IFERROR(IF(OR(NOT(ISNUMBER('Price History'!M12)),NOT(ISNUMBER('Price History'!M11)),'Price History'!M11=0),"",'Price History'!M12/'Price History'!M11-1),"")</f>
        <v>0.0416878495170308</v>
      </c>
      <c r="N11" s="142" t="n">
        <f aca="false">IFERROR(IF(OR(NOT(ISNUMBER('Price History'!N12)),NOT(ISNUMBER('Price History'!N11)),'Price History'!N11=0),"",'Price History'!N12/'Price History'!N11-1),"")</f>
        <v>0.0240963855421688</v>
      </c>
      <c r="O11" s="142" t="n">
        <f aca="false">IFERROR(IF(OR(NOT(ISNUMBER('Price History'!O12)),NOT(ISNUMBER('Price History'!O11)),'Price History'!O11=0),"",'Price History'!O12/'Price History'!O11-1),"")</f>
        <v>0.0216618717211032</v>
      </c>
      <c r="P11" s="142" t="n">
        <f aca="false">IFERROR(IF(OR(NOT(ISNUMBER('Price History'!P12)),NOT(ISNUMBER('Price History'!P11)),'Price History'!P11=0),"",'Price History'!P12/'Price History'!P11-1),"")</f>
        <v>0.022003845332194</v>
      </c>
      <c r="Q11" s="142" t="n">
        <f aca="false">IFERROR(IF(OR(NOT(ISNUMBER('Price History'!Q12)),NOT(ISNUMBER('Price History'!Q11)),'Price History'!Q11=0),"",'Price History'!Q12/'Price History'!Q11-1),"")</f>
        <v>0.0175664987720101</v>
      </c>
      <c r="R11" s="142" t="n">
        <f aca="false">IFERROR(IF(OR(NOT(ISNUMBER('Price History'!R12)),NOT(ISNUMBER('Price History'!R11)),'Price History'!R11=0),"",'Price History'!R12/'Price History'!R11-1),"")</f>
        <v>0.00275832802885634</v>
      </c>
      <c r="S11" s="142" t="n">
        <f aca="false">IFERROR(IF(OR(NOT(ISNUMBER('Price History'!S12)),NOT(ISNUMBER('Price History'!S11)),'Price History'!S11=0),"",'Price History'!S12/'Price History'!S11-1),"")</f>
        <v>0.00569751381215466</v>
      </c>
      <c r="T11" s="142" t="n">
        <f aca="false">IFERROR(IF(OR(NOT(ISNUMBER('Price History'!T12)),NOT(ISNUMBER('Price History'!T11)),'Price History'!T11=0),"",'Price History'!T12/'Price History'!T11-1),"")</f>
        <v>0.0129411764705882</v>
      </c>
      <c r="U11" s="142" t="str">
        <f aca="false">IFERROR(IF(OR(NOT(ISNUMBER('Price History'!U12)),NOT(ISNUMBER('Price History'!U11)),'Price History'!U11=0),"",'Price History'!U12/'Price History'!U11-1),"")</f>
        <v/>
      </c>
      <c r="V11" s="143" t="n">
        <f aca="false">IFERROR(IF(OR(NOT(ISNUMBER('Price History'!V12)),NOT(ISNUMBER('Price History'!V11)),'Price History'!V11=0),"",'Price History'!V12/'Price History'!V11-1),"")</f>
        <v>0.0111865587185513</v>
      </c>
      <c r="W11" s="144" t="str">
        <f aca="false">IFERROR('Price History'!B3+(INDEX('Price History'!B:B,MATCH(9.99E+307,'Price History'!$A:$A))-'Price History'!B3)*(ROW()-3)/(MATCH(9.99E+307,'Returns (Calc)'!$A:$A)-3),"")</f>
        <v/>
      </c>
      <c r="X11" s="144" t="n">
        <f aca="false">IFERROR('Price History'!C3+(INDEX('Price History'!C:C,MATCH(9.99E+307,'Price History'!$A:$A))-'Price History'!C3)*(ROW()-3)/(MATCH(9.99E+307,'Returns (Calc)'!$A:$A)-3),"")</f>
        <v>43.8417721518987</v>
      </c>
      <c r="Y11" s="144" t="n">
        <f aca="false">IFERROR('Price History'!D3+(INDEX('Price History'!D:D,MATCH(9.99E+307,'Price History'!$A:$A))-'Price History'!D3)*(ROW()-3)/(MATCH(9.99E+307,'Returns (Calc)'!$A:$A)-3),"")</f>
        <v>552.541139240506</v>
      </c>
      <c r="Z11" s="144" t="n">
        <f aca="false">IFERROR('Price History'!E3+(INDEX('Price History'!E:E,MATCH(9.99E+307,'Price History'!$A:$A))-'Price History'!E3)*(ROW()-3)/(MATCH(9.99E+307,'Returns (Calc)'!$A:$A)-3),"")</f>
        <v>77.8481012658228</v>
      </c>
      <c r="AA11" s="144" t="n">
        <f aca="false">IFERROR('Price History'!F3+(INDEX('Price History'!F:F,MATCH(9.99E+307,'Price History'!$A:$A))-'Price History'!F3)*(ROW()-3)/(MATCH(9.99E+307,'Returns (Calc)'!$A:$A)-3),"")</f>
        <v>71.496835443038</v>
      </c>
      <c r="AB11" s="144" t="n">
        <f aca="false">IFERROR('Price History'!G3+(INDEX('Price History'!G:G,MATCH(9.99E+307,'Price History'!$A:$A))-'Price History'!G3)*(ROW()-3)/(MATCH(9.99E+307,'Returns (Calc)'!$A:$A)-3),"")</f>
        <v>39.2658227848101</v>
      </c>
      <c r="AC11" s="144" t="n">
        <f aca="false">IFERROR('Price History'!H3+(INDEX('Price History'!H:H,MATCH(9.99E+307,'Price History'!$A:$A))-'Price History'!H3)*(ROW()-3)/(MATCH(9.99E+307,'Returns (Calc)'!$A:$A)-3),"")</f>
        <v>95.496835443038</v>
      </c>
      <c r="AD11" s="144" t="n">
        <f aca="false">IFERROR('Price History'!I3+(INDEX('Price History'!I:I,MATCH(9.99E+307,'Price History'!$A:$A))-'Price History'!I3)*(ROW()-3)/(MATCH(9.99E+307,'Returns (Calc)'!$A:$A)-3),"")</f>
        <v>42.1044303797468</v>
      </c>
      <c r="AE11" s="144" t="n">
        <f aca="false">IFERROR('Price History'!J3+(INDEX('Price History'!J:J,MATCH(9.99E+307,'Price History'!$A:$A))-'Price History'!J3)*(ROW()-3)/(MATCH(9.99E+307,'Returns (Calc)'!$A:$A)-3),"")</f>
        <v>65.6107594936709</v>
      </c>
      <c r="AF11" s="144" t="n">
        <f aca="false">IFERROR('Price History'!K3+(INDEX('Price History'!K:K,MATCH(9.99E+307,'Price History'!$A:$A))-'Price History'!K3)*(ROW()-3)/(MATCH(9.99E+307,'Returns (Calc)'!$A:$A)-3),"")</f>
        <v>41.5537974683544</v>
      </c>
      <c r="AG11" s="144" t="n">
        <f aca="false">IFERROR('Price History'!L3+(INDEX('Price History'!L:L,MATCH(9.99E+307,'Price History'!$A:$A))-'Price History'!L3)*(ROW()-3)/(MATCH(9.99E+307,'Returns (Calc)'!$A:$A)-3),"")</f>
        <v>106.177215189873</v>
      </c>
      <c r="AH11" s="144" t="n">
        <f aca="false">IFERROR('Price History'!M3+(INDEX('Price History'!M:M,MATCH(9.99E+307,'Price History'!$A:$A))-'Price History'!M3)*(ROW()-3)/(MATCH(9.99E+307,'Returns (Calc)'!$A:$A)-3),"")</f>
        <v>14.5537974683544</v>
      </c>
      <c r="AI11" s="144" t="n">
        <f aca="false">IFERROR('Price History'!N3+(INDEX('Price History'!N:N,MATCH(9.99E+307,'Price History'!$A:$A))-'Price History'!N3)*(ROW()-3)/(MATCH(9.99E+307,'Returns (Calc)'!$A:$A)-3),"")</f>
        <v>20.6962025316456</v>
      </c>
      <c r="AJ11" s="144" t="n">
        <f aca="false">IFERROR('Price History'!O3+(INDEX('Price History'!O:O,MATCH(9.99E+307,'Price History'!$A:$A))-'Price History'!O3)*(ROW()-3)/(MATCH(9.99E+307,'Returns (Calc)'!$A:$A)-3),"")</f>
        <v>54.7120253164557</v>
      </c>
      <c r="AK11" s="144" t="n">
        <f aca="false">IFERROR('Price History'!Q3+(INDEX('Price History'!Q:Q,MATCH(9.99E+307,'Price History'!$A:$A))-'Price History'!Q3)*(ROW()-3)/(MATCH(9.99E+307,'Returns (Calc)'!$A:$A)-3),"")</f>
        <v>223.699367088608</v>
      </c>
      <c r="AL11" s="144" t="n">
        <f aca="false">IFERROR('Price History'!R3+(INDEX('Price History'!R:R,MATCH(9.99E+307,'Price History'!$A:$A))-'Price History'!R3)*(ROW()-3)/(MATCH(9.99E+307,'Returns (Calc)'!$A:$A)-3),"")</f>
        <v>45.3987341772152</v>
      </c>
      <c r="AM11" s="144" t="n">
        <f aca="false">IFERROR('Price History'!S3+(INDEX('Price History'!S:S,MATCH(9.99E+307,'Price History'!$A:$A))-'Price History'!S3)*(ROW()-3)/(MATCH(9.99E+307,'Returns (Calc)'!$A:$A)-3),"")</f>
        <v>55.5759493670886</v>
      </c>
      <c r="AN11" s="144" t="n">
        <f aca="false">IFERROR('Price History'!T3+(INDEX('Price History'!T:T,MATCH(9.99E+307,'Price History'!$A:$A))-'Price History'!T3)*(ROW()-3)/(MATCH(9.99E+307,'Returns (Calc)'!$A:$A)-3),"")</f>
        <v>25.5474683544304</v>
      </c>
      <c r="AO11" s="145" t="n">
        <f aca="false">IFERROR('Price History'!V3+(INDEX('Price History'!V:V,MATCH(9.99E+307,'Price History'!$A:$A))-'Price History'!V3)*(ROW()-3)/(MATCH(9.99E+307,'Returns (Calc)'!$A:$A)-3),"")</f>
        <v>0</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0.000130855796911966</v>
      </c>
      <c r="G12" s="142" t="n">
        <f aca="false">IFERROR(IF(OR(NOT(ISNUMBER('Price History'!G13)),NOT(ISNUMBER('Price History'!G12)),'Price History'!G12=0),"",'Price History'!G13/'Price History'!G12-1),"")</f>
        <v>0.0173845856673749</v>
      </c>
      <c r="H12" s="142" t="n">
        <f aca="false">IFERROR(IF(OR(NOT(ISNUMBER('Price History'!H13)),NOT(ISNUMBER('Price History'!H12)),'Price History'!H12=0),"",'Price History'!H13/'Price History'!H12-1),"")</f>
        <v>0.0035353535353535</v>
      </c>
      <c r="I12" s="142" t="n">
        <f aca="false">IFERROR(IF(OR(NOT(ISNUMBER('Price History'!I13)),NOT(ISNUMBER('Price History'!I12)),'Price History'!I12=0),"",'Price History'!I13/'Price History'!I12-1),"")</f>
        <v>0.0204426106526632</v>
      </c>
      <c r="J12" s="142" t="n">
        <f aca="false">IFERROR(IF(OR(NOT(ISNUMBER('Price History'!J13)),NOT(ISNUMBER('Price History'!J12)),'Price History'!J12=0),"",'Price History'!J13/'Price History'!J12-1),"")</f>
        <v>-0.00885070935832344</v>
      </c>
      <c r="K12" s="142" t="n">
        <f aca="false">IFERROR(IF(OR(NOT(ISNUMBER('Price History'!K13)),NOT(ISNUMBER('Price History'!K12)),'Price History'!K12=0),"",'Price History'!K13/'Price History'!K12-1),"")</f>
        <v>-0.0309257375381484</v>
      </c>
      <c r="L12" s="142" t="n">
        <f aca="false">IFERROR(IF(OR(NOT(ISNUMBER('Price History'!L13)),NOT(ISNUMBER('Price History'!L12)),'Price History'!L12=0),"",'Price History'!L13/'Price History'!L12-1),"")</f>
        <v>0.0175105063037824</v>
      </c>
      <c r="M12" s="142" t="n">
        <f aca="false">IFERROR(IF(OR(NOT(ISNUMBER('Price History'!M13)),NOT(ISNUMBER('Price History'!M12)),'Price History'!M12=0),"",'Price History'!M13/'Price History'!M12-1),"")</f>
        <v>-0.0629575402635432</v>
      </c>
      <c r="N12" s="142" t="n">
        <f aca="false">IFERROR(IF(OR(NOT(ISNUMBER('Price History'!N13)),NOT(ISNUMBER('Price History'!N12)),'Price History'!N12=0),"",'Price History'!N13/'Price History'!N12-1),"")</f>
        <v>0.00941176470588223</v>
      </c>
      <c r="O12" s="142" t="n">
        <f aca="false">IFERROR(IF(OR(NOT(ISNUMBER('Price History'!O13)),NOT(ISNUMBER('Price History'!O12)),'Price History'!O12=0),"",'Price History'!O13/'Price History'!O12-1),"")</f>
        <v>0.00546629120424069</v>
      </c>
      <c r="P12" s="142" t="n">
        <f aca="false">IFERROR(IF(OR(NOT(ISNUMBER('Price History'!P13)),NOT(ISNUMBER('Price History'!P12)),'Price History'!P12=0),"",'Price History'!P13/'Price History'!P12-1),"")</f>
        <v>-0.0175585284280937</v>
      </c>
      <c r="Q12" s="142" t="n">
        <f aca="false">IFERROR(IF(OR(NOT(ISNUMBER('Price History'!Q13)),NOT(ISNUMBER('Price History'!Q12)),'Price History'!Q12=0),"",'Price History'!Q13/'Price History'!Q12-1),"")</f>
        <v>0.019022294947842</v>
      </c>
      <c r="R12" s="142" t="n">
        <f aca="false">IFERROR(IF(OR(NOT(ISNUMBER('Price History'!R13)),NOT(ISNUMBER('Price History'!R12)),'Price History'!R12=0),"",'Price History'!R13/'Price History'!R12-1),"")</f>
        <v>-0.0198899703766399</v>
      </c>
      <c r="S12" s="142" t="n">
        <f aca="false">IFERROR(IF(OR(NOT(ISNUMBER('Price History'!S13)),NOT(ISNUMBER('Price History'!S12)),'Price History'!S12=0),"",'Price History'!S13/'Price History'!S12-1),"")</f>
        <v>-0.0290128755364807</v>
      </c>
      <c r="T12" s="142" t="n">
        <f aca="false">IFERROR(IF(OR(NOT(ISNUMBER('Price History'!T13)),NOT(ISNUMBER('Price History'!T12)),'Price History'!T12=0),"",'Price History'!T13/'Price History'!T12-1),"")</f>
        <v>-0.0127758420441346</v>
      </c>
      <c r="U12" s="142" t="str">
        <f aca="false">IFERROR(IF(OR(NOT(ISNUMBER('Price History'!U13)),NOT(ISNUMBER('Price History'!U12)),'Price History'!U12=0),"",'Price History'!U13/'Price History'!U12-1),"")</f>
        <v/>
      </c>
      <c r="V12" s="143" t="n">
        <f aca="false">IFERROR(IF(OR(NOT(ISNUMBER('Price History'!V13)),NOT(ISNUMBER('Price History'!V12)),'Price History'!V12=0),"",'Price History'!V13/'Price History'!V12-1),"")</f>
        <v>-0.0180362446730662</v>
      </c>
      <c r="W12" s="144" t="str">
        <f aca="false">IFERROR('Price History'!B3+(INDEX('Price History'!B:B,MATCH(9.99E+307,'Price History'!$A:$A))-'Price History'!B3)*(ROW()-3)/(MATCH(9.99E+307,'Returns (Calc)'!$A:$A)-3),"")</f>
        <v/>
      </c>
      <c r="X12" s="144" t="n">
        <f aca="false">IFERROR('Price History'!C3+(INDEX('Price History'!C:C,MATCH(9.99E+307,'Price History'!$A:$A))-'Price History'!C3)*(ROW()-3)/(MATCH(9.99E+307,'Returns (Calc)'!$A:$A)-3),"")</f>
        <v>43.5494936708861</v>
      </c>
      <c r="Y12" s="144" t="n">
        <f aca="false">IFERROR('Price History'!D3+(INDEX('Price History'!D:D,MATCH(9.99E+307,'Price History'!$A:$A))-'Price History'!D3)*(ROW()-3)/(MATCH(9.99E+307,'Returns (Calc)'!$A:$A)-3),"")</f>
        <v>548.85753164557</v>
      </c>
      <c r="Z12" s="144" t="n">
        <f aca="false">IFERROR('Price History'!E3+(INDEX('Price History'!E:E,MATCH(9.99E+307,'Price History'!$A:$A))-'Price History'!E3)*(ROW()-3)/(MATCH(9.99E+307,'Returns (Calc)'!$A:$A)-3),"")</f>
        <v>77.3291139240506</v>
      </c>
      <c r="AA12" s="144" t="n">
        <f aca="false">IFERROR('Price History'!F3+(INDEX('Price History'!F:F,MATCH(9.99E+307,'Price History'!$A:$A))-'Price History'!F3)*(ROW()-3)/(MATCH(9.99E+307,'Returns (Calc)'!$A:$A)-3),"")</f>
        <v>71.0201898734177</v>
      </c>
      <c r="AB12" s="144" t="n">
        <f aca="false">IFERROR('Price History'!G3+(INDEX('Price History'!G:G,MATCH(9.99E+307,'Price History'!$A:$A))-'Price History'!G3)*(ROW()-3)/(MATCH(9.99E+307,'Returns (Calc)'!$A:$A)-3),"")</f>
        <v>39.0040506329114</v>
      </c>
      <c r="AC12" s="144" t="n">
        <f aca="false">IFERROR('Price History'!H3+(INDEX('Price History'!H:H,MATCH(9.99E+307,'Price History'!$A:$A))-'Price History'!H3)*(ROW()-3)/(MATCH(9.99E+307,'Returns (Calc)'!$A:$A)-3),"")</f>
        <v>94.8601898734177</v>
      </c>
      <c r="AD12" s="144" t="n">
        <f aca="false">IFERROR('Price History'!I3+(INDEX('Price History'!I:I,MATCH(9.99E+307,'Price History'!$A:$A))-'Price History'!I3)*(ROW()-3)/(MATCH(9.99E+307,'Returns (Calc)'!$A:$A)-3),"")</f>
        <v>41.8237341772152</v>
      </c>
      <c r="AE12" s="144" t="n">
        <f aca="false">IFERROR('Price History'!J3+(INDEX('Price History'!J:J,MATCH(9.99E+307,'Price History'!$A:$A))-'Price History'!J3)*(ROW()-3)/(MATCH(9.99E+307,'Returns (Calc)'!$A:$A)-3),"")</f>
        <v>65.1733544303798</v>
      </c>
      <c r="AF12" s="144" t="n">
        <f aca="false">IFERROR('Price History'!K3+(INDEX('Price History'!K:K,MATCH(9.99E+307,'Price History'!$A:$A))-'Price History'!K3)*(ROW()-3)/(MATCH(9.99E+307,'Returns (Calc)'!$A:$A)-3),"")</f>
        <v>41.2767721518987</v>
      </c>
      <c r="AG12" s="144" t="n">
        <f aca="false">IFERROR('Price History'!L3+(INDEX('Price History'!L:L,MATCH(9.99E+307,'Price History'!$A:$A))-'Price History'!L3)*(ROW()-3)/(MATCH(9.99E+307,'Returns (Calc)'!$A:$A)-3),"")</f>
        <v>105.469367088608</v>
      </c>
      <c r="AH12" s="144" t="n">
        <f aca="false">IFERROR('Price History'!M3+(INDEX('Price History'!M:M,MATCH(9.99E+307,'Price History'!$A:$A))-'Price History'!M3)*(ROW()-3)/(MATCH(9.99E+307,'Returns (Calc)'!$A:$A)-3),"")</f>
        <v>14.4567721518987</v>
      </c>
      <c r="AI12" s="144" t="n">
        <f aca="false">IFERROR('Price History'!N3+(INDEX('Price History'!N:N,MATCH(9.99E+307,'Price History'!$A:$A))-'Price History'!N3)*(ROW()-3)/(MATCH(9.99E+307,'Returns (Calc)'!$A:$A)-3),"")</f>
        <v>20.5582278481013</v>
      </c>
      <c r="AJ12" s="144" t="n">
        <f aca="false">IFERROR('Price History'!O3+(INDEX('Price History'!O:O,MATCH(9.99E+307,'Price History'!$A:$A))-'Price History'!O3)*(ROW()-3)/(MATCH(9.99E+307,'Returns (Calc)'!$A:$A)-3),"")</f>
        <v>54.3472784810127</v>
      </c>
      <c r="AK12" s="144" t="n">
        <f aca="false">IFERROR('Price History'!Q3+(INDEX('Price History'!Q:Q,MATCH(9.99E+307,'Price History'!$A:$A))-'Price History'!Q3)*(ROW()-3)/(MATCH(9.99E+307,'Returns (Calc)'!$A:$A)-3),"")</f>
        <v>222.208037974684</v>
      </c>
      <c r="AL12" s="144" t="n">
        <f aca="false">IFERROR('Price History'!R3+(INDEX('Price History'!R:R,MATCH(9.99E+307,'Price History'!$A:$A))-'Price History'!R3)*(ROW()-3)/(MATCH(9.99E+307,'Returns (Calc)'!$A:$A)-3),"")</f>
        <v>45.0960759493671</v>
      </c>
      <c r="AM12" s="144" t="n">
        <f aca="false">IFERROR('Price History'!S3+(INDEX('Price History'!S:S,MATCH(9.99E+307,'Price History'!$A:$A))-'Price History'!S3)*(ROW()-3)/(MATCH(9.99E+307,'Returns (Calc)'!$A:$A)-3),"")</f>
        <v>55.2054430379747</v>
      </c>
      <c r="AN12" s="144" t="n">
        <f aca="false">IFERROR('Price History'!T3+(INDEX('Price History'!T:T,MATCH(9.99E+307,'Price History'!$A:$A))-'Price History'!T3)*(ROW()-3)/(MATCH(9.99E+307,'Returns (Calc)'!$A:$A)-3),"")</f>
        <v>25.3771518987342</v>
      </c>
      <c r="AO12" s="145" t="n">
        <f aca="false">IFERROR('Price History'!V3+(INDEX('Price History'!V:V,MATCH(9.99E+307,'Price History'!$A:$A))-'Price History'!V3)*(ROW()-3)/(MATCH(9.99E+307,'Returns (Calc)'!$A:$A)-3),"")</f>
        <v>0</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0.0334947010336253</v>
      </c>
      <c r="G13" s="142" t="n">
        <f aca="false">IFERROR(IF(OR(NOT(ISNUMBER('Price History'!G14)),NOT(ISNUMBER('Price History'!G13)),'Price History'!G13=0),"",'Price History'!G14/'Price History'!G13-1),"")</f>
        <v>0.115625593316879</v>
      </c>
      <c r="H13" s="142" t="n">
        <f aca="false">IFERROR(IF(OR(NOT(ISNUMBER('Price History'!H14)),NOT(ISNUMBER('Price History'!H13)),'Price History'!H13=0),"",'Price History'!H14/'Price History'!H13-1),"")</f>
        <v>0.0292903875188728</v>
      </c>
      <c r="I13" s="142" t="n">
        <f aca="false">IFERROR(IF(OR(NOT(ISNUMBER('Price History'!I14)),NOT(ISNUMBER('Price History'!I13)),'Price History'!I13=0),"",'Price History'!I14/'Price History'!I13-1),"")</f>
        <v>-0.0119463333945966</v>
      </c>
      <c r="J13" s="142" t="n">
        <f aca="false">IFERROR(IF(OR(NOT(ISNUMBER('Price History'!J14)),NOT(ISNUMBER('Price History'!J13)),'Price History'!J13=0),"",'Price History'!J14/'Price History'!J13-1),"")</f>
        <v>-0.0122127380170717</v>
      </c>
      <c r="K13" s="142" t="n">
        <f aca="false">IFERROR(IF(OR(NOT(ISNUMBER('Price History'!K14)),NOT(ISNUMBER('Price History'!K13)),'Price History'!K13=0),"",'Price History'!K14/'Price History'!K13-1),"")</f>
        <v>-0.0209951711106445</v>
      </c>
      <c r="L13" s="142" t="n">
        <f aca="false">IFERROR(IF(OR(NOT(ISNUMBER('Price History'!L14)),NOT(ISNUMBER('Price History'!L13)),'Price History'!L13=0),"",'Price History'!L14/'Price History'!L13-1),"")</f>
        <v>0.0558560330415971</v>
      </c>
      <c r="M13" s="142" t="n">
        <f aca="false">IFERROR(IF(OR(NOT(ISNUMBER('Price History'!M14)),NOT(ISNUMBER('Price History'!M13)),'Price History'!M13=0),"",'Price History'!M14/'Price History'!M13-1),"")</f>
        <v>0.0557291666666666</v>
      </c>
      <c r="N13" s="142" t="n">
        <f aca="false">IFERROR(IF(OR(NOT(ISNUMBER('Price History'!N14)),NOT(ISNUMBER('Price History'!N13)),'Price History'!N13=0),"",'Price History'!N14/'Price History'!N13-1),"")</f>
        <v>0.0186480186480187</v>
      </c>
      <c r="O13" s="142" t="n">
        <f aca="false">IFERROR(IF(OR(NOT(ISNUMBER('Price History'!O14)),NOT(ISNUMBER('Price History'!O13)),'Price History'!O13=0),"",'Price History'!O14/'Price History'!O13-1),"")</f>
        <v>-0.0021416803953872</v>
      </c>
      <c r="P13" s="142" t="n">
        <f aca="false">IFERROR(IF(OR(NOT(ISNUMBER('Price History'!P14)),NOT(ISNUMBER('Price History'!P13)),'Price History'!P13=0),"",'Price History'!P14/'Price History'!P13-1),"")</f>
        <v>0.00734042553191494</v>
      </c>
      <c r="Q13" s="142" t="n">
        <f aca="false">IFERROR(IF(OR(NOT(ISNUMBER('Price History'!Q14)),NOT(ISNUMBER('Price History'!Q13)),'Price History'!Q13=0),"",'Price History'!Q14/'Price History'!Q13-1),"")</f>
        <v>0.00843034925732633</v>
      </c>
      <c r="R13" s="142" t="n">
        <f aca="false">IFERROR(IF(OR(NOT(ISNUMBER('Price History'!R14)),NOT(ISNUMBER('Price History'!R13)),'Price History'!R13=0),"",'Price History'!R14/'Price History'!R13-1),"")</f>
        <v>-0.0207253886010363</v>
      </c>
      <c r="S13" s="142" t="n">
        <f aca="false">IFERROR(IF(OR(NOT(ISNUMBER('Price History'!S14)),NOT(ISNUMBER('Price History'!S13)),'Price History'!S13=0),"",'Price History'!S14/'Price History'!S13-1),"")</f>
        <v>-0.0201555869872702</v>
      </c>
      <c r="T13" s="142" t="n">
        <f aca="false">IFERROR(IF(OR(NOT(ISNUMBER('Price History'!T14)),NOT(ISNUMBER('Price History'!T13)),'Price History'!T13=0),"",'Price History'!T14/'Price History'!T13-1),"")</f>
        <v>-0.0329411764705883</v>
      </c>
      <c r="U13" s="142" t="str">
        <f aca="false">IFERROR(IF(OR(NOT(ISNUMBER('Price History'!U14)),NOT(ISNUMBER('Price History'!U13)),'Price History'!U13=0),"",'Price History'!U14/'Price History'!U13-1),"")</f>
        <v/>
      </c>
      <c r="V13" s="143" t="n">
        <f aca="false">IFERROR(IF(OR(NOT(ISNUMBER('Price History'!V14)),NOT(ISNUMBER('Price History'!V13)),'Price History'!V13=0),"",'Price History'!V14/'Price History'!V13-1),"")</f>
        <v>-0.0176223040504998</v>
      </c>
      <c r="W13" s="144" t="str">
        <f aca="false">IFERROR('Price History'!B3+(INDEX('Price History'!B:B,MATCH(9.99E+307,'Price History'!$A:$A))-'Price History'!B3)*(ROW()-3)/(MATCH(9.99E+307,'Returns (Calc)'!$A:$A)-3),"")</f>
        <v/>
      </c>
      <c r="X13" s="144" t="n">
        <f aca="false">IFERROR('Price History'!C3+(INDEX('Price History'!C:C,MATCH(9.99E+307,'Price History'!$A:$A))-'Price History'!C3)*(ROW()-3)/(MATCH(9.99E+307,'Returns (Calc)'!$A:$A)-3),"")</f>
        <v>43.2572151898734</v>
      </c>
      <c r="Y13" s="144" t="n">
        <f aca="false">IFERROR('Price History'!D3+(INDEX('Price History'!D:D,MATCH(9.99E+307,'Price History'!$A:$A))-'Price History'!D3)*(ROW()-3)/(MATCH(9.99E+307,'Returns (Calc)'!$A:$A)-3),"")</f>
        <v>545.173924050633</v>
      </c>
      <c r="Z13" s="144" t="n">
        <f aca="false">IFERROR('Price History'!E3+(INDEX('Price History'!E:E,MATCH(9.99E+307,'Price History'!$A:$A))-'Price History'!E3)*(ROW()-3)/(MATCH(9.99E+307,'Returns (Calc)'!$A:$A)-3),"")</f>
        <v>76.8101265822785</v>
      </c>
      <c r="AA13" s="144" t="n">
        <f aca="false">IFERROR('Price History'!F3+(INDEX('Price History'!F:F,MATCH(9.99E+307,'Price History'!$A:$A))-'Price History'!F3)*(ROW()-3)/(MATCH(9.99E+307,'Returns (Calc)'!$A:$A)-3),"")</f>
        <v>70.5435443037975</v>
      </c>
      <c r="AB13" s="144" t="n">
        <f aca="false">IFERROR('Price History'!G3+(INDEX('Price History'!G:G,MATCH(9.99E+307,'Price History'!$A:$A))-'Price History'!G3)*(ROW()-3)/(MATCH(9.99E+307,'Returns (Calc)'!$A:$A)-3),"")</f>
        <v>38.7422784810127</v>
      </c>
      <c r="AC13" s="144" t="n">
        <f aca="false">IFERROR('Price History'!H3+(INDEX('Price History'!H:H,MATCH(9.99E+307,'Price History'!$A:$A))-'Price History'!H3)*(ROW()-3)/(MATCH(9.99E+307,'Returns (Calc)'!$A:$A)-3),"")</f>
        <v>94.2235443037975</v>
      </c>
      <c r="AD13" s="144" t="n">
        <f aca="false">IFERROR('Price History'!I3+(INDEX('Price History'!I:I,MATCH(9.99E+307,'Price History'!$A:$A))-'Price History'!I3)*(ROW()-3)/(MATCH(9.99E+307,'Returns (Calc)'!$A:$A)-3),"")</f>
        <v>41.5430379746835</v>
      </c>
      <c r="AE13" s="144" t="n">
        <f aca="false">IFERROR('Price History'!J3+(INDEX('Price History'!J:J,MATCH(9.99E+307,'Price History'!$A:$A))-'Price History'!J3)*(ROW()-3)/(MATCH(9.99E+307,'Returns (Calc)'!$A:$A)-3),"")</f>
        <v>64.7359493670886</v>
      </c>
      <c r="AF13" s="144" t="n">
        <f aca="false">IFERROR('Price History'!K3+(INDEX('Price History'!K:K,MATCH(9.99E+307,'Price History'!$A:$A))-'Price History'!K3)*(ROW()-3)/(MATCH(9.99E+307,'Returns (Calc)'!$A:$A)-3),"")</f>
        <v>40.999746835443</v>
      </c>
      <c r="AG13" s="144" t="n">
        <f aca="false">IFERROR('Price History'!L3+(INDEX('Price History'!L:L,MATCH(9.99E+307,'Price History'!$A:$A))-'Price History'!L3)*(ROW()-3)/(MATCH(9.99E+307,'Returns (Calc)'!$A:$A)-3),"")</f>
        <v>104.761518987342</v>
      </c>
      <c r="AH13" s="144" t="n">
        <f aca="false">IFERROR('Price History'!M3+(INDEX('Price History'!M:M,MATCH(9.99E+307,'Price History'!$A:$A))-'Price History'!M3)*(ROW()-3)/(MATCH(9.99E+307,'Returns (Calc)'!$A:$A)-3),"")</f>
        <v>14.359746835443</v>
      </c>
      <c r="AI13" s="144" t="n">
        <f aca="false">IFERROR('Price History'!N3+(INDEX('Price History'!N:N,MATCH(9.99E+307,'Price History'!$A:$A))-'Price History'!N3)*(ROW()-3)/(MATCH(9.99E+307,'Returns (Calc)'!$A:$A)-3),"")</f>
        <v>20.420253164557</v>
      </c>
      <c r="AJ13" s="144" t="n">
        <f aca="false">IFERROR('Price History'!O3+(INDEX('Price History'!O:O,MATCH(9.99E+307,'Price History'!$A:$A))-'Price History'!O3)*(ROW()-3)/(MATCH(9.99E+307,'Returns (Calc)'!$A:$A)-3),"")</f>
        <v>53.9825316455696</v>
      </c>
      <c r="AK13" s="144" t="n">
        <f aca="false">IFERROR('Price History'!Q3+(INDEX('Price History'!Q:Q,MATCH(9.99E+307,'Price History'!$A:$A))-'Price History'!Q3)*(ROW()-3)/(MATCH(9.99E+307,'Returns (Calc)'!$A:$A)-3),"")</f>
        <v>220.71670886076</v>
      </c>
      <c r="AL13" s="144" t="n">
        <f aca="false">IFERROR('Price History'!R3+(INDEX('Price History'!R:R,MATCH(9.99E+307,'Price History'!$A:$A))-'Price History'!R3)*(ROW()-3)/(MATCH(9.99E+307,'Returns (Calc)'!$A:$A)-3),"")</f>
        <v>44.793417721519</v>
      </c>
      <c r="AM13" s="144" t="n">
        <f aca="false">IFERROR('Price History'!S3+(INDEX('Price History'!S:S,MATCH(9.99E+307,'Price History'!$A:$A))-'Price History'!S3)*(ROW()-3)/(MATCH(9.99E+307,'Returns (Calc)'!$A:$A)-3),"")</f>
        <v>54.8349367088608</v>
      </c>
      <c r="AN13" s="144" t="n">
        <f aca="false">IFERROR('Price History'!T3+(INDEX('Price History'!T:T,MATCH(9.99E+307,'Price History'!$A:$A))-'Price History'!T3)*(ROW()-3)/(MATCH(9.99E+307,'Returns (Calc)'!$A:$A)-3),"")</f>
        <v>25.206835443038</v>
      </c>
      <c r="AO13" s="145" t="n">
        <f aca="false">IFERROR('Price History'!V3+(INDEX('Price History'!V:V,MATCH(9.99E+307,'Price History'!$A:$A))-'Price History'!V3)*(ROW()-3)/(MATCH(9.99E+307,'Returns (Calc)'!$A:$A)-3),"")</f>
        <v>0</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0.00835548803646047</v>
      </c>
      <c r="G14" s="142" t="n">
        <f aca="false">IFERROR(IF(OR(NOT(ISNUMBER('Price History'!G15)),NOT(ISNUMBER('Price History'!G14)),'Price History'!G14=0),"",'Price History'!G15/'Price History'!G14-1),"")</f>
        <v>0.0319945541184479</v>
      </c>
      <c r="H14" s="142" t="n">
        <f aca="false">IFERROR(IF(OR(NOT(ISNUMBER('Price History'!H15)),NOT(ISNUMBER('Price History'!H14)),'Price History'!H14=0),"",'Price History'!H15/'Price History'!H14-1),"")</f>
        <v>0.00215137883825545</v>
      </c>
      <c r="I14" s="142" t="n">
        <f aca="false">IFERROR(IF(OR(NOT(ISNUMBER('Price History'!I15)),NOT(ISNUMBER('Price History'!I14)),'Price History'!I14=0),"",'Price History'!I15/'Price History'!I14-1),"")</f>
        <v>-0.0265997023809523</v>
      </c>
      <c r="J14" s="142" t="n">
        <f aca="false">IFERROR(IF(OR(NOT(ISNUMBER('Price History'!J15)),NOT(ISNUMBER('Price History'!J14)),'Price History'!J14=0),"",'Price History'!J15/'Price History'!J14-1),"")</f>
        <v>-0.0127625631480989</v>
      </c>
      <c r="K14" s="142" t="n">
        <f aca="false">IFERROR(IF(OR(NOT(ISNUMBER('Price History'!K15)),NOT(ISNUMBER('Price History'!K14)),'Price History'!K14=0),"",'Price History'!K15/'Price History'!K14-1),"")</f>
        <v>0.0158696118378725</v>
      </c>
      <c r="L14" s="142" t="n">
        <f aca="false">IFERROR(IF(OR(NOT(ISNUMBER('Price History'!L15)),NOT(ISNUMBER('Price History'!L14)),'Price History'!L14=0),"",'Price History'!L15/'Price History'!L14-1),"")</f>
        <v>0.0135047033622053</v>
      </c>
      <c r="M14" s="142" t="n">
        <f aca="false">IFERROR(IF(OR(NOT(ISNUMBER('Price History'!M15)),NOT(ISNUMBER('Price History'!M14)),'Price History'!M14=0),"",'Price History'!M15/'Price History'!M14-1),"")</f>
        <v>-0.123334977799704</v>
      </c>
      <c r="N14" s="142" t="n">
        <f aca="false">IFERROR(IF(OR(NOT(ISNUMBER('Price History'!N15)),NOT(ISNUMBER('Price History'!N14)),'Price History'!N14=0),"",'Price History'!N15/'Price History'!N14-1),"")</f>
        <v>0.0018306636155605</v>
      </c>
      <c r="O14" s="142" t="n">
        <f aca="false">IFERROR(IF(OR(NOT(ISNUMBER('Price History'!O15)),NOT(ISNUMBER('Price History'!O14)),'Price History'!O14=0),"",'Price History'!O15/'Price History'!O14-1),"")</f>
        <v>0.00363216113587583</v>
      </c>
      <c r="P14" s="142" t="n">
        <f aca="false">IFERROR(IF(OR(NOT(ISNUMBER('Price History'!P15)),NOT(ISNUMBER('Price History'!P14)),'Price History'!P14=0),"",'Price History'!P15/'Price History'!P14-1),"")</f>
        <v>0.0182701446826488</v>
      </c>
      <c r="Q14" s="142" t="n">
        <f aca="false">IFERROR(IF(OR(NOT(ISNUMBER('Price History'!Q15)),NOT(ISNUMBER('Price History'!Q14)),'Price History'!Q14=0),"",'Price History'!Q15/'Price History'!Q14-1),"")</f>
        <v>-0.00274681528662424</v>
      </c>
      <c r="R14" s="142" t="n">
        <f aca="false">IFERROR(IF(OR(NOT(ISNUMBER('Price History'!R15)),NOT(ISNUMBER('Price History'!R14)),'Price History'!R14=0),"",'Price History'!R15/'Price History'!R14-1),"")</f>
        <v>0.0476190476190477</v>
      </c>
      <c r="S14" s="142" t="n">
        <f aca="false">IFERROR(IF(OR(NOT(ISNUMBER('Price History'!S15)),NOT(ISNUMBER('Price History'!S14)),'Price History'!S14=0),"",'Price History'!S15/'Price History'!S14-1),"")</f>
        <v>0.0582822085889569</v>
      </c>
      <c r="T14" s="142" t="n">
        <f aca="false">IFERROR(IF(OR(NOT(ISNUMBER('Price History'!T15)),NOT(ISNUMBER('Price History'!T14)),'Price History'!T14=0),"",'Price History'!T15/'Price History'!T14-1),"")</f>
        <v>0.0587996755879967</v>
      </c>
      <c r="U14" s="142" t="str">
        <f aca="false">IFERROR(IF(OR(NOT(ISNUMBER('Price History'!U15)),NOT(ISNUMBER('Price History'!U14)),'Price History'!U14=0),"",'Price History'!U15/'Price History'!U14-1),"")</f>
        <v/>
      </c>
      <c r="V14" s="143" t="n">
        <f aca="false">IFERROR(IF(OR(NOT(ISNUMBER('Price History'!V15)),NOT(ISNUMBER('Price History'!V14)),'Price History'!V14=0),"",'Price History'!V15/'Price History'!V14-1),"")</f>
        <v>0.062516733601071</v>
      </c>
      <c r="W14" s="144" t="str">
        <f aca="false">IFERROR('Price History'!B3+(INDEX('Price History'!B:B,MATCH(9.99E+307,'Price History'!$A:$A))-'Price History'!B3)*(ROW()-3)/(MATCH(9.99E+307,'Returns (Calc)'!$A:$A)-3),"")</f>
        <v/>
      </c>
      <c r="X14" s="144" t="n">
        <f aca="false">IFERROR('Price History'!C3+(INDEX('Price History'!C:C,MATCH(9.99E+307,'Price History'!$A:$A))-'Price History'!C3)*(ROW()-3)/(MATCH(9.99E+307,'Returns (Calc)'!$A:$A)-3),"")</f>
        <v>42.9649367088608</v>
      </c>
      <c r="Y14" s="144" t="n">
        <f aca="false">IFERROR('Price History'!D3+(INDEX('Price History'!D:D,MATCH(9.99E+307,'Price History'!$A:$A))-'Price History'!D3)*(ROW()-3)/(MATCH(9.99E+307,'Returns (Calc)'!$A:$A)-3),"")</f>
        <v>541.490316455696</v>
      </c>
      <c r="Z14" s="144" t="n">
        <f aca="false">IFERROR('Price History'!E3+(INDEX('Price History'!E:E,MATCH(9.99E+307,'Price History'!$A:$A))-'Price History'!E3)*(ROW()-3)/(MATCH(9.99E+307,'Returns (Calc)'!$A:$A)-3),"")</f>
        <v>76.2911392405063</v>
      </c>
      <c r="AA14" s="144" t="n">
        <f aca="false">IFERROR('Price History'!F3+(INDEX('Price History'!F:F,MATCH(9.99E+307,'Price History'!$A:$A))-'Price History'!F3)*(ROW()-3)/(MATCH(9.99E+307,'Returns (Calc)'!$A:$A)-3),"")</f>
        <v>70.0668987341772</v>
      </c>
      <c r="AB14" s="144" t="n">
        <f aca="false">IFERROR('Price History'!G3+(INDEX('Price History'!G:G,MATCH(9.99E+307,'Price History'!$A:$A))-'Price History'!G3)*(ROW()-3)/(MATCH(9.99E+307,'Returns (Calc)'!$A:$A)-3),"")</f>
        <v>38.4805063291139</v>
      </c>
      <c r="AC14" s="144" t="n">
        <f aca="false">IFERROR('Price History'!H3+(INDEX('Price History'!H:H,MATCH(9.99E+307,'Price History'!$A:$A))-'Price History'!H3)*(ROW()-3)/(MATCH(9.99E+307,'Returns (Calc)'!$A:$A)-3),"")</f>
        <v>93.5868987341772</v>
      </c>
      <c r="AD14" s="144" t="n">
        <f aca="false">IFERROR('Price History'!I3+(INDEX('Price History'!I:I,MATCH(9.99E+307,'Price History'!$A:$A))-'Price History'!I3)*(ROW()-3)/(MATCH(9.99E+307,'Returns (Calc)'!$A:$A)-3),"")</f>
        <v>41.2623417721519</v>
      </c>
      <c r="AE14" s="144" t="n">
        <f aca="false">IFERROR('Price History'!J3+(INDEX('Price History'!J:J,MATCH(9.99E+307,'Price History'!$A:$A))-'Price History'!J3)*(ROW()-3)/(MATCH(9.99E+307,'Returns (Calc)'!$A:$A)-3),"")</f>
        <v>64.2985443037975</v>
      </c>
      <c r="AF14" s="144" t="n">
        <f aca="false">IFERROR('Price History'!K3+(INDEX('Price History'!K:K,MATCH(9.99E+307,'Price History'!$A:$A))-'Price History'!K3)*(ROW()-3)/(MATCH(9.99E+307,'Returns (Calc)'!$A:$A)-3),"")</f>
        <v>40.7227215189873</v>
      </c>
      <c r="AG14" s="144" t="n">
        <f aca="false">IFERROR('Price History'!L3+(INDEX('Price History'!L:L,MATCH(9.99E+307,'Price History'!$A:$A))-'Price History'!L3)*(ROW()-3)/(MATCH(9.99E+307,'Returns (Calc)'!$A:$A)-3),"")</f>
        <v>104.053670886076</v>
      </c>
      <c r="AH14" s="144" t="n">
        <f aca="false">IFERROR('Price History'!M3+(INDEX('Price History'!M:M,MATCH(9.99E+307,'Price History'!$A:$A))-'Price History'!M3)*(ROW()-3)/(MATCH(9.99E+307,'Returns (Calc)'!$A:$A)-3),"")</f>
        <v>14.2627215189873</v>
      </c>
      <c r="AI14" s="144" t="n">
        <f aca="false">IFERROR('Price History'!N3+(INDEX('Price History'!N:N,MATCH(9.99E+307,'Price History'!$A:$A))-'Price History'!N3)*(ROW()-3)/(MATCH(9.99E+307,'Returns (Calc)'!$A:$A)-3),"")</f>
        <v>20.2822784810127</v>
      </c>
      <c r="AJ14" s="144" t="n">
        <f aca="false">IFERROR('Price History'!O3+(INDEX('Price History'!O:O,MATCH(9.99E+307,'Price History'!$A:$A))-'Price History'!O3)*(ROW()-3)/(MATCH(9.99E+307,'Returns (Calc)'!$A:$A)-3),"")</f>
        <v>53.6177848101266</v>
      </c>
      <c r="AK14" s="144" t="n">
        <f aca="false">IFERROR('Price History'!Q3+(INDEX('Price History'!Q:Q,MATCH(9.99E+307,'Price History'!$A:$A))-'Price History'!Q3)*(ROW()-3)/(MATCH(9.99E+307,'Returns (Calc)'!$A:$A)-3),"")</f>
        <v>219.225379746835</v>
      </c>
      <c r="AL14" s="144" t="n">
        <f aca="false">IFERROR('Price History'!R3+(INDEX('Price History'!R:R,MATCH(9.99E+307,'Price History'!$A:$A))-'Price History'!R3)*(ROW()-3)/(MATCH(9.99E+307,'Returns (Calc)'!$A:$A)-3),"")</f>
        <v>44.4907594936709</v>
      </c>
      <c r="AM14" s="144" t="n">
        <f aca="false">IFERROR('Price History'!S3+(INDEX('Price History'!S:S,MATCH(9.99E+307,'Price History'!$A:$A))-'Price History'!S3)*(ROW()-3)/(MATCH(9.99E+307,'Returns (Calc)'!$A:$A)-3),"")</f>
        <v>54.4644303797468</v>
      </c>
      <c r="AN14" s="144" t="n">
        <f aca="false">IFERROR('Price History'!T3+(INDEX('Price History'!T:T,MATCH(9.99E+307,'Price History'!$A:$A))-'Price History'!T3)*(ROW()-3)/(MATCH(9.99E+307,'Returns (Calc)'!$A:$A)-3),"")</f>
        <v>25.0365189873418</v>
      </c>
      <c r="AO14" s="145" t="n">
        <f aca="false">IFERROR('Price History'!V3+(INDEX('Price History'!V:V,MATCH(9.99E+307,'Price History'!$A:$A))-'Price History'!V3)*(ROW()-3)/(MATCH(9.99E+307,'Returns (Calc)'!$A:$A)-3),"")</f>
        <v>0</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0.0548650345260513</v>
      </c>
      <c r="G15" s="142" t="n">
        <f aca="false">IFERROR(IF(OR(NOT(ISNUMBER('Price History'!G16)),NOT(ISNUMBER('Price History'!G15)),'Price History'!G15=0),"",'Price History'!G16/'Price History'!G15-1),"")</f>
        <v>0.0722295514511873</v>
      </c>
      <c r="H15" s="142" t="n">
        <f aca="false">IFERROR(IF(OR(NOT(ISNUMBER('Price History'!H16)),NOT(ISNUMBER('Price History'!H15)),'Price History'!H15=0),"",'Price History'!H16/'Price History'!H15-1),"")</f>
        <v>0.0298594847775175</v>
      </c>
      <c r="I15" s="142" t="n">
        <f aca="false">IFERROR(IF(OR(NOT(ISNUMBER('Price History'!I16)),NOT(ISNUMBER('Price History'!I15)),'Price History'!I15=0),"",'Price History'!I16/'Price History'!I15-1),"")</f>
        <v>0.0947831072042806</v>
      </c>
      <c r="J15" s="142" t="n">
        <f aca="false">IFERROR(IF(OR(NOT(ISNUMBER('Price History'!J16)),NOT(ISNUMBER('Price History'!J15)),'Price History'!J15=0),"",'Price History'!J16/'Price History'!J15-1),"")</f>
        <v>0.0859143549690278</v>
      </c>
      <c r="K15" s="142" t="n">
        <f aca="false">IFERROR(IF(OR(NOT(ISNUMBER('Price History'!K16)),NOT(ISNUMBER('Price History'!K15)),'Price History'!K15=0),"",'Price History'!K16/'Price History'!K15-1),"")</f>
        <v>0.0291323622545916</v>
      </c>
      <c r="L15" s="142" t="n">
        <f aca="false">IFERROR(IF(OR(NOT(ISNUMBER('Price History'!L16)),NOT(ISNUMBER('Price History'!L15)),'Price History'!L15=0),"",'Price History'!L16/'Price History'!L15-1),"")</f>
        <v>0.127366292960853</v>
      </c>
      <c r="M15" s="142" t="n">
        <f aca="false">IFERROR(IF(OR(NOT(ISNUMBER('Price History'!M16)),NOT(ISNUMBER('Price History'!M15)),'Price History'!M15=0),"",'Price History'!M16/'Price History'!M15-1),"")</f>
        <v>0.024198086662915</v>
      </c>
      <c r="N15" s="142" t="n">
        <f aca="false">IFERROR(IF(OR(NOT(ISNUMBER('Price History'!N16)),NOT(ISNUMBER('Price History'!N15)),'Price History'!N15=0),"",'Price History'!N16/'Price History'!N15-1),"")</f>
        <v>0.0402010050251256</v>
      </c>
      <c r="O15" s="142" t="n">
        <f aca="false">IFERROR(IF(OR(NOT(ISNUMBER('Price History'!O16)),NOT(ISNUMBER('Price History'!O15)),'Price History'!O15=0),"",'Price History'!O16/'Price History'!O15-1),"")</f>
        <v>0.0342161539726928</v>
      </c>
      <c r="P15" s="142" t="n">
        <f aca="false">IFERROR(IF(OR(NOT(ISNUMBER('Price History'!P16)),NOT(ISNUMBER('Price History'!P15)),'Price History'!P15=0),"",'Price History'!P16/'Price History'!P15-1),"")</f>
        <v>0.0266542211159511</v>
      </c>
      <c r="Q15" s="142" t="n">
        <f aca="false">IFERROR(IF(OR(NOT(ISNUMBER('Price History'!Q16)),NOT(ISNUMBER('Price History'!Q15)),'Price History'!Q15=0),"",'Price History'!Q16/'Price History'!Q15-1),"")</f>
        <v>0.00894175881202353</v>
      </c>
      <c r="R15" s="142" t="n">
        <f aca="false">IFERROR(IF(OR(NOT(ISNUMBER('Price History'!R16)),NOT(ISNUMBER('Price History'!R15)),'Price History'!R15=0),"",'Price History'!R16/'Price History'!R15-1),"")</f>
        <v>0.0208333333333333</v>
      </c>
      <c r="S15" s="142" t="n">
        <f aca="false">IFERROR(IF(OR(NOT(ISNUMBER('Price History'!S16)),NOT(ISNUMBER('Price History'!S15)),'Price History'!S15=0),"",'Price History'!S16/'Price History'!S15-1),"")</f>
        <v>0.0294970161977834</v>
      </c>
      <c r="T15" s="142" t="n">
        <f aca="false">IFERROR(IF(OR(NOT(ISNUMBER('Price History'!T16)),NOT(ISNUMBER('Price History'!T15)),'Price History'!T15=0),"",'Price History'!T16/'Price History'!T15-1),"")</f>
        <v>-0.00689391037916509</v>
      </c>
      <c r="U15" s="142" t="str">
        <f aca="false">IFERROR(IF(OR(NOT(ISNUMBER('Price History'!U16)),NOT(ISNUMBER('Price History'!U15)),'Price History'!U15=0),"",'Price History'!U16/'Price History'!U15-1),"")</f>
        <v/>
      </c>
      <c r="V15" s="143" t="n">
        <f aca="false">IFERROR(IF(OR(NOT(ISNUMBER('Price History'!V16)),NOT(ISNUMBER('Price History'!V15)),'Price History'!V15=0),"",'Price History'!V16/'Price History'!V15-1),"")</f>
        <v>0.00890344798622467</v>
      </c>
      <c r="W15" s="144" t="str">
        <f aca="false">IFERROR('Price History'!B3+(INDEX('Price History'!B:B,MATCH(9.99E+307,'Price History'!$A:$A))-'Price History'!B3)*(ROW()-3)/(MATCH(9.99E+307,'Returns (Calc)'!$A:$A)-3),"")</f>
        <v/>
      </c>
      <c r="X15" s="144" t="n">
        <f aca="false">IFERROR('Price History'!C3+(INDEX('Price History'!C:C,MATCH(9.99E+307,'Price History'!$A:$A))-'Price History'!C3)*(ROW()-3)/(MATCH(9.99E+307,'Returns (Calc)'!$A:$A)-3),"")</f>
        <v>42.6726582278481</v>
      </c>
      <c r="Y15" s="144" t="n">
        <f aca="false">IFERROR('Price History'!D3+(INDEX('Price History'!D:D,MATCH(9.99E+307,'Price History'!$A:$A))-'Price History'!D3)*(ROW()-3)/(MATCH(9.99E+307,'Returns (Calc)'!$A:$A)-3),"")</f>
        <v>537.80670886076</v>
      </c>
      <c r="Z15" s="144" t="n">
        <f aca="false">IFERROR('Price History'!E3+(INDEX('Price History'!E:E,MATCH(9.99E+307,'Price History'!$A:$A))-'Price History'!E3)*(ROW()-3)/(MATCH(9.99E+307,'Returns (Calc)'!$A:$A)-3),"")</f>
        <v>75.7721518987342</v>
      </c>
      <c r="AA15" s="144" t="n">
        <f aca="false">IFERROR('Price History'!F3+(INDEX('Price History'!F:F,MATCH(9.99E+307,'Price History'!$A:$A))-'Price History'!F3)*(ROW()-3)/(MATCH(9.99E+307,'Returns (Calc)'!$A:$A)-3),"")</f>
        <v>69.590253164557</v>
      </c>
      <c r="AB15" s="144" t="n">
        <f aca="false">IFERROR('Price History'!G3+(INDEX('Price History'!G:G,MATCH(9.99E+307,'Price History'!$A:$A))-'Price History'!G3)*(ROW()-3)/(MATCH(9.99E+307,'Returns (Calc)'!$A:$A)-3),"")</f>
        <v>38.2187341772152</v>
      </c>
      <c r="AC15" s="144" t="n">
        <f aca="false">IFERROR('Price History'!H3+(INDEX('Price History'!H:H,MATCH(9.99E+307,'Price History'!$A:$A))-'Price History'!H3)*(ROW()-3)/(MATCH(9.99E+307,'Returns (Calc)'!$A:$A)-3),"")</f>
        <v>92.950253164557</v>
      </c>
      <c r="AD15" s="144" t="n">
        <f aca="false">IFERROR('Price History'!I3+(INDEX('Price History'!I:I,MATCH(9.99E+307,'Price History'!$A:$A))-'Price History'!I3)*(ROW()-3)/(MATCH(9.99E+307,'Returns (Calc)'!$A:$A)-3),"")</f>
        <v>40.9816455696203</v>
      </c>
      <c r="AE15" s="144" t="n">
        <f aca="false">IFERROR('Price History'!J3+(INDEX('Price History'!J:J,MATCH(9.99E+307,'Price History'!$A:$A))-'Price History'!J3)*(ROW()-3)/(MATCH(9.99E+307,'Returns (Calc)'!$A:$A)-3),"")</f>
        <v>63.8611392405063</v>
      </c>
      <c r="AF15" s="144" t="n">
        <f aca="false">IFERROR('Price History'!K3+(INDEX('Price History'!K:K,MATCH(9.99E+307,'Price History'!$A:$A))-'Price History'!K3)*(ROW()-3)/(MATCH(9.99E+307,'Returns (Calc)'!$A:$A)-3),"")</f>
        <v>40.4456962025317</v>
      </c>
      <c r="AG15" s="144" t="n">
        <f aca="false">IFERROR('Price History'!L3+(INDEX('Price History'!L:L,MATCH(9.99E+307,'Price History'!$A:$A))-'Price History'!L3)*(ROW()-3)/(MATCH(9.99E+307,'Returns (Calc)'!$A:$A)-3),"")</f>
        <v>103.34582278481</v>
      </c>
      <c r="AH15" s="144" t="n">
        <f aca="false">IFERROR('Price History'!M3+(INDEX('Price History'!M:M,MATCH(9.99E+307,'Price History'!$A:$A))-'Price History'!M3)*(ROW()-3)/(MATCH(9.99E+307,'Returns (Calc)'!$A:$A)-3),"")</f>
        <v>14.1656962025316</v>
      </c>
      <c r="AI15" s="144" t="n">
        <f aca="false">IFERROR('Price History'!N3+(INDEX('Price History'!N:N,MATCH(9.99E+307,'Price History'!$A:$A))-'Price History'!N3)*(ROW()-3)/(MATCH(9.99E+307,'Returns (Calc)'!$A:$A)-3),"")</f>
        <v>20.1443037974684</v>
      </c>
      <c r="AJ15" s="144" t="n">
        <f aca="false">IFERROR('Price History'!O3+(INDEX('Price History'!O:O,MATCH(9.99E+307,'Price History'!$A:$A))-'Price History'!O3)*(ROW()-3)/(MATCH(9.99E+307,'Returns (Calc)'!$A:$A)-3),"")</f>
        <v>53.2530379746835</v>
      </c>
      <c r="AK15" s="144" t="n">
        <f aca="false">IFERROR('Price History'!Q3+(INDEX('Price History'!Q:Q,MATCH(9.99E+307,'Price History'!$A:$A))-'Price History'!Q3)*(ROW()-3)/(MATCH(9.99E+307,'Returns (Calc)'!$A:$A)-3),"")</f>
        <v>217.734050632911</v>
      </c>
      <c r="AL15" s="144" t="n">
        <f aca="false">IFERROR('Price History'!R3+(INDEX('Price History'!R:R,MATCH(9.99E+307,'Price History'!$A:$A))-'Price History'!R3)*(ROW()-3)/(MATCH(9.99E+307,'Returns (Calc)'!$A:$A)-3),"")</f>
        <v>44.1881012658228</v>
      </c>
      <c r="AM15" s="144" t="n">
        <f aca="false">IFERROR('Price History'!S3+(INDEX('Price History'!S:S,MATCH(9.99E+307,'Price History'!$A:$A))-'Price History'!S3)*(ROW()-3)/(MATCH(9.99E+307,'Returns (Calc)'!$A:$A)-3),"")</f>
        <v>54.0939240506329</v>
      </c>
      <c r="AN15" s="144" t="n">
        <f aca="false">IFERROR('Price History'!T3+(INDEX('Price History'!T:T,MATCH(9.99E+307,'Price History'!$A:$A))-'Price History'!T3)*(ROW()-3)/(MATCH(9.99E+307,'Returns (Calc)'!$A:$A)-3),"")</f>
        <v>24.8662025316456</v>
      </c>
      <c r="AO15" s="145" t="n">
        <f aca="false">IFERROR('Price History'!V3+(INDEX('Price History'!V:V,MATCH(9.99E+307,'Price History'!$A:$A))-'Price History'!V3)*(ROW()-3)/(MATCH(9.99E+307,'Returns (Calc)'!$A:$A)-3),"")</f>
        <v>0</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0.0277314925017853</v>
      </c>
      <c r="G16" s="142" t="n">
        <f aca="false">IFERROR(IF(OR(NOT(ISNUMBER('Price History'!G17)),NOT(ISNUMBER('Price History'!G16)),'Price History'!G16=0),"",'Price History'!G17/'Price History'!G16-1),"")</f>
        <v>-0.0170716702553061</v>
      </c>
      <c r="H16" s="142" t="n">
        <f aca="false">IFERROR(IF(OR(NOT(ISNUMBER('Price History'!H17)),NOT(ISNUMBER('Price History'!H16)),'Price History'!H16=0),"",'Price History'!H17/'Price History'!H16-1),"")</f>
        <v>0.00265302255069155</v>
      </c>
      <c r="I16" s="142" t="n">
        <f aca="false">IFERROR(IF(OR(NOT(ISNUMBER('Price History'!I17)),NOT(ISNUMBER('Price History'!I16)),'Price History'!I16=0),"",'Price History'!I17/'Price History'!I16-1),"")</f>
        <v>-0.00418921277709905</v>
      </c>
      <c r="J16" s="142" t="n">
        <f aca="false">IFERROR(IF(OR(NOT(ISNUMBER('Price History'!J17)),NOT(ISNUMBER('Price History'!J16)),'Price History'!J16=0),"",'Price History'!J17/'Price History'!J16-1),"")</f>
        <v>0.0625</v>
      </c>
      <c r="K16" s="142" t="n">
        <f aca="false">IFERROR(IF(OR(NOT(ISNUMBER('Price History'!K17)),NOT(ISNUMBER('Price History'!K16)),'Price History'!K16=0),"",'Price History'!K17/'Price History'!K16-1),"")</f>
        <v>-0.00123076923076926</v>
      </c>
      <c r="L16" s="142" t="n">
        <f aca="false">IFERROR(IF(OR(NOT(ISNUMBER('Price History'!L17)),NOT(ISNUMBER('Price History'!L16)),'Price History'!L16=0),"",'Price History'!L17/'Price History'!L16-1),"")</f>
        <v>-0.013857189435931</v>
      </c>
      <c r="M16" s="142" t="n">
        <f aca="false">IFERROR(IF(OR(NOT(ISNUMBER('Price History'!M17)),NOT(ISNUMBER('Price History'!M16)),'Price History'!M16=0),"",'Price History'!M17/'Price History'!M16-1),"")</f>
        <v>-0.0434065934065934</v>
      </c>
      <c r="N16" s="142" t="n">
        <f aca="false">IFERROR(IF(OR(NOT(ISNUMBER('Price History'!N17)),NOT(ISNUMBER('Price History'!N16)),'Price History'!N16=0),"",'Price History'!N17/'Price History'!N16-1),"")</f>
        <v>0.00527009222661401</v>
      </c>
      <c r="O16" s="142" t="n">
        <f aca="false">IFERROR(IF(OR(NOT(ISNUMBER('Price History'!O17)),NOT(ISNUMBER('Price History'!O16)),'Price History'!O16=0),"",'Price History'!O17/'Price History'!O16-1),"")</f>
        <v>0.014951487195801</v>
      </c>
      <c r="P16" s="142" t="n">
        <f aca="false">IFERROR(IF(OR(NOT(ISNUMBER('Price History'!P17)),NOT(ISNUMBER('Price History'!P16)),'Price History'!P16=0),"",'Price History'!P17/'Price History'!P16-1),"")</f>
        <v>0.00585917769471656</v>
      </c>
      <c r="Q16" s="142" t="n">
        <f aca="false">IFERROR(IF(OR(NOT(ISNUMBER('Price History'!Q17)),NOT(ISNUMBER('Price History'!Q16)),'Price History'!Q16=0),"",'Price History'!Q17/'Price History'!Q16-1),"")</f>
        <v>0.0015430267062313</v>
      </c>
      <c r="R16" s="142" t="n">
        <f aca="false">IFERROR(IF(OR(NOT(ISNUMBER('Price History'!R17)),NOT(ISNUMBER('Price History'!R16)),'Price History'!R16=0),"",'Price History'!R17/'Price History'!R16-1),"")</f>
        <v>0.00948258091115228</v>
      </c>
      <c r="S16" s="142" t="n">
        <f aca="false">IFERROR(IF(OR(NOT(ISNUMBER('Price History'!S17)),NOT(ISNUMBER('Price History'!S16)),'Price History'!S16=0),"",'Price History'!S17/'Price History'!S16-1),"")</f>
        <v>0.0216959258032461</v>
      </c>
      <c r="T16" s="142" t="n">
        <f aca="false">IFERROR(IF(OR(NOT(ISNUMBER('Price History'!T17)),NOT(ISNUMBER('Price History'!T16)),'Price History'!T16=0),"",'Price History'!T17/'Price History'!T16-1),"")</f>
        <v>0.0254531430775165</v>
      </c>
      <c r="U16" s="142" t="str">
        <f aca="false">IFERROR(IF(OR(NOT(ISNUMBER('Price History'!U17)),NOT(ISNUMBER('Price History'!U16)),'Price History'!U16=0),"",'Price History'!U17/'Price History'!U16-1),"")</f>
        <v/>
      </c>
      <c r="V16" s="143" t="n">
        <f aca="false">IFERROR(IF(OR(NOT(ISNUMBER('Price History'!V17)),NOT(ISNUMBER('Price History'!V16)),'Price History'!V16=0),"",'Price History'!V17/'Price History'!V16-1),"")</f>
        <v>0.0175664987720101</v>
      </c>
      <c r="W16" s="144" t="str">
        <f aca="false">IFERROR('Price History'!B3+(INDEX('Price History'!B:B,MATCH(9.99E+307,'Price History'!$A:$A))-'Price History'!B3)*(ROW()-3)/(MATCH(9.99E+307,'Returns (Calc)'!$A:$A)-3),"")</f>
        <v/>
      </c>
      <c r="X16" s="144" t="n">
        <f aca="false">IFERROR('Price History'!C3+(INDEX('Price History'!C:C,MATCH(9.99E+307,'Price History'!$A:$A))-'Price History'!C3)*(ROW()-3)/(MATCH(9.99E+307,'Returns (Calc)'!$A:$A)-3),"")</f>
        <v>42.3803797468354</v>
      </c>
      <c r="Y16" s="144" t="n">
        <f aca="false">IFERROR('Price History'!D3+(INDEX('Price History'!D:D,MATCH(9.99E+307,'Price History'!$A:$A))-'Price History'!D3)*(ROW()-3)/(MATCH(9.99E+307,'Returns (Calc)'!$A:$A)-3),"")</f>
        <v>534.123101265823</v>
      </c>
      <c r="Z16" s="144" t="n">
        <f aca="false">IFERROR('Price History'!E3+(INDEX('Price History'!E:E,MATCH(9.99E+307,'Price History'!$A:$A))-'Price History'!E3)*(ROW()-3)/(MATCH(9.99E+307,'Returns (Calc)'!$A:$A)-3),"")</f>
        <v>75.253164556962</v>
      </c>
      <c r="AA16" s="144" t="n">
        <f aca="false">IFERROR('Price History'!F3+(INDEX('Price History'!F:F,MATCH(9.99E+307,'Price History'!$A:$A))-'Price History'!F3)*(ROW()-3)/(MATCH(9.99E+307,'Returns (Calc)'!$A:$A)-3),"")</f>
        <v>69.1136075949367</v>
      </c>
      <c r="AB16" s="144" t="n">
        <f aca="false">IFERROR('Price History'!G3+(INDEX('Price History'!G:G,MATCH(9.99E+307,'Price History'!$A:$A))-'Price History'!G3)*(ROW()-3)/(MATCH(9.99E+307,'Returns (Calc)'!$A:$A)-3),"")</f>
        <v>37.9569620253165</v>
      </c>
      <c r="AC16" s="144" t="n">
        <f aca="false">IFERROR('Price History'!H3+(INDEX('Price History'!H:H,MATCH(9.99E+307,'Price History'!$A:$A))-'Price History'!H3)*(ROW()-3)/(MATCH(9.99E+307,'Returns (Calc)'!$A:$A)-3),"")</f>
        <v>92.3136075949367</v>
      </c>
      <c r="AD16" s="144" t="n">
        <f aca="false">IFERROR('Price History'!I3+(INDEX('Price History'!I:I,MATCH(9.99E+307,'Price History'!$A:$A))-'Price History'!I3)*(ROW()-3)/(MATCH(9.99E+307,'Returns (Calc)'!$A:$A)-3),"")</f>
        <v>40.7009493670886</v>
      </c>
      <c r="AE16" s="144" t="n">
        <f aca="false">IFERROR('Price History'!J3+(INDEX('Price History'!J:J,MATCH(9.99E+307,'Price History'!$A:$A))-'Price History'!J3)*(ROW()-3)/(MATCH(9.99E+307,'Returns (Calc)'!$A:$A)-3),"")</f>
        <v>63.4237341772152</v>
      </c>
      <c r="AF16" s="144" t="n">
        <f aca="false">IFERROR('Price History'!K3+(INDEX('Price History'!K:K,MATCH(9.99E+307,'Price History'!$A:$A))-'Price History'!K3)*(ROW()-3)/(MATCH(9.99E+307,'Returns (Calc)'!$A:$A)-3),"")</f>
        <v>40.168670886076</v>
      </c>
      <c r="AG16" s="144" t="n">
        <f aca="false">IFERROR('Price History'!L3+(INDEX('Price History'!L:L,MATCH(9.99E+307,'Price History'!$A:$A))-'Price History'!L3)*(ROW()-3)/(MATCH(9.99E+307,'Returns (Calc)'!$A:$A)-3),"")</f>
        <v>102.637974683544</v>
      </c>
      <c r="AH16" s="144" t="n">
        <f aca="false">IFERROR('Price History'!M3+(INDEX('Price History'!M:M,MATCH(9.99E+307,'Price History'!$A:$A))-'Price History'!M3)*(ROW()-3)/(MATCH(9.99E+307,'Returns (Calc)'!$A:$A)-3),"")</f>
        <v>14.068670886076</v>
      </c>
      <c r="AI16" s="144" t="n">
        <f aca="false">IFERROR('Price History'!N3+(INDEX('Price History'!N:N,MATCH(9.99E+307,'Price History'!$A:$A))-'Price History'!N3)*(ROW()-3)/(MATCH(9.99E+307,'Returns (Calc)'!$A:$A)-3),"")</f>
        <v>20.0063291139241</v>
      </c>
      <c r="AJ16" s="144" t="n">
        <f aca="false">IFERROR('Price History'!O3+(INDEX('Price History'!O:O,MATCH(9.99E+307,'Price History'!$A:$A))-'Price History'!O3)*(ROW()-3)/(MATCH(9.99E+307,'Returns (Calc)'!$A:$A)-3),"")</f>
        <v>52.8882911392405</v>
      </c>
      <c r="AK16" s="144" t="n">
        <f aca="false">IFERROR('Price History'!Q3+(INDEX('Price History'!Q:Q,MATCH(9.99E+307,'Price History'!$A:$A))-'Price History'!Q3)*(ROW()-3)/(MATCH(9.99E+307,'Returns (Calc)'!$A:$A)-3),"")</f>
        <v>216.242721518987</v>
      </c>
      <c r="AL16" s="144" t="n">
        <f aca="false">IFERROR('Price History'!R3+(INDEX('Price History'!R:R,MATCH(9.99E+307,'Price History'!$A:$A))-'Price History'!R3)*(ROW()-3)/(MATCH(9.99E+307,'Returns (Calc)'!$A:$A)-3),"")</f>
        <v>43.8854430379747</v>
      </c>
      <c r="AM16" s="144" t="n">
        <f aca="false">IFERROR('Price History'!S3+(INDEX('Price History'!S:S,MATCH(9.99E+307,'Price History'!$A:$A))-'Price History'!S3)*(ROW()-3)/(MATCH(9.99E+307,'Returns (Calc)'!$A:$A)-3),"")</f>
        <v>53.723417721519</v>
      </c>
      <c r="AN16" s="144" t="n">
        <f aca="false">IFERROR('Price History'!T3+(INDEX('Price History'!T:T,MATCH(9.99E+307,'Price History'!$A:$A))-'Price History'!T3)*(ROW()-3)/(MATCH(9.99E+307,'Returns (Calc)'!$A:$A)-3),"")</f>
        <v>24.6958860759494</v>
      </c>
      <c r="AO16" s="145" t="n">
        <f aca="false">IFERROR('Price History'!V3+(INDEX('Price History'!V:V,MATCH(9.99E+307,'Price History'!$A:$A))-'Price History'!V3)*(ROW()-3)/(MATCH(9.99E+307,'Returns (Calc)'!$A:$A)-3),"")</f>
        <v>0</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-0.00370584829183551</v>
      </c>
      <c r="G17" s="142" t="n">
        <f aca="false">IFERROR(IF(OR(NOT(ISNUMBER('Price History'!G18)),NOT(ISNUMBER('Price History'!G17)),'Price History'!G17=0),"",'Price History'!G18/'Price History'!G17-1),"")</f>
        <v>-0.00125176028790486</v>
      </c>
      <c r="H17" s="142" t="n">
        <f aca="false">IFERROR(IF(OR(NOT(ISNUMBER('Price History'!H18)),NOT(ISNUMBER('Price History'!H17)),'Price History'!H17=0),"",'Price History'!H18/'Price History'!H17-1),"")</f>
        <v>0.0040635040635042</v>
      </c>
      <c r="I17" s="142" t="n">
        <f aca="false">IFERROR(IF(OR(NOT(ISNUMBER('Price History'!I18)),NOT(ISNUMBER('Price History'!I17)),'Price History'!I17=0),"",'Price History'!I18/'Price History'!I17-1),"")</f>
        <v>-0.00227870289219978</v>
      </c>
      <c r="J17" s="142" t="n">
        <f aca="false">IFERROR(IF(OR(NOT(ISNUMBER('Price History'!J18)),NOT(ISNUMBER('Price History'!J17)),'Price History'!J17=0),"",'Price History'!J18/'Price History'!J17-1),"")</f>
        <v>-0.0120214752567693</v>
      </c>
      <c r="K17" s="142" t="n">
        <f aca="false">IFERROR(IF(OR(NOT(ISNUMBER('Price History'!K18)),NOT(ISNUMBER('Price History'!K17)),'Price History'!K17=0),"",'Price History'!K18/'Price History'!K17-1),"")</f>
        <v>0.0141712877387554</v>
      </c>
      <c r="L17" s="142" t="n">
        <f aca="false">IFERROR(IF(OR(NOT(ISNUMBER('Price History'!L18)),NOT(ISNUMBER('Price History'!L17)),'Price History'!L17=0),"",'Price History'!L18/'Price History'!L17-1),"")</f>
        <v>0.00677797983137696</v>
      </c>
      <c r="M17" s="142" t="n">
        <f aca="false">IFERROR(IF(OR(NOT(ISNUMBER('Price History'!M18)),NOT(ISNUMBER('Price History'!M17)),'Price History'!M17=0),"",'Price History'!M18/'Price History'!M17-1),"")</f>
        <v>-0.0137851809304996</v>
      </c>
      <c r="N17" s="142" t="n">
        <f aca="false">IFERROR(IF(OR(NOT(ISNUMBER('Price History'!N18)),NOT(ISNUMBER('Price History'!N17)),'Price History'!N17=0),"",'Price History'!N18/'Price History'!N17-1),"")</f>
        <v>0.00393184796854529</v>
      </c>
      <c r="O17" s="142" t="n">
        <f aca="false">IFERROR(IF(OR(NOT(ISNUMBER('Price History'!O18)),NOT(ISNUMBER('Price History'!O17)),'Price History'!O17=0),"",'Price History'!O18/'Price History'!O17-1),"")</f>
        <v>0.00705218617771508</v>
      </c>
      <c r="P17" s="142" t="n">
        <f aca="false">IFERROR(IF(OR(NOT(ISNUMBER('Price History'!P18)),NOT(ISNUMBER('Price History'!P17)),'Price History'!P17=0),"",'Price History'!P18/'Price History'!P17-1),"")</f>
        <v>0.00833584412975807</v>
      </c>
      <c r="Q17" s="142" t="n">
        <f aca="false">IFERROR(IF(OR(NOT(ISNUMBER('Price History'!Q18)),NOT(ISNUMBER('Price History'!Q17)),'Price History'!Q17=0),"",'Price History'!Q18/'Price History'!Q17-1),"")</f>
        <v>0.00742672039187808</v>
      </c>
      <c r="R17" s="142" t="n">
        <f aca="false">IFERROR(IF(OR(NOT(ISNUMBER('Price History'!R18)),NOT(ISNUMBER('Price History'!R17)),'Price History'!R17=0),"",'Price History'!R18/'Price History'!R17-1),"")</f>
        <v>0.00530937308556245</v>
      </c>
      <c r="S17" s="142" t="n">
        <f aca="false">IFERROR(IF(OR(NOT(ISNUMBER('Price History'!S18)),NOT(ISNUMBER('Price History'!S17)),'Price History'!S17=0),"",'Price History'!S18/'Price History'!S17-1),"")</f>
        <v>0.00551142810828331</v>
      </c>
      <c r="T17" s="142" t="n">
        <f aca="false">IFERROR(IF(OR(NOT(ISNUMBER('Price History'!T18)),NOT(ISNUMBER('Price History'!T17)),'Price History'!T17=0),"",'Price History'!T18/'Price History'!T17-1),"")</f>
        <v>0.00714554343738261</v>
      </c>
      <c r="U17" s="142" t="str">
        <f aca="false">IFERROR(IF(OR(NOT(ISNUMBER('Price History'!U18)),NOT(ISNUMBER('Price History'!U17)),'Price History'!U17=0),"",'Price History'!U18/'Price History'!U17-1),"")</f>
        <v/>
      </c>
      <c r="V17" s="143" t="n">
        <f aca="false">IFERROR(IF(OR(NOT(ISNUMBER('Price History'!V18)),NOT(ISNUMBER('Price History'!V17)),'Price History'!V17=0),"",'Price History'!V18/'Price History'!V17-1),"")</f>
        <v>0.019022294947842</v>
      </c>
      <c r="W17" s="144" t="str">
        <f aca="false">IFERROR('Price History'!B3+(INDEX('Price History'!B:B,MATCH(9.99E+307,'Price History'!$A:$A))-'Price History'!B3)*(ROW()-3)/(MATCH(9.99E+307,'Returns (Calc)'!$A:$A)-3),"")</f>
        <v/>
      </c>
      <c r="X17" s="144" t="n">
        <f aca="false">IFERROR('Price History'!C3+(INDEX('Price History'!C:C,MATCH(9.99E+307,'Price History'!$A:$A))-'Price History'!C3)*(ROW()-3)/(MATCH(9.99E+307,'Returns (Calc)'!$A:$A)-3),"")</f>
        <v>42.0881012658228</v>
      </c>
      <c r="Y17" s="144" t="n">
        <f aca="false">IFERROR('Price History'!D3+(INDEX('Price History'!D:D,MATCH(9.99E+307,'Price History'!$A:$A))-'Price History'!D3)*(ROW()-3)/(MATCH(9.99E+307,'Returns (Calc)'!$A:$A)-3),"")</f>
        <v>530.439493670886</v>
      </c>
      <c r="Z17" s="144" t="n">
        <f aca="false">IFERROR('Price History'!E3+(INDEX('Price History'!E:E,MATCH(9.99E+307,'Price History'!$A:$A))-'Price History'!E3)*(ROW()-3)/(MATCH(9.99E+307,'Returns (Calc)'!$A:$A)-3),"")</f>
        <v>74.7341772151899</v>
      </c>
      <c r="AA17" s="144" t="n">
        <f aca="false">IFERROR('Price History'!F3+(INDEX('Price History'!F:F,MATCH(9.99E+307,'Price History'!$A:$A))-'Price History'!F3)*(ROW()-3)/(MATCH(9.99E+307,'Returns (Calc)'!$A:$A)-3),"")</f>
        <v>68.6369620253165</v>
      </c>
      <c r="AB17" s="144" t="n">
        <f aca="false">IFERROR('Price History'!G3+(INDEX('Price History'!G:G,MATCH(9.99E+307,'Price History'!$A:$A))-'Price History'!G3)*(ROW()-3)/(MATCH(9.99E+307,'Returns (Calc)'!$A:$A)-3),"")</f>
        <v>37.6951898734177</v>
      </c>
      <c r="AC17" s="144" t="n">
        <f aca="false">IFERROR('Price History'!H3+(INDEX('Price History'!H:H,MATCH(9.99E+307,'Price History'!$A:$A))-'Price History'!H3)*(ROW()-3)/(MATCH(9.99E+307,'Returns (Calc)'!$A:$A)-3),"")</f>
        <v>91.6769620253165</v>
      </c>
      <c r="AD17" s="144" t="n">
        <f aca="false">IFERROR('Price History'!I3+(INDEX('Price History'!I:I,MATCH(9.99E+307,'Price History'!$A:$A))-'Price History'!I3)*(ROW()-3)/(MATCH(9.99E+307,'Returns (Calc)'!$A:$A)-3),"")</f>
        <v>40.420253164557</v>
      </c>
      <c r="AE17" s="144" t="n">
        <f aca="false">IFERROR('Price History'!J3+(INDEX('Price History'!J:J,MATCH(9.99E+307,'Price History'!$A:$A))-'Price History'!J3)*(ROW()-3)/(MATCH(9.99E+307,'Returns (Calc)'!$A:$A)-3),"")</f>
        <v>62.9863291139241</v>
      </c>
      <c r="AF17" s="144" t="n">
        <f aca="false">IFERROR('Price History'!K3+(INDEX('Price History'!K:K,MATCH(9.99E+307,'Price History'!$A:$A))-'Price History'!K3)*(ROW()-3)/(MATCH(9.99E+307,'Returns (Calc)'!$A:$A)-3),"")</f>
        <v>39.8916455696203</v>
      </c>
      <c r="AG17" s="144" t="n">
        <f aca="false">IFERROR('Price History'!L3+(INDEX('Price History'!L:L,MATCH(9.99E+307,'Price History'!$A:$A))-'Price History'!L3)*(ROW()-3)/(MATCH(9.99E+307,'Returns (Calc)'!$A:$A)-3),"")</f>
        <v>101.930126582278</v>
      </c>
      <c r="AH17" s="144" t="n">
        <f aca="false">IFERROR('Price History'!M3+(INDEX('Price History'!M:M,MATCH(9.99E+307,'Price History'!$A:$A))-'Price History'!M3)*(ROW()-3)/(MATCH(9.99E+307,'Returns (Calc)'!$A:$A)-3),"")</f>
        <v>13.9716455696203</v>
      </c>
      <c r="AI17" s="144" t="n">
        <f aca="false">IFERROR('Price History'!N3+(INDEX('Price History'!N:N,MATCH(9.99E+307,'Price History'!$A:$A))-'Price History'!N3)*(ROW()-3)/(MATCH(9.99E+307,'Returns (Calc)'!$A:$A)-3),"")</f>
        <v>19.8683544303797</v>
      </c>
      <c r="AJ17" s="144" t="n">
        <f aca="false">IFERROR('Price History'!O3+(INDEX('Price History'!O:O,MATCH(9.99E+307,'Price History'!$A:$A))-'Price History'!O3)*(ROW()-3)/(MATCH(9.99E+307,'Returns (Calc)'!$A:$A)-3),"")</f>
        <v>52.5235443037975</v>
      </c>
      <c r="AK17" s="144" t="n">
        <f aca="false">IFERROR('Price History'!Q3+(INDEX('Price History'!Q:Q,MATCH(9.99E+307,'Price History'!$A:$A))-'Price History'!Q3)*(ROW()-3)/(MATCH(9.99E+307,'Returns (Calc)'!$A:$A)-3),"")</f>
        <v>214.751392405063</v>
      </c>
      <c r="AL17" s="144" t="n">
        <f aca="false">IFERROR('Price History'!R3+(INDEX('Price History'!R:R,MATCH(9.99E+307,'Price History'!$A:$A))-'Price History'!R3)*(ROW()-3)/(MATCH(9.99E+307,'Returns (Calc)'!$A:$A)-3),"")</f>
        <v>43.5827848101266</v>
      </c>
      <c r="AM17" s="144" t="n">
        <f aca="false">IFERROR('Price History'!S3+(INDEX('Price History'!S:S,MATCH(9.99E+307,'Price History'!$A:$A))-'Price History'!S3)*(ROW()-3)/(MATCH(9.99E+307,'Returns (Calc)'!$A:$A)-3),"")</f>
        <v>53.3529113924051</v>
      </c>
      <c r="AN17" s="144" t="n">
        <f aca="false">IFERROR('Price History'!T3+(INDEX('Price History'!T:T,MATCH(9.99E+307,'Price History'!$A:$A))-'Price History'!T3)*(ROW()-3)/(MATCH(9.99E+307,'Returns (Calc)'!$A:$A)-3),"")</f>
        <v>24.5255696202532</v>
      </c>
      <c r="AO17" s="145" t="n">
        <f aca="false">IFERROR('Price History'!V3+(INDEX('Price History'!V:V,MATCH(9.99E+307,'Price History'!$A:$A))-'Price History'!V3)*(ROW()-3)/(MATCH(9.99E+307,'Returns (Calc)'!$A:$A)-3),"")</f>
        <v>0</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-0.0259211902824597</v>
      </c>
      <c r="G18" s="142" t="n">
        <f aca="false">IFERROR(IF(OR(NOT(ISNUMBER('Price History'!G19)),NOT(ISNUMBER('Price History'!G18)),'Price History'!G18=0),"",'Price History'!G19/'Price History'!G18-1),"")</f>
        <v>-0.0307065643114524</v>
      </c>
      <c r="H18" s="142" t="n">
        <f aca="false">IFERROR(IF(OR(NOT(ISNUMBER('Price History'!H19)),NOT(ISNUMBER('Price History'!H18)),'Price History'!H18=0),"",'Price History'!H19/'Price History'!H18-1),"")</f>
        <v>0.00705882352941178</v>
      </c>
      <c r="I18" s="142" t="n">
        <f aca="false">IFERROR(IF(OR(NOT(ISNUMBER('Price History'!I19)),NOT(ISNUMBER('Price History'!I18)),'Price History'!I18=0),"",'Price History'!I19/'Price History'!I18-1),"")</f>
        <v>-0.0635980323260718</v>
      </c>
      <c r="J18" s="142" t="n">
        <f aca="false">IFERROR(IF(OR(NOT(ISNUMBER('Price History'!J19)),NOT(ISNUMBER('Price History'!J18)),'Price History'!J18=0),"",'Price History'!J19/'Price History'!J18-1),"")</f>
        <v>-0.0220909627879504</v>
      </c>
      <c r="K18" s="142" t="n">
        <f aca="false">IFERROR(IF(OR(NOT(ISNUMBER('Price History'!K19)),NOT(ISNUMBER('Price History'!K18)),'Price History'!K18=0),"",'Price History'!K19/'Price History'!K18-1),"")</f>
        <v>-0.00850546780072903</v>
      </c>
      <c r="L18" s="142" t="n">
        <f aca="false">IFERROR(IF(OR(NOT(ISNUMBER('Price History'!L19)),NOT(ISNUMBER('Price History'!L18)),'Price History'!L18=0),"",'Price History'!L19/'Price History'!L18-1),"")</f>
        <v>-0.0205254515599344</v>
      </c>
      <c r="M18" s="142" t="n">
        <f aca="false">IFERROR(IF(OR(NOT(ISNUMBER('Price History'!M19)),NOT(ISNUMBER('Price History'!M18)),'Price History'!M18=0),"",'Price History'!M19/'Price History'!M18-1),"")</f>
        <v>-0.0693069306930694</v>
      </c>
      <c r="N18" s="142" t="n">
        <f aca="false">IFERROR(IF(OR(NOT(ISNUMBER('Price History'!N19)),NOT(ISNUMBER('Price History'!N18)),'Price History'!N18=0),"",'Price History'!N19/'Price History'!N18-1),"")</f>
        <v>0.00304612706701479</v>
      </c>
      <c r="O18" s="142" t="n">
        <f aca="false">IFERROR(IF(OR(NOT(ISNUMBER('Price History'!O19)),NOT(ISNUMBER('Price History'!O18)),'Price History'!O18=0),"",'Price History'!O19/'Price History'!O18-1),"")</f>
        <v>-0.0102707749766574</v>
      </c>
      <c r="P18" s="142" t="n">
        <f aca="false">IFERROR(IF(OR(NOT(ISNUMBER('Price History'!P19)),NOT(ISNUMBER('Price History'!P18)),'Price History'!P18=0),"",'Price History'!P19/'Price History'!P18-1),"")</f>
        <v>-0.0422310756972113</v>
      </c>
      <c r="Q18" s="142" t="n">
        <f aca="false">IFERROR(IF(OR(NOT(ISNUMBER('Price History'!Q19)),NOT(ISNUMBER('Price History'!Q18)),'Price History'!Q18=0),"",'Price History'!Q19/'Price History'!Q18-1),"")</f>
        <v>-0.0025096070896401</v>
      </c>
      <c r="R18" s="142" t="n">
        <f aca="false">IFERROR(IF(OR(NOT(ISNUMBER('Price History'!R19)),NOT(ISNUMBER('Price History'!R18)),'Price History'!R18=0),"",'Price History'!R19/'Price History'!R18-1),"")</f>
        <v>-0.00670322973796467</v>
      </c>
      <c r="S18" s="142" t="n">
        <f aca="false">IFERROR(IF(OR(NOT(ISNUMBER('Price History'!S19)),NOT(ISNUMBER('Price History'!S18)),'Price History'!S18=0),"",'Price History'!S19/'Price History'!S18-1),"")</f>
        <v>-0.00225697243269385</v>
      </c>
      <c r="T18" s="142" t="n">
        <f aca="false">IFERROR(IF(OR(NOT(ISNUMBER('Price History'!T19)),NOT(ISNUMBER('Price History'!T18)),'Price History'!T18=0),"",'Price History'!T19/'Price History'!T18-1),"")</f>
        <v>0.0134428678117999</v>
      </c>
      <c r="U18" s="142" t="str">
        <f aca="false">IFERROR(IF(OR(NOT(ISNUMBER('Price History'!U19)),NOT(ISNUMBER('Price History'!U18)),'Price History'!U18=0),"",'Price History'!U19/'Price History'!U18-1),"")</f>
        <v/>
      </c>
      <c r="V18" s="143" t="n">
        <f aca="false">IFERROR(IF(OR(NOT(ISNUMBER('Price History'!V19)),NOT(ISNUMBER('Price History'!V18)),'Price History'!V18=0),"",'Price History'!V19/'Price History'!V18-1),"")</f>
        <v>0.00843034925732633</v>
      </c>
      <c r="W18" s="144" t="str">
        <f aca="false">IFERROR('Price History'!B3+(INDEX('Price History'!B:B,MATCH(9.99E+307,'Price History'!$A:$A))-'Price History'!B3)*(ROW()-3)/(MATCH(9.99E+307,'Returns (Calc)'!$A:$A)-3),"")</f>
        <v/>
      </c>
      <c r="X18" s="144" t="n">
        <f aca="false">IFERROR('Price History'!C3+(INDEX('Price History'!C:C,MATCH(9.99E+307,'Price History'!$A:$A))-'Price History'!C3)*(ROW()-3)/(MATCH(9.99E+307,'Returns (Calc)'!$A:$A)-3),"")</f>
        <v>41.7958227848101</v>
      </c>
      <c r="Y18" s="144" t="n">
        <f aca="false">IFERROR('Price History'!D3+(INDEX('Price History'!D:D,MATCH(9.99E+307,'Price History'!$A:$A))-'Price History'!D3)*(ROW()-3)/(MATCH(9.99E+307,'Returns (Calc)'!$A:$A)-3),"")</f>
        <v>526.755886075949</v>
      </c>
      <c r="Z18" s="144" t="n">
        <f aca="false">IFERROR('Price History'!E3+(INDEX('Price History'!E:E,MATCH(9.99E+307,'Price History'!$A:$A))-'Price History'!E3)*(ROW()-3)/(MATCH(9.99E+307,'Returns (Calc)'!$A:$A)-3),"")</f>
        <v>74.2151898734177</v>
      </c>
      <c r="AA18" s="144" t="n">
        <f aca="false">IFERROR('Price History'!F3+(INDEX('Price History'!F:F,MATCH(9.99E+307,'Price History'!$A:$A))-'Price History'!F3)*(ROW()-3)/(MATCH(9.99E+307,'Returns (Calc)'!$A:$A)-3),"")</f>
        <v>68.1603164556962</v>
      </c>
      <c r="AB18" s="144" t="n">
        <f aca="false">IFERROR('Price History'!G3+(INDEX('Price History'!G:G,MATCH(9.99E+307,'Price History'!$A:$A))-'Price History'!G3)*(ROW()-3)/(MATCH(9.99E+307,'Returns (Calc)'!$A:$A)-3),"")</f>
        <v>37.433417721519</v>
      </c>
      <c r="AC18" s="144" t="n">
        <f aca="false">IFERROR('Price History'!H3+(INDEX('Price History'!H:H,MATCH(9.99E+307,'Price History'!$A:$A))-'Price History'!H3)*(ROW()-3)/(MATCH(9.99E+307,'Returns (Calc)'!$A:$A)-3),"")</f>
        <v>91.0403164556962</v>
      </c>
      <c r="AD18" s="144" t="n">
        <f aca="false">IFERROR('Price History'!I3+(INDEX('Price History'!I:I,MATCH(9.99E+307,'Price History'!$A:$A))-'Price History'!I3)*(ROW()-3)/(MATCH(9.99E+307,'Returns (Calc)'!$A:$A)-3),"")</f>
        <v>40.1395569620253</v>
      </c>
      <c r="AE18" s="144" t="n">
        <f aca="false">IFERROR('Price History'!J3+(INDEX('Price History'!J:J,MATCH(9.99E+307,'Price History'!$A:$A))-'Price History'!J3)*(ROW()-3)/(MATCH(9.99E+307,'Returns (Calc)'!$A:$A)-3),"")</f>
        <v>62.5489240506329</v>
      </c>
      <c r="AF18" s="144" t="n">
        <f aca="false">IFERROR('Price History'!K3+(INDEX('Price History'!K:K,MATCH(9.99E+307,'Price History'!$A:$A))-'Price History'!K3)*(ROW()-3)/(MATCH(9.99E+307,'Returns (Calc)'!$A:$A)-3),"")</f>
        <v>39.6146202531646</v>
      </c>
      <c r="AG18" s="144" t="n">
        <f aca="false">IFERROR('Price History'!L3+(INDEX('Price History'!L:L,MATCH(9.99E+307,'Price History'!$A:$A))-'Price History'!L3)*(ROW()-3)/(MATCH(9.99E+307,'Returns (Calc)'!$A:$A)-3),"")</f>
        <v>101.222278481013</v>
      </c>
      <c r="AH18" s="144" t="n">
        <f aca="false">IFERROR('Price History'!M3+(INDEX('Price History'!M:M,MATCH(9.99E+307,'Price History'!$A:$A))-'Price History'!M3)*(ROW()-3)/(MATCH(9.99E+307,'Returns (Calc)'!$A:$A)-3),"")</f>
        <v>13.8746202531646</v>
      </c>
      <c r="AI18" s="144" t="n">
        <f aca="false">IFERROR('Price History'!N3+(INDEX('Price History'!N:N,MATCH(9.99E+307,'Price History'!$A:$A))-'Price History'!N3)*(ROW()-3)/(MATCH(9.99E+307,'Returns (Calc)'!$A:$A)-3),"")</f>
        <v>19.7303797468354</v>
      </c>
      <c r="AJ18" s="144" t="n">
        <f aca="false">IFERROR('Price History'!O3+(INDEX('Price History'!O:O,MATCH(9.99E+307,'Price History'!$A:$A))-'Price History'!O3)*(ROW()-3)/(MATCH(9.99E+307,'Returns (Calc)'!$A:$A)-3),"")</f>
        <v>52.1587974683544</v>
      </c>
      <c r="AK18" s="144" t="n">
        <f aca="false">IFERROR('Price History'!Q3+(INDEX('Price History'!Q:Q,MATCH(9.99E+307,'Price History'!$A:$A))-'Price History'!Q3)*(ROW()-3)/(MATCH(9.99E+307,'Returns (Calc)'!$A:$A)-3),"")</f>
        <v>213.260063291139</v>
      </c>
      <c r="AL18" s="144" t="n">
        <f aca="false">IFERROR('Price History'!R3+(INDEX('Price History'!R:R,MATCH(9.99E+307,'Price History'!$A:$A))-'Price History'!R3)*(ROW()-3)/(MATCH(9.99E+307,'Returns (Calc)'!$A:$A)-3),"")</f>
        <v>43.2801265822785</v>
      </c>
      <c r="AM18" s="144" t="n">
        <f aca="false">IFERROR('Price History'!S3+(INDEX('Price History'!S:S,MATCH(9.99E+307,'Price History'!$A:$A))-'Price History'!S3)*(ROW()-3)/(MATCH(9.99E+307,'Returns (Calc)'!$A:$A)-3),"")</f>
        <v>52.9824050632911</v>
      </c>
      <c r="AN18" s="144" t="n">
        <f aca="false">IFERROR('Price History'!T3+(INDEX('Price History'!T:T,MATCH(9.99E+307,'Price History'!$A:$A))-'Price History'!T3)*(ROW()-3)/(MATCH(9.99E+307,'Returns (Calc)'!$A:$A)-3),"")</f>
        <v>24.355253164557</v>
      </c>
      <c r="AO18" s="145" t="n">
        <f aca="false">IFERROR('Price History'!V3+(INDEX('Price History'!V:V,MATCH(9.99E+307,'Price History'!$A:$A))-'Price History'!V3)*(ROW()-3)/(MATCH(9.99E+307,'Returns (Calc)'!$A:$A)-3),"")</f>
        <v>0</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-0.0113365155131265</v>
      </c>
      <c r="G19" s="142" t="n">
        <f aca="false">IFERROR(IF(OR(NOT(ISNUMBER('Price History'!G20)),NOT(ISNUMBER('Price History'!G19)),'Price History'!G19=0),"",'Price History'!G20/'Price History'!G19-1),"")</f>
        <v>0.144981412639405</v>
      </c>
      <c r="H19" s="142" t="n">
        <f aca="false">IFERROR(IF(OR(NOT(ISNUMBER('Price History'!H20)),NOT(ISNUMBER('Price History'!H19)),'Price History'!H19=0),"",'Price History'!H20/'Price History'!H19-1),"")</f>
        <v>-0.0138317757009346</v>
      </c>
      <c r="I19" s="142" t="n">
        <f aca="false">IFERROR(IF(OR(NOT(ISNUMBER('Price History'!I20)),NOT(ISNUMBER('Price History'!I19)),'Price History'!I19=0),"",'Price History'!I20/'Price History'!I19-1),"")</f>
        <v>0.0298311444652908</v>
      </c>
      <c r="J19" s="142" t="n">
        <f aca="false">IFERROR(IF(OR(NOT(ISNUMBER('Price History'!J20)),NOT(ISNUMBER('Price History'!J19)),'Price History'!J19=0),"",'Price History'!J20/'Price History'!J19-1),"")</f>
        <v>-0.0128050253684465</v>
      </c>
      <c r="K19" s="142" t="n">
        <f aca="false">IFERROR(IF(OR(NOT(ISNUMBER('Price History'!K20)),NOT(ISNUMBER('Price History'!K19)),'Price History'!K19=0),"",'Price History'!K20/'Price History'!K19-1),"")</f>
        <v>0.114174836601307</v>
      </c>
      <c r="L19" s="142" t="n">
        <f aca="false">IFERROR(IF(OR(NOT(ISNUMBER('Price History'!L20)),NOT(ISNUMBER('Price History'!L19)),'Price History'!L19=0),"",'Price History'!L20/'Price History'!L19-1),"")</f>
        <v>0.0075440067057837</v>
      </c>
      <c r="M19" s="142" t="n">
        <f aca="false">IFERROR(IF(OR(NOT(ISNUMBER('Price History'!M20)),NOT(ISNUMBER('Price History'!M19)),'Price History'!M19=0),"",'Price History'!M20/'Price History'!M19-1),"")</f>
        <v>0.0488110137672091</v>
      </c>
      <c r="N19" s="142" t="n">
        <f aca="false">IFERROR(IF(OR(NOT(ISNUMBER('Price History'!N20)),NOT(ISNUMBER('Price History'!N19)),'Price History'!N19=0),"",'Price History'!N20/'Price History'!N19-1),"")</f>
        <v>-0.00130151843817794</v>
      </c>
      <c r="O19" s="142" t="n">
        <f aca="false">IFERROR(IF(OR(NOT(ISNUMBER('Price History'!O20)),NOT(ISNUMBER('Price History'!O19)),'Price History'!O19=0),"",'Price History'!O20/'Price History'!O19-1),"")</f>
        <v>0.0309748427672956</v>
      </c>
      <c r="P19" s="142" t="n">
        <f aca="false">IFERROR(IF(OR(NOT(ISNUMBER('Price History'!P20)),NOT(ISNUMBER('Price History'!P19)),'Price History'!P19=0),"",'Price History'!P20/'Price History'!P19-1),"")</f>
        <v>0.0163269550748753</v>
      </c>
      <c r="Q19" s="142" t="n">
        <f aca="false">IFERROR(IF(OR(NOT(ISNUMBER('Price History'!Q20)),NOT(ISNUMBER('Price History'!Q19)),'Price History'!Q19=0),"",'Price History'!Q20/'Price History'!Q19-1),"")</f>
        <v>0.0172183347747463</v>
      </c>
      <c r="R19" s="142" t="n">
        <f aca="false">IFERROR(IF(OR(NOT(ISNUMBER('Price History'!R20)),NOT(ISNUMBER('Price History'!R19)),'Price History'!R19=0),"",'Price History'!R20/'Price History'!R19-1),"")</f>
        <v>0.00736196319018401</v>
      </c>
      <c r="S19" s="142" t="n">
        <f aca="false">IFERROR(IF(OR(NOT(ISNUMBER('Price History'!S20)),NOT(ISNUMBER('Price History'!S19)),'Price History'!S19=0),"",'Price History'!S20/'Price History'!S19-1),"")</f>
        <v>0.0037162708030376</v>
      </c>
      <c r="T19" s="142" t="n">
        <f aca="false">IFERROR(IF(OR(NOT(ISNUMBER('Price History'!T20)),NOT(ISNUMBER('Price History'!T19)),'Price History'!T19=0),"",'Price History'!T20/'Price History'!T19-1),"")</f>
        <v>0.00884303610906412</v>
      </c>
      <c r="U19" s="142" t="str">
        <f aca="false">IFERROR(IF(OR(NOT(ISNUMBER('Price History'!U20)),NOT(ISNUMBER('Price History'!U19)),'Price History'!U19=0),"",'Price History'!U20/'Price History'!U19-1),"")</f>
        <v/>
      </c>
      <c r="V19" s="143" t="n">
        <f aca="false">IFERROR(IF(OR(NOT(ISNUMBER('Price History'!V20)),NOT(ISNUMBER('Price History'!V19)),'Price History'!V19=0),"",'Price History'!V20/'Price History'!V19-1),"")</f>
        <v>-0.00274681528662424</v>
      </c>
      <c r="W19" s="144" t="str">
        <f aca="false">IFERROR('Price History'!B3+(INDEX('Price History'!B:B,MATCH(9.99E+307,'Price History'!$A:$A))-'Price History'!B3)*(ROW()-3)/(MATCH(9.99E+307,'Returns (Calc)'!$A:$A)-3),"")</f>
        <v/>
      </c>
      <c r="X19" s="144" t="n">
        <f aca="false">IFERROR('Price History'!C3+(INDEX('Price History'!C:C,MATCH(9.99E+307,'Price History'!$A:$A))-'Price History'!C3)*(ROW()-3)/(MATCH(9.99E+307,'Returns (Calc)'!$A:$A)-3),"")</f>
        <v>41.5035443037975</v>
      </c>
      <c r="Y19" s="144" t="n">
        <f aca="false">IFERROR('Price History'!D3+(INDEX('Price History'!D:D,MATCH(9.99E+307,'Price History'!$A:$A))-'Price History'!D3)*(ROW()-3)/(MATCH(9.99E+307,'Returns (Calc)'!$A:$A)-3),"")</f>
        <v>523.072278481013</v>
      </c>
      <c r="Z19" s="144" t="n">
        <f aca="false">IFERROR('Price History'!E3+(INDEX('Price History'!E:E,MATCH(9.99E+307,'Price History'!$A:$A))-'Price History'!E3)*(ROW()-3)/(MATCH(9.99E+307,'Returns (Calc)'!$A:$A)-3),"")</f>
        <v>73.6962025316456</v>
      </c>
      <c r="AA19" s="144" t="n">
        <f aca="false">IFERROR('Price History'!F3+(INDEX('Price History'!F:F,MATCH(9.99E+307,'Price History'!$A:$A))-'Price History'!F3)*(ROW()-3)/(MATCH(9.99E+307,'Returns (Calc)'!$A:$A)-3),"")</f>
        <v>67.683670886076</v>
      </c>
      <c r="AB19" s="144" t="n">
        <f aca="false">IFERROR('Price History'!G3+(INDEX('Price History'!G:G,MATCH(9.99E+307,'Price History'!$A:$A))-'Price History'!G3)*(ROW()-3)/(MATCH(9.99E+307,'Returns (Calc)'!$A:$A)-3),"")</f>
        <v>37.1716455696203</v>
      </c>
      <c r="AC19" s="144" t="n">
        <f aca="false">IFERROR('Price History'!H3+(INDEX('Price History'!H:H,MATCH(9.99E+307,'Price History'!$A:$A))-'Price History'!H3)*(ROW()-3)/(MATCH(9.99E+307,'Returns (Calc)'!$A:$A)-3),"")</f>
        <v>90.403670886076</v>
      </c>
      <c r="AD19" s="144" t="n">
        <f aca="false">IFERROR('Price History'!I3+(INDEX('Price History'!I:I,MATCH(9.99E+307,'Price History'!$A:$A))-'Price History'!I3)*(ROW()-3)/(MATCH(9.99E+307,'Returns (Calc)'!$A:$A)-3),"")</f>
        <v>39.8588607594937</v>
      </c>
      <c r="AE19" s="144" t="n">
        <f aca="false">IFERROR('Price History'!J3+(INDEX('Price History'!J:J,MATCH(9.99E+307,'Price History'!$A:$A))-'Price History'!J3)*(ROW()-3)/(MATCH(9.99E+307,'Returns (Calc)'!$A:$A)-3),"")</f>
        <v>62.1115189873418</v>
      </c>
      <c r="AF19" s="144" t="n">
        <f aca="false">IFERROR('Price History'!K3+(INDEX('Price History'!K:K,MATCH(9.99E+307,'Price History'!$A:$A))-'Price History'!K3)*(ROW()-3)/(MATCH(9.99E+307,'Returns (Calc)'!$A:$A)-3),"")</f>
        <v>39.3375949367089</v>
      </c>
      <c r="AG19" s="144" t="n">
        <f aca="false">IFERROR('Price History'!L3+(INDEX('Price History'!L:L,MATCH(9.99E+307,'Price History'!$A:$A))-'Price History'!L3)*(ROW()-3)/(MATCH(9.99E+307,'Returns (Calc)'!$A:$A)-3),"")</f>
        <v>100.514430379747</v>
      </c>
      <c r="AH19" s="144" t="n">
        <f aca="false">IFERROR('Price History'!M3+(INDEX('Price History'!M:M,MATCH(9.99E+307,'Price History'!$A:$A))-'Price History'!M3)*(ROW()-3)/(MATCH(9.99E+307,'Returns (Calc)'!$A:$A)-3),"")</f>
        <v>13.7775949367089</v>
      </c>
      <c r="AI19" s="144" t="n">
        <f aca="false">IFERROR('Price History'!N3+(INDEX('Price History'!N:N,MATCH(9.99E+307,'Price History'!$A:$A))-'Price History'!N3)*(ROW()-3)/(MATCH(9.99E+307,'Returns (Calc)'!$A:$A)-3),"")</f>
        <v>19.5924050632911</v>
      </c>
      <c r="AJ19" s="144" t="n">
        <f aca="false">IFERROR('Price History'!O3+(INDEX('Price History'!O:O,MATCH(9.99E+307,'Price History'!$A:$A))-'Price History'!O3)*(ROW()-3)/(MATCH(9.99E+307,'Returns (Calc)'!$A:$A)-3),"")</f>
        <v>51.7940506329114</v>
      </c>
      <c r="AK19" s="144" t="n">
        <f aca="false">IFERROR('Price History'!Q3+(INDEX('Price History'!Q:Q,MATCH(9.99E+307,'Price History'!$A:$A))-'Price History'!Q3)*(ROW()-3)/(MATCH(9.99E+307,'Returns (Calc)'!$A:$A)-3),"")</f>
        <v>211.768734177215</v>
      </c>
      <c r="AL19" s="144" t="n">
        <f aca="false">IFERROR('Price History'!R3+(INDEX('Price History'!R:R,MATCH(9.99E+307,'Price History'!$A:$A))-'Price History'!R3)*(ROW()-3)/(MATCH(9.99E+307,'Returns (Calc)'!$A:$A)-3),"")</f>
        <v>42.9774683544304</v>
      </c>
      <c r="AM19" s="144" t="n">
        <f aca="false">IFERROR('Price History'!S3+(INDEX('Price History'!S:S,MATCH(9.99E+307,'Price History'!$A:$A))-'Price History'!S3)*(ROW()-3)/(MATCH(9.99E+307,'Returns (Calc)'!$A:$A)-3),"")</f>
        <v>52.6118987341772</v>
      </c>
      <c r="AN19" s="144" t="n">
        <f aca="false">IFERROR('Price History'!T3+(INDEX('Price History'!T:T,MATCH(9.99E+307,'Price History'!$A:$A))-'Price History'!T3)*(ROW()-3)/(MATCH(9.99E+307,'Returns (Calc)'!$A:$A)-3),"")</f>
        <v>24.1849367088608</v>
      </c>
      <c r="AO19" s="145" t="n">
        <f aca="false">IFERROR('Price History'!V3+(INDEX('Price History'!V:V,MATCH(9.99E+307,'Price History'!$A:$A))-'Price History'!V3)*(ROW()-3)/(MATCH(9.99E+307,'Returns (Calc)'!$A:$A)-3),"")</f>
        <v>0</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0.0030175015087508</v>
      </c>
      <c r="G20" s="142" t="n">
        <f aca="false">IFERROR(IF(OR(NOT(ISNUMBER('Price History'!G21)),NOT(ISNUMBER('Price History'!G20)),'Price History'!G20=0),"",'Price History'!G21/'Price History'!G20-1),"")</f>
        <v>0.0254093732354601</v>
      </c>
      <c r="H20" s="142" t="n">
        <f aca="false">IFERROR(IF(OR(NOT(ISNUMBER('Price History'!H21)),NOT(ISNUMBER('Price History'!H20)),'Price History'!H20=0),"",'Price History'!H21/'Price History'!H20-1),"")</f>
        <v>-0.0131728582259287</v>
      </c>
      <c r="I20" s="142" t="n">
        <f aca="false">IFERROR(IF(OR(NOT(ISNUMBER('Price History'!I21)),NOT(ISNUMBER('Price History'!I20)),'Price History'!I20=0),"",'Price History'!I21/'Price History'!I20-1),"")</f>
        <v>0.093459646565859</v>
      </c>
      <c r="J20" s="142" t="n">
        <f aca="false">IFERROR(IF(OR(NOT(ISNUMBER('Price History'!J21)),NOT(ISNUMBER('Price History'!J20)),'Price History'!J20=0),"",'Price History'!J21/'Price History'!J20-1),"")</f>
        <v>0.062163485070974</v>
      </c>
      <c r="K20" s="142" t="n">
        <f aca="false">IFERROR(IF(OR(NOT(ISNUMBER('Price History'!K21)),NOT(ISNUMBER('Price History'!K20)),'Price History'!K20=0),"",'Price History'!K21/'Price History'!K20-1),"")</f>
        <v>0.0874427131072411</v>
      </c>
      <c r="L20" s="142" t="n">
        <f aca="false">IFERROR(IF(OR(NOT(ISNUMBER('Price History'!L21)),NOT(ISNUMBER('Price History'!L20)),'Price History'!L20=0),"",'Price History'!L21/'Price History'!L20-1),"")</f>
        <v>-0.0236272878535774</v>
      </c>
      <c r="M20" s="142" t="n">
        <f aca="false">IFERROR(IF(OR(NOT(ISNUMBER('Price History'!M21)),NOT(ISNUMBER('Price History'!M20)),'Price History'!M20=0),"",'Price History'!M21/'Price History'!M20-1),"")</f>
        <v>0.00119331742243434</v>
      </c>
      <c r="N20" s="142" t="n">
        <f aca="false">IFERROR(IF(OR(NOT(ISNUMBER('Price History'!N21)),NOT(ISNUMBER('Price History'!N20)),'Price History'!N20=0),"",'Price History'!N21/'Price History'!N20-1),"")</f>
        <v>0.00434404865334503</v>
      </c>
      <c r="O20" s="142" t="n">
        <f aca="false">IFERROR(IF(OR(NOT(ISNUMBER('Price History'!O21)),NOT(ISNUMBER('Price History'!O20)),'Price History'!O20=0),"",'Price History'!O21/'Price History'!O20-1),"")</f>
        <v>0.0211987189263383</v>
      </c>
      <c r="P20" s="142" t="n">
        <f aca="false">IFERROR(IF(OR(NOT(ISNUMBER('Price History'!P21)),NOT(ISNUMBER('Price History'!P20)),'Price History'!P20=0),"",'Price History'!P21/'Price History'!P20-1),"")</f>
        <v>0.128005730072649</v>
      </c>
      <c r="Q20" s="142" t="n">
        <f aca="false">IFERROR(IF(OR(NOT(ISNUMBER('Price History'!Q21)),NOT(ISNUMBER('Price History'!Q20)),'Price History'!Q20=0),"",'Price History'!Q21/'Price History'!Q20-1),"")</f>
        <v>0.0255062606276086</v>
      </c>
      <c r="R20" s="142" t="n">
        <f aca="false">IFERROR(IF(OR(NOT(ISNUMBER('Price History'!R21)),NOT(ISNUMBER('Price History'!R20)),'Price History'!R20=0),"",'Price History'!R21/'Price History'!R20-1),"")</f>
        <v>0.0150223304912709</v>
      </c>
      <c r="S20" s="142" t="n">
        <f aca="false">IFERROR(IF(OR(NOT(ISNUMBER('Price History'!S21)),NOT(ISNUMBER('Price History'!S20)),'Price History'!S20=0),"",'Price History'!S21/'Price History'!S20-1),"")</f>
        <v>0.0341274951706374</v>
      </c>
      <c r="T20" s="142" t="n">
        <f aca="false">IFERROR(IF(OR(NOT(ISNUMBER('Price History'!T21)),NOT(ISNUMBER('Price History'!T20)),'Price History'!T20=0),"",'Price History'!T21/'Price History'!T20-1),"")</f>
        <v>0.0277574872169468</v>
      </c>
      <c r="U20" s="142" t="str">
        <f aca="false">IFERROR(IF(OR(NOT(ISNUMBER('Price History'!U21)),NOT(ISNUMBER('Price History'!U20)),'Price History'!U20=0),"",'Price History'!U21/'Price History'!U20-1),"")</f>
        <v/>
      </c>
      <c r="V20" s="143" t="n">
        <f aca="false">IFERROR(IF(OR(NOT(ISNUMBER('Price History'!V21)),NOT(ISNUMBER('Price History'!V20)),'Price History'!V20=0),"",'Price History'!V21/'Price History'!V20-1),"")</f>
        <v>0.00894175881202353</v>
      </c>
      <c r="W20" s="144" t="str">
        <f aca="false">IFERROR('Price History'!B3+(INDEX('Price History'!B:B,MATCH(9.99E+307,'Price History'!$A:$A))-'Price History'!B3)*(ROW()-3)/(MATCH(9.99E+307,'Returns (Calc)'!$A:$A)-3),"")</f>
        <v/>
      </c>
      <c r="X20" s="144" t="n">
        <f aca="false">IFERROR('Price History'!C3+(INDEX('Price History'!C:C,MATCH(9.99E+307,'Price History'!$A:$A))-'Price History'!C3)*(ROW()-3)/(MATCH(9.99E+307,'Returns (Calc)'!$A:$A)-3),"")</f>
        <v>41.2112658227848</v>
      </c>
      <c r="Y20" s="144" t="n">
        <f aca="false">IFERROR('Price History'!D3+(INDEX('Price History'!D:D,MATCH(9.99E+307,'Price History'!$A:$A))-'Price History'!D3)*(ROW()-3)/(MATCH(9.99E+307,'Returns (Calc)'!$A:$A)-3),"")</f>
        <v>519.388670886076</v>
      </c>
      <c r="Z20" s="144" t="n">
        <f aca="false">IFERROR('Price History'!E3+(INDEX('Price History'!E:E,MATCH(9.99E+307,'Price History'!$A:$A))-'Price History'!E3)*(ROW()-3)/(MATCH(9.99E+307,'Returns (Calc)'!$A:$A)-3),"")</f>
        <v>73.1772151898734</v>
      </c>
      <c r="AA20" s="144" t="n">
        <f aca="false">IFERROR('Price History'!F3+(INDEX('Price History'!F:F,MATCH(9.99E+307,'Price History'!$A:$A))-'Price History'!F3)*(ROW()-3)/(MATCH(9.99E+307,'Returns (Calc)'!$A:$A)-3),"")</f>
        <v>67.2070253164557</v>
      </c>
      <c r="AB20" s="144" t="n">
        <f aca="false">IFERROR('Price History'!G3+(INDEX('Price History'!G:G,MATCH(9.99E+307,'Price History'!$A:$A))-'Price History'!G3)*(ROW()-3)/(MATCH(9.99E+307,'Returns (Calc)'!$A:$A)-3),"")</f>
        <v>36.9098734177215</v>
      </c>
      <c r="AC20" s="144" t="n">
        <f aca="false">IFERROR('Price History'!H3+(INDEX('Price History'!H:H,MATCH(9.99E+307,'Price History'!$A:$A))-'Price History'!H3)*(ROW()-3)/(MATCH(9.99E+307,'Returns (Calc)'!$A:$A)-3),"")</f>
        <v>89.7670253164557</v>
      </c>
      <c r="AD20" s="144" t="n">
        <f aca="false">IFERROR('Price History'!I3+(INDEX('Price History'!I:I,MATCH(9.99E+307,'Price History'!$A:$A))-'Price History'!I3)*(ROW()-3)/(MATCH(9.99E+307,'Returns (Calc)'!$A:$A)-3),"")</f>
        <v>39.578164556962</v>
      </c>
      <c r="AE20" s="144" t="n">
        <f aca="false">IFERROR('Price History'!J3+(INDEX('Price History'!J:J,MATCH(9.99E+307,'Price History'!$A:$A))-'Price History'!J3)*(ROW()-3)/(MATCH(9.99E+307,'Returns (Calc)'!$A:$A)-3),"")</f>
        <v>61.6741139240506</v>
      </c>
      <c r="AF20" s="144" t="n">
        <f aca="false">IFERROR('Price History'!K3+(INDEX('Price History'!K:K,MATCH(9.99E+307,'Price History'!$A:$A))-'Price History'!K3)*(ROW()-3)/(MATCH(9.99E+307,'Returns (Calc)'!$A:$A)-3),"")</f>
        <v>39.0605696202532</v>
      </c>
      <c r="AG20" s="144" t="n">
        <f aca="false">IFERROR('Price History'!L3+(INDEX('Price History'!L:L,MATCH(9.99E+307,'Price History'!$A:$A))-'Price History'!L3)*(ROW()-3)/(MATCH(9.99E+307,'Returns (Calc)'!$A:$A)-3),"")</f>
        <v>99.806582278481</v>
      </c>
      <c r="AH20" s="144" t="n">
        <f aca="false">IFERROR('Price History'!M3+(INDEX('Price History'!M:M,MATCH(9.99E+307,'Price History'!$A:$A))-'Price History'!M3)*(ROW()-3)/(MATCH(9.99E+307,'Returns (Calc)'!$A:$A)-3),"")</f>
        <v>13.6805696202532</v>
      </c>
      <c r="AI20" s="144" t="n">
        <f aca="false">IFERROR('Price History'!N3+(INDEX('Price History'!N:N,MATCH(9.99E+307,'Price History'!$A:$A))-'Price History'!N3)*(ROW()-3)/(MATCH(9.99E+307,'Returns (Calc)'!$A:$A)-3),"")</f>
        <v>19.4544303797468</v>
      </c>
      <c r="AJ20" s="144" t="n">
        <f aca="false">IFERROR('Price History'!O3+(INDEX('Price History'!O:O,MATCH(9.99E+307,'Price History'!$A:$A))-'Price History'!O3)*(ROW()-3)/(MATCH(9.99E+307,'Returns (Calc)'!$A:$A)-3),"")</f>
        <v>51.4293037974684</v>
      </c>
      <c r="AK20" s="144" t="n">
        <f aca="false">IFERROR('Price History'!Q3+(INDEX('Price History'!Q:Q,MATCH(9.99E+307,'Price History'!$A:$A))-'Price History'!Q3)*(ROW()-3)/(MATCH(9.99E+307,'Returns (Calc)'!$A:$A)-3),"")</f>
        <v>210.277405063291</v>
      </c>
      <c r="AL20" s="144" t="n">
        <f aca="false">IFERROR('Price History'!R3+(INDEX('Price History'!R:R,MATCH(9.99E+307,'Price History'!$A:$A))-'Price History'!R3)*(ROW()-3)/(MATCH(9.99E+307,'Returns (Calc)'!$A:$A)-3),"")</f>
        <v>42.6748101265823</v>
      </c>
      <c r="AM20" s="144" t="n">
        <f aca="false">IFERROR('Price History'!S3+(INDEX('Price History'!S:S,MATCH(9.99E+307,'Price History'!$A:$A))-'Price History'!S3)*(ROW()-3)/(MATCH(9.99E+307,'Returns (Calc)'!$A:$A)-3),"")</f>
        <v>52.2413924050633</v>
      </c>
      <c r="AN20" s="144" t="n">
        <f aca="false">IFERROR('Price History'!T3+(INDEX('Price History'!T:T,MATCH(9.99E+307,'Price History'!$A:$A))-'Price History'!T3)*(ROW()-3)/(MATCH(9.99E+307,'Returns (Calc)'!$A:$A)-3),"")</f>
        <v>24.0146202531646</v>
      </c>
      <c r="AO20" s="145" t="n">
        <f aca="false">IFERROR('Price History'!V3+(INDEX('Price History'!V:V,MATCH(9.99E+307,'Price History'!$A:$A))-'Price History'!V3)*(ROW()-3)/(MATCH(9.99E+307,'Returns (Calc)'!$A:$A)-3),"")</f>
        <v>0</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0.023586040914561</v>
      </c>
      <c r="G21" s="142" t="n">
        <f aca="false">IFERROR(IF(OR(NOT(ISNUMBER('Price History'!G22)),NOT(ISNUMBER('Price History'!G21)),'Price History'!G21=0),"",'Price History'!G22/'Price History'!G21-1),"")</f>
        <v>-0.000825991189427389</v>
      </c>
      <c r="H21" s="142" t="n">
        <f aca="false">IFERROR(IF(OR(NOT(ISNUMBER('Price History'!H22)),NOT(ISNUMBER('Price History'!H21)),'Price History'!H21=0),"",'Price History'!H22/'Price History'!H21-1),"")</f>
        <v>0.0157495438394315</v>
      </c>
      <c r="I21" s="142" t="n">
        <f aca="false">IFERROR(IF(OR(NOT(ISNUMBER('Price History'!I22)),NOT(ISNUMBER('Price History'!I21)),'Price History'!I21=0),"",'Price History'!I22/'Price History'!I21-1),"")</f>
        <v>-0.0221592802399201</v>
      </c>
      <c r="J21" s="142" t="n">
        <f aca="false">IFERROR(IF(OR(NOT(ISNUMBER('Price History'!J22)),NOT(ISNUMBER('Price History'!J21)),'Price History'!J21=0),"",'Price History'!J22/'Price History'!J21-1),"")</f>
        <v>0.00622119815668221</v>
      </c>
      <c r="K21" s="142" t="n">
        <f aca="false">IFERROR(IF(OR(NOT(ISNUMBER('Price History'!K22)),NOT(ISNUMBER('Price History'!K21)),'Price History'!K21=0),"",'Price History'!K22/'Price History'!K21-1),"")</f>
        <v>0.0257923128792987</v>
      </c>
      <c r="L21" s="142" t="n">
        <f aca="false">IFERROR(IF(OR(NOT(ISNUMBER('Price History'!L22)),NOT(ISNUMBER('Price History'!L21)),'Price History'!L21=0),"",'Price History'!L22/'Price History'!L21-1),"")</f>
        <v>-0.0121847307430129</v>
      </c>
      <c r="M21" s="142" t="n">
        <f aca="false">IFERROR(IF(OR(NOT(ISNUMBER('Price History'!M22)),NOT(ISNUMBER('Price History'!M21)),'Price History'!M21=0),"",'Price History'!M22/'Price History'!M21-1),"")</f>
        <v>-0.0256257449344458</v>
      </c>
      <c r="N21" s="142" t="n">
        <f aca="false">IFERROR(IF(OR(NOT(ISNUMBER('Price History'!N22)),NOT(ISNUMBER('Price History'!N21)),'Price History'!N21=0),"",'Price History'!N22/'Price History'!N21-1),"")</f>
        <v>0.00562283737024227</v>
      </c>
      <c r="O21" s="142" t="n">
        <f aca="false">IFERROR(IF(OR(NOT(ISNUMBER('Price History'!O22)),NOT(ISNUMBER('Price History'!O21)),'Price History'!O21=0),"",'Price History'!O22/'Price History'!O21-1),"")</f>
        <v>0.0161290322580647</v>
      </c>
      <c r="P21" s="142" t="n">
        <f aca="false">IFERROR(IF(OR(NOT(ISNUMBER('Price History'!P22)),NOT(ISNUMBER('Price History'!P21)),'Price History'!P21=0),"",'Price History'!P22/'Price History'!P21-1),"")</f>
        <v>0.0268505079825836</v>
      </c>
      <c r="Q21" s="142" t="n">
        <f aca="false">IFERROR(IF(OR(NOT(ISNUMBER('Price History'!Q22)),NOT(ISNUMBER('Price History'!Q21)),'Price History'!Q21=0),"",'Price History'!Q22/'Price History'!Q21-1),"")</f>
        <v>-0.0109285498944831</v>
      </c>
      <c r="R21" s="142" t="n">
        <f aca="false">IFERROR(IF(OR(NOT(ISNUMBER('Price History'!R22)),NOT(ISNUMBER('Price History'!R21)),'Price History'!R21=0),"",'Price History'!R22/'Price History'!R21-1),"")</f>
        <v>0.00319999999999987</v>
      </c>
      <c r="S21" s="142" t="n">
        <f aca="false">IFERROR(IF(OR(NOT(ISNUMBER('Price History'!S22)),NOT(ISNUMBER('Price History'!S21)),'Price History'!S21=0),"",'Price History'!S22/'Price History'!S21-1),"")</f>
        <v>0.0124533001245333</v>
      </c>
      <c r="T21" s="142" t="n">
        <f aca="false">IFERROR(IF(OR(NOT(ISNUMBER('Price History'!T22)),NOT(ISNUMBER('Price History'!T21)),'Price History'!T21=0),"",'Price History'!T22/'Price History'!T21-1),"")</f>
        <v>0.00959488272921116</v>
      </c>
      <c r="U21" s="142" t="str">
        <f aca="false">IFERROR(IF(OR(NOT(ISNUMBER('Price History'!U22)),NOT(ISNUMBER('Price History'!U21)),'Price History'!U21=0),"",'Price History'!U22/'Price History'!U21-1),"")</f>
        <v/>
      </c>
      <c r="V21" s="143" t="n">
        <f aca="false">IFERROR(IF(OR(NOT(ISNUMBER('Price History'!V22)),NOT(ISNUMBER('Price History'!V21)),'Price History'!V21=0),"",'Price History'!V22/'Price History'!V21-1),"")</f>
        <v>0.0015430267062313</v>
      </c>
      <c r="W21" s="144" t="str">
        <f aca="false">IFERROR('Price History'!B3+(INDEX('Price History'!B:B,MATCH(9.99E+307,'Price History'!$A:$A))-'Price History'!B3)*(ROW()-3)/(MATCH(9.99E+307,'Returns (Calc)'!$A:$A)-3),"")</f>
        <v/>
      </c>
      <c r="X21" s="144" t="n">
        <f aca="false">IFERROR('Price History'!C3+(INDEX('Price History'!C:C,MATCH(9.99E+307,'Price History'!$A:$A))-'Price History'!C3)*(ROW()-3)/(MATCH(9.99E+307,'Returns (Calc)'!$A:$A)-3),"")</f>
        <v>40.9189873417722</v>
      </c>
      <c r="Y21" s="144" t="n">
        <f aca="false">IFERROR('Price History'!D3+(INDEX('Price History'!D:D,MATCH(9.99E+307,'Price History'!$A:$A))-'Price History'!D3)*(ROW()-3)/(MATCH(9.99E+307,'Returns (Calc)'!$A:$A)-3),"")</f>
        <v>515.705063291139</v>
      </c>
      <c r="Z21" s="144" t="n">
        <f aca="false">IFERROR('Price History'!E3+(INDEX('Price History'!E:E,MATCH(9.99E+307,'Price History'!$A:$A))-'Price History'!E3)*(ROW()-3)/(MATCH(9.99E+307,'Returns (Calc)'!$A:$A)-3),"")</f>
        <v>72.6582278481013</v>
      </c>
      <c r="AA21" s="144" t="n">
        <f aca="false">IFERROR('Price History'!F3+(INDEX('Price History'!F:F,MATCH(9.99E+307,'Price History'!$A:$A))-'Price History'!F3)*(ROW()-3)/(MATCH(9.99E+307,'Returns (Calc)'!$A:$A)-3),"")</f>
        <v>66.7303797468354</v>
      </c>
      <c r="AB21" s="144" t="n">
        <f aca="false">IFERROR('Price History'!G3+(INDEX('Price History'!G:G,MATCH(9.99E+307,'Price History'!$A:$A))-'Price History'!G3)*(ROW()-3)/(MATCH(9.99E+307,'Returns (Calc)'!$A:$A)-3),"")</f>
        <v>36.6481012658228</v>
      </c>
      <c r="AC21" s="144" t="n">
        <f aca="false">IFERROR('Price History'!H3+(INDEX('Price History'!H:H,MATCH(9.99E+307,'Price History'!$A:$A))-'Price History'!H3)*(ROW()-3)/(MATCH(9.99E+307,'Returns (Calc)'!$A:$A)-3),"")</f>
        <v>89.1303797468354</v>
      </c>
      <c r="AD21" s="144" t="n">
        <f aca="false">IFERROR('Price History'!I3+(INDEX('Price History'!I:I,MATCH(9.99E+307,'Price History'!$A:$A))-'Price History'!I3)*(ROW()-3)/(MATCH(9.99E+307,'Returns (Calc)'!$A:$A)-3),"")</f>
        <v>39.2974683544304</v>
      </c>
      <c r="AE21" s="144" t="n">
        <f aca="false">IFERROR('Price History'!J3+(INDEX('Price History'!J:J,MATCH(9.99E+307,'Price History'!$A:$A))-'Price History'!J3)*(ROW()-3)/(MATCH(9.99E+307,'Returns (Calc)'!$A:$A)-3),"")</f>
        <v>61.2367088607595</v>
      </c>
      <c r="AF21" s="144" t="n">
        <f aca="false">IFERROR('Price History'!K3+(INDEX('Price History'!K:K,MATCH(9.99E+307,'Price History'!$A:$A))-'Price History'!K3)*(ROW()-3)/(MATCH(9.99E+307,'Returns (Calc)'!$A:$A)-3),"")</f>
        <v>38.7835443037975</v>
      </c>
      <c r="AG21" s="144" t="n">
        <f aca="false">IFERROR('Price History'!L3+(INDEX('Price History'!L:L,MATCH(9.99E+307,'Price History'!$A:$A))-'Price History'!L3)*(ROW()-3)/(MATCH(9.99E+307,'Returns (Calc)'!$A:$A)-3),"")</f>
        <v>99.0987341772152</v>
      </c>
      <c r="AH21" s="144" t="n">
        <f aca="false">IFERROR('Price History'!M3+(INDEX('Price History'!M:M,MATCH(9.99E+307,'Price History'!$A:$A))-'Price History'!M3)*(ROW()-3)/(MATCH(9.99E+307,'Returns (Calc)'!$A:$A)-3),"")</f>
        <v>13.5835443037975</v>
      </c>
      <c r="AI21" s="144" t="n">
        <f aca="false">IFERROR('Price History'!N3+(INDEX('Price History'!N:N,MATCH(9.99E+307,'Price History'!$A:$A))-'Price History'!N3)*(ROW()-3)/(MATCH(9.99E+307,'Returns (Calc)'!$A:$A)-3),"")</f>
        <v>19.3164556962025</v>
      </c>
      <c r="AJ21" s="144" t="n">
        <f aca="false">IFERROR('Price History'!O3+(INDEX('Price History'!O:O,MATCH(9.99E+307,'Price History'!$A:$A))-'Price History'!O3)*(ROW()-3)/(MATCH(9.99E+307,'Returns (Calc)'!$A:$A)-3),"")</f>
        <v>51.0645569620253</v>
      </c>
      <c r="AK21" s="144" t="n">
        <f aca="false">IFERROR('Price History'!Q3+(INDEX('Price History'!Q:Q,MATCH(9.99E+307,'Price History'!$A:$A))-'Price History'!Q3)*(ROW()-3)/(MATCH(9.99E+307,'Returns (Calc)'!$A:$A)-3),"")</f>
        <v>208.786075949367</v>
      </c>
      <c r="AL21" s="144" t="n">
        <f aca="false">IFERROR('Price History'!R3+(INDEX('Price History'!R:R,MATCH(9.99E+307,'Price History'!$A:$A))-'Price History'!R3)*(ROW()-3)/(MATCH(9.99E+307,'Returns (Calc)'!$A:$A)-3),"")</f>
        <v>42.3721518987342</v>
      </c>
      <c r="AM21" s="144" t="n">
        <f aca="false">IFERROR('Price History'!S3+(INDEX('Price History'!S:S,MATCH(9.99E+307,'Price History'!$A:$A))-'Price History'!S3)*(ROW()-3)/(MATCH(9.99E+307,'Returns (Calc)'!$A:$A)-3),"")</f>
        <v>51.8708860759494</v>
      </c>
      <c r="AN21" s="144" t="n">
        <f aca="false">IFERROR('Price History'!T3+(INDEX('Price History'!T:T,MATCH(9.99E+307,'Price History'!$A:$A))-'Price History'!T3)*(ROW()-3)/(MATCH(9.99E+307,'Returns (Calc)'!$A:$A)-3),"")</f>
        <v>23.8443037974684</v>
      </c>
      <c r="AO21" s="145" t="n">
        <f aca="false">IFERROR('Price History'!V3+(INDEX('Price History'!V:V,MATCH(9.99E+307,'Price History'!$A:$A))-'Price History'!V3)*(ROW()-3)/(MATCH(9.99E+307,'Returns (Calc)'!$A:$A)-3),"")</f>
        <v>0</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-0.0186926875146956</v>
      </c>
      <c r="G22" s="142" t="n">
        <f aca="false">IFERROR(IF(OR(NOT(ISNUMBER('Price History'!G23)),NOT(ISNUMBER('Price History'!G22)),'Price History'!G22=0),"",'Price History'!G23/'Price History'!G22-1),"")</f>
        <v>0.0456048498208874</v>
      </c>
      <c r="H22" s="142" t="n">
        <f aca="false">IFERROR(IF(OR(NOT(ISNUMBER('Price History'!H23)),NOT(ISNUMBER('Price History'!H22)),'Price History'!H22=0),"",'Price History'!H23/'Price History'!H22-1),"")</f>
        <v>-0.0128580883048123</v>
      </c>
      <c r="I22" s="142" t="n">
        <f aca="false">IFERROR(IF(OR(NOT(ISNUMBER('Price History'!I23)),NOT(ISNUMBER('Price History'!I22)),'Price History'!I22=0),"",'Price History'!I23/'Price History'!I22-1),"")</f>
        <v>0.0081785653433295</v>
      </c>
      <c r="J22" s="142" t="n">
        <f aca="false">IFERROR(IF(OR(NOT(ISNUMBER('Price History'!J23)),NOT(ISNUMBER('Price History'!J22)),'Price History'!J22=0),"",'Price History'!J23/'Price History'!J22-1),"")</f>
        <v>-0.0178612319670255</v>
      </c>
      <c r="K22" s="142" t="n">
        <f aca="false">IFERROR(IF(OR(NOT(ISNUMBER('Price History'!K23)),NOT(ISNUMBER('Price History'!K22)),'Price History'!K22=0),"",'Price History'!K23/'Price History'!K22-1),"")</f>
        <v>0.0841413311421528</v>
      </c>
      <c r="L22" s="142" t="n">
        <f aca="false">IFERROR(IF(OR(NOT(ISNUMBER('Price History'!L23)),NOT(ISNUMBER('Price History'!L22)),'Price History'!L22=0),"",'Price History'!L23/'Price History'!L22-1),"")</f>
        <v>0.0187181920124211</v>
      </c>
      <c r="M22" s="142" t="n">
        <f aca="false">IFERROR(IF(OR(NOT(ISNUMBER('Price History'!M23)),NOT(ISNUMBER('Price History'!M22)),'Price History'!M22=0),"",'Price History'!M23/'Price History'!M22-1),"")</f>
        <v>0.0409785932721711</v>
      </c>
      <c r="N22" s="142" t="n">
        <f aca="false">IFERROR(IF(OR(NOT(ISNUMBER('Price History'!N23)),NOT(ISNUMBER('Price History'!N22)),'Price History'!N22=0),"",'Price History'!N23/'Price History'!N22-1),"")</f>
        <v>-0.000430107526881773</v>
      </c>
      <c r="O22" s="142" t="n">
        <f aca="false">IFERROR(IF(OR(NOT(ISNUMBER('Price History'!O23)),NOT(ISNUMBER('Price History'!O22)),'Price History'!O22=0),"",'Price History'!O23/'Price History'!O22-1),"")</f>
        <v>0.0457084068195179</v>
      </c>
      <c r="P22" s="142" t="n">
        <f aca="false">IFERROR(IF(OR(NOT(ISNUMBER('Price History'!P23)),NOT(ISNUMBER('Price History'!P22)),'Price History'!P22=0),"",'Price History'!P23/'Price History'!P22-1),"")</f>
        <v>-0.0128975265017669</v>
      </c>
      <c r="Q22" s="142" t="n">
        <f aca="false">IFERROR(IF(OR(NOT(ISNUMBER('Price History'!Q23)),NOT(ISNUMBER('Price History'!Q22)),'Price History'!Q22=0),"",'Price History'!Q23/'Price History'!Q22-1),"")</f>
        <v>0.0344814447915873</v>
      </c>
      <c r="R22" s="142" t="n">
        <f aca="false">IFERROR(IF(OR(NOT(ISNUMBER('Price History'!R23)),NOT(ISNUMBER('Price History'!R22)),'Price History'!R22=0),"",'Price History'!R23/'Price History'!R22-1),"")</f>
        <v>-0.00458532695374792</v>
      </c>
      <c r="S22" s="142" t="n">
        <f aca="false">IFERROR(IF(OR(NOT(ISNUMBER('Price History'!S23)),NOT(ISNUMBER('Price History'!S22)),'Price History'!S22=0),"",'Price History'!S23/'Price History'!S22-1),"")</f>
        <v>0.00707257072570711</v>
      </c>
      <c r="T22" s="142" t="n">
        <f aca="false">IFERROR(IF(OR(NOT(ISNUMBER('Price History'!T23)),NOT(ISNUMBER('Price History'!T22)),'Price History'!T22=0),"",'Price History'!T23/'Price History'!T22-1),"")</f>
        <v>-0.0024639211545231</v>
      </c>
      <c r="U22" s="142" t="str">
        <f aca="false">IFERROR(IF(OR(NOT(ISNUMBER('Price History'!U23)),NOT(ISNUMBER('Price History'!U22)),'Price History'!U22=0),"",'Price History'!U23/'Price History'!U22-1),"")</f>
        <v/>
      </c>
      <c r="V22" s="143" t="n">
        <f aca="false">IFERROR(IF(OR(NOT(ISNUMBER('Price History'!V23)),NOT(ISNUMBER('Price History'!V22)),'Price History'!V22=0),"",'Price History'!V23/'Price History'!V22-1),"")</f>
        <v>0.00742672039187808</v>
      </c>
      <c r="W22" s="144" t="str">
        <f aca="false">IFERROR('Price History'!B3+(INDEX('Price History'!B:B,MATCH(9.99E+307,'Price History'!$A:$A))-'Price History'!B3)*(ROW()-3)/(MATCH(9.99E+307,'Returns (Calc)'!$A:$A)-3),"")</f>
        <v/>
      </c>
      <c r="X22" s="144" t="n">
        <f aca="false">IFERROR('Price History'!C3+(INDEX('Price History'!C:C,MATCH(9.99E+307,'Price History'!$A:$A))-'Price History'!C3)*(ROW()-3)/(MATCH(9.99E+307,'Returns (Calc)'!$A:$A)-3),"")</f>
        <v>40.6267088607595</v>
      </c>
      <c r="Y22" s="144" t="n">
        <f aca="false">IFERROR('Price History'!D3+(INDEX('Price History'!D:D,MATCH(9.99E+307,'Price History'!$A:$A))-'Price History'!D3)*(ROW()-3)/(MATCH(9.99E+307,'Returns (Calc)'!$A:$A)-3),"")</f>
        <v>512.021455696203</v>
      </c>
      <c r="Z22" s="144" t="n">
        <f aca="false">IFERROR('Price History'!E3+(INDEX('Price History'!E:E,MATCH(9.99E+307,'Price History'!$A:$A))-'Price History'!E3)*(ROW()-3)/(MATCH(9.99E+307,'Returns (Calc)'!$A:$A)-3),"")</f>
        <v>72.1392405063291</v>
      </c>
      <c r="AA22" s="144" t="n">
        <f aca="false">IFERROR('Price History'!F3+(INDEX('Price History'!F:F,MATCH(9.99E+307,'Price History'!$A:$A))-'Price History'!F3)*(ROW()-3)/(MATCH(9.99E+307,'Returns (Calc)'!$A:$A)-3),"")</f>
        <v>66.2537341772152</v>
      </c>
      <c r="AB22" s="144" t="n">
        <f aca="false">IFERROR('Price History'!G3+(INDEX('Price History'!G:G,MATCH(9.99E+307,'Price History'!$A:$A))-'Price History'!G3)*(ROW()-3)/(MATCH(9.99E+307,'Returns (Calc)'!$A:$A)-3),"")</f>
        <v>36.3863291139241</v>
      </c>
      <c r="AC22" s="144" t="n">
        <f aca="false">IFERROR('Price History'!H3+(INDEX('Price History'!H:H,MATCH(9.99E+307,'Price History'!$A:$A))-'Price History'!H3)*(ROW()-3)/(MATCH(9.99E+307,'Returns (Calc)'!$A:$A)-3),"")</f>
        <v>88.4937341772152</v>
      </c>
      <c r="AD22" s="144" t="n">
        <f aca="false">IFERROR('Price History'!I3+(INDEX('Price History'!I:I,MATCH(9.99E+307,'Price History'!$A:$A))-'Price History'!I3)*(ROW()-3)/(MATCH(9.99E+307,'Returns (Calc)'!$A:$A)-3),"")</f>
        <v>39.0167721518987</v>
      </c>
      <c r="AE22" s="144" t="n">
        <f aca="false">IFERROR('Price History'!J3+(INDEX('Price History'!J:J,MATCH(9.99E+307,'Price History'!$A:$A))-'Price History'!J3)*(ROW()-3)/(MATCH(9.99E+307,'Returns (Calc)'!$A:$A)-3),"")</f>
        <v>60.7993037974684</v>
      </c>
      <c r="AF22" s="144" t="n">
        <f aca="false">IFERROR('Price History'!K3+(INDEX('Price History'!K:K,MATCH(9.99E+307,'Price History'!$A:$A))-'Price History'!K3)*(ROW()-3)/(MATCH(9.99E+307,'Returns (Calc)'!$A:$A)-3),"")</f>
        <v>38.5065189873418</v>
      </c>
      <c r="AG22" s="144" t="n">
        <f aca="false">IFERROR('Price History'!L3+(INDEX('Price History'!L:L,MATCH(9.99E+307,'Price History'!$A:$A))-'Price History'!L3)*(ROW()-3)/(MATCH(9.99E+307,'Returns (Calc)'!$A:$A)-3),"")</f>
        <v>98.3908860759494</v>
      </c>
      <c r="AH22" s="144" t="n">
        <f aca="false">IFERROR('Price History'!M3+(INDEX('Price History'!M:M,MATCH(9.99E+307,'Price History'!$A:$A))-'Price History'!M3)*(ROW()-3)/(MATCH(9.99E+307,'Returns (Calc)'!$A:$A)-3),"")</f>
        <v>13.4865189873418</v>
      </c>
      <c r="AI22" s="144" t="n">
        <f aca="false">IFERROR('Price History'!N3+(INDEX('Price History'!N:N,MATCH(9.99E+307,'Price History'!$A:$A))-'Price History'!N3)*(ROW()-3)/(MATCH(9.99E+307,'Returns (Calc)'!$A:$A)-3),"")</f>
        <v>19.1784810126582</v>
      </c>
      <c r="AJ22" s="144" t="n">
        <f aca="false">IFERROR('Price History'!O3+(INDEX('Price History'!O:O,MATCH(9.99E+307,'Price History'!$A:$A))-'Price History'!O3)*(ROW()-3)/(MATCH(9.99E+307,'Returns (Calc)'!$A:$A)-3),"")</f>
        <v>50.6998101265823</v>
      </c>
      <c r="AK22" s="144" t="n">
        <f aca="false">IFERROR('Price History'!Q3+(INDEX('Price History'!Q:Q,MATCH(9.99E+307,'Price History'!$A:$A))-'Price History'!Q3)*(ROW()-3)/(MATCH(9.99E+307,'Returns (Calc)'!$A:$A)-3),"")</f>
        <v>207.294746835443</v>
      </c>
      <c r="AL22" s="144" t="n">
        <f aca="false">IFERROR('Price History'!R3+(INDEX('Price History'!R:R,MATCH(9.99E+307,'Price History'!$A:$A))-'Price History'!R3)*(ROW()-3)/(MATCH(9.99E+307,'Returns (Calc)'!$A:$A)-3),"")</f>
        <v>42.0694936708861</v>
      </c>
      <c r="AM22" s="144" t="n">
        <f aca="false">IFERROR('Price History'!S3+(INDEX('Price History'!S:S,MATCH(9.99E+307,'Price History'!$A:$A))-'Price History'!S3)*(ROW()-3)/(MATCH(9.99E+307,'Returns (Calc)'!$A:$A)-3),"")</f>
        <v>51.5003797468354</v>
      </c>
      <c r="AN22" s="144" t="n">
        <f aca="false">IFERROR('Price History'!T3+(INDEX('Price History'!T:T,MATCH(9.99E+307,'Price History'!$A:$A))-'Price History'!T3)*(ROW()-3)/(MATCH(9.99E+307,'Returns (Calc)'!$A:$A)-3),"")</f>
        <v>23.6739873417722</v>
      </c>
      <c r="AO22" s="145" t="n">
        <f aca="false">IFERROR('Price History'!V3+(INDEX('Price History'!V:V,MATCH(9.99E+307,'Price History'!$A:$A))-'Price History'!V3)*(ROW()-3)/(MATCH(9.99E+307,'Returns (Calc)'!$A:$A)-3),"")</f>
        <v>0</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0.0680351771486303</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0.00898526416676648</v>
      </c>
      <c r="G23" s="142" t="n">
        <f aca="false">IFERROR(IF(OR(NOT(ISNUMBER('Price History'!G24)),NOT(ISNUMBER('Price History'!G23)),'Price History'!G23=0),"",'Price History'!G24/'Price History'!G23-1),"")</f>
        <v>0.0848596653050469</v>
      </c>
      <c r="H23" s="142" t="n">
        <f aca="false">IFERROR(IF(OR(NOT(ISNUMBER('Price History'!H24)),NOT(ISNUMBER('Price History'!H23)),'Price History'!H23=0),"",'Price History'!H24/'Price History'!H23-1),"")</f>
        <v>-0.00890719279762464</v>
      </c>
      <c r="I23" s="142" t="n">
        <f aca="false">IFERROR(IF(OR(NOT(ISNUMBER('Price History'!I24)),NOT(ISNUMBER('Price History'!I23)),'Price History'!I23=0),"",'Price History'!I24/'Price History'!I23-1),"")</f>
        <v>0.0753760351529491</v>
      </c>
      <c r="J23" s="142" t="n">
        <f aca="false">IFERROR(IF(OR(NOT(ISNUMBER('Price History'!J24)),NOT(ISNUMBER('Price History'!J23)),'Price History'!J23=0),"",'Price History'!J24/'Price History'!J23-1),"")</f>
        <v>-0.0106085334576824</v>
      </c>
      <c r="K23" s="142" t="n">
        <f aca="false">IFERROR(IF(OR(NOT(ISNUMBER('Price History'!K24)),NOT(ISNUMBER('Price History'!K23)),'Price History'!K23=0),"",'Price History'!K24/'Price History'!K23-1),"")</f>
        <v>0.0901925117477642</v>
      </c>
      <c r="L23" s="142" t="n">
        <f aca="false">IFERROR(IF(OR(NOT(ISNUMBER('Price History'!L24)),NOT(ISNUMBER('Price History'!L23)),'Price History'!L23=0),"",'Price History'!L24/'Price History'!L23-1),"")</f>
        <v>0.0249788314987298</v>
      </c>
      <c r="M23" s="142" t="n">
        <f aca="false">IFERROR(IF(OR(NOT(ISNUMBER('Price History'!M24)),NOT(ISNUMBER('Price History'!M23)),'Price History'!M23=0),"",'Price History'!M24/'Price History'!M23-1),"")</f>
        <v>0.432432432432432</v>
      </c>
      <c r="N23" s="142" t="n">
        <f aca="false">IFERROR(IF(OR(NOT(ISNUMBER('Price History'!N24)),NOT(ISNUMBER('Price History'!N23)),'Price History'!N23=0),"",'Price History'!N24/'Price History'!N23-1),"")</f>
        <v>-0.00258175559380369</v>
      </c>
      <c r="O23" s="142" t="n">
        <f aca="false">IFERROR(IF(OR(NOT(ISNUMBER('Price History'!O24)),NOT(ISNUMBER('Price History'!O23)),'Price History'!O23=0),"",'Price History'!O24/'Price History'!O23-1),"")</f>
        <v>0.0238931834153195</v>
      </c>
      <c r="P23" s="142" t="n">
        <f aca="false">IFERROR(IF(OR(NOT(ISNUMBER('Price History'!P24)),NOT(ISNUMBER('Price History'!P23)),'Price History'!P23=0),"",'Price History'!P24/'Price History'!P23-1),"")</f>
        <v>0.149991050653302</v>
      </c>
      <c r="Q23" s="142" t="n">
        <f aca="false">IFERROR(IF(OR(NOT(ISNUMBER('Price History'!Q24)),NOT(ISNUMBER('Price History'!Q23)),'Price History'!Q23=0),"",'Price History'!Q24/'Price History'!Q23-1),"")</f>
        <v>-0.000847114286766648</v>
      </c>
      <c r="R23" s="142" t="n">
        <f aca="false">IFERROR(IF(OR(NOT(ISNUMBER('Price History'!R24)),NOT(ISNUMBER('Price History'!R23)),'Price History'!R23=0),"",'Price History'!R24/'Price History'!R23-1),"")</f>
        <v>-0.0156218706188664</v>
      </c>
      <c r="S23" s="142" t="n">
        <f aca="false">IFERROR(IF(OR(NOT(ISNUMBER('Price History'!S24)),NOT(ISNUMBER('Price History'!S23)),'Price History'!S23=0),"",'Price History'!S24/'Price History'!S23-1),"")</f>
        <v>-0.0103816793893131</v>
      </c>
      <c r="T23" s="142" t="n">
        <f aca="false">IFERROR(IF(OR(NOT(ISNUMBER('Price History'!T24)),NOT(ISNUMBER('Price History'!T23)),'Price History'!T23=0),"",'Price History'!T24/'Price History'!T23-1),"")</f>
        <v>0.00105857445307</v>
      </c>
      <c r="U23" s="142" t="str">
        <f aca="false">IFERROR(IF(OR(NOT(ISNUMBER('Price History'!U24)),NOT(ISNUMBER('Price History'!U23)),'Price History'!U23=0),"",'Price History'!U24/'Price History'!U23-1),"")</f>
        <v/>
      </c>
      <c r="V23" s="143" t="n">
        <f aca="false">IFERROR(IF(OR(NOT(ISNUMBER('Price History'!V24)),NOT(ISNUMBER('Price History'!V23)),'Price History'!V23=0),"",'Price History'!V24/'Price History'!V23-1),"")</f>
        <v>-0.00254881970041565</v>
      </c>
      <c r="W23" s="144" t="str">
        <f aca="false">IFERROR('Price History'!B3+(INDEX('Price History'!B:B,MATCH(9.99E+307,'Price History'!$A:$A))-'Price History'!B3)*(ROW()-3)/(MATCH(9.99E+307,'Returns (Calc)'!$A:$A)-3),"")</f>
        <v/>
      </c>
      <c r="X23" s="144" t="n">
        <f aca="false">IFERROR('Price History'!C3+(INDEX('Price History'!C:C,MATCH(9.99E+307,'Price History'!$A:$A))-'Price History'!C3)*(ROW()-3)/(MATCH(9.99E+307,'Returns (Calc)'!$A:$A)-3),"")</f>
        <v>40.3344303797468</v>
      </c>
      <c r="Y23" s="144" t="n">
        <f aca="false">IFERROR('Price History'!D3+(INDEX('Price History'!D:D,MATCH(9.99E+307,'Price History'!$A:$A))-'Price History'!D3)*(ROW()-3)/(MATCH(9.99E+307,'Returns (Calc)'!$A:$A)-3),"")</f>
        <v>508.337848101266</v>
      </c>
      <c r="Z23" s="144" t="n">
        <f aca="false">IFERROR('Price History'!E3+(INDEX('Price History'!E:E,MATCH(9.99E+307,'Price History'!$A:$A))-'Price History'!E3)*(ROW()-3)/(MATCH(9.99E+307,'Returns (Calc)'!$A:$A)-3),"")</f>
        <v>71.620253164557</v>
      </c>
      <c r="AA23" s="144" t="n">
        <f aca="false">IFERROR('Price History'!F3+(INDEX('Price History'!F:F,MATCH(9.99E+307,'Price History'!$A:$A))-'Price History'!F3)*(ROW()-3)/(MATCH(9.99E+307,'Returns (Calc)'!$A:$A)-3),"")</f>
        <v>65.7770886075949</v>
      </c>
      <c r="AB23" s="144" t="n">
        <f aca="false">IFERROR('Price History'!G3+(INDEX('Price History'!G:G,MATCH(9.99E+307,'Price History'!$A:$A))-'Price History'!G3)*(ROW()-3)/(MATCH(9.99E+307,'Returns (Calc)'!$A:$A)-3),"")</f>
        <v>36.1245569620253</v>
      </c>
      <c r="AC23" s="144" t="n">
        <f aca="false">IFERROR('Price History'!H3+(INDEX('Price History'!H:H,MATCH(9.99E+307,'Price History'!$A:$A))-'Price History'!H3)*(ROW()-3)/(MATCH(9.99E+307,'Returns (Calc)'!$A:$A)-3),"")</f>
        <v>87.8570886075949</v>
      </c>
      <c r="AD23" s="144" t="n">
        <f aca="false">IFERROR('Price History'!I3+(INDEX('Price History'!I:I,MATCH(9.99E+307,'Price History'!$A:$A))-'Price History'!I3)*(ROW()-3)/(MATCH(9.99E+307,'Returns (Calc)'!$A:$A)-3),"")</f>
        <v>38.7360759493671</v>
      </c>
      <c r="AE23" s="144" t="n">
        <f aca="false">IFERROR('Price History'!J3+(INDEX('Price History'!J:J,MATCH(9.99E+307,'Price History'!$A:$A))-'Price History'!J3)*(ROW()-3)/(MATCH(9.99E+307,'Returns (Calc)'!$A:$A)-3),"")</f>
        <v>60.3618987341772</v>
      </c>
      <c r="AF23" s="144" t="n">
        <f aca="false">IFERROR('Price History'!K3+(INDEX('Price History'!K:K,MATCH(9.99E+307,'Price History'!$A:$A))-'Price History'!K3)*(ROW()-3)/(MATCH(9.99E+307,'Returns (Calc)'!$A:$A)-3),"")</f>
        <v>38.2294936708861</v>
      </c>
      <c r="AG23" s="144" t="n">
        <f aca="false">IFERROR('Price History'!L3+(INDEX('Price History'!L:L,MATCH(9.99E+307,'Price History'!$A:$A))-'Price History'!L3)*(ROW()-3)/(MATCH(9.99E+307,'Returns (Calc)'!$A:$A)-3),"")</f>
        <v>97.6830379746835</v>
      </c>
      <c r="AH23" s="144" t="n">
        <f aca="false">IFERROR('Price History'!M3+(INDEX('Price History'!M:M,MATCH(9.99E+307,'Price History'!$A:$A))-'Price History'!M3)*(ROW()-3)/(MATCH(9.99E+307,'Returns (Calc)'!$A:$A)-3),"")</f>
        <v>13.3894936708861</v>
      </c>
      <c r="AI23" s="144" t="n">
        <f aca="false">IFERROR('Price History'!N3+(INDEX('Price History'!N:N,MATCH(9.99E+307,'Price History'!$A:$A))-'Price History'!N3)*(ROW()-3)/(MATCH(9.99E+307,'Returns (Calc)'!$A:$A)-3),"")</f>
        <v>19.0405063291139</v>
      </c>
      <c r="AJ23" s="144" t="n">
        <f aca="false">IFERROR('Price History'!O3+(INDEX('Price History'!O:O,MATCH(9.99E+307,'Price History'!$A:$A))-'Price History'!O3)*(ROW()-3)/(MATCH(9.99E+307,'Returns (Calc)'!$A:$A)-3),"")</f>
        <v>50.3350632911392</v>
      </c>
      <c r="AK23" s="144" t="n">
        <f aca="false">IFERROR('Price History'!Q3+(INDEX('Price History'!Q:Q,MATCH(9.99E+307,'Price History'!$A:$A))-'Price History'!Q3)*(ROW()-3)/(MATCH(9.99E+307,'Returns (Calc)'!$A:$A)-3),"")</f>
        <v>205.803417721519</v>
      </c>
      <c r="AL23" s="144" t="n">
        <f aca="false">IFERROR('Price History'!R3+(INDEX('Price History'!R:R,MATCH(9.99E+307,'Price History'!$A:$A))-'Price History'!R3)*(ROW()-3)/(MATCH(9.99E+307,'Returns (Calc)'!$A:$A)-3),"")</f>
        <v>41.766835443038</v>
      </c>
      <c r="AM23" s="144" t="n">
        <f aca="false">IFERROR('Price History'!S3+(INDEX('Price History'!S:S,MATCH(9.99E+307,'Price History'!$A:$A))-'Price History'!S3)*(ROW()-3)/(MATCH(9.99E+307,'Returns (Calc)'!$A:$A)-3),"")</f>
        <v>51.1298734177215</v>
      </c>
      <c r="AN23" s="144" t="n">
        <f aca="false">IFERROR('Price History'!T3+(INDEX('Price History'!T:T,MATCH(9.99E+307,'Price History'!$A:$A))-'Price History'!T3)*(ROW()-3)/(MATCH(9.99E+307,'Returns (Calc)'!$A:$A)-3),"")</f>
        <v>23.503670886076</v>
      </c>
      <c r="AO23" s="145" t="n">
        <f aca="false">IFERROR('Price History'!V3+(INDEX('Price History'!V:V,MATCH(9.99E+307,'Price History'!$A:$A))-'Price History'!V3)*(ROW()-3)/(MATCH(9.99E+307,'Returns (Calc)'!$A:$A)-3),"")</f>
        <v>0</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-0.0217461409468117</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0.00712419852766555</v>
      </c>
      <c r="G24" s="142" t="n">
        <f aca="false">IFERROR(IF(OR(NOT(ISNUMBER('Price History'!G25)),NOT(ISNUMBER('Price History'!G24)),'Price History'!G24=0),"",'Price History'!G25/'Price History'!G24-1),"")</f>
        <v>-0.000242924814769729</v>
      </c>
      <c r="H24" s="142" t="n">
        <f aca="false">IFERROR(IF(OR(NOT(ISNUMBER('Price History'!H25)),NOT(ISNUMBER('Price History'!H24)),'Price History'!H24=0),"",'Price History'!H25/'Price History'!H24-1),"")</f>
        <v>0.011693080788558</v>
      </c>
      <c r="I24" s="142" t="n">
        <f aca="false">IFERROR(IF(OR(NOT(ISNUMBER('Price History'!I25)),NOT(ISNUMBER('Price History'!I24)),'Price History'!I24=0),"",'Price History'!I25/'Price History'!I24-1),"")</f>
        <v>0.0199591387710201</v>
      </c>
      <c r="J24" s="142" t="n">
        <f aca="false">IFERROR(IF(OR(NOT(ISNUMBER('Price History'!J25)),NOT(ISNUMBER('Price History'!J24)),'Price History'!J24=0),"",'Price History'!J25/'Price History'!J24-1),"")</f>
        <v>-0.0708141864027336</v>
      </c>
      <c r="K24" s="142" t="n">
        <f aca="false">IFERROR(IF(OR(NOT(ISNUMBER('Price History'!K25)),NOT(ISNUMBER('Price History'!K24)),'Price History'!K24=0),"",'Price History'!K25/'Price History'!K24-1),"")</f>
        <v>0.00667408231368194</v>
      </c>
      <c r="L24" s="142" t="n">
        <f aca="false">IFERROR(IF(OR(NOT(ISNUMBER('Price History'!L25)),NOT(ISNUMBER('Price History'!L24)),'Price History'!L24=0),"",'Price History'!L25/'Price History'!L24-1),"")</f>
        <v>0.00685667079719132</v>
      </c>
      <c r="M24" s="142" t="n">
        <f aca="false">IFERROR(IF(OR(NOT(ISNUMBER('Price History'!M25)),NOT(ISNUMBER('Price History'!M24)),'Price History'!M24=0),"",'Price History'!M25/'Price History'!M24-1),"")</f>
        <v>0.00246103363412642</v>
      </c>
      <c r="N24" s="142" t="n">
        <f aca="false">IFERROR(IF(OR(NOT(ISNUMBER('Price History'!N25)),NOT(ISNUMBER('Price History'!N24)),'Price History'!N24=0),"",'Price History'!N25/'Price History'!N24-1),"")</f>
        <v>0.002588438308887</v>
      </c>
      <c r="O24" s="142" t="n">
        <f aca="false">IFERROR(IF(OR(NOT(ISNUMBER('Price History'!O25)),NOT(ISNUMBER('Price History'!O24)),'Price History'!O24=0),"",'Price History'!O25/'Price History'!O24-1),"")</f>
        <v>0.00837336993822913</v>
      </c>
      <c r="P24" s="142" t="n">
        <f aca="false">IFERROR(IF(OR(NOT(ISNUMBER('Price History'!P25)),NOT(ISNUMBER('Price History'!P24)),'Price History'!P24=0),"",'Price History'!P25/'Price History'!P24-1),"")</f>
        <v>-0.0482490272373541</v>
      </c>
      <c r="Q24" s="142" t="n">
        <f aca="false">IFERROR(IF(OR(NOT(ISNUMBER('Price History'!Q25)),NOT(ISNUMBER('Price History'!Q24)),'Price History'!Q24=0),"",'Price History'!Q25/'Price History'!Q24-1),"")</f>
        <v>0.00770421704511959</v>
      </c>
      <c r="R24" s="142" t="n">
        <f aca="false">IFERROR(IF(OR(NOT(ISNUMBER('Price History'!R25)),NOT(ISNUMBER('Price History'!R24)),'Price History'!R24=0),"",'Price History'!R25/'Price History'!R24-1),"")</f>
        <v>0.0272634791454731</v>
      </c>
      <c r="S24" s="142" t="n">
        <f aca="false">IFERROR(IF(OR(NOT(ISNUMBER('Price History'!S25)),NOT(ISNUMBER('Price History'!S24)),'Price History'!S24=0),"",'Price History'!S25/'Price History'!S24-1),"")</f>
        <v>0.0311632212280162</v>
      </c>
      <c r="T24" s="142" t="n">
        <f aca="false">IFERROR(IF(OR(NOT(ISNUMBER('Price History'!T25)),NOT(ISNUMBER('Price History'!T24)),'Price History'!T24=0),"",'Price History'!T25/'Price History'!T24-1),"")</f>
        <v>-0.00281988015509349</v>
      </c>
      <c r="U24" s="142" t="str">
        <f aca="false">IFERROR(IF(OR(NOT(ISNUMBER('Price History'!U25)),NOT(ISNUMBER('Price History'!U24)),'Price History'!U24=0),"",'Price History'!U25/'Price History'!U24-1),"")</f>
        <v/>
      </c>
      <c r="V24" s="143" t="n">
        <f aca="false">IFERROR(IF(OR(NOT(ISNUMBER('Price History'!V25)),NOT(ISNUMBER('Price History'!V24)),'Price History'!V24=0),"",'Price History'!V25/'Price History'!V24-1),"")</f>
        <v>0.0172583244879505</v>
      </c>
      <c r="W24" s="144" t="str">
        <f aca="false">IFERROR('Price History'!B3+(INDEX('Price History'!B:B,MATCH(9.99E+307,'Price History'!$A:$A))-'Price History'!B3)*(ROW()-3)/(MATCH(9.99E+307,'Returns (Calc)'!$A:$A)-3),"")</f>
        <v/>
      </c>
      <c r="X24" s="144" t="n">
        <f aca="false">IFERROR('Price History'!C3+(INDEX('Price History'!C:C,MATCH(9.99E+307,'Price History'!$A:$A))-'Price History'!C3)*(ROW()-3)/(MATCH(9.99E+307,'Returns (Calc)'!$A:$A)-3),"")</f>
        <v>40.0421518987342</v>
      </c>
      <c r="Y24" s="144" t="n">
        <f aca="false">IFERROR('Price History'!D3+(INDEX('Price History'!D:D,MATCH(9.99E+307,'Price History'!$A:$A))-'Price History'!D3)*(ROW()-3)/(MATCH(9.99E+307,'Returns (Calc)'!$A:$A)-3),"")</f>
        <v>504.654240506329</v>
      </c>
      <c r="Z24" s="144" t="n">
        <f aca="false">IFERROR('Price History'!E3+(INDEX('Price History'!E:E,MATCH(9.99E+307,'Price History'!$A:$A))-'Price History'!E3)*(ROW()-3)/(MATCH(9.99E+307,'Returns (Calc)'!$A:$A)-3),"")</f>
        <v>71.1012658227848</v>
      </c>
      <c r="AA24" s="144" t="n">
        <f aca="false">IFERROR('Price History'!F3+(INDEX('Price History'!F:F,MATCH(9.99E+307,'Price History'!$A:$A))-'Price History'!F3)*(ROW()-3)/(MATCH(9.99E+307,'Returns (Calc)'!$A:$A)-3),"")</f>
        <v>65.3004430379747</v>
      </c>
      <c r="AB24" s="144" t="n">
        <f aca="false">IFERROR('Price History'!G3+(INDEX('Price History'!G:G,MATCH(9.99E+307,'Price History'!$A:$A))-'Price History'!G3)*(ROW()-3)/(MATCH(9.99E+307,'Returns (Calc)'!$A:$A)-3),"")</f>
        <v>35.8627848101266</v>
      </c>
      <c r="AC24" s="144" t="n">
        <f aca="false">IFERROR('Price History'!H3+(INDEX('Price History'!H:H,MATCH(9.99E+307,'Price History'!$A:$A))-'Price History'!H3)*(ROW()-3)/(MATCH(9.99E+307,'Returns (Calc)'!$A:$A)-3),"")</f>
        <v>87.2204430379747</v>
      </c>
      <c r="AD24" s="144" t="n">
        <f aca="false">IFERROR('Price History'!I3+(INDEX('Price History'!I:I,MATCH(9.99E+307,'Price History'!$A:$A))-'Price History'!I3)*(ROW()-3)/(MATCH(9.99E+307,'Returns (Calc)'!$A:$A)-3),"")</f>
        <v>38.4553797468355</v>
      </c>
      <c r="AE24" s="144" t="n">
        <f aca="false">IFERROR('Price History'!J3+(INDEX('Price History'!J:J,MATCH(9.99E+307,'Price History'!$A:$A))-'Price History'!J3)*(ROW()-3)/(MATCH(9.99E+307,'Returns (Calc)'!$A:$A)-3),"")</f>
        <v>59.9244936708861</v>
      </c>
      <c r="AF24" s="144" t="n">
        <f aca="false">IFERROR('Price History'!K3+(INDEX('Price History'!K:K,MATCH(9.99E+307,'Price History'!$A:$A))-'Price History'!K3)*(ROW()-3)/(MATCH(9.99E+307,'Returns (Calc)'!$A:$A)-3),"")</f>
        <v>37.9524683544304</v>
      </c>
      <c r="AG24" s="144" t="n">
        <f aca="false">IFERROR('Price History'!L3+(INDEX('Price History'!L:L,MATCH(9.99E+307,'Price History'!$A:$A))-'Price History'!L3)*(ROW()-3)/(MATCH(9.99E+307,'Returns (Calc)'!$A:$A)-3),"")</f>
        <v>96.9751898734177</v>
      </c>
      <c r="AH24" s="144" t="n">
        <f aca="false">IFERROR('Price History'!M3+(INDEX('Price History'!M:M,MATCH(9.99E+307,'Price History'!$A:$A))-'Price History'!M3)*(ROW()-3)/(MATCH(9.99E+307,'Returns (Calc)'!$A:$A)-3),"")</f>
        <v>13.2924683544304</v>
      </c>
      <c r="AI24" s="144" t="n">
        <f aca="false">IFERROR('Price History'!N3+(INDEX('Price History'!N:N,MATCH(9.99E+307,'Price History'!$A:$A))-'Price History'!N3)*(ROW()-3)/(MATCH(9.99E+307,'Returns (Calc)'!$A:$A)-3),"")</f>
        <v>18.9025316455696</v>
      </c>
      <c r="AJ24" s="144" t="n">
        <f aca="false">IFERROR('Price History'!O3+(INDEX('Price History'!O:O,MATCH(9.99E+307,'Price History'!$A:$A))-'Price History'!O3)*(ROW()-3)/(MATCH(9.99E+307,'Returns (Calc)'!$A:$A)-3),"")</f>
        <v>49.9703164556962</v>
      </c>
      <c r="AK24" s="144" t="n">
        <f aca="false">IFERROR('Price History'!Q3+(INDEX('Price History'!Q:Q,MATCH(9.99E+307,'Price History'!$A:$A))-'Price History'!Q3)*(ROW()-3)/(MATCH(9.99E+307,'Returns (Calc)'!$A:$A)-3),"")</f>
        <v>204.312088607595</v>
      </c>
      <c r="AL24" s="144" t="n">
        <f aca="false">IFERROR('Price History'!R3+(INDEX('Price History'!R:R,MATCH(9.99E+307,'Price History'!$A:$A))-'Price History'!R3)*(ROW()-3)/(MATCH(9.99E+307,'Returns (Calc)'!$A:$A)-3),"")</f>
        <v>41.4641772151899</v>
      </c>
      <c r="AM24" s="144" t="n">
        <f aca="false">IFERROR('Price History'!S3+(INDEX('Price History'!S:S,MATCH(9.99E+307,'Price History'!$A:$A))-'Price History'!S3)*(ROW()-3)/(MATCH(9.99E+307,'Returns (Calc)'!$A:$A)-3),"")</f>
        <v>50.7593670886076</v>
      </c>
      <c r="AN24" s="144" t="n">
        <f aca="false">IFERROR('Price History'!T3+(INDEX('Price History'!T:T,MATCH(9.99E+307,'Price History'!$A:$A))-'Price History'!T3)*(ROW()-3)/(MATCH(9.99E+307,'Returns (Calc)'!$A:$A)-3),"")</f>
        <v>23.3333544303797</v>
      </c>
      <c r="AO24" s="145" t="n">
        <f aca="false">IFERROR('Price History'!V3+(INDEX('Price History'!V:V,MATCH(9.99E+307,'Price History'!$A:$A))-'Price History'!V3)*(ROW()-3)/(MATCH(9.99E+307,'Returns (Calc)'!$A:$A)-3),"")</f>
        <v>0</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-0.00330110822919105</v>
      </c>
      <c r="G25" s="142" t="n">
        <f aca="false">IFERROR(IF(OR(NOT(ISNUMBER('Price History'!G26)),NOT(ISNUMBER('Price History'!G25)),'Price History'!G25=0),"",'Price History'!G26/'Price History'!G25-1),"")</f>
        <v>-0.0539424128295468</v>
      </c>
      <c r="H25" s="142" t="n">
        <f aca="false">IFERROR(IF(OR(NOT(ISNUMBER('Price History'!H26)),NOT(ISNUMBER('Price History'!H25)),'Price History'!H25=0),"",'Price History'!H26/'Price History'!H25-1),"")</f>
        <v>0.0084057694144617</v>
      </c>
      <c r="I25" s="142" t="n">
        <f aca="false">IFERROR(IF(OR(NOT(ISNUMBER('Price History'!I26)),NOT(ISNUMBER('Price History'!I25)),'Price History'!I25=0),"",'Price History'!I26/'Price History'!I25-1),"")</f>
        <v>0.0112480739599381</v>
      </c>
      <c r="J25" s="142" t="n">
        <f aca="false">IFERROR(IF(OR(NOT(ISNUMBER('Price History'!J26)),NOT(ISNUMBER('Price History'!J25)),'Price History'!J25=0),"",'Price History'!J26/'Price History'!J25-1),"")</f>
        <v>0.0817905148364191</v>
      </c>
      <c r="K25" s="142" t="n">
        <f aca="false">IFERROR(IF(OR(NOT(ISNUMBER('Price History'!K26)),NOT(ISNUMBER('Price History'!K25)),'Price History'!K25=0),"",'Price History'!K26/'Price History'!K25-1),"")</f>
        <v>0.0854972375690608</v>
      </c>
      <c r="L25" s="142" t="n">
        <f aca="false">IFERROR(IF(OR(NOT(ISNUMBER('Price History'!L26)),NOT(ISNUMBER('Price History'!L25)),'Price History'!L25=0),"",'Price History'!L26/'Price History'!L25-1),"")</f>
        <v>-0.00131276665572688</v>
      </c>
      <c r="M25" s="142" t="n">
        <f aca="false">IFERROR(IF(OR(NOT(ISNUMBER('Price History'!M26)),NOT(ISNUMBER('Price History'!M25)),'Price History'!M25=0),"",'Price History'!M26/'Price History'!M25-1),"")</f>
        <v>-0.0601472995090018</v>
      </c>
      <c r="N25" s="142" t="n">
        <f aca="false">IFERROR(IF(OR(NOT(ISNUMBER('Price History'!N26)),NOT(ISNUMBER('Price History'!N25)),'Price History'!N25=0),"",'Price History'!N26/'Price History'!N25-1),"")</f>
        <v>0.0116179001721173</v>
      </c>
      <c r="O25" s="142" t="n">
        <f aca="false">IFERROR(IF(OR(NOT(ISNUMBER('Price History'!O26)),NOT(ISNUMBER('Price History'!O25)),'Price History'!O25=0),"",'Price History'!O26/'Price History'!O25-1),"")</f>
        <v>0.022325074870678</v>
      </c>
      <c r="P25" s="142" t="n">
        <f aca="false">IFERROR(IF(OR(NOT(ISNUMBER('Price History'!P26)),NOT(ISNUMBER('Price History'!P25)),'Price History'!P25=0),"",'Price History'!P26/'Price History'!P25-1),"")</f>
        <v>0.0224039247751431</v>
      </c>
      <c r="Q25" s="142" t="n">
        <f aca="false">IFERROR(IF(OR(NOT(ISNUMBER('Price History'!Q26)),NOT(ISNUMBER('Price History'!Q25)),'Price History'!Q25=0),"",'Price History'!Q26/'Price History'!Q25-1),"")</f>
        <v>0.0180707466071623</v>
      </c>
      <c r="R25" s="142" t="n">
        <f aca="false">IFERROR(IF(OR(NOT(ISNUMBER('Price History'!R26)),NOT(ISNUMBER('Price History'!R25)),'Price History'!R25=0),"",'Price History'!R26/'Price History'!R25-1),"")</f>
        <v>0.017825311942959</v>
      </c>
      <c r="S25" s="142" t="n">
        <f aca="false">IFERROR(IF(OR(NOT(ISNUMBER('Price History'!S26)),NOT(ISNUMBER('Price History'!S25)),'Price History'!S25=0),"",'Price History'!S26/'Price History'!S25-1),"")</f>
        <v>0.0210951526032315</v>
      </c>
      <c r="T25" s="142" t="n">
        <f aca="false">IFERROR(IF(OR(NOT(ISNUMBER('Price History'!T26)),NOT(ISNUMBER('Price History'!T25)),'Price History'!T25=0),"",'Price History'!T26/'Price History'!T25-1),"")</f>
        <v>-0.00954400848356307</v>
      </c>
      <c r="U25" s="142" t="str">
        <f aca="false">IFERROR(IF(OR(NOT(ISNUMBER('Price History'!U26)),NOT(ISNUMBER('Price History'!U25)),'Price History'!U25=0),"",'Price History'!U26/'Price History'!U25-1),"")</f>
        <v/>
      </c>
      <c r="V25" s="143" t="n">
        <f aca="false">IFERROR(IF(OR(NOT(ISNUMBER('Price History'!V26)),NOT(ISNUMBER('Price History'!V25)),'Price History'!V25=0),"",'Price History'!V26/'Price History'!V25-1),"")</f>
        <v>0.0255062606276086</v>
      </c>
      <c r="W25" s="144" t="str">
        <f aca="false">IFERROR('Price History'!B3+(INDEX('Price History'!B:B,MATCH(9.99E+307,'Price History'!$A:$A))-'Price History'!B3)*(ROW()-3)/(MATCH(9.99E+307,'Returns (Calc)'!$A:$A)-3),"")</f>
        <v/>
      </c>
      <c r="X25" s="144" t="n">
        <f aca="false">IFERROR('Price History'!C3+(INDEX('Price History'!C:C,MATCH(9.99E+307,'Price History'!$A:$A))-'Price History'!C3)*(ROW()-3)/(MATCH(9.99E+307,'Returns (Calc)'!$A:$A)-3),"")</f>
        <v>39.7498734177215</v>
      </c>
      <c r="Y25" s="144" t="n">
        <f aca="false">IFERROR('Price History'!D3+(INDEX('Price History'!D:D,MATCH(9.99E+307,'Price History'!$A:$A))-'Price History'!D3)*(ROW()-3)/(MATCH(9.99E+307,'Returns (Calc)'!$A:$A)-3),"")</f>
        <v>500.970632911392</v>
      </c>
      <c r="Z25" s="144" t="n">
        <f aca="false">IFERROR('Price History'!E3+(INDEX('Price History'!E:E,MATCH(9.99E+307,'Price History'!$A:$A))-'Price History'!E3)*(ROW()-3)/(MATCH(9.99E+307,'Returns (Calc)'!$A:$A)-3),"")</f>
        <v>70.5822784810127</v>
      </c>
      <c r="AA25" s="144" t="n">
        <f aca="false">IFERROR('Price History'!F3+(INDEX('Price History'!F:F,MATCH(9.99E+307,'Price History'!$A:$A))-'Price History'!F3)*(ROW()-3)/(MATCH(9.99E+307,'Returns (Calc)'!$A:$A)-3),"")</f>
        <v>64.8237974683544</v>
      </c>
      <c r="AB25" s="144" t="n">
        <f aca="false">IFERROR('Price History'!G3+(INDEX('Price History'!G:G,MATCH(9.99E+307,'Price History'!$A:$A))-'Price History'!G3)*(ROW()-3)/(MATCH(9.99E+307,'Returns (Calc)'!$A:$A)-3),"")</f>
        <v>35.6010126582278</v>
      </c>
      <c r="AC25" s="144" t="n">
        <f aca="false">IFERROR('Price History'!H3+(INDEX('Price History'!H:H,MATCH(9.99E+307,'Price History'!$A:$A))-'Price History'!H3)*(ROW()-3)/(MATCH(9.99E+307,'Returns (Calc)'!$A:$A)-3),"")</f>
        <v>86.5837974683544</v>
      </c>
      <c r="AD25" s="144" t="n">
        <f aca="false">IFERROR('Price History'!I3+(INDEX('Price History'!I:I,MATCH(9.99E+307,'Price History'!$A:$A))-'Price History'!I3)*(ROW()-3)/(MATCH(9.99E+307,'Returns (Calc)'!$A:$A)-3),"")</f>
        <v>38.1746835443038</v>
      </c>
      <c r="AE25" s="144" t="n">
        <f aca="false">IFERROR('Price History'!J3+(INDEX('Price History'!J:J,MATCH(9.99E+307,'Price History'!$A:$A))-'Price History'!J3)*(ROW()-3)/(MATCH(9.99E+307,'Returns (Calc)'!$A:$A)-3),"")</f>
        <v>59.4870886075949</v>
      </c>
      <c r="AF25" s="144" t="n">
        <f aca="false">IFERROR('Price History'!K3+(INDEX('Price History'!K:K,MATCH(9.99E+307,'Price History'!$A:$A))-'Price History'!K3)*(ROW()-3)/(MATCH(9.99E+307,'Returns (Calc)'!$A:$A)-3),"")</f>
        <v>37.6754430379747</v>
      </c>
      <c r="AG25" s="144" t="n">
        <f aca="false">IFERROR('Price History'!L3+(INDEX('Price History'!L:L,MATCH(9.99E+307,'Price History'!$A:$A))-'Price History'!L3)*(ROW()-3)/(MATCH(9.99E+307,'Returns (Calc)'!$A:$A)-3),"")</f>
        <v>96.2673417721519</v>
      </c>
      <c r="AH25" s="144" t="n">
        <f aca="false">IFERROR('Price History'!M3+(INDEX('Price History'!M:M,MATCH(9.99E+307,'Price History'!$A:$A))-'Price History'!M3)*(ROW()-3)/(MATCH(9.99E+307,'Returns (Calc)'!$A:$A)-3),"")</f>
        <v>13.1954430379747</v>
      </c>
      <c r="AI25" s="144" t="n">
        <f aca="false">IFERROR('Price History'!N3+(INDEX('Price History'!N:N,MATCH(9.99E+307,'Price History'!$A:$A))-'Price History'!N3)*(ROW()-3)/(MATCH(9.99E+307,'Returns (Calc)'!$A:$A)-3),"")</f>
        <v>18.7645569620253</v>
      </c>
      <c r="AJ25" s="144" t="n">
        <f aca="false">IFERROR('Price History'!O3+(INDEX('Price History'!O:O,MATCH(9.99E+307,'Price History'!$A:$A))-'Price History'!O3)*(ROW()-3)/(MATCH(9.99E+307,'Returns (Calc)'!$A:$A)-3),"")</f>
        <v>49.6055696202532</v>
      </c>
      <c r="AK25" s="144" t="n">
        <f aca="false">IFERROR('Price History'!Q3+(INDEX('Price History'!Q:Q,MATCH(9.99E+307,'Price History'!$A:$A))-'Price History'!Q3)*(ROW()-3)/(MATCH(9.99E+307,'Returns (Calc)'!$A:$A)-3),"")</f>
        <v>202.820759493671</v>
      </c>
      <c r="AL25" s="144" t="n">
        <f aca="false">IFERROR('Price History'!R3+(INDEX('Price History'!R:R,MATCH(9.99E+307,'Price History'!$A:$A))-'Price History'!R3)*(ROW()-3)/(MATCH(9.99E+307,'Returns (Calc)'!$A:$A)-3),"")</f>
        <v>41.1615189873418</v>
      </c>
      <c r="AM25" s="144" t="n">
        <f aca="false">IFERROR('Price History'!S3+(INDEX('Price History'!S:S,MATCH(9.99E+307,'Price History'!$A:$A))-'Price History'!S3)*(ROW()-3)/(MATCH(9.99E+307,'Returns (Calc)'!$A:$A)-3),"")</f>
        <v>50.3888607594937</v>
      </c>
      <c r="AN25" s="144" t="n">
        <f aca="false">IFERROR('Price History'!T3+(INDEX('Price History'!T:T,MATCH(9.99E+307,'Price History'!$A:$A))-'Price History'!T3)*(ROW()-3)/(MATCH(9.99E+307,'Returns (Calc)'!$A:$A)-3),"")</f>
        <v>23.1630379746835</v>
      </c>
      <c r="AO25" s="145" t="n">
        <f aca="false">IFERROR('Price History'!V3+(INDEX('Price History'!V:V,MATCH(9.99E+307,'Price History'!$A:$A))-'Price History'!V3)*(ROW()-3)/(MATCH(9.99E+307,'Returns (Calc)'!$A:$A)-3),"")</f>
        <v>0</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0.0157321977762006</v>
      </c>
      <c r="G26" s="142" t="n">
        <f aca="false">IFERROR(IF(OR(NOT(ISNUMBER('Price History'!G27)),NOT(ISNUMBER('Price History'!G26)),'Price History'!G26=0),"",'Price History'!G27/'Price History'!G26-1),"")</f>
        <v>0.010016694490818</v>
      </c>
      <c r="H26" s="142" t="n">
        <f aca="false">IFERROR(IF(OR(NOT(ISNUMBER('Price History'!H27)),NOT(ISNUMBER('Price History'!H26)),'Price History'!H26=0),"",'Price History'!H27/'Price History'!H26-1),"")</f>
        <v>0.000189447759780359</v>
      </c>
      <c r="I26" s="142" t="n">
        <f aca="false">IFERROR(IF(OR(NOT(ISNUMBER('Price History'!I27)),NOT(ISNUMBER('Price History'!I26)),'Price History'!I26=0),"",'Price History'!I27/'Price History'!I26-1),"")</f>
        <v>0.0729849154350146</v>
      </c>
      <c r="J26" s="142" t="n">
        <f aca="false">IFERROR(IF(OR(NOT(ISNUMBER('Price History'!J27)),NOT(ISNUMBER('Price History'!J26)),'Price History'!J26=0),"",'Price History'!J27/'Price History'!J26-1),"")</f>
        <v>0.106318133864729</v>
      </c>
      <c r="K26" s="142" t="n">
        <f aca="false">IFERROR(IF(OR(NOT(ISNUMBER('Price History'!K27)),NOT(ISNUMBER('Price History'!K26)),'Price History'!K26=0),"",'Price History'!K27/'Price History'!K26-1),"")</f>
        <v>0.0438987148492176</v>
      </c>
      <c r="L26" s="142" t="n">
        <f aca="false">IFERROR(IF(OR(NOT(ISNUMBER('Price History'!L27)),NOT(ISNUMBER('Price History'!L26)),'Price History'!L26=0),"",'Price History'!L27/'Price History'!L26-1),"")</f>
        <v>0.0104337824515282</v>
      </c>
      <c r="M26" s="142" t="n">
        <f aca="false">IFERROR(IF(OR(NOT(ISNUMBER('Price History'!M27)),NOT(ISNUMBER('Price History'!M26)),'Price History'!M26=0),"",'Price History'!M27/'Price History'!M26-1),"")</f>
        <v>0.0853286895951242</v>
      </c>
      <c r="N26" s="142" t="n">
        <f aca="false">IFERROR(IF(OR(NOT(ISNUMBER('Price History'!N27)),NOT(ISNUMBER('Price History'!N26)),'Price History'!N26=0),"",'Price History'!N27/'Price History'!N26-1),"")</f>
        <v>0.00340280731603571</v>
      </c>
      <c r="O26" s="142" t="n">
        <f aca="false">IFERROR(IF(OR(NOT(ISNUMBER('Price History'!O27)),NOT(ISNUMBER('Price History'!O26)),'Price History'!O26=0),"",'Price History'!O27/'Price History'!O26-1),"")</f>
        <v>0.0280958721704394</v>
      </c>
      <c r="P26" s="142" t="n">
        <f aca="false">IFERROR(IF(OR(NOT(ISNUMBER('Price History'!P27)),NOT(ISNUMBER('Price History'!P26)),'Price History'!P26=0),"",'Price History'!P27/'Price History'!P26-1),"")</f>
        <v>0.0337492002559179</v>
      </c>
      <c r="Q26" s="142" t="n">
        <f aca="false">IFERROR(IF(OR(NOT(ISNUMBER('Price History'!Q27)),NOT(ISNUMBER('Price History'!Q26)),'Price History'!Q26=0),"",'Price History'!Q27/'Price History'!Q26-1),"")</f>
        <v>-0.00154503970392728</v>
      </c>
      <c r="R26" s="142" t="n">
        <f aca="false">IFERROR(IF(OR(NOT(ISNUMBER('Price History'!R27)),NOT(ISNUMBER('Price History'!R26)),'Price History'!R26=0),"",'Price History'!R27/'Price History'!R26-1),"")</f>
        <v>0.00778361548939488</v>
      </c>
      <c r="S26" s="142" t="n">
        <f aca="false">IFERROR(IF(OR(NOT(ISNUMBER('Price History'!S27)),NOT(ISNUMBER('Price History'!S26)),'Price History'!S26=0),"",'Price History'!S27/'Price History'!S26-1),"")</f>
        <v>0.0161172161172161</v>
      </c>
      <c r="T26" s="142" t="n">
        <f aca="false">IFERROR(IF(OR(NOT(ISNUMBER('Price History'!T27)),NOT(ISNUMBER('Price History'!T26)),'Price History'!T26=0),"",'Price History'!T27/'Price History'!T26-1),"")</f>
        <v>0.00820842255531762</v>
      </c>
      <c r="U26" s="142" t="str">
        <f aca="false">IFERROR(IF(OR(NOT(ISNUMBER('Price History'!U27)),NOT(ISNUMBER('Price History'!U26)),'Price History'!U26=0),"",'Price History'!U27/'Price History'!U26-1),"")</f>
        <v/>
      </c>
      <c r="V26" s="143" t="n">
        <f aca="false">IFERROR(IF(OR(NOT(ISNUMBER('Price History'!V27)),NOT(ISNUMBER('Price History'!V26)),'Price History'!V26=0),"",'Price History'!V27/'Price History'!V26-1),"")</f>
        <v>-0.0109285498944831</v>
      </c>
      <c r="W26" s="144" t="str">
        <f aca="false">IFERROR('Price History'!B3+(INDEX('Price History'!B:B,MATCH(9.99E+307,'Price History'!$A:$A))-'Price History'!B3)*(ROW()-3)/(MATCH(9.99E+307,'Returns (Calc)'!$A:$A)-3),"")</f>
        <v/>
      </c>
      <c r="X26" s="144" t="n">
        <f aca="false">IFERROR('Price History'!C3+(INDEX('Price History'!C:C,MATCH(9.99E+307,'Price History'!$A:$A))-'Price History'!C3)*(ROW()-3)/(MATCH(9.99E+307,'Returns (Calc)'!$A:$A)-3),"")</f>
        <v>39.4575949367089</v>
      </c>
      <c r="Y26" s="144" t="n">
        <f aca="false">IFERROR('Price History'!D3+(INDEX('Price History'!D:D,MATCH(9.99E+307,'Price History'!$A:$A))-'Price History'!D3)*(ROW()-3)/(MATCH(9.99E+307,'Returns (Calc)'!$A:$A)-3),"")</f>
        <v>497.287025316456</v>
      </c>
      <c r="Z26" s="144" t="n">
        <f aca="false">IFERROR('Price History'!E3+(INDEX('Price History'!E:E,MATCH(9.99E+307,'Price History'!$A:$A))-'Price History'!E3)*(ROW()-3)/(MATCH(9.99E+307,'Returns (Calc)'!$A:$A)-3),"")</f>
        <v>70.0632911392405</v>
      </c>
      <c r="AA26" s="144" t="n">
        <f aca="false">IFERROR('Price History'!F3+(INDEX('Price History'!F:F,MATCH(9.99E+307,'Price History'!$A:$A))-'Price History'!F3)*(ROW()-3)/(MATCH(9.99E+307,'Returns (Calc)'!$A:$A)-3),"")</f>
        <v>64.3471518987342</v>
      </c>
      <c r="AB26" s="144" t="n">
        <f aca="false">IFERROR('Price History'!G3+(INDEX('Price History'!G:G,MATCH(9.99E+307,'Price History'!$A:$A))-'Price History'!G3)*(ROW()-3)/(MATCH(9.99E+307,'Returns (Calc)'!$A:$A)-3),"")</f>
        <v>35.3392405063291</v>
      </c>
      <c r="AC26" s="144" t="n">
        <f aca="false">IFERROR('Price History'!H3+(INDEX('Price History'!H:H,MATCH(9.99E+307,'Price History'!$A:$A))-'Price History'!H3)*(ROW()-3)/(MATCH(9.99E+307,'Returns (Calc)'!$A:$A)-3),"")</f>
        <v>85.9471518987342</v>
      </c>
      <c r="AD26" s="144" t="n">
        <f aca="false">IFERROR('Price History'!I3+(INDEX('Price History'!I:I,MATCH(9.99E+307,'Price History'!$A:$A))-'Price History'!I3)*(ROW()-3)/(MATCH(9.99E+307,'Returns (Calc)'!$A:$A)-3),"")</f>
        <v>37.8939873417722</v>
      </c>
      <c r="AE26" s="144" t="n">
        <f aca="false">IFERROR('Price History'!J3+(INDEX('Price History'!J:J,MATCH(9.99E+307,'Price History'!$A:$A))-'Price History'!J3)*(ROW()-3)/(MATCH(9.99E+307,'Returns (Calc)'!$A:$A)-3),"")</f>
        <v>59.0496835443038</v>
      </c>
      <c r="AF26" s="144" t="n">
        <f aca="false">IFERROR('Price History'!K3+(INDEX('Price History'!K:K,MATCH(9.99E+307,'Price History'!$A:$A))-'Price History'!K3)*(ROW()-3)/(MATCH(9.99E+307,'Returns (Calc)'!$A:$A)-3),"")</f>
        <v>37.398417721519</v>
      </c>
      <c r="AG26" s="144" t="n">
        <f aca="false">IFERROR('Price History'!L3+(INDEX('Price History'!L:L,MATCH(9.99E+307,'Price History'!$A:$A))-'Price History'!L3)*(ROW()-3)/(MATCH(9.99E+307,'Returns (Calc)'!$A:$A)-3),"")</f>
        <v>95.5594936708861</v>
      </c>
      <c r="AH26" s="144" t="n">
        <f aca="false">IFERROR('Price History'!M3+(INDEX('Price History'!M:M,MATCH(9.99E+307,'Price History'!$A:$A))-'Price History'!M3)*(ROW()-3)/(MATCH(9.99E+307,'Returns (Calc)'!$A:$A)-3),"")</f>
        <v>13.098417721519</v>
      </c>
      <c r="AI26" s="144" t="n">
        <f aca="false">IFERROR('Price History'!N3+(INDEX('Price History'!N:N,MATCH(9.99E+307,'Price History'!$A:$A))-'Price History'!N3)*(ROW()-3)/(MATCH(9.99E+307,'Returns (Calc)'!$A:$A)-3),"")</f>
        <v>18.626582278481</v>
      </c>
      <c r="AJ26" s="144" t="n">
        <f aca="false">IFERROR('Price History'!O3+(INDEX('Price History'!O:O,MATCH(9.99E+307,'Price History'!$A:$A))-'Price History'!O3)*(ROW()-3)/(MATCH(9.99E+307,'Returns (Calc)'!$A:$A)-3),"")</f>
        <v>49.2408227848101</v>
      </c>
      <c r="AK26" s="144" t="n">
        <f aca="false">IFERROR('Price History'!Q3+(INDEX('Price History'!Q:Q,MATCH(9.99E+307,'Price History'!$A:$A))-'Price History'!Q3)*(ROW()-3)/(MATCH(9.99E+307,'Returns (Calc)'!$A:$A)-3),"")</f>
        <v>201.329430379747</v>
      </c>
      <c r="AL26" s="144" t="n">
        <f aca="false">IFERROR('Price History'!R3+(INDEX('Price History'!R:R,MATCH(9.99E+307,'Price History'!$A:$A))-'Price History'!R3)*(ROW()-3)/(MATCH(9.99E+307,'Returns (Calc)'!$A:$A)-3),"")</f>
        <v>40.8588607594937</v>
      </c>
      <c r="AM26" s="144" t="n">
        <f aca="false">IFERROR('Price History'!S3+(INDEX('Price History'!S:S,MATCH(9.99E+307,'Price History'!$A:$A))-'Price History'!S3)*(ROW()-3)/(MATCH(9.99E+307,'Returns (Calc)'!$A:$A)-3),"")</f>
        <v>50.0183544303797</v>
      </c>
      <c r="AN26" s="144" t="n">
        <f aca="false">IFERROR('Price History'!T3+(INDEX('Price History'!T:T,MATCH(9.99E+307,'Price History'!$A:$A))-'Price History'!T3)*(ROW()-3)/(MATCH(9.99E+307,'Returns (Calc)'!$A:$A)-3),"")</f>
        <v>22.9927215189873</v>
      </c>
      <c r="AO26" s="145" t="n">
        <f aca="false">IFERROR('Price History'!V3+(INDEX('Price History'!V:V,MATCH(9.99E+307,'Price History'!$A:$A))-'Price History'!V3)*(ROW()-3)/(MATCH(9.99E+307,'Returns (Calc)'!$A:$A)-3),"")</f>
        <v>0</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0.00116455106556423</v>
      </c>
      <c r="G27" s="142" t="n">
        <f aca="false">IFERROR(IF(OR(NOT(ISNUMBER('Price History'!G28)),NOT(ISNUMBER('Price History'!G27)),'Price History'!G27=0),"",'Price History'!G28/'Price History'!G27-1),"")</f>
        <v>0.0261919898283534</v>
      </c>
      <c r="H27" s="142" t="n">
        <f aca="false">IFERROR(IF(OR(NOT(ISNUMBER('Price History'!H28)),NOT(ISNUMBER('Price History'!H27)),'Price History'!H27=0),"",'Price History'!H28/'Price History'!H27-1),"")</f>
        <v>0.0267070745335731</v>
      </c>
      <c r="I27" s="142" t="n">
        <f aca="false">IFERROR(IF(OR(NOT(ISNUMBER('Price History'!I28)),NOT(ISNUMBER('Price History'!I27)),'Price History'!I27=0),"",'Price History'!I28/'Price History'!I27-1),"")</f>
        <v>-0.0255609201931269</v>
      </c>
      <c r="J27" s="142" t="n">
        <f aca="false">IFERROR(IF(OR(NOT(ISNUMBER('Price History'!J28)),NOT(ISNUMBER('Price History'!J27)),'Price History'!J27=0),"",'Price History'!J28/'Price History'!J27-1),"")</f>
        <v>0.0259588895952532</v>
      </c>
      <c r="K27" s="142" t="n">
        <f aca="false">IFERROR(IF(OR(NOT(ISNUMBER('Price History'!K28)),NOT(ISNUMBER('Price History'!K27)),'Price History'!K27=0),"",'Price History'!K28/'Price History'!K27-1),"")</f>
        <v>0.0638712823013163</v>
      </c>
      <c r="L27" s="142" t="n">
        <f aca="false">IFERROR(IF(OR(NOT(ISNUMBER('Price History'!L28)),NOT(ISNUMBER('Price History'!L27)),'Price History'!L27=0),"",'Price History'!L28/'Price History'!L27-1),"")</f>
        <v>0.00349621920481336</v>
      </c>
      <c r="M27" s="142" t="n">
        <f aca="false">IFERROR(IF(OR(NOT(ISNUMBER('Price History'!M28)),NOT(ISNUMBER('Price History'!M27)),'Price History'!M27=0),"",'Price History'!M28/'Price History'!M27-1),"")</f>
        <v>0.0445246690734056</v>
      </c>
      <c r="N27" s="142" t="n">
        <f aca="false">IFERROR(IF(OR(NOT(ISNUMBER('Price History'!N28)),NOT(ISNUMBER('Price History'!N27)),'Price History'!N27=0),"",'Price History'!N28/'Price History'!N27-1),"")</f>
        <v>0.00339126748622309</v>
      </c>
      <c r="O27" s="142" t="n">
        <f aca="false">IFERROR(IF(OR(NOT(ISNUMBER('Price History'!O28)),NOT(ISNUMBER('Price History'!O27)),'Price History'!O27=0),"",'Price History'!O28/'Price History'!O27-1),"")</f>
        <v>0.00388550705867141</v>
      </c>
      <c r="P27" s="142" t="n">
        <f aca="false">IFERROR(IF(OR(NOT(ISNUMBER('Price History'!P28)),NOT(ISNUMBER('Price History'!P27)),'Price History'!P27=0),"",'Price History'!P28/'Price History'!P27-1),"")</f>
        <v>0.0931455980194957</v>
      </c>
      <c r="Q27" s="142" t="n">
        <f aca="false">IFERROR(IF(OR(NOT(ISNUMBER('Price History'!Q28)),NOT(ISNUMBER('Price History'!Q27)),'Price History'!Q27=0),"",'Price History'!Q28/'Price History'!Q27-1),"")</f>
        <v>-0.0110119476032819</v>
      </c>
      <c r="R27" s="142" t="n">
        <f aca="false">IFERROR(IF(OR(NOT(ISNUMBER('Price History'!R28)),NOT(ISNUMBER('Price History'!R27)),'Price History'!R27=0),"",'Price History'!R28/'Price History'!R27-1),"")</f>
        <v>0.00289631202934926</v>
      </c>
      <c r="S27" s="142" t="n">
        <f aca="false">IFERROR(IF(OR(NOT(ISNUMBER('Price History'!S28)),NOT(ISNUMBER('Price History'!S27)),'Price History'!S27=0),"",'Price History'!S28/'Price History'!S27-1),"")</f>
        <v>0.0457101658255228</v>
      </c>
      <c r="T27" s="142" t="n">
        <f aca="false">IFERROR(IF(OR(NOT(ISNUMBER('Price History'!T28)),NOT(ISNUMBER('Price History'!T27)),'Price History'!T27=0),"",'Price History'!T28/'Price History'!T27-1),"")</f>
        <v>0.00955752212389371</v>
      </c>
      <c r="U27" s="142" t="str">
        <f aca="false">IFERROR(IF(OR(NOT(ISNUMBER('Price History'!U28)),NOT(ISNUMBER('Price History'!U27)),'Price History'!U27=0),"",'Price History'!U28/'Price History'!U27-1),"")</f>
        <v/>
      </c>
      <c r="V27" s="143" t="n">
        <f aca="false">IFERROR(IF(OR(NOT(ISNUMBER('Price History'!V28)),NOT(ISNUMBER('Price History'!V27)),'Price History'!V27=0),"",'Price History'!V28/'Price History'!V27-1),"")</f>
        <v>0.0344814447915873</v>
      </c>
      <c r="W27" s="144" t="str">
        <f aca="false">IFERROR('Price History'!B3+(INDEX('Price History'!B:B,MATCH(9.99E+307,'Price History'!$A:$A))-'Price History'!B3)*(ROW()-3)/(MATCH(9.99E+307,'Returns (Calc)'!$A:$A)-3),"")</f>
        <v/>
      </c>
      <c r="X27" s="144" t="n">
        <f aca="false">IFERROR('Price History'!C3+(INDEX('Price History'!C:C,MATCH(9.99E+307,'Price History'!$A:$A))-'Price History'!C3)*(ROW()-3)/(MATCH(9.99E+307,'Returns (Calc)'!$A:$A)-3),"")</f>
        <v>39.1653164556962</v>
      </c>
      <c r="Y27" s="144" t="n">
        <f aca="false">IFERROR('Price History'!D3+(INDEX('Price History'!D:D,MATCH(9.99E+307,'Price History'!$A:$A))-'Price History'!D3)*(ROW()-3)/(MATCH(9.99E+307,'Returns (Calc)'!$A:$A)-3),"")</f>
        <v>493.603417721519</v>
      </c>
      <c r="Z27" s="144" t="n">
        <f aca="false">IFERROR('Price History'!E3+(INDEX('Price History'!E:E,MATCH(9.99E+307,'Price History'!$A:$A))-'Price History'!E3)*(ROW()-3)/(MATCH(9.99E+307,'Returns (Calc)'!$A:$A)-3),"")</f>
        <v>69.5443037974684</v>
      </c>
      <c r="AA27" s="144" t="n">
        <f aca="false">IFERROR('Price History'!F3+(INDEX('Price History'!F:F,MATCH(9.99E+307,'Price History'!$A:$A))-'Price History'!F3)*(ROW()-3)/(MATCH(9.99E+307,'Returns (Calc)'!$A:$A)-3),"")</f>
        <v>63.8705063291139</v>
      </c>
      <c r="AB27" s="144" t="n">
        <f aca="false">IFERROR('Price History'!G3+(INDEX('Price History'!G:G,MATCH(9.99E+307,'Price History'!$A:$A))-'Price History'!G3)*(ROW()-3)/(MATCH(9.99E+307,'Returns (Calc)'!$A:$A)-3),"")</f>
        <v>35.0774683544304</v>
      </c>
      <c r="AC27" s="144" t="n">
        <f aca="false">IFERROR('Price History'!H3+(INDEX('Price History'!H:H,MATCH(9.99E+307,'Price History'!$A:$A))-'Price History'!H3)*(ROW()-3)/(MATCH(9.99E+307,'Returns (Calc)'!$A:$A)-3),"")</f>
        <v>85.3105063291139</v>
      </c>
      <c r="AD27" s="144" t="n">
        <f aca="false">IFERROR('Price History'!I3+(INDEX('Price History'!I:I,MATCH(9.99E+307,'Price History'!$A:$A))-'Price History'!I3)*(ROW()-3)/(MATCH(9.99E+307,'Returns (Calc)'!$A:$A)-3),"")</f>
        <v>37.6132911392405</v>
      </c>
      <c r="AE27" s="144" t="n">
        <f aca="false">IFERROR('Price History'!J3+(INDEX('Price History'!J:J,MATCH(9.99E+307,'Price History'!$A:$A))-'Price History'!J3)*(ROW()-3)/(MATCH(9.99E+307,'Returns (Calc)'!$A:$A)-3),"")</f>
        <v>58.6122784810127</v>
      </c>
      <c r="AF27" s="144" t="n">
        <f aca="false">IFERROR('Price History'!K3+(INDEX('Price History'!K:K,MATCH(9.99E+307,'Price History'!$A:$A))-'Price History'!K3)*(ROW()-3)/(MATCH(9.99E+307,'Returns (Calc)'!$A:$A)-3),"")</f>
        <v>37.1213924050633</v>
      </c>
      <c r="AG27" s="144" t="n">
        <f aca="false">IFERROR('Price History'!L3+(INDEX('Price History'!L:L,MATCH(9.99E+307,'Price History'!$A:$A))-'Price History'!L3)*(ROW()-3)/(MATCH(9.99E+307,'Returns (Calc)'!$A:$A)-3),"")</f>
        <v>94.8516455696203</v>
      </c>
      <c r="AH27" s="144" t="n">
        <f aca="false">IFERROR('Price History'!M3+(INDEX('Price History'!M:M,MATCH(9.99E+307,'Price History'!$A:$A))-'Price History'!M3)*(ROW()-3)/(MATCH(9.99E+307,'Returns (Calc)'!$A:$A)-3),"")</f>
        <v>13.0013924050633</v>
      </c>
      <c r="AI27" s="144" t="n">
        <f aca="false">IFERROR('Price History'!N3+(INDEX('Price History'!N:N,MATCH(9.99E+307,'Price History'!$A:$A))-'Price History'!N3)*(ROW()-3)/(MATCH(9.99E+307,'Returns (Calc)'!$A:$A)-3),"")</f>
        <v>18.4886075949367</v>
      </c>
      <c r="AJ27" s="144" t="n">
        <f aca="false">IFERROR('Price History'!O3+(INDEX('Price History'!O:O,MATCH(9.99E+307,'Price History'!$A:$A))-'Price History'!O3)*(ROW()-3)/(MATCH(9.99E+307,'Returns (Calc)'!$A:$A)-3),"")</f>
        <v>48.8760759493671</v>
      </c>
      <c r="AK27" s="144" t="n">
        <f aca="false">IFERROR('Price History'!Q3+(INDEX('Price History'!Q:Q,MATCH(9.99E+307,'Price History'!$A:$A))-'Price History'!Q3)*(ROW()-3)/(MATCH(9.99E+307,'Returns (Calc)'!$A:$A)-3),"")</f>
        <v>199.838101265823</v>
      </c>
      <c r="AL27" s="144" t="n">
        <f aca="false">IFERROR('Price History'!R3+(INDEX('Price History'!R:R,MATCH(9.99E+307,'Price History'!$A:$A))-'Price History'!R3)*(ROW()-3)/(MATCH(9.99E+307,'Returns (Calc)'!$A:$A)-3),"")</f>
        <v>40.5562025316456</v>
      </c>
      <c r="AM27" s="144" t="n">
        <f aca="false">IFERROR('Price History'!S3+(INDEX('Price History'!S:S,MATCH(9.99E+307,'Price History'!$A:$A))-'Price History'!S3)*(ROW()-3)/(MATCH(9.99E+307,'Returns (Calc)'!$A:$A)-3),"")</f>
        <v>49.6478481012658</v>
      </c>
      <c r="AN27" s="144" t="n">
        <f aca="false">IFERROR('Price History'!T3+(INDEX('Price History'!T:T,MATCH(9.99E+307,'Price History'!$A:$A))-'Price History'!T3)*(ROW()-3)/(MATCH(9.99E+307,'Returns (Calc)'!$A:$A)-3),"")</f>
        <v>22.8224050632911</v>
      </c>
      <c r="AO27" s="145" t="n">
        <f aca="false">IFERROR('Price History'!V3+(INDEX('Price History'!V:V,MATCH(9.99E+307,'Price History'!$A:$A))-'Price History'!V3)*(ROW()-3)/(MATCH(9.99E+307,'Returns (Calc)'!$A:$A)-3),"")</f>
        <v>0</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-0.00849133418634407</v>
      </c>
      <c r="G28" s="142" t="n">
        <f aca="false">IFERROR(IF(OR(NOT(ISNUMBER('Price History'!G29)),NOT(ISNUMBER('Price History'!G28)),'Price History'!G28=0),"",'Price History'!G29/'Price History'!G28-1),"")</f>
        <v>-0.0223020691364143</v>
      </c>
      <c r="H28" s="142" t="n">
        <f aca="false">IFERROR(IF(OR(NOT(ISNUMBER('Price History'!H29)),NOT(ISNUMBER('Price History'!H28)),'Price History'!H28=0),"",'Price History'!H29/'Price History'!H28-1),"")</f>
        <v>-0.0032284844571534</v>
      </c>
      <c r="I28" s="142" t="n">
        <f aca="false">IFERROR(IF(OR(NOT(ISNUMBER('Price History'!I29)),NOT(ISNUMBER('Price History'!I28)),'Price History'!I28=0),"",'Price History'!I29/'Price History'!I28-1),"")</f>
        <v>-0.0220052462838823</v>
      </c>
      <c r="J28" s="142" t="n">
        <f aca="false">IFERROR(IF(OR(NOT(ISNUMBER('Price History'!J29)),NOT(ISNUMBER('Price History'!J28)),'Price History'!J28=0),"",'Price History'!J29/'Price History'!J28-1),"")</f>
        <v>-0.044717546215016</v>
      </c>
      <c r="K28" s="142" t="n">
        <f aca="false">IFERROR(IF(OR(NOT(ISNUMBER('Price History'!K29)),NOT(ISNUMBER('Price History'!K28)),'Price History'!K28=0),"",'Price History'!K29/'Price History'!K28-1),"")</f>
        <v>0.00355178735105421</v>
      </c>
      <c r="L28" s="142" t="n">
        <f aca="false">IFERROR(IF(OR(NOT(ISNUMBER('Price History'!L29)),NOT(ISNUMBER('Price History'!L28)),'Price History'!L28=0),"",'Price History'!L29/'Price History'!L28-1),"")</f>
        <v>-0.037757251660995</v>
      </c>
      <c r="M28" s="142" t="n">
        <f aca="false">IFERROR(IF(OR(NOT(ISNUMBER('Price History'!M29)),NOT(ISNUMBER('Price History'!M28)),'Price History'!M28=0),"",'Price History'!M29/'Price History'!M28-1),"")</f>
        <v>-0.097926267281106</v>
      </c>
      <c r="N28" s="142" t="n">
        <f aca="false">IFERROR(IF(OR(NOT(ISNUMBER('Price History'!N29)),NOT(ISNUMBER('Price History'!N28)),'Price History'!N28=0),"",'Price History'!N29/'Price History'!N28-1),"")</f>
        <v>0.00168990283058723</v>
      </c>
      <c r="O28" s="142" t="n">
        <f aca="false">IFERROR(IF(OR(NOT(ISNUMBER('Price History'!O29)),NOT(ISNUMBER('Price History'!O28)),'Price History'!O28=0),"",'Price History'!O29/'Price History'!O28-1),"")</f>
        <v>-0.00516062443555676</v>
      </c>
      <c r="P28" s="142" t="n">
        <f aca="false">IFERROR(IF(OR(NOT(ISNUMBER('Price History'!P29)),NOT(ISNUMBER('Price History'!P28)),'Price History'!P28=0),"",'Price History'!P29/'Price History'!P28-1),"")</f>
        <v>-0.0641896673743809</v>
      </c>
      <c r="Q28" s="142" t="n">
        <f aca="false">IFERROR(IF(OR(NOT(ISNUMBER('Price History'!Q29)),NOT(ISNUMBER('Price History'!Q28)),'Price History'!Q28=0),"",'Price History'!Q29/'Price History'!Q28-1),"")</f>
        <v>0.0106979113601631</v>
      </c>
      <c r="R28" s="142" t="n">
        <f aca="false">IFERROR(IF(OR(NOT(ISNUMBER('Price History'!R29)),NOT(ISNUMBER('Price History'!R28)),'Price History'!R28=0),"",'Price History'!R29/'Price History'!R28-1),"")</f>
        <v>0.0105891413169041</v>
      </c>
      <c r="S28" s="142" t="n">
        <f aca="false">IFERROR(IF(OR(NOT(ISNUMBER('Price History'!S29)),NOT(ISNUMBER('Price History'!S28)),'Price History'!S28=0),"",'Price History'!S29/'Price History'!S28-1),"")</f>
        <v>0.0238554881412025</v>
      </c>
      <c r="T28" s="142" t="n">
        <f aca="false">IFERROR(IF(OR(NOT(ISNUMBER('Price History'!T29)),NOT(ISNUMBER('Price History'!T28)),'Price History'!T28=0),"",'Price History'!T29/'Price History'!T28-1),"")</f>
        <v>0.0038569424964936</v>
      </c>
      <c r="U28" s="142" t="str">
        <f aca="false">IFERROR(IF(OR(NOT(ISNUMBER('Price History'!U29)),NOT(ISNUMBER('Price History'!U28)),'Price History'!U28=0),"",'Price History'!U29/'Price History'!U28-1),"")</f>
        <v/>
      </c>
      <c r="V28" s="143" t="n">
        <f aca="false">IFERROR(IF(OR(NOT(ISNUMBER('Price History'!V29)),NOT(ISNUMBER('Price History'!V28)),'Price History'!V28=0),"",'Price History'!V29/'Price History'!V28-1),"")</f>
        <v>-0.000847114286766648</v>
      </c>
      <c r="W28" s="144" t="str">
        <f aca="false">IFERROR('Price History'!B3+(INDEX('Price History'!B:B,MATCH(9.99E+307,'Price History'!$A:$A))-'Price History'!B3)*(ROW()-3)/(MATCH(9.99E+307,'Returns (Calc)'!$A:$A)-3),"")</f>
        <v/>
      </c>
      <c r="X28" s="144" t="n">
        <f aca="false">IFERROR('Price History'!C3+(INDEX('Price History'!C:C,MATCH(9.99E+307,'Price History'!$A:$A))-'Price History'!C3)*(ROW()-3)/(MATCH(9.99E+307,'Returns (Calc)'!$A:$A)-3),"")</f>
        <v>38.8730379746835</v>
      </c>
      <c r="Y28" s="144" t="n">
        <f aca="false">IFERROR('Price History'!D3+(INDEX('Price History'!D:D,MATCH(9.99E+307,'Price History'!$A:$A))-'Price History'!D3)*(ROW()-3)/(MATCH(9.99E+307,'Returns (Calc)'!$A:$A)-3),"")</f>
        <v>489.919810126582</v>
      </c>
      <c r="Z28" s="144" t="n">
        <f aca="false">IFERROR('Price History'!E3+(INDEX('Price History'!E:E,MATCH(9.99E+307,'Price History'!$A:$A))-'Price History'!E3)*(ROW()-3)/(MATCH(9.99E+307,'Returns (Calc)'!$A:$A)-3),"")</f>
        <v>69.0253164556962</v>
      </c>
      <c r="AA28" s="144" t="n">
        <f aca="false">IFERROR('Price History'!F3+(INDEX('Price History'!F:F,MATCH(9.99E+307,'Price History'!$A:$A))-'Price History'!F3)*(ROW()-3)/(MATCH(9.99E+307,'Returns (Calc)'!$A:$A)-3),"")</f>
        <v>63.3938607594937</v>
      </c>
      <c r="AB28" s="144" t="n">
        <f aca="false">IFERROR('Price History'!G3+(INDEX('Price History'!G:G,MATCH(9.99E+307,'Price History'!$A:$A))-'Price History'!G3)*(ROW()-3)/(MATCH(9.99E+307,'Returns (Calc)'!$A:$A)-3),"")</f>
        <v>34.8156962025317</v>
      </c>
      <c r="AC28" s="144" t="n">
        <f aca="false">IFERROR('Price History'!H3+(INDEX('Price History'!H:H,MATCH(9.99E+307,'Price History'!$A:$A))-'Price History'!H3)*(ROW()-3)/(MATCH(9.99E+307,'Returns (Calc)'!$A:$A)-3),"")</f>
        <v>84.6738607594937</v>
      </c>
      <c r="AD28" s="144" t="n">
        <f aca="false">IFERROR('Price History'!I3+(INDEX('Price History'!I:I,MATCH(9.99E+307,'Price History'!$A:$A))-'Price History'!I3)*(ROW()-3)/(MATCH(9.99E+307,'Returns (Calc)'!$A:$A)-3),"")</f>
        <v>37.3325949367089</v>
      </c>
      <c r="AE28" s="144" t="n">
        <f aca="false">IFERROR('Price History'!J3+(INDEX('Price History'!J:J,MATCH(9.99E+307,'Price History'!$A:$A))-'Price History'!J3)*(ROW()-3)/(MATCH(9.99E+307,'Returns (Calc)'!$A:$A)-3),"")</f>
        <v>58.1748734177215</v>
      </c>
      <c r="AF28" s="144" t="n">
        <f aca="false">IFERROR('Price History'!K3+(INDEX('Price History'!K:K,MATCH(9.99E+307,'Price History'!$A:$A))-'Price History'!K3)*(ROW()-3)/(MATCH(9.99E+307,'Returns (Calc)'!$A:$A)-3),"")</f>
        <v>36.8443670886076</v>
      </c>
      <c r="AG28" s="144" t="n">
        <f aca="false">IFERROR('Price History'!L3+(INDEX('Price History'!L:L,MATCH(9.99E+307,'Price History'!$A:$A))-'Price History'!L3)*(ROW()-3)/(MATCH(9.99E+307,'Returns (Calc)'!$A:$A)-3),"")</f>
        <v>94.1437974683544</v>
      </c>
      <c r="AH28" s="144" t="n">
        <f aca="false">IFERROR('Price History'!M3+(INDEX('Price History'!M:M,MATCH(9.99E+307,'Price History'!$A:$A))-'Price History'!M3)*(ROW()-3)/(MATCH(9.99E+307,'Returns (Calc)'!$A:$A)-3),"")</f>
        <v>12.9043670886076</v>
      </c>
      <c r="AI28" s="144" t="n">
        <f aca="false">IFERROR('Price History'!N3+(INDEX('Price History'!N:N,MATCH(9.99E+307,'Price History'!$A:$A))-'Price History'!N3)*(ROW()-3)/(MATCH(9.99E+307,'Returns (Calc)'!$A:$A)-3),"")</f>
        <v>18.3506329113924</v>
      </c>
      <c r="AJ28" s="144" t="n">
        <f aca="false">IFERROR('Price History'!O3+(INDEX('Price History'!O:O,MATCH(9.99E+307,'Price History'!$A:$A))-'Price History'!O3)*(ROW()-3)/(MATCH(9.99E+307,'Returns (Calc)'!$A:$A)-3),"")</f>
        <v>48.5113291139241</v>
      </c>
      <c r="AK28" s="144" t="n">
        <f aca="false">IFERROR('Price History'!Q3+(INDEX('Price History'!Q:Q,MATCH(9.99E+307,'Price History'!$A:$A))-'Price History'!Q3)*(ROW()-3)/(MATCH(9.99E+307,'Returns (Calc)'!$A:$A)-3),"")</f>
        <v>198.346772151899</v>
      </c>
      <c r="AL28" s="144" t="n">
        <f aca="false">IFERROR('Price History'!R3+(INDEX('Price History'!R:R,MATCH(9.99E+307,'Price History'!$A:$A))-'Price History'!R3)*(ROW()-3)/(MATCH(9.99E+307,'Returns (Calc)'!$A:$A)-3),"")</f>
        <v>40.2535443037975</v>
      </c>
      <c r="AM28" s="144" t="n">
        <f aca="false">IFERROR('Price History'!S3+(INDEX('Price History'!S:S,MATCH(9.99E+307,'Price History'!$A:$A))-'Price History'!S3)*(ROW()-3)/(MATCH(9.99E+307,'Returns (Calc)'!$A:$A)-3),"")</f>
        <v>49.2773417721519</v>
      </c>
      <c r="AN28" s="144" t="n">
        <f aca="false">IFERROR('Price History'!T3+(INDEX('Price History'!T:T,MATCH(9.99E+307,'Price History'!$A:$A))-'Price History'!T3)*(ROW()-3)/(MATCH(9.99E+307,'Returns (Calc)'!$A:$A)-3),"")</f>
        <v>22.6520886075949</v>
      </c>
      <c r="AO28" s="145" t="n">
        <f aca="false">IFERROR('Price History'!V3+(INDEX('Price History'!V:V,MATCH(9.99E+307,'Price History'!$A:$A))-'Price History'!V3)*(ROW()-3)/(MATCH(9.99E+307,'Returns (Calc)'!$A:$A)-3),"")</f>
        <v>0</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0.0273345847020179</v>
      </c>
      <c r="G29" s="142" t="n">
        <f aca="false">IFERROR(IF(OR(NOT(ISNUMBER('Price History'!G30)),NOT(ISNUMBER('Price History'!G29)),'Price History'!G29=0),"",'Price History'!G30/'Price History'!G29-1),"")</f>
        <v>0.037764541883158</v>
      </c>
      <c r="H29" s="142" t="n">
        <f aca="false">IFERROR(IF(OR(NOT(ISNUMBER('Price History'!H30)),NOT(ISNUMBER('Price History'!H29)),'Price History'!H29=0),"",'Price History'!H30/'Price History'!H29-1),"")</f>
        <v>0.0161947066444568</v>
      </c>
      <c r="I29" s="142" t="n">
        <f aca="false">IFERROR(IF(OR(NOT(ISNUMBER('Price History'!I30)),NOT(ISNUMBER('Price History'!I29)),'Price History'!I29=0),"",'Price History'!I30/'Price History'!I29-1),"")</f>
        <v>0.0390403814632694</v>
      </c>
      <c r="J29" s="142" t="n">
        <f aca="false">IFERROR(IF(OR(NOT(ISNUMBER('Price History'!J30)),NOT(ISNUMBER('Price History'!J29)),'Price History'!J29=0),"",'Price History'!J30/'Price History'!J29-1),"")</f>
        <v>0.181837837837838</v>
      </c>
      <c r="K29" s="142" t="n">
        <f aca="false">IFERROR(IF(OR(NOT(ISNUMBER('Price History'!K30)),NOT(ISNUMBER('Price History'!K29)),'Price History'!K29=0),"",'Price History'!K30/'Price History'!K29-1),"")</f>
        <v>0.0734102066445941</v>
      </c>
      <c r="L29" s="142" t="n">
        <f aca="false">IFERROR(IF(OR(NOT(ISNUMBER('Price History'!L30)),NOT(ISNUMBER('Price History'!L29)),'Price History'!L29=0),"",'Price History'!L30/'Price History'!L29-1),"")</f>
        <v>-0.00303132367800607</v>
      </c>
      <c r="M29" s="142" t="n">
        <f aca="false">IFERROR(IF(OR(NOT(ISNUMBER('Price History'!M30)),NOT(ISNUMBER('Price History'!M29)),'Price History'!M29=0),"",'Price History'!M30/'Price History'!M29-1),"")</f>
        <v>0.029374201787995</v>
      </c>
      <c r="N29" s="142" t="n">
        <f aca="false">IFERROR(IF(OR(NOT(ISNUMBER('Price History'!N30)),NOT(ISNUMBER('Price History'!N29)),'Price History'!N29=0),"",'Price History'!N30/'Price History'!N29-1),"")</f>
        <v>0.0185575706452972</v>
      </c>
      <c r="O29" s="142" t="n">
        <f aca="false">IFERROR(IF(OR(NOT(ISNUMBER('Price History'!O30)),NOT(ISNUMBER('Price History'!O29)),'Price History'!O29=0),"",'Price History'!O30/'Price History'!O29-1),"")</f>
        <v>0.0300868888600701</v>
      </c>
      <c r="P29" s="142" t="n">
        <f aca="false">IFERROR(IF(OR(NOT(ISNUMBER('Price History'!P30)),NOT(ISNUMBER('Price History'!P29)),'Price History'!P29=0),"",'Price History'!P30/'Price History'!P29-1),"")</f>
        <v>0.0301746956061408</v>
      </c>
      <c r="Q29" s="142" t="n">
        <f aca="false">IFERROR(IF(OR(NOT(ISNUMBER('Price History'!Q30)),NOT(ISNUMBER('Price History'!Q29)),'Price History'!Q29=0),"",'Price History'!Q30/'Price History'!Q29-1),"")</f>
        <v>0.000792050691244439</v>
      </c>
      <c r="R29" s="142" t="n">
        <f aca="false">IFERROR(IF(OR(NOT(ISNUMBER('Price History'!R30)),NOT(ISNUMBER('Price History'!R29)),'Price History'!R29=0),"",'Price History'!R30/'Price History'!R29-1),"")</f>
        <v>-0.00323871213564497</v>
      </c>
      <c r="S29" s="142" t="n">
        <f aca="false">IFERROR(IF(OR(NOT(ISNUMBER('Price History'!S30)),NOT(ISNUMBER('Price History'!S29)),'Price History'!S29=0),"",'Price History'!S30/'Price History'!S29-1),"")</f>
        <v>0.00835016835016833</v>
      </c>
      <c r="T29" s="142" t="n">
        <f aca="false">IFERROR(IF(OR(NOT(ISNUMBER('Price History'!T30)),NOT(ISNUMBER('Price History'!T29)),'Price History'!T29=0),"",'Price History'!T30/'Price History'!T29-1),"")</f>
        <v>0.00838281522878104</v>
      </c>
      <c r="U29" s="142" t="str">
        <f aca="false">IFERROR(IF(OR(NOT(ISNUMBER('Price History'!U30)),NOT(ISNUMBER('Price History'!U29)),'Price History'!U29=0),"",'Price History'!U30/'Price History'!U29-1),"")</f>
        <v/>
      </c>
      <c r="V29" s="143" t="n">
        <f aca="false">IFERROR(IF(OR(NOT(ISNUMBER('Price History'!V30)),NOT(ISNUMBER('Price History'!V29)),'Price History'!V29=0),"",'Price History'!V30/'Price History'!V29-1),"")</f>
        <v>0.00770421704511959</v>
      </c>
      <c r="W29" s="144" t="str">
        <f aca="false">IFERROR('Price History'!B3+(INDEX('Price History'!B:B,MATCH(9.99E+307,'Price History'!$A:$A))-'Price History'!B3)*(ROW()-3)/(MATCH(9.99E+307,'Returns (Calc)'!$A:$A)-3),"")</f>
        <v/>
      </c>
      <c r="X29" s="144" t="n">
        <f aca="false">IFERROR('Price History'!C3+(INDEX('Price History'!C:C,MATCH(9.99E+307,'Price History'!$A:$A))-'Price History'!C3)*(ROW()-3)/(MATCH(9.99E+307,'Returns (Calc)'!$A:$A)-3),"")</f>
        <v>38.5807594936709</v>
      </c>
      <c r="Y29" s="144" t="n">
        <f aca="false">IFERROR('Price History'!D3+(INDEX('Price History'!D:D,MATCH(9.99E+307,'Price History'!$A:$A))-'Price History'!D3)*(ROW()-3)/(MATCH(9.99E+307,'Returns (Calc)'!$A:$A)-3),"")</f>
        <v>486.236202531646</v>
      </c>
      <c r="Z29" s="144" t="n">
        <f aca="false">IFERROR('Price History'!E3+(INDEX('Price History'!E:E,MATCH(9.99E+307,'Price History'!$A:$A))-'Price History'!E3)*(ROW()-3)/(MATCH(9.99E+307,'Returns (Calc)'!$A:$A)-3),"")</f>
        <v>68.5063291139241</v>
      </c>
      <c r="AA29" s="144" t="n">
        <f aca="false">IFERROR('Price History'!F3+(INDEX('Price History'!F:F,MATCH(9.99E+307,'Price History'!$A:$A))-'Price History'!F3)*(ROW()-3)/(MATCH(9.99E+307,'Returns (Calc)'!$A:$A)-3),"")</f>
        <v>62.9172151898734</v>
      </c>
      <c r="AB29" s="144" t="n">
        <f aca="false">IFERROR('Price History'!G3+(INDEX('Price History'!G:G,MATCH(9.99E+307,'Price History'!$A:$A))-'Price History'!G3)*(ROW()-3)/(MATCH(9.99E+307,'Returns (Calc)'!$A:$A)-3),"")</f>
        <v>34.5539240506329</v>
      </c>
      <c r="AC29" s="144" t="n">
        <f aca="false">IFERROR('Price History'!H3+(INDEX('Price History'!H:H,MATCH(9.99E+307,'Price History'!$A:$A))-'Price History'!H3)*(ROW()-3)/(MATCH(9.99E+307,'Returns (Calc)'!$A:$A)-3),"")</f>
        <v>84.0372151898734</v>
      </c>
      <c r="AD29" s="144" t="n">
        <f aca="false">IFERROR('Price History'!I3+(INDEX('Price History'!I:I,MATCH(9.99E+307,'Price History'!$A:$A))-'Price History'!I3)*(ROW()-3)/(MATCH(9.99E+307,'Returns (Calc)'!$A:$A)-3),"")</f>
        <v>37.0518987341772</v>
      </c>
      <c r="AE29" s="144" t="n">
        <f aca="false">IFERROR('Price History'!J3+(INDEX('Price History'!J:J,MATCH(9.99E+307,'Price History'!$A:$A))-'Price History'!J3)*(ROW()-3)/(MATCH(9.99E+307,'Returns (Calc)'!$A:$A)-3),"")</f>
        <v>57.7374683544304</v>
      </c>
      <c r="AF29" s="144" t="n">
        <f aca="false">IFERROR('Price History'!K3+(INDEX('Price History'!K:K,MATCH(9.99E+307,'Price History'!$A:$A))-'Price History'!K3)*(ROW()-3)/(MATCH(9.99E+307,'Returns (Calc)'!$A:$A)-3),"")</f>
        <v>36.5673417721519</v>
      </c>
      <c r="AG29" s="144" t="n">
        <f aca="false">IFERROR('Price History'!L3+(INDEX('Price History'!L:L,MATCH(9.99E+307,'Price History'!$A:$A))-'Price History'!L3)*(ROW()-3)/(MATCH(9.99E+307,'Returns (Calc)'!$A:$A)-3),"")</f>
        <v>93.4359493670886</v>
      </c>
      <c r="AH29" s="144" t="n">
        <f aca="false">IFERROR('Price History'!M3+(INDEX('Price History'!M:M,MATCH(9.99E+307,'Price History'!$A:$A))-'Price History'!M3)*(ROW()-3)/(MATCH(9.99E+307,'Returns (Calc)'!$A:$A)-3),"")</f>
        <v>12.8073417721519</v>
      </c>
      <c r="AI29" s="144" t="n">
        <f aca="false">IFERROR('Price History'!N3+(INDEX('Price History'!N:N,MATCH(9.99E+307,'Price History'!$A:$A))-'Price History'!N3)*(ROW()-3)/(MATCH(9.99E+307,'Returns (Calc)'!$A:$A)-3),"")</f>
        <v>18.2126582278481</v>
      </c>
      <c r="AJ29" s="144" t="n">
        <f aca="false">IFERROR('Price History'!O3+(INDEX('Price History'!O:O,MATCH(9.99E+307,'Price History'!$A:$A))-'Price History'!O3)*(ROW()-3)/(MATCH(9.99E+307,'Returns (Calc)'!$A:$A)-3),"")</f>
        <v>48.146582278481</v>
      </c>
      <c r="AK29" s="144" t="n">
        <f aca="false">IFERROR('Price History'!Q3+(INDEX('Price History'!Q:Q,MATCH(9.99E+307,'Price History'!$A:$A))-'Price History'!Q3)*(ROW()-3)/(MATCH(9.99E+307,'Returns (Calc)'!$A:$A)-3),"")</f>
        <v>196.855443037975</v>
      </c>
      <c r="AL29" s="144" t="n">
        <f aca="false">IFERROR('Price History'!R3+(INDEX('Price History'!R:R,MATCH(9.99E+307,'Price History'!$A:$A))-'Price History'!R3)*(ROW()-3)/(MATCH(9.99E+307,'Returns (Calc)'!$A:$A)-3),"")</f>
        <v>39.9508860759494</v>
      </c>
      <c r="AM29" s="144" t="n">
        <f aca="false">IFERROR('Price History'!S3+(INDEX('Price History'!S:S,MATCH(9.99E+307,'Price History'!$A:$A))-'Price History'!S3)*(ROW()-3)/(MATCH(9.99E+307,'Returns (Calc)'!$A:$A)-3),"")</f>
        <v>48.906835443038</v>
      </c>
      <c r="AN29" s="144" t="n">
        <f aca="false">IFERROR('Price History'!T3+(INDEX('Price History'!T:T,MATCH(9.99E+307,'Price History'!$A:$A))-'Price History'!T3)*(ROW()-3)/(MATCH(9.99E+307,'Returns (Calc)'!$A:$A)-3),"")</f>
        <v>22.4817721518987</v>
      </c>
      <c r="AO29" s="145" t="n">
        <f aca="false">IFERROR('Price History'!V3+(INDEX('Price History'!V:V,MATCH(9.99E+307,'Price History'!$A:$A))-'Price History'!V3)*(ROW()-3)/(MATCH(9.99E+307,'Returns (Calc)'!$A:$A)-3),"")</f>
        <v>0</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0.0286627840584677</v>
      </c>
      <c r="G30" s="142" t="n">
        <f aca="false">IFERROR(IF(OR(NOT(ISNUMBER('Price History'!G31)),NOT(ISNUMBER('Price History'!G30)),'Price History'!G30=0),"",'Price History'!G31/'Price History'!G30-1),"")</f>
        <v>-0.0212480156307241</v>
      </c>
      <c r="H30" s="142" t="n">
        <f aca="false">IFERROR(IF(OR(NOT(ISNUMBER('Price History'!H31)),NOT(ISNUMBER('Price History'!H30)),'Price History'!H30=0),"",'Price History'!H31/'Price History'!H30-1),"")</f>
        <v>0.0252253893088061</v>
      </c>
      <c r="I30" s="142" t="n">
        <f aca="false">IFERROR(IF(OR(NOT(ISNUMBER('Price History'!I31)),NOT(ISNUMBER('Price History'!I30)),'Price History'!I30=0),"",'Price History'!I31/'Price History'!I30-1),"")</f>
        <v>-0.0169224150293992</v>
      </c>
      <c r="J30" s="142" t="n">
        <f aca="false">IFERROR(IF(OR(NOT(ISNUMBER('Price History'!J31)),NOT(ISNUMBER('Price History'!J30)),'Price History'!J30=0),"",'Price History'!J31/'Price History'!J30-1),"")</f>
        <v>0.0707098426637396</v>
      </c>
      <c r="K30" s="142" t="n">
        <f aca="false">IFERROR(IF(OR(NOT(ISNUMBER('Price History'!K31)),NOT(ISNUMBER('Price History'!K30)),'Price History'!K30=0),"",'Price History'!K31/'Price History'!K30-1),"")</f>
        <v>-0.0416932567538821</v>
      </c>
      <c r="L30" s="142" t="n">
        <f aca="false">IFERROR(IF(OR(NOT(ISNUMBER('Price History'!L31)),NOT(ISNUMBER('Price History'!L30)),'Price History'!L30=0),"",'Price History'!L31/'Price History'!L30-1),"")</f>
        <v>0.0124155405405406</v>
      </c>
      <c r="M30" s="142" t="n">
        <f aca="false">IFERROR(IF(OR(NOT(ISNUMBER('Price History'!M31)),NOT(ISNUMBER('Price History'!M30)),'Price History'!M30=0),"",'Price History'!M31/'Price History'!M30-1),"")</f>
        <v>-0.0483870967741935</v>
      </c>
      <c r="N30" s="142" t="n">
        <f aca="false">IFERROR(IF(OR(NOT(ISNUMBER('Price History'!N31)),NOT(ISNUMBER('Price History'!N30)),'Price History'!N30=0),"",'Price History'!N31/'Price History'!N30-1),"")</f>
        <v>0.0157349896480332</v>
      </c>
      <c r="O30" s="142" t="n">
        <f aca="false">IFERROR(IF(OR(NOT(ISNUMBER('Price History'!O31)),NOT(ISNUMBER('Price History'!O30)),'Price History'!O30=0),"",'Price History'!O31/'Price History'!O30-1),"")</f>
        <v>-0.00755382097444302</v>
      </c>
      <c r="P30" s="142" t="n">
        <f aca="false">IFERROR(IF(OR(NOT(ISNUMBER('Price History'!P31)),NOT(ISNUMBER('Price History'!P30)),'Price History'!P30=0),"",'Price History'!P31/'Price History'!P30-1),"")</f>
        <v>-0.0319336367640581</v>
      </c>
      <c r="Q30" s="142" t="n">
        <f aca="false">IFERROR(IF(OR(NOT(ISNUMBER('Price History'!Q31)),NOT(ISNUMBER('Price History'!Q30)),'Price History'!Q30=0),"",'Price History'!Q31/'Price History'!Q30-1),"")</f>
        <v>-0.0147492625368733</v>
      </c>
      <c r="R30" s="142" t="n">
        <f aca="false">IFERROR(IF(OR(NOT(ISNUMBER('Price History'!R31)),NOT(ISNUMBER('Price History'!R30)),'Price History'!R30=0),"",'Price History'!R31/'Price History'!R30-1),"")</f>
        <v>0.0126146788990824</v>
      </c>
      <c r="S30" s="142" t="n">
        <f aca="false">IFERROR(IF(OR(NOT(ISNUMBER('Price History'!S31)),NOT(ISNUMBER('Price History'!S30)),'Price History'!S30=0),"",'Price History'!S31/'Price History'!S30-1),"")</f>
        <v>0.0224388940830773</v>
      </c>
      <c r="T30" s="142" t="n">
        <f aca="false">IFERROR(IF(OR(NOT(ISNUMBER('Price History'!T31)),NOT(ISNUMBER('Price History'!T30)),'Price History'!T30=0),"",'Price History'!T31/'Price History'!T30-1),"")</f>
        <v>0.0218219605126428</v>
      </c>
      <c r="U30" s="142" t="str">
        <f aca="false">IFERROR(IF(OR(NOT(ISNUMBER('Price History'!U31)),NOT(ISNUMBER('Price History'!U30)),'Price History'!U30=0),"",'Price History'!U31/'Price History'!U30-1),"")</f>
        <v/>
      </c>
      <c r="V30" s="143" t="n">
        <f aca="false">IFERROR(IF(OR(NOT(ISNUMBER('Price History'!V31)),NOT(ISNUMBER('Price History'!V30)),'Price History'!V30=0),"",'Price History'!V31/'Price History'!V30-1),"")</f>
        <v>0.0180707466071623</v>
      </c>
      <c r="W30" s="144" t="str">
        <f aca="false">IFERROR('Price History'!B3+(INDEX('Price History'!B:B,MATCH(9.99E+307,'Price History'!$A:$A))-'Price History'!B3)*(ROW()-3)/(MATCH(9.99E+307,'Returns (Calc)'!$A:$A)-3),"")</f>
        <v/>
      </c>
      <c r="X30" s="144" t="n">
        <f aca="false">IFERROR('Price History'!C3+(INDEX('Price History'!C:C,MATCH(9.99E+307,'Price History'!$A:$A))-'Price History'!C3)*(ROW()-3)/(MATCH(9.99E+307,'Returns (Calc)'!$A:$A)-3),"")</f>
        <v>38.2884810126582</v>
      </c>
      <c r="Y30" s="144" t="n">
        <f aca="false">IFERROR('Price History'!D3+(INDEX('Price History'!D:D,MATCH(9.99E+307,'Price History'!$A:$A))-'Price History'!D3)*(ROW()-3)/(MATCH(9.99E+307,'Returns (Calc)'!$A:$A)-3),"")</f>
        <v>482.552594936709</v>
      </c>
      <c r="Z30" s="144" t="n">
        <f aca="false">IFERROR('Price History'!E3+(INDEX('Price History'!E:E,MATCH(9.99E+307,'Price History'!$A:$A))-'Price History'!E3)*(ROW()-3)/(MATCH(9.99E+307,'Returns (Calc)'!$A:$A)-3),"")</f>
        <v>67.9873417721519</v>
      </c>
      <c r="AA30" s="144" t="n">
        <f aca="false">IFERROR('Price History'!F3+(INDEX('Price History'!F:F,MATCH(9.99E+307,'Price History'!$A:$A))-'Price History'!F3)*(ROW()-3)/(MATCH(9.99E+307,'Returns (Calc)'!$A:$A)-3),"")</f>
        <v>62.4405696202532</v>
      </c>
      <c r="AB30" s="144" t="n">
        <f aca="false">IFERROR('Price History'!G3+(INDEX('Price History'!G:G,MATCH(9.99E+307,'Price History'!$A:$A))-'Price History'!G3)*(ROW()-3)/(MATCH(9.99E+307,'Returns (Calc)'!$A:$A)-3),"")</f>
        <v>34.2921518987342</v>
      </c>
      <c r="AC30" s="144" t="n">
        <f aca="false">IFERROR('Price History'!H3+(INDEX('Price History'!H:H,MATCH(9.99E+307,'Price History'!$A:$A))-'Price History'!H3)*(ROW()-3)/(MATCH(9.99E+307,'Returns (Calc)'!$A:$A)-3),"")</f>
        <v>83.4005696202532</v>
      </c>
      <c r="AD30" s="144" t="n">
        <f aca="false">IFERROR('Price History'!I3+(INDEX('Price History'!I:I,MATCH(9.99E+307,'Price History'!$A:$A))-'Price History'!I3)*(ROW()-3)/(MATCH(9.99E+307,'Returns (Calc)'!$A:$A)-3),"")</f>
        <v>36.7712025316456</v>
      </c>
      <c r="AE30" s="144" t="n">
        <f aca="false">IFERROR('Price History'!J3+(INDEX('Price History'!J:J,MATCH(9.99E+307,'Price History'!$A:$A))-'Price History'!J3)*(ROW()-3)/(MATCH(9.99E+307,'Returns (Calc)'!$A:$A)-3),"")</f>
        <v>57.3000632911392</v>
      </c>
      <c r="AF30" s="144" t="n">
        <f aca="false">IFERROR('Price History'!K3+(INDEX('Price History'!K:K,MATCH(9.99E+307,'Price History'!$A:$A))-'Price History'!K3)*(ROW()-3)/(MATCH(9.99E+307,'Returns (Calc)'!$A:$A)-3),"")</f>
        <v>36.2903164556962</v>
      </c>
      <c r="AG30" s="144" t="n">
        <f aca="false">IFERROR('Price History'!L3+(INDEX('Price History'!L:L,MATCH(9.99E+307,'Price History'!$A:$A))-'Price History'!L3)*(ROW()-3)/(MATCH(9.99E+307,'Returns (Calc)'!$A:$A)-3),"")</f>
        <v>92.7281012658228</v>
      </c>
      <c r="AH30" s="144" t="n">
        <f aca="false">IFERROR('Price History'!M3+(INDEX('Price History'!M:M,MATCH(9.99E+307,'Price History'!$A:$A))-'Price History'!M3)*(ROW()-3)/(MATCH(9.99E+307,'Returns (Calc)'!$A:$A)-3),"")</f>
        <v>12.7103164556962</v>
      </c>
      <c r="AI30" s="144" t="n">
        <f aca="false">IFERROR('Price History'!N3+(INDEX('Price History'!N:N,MATCH(9.99E+307,'Price History'!$A:$A))-'Price History'!N3)*(ROW()-3)/(MATCH(9.99E+307,'Returns (Calc)'!$A:$A)-3),"")</f>
        <v>18.0746835443038</v>
      </c>
      <c r="AJ30" s="144" t="n">
        <f aca="false">IFERROR('Price History'!O3+(INDEX('Price History'!O:O,MATCH(9.99E+307,'Price History'!$A:$A))-'Price History'!O3)*(ROW()-3)/(MATCH(9.99E+307,'Returns (Calc)'!$A:$A)-3),"")</f>
        <v>47.781835443038</v>
      </c>
      <c r="AK30" s="144" t="n">
        <f aca="false">IFERROR('Price History'!Q3+(INDEX('Price History'!Q:Q,MATCH(9.99E+307,'Price History'!$A:$A))-'Price History'!Q3)*(ROW()-3)/(MATCH(9.99E+307,'Returns (Calc)'!$A:$A)-3),"")</f>
        <v>195.364113924051</v>
      </c>
      <c r="AL30" s="144" t="n">
        <f aca="false">IFERROR('Price History'!R3+(INDEX('Price History'!R:R,MATCH(9.99E+307,'Price History'!$A:$A))-'Price History'!R3)*(ROW()-3)/(MATCH(9.99E+307,'Returns (Calc)'!$A:$A)-3),"")</f>
        <v>39.6482278481013</v>
      </c>
      <c r="AM30" s="144" t="n">
        <f aca="false">IFERROR('Price History'!S3+(INDEX('Price History'!S:S,MATCH(9.99E+307,'Price History'!$A:$A))-'Price History'!S3)*(ROW()-3)/(MATCH(9.99E+307,'Returns (Calc)'!$A:$A)-3),"")</f>
        <v>48.5363291139241</v>
      </c>
      <c r="AN30" s="144" t="n">
        <f aca="false">IFERROR('Price History'!T3+(INDEX('Price History'!T:T,MATCH(9.99E+307,'Price History'!$A:$A))-'Price History'!T3)*(ROW()-3)/(MATCH(9.99E+307,'Returns (Calc)'!$A:$A)-3),"")</f>
        <v>22.3114556962025</v>
      </c>
      <c r="AO30" s="145" t="n">
        <f aca="false">IFERROR('Price History'!V3+(INDEX('Price History'!V:V,MATCH(9.99E+307,'Price History'!$A:$A))-'Price History'!V3)*(ROW()-3)/(MATCH(9.99E+307,'Returns (Calc)'!$A:$A)-3),"")</f>
        <v>0</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-0.0215364120781527</v>
      </c>
      <c r="G31" s="142" t="n">
        <f aca="false">IFERROR(IF(OR(NOT(ISNUMBER('Price History'!G32)),NOT(ISNUMBER('Price History'!G31)),'Price History'!G31=0),"",'Price History'!G32/'Price History'!G31-1),"")</f>
        <v>-0.015845290081098</v>
      </c>
      <c r="H31" s="142" t="n">
        <f aca="false">IFERROR(IF(OR(NOT(ISNUMBER('Price History'!H32)),NOT(ISNUMBER('Price History'!H31)),'Price History'!H31=0),"",'Price History'!H32/'Price History'!H31-1),"")</f>
        <v>-0.0177651447859301</v>
      </c>
      <c r="I31" s="142" t="n">
        <f aca="false">IFERROR(IF(OR(NOT(ISNUMBER('Price History'!I32)),NOT(ISNUMBER('Price History'!I31)),'Price History'!I31=0),"",'Price History'!I32/'Price History'!I31-1),"")</f>
        <v>-0.022465353756382</v>
      </c>
      <c r="J31" s="142" t="n">
        <f aca="false">IFERROR(IF(OR(NOT(ISNUMBER('Price History'!J32)),NOT(ISNUMBER('Price History'!J31)),'Price History'!J31=0),"",'Price History'!J32/'Price History'!J31-1),"")</f>
        <v>0.0482699700982487</v>
      </c>
      <c r="K31" s="142" t="n">
        <f aca="false">IFERROR(IF(OR(NOT(ISNUMBER('Price History'!K32)),NOT(ISNUMBER('Price History'!K31)),'Price History'!K31=0),"",'Price History'!K32/'Price History'!K31-1),"")</f>
        <v>-0.0259711431742508</v>
      </c>
      <c r="L31" s="142" t="n">
        <f aca="false">IFERROR(IF(OR(NOT(ISNUMBER('Price History'!L32)),NOT(ISNUMBER('Price History'!L31)),'Price History'!L31=0),"",'Price History'!L32/'Price History'!L31-1),"")</f>
        <v>-0.0421289730541421</v>
      </c>
      <c r="M31" s="142" t="n">
        <f aca="false">IFERROR(IF(OR(NOT(ISNUMBER('Price History'!M32)),NOT(ISNUMBER('Price History'!M31)),'Price History'!M31=0),"",'Price History'!M32/'Price History'!M31-1),"")</f>
        <v>-0.00217296827466318</v>
      </c>
      <c r="N31" s="142" t="n">
        <f aca="false">IFERROR(IF(OR(NOT(ISNUMBER('Price History'!N32)),NOT(ISNUMBER('Price History'!N31)),'Price History'!N31=0),"",'Price History'!N32/'Price History'!N31-1),"")</f>
        <v>-0.0203832042397065</v>
      </c>
      <c r="O31" s="142" t="n">
        <f aca="false">IFERROR(IF(OR(NOT(ISNUMBER('Price History'!O32)),NOT(ISNUMBER('Price History'!O31)),'Price History'!O31=0),"",'Price History'!O32/'Price History'!O31-1),"")</f>
        <v>0.00291767093746032</v>
      </c>
      <c r="P31" s="142" t="n">
        <f aca="false">IFERROR(IF(OR(NOT(ISNUMBER('Price History'!P32)),NOT(ISNUMBER('Price History'!P31)),'Price History'!P31=0),"",'Price History'!P32/'Price History'!P31-1),"")</f>
        <v>0.0389777811481002</v>
      </c>
      <c r="Q31" s="142" t="n">
        <f aca="false">IFERROR(IF(OR(NOT(ISNUMBER('Price History'!Q32)),NOT(ISNUMBER('Price History'!Q31)),'Price History'!Q31=0),"",'Price History'!Q32/'Price History'!Q31-1),"")</f>
        <v>-0.00697385716372123</v>
      </c>
      <c r="R31" s="142" t="n">
        <f aca="false">IFERROR(IF(OR(NOT(ISNUMBER('Price History'!R32)),NOT(ISNUMBER('Price History'!R31)),'Price History'!R31=0),"",'Price History'!R32/'Price History'!R31-1),"")</f>
        <v>0.00528501321253305</v>
      </c>
      <c r="S31" s="142" t="n">
        <f aca="false">IFERROR(IF(OR(NOT(ISNUMBER('Price History'!S32)),NOT(ISNUMBER('Price History'!S31)),'Price History'!S31=0),"",'Price History'!S32/'Price History'!S31-1),"")</f>
        <v>0.0280862181580668</v>
      </c>
      <c r="T31" s="142" t="n">
        <f aca="false">IFERROR(IF(OR(NOT(ISNUMBER('Price History'!T32)),NOT(ISNUMBER('Price History'!T31)),'Price History'!T31=0),"",'Price History'!T32/'Price History'!T31-1),"")</f>
        <v>0.0220338983050847</v>
      </c>
      <c r="U31" s="142" t="str">
        <f aca="false">IFERROR(IF(OR(NOT(ISNUMBER('Price History'!U32)),NOT(ISNUMBER('Price History'!U31)),'Price History'!U31=0),"",'Price History'!U32/'Price History'!U31-1),"")</f>
        <v/>
      </c>
      <c r="V31" s="143" t="n">
        <f aca="false">IFERROR(IF(OR(NOT(ISNUMBER('Price History'!V32)),NOT(ISNUMBER('Price History'!V31)),'Price History'!V31=0),"",'Price History'!V32/'Price History'!V31-1),"")</f>
        <v>-0.00154503970392728</v>
      </c>
      <c r="W31" s="144" t="str">
        <f aca="false">IFERROR('Price History'!B3+(INDEX('Price History'!B:B,MATCH(9.99E+307,'Price History'!$A:$A))-'Price History'!B3)*(ROW()-3)/(MATCH(9.99E+307,'Returns (Calc)'!$A:$A)-3),"")</f>
        <v/>
      </c>
      <c r="X31" s="144" t="n">
        <f aca="false">IFERROR('Price History'!C3+(INDEX('Price History'!C:C,MATCH(9.99E+307,'Price History'!$A:$A))-'Price History'!C3)*(ROW()-3)/(MATCH(9.99E+307,'Returns (Calc)'!$A:$A)-3),"")</f>
        <v>37.9962025316456</v>
      </c>
      <c r="Y31" s="144" t="n">
        <f aca="false">IFERROR('Price History'!D3+(INDEX('Price History'!D:D,MATCH(9.99E+307,'Price History'!$A:$A))-'Price History'!D3)*(ROW()-3)/(MATCH(9.99E+307,'Returns (Calc)'!$A:$A)-3),"")</f>
        <v>478.868987341772</v>
      </c>
      <c r="Z31" s="144" t="n">
        <f aca="false">IFERROR('Price History'!E3+(INDEX('Price History'!E:E,MATCH(9.99E+307,'Price History'!$A:$A))-'Price History'!E3)*(ROW()-3)/(MATCH(9.99E+307,'Returns (Calc)'!$A:$A)-3),"")</f>
        <v>67.4683544303798</v>
      </c>
      <c r="AA31" s="144" t="n">
        <f aca="false">IFERROR('Price History'!F3+(INDEX('Price History'!F:F,MATCH(9.99E+307,'Price History'!$A:$A))-'Price History'!F3)*(ROW()-3)/(MATCH(9.99E+307,'Returns (Calc)'!$A:$A)-3),"")</f>
        <v>61.9639240506329</v>
      </c>
      <c r="AB31" s="144" t="n">
        <f aca="false">IFERROR('Price History'!G3+(INDEX('Price History'!G:G,MATCH(9.99E+307,'Price History'!$A:$A))-'Price History'!G3)*(ROW()-3)/(MATCH(9.99E+307,'Returns (Calc)'!$A:$A)-3),"")</f>
        <v>34.0303797468354</v>
      </c>
      <c r="AC31" s="144" t="n">
        <f aca="false">IFERROR('Price History'!H3+(INDEX('Price History'!H:H,MATCH(9.99E+307,'Price History'!$A:$A))-'Price History'!H3)*(ROW()-3)/(MATCH(9.99E+307,'Returns (Calc)'!$A:$A)-3),"")</f>
        <v>82.7639240506329</v>
      </c>
      <c r="AD31" s="144" t="n">
        <f aca="false">IFERROR('Price History'!I3+(INDEX('Price History'!I:I,MATCH(9.99E+307,'Price History'!$A:$A))-'Price History'!I3)*(ROW()-3)/(MATCH(9.99E+307,'Returns (Calc)'!$A:$A)-3),"")</f>
        <v>36.4905063291139</v>
      </c>
      <c r="AE31" s="144" t="n">
        <f aca="false">IFERROR('Price History'!J3+(INDEX('Price History'!J:J,MATCH(9.99E+307,'Price History'!$A:$A))-'Price History'!J3)*(ROW()-3)/(MATCH(9.99E+307,'Returns (Calc)'!$A:$A)-3),"")</f>
        <v>56.8626582278481</v>
      </c>
      <c r="AF31" s="144" t="n">
        <f aca="false">IFERROR('Price History'!K3+(INDEX('Price History'!K:K,MATCH(9.99E+307,'Price History'!$A:$A))-'Price History'!K3)*(ROW()-3)/(MATCH(9.99E+307,'Returns (Calc)'!$A:$A)-3),"")</f>
        <v>36.0132911392405</v>
      </c>
      <c r="AG31" s="144" t="n">
        <f aca="false">IFERROR('Price History'!L3+(INDEX('Price History'!L:L,MATCH(9.99E+307,'Price History'!$A:$A))-'Price History'!L3)*(ROW()-3)/(MATCH(9.99E+307,'Returns (Calc)'!$A:$A)-3),"")</f>
        <v>92.020253164557</v>
      </c>
      <c r="AH31" s="144" t="n">
        <f aca="false">IFERROR('Price History'!M3+(INDEX('Price History'!M:M,MATCH(9.99E+307,'Price History'!$A:$A))-'Price History'!M3)*(ROW()-3)/(MATCH(9.99E+307,'Returns (Calc)'!$A:$A)-3),"")</f>
        <v>12.6132911392405</v>
      </c>
      <c r="AI31" s="144" t="n">
        <f aca="false">IFERROR('Price History'!N3+(INDEX('Price History'!N:N,MATCH(9.99E+307,'Price History'!$A:$A))-'Price History'!N3)*(ROW()-3)/(MATCH(9.99E+307,'Returns (Calc)'!$A:$A)-3),"")</f>
        <v>17.9367088607595</v>
      </c>
      <c r="AJ31" s="144" t="n">
        <f aca="false">IFERROR('Price History'!O3+(INDEX('Price History'!O:O,MATCH(9.99E+307,'Price History'!$A:$A))-'Price History'!O3)*(ROW()-3)/(MATCH(9.99E+307,'Returns (Calc)'!$A:$A)-3),"")</f>
        <v>47.4170886075949</v>
      </c>
      <c r="AK31" s="144" t="n">
        <f aca="false">IFERROR('Price History'!Q3+(INDEX('Price History'!Q:Q,MATCH(9.99E+307,'Price History'!$A:$A))-'Price History'!Q3)*(ROW()-3)/(MATCH(9.99E+307,'Returns (Calc)'!$A:$A)-3),"")</f>
        <v>193.872784810127</v>
      </c>
      <c r="AL31" s="144" t="n">
        <f aca="false">IFERROR('Price History'!R3+(INDEX('Price History'!R:R,MATCH(9.99E+307,'Price History'!$A:$A))-'Price History'!R3)*(ROW()-3)/(MATCH(9.99E+307,'Returns (Calc)'!$A:$A)-3),"")</f>
        <v>39.3455696202532</v>
      </c>
      <c r="AM31" s="144" t="n">
        <f aca="false">IFERROR('Price History'!S3+(INDEX('Price History'!S:S,MATCH(9.99E+307,'Price History'!$A:$A))-'Price History'!S3)*(ROW()-3)/(MATCH(9.99E+307,'Returns (Calc)'!$A:$A)-3),"")</f>
        <v>48.1658227848101</v>
      </c>
      <c r="AN31" s="144" t="n">
        <f aca="false">IFERROR('Price History'!T3+(INDEX('Price History'!T:T,MATCH(9.99E+307,'Price History'!$A:$A))-'Price History'!T3)*(ROW()-3)/(MATCH(9.99E+307,'Returns (Calc)'!$A:$A)-3),"")</f>
        <v>22.1411392405063</v>
      </c>
      <c r="AO31" s="145" t="n">
        <f aca="false">IFERROR('Price History'!V3+(INDEX('Price History'!V:V,MATCH(9.99E+307,'Price History'!$A:$A))-'Price History'!V3)*(ROW()-3)/(MATCH(9.99E+307,'Returns (Calc)'!$A:$A)-3),"")</f>
        <v>0</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-0.0308599954617653</v>
      </c>
      <c r="G32" s="142" t="n">
        <f aca="false">IFERROR(IF(OR(NOT(ISNUMBER('Price History'!G33)),NOT(ISNUMBER('Price History'!G32)),'Price History'!G32=0),"",'Price History'!G33/'Price History'!G32-1),"")</f>
        <v>-0.0205375253549694</v>
      </c>
      <c r="H32" s="142" t="n">
        <f aca="false">IFERROR(IF(OR(NOT(ISNUMBER('Price History'!H33)),NOT(ISNUMBER('Price History'!H32)),'Price History'!H32=0),"",'Price History'!H33/'Price History'!H32-1),"")</f>
        <v>-0.0285765961294989</v>
      </c>
      <c r="I32" s="142" t="n">
        <f aca="false">IFERROR(IF(OR(NOT(ISNUMBER('Price History'!I33)),NOT(ISNUMBER('Price History'!I32)),'Price History'!I32=0),"",'Price History'!I33/'Price History'!I32-1),"")</f>
        <v>-0.00298462915982689</v>
      </c>
      <c r="J32" s="142" t="n">
        <f aca="false">IFERROR(IF(OR(NOT(ISNUMBER('Price History'!J33)),NOT(ISNUMBER('Price History'!J32)),'Price History'!J32=0),"",'Price History'!J33/'Price History'!J32-1),"")</f>
        <v>-0.00855745721271395</v>
      </c>
      <c r="K32" s="142" t="n">
        <f aca="false">IFERROR(IF(OR(NOT(ISNUMBER('Price History'!K33)),NOT(ISNUMBER('Price History'!K32)),'Price History'!K32=0),"",'Price History'!K33/'Price History'!K32-1),"")</f>
        <v>0.00205104831358249</v>
      </c>
      <c r="L32" s="142" t="n">
        <f aca="false">IFERROR(IF(OR(NOT(ISNUMBER('Price History'!L33)),NOT(ISNUMBER('Price History'!L32)),'Price History'!L32=0),"",'Price History'!L33/'Price History'!L32-1),"")</f>
        <v>-0.0459850200313533</v>
      </c>
      <c r="M32" s="142" t="n">
        <f aca="false">IFERROR(IF(OR(NOT(ISNUMBER('Price History'!M33)),NOT(ISNUMBER('Price History'!M32)),'Price History'!M32=0),"",'Price History'!M33/'Price History'!M32-1),"")</f>
        <v>-0.0126306620209059</v>
      </c>
      <c r="N32" s="142" t="n">
        <f aca="false">IFERROR(IF(OR(NOT(ISNUMBER('Price History'!N33)),NOT(ISNUMBER('Price History'!N32)),'Price History'!N32=0),"",'Price History'!N33/'Price History'!N32-1),"")</f>
        <v>-0.0278818143986684</v>
      </c>
      <c r="O32" s="142" t="n">
        <f aca="false">IFERROR(IF(OR(NOT(ISNUMBER('Price History'!O33)),NOT(ISNUMBER('Price History'!O32)),'Price History'!O32=0),"",'Price History'!O33/'Price History'!O32-1),"")</f>
        <v>-0.0140399696433089</v>
      </c>
      <c r="P32" s="142" t="n">
        <f aca="false">IFERROR(IF(OR(NOT(ISNUMBER('Price History'!P33)),NOT(ISNUMBER('Price History'!P32)),'Price History'!P32=0),"",'Price History'!P33/'Price History'!P32-1),"")</f>
        <v>0.00824757316984148</v>
      </c>
      <c r="Q32" s="142" t="n">
        <f aca="false">IFERROR(IF(OR(NOT(ISNUMBER('Price History'!Q33)),NOT(ISNUMBER('Price History'!Q32)),'Price History'!Q32=0),"",'Price History'!Q33/'Price History'!Q32-1),"")</f>
        <v>-0.00422840754494991</v>
      </c>
      <c r="R32" s="142" t="n">
        <f aca="false">IFERROR(IF(OR(NOT(ISNUMBER('Price History'!R33)),NOT(ISNUMBER('Price History'!R32)),'Price History'!R32=0),"",'Price History'!R33/'Price History'!R32-1),"")</f>
        <v>-0.00131430717236203</v>
      </c>
      <c r="S32" s="142" t="n">
        <f aca="false">IFERROR(IF(OR(NOT(ISNUMBER('Price History'!S33)),NOT(ISNUMBER('Price History'!S32)),'Price History'!S32=0),"",'Price History'!S33/'Price History'!S32-1),"")</f>
        <v>0.00381194409148655</v>
      </c>
      <c r="T32" s="142" t="n">
        <f aca="false">IFERROR(IF(OR(NOT(ISNUMBER('Price History'!T33)),NOT(ISNUMBER('Price History'!T32)),'Price History'!T32=0),"",'Price History'!T33/'Price History'!T32-1),"")</f>
        <v>0.0195688225538972</v>
      </c>
      <c r="U32" s="142" t="str">
        <f aca="false">IFERROR(IF(OR(NOT(ISNUMBER('Price History'!U33)),NOT(ISNUMBER('Price History'!U32)),'Price History'!U32=0),"",'Price History'!U33/'Price History'!U32-1),"")</f>
        <v/>
      </c>
      <c r="V32" s="143" t="n">
        <f aca="false">IFERROR(IF(OR(NOT(ISNUMBER('Price History'!V33)),NOT(ISNUMBER('Price History'!V32)),'Price History'!V32=0),"",'Price History'!V33/'Price History'!V32-1),"")</f>
        <v>-0.0110119476032819</v>
      </c>
      <c r="W32" s="144" t="str">
        <f aca="false">IFERROR('Price History'!B3+(INDEX('Price History'!B:B,MATCH(9.99E+307,'Price History'!$A:$A))-'Price History'!B3)*(ROW()-3)/(MATCH(9.99E+307,'Returns (Calc)'!$A:$A)-3),"")</f>
        <v/>
      </c>
      <c r="X32" s="144" t="n">
        <f aca="false">IFERROR('Price History'!C3+(INDEX('Price History'!C:C,MATCH(9.99E+307,'Price History'!$A:$A))-'Price History'!C3)*(ROW()-3)/(MATCH(9.99E+307,'Returns (Calc)'!$A:$A)-3),"")</f>
        <v>37.7039240506329</v>
      </c>
      <c r="Y32" s="144" t="n">
        <f aca="false">IFERROR('Price History'!D3+(INDEX('Price History'!D:D,MATCH(9.99E+307,'Price History'!$A:$A))-'Price History'!D3)*(ROW()-3)/(MATCH(9.99E+307,'Returns (Calc)'!$A:$A)-3),"")</f>
        <v>475.185379746835</v>
      </c>
      <c r="Z32" s="144" t="n">
        <f aca="false">IFERROR('Price History'!E3+(INDEX('Price History'!E:E,MATCH(9.99E+307,'Price History'!$A:$A))-'Price History'!E3)*(ROW()-3)/(MATCH(9.99E+307,'Returns (Calc)'!$A:$A)-3),"")</f>
        <v>66.9493670886076</v>
      </c>
      <c r="AA32" s="144" t="n">
        <f aca="false">IFERROR('Price History'!F3+(INDEX('Price History'!F:F,MATCH(9.99E+307,'Price History'!$A:$A))-'Price History'!F3)*(ROW()-3)/(MATCH(9.99E+307,'Returns (Calc)'!$A:$A)-3),"")</f>
        <v>61.4872784810127</v>
      </c>
      <c r="AB32" s="144" t="n">
        <f aca="false">IFERROR('Price History'!G3+(INDEX('Price History'!G:G,MATCH(9.99E+307,'Price History'!$A:$A))-'Price History'!G3)*(ROW()-3)/(MATCH(9.99E+307,'Returns (Calc)'!$A:$A)-3),"")</f>
        <v>33.7686075949367</v>
      </c>
      <c r="AC32" s="144" t="n">
        <f aca="false">IFERROR('Price History'!H3+(INDEX('Price History'!H:H,MATCH(9.99E+307,'Price History'!$A:$A))-'Price History'!H3)*(ROW()-3)/(MATCH(9.99E+307,'Returns (Calc)'!$A:$A)-3),"")</f>
        <v>82.1272784810127</v>
      </c>
      <c r="AD32" s="144" t="n">
        <f aca="false">IFERROR('Price History'!I3+(INDEX('Price History'!I:I,MATCH(9.99E+307,'Price History'!$A:$A))-'Price History'!I3)*(ROW()-3)/(MATCH(9.99E+307,'Returns (Calc)'!$A:$A)-3),"")</f>
        <v>36.2098101265823</v>
      </c>
      <c r="AE32" s="144" t="n">
        <f aca="false">IFERROR('Price History'!J3+(INDEX('Price History'!J:J,MATCH(9.99E+307,'Price History'!$A:$A))-'Price History'!J3)*(ROW()-3)/(MATCH(9.99E+307,'Returns (Calc)'!$A:$A)-3),"")</f>
        <v>56.425253164557</v>
      </c>
      <c r="AF32" s="144" t="n">
        <f aca="false">IFERROR('Price History'!K3+(INDEX('Price History'!K:K,MATCH(9.99E+307,'Price History'!$A:$A))-'Price History'!K3)*(ROW()-3)/(MATCH(9.99E+307,'Returns (Calc)'!$A:$A)-3),"")</f>
        <v>35.7362658227848</v>
      </c>
      <c r="AG32" s="144" t="n">
        <f aca="false">IFERROR('Price History'!L3+(INDEX('Price History'!L:L,MATCH(9.99E+307,'Price History'!$A:$A))-'Price History'!L3)*(ROW()-3)/(MATCH(9.99E+307,'Returns (Calc)'!$A:$A)-3),"")</f>
        <v>91.3124050632911</v>
      </c>
      <c r="AH32" s="144" t="n">
        <f aca="false">IFERROR('Price History'!M3+(INDEX('Price History'!M:M,MATCH(9.99E+307,'Price History'!$A:$A))-'Price History'!M3)*(ROW()-3)/(MATCH(9.99E+307,'Returns (Calc)'!$A:$A)-3),"")</f>
        <v>12.5162658227848</v>
      </c>
      <c r="AI32" s="144" t="n">
        <f aca="false">IFERROR('Price History'!N3+(INDEX('Price History'!N:N,MATCH(9.99E+307,'Price History'!$A:$A))-'Price History'!N3)*(ROW()-3)/(MATCH(9.99E+307,'Returns (Calc)'!$A:$A)-3),"")</f>
        <v>17.7987341772152</v>
      </c>
      <c r="AJ32" s="144" t="n">
        <f aca="false">IFERROR('Price History'!O3+(INDEX('Price History'!O:O,MATCH(9.99E+307,'Price History'!$A:$A))-'Price History'!O3)*(ROW()-3)/(MATCH(9.99E+307,'Returns (Calc)'!$A:$A)-3),"")</f>
        <v>47.0523417721519</v>
      </c>
      <c r="AK32" s="144" t="n">
        <f aca="false">IFERROR('Price History'!Q3+(INDEX('Price History'!Q:Q,MATCH(9.99E+307,'Price History'!$A:$A))-'Price History'!Q3)*(ROW()-3)/(MATCH(9.99E+307,'Returns (Calc)'!$A:$A)-3),"")</f>
        <v>192.381455696203</v>
      </c>
      <c r="AL32" s="144" t="n">
        <f aca="false">IFERROR('Price History'!R3+(INDEX('Price History'!R:R,MATCH(9.99E+307,'Price History'!$A:$A))-'Price History'!R3)*(ROW()-3)/(MATCH(9.99E+307,'Returns (Calc)'!$A:$A)-3),"")</f>
        <v>39.0429113924051</v>
      </c>
      <c r="AM32" s="144" t="n">
        <f aca="false">IFERROR('Price History'!S3+(INDEX('Price History'!S:S,MATCH(9.99E+307,'Price History'!$A:$A))-'Price History'!S3)*(ROW()-3)/(MATCH(9.99E+307,'Returns (Calc)'!$A:$A)-3),"")</f>
        <v>47.7953164556962</v>
      </c>
      <c r="AN32" s="144" t="n">
        <f aca="false">IFERROR('Price History'!T3+(INDEX('Price History'!T:T,MATCH(9.99E+307,'Price History'!$A:$A))-'Price History'!T3)*(ROW()-3)/(MATCH(9.99E+307,'Returns (Calc)'!$A:$A)-3),"")</f>
        <v>21.9708227848101</v>
      </c>
      <c r="AO32" s="145" t="n">
        <f aca="false">IFERROR('Price History'!V3+(INDEX('Price History'!V:V,MATCH(9.99E+307,'Price History'!$A:$A))-'Price History'!V3)*(ROW()-3)/(MATCH(9.99E+307,'Returns (Calc)'!$A:$A)-3),"")</f>
        <v>0</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-0.00901428236946844</v>
      </c>
      <c r="G33" s="142" t="n">
        <f aca="false">IFERROR(IF(OR(NOT(ISNUMBER('Price History'!G34)),NOT(ISNUMBER('Price History'!G33)),'Price History'!G33=0),"",'Price History'!G34/'Price History'!G33-1),"")</f>
        <v>-0.0854258348433861</v>
      </c>
      <c r="H33" s="142" t="n">
        <f aca="false">IFERROR(IF(OR(NOT(ISNUMBER('Price History'!H34)),NOT(ISNUMBER('Price History'!H33)),'Price History'!H33=0),"",'Price History'!H34/'Price History'!H33-1),"")</f>
        <v>0.00986780860175007</v>
      </c>
      <c r="I33" s="142" t="n">
        <f aca="false">IFERROR(IF(OR(NOT(ISNUMBER('Price History'!I34)),NOT(ISNUMBER('Price History'!I33)),'Price History'!I33=0),"",'Price History'!I34/'Price History'!I33-1),"")</f>
        <v>-0.0773836252058076</v>
      </c>
      <c r="J33" s="142" t="n">
        <f aca="false">IFERROR(IF(OR(NOT(ISNUMBER('Price History'!J34)),NOT(ISNUMBER('Price History'!J33)),'Price History'!J33=0),"",'Price History'!J34/'Price History'!J33-1),"")</f>
        <v>-0.128565556925606</v>
      </c>
      <c r="K33" s="142" t="n">
        <f aca="false">IFERROR(IF(OR(NOT(ISNUMBER('Price History'!K34)),NOT(ISNUMBER('Price History'!K33)),'Price History'!K33=0),"",'Price History'!K34/'Price History'!K33-1),"")</f>
        <v>-0.136001819422333</v>
      </c>
      <c r="L33" s="142" t="n">
        <f aca="false">IFERROR(IF(OR(NOT(ISNUMBER('Price History'!L34)),NOT(ISNUMBER('Price History'!L33)),'Price History'!L33=0),"",'Price History'!L34/'Price History'!L33-1),"")</f>
        <v>-0.130363337593573</v>
      </c>
      <c r="M33" s="142" t="n">
        <f aca="false">IFERROR(IF(OR(NOT(ISNUMBER('Price History'!M34)),NOT(ISNUMBER('Price History'!M33)),'Price History'!M33=0),"",'Price History'!M34/'Price History'!M33-1),"")</f>
        <v>-0.0970445522717248</v>
      </c>
      <c r="N33" s="142" t="n">
        <f aca="false">IFERROR(IF(OR(NOT(ISNUMBER('Price History'!N34)),NOT(ISNUMBER('Price History'!N33)),'Price History'!N33=0),"",'Price History'!N34/'Price History'!N33-1),"")</f>
        <v>-0.00171232876712324</v>
      </c>
      <c r="O33" s="142" t="n">
        <f aca="false">IFERROR(IF(OR(NOT(ISNUMBER('Price History'!O34)),NOT(ISNUMBER('Price History'!O33)),'Price History'!O33=0),"",'Price History'!O34/'Price History'!O33-1),"")</f>
        <v>-0.0568313021167416</v>
      </c>
      <c r="P33" s="142" t="n">
        <f aca="false">IFERROR(IF(OR(NOT(ISNUMBER('Price History'!P34)),NOT(ISNUMBER('Price History'!P33)),'Price History'!P33=0),"",'Price History'!P34/'Price History'!P33-1),"")</f>
        <v>-0.104024902273056</v>
      </c>
      <c r="Q33" s="142" t="n">
        <f aca="false">IFERROR(IF(OR(NOT(ISNUMBER('Price History'!Q34)),NOT(ISNUMBER('Price History'!Q33)),'Price History'!Q33=0),"",'Price History'!Q34/'Price History'!Q33-1),"")</f>
        <v>-0.0224134111217783</v>
      </c>
      <c r="R33" s="142" t="n">
        <f aca="false">IFERROR(IF(OR(NOT(ISNUMBER('Price History'!R34)),NOT(ISNUMBER('Price History'!R33)),'Price History'!R33=0),"",'Price History'!R34/'Price History'!R33-1),"")</f>
        <v>-0.00526414739612713</v>
      </c>
      <c r="S33" s="142" t="n">
        <f aca="false">IFERROR(IF(OR(NOT(ISNUMBER('Price History'!S34)),NOT(ISNUMBER('Price History'!S33)),'Price History'!S33=0),"",'Price History'!S34/'Price History'!S33-1),"")</f>
        <v>-0.00518987341772148</v>
      </c>
      <c r="T33" s="142" t="n">
        <f aca="false">IFERROR(IF(OR(NOT(ISNUMBER('Price History'!T34)),NOT(ISNUMBER('Price History'!T33)),'Price History'!T33=0),"",'Price History'!T34/'Price History'!T33-1),"")</f>
        <v>0.0136629798308394</v>
      </c>
      <c r="U33" s="142" t="str">
        <f aca="false">IFERROR(IF(OR(NOT(ISNUMBER('Price History'!U34)),NOT(ISNUMBER('Price History'!U33)),'Price History'!U33=0),"",'Price History'!U34/'Price History'!U33-1),"")</f>
        <v/>
      </c>
      <c r="V33" s="143" t="n">
        <f aca="false">IFERROR(IF(OR(NOT(ISNUMBER('Price History'!V34)),NOT(ISNUMBER('Price History'!V33)),'Price History'!V33=0),"",'Price History'!V34/'Price History'!V33-1),"")</f>
        <v>0.0106979113601631</v>
      </c>
      <c r="W33" s="144" t="str">
        <f aca="false">IFERROR('Price History'!B3+(INDEX('Price History'!B:B,MATCH(9.99E+307,'Price History'!$A:$A))-'Price History'!B3)*(ROW()-3)/(MATCH(9.99E+307,'Returns (Calc)'!$A:$A)-3),"")</f>
        <v/>
      </c>
      <c r="X33" s="144" t="n">
        <f aca="false">IFERROR('Price History'!C3+(INDEX('Price History'!C:C,MATCH(9.99E+307,'Price History'!$A:$A))-'Price History'!C3)*(ROW()-3)/(MATCH(9.99E+307,'Returns (Calc)'!$A:$A)-3),"")</f>
        <v>37.4116455696203</v>
      </c>
      <c r="Y33" s="144" t="n">
        <f aca="false">IFERROR('Price History'!D3+(INDEX('Price History'!D:D,MATCH(9.99E+307,'Price History'!$A:$A))-'Price History'!D3)*(ROW()-3)/(MATCH(9.99E+307,'Returns (Calc)'!$A:$A)-3),"")</f>
        <v>471.501772151899</v>
      </c>
      <c r="Z33" s="144" t="n">
        <f aca="false">IFERROR('Price History'!E3+(INDEX('Price History'!E:E,MATCH(9.99E+307,'Price History'!$A:$A))-'Price History'!E3)*(ROW()-3)/(MATCH(9.99E+307,'Returns (Calc)'!$A:$A)-3),"")</f>
        <v>66.4303797468354</v>
      </c>
      <c r="AA33" s="144" t="n">
        <f aca="false">IFERROR('Price History'!F3+(INDEX('Price History'!F:F,MATCH(9.99E+307,'Price History'!$A:$A))-'Price History'!F3)*(ROW()-3)/(MATCH(9.99E+307,'Returns (Calc)'!$A:$A)-3),"")</f>
        <v>61.0106329113924</v>
      </c>
      <c r="AB33" s="144" t="n">
        <f aca="false">IFERROR('Price History'!G3+(INDEX('Price History'!G:G,MATCH(9.99E+307,'Price History'!$A:$A))-'Price History'!G3)*(ROW()-3)/(MATCH(9.99E+307,'Returns (Calc)'!$A:$A)-3),"")</f>
        <v>33.506835443038</v>
      </c>
      <c r="AC33" s="144" t="n">
        <f aca="false">IFERROR('Price History'!H3+(INDEX('Price History'!H:H,MATCH(9.99E+307,'Price History'!$A:$A))-'Price History'!H3)*(ROW()-3)/(MATCH(9.99E+307,'Returns (Calc)'!$A:$A)-3),"")</f>
        <v>81.4906329113924</v>
      </c>
      <c r="AD33" s="144" t="n">
        <f aca="false">IFERROR('Price History'!I3+(INDEX('Price History'!I:I,MATCH(9.99E+307,'Price History'!$A:$A))-'Price History'!I3)*(ROW()-3)/(MATCH(9.99E+307,'Returns (Calc)'!$A:$A)-3),"")</f>
        <v>35.9291139240506</v>
      </c>
      <c r="AE33" s="144" t="n">
        <f aca="false">IFERROR('Price History'!J3+(INDEX('Price History'!J:J,MATCH(9.99E+307,'Price History'!$A:$A))-'Price History'!J3)*(ROW()-3)/(MATCH(9.99E+307,'Returns (Calc)'!$A:$A)-3),"")</f>
        <v>55.9878481012658</v>
      </c>
      <c r="AF33" s="144" t="n">
        <f aca="false">IFERROR('Price History'!K3+(INDEX('Price History'!K:K,MATCH(9.99E+307,'Price History'!$A:$A))-'Price History'!K3)*(ROW()-3)/(MATCH(9.99E+307,'Returns (Calc)'!$A:$A)-3),"")</f>
        <v>35.4592405063291</v>
      </c>
      <c r="AG33" s="144" t="n">
        <f aca="false">IFERROR('Price History'!L3+(INDEX('Price History'!L:L,MATCH(9.99E+307,'Price History'!$A:$A))-'Price History'!L3)*(ROW()-3)/(MATCH(9.99E+307,'Returns (Calc)'!$A:$A)-3),"")</f>
        <v>90.6045569620253</v>
      </c>
      <c r="AH33" s="144" t="n">
        <f aca="false">IFERROR('Price History'!M3+(INDEX('Price History'!M:M,MATCH(9.99E+307,'Price History'!$A:$A))-'Price History'!M3)*(ROW()-3)/(MATCH(9.99E+307,'Returns (Calc)'!$A:$A)-3),"")</f>
        <v>12.4192405063291</v>
      </c>
      <c r="AI33" s="144" t="n">
        <f aca="false">IFERROR('Price History'!N3+(INDEX('Price History'!N:N,MATCH(9.99E+307,'Price History'!$A:$A))-'Price History'!N3)*(ROW()-3)/(MATCH(9.99E+307,'Returns (Calc)'!$A:$A)-3),"")</f>
        <v>17.6607594936709</v>
      </c>
      <c r="AJ33" s="144" t="n">
        <f aca="false">IFERROR('Price History'!O3+(INDEX('Price History'!O:O,MATCH(9.99E+307,'Price History'!$A:$A))-'Price History'!O3)*(ROW()-3)/(MATCH(9.99E+307,'Returns (Calc)'!$A:$A)-3),"")</f>
        <v>46.6875949367089</v>
      </c>
      <c r="AK33" s="144" t="n">
        <f aca="false">IFERROR('Price History'!Q3+(INDEX('Price History'!Q:Q,MATCH(9.99E+307,'Price History'!$A:$A))-'Price History'!Q3)*(ROW()-3)/(MATCH(9.99E+307,'Returns (Calc)'!$A:$A)-3),"")</f>
        <v>190.890126582278</v>
      </c>
      <c r="AL33" s="144" t="n">
        <f aca="false">IFERROR('Price History'!R3+(INDEX('Price History'!R:R,MATCH(9.99E+307,'Price History'!$A:$A))-'Price History'!R3)*(ROW()-3)/(MATCH(9.99E+307,'Returns (Calc)'!$A:$A)-3),"")</f>
        <v>38.740253164557</v>
      </c>
      <c r="AM33" s="144" t="n">
        <f aca="false">IFERROR('Price History'!S3+(INDEX('Price History'!S:S,MATCH(9.99E+307,'Price History'!$A:$A))-'Price History'!S3)*(ROW()-3)/(MATCH(9.99E+307,'Returns (Calc)'!$A:$A)-3),"")</f>
        <v>47.4248101265823</v>
      </c>
      <c r="AN33" s="144" t="n">
        <f aca="false">IFERROR('Price History'!T3+(INDEX('Price History'!T:T,MATCH(9.99E+307,'Price History'!$A:$A))-'Price History'!T3)*(ROW()-3)/(MATCH(9.99E+307,'Returns (Calc)'!$A:$A)-3),"")</f>
        <v>21.8005063291139</v>
      </c>
      <c r="AO33" s="145" t="n">
        <f aca="false">IFERROR('Price History'!V3+(INDEX('Price History'!V:V,MATCH(9.99E+307,'Price History'!$A:$A))-'Price History'!V3)*(ROW()-3)/(MATCH(9.99E+307,'Returns (Calc)'!$A:$A)-3),"")</f>
        <v>0</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0.0248080330773774</v>
      </c>
      <c r="G34" s="142" t="n">
        <f aca="false">IFERROR(IF(OR(NOT(ISNUMBER('Price History'!G35)),NOT(ISNUMBER('Price History'!G34)),'Price History'!G34=0),"",'Price History'!G35/'Price History'!G34-1),"")</f>
        <v>0.0758562128502689</v>
      </c>
      <c r="H34" s="142" t="n">
        <f aca="false">IFERROR(IF(OR(NOT(ISNUMBER('Price History'!H35)),NOT(ISNUMBER('Price History'!H34)),'Price History'!H34=0),"",'Price History'!H35/'Price History'!H34-1),"")</f>
        <v>0.00912610619469012</v>
      </c>
      <c r="I34" s="142" t="n">
        <f aca="false">IFERROR(IF(OR(NOT(ISNUMBER('Price History'!I35)),NOT(ISNUMBER('Price History'!I34)),'Price History'!I34=0),"",'Price History'!I35/'Price History'!I34-1),"")</f>
        <v>0.124432186891629</v>
      </c>
      <c r="J34" s="142" t="n">
        <f aca="false">IFERROR(IF(OR(NOT(ISNUMBER('Price History'!J35)),NOT(ISNUMBER('Price History'!J34)),'Price History'!J34=0),"",'Price History'!J35/'Price History'!J34-1),"")</f>
        <v>0.0755589095368361</v>
      </c>
      <c r="K34" s="142" t="n">
        <f aca="false">IFERROR(IF(OR(NOT(ISNUMBER('Price History'!K35)),NOT(ISNUMBER('Price History'!K34)),'Price History'!K34=0),"",'Price History'!K35/'Price History'!K34-1),"")</f>
        <v>0.151487233482495</v>
      </c>
      <c r="L34" s="142" t="n">
        <f aca="false">IFERROR(IF(OR(NOT(ISNUMBER('Price History'!L35)),NOT(ISNUMBER('Price History'!L34)),'Price History'!L34=0),"",'Price History'!L35/'Price History'!L34-1),"")</f>
        <v>0.00556372034432084</v>
      </c>
      <c r="M34" s="142" t="n">
        <f aca="false">IFERROR(IF(OR(NOT(ISNUMBER('Price History'!M35)),NOT(ISNUMBER('Price History'!M34)),'Price History'!M34=0),"",'Price History'!M35/'Price History'!M34-1),"")</f>
        <v>0.100146555935515</v>
      </c>
      <c r="N34" s="142" t="n">
        <f aca="false">IFERROR(IF(OR(NOT(ISNUMBER('Price History'!N35)),NOT(ISNUMBER('Price History'!N34)),'Price History'!N34=0),"",'Price History'!N35/'Price History'!N34-1),"")</f>
        <v>0.010720411663808</v>
      </c>
      <c r="O34" s="142" t="n">
        <f aca="false">IFERROR(IF(OR(NOT(ISNUMBER('Price History'!O35)),NOT(ISNUMBER('Price History'!O34)),'Price History'!O34=0),"",'Price History'!O35/'Price History'!O34-1),"")</f>
        <v>0.0300598476605007</v>
      </c>
      <c r="P34" s="142" t="n">
        <f aca="false">IFERROR(IF(OR(NOT(ISNUMBER('Price History'!P35)),NOT(ISNUMBER('Price History'!P34)),'Price History'!P34=0),"",'Price History'!P35/'Price History'!P34-1),"")</f>
        <v>0.0830572836713259</v>
      </c>
      <c r="Q34" s="142" t="n">
        <f aca="false">IFERROR(IF(OR(NOT(ISNUMBER('Price History'!Q35)),NOT(ISNUMBER('Price History'!Q34)),'Price History'!Q34=0),"",'Price History'!Q35/'Price History'!Q34-1),"")</f>
        <v>0.0175637393767705</v>
      </c>
      <c r="R34" s="142" t="n">
        <f aca="false">IFERROR(IF(OR(NOT(ISNUMBER('Price History'!R35)),NOT(ISNUMBER('Price History'!R34)),'Price History'!R34=0),"",'Price History'!R35/'Price History'!R34-1),"")</f>
        <v>0.0255150255150256</v>
      </c>
      <c r="S34" s="142" t="n">
        <f aca="false">IFERROR(IF(OR(NOT(ISNUMBER('Price History'!S35)),NOT(ISNUMBER('Price History'!S34)),'Price History'!S34=0),"",'Price History'!S35/'Price History'!S34-1),"")</f>
        <v>0.028502353989057</v>
      </c>
      <c r="T34" s="142" t="n">
        <f aca="false">IFERROR(IF(OR(NOT(ISNUMBER('Price History'!T35)),NOT(ISNUMBER('Price History'!T34)),'Price History'!T34=0),"",'Price History'!T35/'Price History'!T34-1),"")</f>
        <v>0.0240693196405648</v>
      </c>
      <c r="U34" s="142" t="str">
        <f aca="false">IFERROR(IF(OR(NOT(ISNUMBER('Price History'!U35)),NOT(ISNUMBER('Price History'!U34)),'Price History'!U34=0),"",'Price History'!U35/'Price History'!U34-1),"")</f>
        <v/>
      </c>
      <c r="V34" s="143" t="n">
        <f aca="false">IFERROR(IF(OR(NOT(ISNUMBER('Price History'!V35)),NOT(ISNUMBER('Price History'!V34)),'Price History'!V34=0),"",'Price History'!V35/'Price History'!V34-1),"")</f>
        <v>0.000792050691244439</v>
      </c>
      <c r="W34" s="144" t="str">
        <f aca="false">IFERROR('Price History'!B3+(INDEX('Price History'!B:B,MATCH(9.99E+307,'Price History'!$A:$A))-'Price History'!B3)*(ROW()-3)/(MATCH(9.99E+307,'Returns (Calc)'!$A:$A)-3),"")</f>
        <v/>
      </c>
      <c r="X34" s="144" t="n">
        <f aca="false">IFERROR('Price History'!C3+(INDEX('Price History'!C:C,MATCH(9.99E+307,'Price History'!$A:$A))-'Price History'!C3)*(ROW()-3)/(MATCH(9.99E+307,'Returns (Calc)'!$A:$A)-3),"")</f>
        <v>37.1193670886076</v>
      </c>
      <c r="Y34" s="144" t="n">
        <f aca="false">IFERROR('Price History'!D3+(INDEX('Price History'!D:D,MATCH(9.99E+307,'Price History'!$A:$A))-'Price History'!D3)*(ROW()-3)/(MATCH(9.99E+307,'Returns (Calc)'!$A:$A)-3),"")</f>
        <v>467.818164556962</v>
      </c>
      <c r="Z34" s="144" t="n">
        <f aca="false">IFERROR('Price History'!E3+(INDEX('Price History'!E:E,MATCH(9.99E+307,'Price History'!$A:$A))-'Price History'!E3)*(ROW()-3)/(MATCH(9.99E+307,'Returns (Calc)'!$A:$A)-3),"")</f>
        <v>65.9113924050633</v>
      </c>
      <c r="AA34" s="144" t="n">
        <f aca="false">IFERROR('Price History'!F3+(INDEX('Price History'!F:F,MATCH(9.99E+307,'Price History'!$A:$A))-'Price History'!F3)*(ROW()-3)/(MATCH(9.99E+307,'Returns (Calc)'!$A:$A)-3),"")</f>
        <v>60.5339873417722</v>
      </c>
      <c r="AB34" s="144" t="n">
        <f aca="false">IFERROR('Price History'!G3+(INDEX('Price History'!G:G,MATCH(9.99E+307,'Price History'!$A:$A))-'Price History'!G3)*(ROW()-3)/(MATCH(9.99E+307,'Returns (Calc)'!$A:$A)-3),"")</f>
        <v>33.2450632911392</v>
      </c>
      <c r="AC34" s="144" t="n">
        <f aca="false">IFERROR('Price History'!H3+(INDEX('Price History'!H:H,MATCH(9.99E+307,'Price History'!$A:$A))-'Price History'!H3)*(ROW()-3)/(MATCH(9.99E+307,'Returns (Calc)'!$A:$A)-3),"")</f>
        <v>80.8539873417722</v>
      </c>
      <c r="AD34" s="144" t="n">
        <f aca="false">IFERROR('Price History'!I3+(INDEX('Price History'!I:I,MATCH(9.99E+307,'Price History'!$A:$A))-'Price History'!I3)*(ROW()-3)/(MATCH(9.99E+307,'Returns (Calc)'!$A:$A)-3),"")</f>
        <v>35.648417721519</v>
      </c>
      <c r="AE34" s="144" t="n">
        <f aca="false">IFERROR('Price History'!J3+(INDEX('Price History'!J:J,MATCH(9.99E+307,'Price History'!$A:$A))-'Price History'!J3)*(ROW()-3)/(MATCH(9.99E+307,'Returns (Calc)'!$A:$A)-3),"")</f>
        <v>55.5504430379747</v>
      </c>
      <c r="AF34" s="144" t="n">
        <f aca="false">IFERROR('Price History'!K3+(INDEX('Price History'!K:K,MATCH(9.99E+307,'Price History'!$A:$A))-'Price History'!K3)*(ROW()-3)/(MATCH(9.99E+307,'Returns (Calc)'!$A:$A)-3),"")</f>
        <v>35.1822151898734</v>
      </c>
      <c r="AG34" s="144" t="n">
        <f aca="false">IFERROR('Price History'!L3+(INDEX('Price History'!L:L,MATCH(9.99E+307,'Price History'!$A:$A))-'Price History'!L3)*(ROW()-3)/(MATCH(9.99E+307,'Returns (Calc)'!$A:$A)-3),"")</f>
        <v>89.8967088607595</v>
      </c>
      <c r="AH34" s="144" t="n">
        <f aca="false">IFERROR('Price History'!M3+(INDEX('Price History'!M:M,MATCH(9.99E+307,'Price History'!$A:$A))-'Price History'!M3)*(ROW()-3)/(MATCH(9.99E+307,'Returns (Calc)'!$A:$A)-3),"")</f>
        <v>12.3222151898734</v>
      </c>
      <c r="AI34" s="144" t="n">
        <f aca="false">IFERROR('Price History'!N3+(INDEX('Price History'!N:N,MATCH(9.99E+307,'Price History'!$A:$A))-'Price History'!N3)*(ROW()-3)/(MATCH(9.99E+307,'Returns (Calc)'!$A:$A)-3),"")</f>
        <v>17.5227848101266</v>
      </c>
      <c r="AJ34" s="144" t="n">
        <f aca="false">IFERROR('Price History'!O3+(INDEX('Price History'!O:O,MATCH(9.99E+307,'Price History'!$A:$A))-'Price History'!O3)*(ROW()-3)/(MATCH(9.99E+307,'Returns (Calc)'!$A:$A)-3),"")</f>
        <v>46.3228481012658</v>
      </c>
      <c r="AK34" s="144" t="n">
        <f aca="false">IFERROR('Price History'!Q3+(INDEX('Price History'!Q:Q,MATCH(9.99E+307,'Price History'!$A:$A))-'Price History'!Q3)*(ROW()-3)/(MATCH(9.99E+307,'Returns (Calc)'!$A:$A)-3),"")</f>
        <v>189.398797468354</v>
      </c>
      <c r="AL34" s="144" t="n">
        <f aca="false">IFERROR('Price History'!R3+(INDEX('Price History'!R:R,MATCH(9.99E+307,'Price History'!$A:$A))-'Price History'!R3)*(ROW()-3)/(MATCH(9.99E+307,'Returns (Calc)'!$A:$A)-3),"")</f>
        <v>38.4375949367089</v>
      </c>
      <c r="AM34" s="144" t="n">
        <f aca="false">IFERROR('Price History'!S3+(INDEX('Price History'!S:S,MATCH(9.99E+307,'Price History'!$A:$A))-'Price History'!S3)*(ROW()-3)/(MATCH(9.99E+307,'Returns (Calc)'!$A:$A)-3),"")</f>
        <v>47.0543037974684</v>
      </c>
      <c r="AN34" s="144" t="n">
        <f aca="false">IFERROR('Price History'!T3+(INDEX('Price History'!T:T,MATCH(9.99E+307,'Price History'!$A:$A))-'Price History'!T3)*(ROW()-3)/(MATCH(9.99E+307,'Returns (Calc)'!$A:$A)-3),"")</f>
        <v>21.6301898734177</v>
      </c>
      <c r="AO34" s="145" t="n">
        <f aca="false">IFERROR('Price History'!V3+(INDEX('Price History'!V:V,MATCH(9.99E+307,'Price History'!$A:$A))-'Price History'!V3)*(ROW()-3)/(MATCH(9.99E+307,'Returns (Calc)'!$A:$A)-3),"")</f>
        <v>0</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0.00680115273775228</v>
      </c>
      <c r="G35" s="142" t="n">
        <f aca="false">IFERROR(IF(OR(NOT(ISNUMBER('Price History'!G36)),NOT(ISNUMBER('Price History'!G35)),'Price History'!G35=0),"",'Price History'!G36/'Price History'!G35-1),"")</f>
        <v>0.0201262825572217</v>
      </c>
      <c r="H35" s="142" t="n">
        <f aca="false">IFERROR(IF(OR(NOT(ISNUMBER('Price History'!H36)),NOT(ISNUMBER('Price History'!H35)),'Price History'!H35=0),"",'Price History'!H36/'Price History'!H35-1),"")</f>
        <v>0.0122407965652691</v>
      </c>
      <c r="I35" s="142" t="n">
        <f aca="false">IFERROR(IF(OR(NOT(ISNUMBER('Price History'!I36)),NOT(ISNUMBER('Price History'!I35)),'Price History'!I35=0),"",'Price History'!I36/'Price History'!I35-1),"")</f>
        <v>-0.0137065358534122</v>
      </c>
      <c r="J35" s="142" t="n">
        <f aca="false">IFERROR(IF(OR(NOT(ISNUMBER('Price History'!J36)),NOT(ISNUMBER('Price History'!J35)),'Price History'!J35=0),"",'Price History'!J36/'Price History'!J35-1),"")</f>
        <v>-0.00122785476232246</v>
      </c>
      <c r="K35" s="142" t="n">
        <f aca="false">IFERROR(IF(OR(NOT(ISNUMBER('Price History'!K36)),NOT(ISNUMBER('Price History'!K35)),'Price History'!K35=0),"",'Price History'!K36/'Price History'!K35-1),"")</f>
        <v>0.0120013715853242</v>
      </c>
      <c r="L35" s="142" t="n">
        <f aca="false">IFERROR(IF(OR(NOT(ISNUMBER('Price History'!L36)),NOT(ISNUMBER('Price History'!L35)),'Price History'!L35=0),"",'Price History'!L36/'Price History'!L35-1),"")</f>
        <v>0.0175383651738177</v>
      </c>
      <c r="M35" s="142" t="n">
        <f aca="false">IFERROR(IF(OR(NOT(ISNUMBER('Price History'!M36)),NOT(ISNUMBER('Price History'!M35)),'Price History'!M35=0),"",'Price History'!M36/'Price History'!M35-1),"")</f>
        <v>0.0359680284191828</v>
      </c>
      <c r="N35" s="142" t="n">
        <f aca="false">IFERROR(IF(OR(NOT(ISNUMBER('Price History'!N36)),NOT(ISNUMBER('Price History'!N35)),'Price History'!N35=0),"",'Price History'!N36/'Price History'!N35-1),"")</f>
        <v>0.0063640220619432</v>
      </c>
      <c r="O35" s="142" t="n">
        <f aca="false">IFERROR(IF(OR(NOT(ISNUMBER('Price History'!O36)),NOT(ISNUMBER('Price History'!O35)),'Price History'!O35=0),"",'Price History'!O36/'Price History'!O35-1),"")</f>
        <v>0.00977155684669206</v>
      </c>
      <c r="P35" s="142" t="n">
        <f aca="false">IFERROR(IF(OR(NOT(ISNUMBER('Price History'!P36)),NOT(ISNUMBER('Price History'!P35)),'Price History'!P35=0),"",'Price History'!P36/'Price History'!P35-1),"")</f>
        <v>0.023573293547184</v>
      </c>
      <c r="Q35" s="142" t="n">
        <f aca="false">IFERROR(IF(OR(NOT(ISNUMBER('Price History'!Q36)),NOT(ISNUMBER('Price History'!Q35)),'Price History'!Q35=0),"",'Price History'!Q36/'Price History'!Q35-1),"")</f>
        <v>-0.0219376391982181</v>
      </c>
      <c r="R35" s="142" t="n">
        <f aca="false">IFERROR(IF(OR(NOT(ISNUMBER('Price History'!R36)),NOT(ISNUMBER('Price History'!R35)),'Price History'!R35=0),"",'Price History'!R36/'Price History'!R35-1),"")</f>
        <v>-0.000368595650571235</v>
      </c>
      <c r="S35" s="142" t="n">
        <f aca="false">IFERROR(IF(OR(NOT(ISNUMBER('Price History'!S36)),NOT(ISNUMBER('Price History'!S35)),'Price History'!S35=0),"",'Price History'!S36/'Price History'!S35-1),"")</f>
        <v>-0.00754670295682292</v>
      </c>
      <c r="T35" s="142" t="n">
        <f aca="false">IFERROR(IF(OR(NOT(ISNUMBER('Price History'!T36)),NOT(ISNUMBER('Price History'!T35)),'Price History'!T35=0),"",'Price History'!T36/'Price History'!T35-1),"")</f>
        <v>0.0156690692572861</v>
      </c>
      <c r="U35" s="142" t="str">
        <f aca="false">IFERROR(IF(OR(NOT(ISNUMBER('Price History'!U36)),NOT(ISNUMBER('Price History'!U35)),'Price History'!U35=0),"",'Price History'!U36/'Price History'!U35-1),"")</f>
        <v/>
      </c>
      <c r="V35" s="143" t="str">
        <f aca="false">IFERROR(IF(OR(NOT(ISNUMBER('Price History'!V36)),NOT(ISNUMBER('Price History'!V35)),'Price History'!V35=0),"",'Price History'!V36/'Price History'!V35-1),"")</f>
        <v/>
      </c>
      <c r="W35" s="144" t="str">
        <f aca="false">IFERROR('Price History'!B3+(INDEX('Price History'!B:B,MATCH(9.99E+307,'Price History'!$A:$A))-'Price History'!B3)*(ROW()-3)/(MATCH(9.99E+307,'Returns (Calc)'!$A:$A)-3),"")</f>
        <v/>
      </c>
      <c r="X35" s="144" t="n">
        <f aca="false">IFERROR('Price History'!C3+(INDEX('Price History'!C:C,MATCH(9.99E+307,'Price History'!$A:$A))-'Price History'!C3)*(ROW()-3)/(MATCH(9.99E+307,'Returns (Calc)'!$A:$A)-3),"")</f>
        <v>36.8270886075949</v>
      </c>
      <c r="Y35" s="144" t="n">
        <f aca="false">IFERROR('Price History'!D3+(INDEX('Price History'!D:D,MATCH(9.99E+307,'Price History'!$A:$A))-'Price History'!D3)*(ROW()-3)/(MATCH(9.99E+307,'Returns (Calc)'!$A:$A)-3),"")</f>
        <v>464.134556962025</v>
      </c>
      <c r="Z35" s="144" t="n">
        <f aca="false">IFERROR('Price History'!E3+(INDEX('Price History'!E:E,MATCH(9.99E+307,'Price History'!$A:$A))-'Price History'!E3)*(ROW()-3)/(MATCH(9.99E+307,'Returns (Calc)'!$A:$A)-3),"")</f>
        <v>65.3924050632911</v>
      </c>
      <c r="AA35" s="144" t="n">
        <f aca="false">IFERROR('Price History'!F3+(INDEX('Price History'!F:F,MATCH(9.99E+307,'Price History'!$A:$A))-'Price History'!F3)*(ROW()-3)/(MATCH(9.99E+307,'Returns (Calc)'!$A:$A)-3),"")</f>
        <v>60.0573417721519</v>
      </c>
      <c r="AB35" s="144" t="n">
        <f aca="false">IFERROR('Price History'!G3+(INDEX('Price History'!G:G,MATCH(9.99E+307,'Price History'!$A:$A))-'Price History'!G3)*(ROW()-3)/(MATCH(9.99E+307,'Returns (Calc)'!$A:$A)-3),"")</f>
        <v>32.9832911392405</v>
      </c>
      <c r="AC35" s="144" t="n">
        <f aca="false">IFERROR('Price History'!H3+(INDEX('Price History'!H:H,MATCH(9.99E+307,'Price History'!$A:$A))-'Price History'!H3)*(ROW()-3)/(MATCH(9.99E+307,'Returns (Calc)'!$A:$A)-3),"")</f>
        <v>80.2173417721519</v>
      </c>
      <c r="AD35" s="144" t="n">
        <f aca="false">IFERROR('Price History'!I3+(INDEX('Price History'!I:I,MATCH(9.99E+307,'Price History'!$A:$A))-'Price History'!I3)*(ROW()-3)/(MATCH(9.99E+307,'Returns (Calc)'!$A:$A)-3),"")</f>
        <v>35.3677215189873</v>
      </c>
      <c r="AE35" s="144" t="n">
        <f aca="false">IFERROR('Price History'!J3+(INDEX('Price History'!J:J,MATCH(9.99E+307,'Price History'!$A:$A))-'Price History'!J3)*(ROW()-3)/(MATCH(9.99E+307,'Returns (Calc)'!$A:$A)-3),"")</f>
        <v>55.1130379746835</v>
      </c>
      <c r="AF35" s="144" t="n">
        <f aca="false">IFERROR('Price History'!K3+(INDEX('Price History'!K:K,MATCH(9.99E+307,'Price History'!$A:$A))-'Price History'!K3)*(ROW()-3)/(MATCH(9.99E+307,'Returns (Calc)'!$A:$A)-3),"")</f>
        <v>34.9051898734177</v>
      </c>
      <c r="AG35" s="144" t="n">
        <f aca="false">IFERROR('Price History'!L3+(INDEX('Price History'!L:L,MATCH(9.99E+307,'Price History'!$A:$A))-'Price History'!L3)*(ROW()-3)/(MATCH(9.99E+307,'Returns (Calc)'!$A:$A)-3),"")</f>
        <v>89.1888607594937</v>
      </c>
      <c r="AH35" s="144" t="n">
        <f aca="false">IFERROR('Price History'!M3+(INDEX('Price History'!M:M,MATCH(9.99E+307,'Price History'!$A:$A))-'Price History'!M3)*(ROW()-3)/(MATCH(9.99E+307,'Returns (Calc)'!$A:$A)-3),"")</f>
        <v>12.2251898734177</v>
      </c>
      <c r="AI35" s="144" t="n">
        <f aca="false">IFERROR('Price History'!N3+(INDEX('Price History'!N:N,MATCH(9.99E+307,'Price History'!$A:$A))-'Price History'!N3)*(ROW()-3)/(MATCH(9.99E+307,'Returns (Calc)'!$A:$A)-3),"")</f>
        <v>17.3848101265823</v>
      </c>
      <c r="AJ35" s="144" t="n">
        <f aca="false">IFERROR('Price History'!O3+(INDEX('Price History'!O:O,MATCH(9.99E+307,'Price History'!$A:$A))-'Price History'!O3)*(ROW()-3)/(MATCH(9.99E+307,'Returns (Calc)'!$A:$A)-3),"")</f>
        <v>45.9581012658228</v>
      </c>
      <c r="AK35" s="144" t="n">
        <f aca="false">IFERROR('Price History'!Q3+(INDEX('Price History'!Q:Q,MATCH(9.99E+307,'Price History'!$A:$A))-'Price History'!Q3)*(ROW()-3)/(MATCH(9.99E+307,'Returns (Calc)'!$A:$A)-3),"")</f>
        <v>187.90746835443</v>
      </c>
      <c r="AL35" s="144" t="n">
        <f aca="false">IFERROR('Price History'!R3+(INDEX('Price History'!R:R,MATCH(9.99E+307,'Price History'!$A:$A))-'Price History'!R3)*(ROW()-3)/(MATCH(9.99E+307,'Returns (Calc)'!$A:$A)-3),"")</f>
        <v>38.1349367088608</v>
      </c>
      <c r="AM35" s="144" t="n">
        <f aca="false">IFERROR('Price History'!S3+(INDEX('Price History'!S:S,MATCH(9.99E+307,'Price History'!$A:$A))-'Price History'!S3)*(ROW()-3)/(MATCH(9.99E+307,'Returns (Calc)'!$A:$A)-3),"")</f>
        <v>46.6837974683544</v>
      </c>
      <c r="AN35" s="144" t="n">
        <f aca="false">IFERROR('Price History'!T3+(INDEX('Price History'!T:T,MATCH(9.99E+307,'Price History'!$A:$A))-'Price History'!T3)*(ROW()-3)/(MATCH(9.99E+307,'Returns (Calc)'!$A:$A)-3),"")</f>
        <v>21.4598734177215</v>
      </c>
      <c r="AO35" s="145" t="n">
        <f aca="false">IFERROR('Price History'!V3+(INDEX('Price History'!V:V,MATCH(9.99E+307,'Price History'!$A:$A))-'Price History'!V3)*(ROW()-3)/(MATCH(9.99E+307,'Returns (Calc)'!$A:$A)-3),"")</f>
        <v>0</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0.0172887565834667</v>
      </c>
      <c r="G36" s="142" t="n">
        <f aca="false">IFERROR(IF(OR(NOT(ISNUMBER('Price History'!G37)),NOT(ISNUMBER('Price History'!G36)),'Price History'!G36=0),"",'Price History'!G37/'Price History'!G36-1),"")</f>
        <v>0.0340425531914894</v>
      </c>
      <c r="H36" s="142" t="n">
        <f aca="false">IFERROR(IF(OR(NOT(ISNUMBER('Price History'!H37)),NOT(ISNUMBER('Price History'!H36)),'Price History'!H36=0),"",'Price History'!H37/'Price History'!H36-1),"")</f>
        <v>0.0247270101976356</v>
      </c>
      <c r="I36" s="142" t="n">
        <f aca="false">IFERROR(IF(OR(NOT(ISNUMBER('Price History'!I37)),NOT(ISNUMBER('Price History'!I36)),'Price History'!I36=0),"",'Price History'!I37/'Price History'!I36-1),"")</f>
        <v>0.031158572264482</v>
      </c>
      <c r="J36" s="142" t="n">
        <f aca="false">IFERROR(IF(OR(NOT(ISNUMBER('Price History'!J37)),NOT(ISNUMBER('Price History'!J36)),'Price History'!J36=0),"",'Price History'!J37/'Price History'!J36-1),"")</f>
        <v>0.0570776255707763</v>
      </c>
      <c r="K36" s="142" t="n">
        <f aca="false">IFERROR(IF(OR(NOT(ISNUMBER('Price History'!K37)),NOT(ISNUMBER('Price History'!K36)),'Price History'!K36=0),"",'Price History'!K37/'Price History'!K36-1),"")</f>
        <v>0.0121978766659137</v>
      </c>
      <c r="L36" s="142" t="n">
        <f aca="false">IFERROR(IF(OR(NOT(ISNUMBER('Price History'!L37)),NOT(ISNUMBER('Price History'!L36)),'Price History'!L36=0),"",'Price History'!L37/'Price History'!L36-1),"")</f>
        <v>0.0151841592284807</v>
      </c>
      <c r="M36" s="142" t="n">
        <f aca="false">IFERROR(IF(OR(NOT(ISNUMBER('Price History'!M37)),NOT(ISNUMBER('Price History'!M36)),'Price History'!M36=0),"",'Price History'!M37/'Price History'!M36-1),"")</f>
        <v>-0.11701671667381</v>
      </c>
      <c r="N36" s="142" t="n">
        <f aca="false">IFERROR(IF(OR(NOT(ISNUMBER('Price History'!N37)),NOT(ISNUMBER('Price History'!N36)),'Price History'!N36=0),"",'Price History'!N37/'Price History'!N36-1),"")</f>
        <v>0.0168634064080946</v>
      </c>
      <c r="O36" s="142" t="n">
        <f aca="false">IFERROR(IF(OR(NOT(ISNUMBER('Price History'!O37)),NOT(ISNUMBER('Price History'!O36)),'Price History'!O36=0),"",'Price History'!O37/'Price History'!O36-1),"")</f>
        <v>0.0222309402380019</v>
      </c>
      <c r="P36" s="142" t="n">
        <f aca="false">IFERROR(IF(OR(NOT(ISNUMBER('Price History'!P37)),NOT(ISNUMBER('Price History'!P36)),'Price History'!P36=0),"",'Price History'!P37/'Price History'!P36-1),"")</f>
        <v>0.0543692150717876</v>
      </c>
      <c r="Q36" s="142" t="n">
        <f aca="false">IFERROR(IF(OR(NOT(ISNUMBER('Price History'!Q37)),NOT(ISNUMBER('Price History'!Q36)),'Price History'!Q36=0),"",'Price History'!Q37/'Price History'!Q36-1),"")</f>
        <v>0.045618429541918</v>
      </c>
      <c r="R36" s="142" t="n">
        <f aca="false">IFERROR(IF(OR(NOT(ISNUMBER('Price History'!R37)),NOT(ISNUMBER('Price History'!R36)),'Price History'!R36=0),"",'Price History'!R37/'Price History'!R36-1),"")</f>
        <v>-0.0119837758112095</v>
      </c>
      <c r="S36" s="142" t="n">
        <f aca="false">IFERROR(IF(OR(NOT(ISNUMBER('Price History'!S37)),NOT(ISNUMBER('Price History'!S36)),'Price History'!S36=0),"",'Price History'!S37/'Price History'!S36-1),"")</f>
        <v>0.00286711543256057</v>
      </c>
      <c r="T36" s="142" t="n">
        <f aca="false">IFERROR(IF(OR(NOT(ISNUMBER('Price History'!T37)),NOT(ISNUMBER('Price History'!T36)),'Price History'!T36=0),"",'Price History'!T37/'Price History'!T36-1),"")</f>
        <v>-0.00246837395865474</v>
      </c>
      <c r="U36" s="142" t="str">
        <f aca="false">IFERROR(IF(OR(NOT(ISNUMBER('Price History'!U37)),NOT(ISNUMBER('Price History'!U36)),'Price History'!U36=0),"",'Price History'!U37/'Price History'!U36-1),"")</f>
        <v/>
      </c>
      <c r="V36" s="143" t="str">
        <f aca="false">IFERROR(IF(OR(NOT(ISNUMBER('Price History'!V37)),NOT(ISNUMBER('Price History'!V36)),'Price History'!V36=0),"",'Price History'!V37/'Price History'!V36-1),"")</f>
        <v/>
      </c>
      <c r="W36" s="144" t="str">
        <f aca="false">IFERROR('Price History'!B3+(INDEX('Price History'!B:B,MATCH(9.99E+307,'Price History'!$A:$A))-'Price History'!B3)*(ROW()-3)/(MATCH(9.99E+307,'Returns (Calc)'!$A:$A)-3),"")</f>
        <v/>
      </c>
      <c r="X36" s="144" t="n">
        <f aca="false">IFERROR('Price History'!C3+(INDEX('Price History'!C:C,MATCH(9.99E+307,'Price History'!$A:$A))-'Price History'!C3)*(ROW()-3)/(MATCH(9.99E+307,'Returns (Calc)'!$A:$A)-3),"")</f>
        <v>36.5348101265823</v>
      </c>
      <c r="Y36" s="144" t="n">
        <f aca="false">IFERROR('Price History'!D3+(INDEX('Price History'!D:D,MATCH(9.99E+307,'Price History'!$A:$A))-'Price History'!D3)*(ROW()-3)/(MATCH(9.99E+307,'Returns (Calc)'!$A:$A)-3),"")</f>
        <v>460.450949367089</v>
      </c>
      <c r="Z36" s="144" t="n">
        <f aca="false">IFERROR('Price History'!E3+(INDEX('Price History'!E:E,MATCH(9.99E+307,'Price History'!$A:$A))-'Price History'!E3)*(ROW()-3)/(MATCH(9.99E+307,'Returns (Calc)'!$A:$A)-3),"")</f>
        <v>64.873417721519</v>
      </c>
      <c r="AA36" s="144" t="n">
        <f aca="false">IFERROR('Price History'!F3+(INDEX('Price History'!F:F,MATCH(9.99E+307,'Price History'!$A:$A))-'Price History'!F3)*(ROW()-3)/(MATCH(9.99E+307,'Returns (Calc)'!$A:$A)-3),"")</f>
        <v>59.5806962025317</v>
      </c>
      <c r="AB36" s="144" t="n">
        <f aca="false">IFERROR('Price History'!G3+(INDEX('Price History'!G:G,MATCH(9.99E+307,'Price History'!$A:$A))-'Price History'!G3)*(ROW()-3)/(MATCH(9.99E+307,'Returns (Calc)'!$A:$A)-3),"")</f>
        <v>32.7215189873418</v>
      </c>
      <c r="AC36" s="144" t="n">
        <f aca="false">IFERROR('Price History'!H3+(INDEX('Price History'!H:H,MATCH(9.99E+307,'Price History'!$A:$A))-'Price History'!H3)*(ROW()-3)/(MATCH(9.99E+307,'Returns (Calc)'!$A:$A)-3),"")</f>
        <v>79.5806962025316</v>
      </c>
      <c r="AD36" s="144" t="n">
        <f aca="false">IFERROR('Price History'!I3+(INDEX('Price History'!I:I,MATCH(9.99E+307,'Price History'!$A:$A))-'Price History'!I3)*(ROW()-3)/(MATCH(9.99E+307,'Returns (Calc)'!$A:$A)-3),"")</f>
        <v>35.0870253164557</v>
      </c>
      <c r="AE36" s="144" t="n">
        <f aca="false">IFERROR('Price History'!J3+(INDEX('Price History'!J:J,MATCH(9.99E+307,'Price History'!$A:$A))-'Price History'!J3)*(ROW()-3)/(MATCH(9.99E+307,'Returns (Calc)'!$A:$A)-3),"")</f>
        <v>54.6756329113924</v>
      </c>
      <c r="AF36" s="144" t="n">
        <f aca="false">IFERROR('Price History'!K3+(INDEX('Price History'!K:K,MATCH(9.99E+307,'Price History'!$A:$A))-'Price History'!K3)*(ROW()-3)/(MATCH(9.99E+307,'Returns (Calc)'!$A:$A)-3),"")</f>
        <v>34.628164556962</v>
      </c>
      <c r="AG36" s="144" t="n">
        <f aca="false">IFERROR('Price History'!L3+(INDEX('Price History'!L:L,MATCH(9.99E+307,'Price History'!$A:$A))-'Price History'!L3)*(ROW()-3)/(MATCH(9.99E+307,'Returns (Calc)'!$A:$A)-3),"")</f>
        <v>88.4810126582279</v>
      </c>
      <c r="AH36" s="144" t="n">
        <f aca="false">IFERROR('Price History'!M3+(INDEX('Price History'!M:M,MATCH(9.99E+307,'Price History'!$A:$A))-'Price History'!M3)*(ROW()-3)/(MATCH(9.99E+307,'Returns (Calc)'!$A:$A)-3),"")</f>
        <v>12.128164556962</v>
      </c>
      <c r="AI36" s="144" t="n">
        <f aca="false">IFERROR('Price History'!N3+(INDEX('Price History'!N:N,MATCH(9.99E+307,'Price History'!$A:$A))-'Price History'!N3)*(ROW()-3)/(MATCH(9.99E+307,'Returns (Calc)'!$A:$A)-3),"")</f>
        <v>17.246835443038</v>
      </c>
      <c r="AJ36" s="144" t="n">
        <f aca="false">IFERROR('Price History'!O3+(INDEX('Price History'!O:O,MATCH(9.99E+307,'Price History'!$A:$A))-'Price History'!O3)*(ROW()-3)/(MATCH(9.99E+307,'Returns (Calc)'!$A:$A)-3),"")</f>
        <v>45.5933544303798</v>
      </c>
      <c r="AK36" s="144" t="n">
        <f aca="false">IFERROR('Price History'!Q3+(INDEX('Price History'!Q:Q,MATCH(9.99E+307,'Price History'!$A:$A))-'Price History'!Q3)*(ROW()-3)/(MATCH(9.99E+307,'Returns (Calc)'!$A:$A)-3),"")</f>
        <v>186.416139240506</v>
      </c>
      <c r="AL36" s="144" t="n">
        <f aca="false">IFERROR('Price History'!R3+(INDEX('Price History'!R:R,MATCH(9.99E+307,'Price History'!$A:$A))-'Price History'!R3)*(ROW()-3)/(MATCH(9.99E+307,'Returns (Calc)'!$A:$A)-3),"")</f>
        <v>37.8322784810127</v>
      </c>
      <c r="AM36" s="144" t="n">
        <f aca="false">IFERROR('Price History'!S3+(INDEX('Price History'!S:S,MATCH(9.99E+307,'Price History'!$A:$A))-'Price History'!S3)*(ROW()-3)/(MATCH(9.99E+307,'Returns (Calc)'!$A:$A)-3),"")</f>
        <v>46.3132911392405</v>
      </c>
      <c r="AN36" s="144" t="n">
        <f aca="false">IFERROR('Price History'!T3+(INDEX('Price History'!T:T,MATCH(9.99E+307,'Price History'!$A:$A))-'Price History'!T3)*(ROW()-3)/(MATCH(9.99E+307,'Returns (Calc)'!$A:$A)-3),"")</f>
        <v>21.2895569620253</v>
      </c>
      <c r="AO36" s="145" t="n">
        <f aca="false">IFERROR('Price History'!V3+(INDEX('Price History'!V:V,MATCH(9.99E+307,'Price History'!$A:$A))-'Price History'!V3)*(ROW()-3)/(MATCH(9.99E+307,'Returns (Calc)'!$A:$A)-3),"")</f>
        <v>0</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0.0110298255486776</v>
      </c>
      <c r="G37" s="142" t="n">
        <f aca="false">IFERROR(IF(OR(NOT(ISNUMBER('Price History'!G38)),NOT(ISNUMBER('Price History'!G37)),'Price History'!G37=0),"",'Price History'!G38/'Price History'!G37-1),"")</f>
        <v>0.0784387080683378</v>
      </c>
      <c r="H37" s="142" t="n">
        <f aca="false">IFERROR(IF(OR(NOT(ISNUMBER('Price History'!H38)),NOT(ISNUMBER('Price History'!H37)),'Price History'!H37=0),"",'Price History'!H38/'Price History'!H37-1),"")</f>
        <v>0.0121532364597094</v>
      </c>
      <c r="I37" s="142" t="n">
        <f aca="false">IFERROR(IF(OR(NOT(ISNUMBER('Price History'!I38)),NOT(ISNUMBER('Price History'!I37)),'Price History'!I37=0),"",'Price History'!I38/'Price History'!I37-1),"")</f>
        <v>0.0429848205419208</v>
      </c>
      <c r="J37" s="142" t="n">
        <f aca="false">IFERROR(IF(OR(NOT(ISNUMBER('Price History'!J38)),NOT(ISNUMBER('Price History'!J37)),'Price History'!J37=0),"",'Price History'!J38/'Price History'!J37-1),"")</f>
        <v>0.0333942515368002</v>
      </c>
      <c r="K37" s="142" t="n">
        <f aca="false">IFERROR(IF(OR(NOT(ISNUMBER('Price History'!K38)),NOT(ISNUMBER('Price History'!K37)),'Price History'!K37=0),"",'Price History'!K38/'Price History'!K37-1),"")</f>
        <v>0.029011381388083</v>
      </c>
      <c r="L37" s="142" t="n">
        <f aca="false">IFERROR(IF(OR(NOT(ISNUMBER('Price History'!L38)),NOT(ISNUMBER('Price History'!L37)),'Price History'!L37=0),"",'Price History'!L38/'Price History'!L37-1),"")</f>
        <v>0.0372915613946438</v>
      </c>
      <c r="M37" s="142" t="n">
        <f aca="false">IFERROR(IF(OR(NOT(ISNUMBER('Price History'!M38)),NOT(ISNUMBER('Price History'!M37)),'Price History'!M37=0),"",'Price History'!M38/'Price History'!M37-1),"")</f>
        <v>0.0563106796116506</v>
      </c>
      <c r="N37" s="142" t="n">
        <f aca="false">IFERROR(IF(OR(NOT(ISNUMBER('Price History'!N38)),NOT(ISNUMBER('Price History'!N37)),'Price History'!N37=0),"",'Price History'!N38/'Price History'!N37-1),"")</f>
        <v>0.00995024875621886</v>
      </c>
      <c r="O37" s="142" t="n">
        <f aca="false">IFERROR(IF(OR(NOT(ISNUMBER('Price History'!O38)),NOT(ISNUMBER('Price History'!O37)),'Price History'!O37=0),"",'Price History'!O38/'Price History'!O37-1),"")</f>
        <v>0.0150953051042599</v>
      </c>
      <c r="P37" s="142" t="n">
        <f aca="false">IFERROR(IF(OR(NOT(ISNUMBER('Price History'!P38)),NOT(ISNUMBER('Price History'!P37)),'Price History'!P37=0),"",'Price History'!P38/'Price History'!P37-1),"")</f>
        <v>0.0162438653487249</v>
      </c>
      <c r="Q37" s="142" t="n">
        <f aca="false">IFERROR(IF(OR(NOT(ISNUMBER('Price History'!Q38)),NOT(ISNUMBER('Price History'!Q37)),'Price History'!Q37=0),"",'Price History'!Q38/'Price History'!Q37-1),"")</f>
        <v>-0.000435555878189553</v>
      </c>
      <c r="R37" s="142" t="n">
        <f aca="false">IFERROR(IF(OR(NOT(ISNUMBER('Price History'!R38)),NOT(ISNUMBER('Price History'!R37)),'Price History'!R37=0),"",'Price History'!R38/'Price History'!R37-1),"")</f>
        <v>-0.0035454375816385</v>
      </c>
      <c r="S37" s="142" t="n">
        <f aca="false">IFERROR(IF(OR(NOT(ISNUMBER('Price History'!S38)),NOT(ISNUMBER('Price History'!S37)),'Price History'!S37=0),"",'Price History'!S38/'Price History'!S37-1),"")</f>
        <v>-0.0140459912989436</v>
      </c>
      <c r="T37" s="142" t="n">
        <f aca="false">IFERROR(IF(OR(NOT(ISNUMBER('Price History'!T38)),NOT(ISNUMBER('Price History'!T37)),'Price History'!T37=0),"",'Price History'!T38/'Price History'!T37-1),"")</f>
        <v>-0.0259820600061862</v>
      </c>
      <c r="U37" s="142" t="str">
        <f aca="false">IFERROR(IF(OR(NOT(ISNUMBER('Price History'!U38)),NOT(ISNUMBER('Price History'!U37)),'Price History'!U37=0),"",'Price History'!U38/'Price History'!U37-1),"")</f>
        <v/>
      </c>
      <c r="V37" s="143" t="n">
        <f aca="false">IFERROR(IF(OR(NOT(ISNUMBER('Price History'!V38)),NOT(ISNUMBER('Price History'!V37)),'Price History'!V37=0),"",'Price History'!V38/'Price History'!V37-1),"")</f>
        <v>-0.00422840754494991</v>
      </c>
      <c r="W37" s="144" t="str">
        <f aca="false">IFERROR('Price History'!B3+(INDEX('Price History'!B:B,MATCH(9.99E+307,'Price History'!$A:$A))-'Price History'!B3)*(ROW()-3)/(MATCH(9.99E+307,'Returns (Calc)'!$A:$A)-3),"")</f>
        <v/>
      </c>
      <c r="X37" s="144" t="n">
        <f aca="false">IFERROR('Price History'!C3+(INDEX('Price History'!C:C,MATCH(9.99E+307,'Price History'!$A:$A))-'Price History'!C3)*(ROW()-3)/(MATCH(9.99E+307,'Returns (Calc)'!$A:$A)-3),"")</f>
        <v>36.2425316455696</v>
      </c>
      <c r="Y37" s="144" t="n">
        <f aca="false">IFERROR('Price History'!D3+(INDEX('Price History'!D:D,MATCH(9.99E+307,'Price History'!$A:$A))-'Price History'!D3)*(ROW()-3)/(MATCH(9.99E+307,'Returns (Calc)'!$A:$A)-3),"")</f>
        <v>456.767341772152</v>
      </c>
      <c r="Z37" s="144" t="n">
        <f aca="false">IFERROR('Price History'!E3+(INDEX('Price History'!E:E,MATCH(9.99E+307,'Price History'!$A:$A))-'Price History'!E3)*(ROW()-3)/(MATCH(9.99E+307,'Returns (Calc)'!$A:$A)-3),"")</f>
        <v>64.3544303797468</v>
      </c>
      <c r="AA37" s="144" t="n">
        <f aca="false">IFERROR('Price History'!F3+(INDEX('Price History'!F:F,MATCH(9.99E+307,'Price History'!$A:$A))-'Price History'!F3)*(ROW()-3)/(MATCH(9.99E+307,'Returns (Calc)'!$A:$A)-3),"")</f>
        <v>59.1040506329114</v>
      </c>
      <c r="AB37" s="144" t="n">
        <f aca="false">IFERROR('Price History'!G3+(INDEX('Price History'!G:G,MATCH(9.99E+307,'Price History'!$A:$A))-'Price History'!G3)*(ROW()-3)/(MATCH(9.99E+307,'Returns (Calc)'!$A:$A)-3),"")</f>
        <v>32.459746835443</v>
      </c>
      <c r="AC37" s="144" t="n">
        <f aca="false">IFERROR('Price History'!H3+(INDEX('Price History'!H:H,MATCH(9.99E+307,'Price History'!$A:$A))-'Price History'!H3)*(ROW()-3)/(MATCH(9.99E+307,'Returns (Calc)'!$A:$A)-3),"")</f>
        <v>78.9440506329114</v>
      </c>
      <c r="AD37" s="144" t="n">
        <f aca="false">IFERROR('Price History'!I3+(INDEX('Price History'!I:I,MATCH(9.99E+307,'Price History'!$A:$A))-'Price History'!I3)*(ROW()-3)/(MATCH(9.99E+307,'Returns (Calc)'!$A:$A)-3),"")</f>
        <v>34.8063291139241</v>
      </c>
      <c r="AE37" s="144" t="n">
        <f aca="false">IFERROR('Price History'!J3+(INDEX('Price History'!J:J,MATCH(9.99E+307,'Price History'!$A:$A))-'Price History'!J3)*(ROW()-3)/(MATCH(9.99E+307,'Returns (Calc)'!$A:$A)-3),"")</f>
        <v>54.2382278481013</v>
      </c>
      <c r="AF37" s="144" t="n">
        <f aca="false">IFERROR('Price History'!K3+(INDEX('Price History'!K:K,MATCH(9.99E+307,'Price History'!$A:$A))-'Price History'!K3)*(ROW()-3)/(MATCH(9.99E+307,'Returns (Calc)'!$A:$A)-3),"")</f>
        <v>34.3511392405063</v>
      </c>
      <c r="AG37" s="144" t="n">
        <f aca="false">IFERROR('Price History'!L3+(INDEX('Price History'!L:L,MATCH(9.99E+307,'Price History'!$A:$A))-'Price History'!L3)*(ROW()-3)/(MATCH(9.99E+307,'Returns (Calc)'!$A:$A)-3),"")</f>
        <v>87.773164556962</v>
      </c>
      <c r="AH37" s="144" t="n">
        <f aca="false">IFERROR('Price History'!M3+(INDEX('Price History'!M:M,MATCH(9.99E+307,'Price History'!$A:$A))-'Price History'!M3)*(ROW()-3)/(MATCH(9.99E+307,'Returns (Calc)'!$A:$A)-3),"")</f>
        <v>12.0311392405063</v>
      </c>
      <c r="AI37" s="144" t="n">
        <f aca="false">IFERROR('Price History'!N3+(INDEX('Price History'!N:N,MATCH(9.99E+307,'Price History'!$A:$A))-'Price History'!N3)*(ROW()-3)/(MATCH(9.99E+307,'Returns (Calc)'!$A:$A)-3),"")</f>
        <v>17.1088607594937</v>
      </c>
      <c r="AJ37" s="144" t="n">
        <f aca="false">IFERROR('Price History'!O3+(INDEX('Price History'!O:O,MATCH(9.99E+307,'Price History'!$A:$A))-'Price History'!O3)*(ROW()-3)/(MATCH(9.99E+307,'Returns (Calc)'!$A:$A)-3),"")</f>
        <v>45.2286075949367</v>
      </c>
      <c r="AK37" s="144" t="n">
        <f aca="false">IFERROR('Price History'!Q3+(INDEX('Price History'!Q:Q,MATCH(9.99E+307,'Price History'!$A:$A))-'Price History'!Q3)*(ROW()-3)/(MATCH(9.99E+307,'Returns (Calc)'!$A:$A)-3),"")</f>
        <v>184.924810126582</v>
      </c>
      <c r="AL37" s="144" t="n">
        <f aca="false">IFERROR('Price History'!R3+(INDEX('Price History'!R:R,MATCH(9.99E+307,'Price History'!$A:$A))-'Price History'!R3)*(ROW()-3)/(MATCH(9.99E+307,'Returns (Calc)'!$A:$A)-3),"")</f>
        <v>37.5296202531646</v>
      </c>
      <c r="AM37" s="144" t="n">
        <f aca="false">IFERROR('Price History'!S3+(INDEX('Price History'!S:S,MATCH(9.99E+307,'Price History'!$A:$A))-'Price History'!S3)*(ROW()-3)/(MATCH(9.99E+307,'Returns (Calc)'!$A:$A)-3),"")</f>
        <v>45.9427848101266</v>
      </c>
      <c r="AN37" s="144" t="n">
        <f aca="false">IFERROR('Price History'!T3+(INDEX('Price History'!T:T,MATCH(9.99E+307,'Price History'!$A:$A))-'Price History'!T3)*(ROW()-3)/(MATCH(9.99E+307,'Returns (Calc)'!$A:$A)-3),"")</f>
        <v>21.1192405063291</v>
      </c>
      <c r="AO37" s="145" t="n">
        <f aca="false">IFERROR('Price History'!V3+(INDEX('Price History'!V:V,MATCH(9.99E+307,'Price History'!$A:$A))-'Price History'!V3)*(ROW()-3)/(MATCH(9.99E+307,'Returns (Calc)'!$A:$A)-3),"")</f>
        <v>0</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-0.0148057441834576</v>
      </c>
      <c r="G38" s="142" t="n">
        <f aca="false">IFERROR(IF(OR(NOT(ISNUMBER('Price History'!G39)),NOT(ISNUMBER('Price History'!G38)),'Price History'!G38=0),"",'Price History'!G39/'Price History'!G38-1),"")</f>
        <v>0.0160730804810361</v>
      </c>
      <c r="H38" s="142" t="n">
        <f aca="false">IFERROR(IF(OR(NOT(ISNUMBER('Price History'!H39)),NOT(ISNUMBER('Price History'!H38)),'Price History'!H38=0),"",'Price History'!H39/'Price History'!H38-1),"")</f>
        <v>-0.0204472287479336</v>
      </c>
      <c r="I38" s="142" t="n">
        <f aca="false">IFERROR(IF(OR(NOT(ISNUMBER('Price History'!I39)),NOT(ISNUMBER('Price History'!I38)),'Price History'!I38=0),"",'Price History'!I39/'Price History'!I38-1),"")</f>
        <v>0.0420293797606095</v>
      </c>
      <c r="J38" s="142" t="n">
        <f aca="false">IFERROR(IF(OR(NOT(ISNUMBER('Price History'!J39)),NOT(ISNUMBER('Price History'!J38)),'Price History'!J38=0),"",'Price History'!J39/'Price History'!J38-1),"")</f>
        <v>0.0335209003215433</v>
      </c>
      <c r="K38" s="142" t="n">
        <f aca="false">IFERROR(IF(OR(NOT(ISNUMBER('Price History'!K39)),NOT(ISNUMBER('Price History'!K38)),'Price History'!K38=0),"",'Price History'!K39/'Price History'!K38-1),"")</f>
        <v>0.151268705270007</v>
      </c>
      <c r="L38" s="142" t="n">
        <f aca="false">IFERROR(IF(OR(NOT(ISNUMBER('Price History'!L39)),NOT(ISNUMBER('Price History'!L38)),'Price History'!L38=0),"",'Price History'!L39/'Price History'!L38-1),"")</f>
        <v>-0.0606001558846454</v>
      </c>
      <c r="M38" s="142" t="n">
        <f aca="false">IFERROR(IF(OR(NOT(ISNUMBER('Price History'!M39)),NOT(ISNUMBER('Price History'!M38)),'Price History'!M38=0),"",'Price History'!M39/'Price History'!M38-1),"")</f>
        <v>-0.0344669117647058</v>
      </c>
      <c r="N38" s="142" t="n">
        <f aca="false">IFERROR(IF(OR(NOT(ISNUMBER('Price History'!N39)),NOT(ISNUMBER('Price History'!N38)),'Price History'!N38=0),"",'Price History'!N39/'Price History'!N38-1),"")</f>
        <v>-0.024630541871921</v>
      </c>
      <c r="O38" s="142" t="n">
        <f aca="false">IFERROR(IF(OR(NOT(ISNUMBER('Price History'!O39)),NOT(ISNUMBER('Price History'!O38)),'Price History'!O38=0),"",'Price History'!O39/'Price History'!O38-1),"")</f>
        <v>0.019533711405167</v>
      </c>
      <c r="P38" s="142" t="n">
        <f aca="false">IFERROR(IF(OR(NOT(ISNUMBER('Price History'!P39)),NOT(ISNUMBER('Price History'!P38)),'Price History'!P38=0),"",'Price History'!P39/'Price History'!P38-1),"")</f>
        <v>0.054822473132907</v>
      </c>
      <c r="Q38" s="142" t="n">
        <f aca="false">IFERROR(IF(OR(NOT(ISNUMBER('Price History'!Q39)),NOT(ISNUMBER('Price History'!Q38)),'Price History'!Q38=0),"",'Price History'!Q39/'Price History'!Q38-1),"")</f>
        <v>-0.0200443008097606</v>
      </c>
      <c r="R38" s="142" t="n">
        <f aca="false">IFERROR(IF(OR(NOT(ISNUMBER('Price History'!R39)),NOT(ISNUMBER('Price History'!R38)),'Price History'!R38=0),"",'Price History'!R39/'Price History'!R38-1),"")</f>
        <v>-0.047940074906367</v>
      </c>
      <c r="S38" s="142" t="n">
        <f aca="false">IFERROR(IF(OR(NOT(ISNUMBER('Price History'!S39)),NOT(ISNUMBER('Price History'!S38)),'Price History'!S38=0),"",'Price History'!S39/'Price History'!S38-1),"")</f>
        <v>-0.0568582955118506</v>
      </c>
      <c r="T38" s="142" t="n">
        <f aca="false">IFERROR(IF(OR(NOT(ISNUMBER('Price History'!T39)),NOT(ISNUMBER('Price History'!T38)),'Price History'!T38=0),"",'Price History'!T39/'Price History'!T38-1),"")</f>
        <v>-0.017783423308987</v>
      </c>
      <c r="U38" s="142" t="str">
        <f aca="false">IFERROR(IF(OR(NOT(ISNUMBER('Price History'!U39)),NOT(ISNUMBER('Price History'!U38)),'Price History'!U38=0),"",'Price History'!U39/'Price History'!U38-1),"")</f>
        <v/>
      </c>
      <c r="V38" s="143" t="n">
        <f aca="false">IFERROR(IF(OR(NOT(ISNUMBER('Price History'!V39)),NOT(ISNUMBER('Price History'!V38)),'Price History'!V38=0),"",'Price History'!V39/'Price History'!V38-1),"")</f>
        <v>-0.0224134111217783</v>
      </c>
      <c r="W38" s="144" t="str">
        <f aca="false">IFERROR('Price History'!B3+(INDEX('Price History'!B:B,MATCH(9.99E+307,'Price History'!$A:$A))-'Price History'!B3)*(ROW()-3)/(MATCH(9.99E+307,'Returns (Calc)'!$A:$A)-3),"")</f>
        <v/>
      </c>
      <c r="X38" s="144" t="n">
        <f aca="false">IFERROR('Price History'!C3+(INDEX('Price History'!C:C,MATCH(9.99E+307,'Price History'!$A:$A))-'Price History'!C3)*(ROW()-3)/(MATCH(9.99E+307,'Returns (Calc)'!$A:$A)-3),"")</f>
        <v>35.950253164557</v>
      </c>
      <c r="Y38" s="144" t="n">
        <f aca="false">IFERROR('Price History'!D3+(INDEX('Price History'!D:D,MATCH(9.99E+307,'Price History'!$A:$A))-'Price History'!D3)*(ROW()-3)/(MATCH(9.99E+307,'Returns (Calc)'!$A:$A)-3),"")</f>
        <v>453.083734177215</v>
      </c>
      <c r="Z38" s="144" t="n">
        <f aca="false">IFERROR('Price History'!E3+(INDEX('Price History'!E:E,MATCH(9.99E+307,'Price History'!$A:$A))-'Price History'!E3)*(ROW()-3)/(MATCH(9.99E+307,'Returns (Calc)'!$A:$A)-3),"")</f>
        <v>63.8354430379747</v>
      </c>
      <c r="AA38" s="144" t="n">
        <f aca="false">IFERROR('Price History'!F3+(INDEX('Price History'!F:F,MATCH(9.99E+307,'Price History'!$A:$A))-'Price History'!F3)*(ROW()-3)/(MATCH(9.99E+307,'Returns (Calc)'!$A:$A)-3),"")</f>
        <v>58.6274050632911</v>
      </c>
      <c r="AB38" s="144" t="n">
        <f aca="false">IFERROR('Price History'!G3+(INDEX('Price History'!G:G,MATCH(9.99E+307,'Price History'!$A:$A))-'Price History'!G3)*(ROW()-3)/(MATCH(9.99E+307,'Returns (Calc)'!$A:$A)-3),"")</f>
        <v>32.1979746835443</v>
      </c>
      <c r="AC38" s="144" t="n">
        <f aca="false">IFERROR('Price History'!H3+(INDEX('Price History'!H:H,MATCH(9.99E+307,'Price History'!$A:$A))-'Price History'!H3)*(ROW()-3)/(MATCH(9.99E+307,'Returns (Calc)'!$A:$A)-3),"")</f>
        <v>78.3074050632911</v>
      </c>
      <c r="AD38" s="144" t="n">
        <f aca="false">IFERROR('Price History'!I3+(INDEX('Price History'!I:I,MATCH(9.99E+307,'Price History'!$A:$A))-'Price History'!I3)*(ROW()-3)/(MATCH(9.99E+307,'Returns (Calc)'!$A:$A)-3),"")</f>
        <v>34.5256329113924</v>
      </c>
      <c r="AE38" s="144" t="n">
        <f aca="false">IFERROR('Price History'!J3+(INDEX('Price History'!J:J,MATCH(9.99E+307,'Price History'!$A:$A))-'Price History'!J3)*(ROW()-3)/(MATCH(9.99E+307,'Returns (Calc)'!$A:$A)-3),"")</f>
        <v>53.8008227848101</v>
      </c>
      <c r="AF38" s="144" t="n">
        <f aca="false">IFERROR('Price History'!K3+(INDEX('Price History'!K:K,MATCH(9.99E+307,'Price History'!$A:$A))-'Price History'!K3)*(ROW()-3)/(MATCH(9.99E+307,'Returns (Calc)'!$A:$A)-3),"")</f>
        <v>34.0741139240506</v>
      </c>
      <c r="AG38" s="144" t="n">
        <f aca="false">IFERROR('Price History'!L3+(INDEX('Price History'!L:L,MATCH(9.99E+307,'Price History'!$A:$A))-'Price History'!L3)*(ROW()-3)/(MATCH(9.99E+307,'Returns (Calc)'!$A:$A)-3),"")</f>
        <v>87.0653164556962</v>
      </c>
      <c r="AH38" s="144" t="n">
        <f aca="false">IFERROR('Price History'!M3+(INDEX('Price History'!M:M,MATCH(9.99E+307,'Price History'!$A:$A))-'Price History'!M3)*(ROW()-3)/(MATCH(9.99E+307,'Returns (Calc)'!$A:$A)-3),"")</f>
        <v>11.9341139240506</v>
      </c>
      <c r="AI38" s="144" t="n">
        <f aca="false">IFERROR('Price History'!N3+(INDEX('Price History'!N:N,MATCH(9.99E+307,'Price History'!$A:$A))-'Price History'!N3)*(ROW()-3)/(MATCH(9.99E+307,'Returns (Calc)'!$A:$A)-3),"")</f>
        <v>16.9708860759494</v>
      </c>
      <c r="AJ38" s="144" t="n">
        <f aca="false">IFERROR('Price History'!O3+(INDEX('Price History'!O:O,MATCH(9.99E+307,'Price History'!$A:$A))-'Price History'!O3)*(ROW()-3)/(MATCH(9.99E+307,'Returns (Calc)'!$A:$A)-3),"")</f>
        <v>44.8638607594937</v>
      </c>
      <c r="AK38" s="144" t="n">
        <f aca="false">IFERROR('Price History'!Q3+(INDEX('Price History'!Q:Q,MATCH(9.99E+307,'Price History'!$A:$A))-'Price History'!Q3)*(ROW()-3)/(MATCH(9.99E+307,'Returns (Calc)'!$A:$A)-3),"")</f>
        <v>183.433481012658</v>
      </c>
      <c r="AL38" s="144" t="n">
        <f aca="false">IFERROR('Price History'!R3+(INDEX('Price History'!R:R,MATCH(9.99E+307,'Price History'!$A:$A))-'Price History'!R3)*(ROW()-3)/(MATCH(9.99E+307,'Returns (Calc)'!$A:$A)-3),"")</f>
        <v>37.2269620253165</v>
      </c>
      <c r="AM38" s="144" t="n">
        <f aca="false">IFERROR('Price History'!S3+(INDEX('Price History'!S:S,MATCH(9.99E+307,'Price History'!$A:$A))-'Price History'!S3)*(ROW()-3)/(MATCH(9.99E+307,'Returns (Calc)'!$A:$A)-3),"")</f>
        <v>45.5722784810127</v>
      </c>
      <c r="AN38" s="144" t="n">
        <f aca="false">IFERROR('Price History'!T3+(INDEX('Price History'!T:T,MATCH(9.99E+307,'Price History'!$A:$A))-'Price History'!T3)*(ROW()-3)/(MATCH(9.99E+307,'Returns (Calc)'!$A:$A)-3),"")</f>
        <v>20.9489240506329</v>
      </c>
      <c r="AO38" s="145" t="n">
        <f aca="false">IFERROR('Price History'!V3+(INDEX('Price History'!V:V,MATCH(9.99E+307,'Price History'!$A:$A))-'Price History'!V3)*(ROW()-3)/(MATCH(9.99E+307,'Returns (Calc)'!$A:$A)-3),"")</f>
        <v>0</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0.0107344632768362</v>
      </c>
      <c r="G39" s="142" t="n">
        <f aca="false">IFERROR(IF(OR(NOT(ISNUMBER('Price History'!G40)),NOT(ISNUMBER('Price History'!G39)),'Price History'!G39=0),"",'Price History'!G40/'Price History'!G39-1),"")</f>
        <v>-0.107545237282349</v>
      </c>
      <c r="H39" s="142" t="n">
        <f aca="false">IFERROR(IF(OR(NOT(ISNUMBER('Price History'!H40)),NOT(ISNUMBER('Price History'!H39)),'Price History'!H39=0),"",'Price History'!H40/'Price History'!H39-1),"")</f>
        <v>0.0104814354236988</v>
      </c>
      <c r="I39" s="142" t="n">
        <f aca="false">IFERROR(IF(OR(NOT(ISNUMBER('Price History'!I40)),NOT(ISNUMBER('Price History'!I39)),'Price History'!I39=0),"",'Price History'!I40/'Price History'!I39-1),"")</f>
        <v>-0.0250620023495628</v>
      </c>
      <c r="J39" s="142" t="n">
        <f aca="false">IFERROR(IF(OR(NOT(ISNUMBER('Price History'!J40)),NOT(ISNUMBER('Price History'!J39)),'Price History'!J39=0),"",'Price History'!J40/'Price History'!J39-1),"")</f>
        <v>-0.0346892743252703</v>
      </c>
      <c r="K39" s="142" t="n">
        <f aca="false">IFERROR(IF(OR(NOT(ISNUMBER('Price History'!K40)),NOT(ISNUMBER('Price History'!K39)),'Price History'!K39=0),"",'Price History'!K40/'Price History'!K39-1),"")</f>
        <v>0.0296693981350664</v>
      </c>
      <c r="L39" s="142" t="n">
        <f aca="false">IFERROR(IF(OR(NOT(ISNUMBER('Price History'!L40)),NOT(ISNUMBER('Price History'!L39)),'Price History'!L39=0),"",'Price History'!L40/'Price History'!L39-1),"")</f>
        <v>0.0548641360713544</v>
      </c>
      <c r="M39" s="142" t="n">
        <f aca="false">IFERROR(IF(OR(NOT(ISNUMBER('Price History'!M40)),NOT(ISNUMBER('Price History'!M39)),'Price History'!M39=0),"",'Price History'!M40/'Price History'!M39-1),"")</f>
        <v>0.031889576392194</v>
      </c>
      <c r="N39" s="142" t="n">
        <f aca="false">IFERROR(IF(OR(NOT(ISNUMBER('Price History'!N40)),NOT(ISNUMBER('Price History'!N39)),'Price History'!N39=0),"",'Price History'!N40/'Price History'!N39-1),"")</f>
        <v>0.00589225589225584</v>
      </c>
      <c r="O39" s="142" t="n">
        <f aca="false">IFERROR(IF(OR(NOT(ISNUMBER('Price History'!O40)),NOT(ISNUMBER('Price History'!O39)),'Price History'!O39=0),"",'Price History'!O40/'Price History'!O39-1),"")</f>
        <v>-0.0110012360939431</v>
      </c>
      <c r="P39" s="142" t="n">
        <f aca="false">IFERROR(IF(OR(NOT(ISNUMBER('Price History'!P40)),NOT(ISNUMBER('Price History'!P39)),'Price History'!P39=0),"",'Price History'!P40/'Price History'!P39-1),"")</f>
        <v>-0.055971111684292</v>
      </c>
      <c r="Q39" s="142" t="n">
        <f aca="false">IFERROR(IF(OR(NOT(ISNUMBER('Price History'!Q40)),NOT(ISNUMBER('Price History'!Q39)),'Price History'!Q39=0),"",'Price History'!Q40/'Price History'!Q39-1),"")</f>
        <v>-0.00737392077667032</v>
      </c>
      <c r="R39" s="142" t="n">
        <f aca="false">IFERROR(IF(OR(NOT(ISNUMBER('Price History'!R40)),NOT(ISNUMBER('Price History'!R39)),'Price History'!R39=0),"",'Price History'!R40/'Price History'!R39-1),"")</f>
        <v>0.0357985837922894</v>
      </c>
      <c r="S39" s="142" t="n">
        <f aca="false">IFERROR(IF(OR(NOT(ISNUMBER('Price History'!S40)),NOT(ISNUMBER('Price History'!S39)),'Price History'!S39=0),"",'Price History'!S40/'Price History'!S39-1),"")</f>
        <v>0.0300761930223232</v>
      </c>
      <c r="T39" s="142" t="n">
        <f aca="false">IFERROR(IF(OR(NOT(ISNUMBER('Price History'!T40)),NOT(ISNUMBER('Price History'!T39)),'Price History'!T39=0),"",'Price History'!T40/'Price History'!T39-1),"")</f>
        <v>0.0126091173617846</v>
      </c>
      <c r="U39" s="142" t="str">
        <f aca="false">IFERROR(IF(OR(NOT(ISNUMBER('Price History'!U40)),NOT(ISNUMBER('Price History'!U39)),'Price History'!U39=0),"",'Price History'!U40/'Price History'!U39-1),"")</f>
        <v/>
      </c>
      <c r="V39" s="143" t="n">
        <f aca="false">IFERROR(IF(OR(NOT(ISNUMBER('Price History'!V40)),NOT(ISNUMBER('Price History'!V39)),'Price History'!V39=0),"",'Price History'!V40/'Price History'!V39-1),"")</f>
        <v>0.0175637393767705</v>
      </c>
      <c r="W39" s="144" t="str">
        <f aca="false">IFERROR('Price History'!B3+(INDEX('Price History'!B:B,MATCH(9.99E+307,'Price History'!$A:$A))-'Price History'!B3)*(ROW()-3)/(MATCH(9.99E+307,'Returns (Calc)'!$A:$A)-3),"")</f>
        <v/>
      </c>
      <c r="X39" s="144" t="n">
        <f aca="false">IFERROR('Price History'!C3+(INDEX('Price History'!C:C,MATCH(9.99E+307,'Price History'!$A:$A))-'Price History'!C3)*(ROW()-3)/(MATCH(9.99E+307,'Returns (Calc)'!$A:$A)-3),"")</f>
        <v>35.6579746835443</v>
      </c>
      <c r="Y39" s="144" t="n">
        <f aca="false">IFERROR('Price History'!D3+(INDEX('Price History'!D:D,MATCH(9.99E+307,'Price History'!$A:$A))-'Price History'!D3)*(ROW()-3)/(MATCH(9.99E+307,'Returns (Calc)'!$A:$A)-3),"")</f>
        <v>449.400126582278</v>
      </c>
      <c r="Z39" s="144" t="n">
        <f aca="false">IFERROR('Price History'!E3+(INDEX('Price History'!E:E,MATCH(9.99E+307,'Price History'!$A:$A))-'Price History'!E3)*(ROW()-3)/(MATCH(9.99E+307,'Returns (Calc)'!$A:$A)-3),"")</f>
        <v>63.3164556962025</v>
      </c>
      <c r="AA39" s="144" t="n">
        <f aca="false">IFERROR('Price History'!F3+(INDEX('Price History'!F:F,MATCH(9.99E+307,'Price History'!$A:$A))-'Price History'!F3)*(ROW()-3)/(MATCH(9.99E+307,'Returns (Calc)'!$A:$A)-3),"")</f>
        <v>58.1507594936709</v>
      </c>
      <c r="AB39" s="144" t="n">
        <f aca="false">IFERROR('Price History'!G3+(INDEX('Price History'!G:G,MATCH(9.99E+307,'Price History'!$A:$A))-'Price History'!G3)*(ROW()-3)/(MATCH(9.99E+307,'Returns (Calc)'!$A:$A)-3),"")</f>
        <v>31.9362025316456</v>
      </c>
      <c r="AC39" s="144" t="n">
        <f aca="false">IFERROR('Price History'!H3+(INDEX('Price History'!H:H,MATCH(9.99E+307,'Price History'!$A:$A))-'Price History'!H3)*(ROW()-3)/(MATCH(9.99E+307,'Returns (Calc)'!$A:$A)-3),"")</f>
        <v>77.6707594936709</v>
      </c>
      <c r="AD39" s="144" t="n">
        <f aca="false">IFERROR('Price History'!I3+(INDEX('Price History'!I:I,MATCH(9.99E+307,'Price History'!$A:$A))-'Price History'!I3)*(ROW()-3)/(MATCH(9.99E+307,'Returns (Calc)'!$A:$A)-3),"")</f>
        <v>34.2449367088608</v>
      </c>
      <c r="AE39" s="144" t="n">
        <f aca="false">IFERROR('Price History'!J3+(INDEX('Price History'!J:J,MATCH(9.99E+307,'Price History'!$A:$A))-'Price History'!J3)*(ROW()-3)/(MATCH(9.99E+307,'Returns (Calc)'!$A:$A)-3),"")</f>
        <v>53.363417721519</v>
      </c>
      <c r="AF39" s="144" t="n">
        <f aca="false">IFERROR('Price History'!K3+(INDEX('Price History'!K:K,MATCH(9.99E+307,'Price History'!$A:$A))-'Price History'!K3)*(ROW()-3)/(MATCH(9.99E+307,'Returns (Calc)'!$A:$A)-3),"")</f>
        <v>33.7970886075949</v>
      </c>
      <c r="AG39" s="144" t="n">
        <f aca="false">IFERROR('Price History'!L3+(INDEX('Price History'!L:L,MATCH(9.99E+307,'Price History'!$A:$A))-'Price History'!L3)*(ROW()-3)/(MATCH(9.99E+307,'Returns (Calc)'!$A:$A)-3),"")</f>
        <v>86.3574683544304</v>
      </c>
      <c r="AH39" s="144" t="n">
        <f aca="false">IFERROR('Price History'!M3+(INDEX('Price History'!M:M,MATCH(9.99E+307,'Price History'!$A:$A))-'Price History'!M3)*(ROW()-3)/(MATCH(9.99E+307,'Returns (Calc)'!$A:$A)-3),"")</f>
        <v>11.8370886075949</v>
      </c>
      <c r="AI39" s="144" t="n">
        <f aca="false">IFERROR('Price History'!N3+(INDEX('Price History'!N:N,MATCH(9.99E+307,'Price History'!$A:$A))-'Price History'!N3)*(ROW()-3)/(MATCH(9.99E+307,'Returns (Calc)'!$A:$A)-3),"")</f>
        <v>16.8329113924051</v>
      </c>
      <c r="AJ39" s="144" t="n">
        <f aca="false">IFERROR('Price History'!O3+(INDEX('Price History'!O:O,MATCH(9.99E+307,'Price History'!$A:$A))-'Price History'!O3)*(ROW()-3)/(MATCH(9.99E+307,'Returns (Calc)'!$A:$A)-3),"")</f>
        <v>44.4991139240506</v>
      </c>
      <c r="AK39" s="144" t="n">
        <f aca="false">IFERROR('Price History'!Q3+(INDEX('Price History'!Q:Q,MATCH(9.99E+307,'Price History'!$A:$A))-'Price History'!Q3)*(ROW()-3)/(MATCH(9.99E+307,'Returns (Calc)'!$A:$A)-3),"")</f>
        <v>181.942151898734</v>
      </c>
      <c r="AL39" s="144" t="n">
        <f aca="false">IFERROR('Price History'!R3+(INDEX('Price History'!R:R,MATCH(9.99E+307,'Price History'!$A:$A))-'Price History'!R3)*(ROW()-3)/(MATCH(9.99E+307,'Returns (Calc)'!$A:$A)-3),"")</f>
        <v>36.9243037974684</v>
      </c>
      <c r="AM39" s="144" t="n">
        <f aca="false">IFERROR('Price History'!S3+(INDEX('Price History'!S:S,MATCH(9.99E+307,'Price History'!$A:$A))-'Price History'!S3)*(ROW()-3)/(MATCH(9.99E+307,'Returns (Calc)'!$A:$A)-3),"")</f>
        <v>45.2017721518987</v>
      </c>
      <c r="AN39" s="144" t="n">
        <f aca="false">IFERROR('Price History'!T3+(INDEX('Price History'!T:T,MATCH(9.99E+307,'Price History'!$A:$A))-'Price History'!T3)*(ROW()-3)/(MATCH(9.99E+307,'Returns (Calc)'!$A:$A)-3),"")</f>
        <v>20.7786075949367</v>
      </c>
      <c r="AO39" s="145" t="n">
        <f aca="false">IFERROR('Price History'!V3+(INDEX('Price History'!V:V,MATCH(9.99E+307,'Price History'!$A:$A))-'Price History'!V3)*(ROW()-3)/(MATCH(9.99E+307,'Returns (Calc)'!$A:$A)-3),"")</f>
        <v>0</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-0.0340972610396869</v>
      </c>
      <c r="G40" s="142" t="n">
        <f aca="false">IFERROR(IF(OR(NOT(ISNUMBER('Price History'!G41)),NOT(ISNUMBER('Price History'!G40)),'Price History'!G40=0),"",'Price History'!G41/'Price History'!G40-1),"")</f>
        <v>0.112981382300434</v>
      </c>
      <c r="H40" s="142" t="n">
        <f aca="false">IFERROR(IF(OR(NOT(ISNUMBER('Price History'!H41)),NOT(ISNUMBER('Price History'!H40)),'Price History'!H40=0),"",'Price History'!H41/'Price History'!H40-1),"")</f>
        <v>-0.0202180028129396</v>
      </c>
      <c r="I40" s="142" t="n">
        <f aca="false">IFERROR(IF(OR(NOT(ISNUMBER('Price History'!I41)),NOT(ISNUMBER('Price History'!I40)),'Price History'!I40=0),"",'Price History'!I41/'Price History'!I40-1),"")</f>
        <v>0.0123175793278887</v>
      </c>
      <c r="J40" s="142" t="n">
        <f aca="false">IFERROR(IF(OR(NOT(ISNUMBER('Price History'!J41)),NOT(ISNUMBER('Price History'!J40)),'Price History'!J40=0),"",'Price History'!J41/'Price History'!J40-1),"")</f>
        <v>0.0475384739344129</v>
      </c>
      <c r="K40" s="142" t="n">
        <f aca="false">IFERROR(IF(OR(NOT(ISNUMBER('Price History'!K41)),NOT(ISNUMBER('Price History'!K40)),'Price History'!K40=0),"",'Price History'!K41/'Price History'!K40-1),"")</f>
        <v>0.102634467618002</v>
      </c>
      <c r="L40" s="142" t="n">
        <f aca="false">IFERROR(IF(OR(NOT(ISNUMBER('Price History'!L41)),NOT(ISNUMBER('Price History'!L40)),'Price History'!L40=0),"",'Price History'!L41/'Price History'!L40-1),"")</f>
        <v>-0.00265460623340863</v>
      </c>
      <c r="M40" s="142" t="n">
        <f aca="false">IFERROR(IF(OR(NOT(ISNUMBER('Price History'!M41)),NOT(ISNUMBER('Price History'!M40)),'Price History'!M40=0),"",'Price History'!M41/'Price History'!M40-1),"")</f>
        <v>0.0751845018450184</v>
      </c>
      <c r="N40" s="142" t="n">
        <f aca="false">IFERROR(IF(OR(NOT(ISNUMBER('Price History'!N41)),NOT(ISNUMBER('Price History'!N40)),'Price History'!N40=0),"",'Price History'!N41/'Price History'!N40-1),"")</f>
        <v>-0.00878661087866095</v>
      </c>
      <c r="O40" s="142" t="n">
        <f aca="false">IFERROR(IF(OR(NOT(ISNUMBER('Price History'!O41)),NOT(ISNUMBER('Price History'!O40)),'Price History'!O40=0),"",'Price History'!O41/'Price History'!O40-1),"")</f>
        <v>0.03037120359955</v>
      </c>
      <c r="P40" s="142" t="n">
        <f aca="false">IFERROR(IF(OR(NOT(ISNUMBER('Price History'!P41)),NOT(ISNUMBER('Price History'!P40)),'Price History'!P40=0),"",'Price History'!P41/'Price History'!P40-1),"")</f>
        <v>0.0883879781420764</v>
      </c>
      <c r="Q40" s="142" t="n">
        <f aca="false">IFERROR(IF(OR(NOT(ISNUMBER('Price History'!Q41)),NOT(ISNUMBER('Price History'!Q40)),'Price History'!Q40=0),"",'Price History'!Q41/'Price History'!Q40-1),"")</f>
        <v>0.0227713901747051</v>
      </c>
      <c r="R40" s="142" t="n">
        <f aca="false">IFERROR(IF(OR(NOT(ISNUMBER('Price History'!R41)),NOT(ISNUMBER('Price History'!R40)),'Price History'!R40=0),"",'Price History'!R41/'Price History'!R40-1),"")</f>
        <v>0.00170907709836698</v>
      </c>
      <c r="S40" s="142" t="n">
        <f aca="false">IFERROR(IF(OR(NOT(ISNUMBER('Price History'!S41)),NOT(ISNUMBER('Price History'!S40)),'Price History'!S40=0),"",'Price History'!S41/'Price History'!S40-1),"")</f>
        <v>0.00986244484817012</v>
      </c>
      <c r="T40" s="142" t="n">
        <f aca="false">IFERROR(IF(OR(NOT(ISNUMBER('Price History'!T41)),NOT(ISNUMBER('Price History'!T40)),'Price History'!T40=0),"",'Price History'!T41/'Price History'!T40-1),"")</f>
        <v>-0.0156449553001278</v>
      </c>
      <c r="U40" s="142" t="str">
        <f aca="false">IFERROR(IF(OR(NOT(ISNUMBER('Price History'!U41)),NOT(ISNUMBER('Price History'!U40)),'Price History'!U40=0),"",'Price History'!U41/'Price History'!U40-1),"")</f>
        <v/>
      </c>
      <c r="V40" s="143" t="n">
        <f aca="false">IFERROR(IF(OR(NOT(ISNUMBER('Price History'!V41)),NOT(ISNUMBER('Price History'!V40)),'Price History'!V40=0),"",'Price History'!V41/'Price History'!V40-1),"")</f>
        <v>-0.0219376391982181</v>
      </c>
      <c r="W40" s="144" t="str">
        <f aca="false">IFERROR('Price History'!B3+(INDEX('Price History'!B:B,MATCH(9.99E+307,'Price History'!$A:$A))-'Price History'!B3)*(ROW()-3)/(MATCH(9.99E+307,'Returns (Calc)'!$A:$A)-3),"")</f>
        <v/>
      </c>
      <c r="X40" s="144" t="n">
        <f aca="false">IFERROR('Price History'!C3+(INDEX('Price History'!C:C,MATCH(9.99E+307,'Price History'!$A:$A))-'Price History'!C3)*(ROW()-3)/(MATCH(9.99E+307,'Returns (Calc)'!$A:$A)-3),"")</f>
        <v>35.3656962025316</v>
      </c>
      <c r="Y40" s="144" t="n">
        <f aca="false">IFERROR('Price History'!D3+(INDEX('Price History'!D:D,MATCH(9.99E+307,'Price History'!$A:$A))-'Price History'!D3)*(ROW()-3)/(MATCH(9.99E+307,'Returns (Calc)'!$A:$A)-3),"")</f>
        <v>445.716518987342</v>
      </c>
      <c r="Z40" s="144" t="n">
        <f aca="false">IFERROR('Price History'!E3+(INDEX('Price History'!E:E,MATCH(9.99E+307,'Price History'!$A:$A))-'Price History'!E3)*(ROW()-3)/(MATCH(9.99E+307,'Returns (Calc)'!$A:$A)-3),"")</f>
        <v>62.7974683544304</v>
      </c>
      <c r="AA40" s="144" t="n">
        <f aca="false">IFERROR('Price History'!F3+(INDEX('Price History'!F:F,MATCH(9.99E+307,'Price History'!$A:$A))-'Price History'!F3)*(ROW()-3)/(MATCH(9.99E+307,'Returns (Calc)'!$A:$A)-3),"")</f>
        <v>57.6741139240506</v>
      </c>
      <c r="AB40" s="144" t="n">
        <f aca="false">IFERROR('Price History'!G3+(INDEX('Price History'!G:G,MATCH(9.99E+307,'Price History'!$A:$A))-'Price History'!G3)*(ROW()-3)/(MATCH(9.99E+307,'Returns (Calc)'!$A:$A)-3),"")</f>
        <v>31.6744303797468</v>
      </c>
      <c r="AC40" s="144" t="n">
        <f aca="false">IFERROR('Price History'!H3+(INDEX('Price History'!H:H,MATCH(9.99E+307,'Price History'!$A:$A))-'Price History'!H3)*(ROW()-3)/(MATCH(9.99E+307,'Returns (Calc)'!$A:$A)-3),"")</f>
        <v>77.0341139240506</v>
      </c>
      <c r="AD40" s="144" t="n">
        <f aca="false">IFERROR('Price History'!I3+(INDEX('Price History'!I:I,MATCH(9.99E+307,'Price History'!$A:$A))-'Price History'!I3)*(ROW()-3)/(MATCH(9.99E+307,'Returns (Calc)'!$A:$A)-3),"")</f>
        <v>33.9642405063291</v>
      </c>
      <c r="AE40" s="144" t="n">
        <f aca="false">IFERROR('Price History'!J3+(INDEX('Price History'!J:J,MATCH(9.99E+307,'Price History'!$A:$A))-'Price History'!J3)*(ROW()-3)/(MATCH(9.99E+307,'Returns (Calc)'!$A:$A)-3),"")</f>
        <v>52.9260126582279</v>
      </c>
      <c r="AF40" s="144" t="n">
        <f aca="false">IFERROR('Price History'!K3+(INDEX('Price History'!K:K,MATCH(9.99E+307,'Price History'!$A:$A))-'Price History'!K3)*(ROW()-3)/(MATCH(9.99E+307,'Returns (Calc)'!$A:$A)-3),"")</f>
        <v>33.5200632911392</v>
      </c>
      <c r="AG40" s="144" t="n">
        <f aca="false">IFERROR('Price History'!L3+(INDEX('Price History'!L:L,MATCH(9.99E+307,'Price History'!$A:$A))-'Price History'!L3)*(ROW()-3)/(MATCH(9.99E+307,'Returns (Calc)'!$A:$A)-3),"")</f>
        <v>85.6496202531646</v>
      </c>
      <c r="AH40" s="144" t="n">
        <f aca="false">IFERROR('Price History'!M3+(INDEX('Price History'!M:M,MATCH(9.99E+307,'Price History'!$A:$A))-'Price History'!M3)*(ROW()-3)/(MATCH(9.99E+307,'Returns (Calc)'!$A:$A)-3),"")</f>
        <v>11.7400632911392</v>
      </c>
      <c r="AI40" s="144" t="n">
        <f aca="false">IFERROR('Price History'!N3+(INDEX('Price History'!N:N,MATCH(9.99E+307,'Price History'!$A:$A))-'Price History'!N3)*(ROW()-3)/(MATCH(9.99E+307,'Returns (Calc)'!$A:$A)-3),"")</f>
        <v>16.6949367088608</v>
      </c>
      <c r="AJ40" s="144" t="n">
        <f aca="false">IFERROR('Price History'!O3+(INDEX('Price History'!O:O,MATCH(9.99E+307,'Price History'!$A:$A))-'Price History'!O3)*(ROW()-3)/(MATCH(9.99E+307,'Returns (Calc)'!$A:$A)-3),"")</f>
        <v>44.1343670886076</v>
      </c>
      <c r="AK40" s="144" t="n">
        <f aca="false">IFERROR('Price History'!Q3+(INDEX('Price History'!Q:Q,MATCH(9.99E+307,'Price History'!$A:$A))-'Price History'!Q3)*(ROW()-3)/(MATCH(9.99E+307,'Returns (Calc)'!$A:$A)-3),"")</f>
        <v>180.45082278481</v>
      </c>
      <c r="AL40" s="144" t="n">
        <f aca="false">IFERROR('Price History'!R3+(INDEX('Price History'!R:R,MATCH(9.99E+307,'Price History'!$A:$A))-'Price History'!R3)*(ROW()-3)/(MATCH(9.99E+307,'Returns (Calc)'!$A:$A)-3),"")</f>
        <v>36.6216455696203</v>
      </c>
      <c r="AM40" s="144" t="n">
        <f aca="false">IFERROR('Price History'!S3+(INDEX('Price History'!S:S,MATCH(9.99E+307,'Price History'!$A:$A))-'Price History'!S3)*(ROW()-3)/(MATCH(9.99E+307,'Returns (Calc)'!$A:$A)-3),"")</f>
        <v>44.8312658227848</v>
      </c>
      <c r="AN40" s="144" t="n">
        <f aca="false">IFERROR('Price History'!T3+(INDEX('Price History'!T:T,MATCH(9.99E+307,'Price History'!$A:$A))-'Price History'!T3)*(ROW()-3)/(MATCH(9.99E+307,'Returns (Calc)'!$A:$A)-3),"")</f>
        <v>20.6082911392405</v>
      </c>
      <c r="AO40" s="145" t="n">
        <f aca="false">IFERROR('Price History'!V3+(INDEX('Price History'!V:V,MATCH(9.99E+307,'Price History'!$A:$A))-'Price History'!V3)*(ROW()-3)/(MATCH(9.99E+307,'Returns (Calc)'!$A:$A)-3),"")</f>
        <v>0</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-0.0238425925925926</v>
      </c>
      <c r="G41" s="142" t="n">
        <f aca="false">IFERROR(IF(OR(NOT(ISNUMBER('Price History'!G42)),NOT(ISNUMBER('Price History'!G41)),'Price History'!G41=0),"",'Price History'!G42/'Price History'!G41-1),"")</f>
        <v>0.104032997250229</v>
      </c>
      <c r="H41" s="142" t="n">
        <f aca="false">IFERROR(IF(OR(NOT(ISNUMBER('Price History'!H42)),NOT(ISNUMBER('Price History'!H41)),'Price History'!H41=0),"",'Price History'!H42/'Price History'!H41-1),"")</f>
        <v>-0.0168670375022429</v>
      </c>
      <c r="I41" s="142" t="n">
        <f aca="false">IFERROR(IF(OR(NOT(ISNUMBER('Price History'!I42)),NOT(ISNUMBER('Price History'!I41)),'Price History'!I41=0),"",'Price History'!I42/'Price History'!I41-1),"")</f>
        <v>0.0727417008332232</v>
      </c>
      <c r="J41" s="142" t="n">
        <f aca="false">IFERROR(IF(OR(NOT(ISNUMBER('Price History'!J42)),NOT(ISNUMBER('Price History'!J41)),'Price History'!J41=0),"",'Price History'!J42/'Price History'!J41-1),"")</f>
        <v>0.0795323436658719</v>
      </c>
      <c r="K41" s="142" t="n">
        <f aca="false">IFERROR(IF(OR(NOT(ISNUMBER('Price History'!K42)),NOT(ISNUMBER('Price History'!K41)),'Price History'!K41=0),"",'Price History'!K42/'Price History'!K41-1),"")</f>
        <v>0.0910900945744151</v>
      </c>
      <c r="L41" s="142" t="n">
        <f aca="false">IFERROR(IF(OR(NOT(ISNUMBER('Price History'!L42)),NOT(ISNUMBER('Price History'!L41)),'Price History'!L41=0),"",'Price History'!L42/'Price History'!L41-1),"")</f>
        <v>0.0189274447949528</v>
      </c>
      <c r="M41" s="142" t="n">
        <f aca="false">IFERROR(IF(OR(NOT(ISNUMBER('Price History'!M42)),NOT(ISNUMBER('Price History'!M41)),'Price History'!M41=0),"",'Price History'!M42/'Price History'!M41-1),"")</f>
        <v>0.0111540111540112</v>
      </c>
      <c r="N41" s="142" t="n">
        <f aca="false">IFERROR(IF(OR(NOT(ISNUMBER('Price History'!N42)),NOT(ISNUMBER('Price History'!N41)),'Price History'!N41=0),"",'Price History'!N42/'Price History'!N41-1),"")</f>
        <v>-0.0139299282397637</v>
      </c>
      <c r="O41" s="142" t="n">
        <f aca="false">IFERROR(IF(OR(NOT(ISNUMBER('Price History'!O42)),NOT(ISNUMBER('Price History'!O41)),'Price History'!O41=0),"",'Price History'!O42/'Price History'!O41-1),"")</f>
        <v>0.042212518195051</v>
      </c>
      <c r="P41" s="142" t="n">
        <f aca="false">IFERROR(IF(OR(NOT(ISNUMBER('Price History'!P42)),NOT(ISNUMBER('Price History'!P41)),'Price History'!P41=0),"",'Price History'!P42/'Price History'!P41-1),"")</f>
        <v>0.0526547006401406</v>
      </c>
      <c r="Q41" s="142" t="n">
        <f aca="false">IFERROR(IF(OR(NOT(ISNUMBER('Price History'!Q42)),NOT(ISNUMBER('Price History'!Q41)),'Price History'!Q41=0),"",'Price History'!Q42/'Price History'!Q41-1),"")</f>
        <v>-0.0287247244324403</v>
      </c>
      <c r="R41" s="142" t="n">
        <f aca="false">IFERROR(IF(OR(NOT(ISNUMBER('Price History'!R42)),NOT(ISNUMBER('Price History'!R41)),'Price History'!R41=0),"",'Price History'!R42/'Price History'!R41-1),"")</f>
        <v>0.0138388625592416</v>
      </c>
      <c r="S41" s="142" t="n">
        <f aca="false">IFERROR(IF(OR(NOT(ISNUMBER('Price History'!S42)),NOT(ISNUMBER('Price History'!S41)),'Price History'!S41=0),"",'Price History'!S42/'Price History'!S41-1),"")</f>
        <v>0.0222307890002571</v>
      </c>
      <c r="T41" s="142" t="n">
        <f aca="false">IFERROR(IF(OR(NOT(ISNUMBER('Price History'!T42)),NOT(ISNUMBER('Price History'!T41)),'Price History'!T41=0),"",'Price History'!T42/'Price History'!T41-1),"")</f>
        <v>0.0220564385338957</v>
      </c>
      <c r="U41" s="142" t="str">
        <f aca="false">IFERROR(IF(OR(NOT(ISNUMBER('Price History'!U42)),NOT(ISNUMBER('Price History'!U41)),'Price History'!U41=0),"",'Price History'!U42/'Price History'!U41-1),"")</f>
        <v/>
      </c>
      <c r="V41" s="143" t="n">
        <f aca="false">IFERROR(IF(OR(NOT(ISNUMBER('Price History'!V42)),NOT(ISNUMBER('Price History'!V41)),'Price History'!V41=0),"",'Price History'!V42/'Price History'!V41-1),"")</f>
        <v>0.045618429541918</v>
      </c>
      <c r="W41" s="144" t="str">
        <f aca="false">IFERROR('Price History'!B3+(INDEX('Price History'!B:B,MATCH(9.99E+307,'Price History'!$A:$A))-'Price History'!B3)*(ROW()-3)/(MATCH(9.99E+307,'Returns (Calc)'!$A:$A)-3),"")</f>
        <v/>
      </c>
      <c r="X41" s="144" t="n">
        <f aca="false">IFERROR('Price History'!C3+(INDEX('Price History'!C:C,MATCH(9.99E+307,'Price History'!$A:$A))-'Price History'!C3)*(ROW()-3)/(MATCH(9.99E+307,'Returns (Calc)'!$A:$A)-3),"")</f>
        <v>35.073417721519</v>
      </c>
      <c r="Y41" s="144" t="n">
        <f aca="false">IFERROR('Price History'!D3+(INDEX('Price History'!D:D,MATCH(9.99E+307,'Price History'!$A:$A))-'Price History'!D3)*(ROW()-3)/(MATCH(9.99E+307,'Returns (Calc)'!$A:$A)-3),"")</f>
        <v>442.032911392405</v>
      </c>
      <c r="Z41" s="144" t="n">
        <f aca="false">IFERROR('Price History'!E3+(INDEX('Price History'!E:E,MATCH(9.99E+307,'Price History'!$A:$A))-'Price History'!E3)*(ROW()-3)/(MATCH(9.99E+307,'Returns (Calc)'!$A:$A)-3),"")</f>
        <v>62.2784810126582</v>
      </c>
      <c r="AA41" s="144" t="n">
        <f aca="false">IFERROR('Price History'!F3+(INDEX('Price History'!F:F,MATCH(9.99E+307,'Price History'!$A:$A))-'Price History'!F3)*(ROW()-3)/(MATCH(9.99E+307,'Returns (Calc)'!$A:$A)-3),"")</f>
        <v>57.1974683544304</v>
      </c>
      <c r="AB41" s="144" t="n">
        <f aca="false">IFERROR('Price History'!G3+(INDEX('Price History'!G:G,MATCH(9.99E+307,'Price History'!$A:$A))-'Price History'!G3)*(ROW()-3)/(MATCH(9.99E+307,'Returns (Calc)'!$A:$A)-3),"")</f>
        <v>31.4126582278481</v>
      </c>
      <c r="AC41" s="144" t="n">
        <f aca="false">IFERROR('Price History'!H3+(INDEX('Price History'!H:H,MATCH(9.99E+307,'Price History'!$A:$A))-'Price History'!H3)*(ROW()-3)/(MATCH(9.99E+307,'Returns (Calc)'!$A:$A)-3),"")</f>
        <v>76.3974683544304</v>
      </c>
      <c r="AD41" s="144" t="n">
        <f aca="false">IFERROR('Price History'!I3+(INDEX('Price History'!I:I,MATCH(9.99E+307,'Price History'!$A:$A))-'Price History'!I3)*(ROW()-3)/(MATCH(9.99E+307,'Returns (Calc)'!$A:$A)-3),"")</f>
        <v>33.6835443037975</v>
      </c>
      <c r="AE41" s="144" t="n">
        <f aca="false">IFERROR('Price History'!J3+(INDEX('Price History'!J:J,MATCH(9.99E+307,'Price History'!$A:$A))-'Price History'!J3)*(ROW()-3)/(MATCH(9.99E+307,'Returns (Calc)'!$A:$A)-3),"")</f>
        <v>52.4886075949367</v>
      </c>
      <c r="AF41" s="144" t="n">
        <f aca="false">IFERROR('Price History'!K3+(INDEX('Price History'!K:K,MATCH(9.99E+307,'Price History'!$A:$A))-'Price History'!K3)*(ROW()-3)/(MATCH(9.99E+307,'Returns (Calc)'!$A:$A)-3),"")</f>
        <v>33.2430379746835</v>
      </c>
      <c r="AG41" s="144" t="n">
        <f aca="false">IFERROR('Price History'!L3+(INDEX('Price History'!L:L,MATCH(9.99E+307,'Price History'!$A:$A))-'Price History'!L3)*(ROW()-3)/(MATCH(9.99E+307,'Returns (Calc)'!$A:$A)-3),"")</f>
        <v>84.9417721518987</v>
      </c>
      <c r="AH41" s="144" t="n">
        <f aca="false">IFERROR('Price History'!M3+(INDEX('Price History'!M:M,MATCH(9.99E+307,'Price History'!$A:$A))-'Price History'!M3)*(ROW()-3)/(MATCH(9.99E+307,'Returns (Calc)'!$A:$A)-3),"")</f>
        <v>11.6430379746835</v>
      </c>
      <c r="AI41" s="144" t="n">
        <f aca="false">IFERROR('Price History'!N3+(INDEX('Price History'!N:N,MATCH(9.99E+307,'Price History'!$A:$A))-'Price History'!N3)*(ROW()-3)/(MATCH(9.99E+307,'Returns (Calc)'!$A:$A)-3),"")</f>
        <v>16.5569620253165</v>
      </c>
      <c r="AJ41" s="144" t="n">
        <f aca="false">IFERROR('Price History'!O3+(INDEX('Price History'!O:O,MATCH(9.99E+307,'Price History'!$A:$A))-'Price History'!O3)*(ROW()-3)/(MATCH(9.99E+307,'Returns (Calc)'!$A:$A)-3),"")</f>
        <v>43.7696202531646</v>
      </c>
      <c r="AK41" s="144" t="n">
        <f aca="false">IFERROR('Price History'!Q3+(INDEX('Price History'!Q:Q,MATCH(9.99E+307,'Price History'!$A:$A))-'Price History'!Q3)*(ROW()-3)/(MATCH(9.99E+307,'Returns (Calc)'!$A:$A)-3),"")</f>
        <v>178.959493670886</v>
      </c>
      <c r="AL41" s="144" t="n">
        <f aca="false">IFERROR('Price History'!R3+(INDEX('Price History'!R:R,MATCH(9.99E+307,'Price History'!$A:$A))-'Price History'!R3)*(ROW()-3)/(MATCH(9.99E+307,'Returns (Calc)'!$A:$A)-3),"")</f>
        <v>36.3189873417722</v>
      </c>
      <c r="AM41" s="144" t="n">
        <f aca="false">IFERROR('Price History'!S3+(INDEX('Price History'!S:S,MATCH(9.99E+307,'Price History'!$A:$A))-'Price History'!S3)*(ROW()-3)/(MATCH(9.99E+307,'Returns (Calc)'!$A:$A)-3),"")</f>
        <v>44.4607594936709</v>
      </c>
      <c r="AN41" s="144" t="n">
        <f aca="false">IFERROR('Price History'!T3+(INDEX('Price History'!T:T,MATCH(9.99E+307,'Price History'!$A:$A))-'Price History'!T3)*(ROW()-3)/(MATCH(9.99E+307,'Returns (Calc)'!$A:$A)-3),"")</f>
        <v>20.4379746835443</v>
      </c>
      <c r="AO41" s="145" t="n">
        <f aca="false">IFERROR('Price History'!V3+(INDEX('Price History'!V:V,MATCH(9.99E+307,'Price History'!$A:$A))-'Price History'!V3)*(ROW()-3)/(MATCH(9.99E+307,'Returns (Calc)'!$A:$A)-3),"")</f>
        <v>0</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0.0107896608963718</v>
      </c>
      <c r="G42" s="142" t="n">
        <f aca="false">IFERROR(IF(OR(NOT(ISNUMBER('Price History'!G43)),NOT(ISNUMBER('Price History'!G42)),'Price History'!G42=0),"",'Price History'!G43/'Price History'!G42-1),"")</f>
        <v>-0.0124533001245331</v>
      </c>
      <c r="H42" s="142" t="n">
        <f aca="false">IFERROR(IF(OR(NOT(ISNUMBER('Price History'!H43)),NOT(ISNUMBER('Price History'!H42)),'Price History'!H42=0),"",'Price History'!H43/'Price History'!H42-1),"")</f>
        <v>0.0137798868406644</v>
      </c>
      <c r="I42" s="142" t="n">
        <f aca="false">IFERROR(IF(OR(NOT(ISNUMBER('Price History'!I43)),NOT(ISNUMBER('Price History'!I42)),'Price History'!I42=0),"",'Price History'!I43/'Price History'!I42-1),"")</f>
        <v>-0.010109727530514</v>
      </c>
      <c r="J42" s="142" t="n">
        <f aca="false">IFERROR(IF(OR(NOT(ISNUMBER('Price History'!J43)),NOT(ISNUMBER('Price History'!J42)),'Price History'!J42=0),"",'Price History'!J43/'Price History'!J42-1),"")</f>
        <v>-0.0128250801567509</v>
      </c>
      <c r="K42" s="142" t="n">
        <f aca="false">IFERROR(IF(OR(NOT(ISNUMBER('Price History'!K43)),NOT(ISNUMBER('Price History'!K42)),'Price History'!K42=0),"",'Price History'!K43/'Price History'!K42-1),"")</f>
        <v>-0.0402980535279807</v>
      </c>
      <c r="L42" s="142" t="n">
        <f aca="false">IFERROR(IF(OR(NOT(ISNUMBER('Price History'!L43)),NOT(ISNUMBER('Price History'!L42)),'Price History'!L42=0),"",'Price History'!L43/'Price History'!L42-1),"")</f>
        <v>-0.0173181114551084</v>
      </c>
      <c r="M42" s="142" t="n">
        <f aca="false">IFERROR(IF(OR(NOT(ISNUMBER('Price History'!M43)),NOT(ISNUMBER('Price History'!M42)),'Price History'!M42=0),"",'Price History'!M43/'Price History'!M42-1),"")</f>
        <v>0.0114552397114978</v>
      </c>
      <c r="N42" s="142" t="n">
        <f aca="false">IFERROR(IF(OR(NOT(ISNUMBER('Price History'!N43)),NOT(ISNUMBER('Price History'!N42)),'Price History'!N42=0),"",'Price History'!N43/'Price History'!N42-1),"")</f>
        <v>0.0171232876712331</v>
      </c>
      <c r="O42" s="142" t="n">
        <f aca="false">IFERROR(IF(OR(NOT(ISNUMBER('Price History'!O43)),NOT(ISNUMBER('Price History'!O42)),'Price History'!O42=0),"",'Price History'!O43/'Price History'!O42-1),"")</f>
        <v>-0.000814711359404141</v>
      </c>
      <c r="P42" s="142" t="n">
        <f aca="false">IFERROR(IF(OR(NOT(ISNUMBER('Price History'!P43)),NOT(ISNUMBER('Price History'!P42)),'Price History'!P42=0),"",'Price History'!P43/'Price History'!P42-1),"")</f>
        <v>0.00840636737614031</v>
      </c>
      <c r="Q42" s="142" t="n">
        <f aca="false">IFERROR(IF(OR(NOT(ISNUMBER('Price History'!Q43)),NOT(ISNUMBER('Price History'!Q42)),'Price History'!Q42=0),"",'Price History'!Q43/'Price History'!Q42-1),"")</f>
        <v>0.0168351433617675</v>
      </c>
      <c r="R42" s="142" t="n">
        <f aca="false">IFERROR(IF(OR(NOT(ISNUMBER('Price History'!R43)),NOT(ISNUMBER('Price History'!R42)),'Price History'!R42=0),"",'Price History'!R43/'Price History'!R42-1),"")</f>
        <v>0.011967090501122</v>
      </c>
      <c r="S42" s="142" t="n">
        <f aca="false">IFERROR(IF(OR(NOT(ISNUMBER('Price History'!S43)),NOT(ISNUMBER('Price History'!S42)),'Price History'!S42=0),"",'Price History'!S43/'Price History'!S42-1),"")</f>
        <v>0.0150848522941547</v>
      </c>
      <c r="T42" s="142" t="n">
        <f aca="false">IFERROR(IF(OR(NOT(ISNUMBER('Price History'!T43)),NOT(ISNUMBER('Price History'!T42)),'Price History'!T42=0),"",'Price History'!T43/'Price History'!T42-1),"")</f>
        <v>0.00920342748333858</v>
      </c>
      <c r="U42" s="142" t="str">
        <f aca="false">IFERROR(IF(OR(NOT(ISNUMBER('Price History'!U43)),NOT(ISNUMBER('Price History'!U42)),'Price History'!U42=0),"",'Price History'!U43/'Price History'!U42-1),"")</f>
        <v/>
      </c>
      <c r="V42" s="143" t="n">
        <f aca="false">IFERROR(IF(OR(NOT(ISNUMBER('Price History'!V43)),NOT(ISNUMBER('Price History'!V42)),'Price History'!V42=0),"",'Price History'!V43/'Price History'!V42-1),"")</f>
        <v>-0.000435555878189553</v>
      </c>
      <c r="W42" s="144" t="str">
        <f aca="false">IFERROR('Price History'!B3+(INDEX('Price History'!B:B,MATCH(9.99E+307,'Price History'!$A:$A))-'Price History'!B3)*(ROW()-3)/(MATCH(9.99E+307,'Returns (Calc)'!$A:$A)-3),"")</f>
        <v/>
      </c>
      <c r="X42" s="144" t="n">
        <f aca="false">IFERROR('Price History'!C3+(INDEX('Price History'!C:C,MATCH(9.99E+307,'Price History'!$A:$A))-'Price History'!C3)*(ROW()-3)/(MATCH(9.99E+307,'Returns (Calc)'!$A:$A)-3),"")</f>
        <v>34.7811392405063</v>
      </c>
      <c r="Y42" s="144" t="n">
        <f aca="false">IFERROR('Price History'!D3+(INDEX('Price History'!D:D,MATCH(9.99E+307,'Price History'!$A:$A))-'Price History'!D3)*(ROW()-3)/(MATCH(9.99E+307,'Returns (Calc)'!$A:$A)-3),"")</f>
        <v>438.349303797468</v>
      </c>
      <c r="Z42" s="144" t="n">
        <f aca="false">IFERROR('Price History'!E3+(INDEX('Price History'!E:E,MATCH(9.99E+307,'Price History'!$A:$A))-'Price History'!E3)*(ROW()-3)/(MATCH(9.99E+307,'Returns (Calc)'!$A:$A)-3),"")</f>
        <v>61.7594936708861</v>
      </c>
      <c r="AA42" s="144" t="n">
        <f aca="false">IFERROR('Price History'!F3+(INDEX('Price History'!F:F,MATCH(9.99E+307,'Price History'!$A:$A))-'Price History'!F3)*(ROW()-3)/(MATCH(9.99E+307,'Returns (Calc)'!$A:$A)-3),"")</f>
        <v>56.7208227848101</v>
      </c>
      <c r="AB42" s="144" t="n">
        <f aca="false">IFERROR('Price History'!G3+(INDEX('Price History'!G:G,MATCH(9.99E+307,'Price History'!$A:$A))-'Price History'!G3)*(ROW()-3)/(MATCH(9.99E+307,'Returns (Calc)'!$A:$A)-3),"")</f>
        <v>31.1508860759494</v>
      </c>
      <c r="AC42" s="144" t="n">
        <f aca="false">IFERROR('Price History'!H3+(INDEX('Price History'!H:H,MATCH(9.99E+307,'Price History'!$A:$A))-'Price History'!H3)*(ROW()-3)/(MATCH(9.99E+307,'Returns (Calc)'!$A:$A)-3),"")</f>
        <v>75.7608227848101</v>
      </c>
      <c r="AD42" s="144" t="n">
        <f aca="false">IFERROR('Price History'!I3+(INDEX('Price History'!I:I,MATCH(9.99E+307,'Price History'!$A:$A))-'Price History'!I3)*(ROW()-3)/(MATCH(9.99E+307,'Returns (Calc)'!$A:$A)-3),"")</f>
        <v>33.4028481012658</v>
      </c>
      <c r="AE42" s="144" t="n">
        <f aca="false">IFERROR('Price History'!J3+(INDEX('Price History'!J:J,MATCH(9.99E+307,'Price History'!$A:$A))-'Price History'!J3)*(ROW()-3)/(MATCH(9.99E+307,'Returns (Calc)'!$A:$A)-3),"")</f>
        <v>52.0512025316456</v>
      </c>
      <c r="AF42" s="144" t="n">
        <f aca="false">IFERROR('Price History'!K3+(INDEX('Price History'!K:K,MATCH(9.99E+307,'Price History'!$A:$A))-'Price History'!K3)*(ROW()-3)/(MATCH(9.99E+307,'Returns (Calc)'!$A:$A)-3),"")</f>
        <v>32.9660126582279</v>
      </c>
      <c r="AG42" s="144" t="n">
        <f aca="false">IFERROR('Price History'!L3+(INDEX('Price History'!L:L,MATCH(9.99E+307,'Price History'!$A:$A))-'Price History'!L3)*(ROW()-3)/(MATCH(9.99E+307,'Returns (Calc)'!$A:$A)-3),"")</f>
        <v>84.2339240506329</v>
      </c>
      <c r="AH42" s="144" t="n">
        <f aca="false">IFERROR('Price History'!M3+(INDEX('Price History'!M:M,MATCH(9.99E+307,'Price History'!$A:$A))-'Price History'!M3)*(ROW()-3)/(MATCH(9.99E+307,'Returns (Calc)'!$A:$A)-3),"")</f>
        <v>11.5460126582278</v>
      </c>
      <c r="AI42" s="144" t="n">
        <f aca="false">IFERROR('Price History'!N3+(INDEX('Price History'!N:N,MATCH(9.99E+307,'Price History'!$A:$A))-'Price History'!N3)*(ROW()-3)/(MATCH(9.99E+307,'Returns (Calc)'!$A:$A)-3),"")</f>
        <v>16.4189873417722</v>
      </c>
      <c r="AJ42" s="144" t="n">
        <f aca="false">IFERROR('Price History'!O3+(INDEX('Price History'!O:O,MATCH(9.99E+307,'Price History'!$A:$A))-'Price History'!O3)*(ROW()-3)/(MATCH(9.99E+307,'Returns (Calc)'!$A:$A)-3),"")</f>
        <v>43.4048734177215</v>
      </c>
      <c r="AK42" s="144" t="n">
        <f aca="false">IFERROR('Price History'!Q3+(INDEX('Price History'!Q:Q,MATCH(9.99E+307,'Price History'!$A:$A))-'Price History'!Q3)*(ROW()-3)/(MATCH(9.99E+307,'Returns (Calc)'!$A:$A)-3),"")</f>
        <v>177.468164556962</v>
      </c>
      <c r="AL42" s="144" t="n">
        <f aca="false">IFERROR('Price History'!R3+(INDEX('Price History'!R:R,MATCH(9.99E+307,'Price History'!$A:$A))-'Price History'!R3)*(ROW()-3)/(MATCH(9.99E+307,'Returns (Calc)'!$A:$A)-3),"")</f>
        <v>36.0163291139241</v>
      </c>
      <c r="AM42" s="144" t="n">
        <f aca="false">IFERROR('Price History'!S3+(INDEX('Price History'!S:S,MATCH(9.99E+307,'Price History'!$A:$A))-'Price History'!S3)*(ROW()-3)/(MATCH(9.99E+307,'Returns (Calc)'!$A:$A)-3),"")</f>
        <v>44.090253164557</v>
      </c>
      <c r="AN42" s="144" t="n">
        <f aca="false">IFERROR('Price History'!T3+(INDEX('Price History'!T:T,MATCH(9.99E+307,'Price History'!$A:$A))-'Price History'!T3)*(ROW()-3)/(MATCH(9.99E+307,'Returns (Calc)'!$A:$A)-3),"")</f>
        <v>20.2676582278481</v>
      </c>
      <c r="AO42" s="145" t="n">
        <f aca="false">IFERROR('Price History'!V3+(INDEX('Price History'!V:V,MATCH(9.99E+307,'Price History'!$A:$A))-'Price History'!V3)*(ROW()-3)/(MATCH(9.99E+307,'Returns (Calc)'!$A:$A)-3),"")</f>
        <v>0</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0.0166568914956011</v>
      </c>
      <c r="G43" s="142" t="n">
        <f aca="false">IFERROR(IF(OR(NOT(ISNUMBER('Price History'!G44)),NOT(ISNUMBER('Price History'!G43)),'Price History'!G43=0),"",'Price History'!G44/'Price History'!G43-1),"")</f>
        <v>0.00672551492223628</v>
      </c>
      <c r="H43" s="142" t="n">
        <f aca="false">IFERROR(IF(OR(NOT(ISNUMBER('Price History'!H44)),NOT(ISNUMBER('Price History'!H43)),'Price History'!H43=0),"",'Price History'!H44/'Price History'!H43-1),"")</f>
        <v>0.00297056440723731</v>
      </c>
      <c r="I43" s="142" t="n">
        <f aca="false">IFERROR(IF(OR(NOT(ISNUMBER('Price History'!I44)),NOT(ISNUMBER('Price History'!I43)),'Price History'!I43=0),"",'Price History'!I44/'Price History'!I43-1),"")</f>
        <v>0.00983933241997748</v>
      </c>
      <c r="J43" s="142" t="n">
        <f aca="false">IFERROR(IF(OR(NOT(ISNUMBER('Price History'!J44)),NOT(ISNUMBER('Price History'!J43)),'Price History'!J43=0),"",'Price History'!J44/'Price History'!J43-1),"")</f>
        <v>-0.0574521833273187</v>
      </c>
      <c r="K43" s="142" t="n">
        <f aca="false">IFERROR(IF(OR(NOT(ISNUMBER('Price History'!K44)),NOT(ISNUMBER('Price History'!K43)),'Price History'!K43=0),"",'Price History'!K44/'Price History'!K43-1),"")</f>
        <v>-0.0239264775788306</v>
      </c>
      <c r="L43" s="142" t="n">
        <f aca="false">IFERROR(IF(OR(NOT(ISNUMBER('Price History'!L44)),NOT(ISNUMBER('Price History'!L43)),'Price History'!L43=0),"",'Price History'!L44/'Price History'!L43-1),"")</f>
        <v>0.0265826523579797</v>
      </c>
      <c r="M43" s="142" t="n">
        <f aca="false">IFERROR(IF(OR(NOT(ISNUMBER('Price History'!M44)),NOT(ISNUMBER('Price History'!M43)),'Price History'!M43=0),"",'Price History'!M44/'Price History'!M43-1),"")</f>
        <v>0.0625</v>
      </c>
      <c r="N43" s="142" t="n">
        <f aca="false">IFERROR(IF(OR(NOT(ISNUMBER('Price History'!N44)),NOT(ISNUMBER('Price History'!N43)),'Price History'!N43=0),"",'Price History'!N44/'Price History'!N43-1),"")</f>
        <v>0.00589225589225584</v>
      </c>
      <c r="O43" s="142" t="n">
        <f aca="false">IFERROR(IF(OR(NOT(ISNUMBER('Price History'!O44)),NOT(ISNUMBER('Price History'!O43)),'Price History'!O43=0),"",'Price History'!O44/'Price History'!O43-1),"")</f>
        <v>0.00186371578334321</v>
      </c>
      <c r="P43" s="142" t="n">
        <f aca="false">IFERROR(IF(OR(NOT(ISNUMBER('Price History'!P44)),NOT(ISNUMBER('Price History'!P43)),'Price History'!P43=0),"",'Price History'!P44/'Price History'!P43-1),"")</f>
        <v>-0.000827716684403401</v>
      </c>
      <c r="Q43" s="142" t="n">
        <f aca="false">IFERROR(IF(OR(NOT(ISNUMBER('Price History'!Q44)),NOT(ISNUMBER('Price History'!Q43)),'Price History'!Q43=0),"",'Price History'!Q44/'Price History'!Q43-1),"")</f>
        <v>-0.0463431760227649</v>
      </c>
      <c r="R43" s="142" t="n">
        <f aca="false">IFERROR(IF(OR(NOT(ISNUMBER('Price History'!R44)),NOT(ISNUMBER('Price History'!R43)),'Price History'!R43=0),"",'Price History'!R44/'Price History'!R43-1),"")</f>
        <v>0.00480413895048049</v>
      </c>
      <c r="S43" s="142" t="n">
        <f aca="false">IFERROR(IF(OR(NOT(ISNUMBER('Price History'!S44)),NOT(ISNUMBER('Price History'!S43)),'Price History'!S43=0),"",'Price History'!S44/'Price History'!S43-1),"")</f>
        <v>0.0194427244582043</v>
      </c>
      <c r="T43" s="142" t="n">
        <f aca="false">IFERROR(IF(OR(NOT(ISNUMBER('Price History'!T44)),NOT(ISNUMBER('Price History'!T43)),'Price History'!T43=0),"",'Price History'!T44/'Price History'!T43-1),"")</f>
        <v>-0.0169811320754717</v>
      </c>
      <c r="U43" s="142" t="str">
        <f aca="false">IFERROR(IF(OR(NOT(ISNUMBER('Price History'!U44)),NOT(ISNUMBER('Price History'!U43)),'Price History'!U43=0),"",'Price History'!U44/'Price History'!U43-1),"")</f>
        <v/>
      </c>
      <c r="V43" s="143" t="n">
        <f aca="false">IFERROR(IF(OR(NOT(ISNUMBER('Price History'!V44)),NOT(ISNUMBER('Price History'!V43)),'Price History'!V43=0),"",'Price History'!V44/'Price History'!V43-1),"")</f>
        <v>-0.0200443008097606</v>
      </c>
      <c r="W43" s="144" t="str">
        <f aca="false">IFERROR('Price History'!B3+(INDEX('Price History'!B:B,MATCH(9.99E+307,'Price History'!$A:$A))-'Price History'!B3)*(ROW()-3)/(MATCH(9.99E+307,'Returns (Calc)'!$A:$A)-3),"")</f>
        <v/>
      </c>
      <c r="X43" s="144" t="n">
        <f aca="false">IFERROR('Price History'!C3+(INDEX('Price History'!C:C,MATCH(9.99E+307,'Price History'!$A:$A))-'Price History'!C3)*(ROW()-3)/(MATCH(9.99E+307,'Returns (Calc)'!$A:$A)-3),"")</f>
        <v>34.4888607594937</v>
      </c>
      <c r="Y43" s="144" t="n">
        <f aca="false">IFERROR('Price History'!D3+(INDEX('Price History'!D:D,MATCH(9.99E+307,'Price History'!$A:$A))-'Price History'!D3)*(ROW()-3)/(MATCH(9.99E+307,'Returns (Calc)'!$A:$A)-3),"")</f>
        <v>434.665696202532</v>
      </c>
      <c r="Z43" s="144" t="n">
        <f aca="false">IFERROR('Price History'!E3+(INDEX('Price History'!E:E,MATCH(9.99E+307,'Price History'!$A:$A))-'Price History'!E3)*(ROW()-3)/(MATCH(9.99E+307,'Returns (Calc)'!$A:$A)-3),"")</f>
        <v>61.2405063291139</v>
      </c>
      <c r="AA43" s="144" t="n">
        <f aca="false">IFERROR('Price History'!F3+(INDEX('Price History'!F:F,MATCH(9.99E+307,'Price History'!$A:$A))-'Price History'!F3)*(ROW()-3)/(MATCH(9.99E+307,'Returns (Calc)'!$A:$A)-3),"")</f>
        <v>56.2441772151899</v>
      </c>
      <c r="AB43" s="144" t="n">
        <f aca="false">IFERROR('Price History'!G3+(INDEX('Price History'!G:G,MATCH(9.99E+307,'Price History'!$A:$A))-'Price History'!G3)*(ROW()-3)/(MATCH(9.99E+307,'Returns (Calc)'!$A:$A)-3),"")</f>
        <v>30.8891139240506</v>
      </c>
      <c r="AC43" s="144" t="n">
        <f aca="false">IFERROR('Price History'!H3+(INDEX('Price History'!H:H,MATCH(9.99E+307,'Price History'!$A:$A))-'Price History'!H3)*(ROW()-3)/(MATCH(9.99E+307,'Returns (Calc)'!$A:$A)-3),"")</f>
        <v>75.1241772151899</v>
      </c>
      <c r="AD43" s="144" t="n">
        <f aca="false">IFERROR('Price History'!I3+(INDEX('Price History'!I:I,MATCH(9.99E+307,'Price History'!$A:$A))-'Price History'!I3)*(ROW()-3)/(MATCH(9.99E+307,'Returns (Calc)'!$A:$A)-3),"")</f>
        <v>33.1221518987342</v>
      </c>
      <c r="AE43" s="144" t="n">
        <f aca="false">IFERROR('Price History'!J3+(INDEX('Price History'!J:J,MATCH(9.99E+307,'Price History'!$A:$A))-'Price History'!J3)*(ROW()-3)/(MATCH(9.99E+307,'Returns (Calc)'!$A:$A)-3),"")</f>
        <v>51.6137974683544</v>
      </c>
      <c r="AF43" s="144" t="n">
        <f aca="false">IFERROR('Price History'!K3+(INDEX('Price History'!K:K,MATCH(9.99E+307,'Price History'!$A:$A))-'Price History'!K3)*(ROW()-3)/(MATCH(9.99E+307,'Returns (Calc)'!$A:$A)-3),"")</f>
        <v>32.6889873417722</v>
      </c>
      <c r="AG43" s="144" t="n">
        <f aca="false">IFERROR('Price History'!L3+(INDEX('Price History'!L:L,MATCH(9.99E+307,'Price History'!$A:$A))-'Price History'!L3)*(ROW()-3)/(MATCH(9.99E+307,'Returns (Calc)'!$A:$A)-3),"")</f>
        <v>83.5260759493671</v>
      </c>
      <c r="AH43" s="144" t="n">
        <f aca="false">IFERROR('Price History'!M3+(INDEX('Price History'!M:M,MATCH(9.99E+307,'Price History'!$A:$A))-'Price History'!M3)*(ROW()-3)/(MATCH(9.99E+307,'Returns (Calc)'!$A:$A)-3),"")</f>
        <v>11.4489873417722</v>
      </c>
      <c r="AI43" s="144" t="n">
        <f aca="false">IFERROR('Price History'!N3+(INDEX('Price History'!N:N,MATCH(9.99E+307,'Price History'!$A:$A))-'Price History'!N3)*(ROW()-3)/(MATCH(9.99E+307,'Returns (Calc)'!$A:$A)-3),"")</f>
        <v>16.2810126582278</v>
      </c>
      <c r="AJ43" s="144" t="n">
        <f aca="false">IFERROR('Price History'!O3+(INDEX('Price History'!O:O,MATCH(9.99E+307,'Price History'!$A:$A))-'Price History'!O3)*(ROW()-3)/(MATCH(9.99E+307,'Returns (Calc)'!$A:$A)-3),"")</f>
        <v>43.0401265822785</v>
      </c>
      <c r="AK43" s="144" t="n">
        <f aca="false">IFERROR('Price History'!Q3+(INDEX('Price History'!Q:Q,MATCH(9.99E+307,'Price History'!$A:$A))-'Price History'!Q3)*(ROW()-3)/(MATCH(9.99E+307,'Returns (Calc)'!$A:$A)-3),"")</f>
        <v>175.976835443038</v>
      </c>
      <c r="AL43" s="144" t="n">
        <f aca="false">IFERROR('Price History'!R3+(INDEX('Price History'!R:R,MATCH(9.99E+307,'Price History'!$A:$A))-'Price History'!R3)*(ROW()-3)/(MATCH(9.99E+307,'Returns (Calc)'!$A:$A)-3),"")</f>
        <v>35.7136708860759</v>
      </c>
      <c r="AM43" s="144" t="n">
        <f aca="false">IFERROR('Price History'!S3+(INDEX('Price History'!S:S,MATCH(9.99E+307,'Price History'!$A:$A))-'Price History'!S3)*(ROW()-3)/(MATCH(9.99E+307,'Returns (Calc)'!$A:$A)-3),"")</f>
        <v>43.719746835443</v>
      </c>
      <c r="AN43" s="144" t="n">
        <f aca="false">IFERROR('Price History'!T3+(INDEX('Price History'!T:T,MATCH(9.99E+307,'Price History'!$A:$A))-'Price History'!T3)*(ROW()-3)/(MATCH(9.99E+307,'Returns (Calc)'!$A:$A)-3),"")</f>
        <v>20.0973417721519</v>
      </c>
      <c r="AO43" s="145" t="n">
        <f aca="false">IFERROR('Price History'!V3+(INDEX('Price History'!V:V,MATCH(9.99E+307,'Price History'!$A:$A))-'Price History'!V3)*(ROW()-3)/(MATCH(9.99E+307,'Returns (Calc)'!$A:$A)-3),"")</f>
        <v>0</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-0.0164993654090229</v>
      </c>
      <c r="G44" s="142" t="n">
        <f aca="false">IFERROR(IF(OR(NOT(ISNUMBER('Price History'!G45)),NOT(ISNUMBER('Price History'!G44)),'Price History'!G44=0),"",'Price History'!G45/'Price History'!G44-1),"")</f>
        <v>0.016910229645094</v>
      </c>
      <c r="H44" s="142" t="n">
        <f aca="false">IFERROR(IF(OR(NOT(ISNUMBER('Price History'!H45)),NOT(ISNUMBER('Price History'!H44)),'Price History'!H44=0),"",'Price History'!H45/'Price History'!H44-1),"")</f>
        <v>-0.00816729492012203</v>
      </c>
      <c r="I44" s="142" t="n">
        <f aca="false">IFERROR(IF(OR(NOT(ISNUMBER('Price History'!I45)),NOT(ISNUMBER('Price History'!I44)),'Price History'!I44=0),"",'Price History'!I45/'Price History'!I44-1),"")</f>
        <v>0.0372471632955105</v>
      </c>
      <c r="J44" s="142" t="n">
        <f aca="false">IFERROR(IF(OR(NOT(ISNUMBER('Price History'!J45)),NOT(ISNUMBER('Price History'!J44)),'Price History'!J44=0),"",'Price History'!J45/'Price History'!J44-1),"")</f>
        <v>0.000536028792403664</v>
      </c>
      <c r="K44" s="142" t="n">
        <f aca="false">IFERROR(IF(OR(NOT(ISNUMBER('Price History'!K45)),NOT(ISNUMBER('Price History'!K44)),'Price History'!K44=0),"",'Price History'!K45/'Price History'!K44-1),"")</f>
        <v>0.0185064935064936</v>
      </c>
      <c r="L44" s="142" t="n">
        <f aca="false">IFERROR(IF(OR(NOT(ISNUMBER('Price History'!L45)),NOT(ISNUMBER('Price History'!L44)),'Price History'!L44=0),"",'Price History'!L45/'Price History'!L44-1),"")</f>
        <v>0.0191809724753045</v>
      </c>
      <c r="M44" s="142" t="n">
        <f aca="false">IFERROR(IF(OR(NOT(ISNUMBER('Price History'!M45)),NOT(ISNUMBER('Price History'!M44)),'Price History'!M44=0),"",'Price History'!M45/'Price History'!M44-1),"")</f>
        <v>0.0750098697197001</v>
      </c>
      <c r="N44" s="142" t="n">
        <f aca="false">IFERROR(IF(OR(NOT(ISNUMBER('Price History'!N45)),NOT(ISNUMBER('Price History'!N44)),'Price History'!N44=0),"",'Price History'!N45/'Price History'!N44-1),"")</f>
        <v>-0.00920502092050202</v>
      </c>
      <c r="O44" s="142" t="n">
        <f aca="false">IFERROR(IF(OR(NOT(ISNUMBER('Price History'!O45)),NOT(ISNUMBER('Price History'!O44)),'Price History'!O44=0),"",'Price History'!O45/'Price History'!O44-1),"")</f>
        <v>0.0310429019881409</v>
      </c>
      <c r="P44" s="142" t="n">
        <f aca="false">IFERROR(IF(OR(NOT(ISNUMBER('Price History'!P45)),NOT(ISNUMBER('Price History'!P44)),'Price History'!P44=0),"",'Price History'!P45/'Price History'!P44-1),"")</f>
        <v>0.0585798816568048</v>
      </c>
      <c r="Q44" s="142" t="n">
        <f aca="false">IFERROR(IF(OR(NOT(ISNUMBER('Price History'!Q45)),NOT(ISNUMBER('Price History'!Q44)),'Price History'!Q44=0),"",'Price History'!Q45/'Price History'!Q44-1),"")</f>
        <v>0.0300716915326487</v>
      </c>
      <c r="R44" s="142" t="n">
        <f aca="false">IFERROR(IF(OR(NOT(ISNUMBER('Price History'!R45)),NOT(ISNUMBER('Price History'!R44)),'Price History'!R44=0),"",'Price History'!R45/'Price History'!R44-1),"")</f>
        <v>-0.00349393159249733</v>
      </c>
      <c r="S44" s="142" t="n">
        <f aca="false">IFERROR(IF(OR(NOT(ISNUMBER('Price History'!S45)),NOT(ISNUMBER('Price History'!S44)),'Price History'!S44=0),"",'Price History'!S45/'Price History'!S44-1),"")</f>
        <v>-0.0109329446064139</v>
      </c>
      <c r="T44" s="142" t="n">
        <f aca="false">IFERROR(IF(OR(NOT(ISNUMBER('Price History'!T45)),NOT(ISNUMBER('Price History'!T44)),'Price History'!T44=0),"",'Price History'!T45/'Price History'!T44-1),"")</f>
        <v>0.0115163147792705</v>
      </c>
      <c r="U44" s="142" t="str">
        <f aca="false">IFERROR(IF(OR(NOT(ISNUMBER('Price History'!U45)),NOT(ISNUMBER('Price History'!U44)),'Price History'!U44=0),"",'Price History'!U45/'Price History'!U44-1),"")</f>
        <v/>
      </c>
      <c r="V44" s="143" t="n">
        <f aca="false">IFERROR(IF(OR(NOT(ISNUMBER('Price History'!V45)),NOT(ISNUMBER('Price History'!V44)),'Price History'!V44=0),"",'Price History'!V45/'Price History'!V44-1),"")</f>
        <v>-0.00737392077667032</v>
      </c>
      <c r="W44" s="144" t="str">
        <f aca="false">IFERROR('Price History'!B3+(INDEX('Price History'!B:B,MATCH(9.99E+307,'Price History'!$A:$A))-'Price History'!B3)*(ROW()-3)/(MATCH(9.99E+307,'Returns (Calc)'!$A:$A)-3),"")</f>
        <v/>
      </c>
      <c r="X44" s="144" t="n">
        <f aca="false">IFERROR('Price History'!C3+(INDEX('Price History'!C:C,MATCH(9.99E+307,'Price History'!$A:$A))-'Price History'!C3)*(ROW()-3)/(MATCH(9.99E+307,'Returns (Calc)'!$A:$A)-3),"")</f>
        <v>34.196582278481</v>
      </c>
      <c r="Y44" s="144" t="n">
        <f aca="false">IFERROR('Price History'!D3+(INDEX('Price History'!D:D,MATCH(9.99E+307,'Price History'!$A:$A))-'Price History'!D3)*(ROW()-3)/(MATCH(9.99E+307,'Returns (Calc)'!$A:$A)-3),"")</f>
        <v>430.982088607595</v>
      </c>
      <c r="Z44" s="144" t="n">
        <f aca="false">IFERROR('Price History'!E3+(INDEX('Price History'!E:E,MATCH(9.99E+307,'Price History'!$A:$A))-'Price History'!E3)*(ROW()-3)/(MATCH(9.99E+307,'Returns (Calc)'!$A:$A)-3),"")</f>
        <v>60.7215189873418</v>
      </c>
      <c r="AA44" s="144" t="n">
        <f aca="false">IFERROR('Price History'!F3+(INDEX('Price History'!F:F,MATCH(9.99E+307,'Price History'!$A:$A))-'Price History'!F3)*(ROW()-3)/(MATCH(9.99E+307,'Returns (Calc)'!$A:$A)-3),"")</f>
        <v>55.7675316455696</v>
      </c>
      <c r="AB44" s="144" t="n">
        <f aca="false">IFERROR('Price History'!G3+(INDEX('Price History'!G:G,MATCH(9.99E+307,'Price History'!$A:$A))-'Price History'!G3)*(ROW()-3)/(MATCH(9.99E+307,'Returns (Calc)'!$A:$A)-3),"")</f>
        <v>30.6273417721519</v>
      </c>
      <c r="AC44" s="144" t="n">
        <f aca="false">IFERROR('Price History'!H3+(INDEX('Price History'!H:H,MATCH(9.99E+307,'Price History'!$A:$A))-'Price History'!H3)*(ROW()-3)/(MATCH(9.99E+307,'Returns (Calc)'!$A:$A)-3),"")</f>
        <v>74.4875316455696</v>
      </c>
      <c r="AD44" s="144" t="n">
        <f aca="false">IFERROR('Price History'!I3+(INDEX('Price History'!I:I,MATCH(9.99E+307,'Price History'!$A:$A))-'Price History'!I3)*(ROW()-3)/(MATCH(9.99E+307,'Returns (Calc)'!$A:$A)-3),"")</f>
        <v>32.8414556962025</v>
      </c>
      <c r="AE44" s="144" t="n">
        <f aca="false">IFERROR('Price History'!J3+(INDEX('Price History'!J:J,MATCH(9.99E+307,'Price History'!$A:$A))-'Price History'!J3)*(ROW()-3)/(MATCH(9.99E+307,'Returns (Calc)'!$A:$A)-3),"")</f>
        <v>51.1763924050633</v>
      </c>
      <c r="AF44" s="144" t="n">
        <f aca="false">IFERROR('Price History'!K3+(INDEX('Price History'!K:K,MATCH(9.99E+307,'Price History'!$A:$A))-'Price History'!K3)*(ROW()-3)/(MATCH(9.99E+307,'Returns (Calc)'!$A:$A)-3),"")</f>
        <v>32.4119620253165</v>
      </c>
      <c r="AG44" s="144" t="n">
        <f aca="false">IFERROR('Price History'!L3+(INDEX('Price History'!L:L,MATCH(9.99E+307,'Price History'!$A:$A))-'Price History'!L3)*(ROW()-3)/(MATCH(9.99E+307,'Returns (Calc)'!$A:$A)-3),"")</f>
        <v>82.8182278481013</v>
      </c>
      <c r="AH44" s="144" t="n">
        <f aca="false">IFERROR('Price History'!M3+(INDEX('Price History'!M:M,MATCH(9.99E+307,'Price History'!$A:$A))-'Price History'!M3)*(ROW()-3)/(MATCH(9.99E+307,'Returns (Calc)'!$A:$A)-3),"")</f>
        <v>11.3519620253165</v>
      </c>
      <c r="AI44" s="144" t="n">
        <f aca="false">IFERROR('Price History'!N3+(INDEX('Price History'!N:N,MATCH(9.99E+307,'Price History'!$A:$A))-'Price History'!N3)*(ROW()-3)/(MATCH(9.99E+307,'Returns (Calc)'!$A:$A)-3),"")</f>
        <v>16.1430379746835</v>
      </c>
      <c r="AJ44" s="144" t="n">
        <f aca="false">IFERROR('Price History'!O3+(INDEX('Price History'!O:O,MATCH(9.99E+307,'Price History'!$A:$A))-'Price History'!O3)*(ROW()-3)/(MATCH(9.99E+307,'Returns (Calc)'!$A:$A)-3),"")</f>
        <v>42.6753797468354</v>
      </c>
      <c r="AK44" s="144" t="n">
        <f aca="false">IFERROR('Price History'!Q3+(INDEX('Price History'!Q:Q,MATCH(9.99E+307,'Price History'!$A:$A))-'Price History'!Q3)*(ROW()-3)/(MATCH(9.99E+307,'Returns (Calc)'!$A:$A)-3),"")</f>
        <v>174.485506329114</v>
      </c>
      <c r="AL44" s="144" t="n">
        <f aca="false">IFERROR('Price History'!R3+(INDEX('Price History'!R:R,MATCH(9.99E+307,'Price History'!$A:$A))-'Price History'!R3)*(ROW()-3)/(MATCH(9.99E+307,'Returns (Calc)'!$A:$A)-3),"")</f>
        <v>35.4110126582279</v>
      </c>
      <c r="AM44" s="144" t="n">
        <f aca="false">IFERROR('Price History'!S3+(INDEX('Price History'!S:S,MATCH(9.99E+307,'Price History'!$A:$A))-'Price History'!S3)*(ROW()-3)/(MATCH(9.99E+307,'Returns (Calc)'!$A:$A)-3),"")</f>
        <v>43.3492405063291</v>
      </c>
      <c r="AN44" s="144" t="n">
        <f aca="false">IFERROR('Price History'!T3+(INDEX('Price History'!T:T,MATCH(9.99E+307,'Price History'!$A:$A))-'Price History'!T3)*(ROW()-3)/(MATCH(9.99E+307,'Returns (Calc)'!$A:$A)-3),"")</f>
        <v>19.9270253164557</v>
      </c>
      <c r="AO44" s="145" t="n">
        <f aca="false">IFERROR('Price History'!V3+(INDEX('Price History'!V:V,MATCH(9.99E+307,'Price History'!$A:$A))-'Price History'!V3)*(ROW()-3)/(MATCH(9.99E+307,'Returns (Calc)'!$A:$A)-3),"")</f>
        <v>0</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0.0557250117315815</v>
      </c>
      <c r="G45" s="142" t="n">
        <f aca="false">IFERROR(IF(OR(NOT(ISNUMBER('Price History'!G46)),NOT(ISNUMBER('Price History'!G45)),'Price History'!G45=0),"",'Price History'!G46/'Price History'!G45-1),"")</f>
        <v>-0.0471155820160132</v>
      </c>
      <c r="H45" s="142" t="n">
        <f aca="false">IFERROR(IF(OR(NOT(ISNUMBER('Price History'!H46)),NOT(ISNUMBER('Price History'!H45)),'Price History'!H45=0),"",'Price History'!H46/'Price History'!H45-1),"")</f>
        <v>0.0420776400325762</v>
      </c>
      <c r="I45" s="142" t="n">
        <f aca="false">IFERROR(IF(OR(NOT(ISNUMBER('Price History'!I46)),NOT(ISNUMBER('Price History'!I45)),'Price History'!I45=0),"",'Price History'!I46/'Price History'!I45-1),"")</f>
        <v>0.00285374554102269</v>
      </c>
      <c r="J45" s="142" t="n">
        <f aca="false">IFERROR(IF(OR(NOT(ISNUMBER('Price History'!J46)),NOT(ISNUMBER('Price History'!J45)),'Price History'!J45=0),"",'Price History'!J46/'Price History'!J45-1),"")</f>
        <v>0.0157661105158426</v>
      </c>
      <c r="K45" s="142" t="n">
        <f aca="false">IFERROR(IF(OR(NOT(ISNUMBER('Price History'!K46)),NOT(ISNUMBER('Price History'!K45)),'Price History'!K45=0),"",'Price History'!K46/'Price History'!K45-1),"")</f>
        <v>0.0270959515460631</v>
      </c>
      <c r="L45" s="142" t="n">
        <f aca="false">IFERROR(IF(OR(NOT(ISNUMBER('Price History'!L46)),NOT(ISNUMBER('Price History'!L45)),'Price History'!L45=0),"",'Price History'!L46/'Price History'!L45-1),"")</f>
        <v>0.0496847652206645</v>
      </c>
      <c r="M45" s="142" t="n">
        <f aca="false">IFERROR(IF(OR(NOT(ISNUMBER('Price History'!M46)),NOT(ISNUMBER('Price History'!M45)),'Price History'!M45=0),"",'Price History'!M46/'Price History'!M45-1),"")</f>
        <v>0.0308483290488433</v>
      </c>
      <c r="N45" s="142" t="n">
        <f aca="false">IFERROR(IF(OR(NOT(ISNUMBER('Price History'!N46)),NOT(ISNUMBER('Price History'!N45)),'Price History'!N45=0),"",'Price History'!N46/'Price History'!N45-1),"")</f>
        <v>0.0337837837837838</v>
      </c>
      <c r="O45" s="142" t="n">
        <f aca="false">IFERROR(IF(OR(NOT(ISNUMBER('Price History'!O46)),NOT(ISNUMBER('Price History'!O45)),'Price History'!O45=0),"",'Price History'!O46/'Price History'!O45-1),"")</f>
        <v>-0.00202976995940463</v>
      </c>
      <c r="P45" s="142" t="n">
        <f aca="false">IFERROR(IF(OR(NOT(ISNUMBER('Price History'!P46)),NOT(ISNUMBER('Price History'!P45)),'Price History'!P45=0),"",'Price History'!P46/'Price History'!P45-1),"")</f>
        <v>0.0182224706539966</v>
      </c>
      <c r="Q45" s="142" t="n">
        <f aca="false">IFERROR(IF(OR(NOT(ISNUMBER('Price History'!Q46)),NOT(ISNUMBER('Price History'!Q45)),'Price History'!Q45=0),"",'Price History'!Q46/'Price History'!Q45-1),"")</f>
        <v>-0.0170798690794177</v>
      </c>
      <c r="R45" s="142" t="n">
        <f aca="false">IFERROR(IF(OR(NOT(ISNUMBER('Price History'!R46)),NOT(ISNUMBER('Price History'!R45)),'Price History'!R45=0),"",'Price History'!R46/'Price History'!R45-1),"")</f>
        <v>0.00553607676693124</v>
      </c>
      <c r="S45" s="142" t="n">
        <f aca="false">IFERROR(IF(OR(NOT(ISNUMBER('Price History'!S46)),NOT(ISNUMBER('Price History'!S45)),'Price History'!S45=0),"",'Price History'!S46/'Price History'!S45-1),"")</f>
        <v>0.0303365266519282</v>
      </c>
      <c r="T45" s="142" t="n">
        <f aca="false">IFERROR(IF(OR(NOT(ISNUMBER('Price History'!T46)),NOT(ISNUMBER('Price History'!T45)),'Price History'!T45=0),"",'Price History'!T46/'Price History'!T45-1),"")</f>
        <v>-0.0211891208096142</v>
      </c>
      <c r="U45" s="142" t="str">
        <f aca="false">IFERROR(IF(OR(NOT(ISNUMBER('Price History'!U46)),NOT(ISNUMBER('Price History'!U45)),'Price History'!U45=0),"",'Price History'!U46/'Price History'!U45-1),"")</f>
        <v/>
      </c>
      <c r="V45" s="143" t="n">
        <f aca="false">IFERROR(IF(OR(NOT(ISNUMBER('Price History'!V46)),NOT(ISNUMBER('Price History'!V45)),'Price History'!V45=0),"",'Price History'!V46/'Price History'!V45-1),"")</f>
        <v>0.0227713901747051</v>
      </c>
      <c r="W45" s="144" t="str">
        <f aca="false">IFERROR('Price History'!B3+(INDEX('Price History'!B:B,MATCH(9.99E+307,'Price History'!$A:$A))-'Price History'!B3)*(ROW()-3)/(MATCH(9.99E+307,'Returns (Calc)'!$A:$A)-3),"")</f>
        <v/>
      </c>
      <c r="X45" s="144" t="n">
        <f aca="false">IFERROR('Price History'!C3+(INDEX('Price History'!C:C,MATCH(9.99E+307,'Price History'!$A:$A))-'Price History'!C3)*(ROW()-3)/(MATCH(9.99E+307,'Returns (Calc)'!$A:$A)-3),"")</f>
        <v>33.9043037974684</v>
      </c>
      <c r="Y45" s="144" t="n">
        <f aca="false">IFERROR('Price History'!D3+(INDEX('Price History'!D:D,MATCH(9.99E+307,'Price History'!$A:$A))-'Price History'!D3)*(ROW()-3)/(MATCH(9.99E+307,'Returns (Calc)'!$A:$A)-3),"")</f>
        <v>427.298481012658</v>
      </c>
      <c r="Z45" s="144" t="n">
        <f aca="false">IFERROR('Price History'!E3+(INDEX('Price History'!E:E,MATCH(9.99E+307,'Price History'!$A:$A))-'Price History'!E3)*(ROW()-3)/(MATCH(9.99E+307,'Returns (Calc)'!$A:$A)-3),"")</f>
        <v>60.2025316455696</v>
      </c>
      <c r="AA45" s="144" t="n">
        <f aca="false">IFERROR('Price History'!F3+(INDEX('Price History'!F:F,MATCH(9.99E+307,'Price History'!$A:$A))-'Price History'!F3)*(ROW()-3)/(MATCH(9.99E+307,'Returns (Calc)'!$A:$A)-3),"")</f>
        <v>55.2908860759494</v>
      </c>
      <c r="AB45" s="144" t="n">
        <f aca="false">IFERROR('Price History'!G3+(INDEX('Price History'!G:G,MATCH(9.99E+307,'Price History'!$A:$A))-'Price History'!G3)*(ROW()-3)/(MATCH(9.99E+307,'Returns (Calc)'!$A:$A)-3),"")</f>
        <v>30.3655696202532</v>
      </c>
      <c r="AC45" s="144" t="n">
        <f aca="false">IFERROR('Price History'!H3+(INDEX('Price History'!H:H,MATCH(9.99E+307,'Price History'!$A:$A))-'Price History'!H3)*(ROW()-3)/(MATCH(9.99E+307,'Returns (Calc)'!$A:$A)-3),"")</f>
        <v>73.8508860759494</v>
      </c>
      <c r="AD45" s="144" t="n">
        <f aca="false">IFERROR('Price History'!I3+(INDEX('Price History'!I:I,MATCH(9.99E+307,'Price History'!$A:$A))-'Price History'!I3)*(ROW()-3)/(MATCH(9.99E+307,'Returns (Calc)'!$A:$A)-3),"")</f>
        <v>32.5607594936709</v>
      </c>
      <c r="AE45" s="144" t="n">
        <f aca="false">IFERROR('Price History'!J3+(INDEX('Price History'!J:J,MATCH(9.99E+307,'Price History'!$A:$A))-'Price History'!J3)*(ROW()-3)/(MATCH(9.99E+307,'Returns (Calc)'!$A:$A)-3),"")</f>
        <v>50.7389873417722</v>
      </c>
      <c r="AF45" s="144" t="n">
        <f aca="false">IFERROR('Price History'!K3+(INDEX('Price History'!K:K,MATCH(9.99E+307,'Price History'!$A:$A))-'Price History'!K3)*(ROW()-3)/(MATCH(9.99E+307,'Returns (Calc)'!$A:$A)-3),"")</f>
        <v>32.1349367088608</v>
      </c>
      <c r="AG45" s="144" t="n">
        <f aca="false">IFERROR('Price History'!L3+(INDEX('Price History'!L:L,MATCH(9.99E+307,'Price History'!$A:$A))-'Price History'!L3)*(ROW()-3)/(MATCH(9.99E+307,'Returns (Calc)'!$A:$A)-3),"")</f>
        <v>82.1103797468355</v>
      </c>
      <c r="AH45" s="144" t="n">
        <f aca="false">IFERROR('Price History'!M3+(INDEX('Price History'!M:M,MATCH(9.99E+307,'Price History'!$A:$A))-'Price History'!M3)*(ROW()-3)/(MATCH(9.99E+307,'Returns (Calc)'!$A:$A)-3),"")</f>
        <v>11.2549367088608</v>
      </c>
      <c r="AI45" s="144" t="n">
        <f aca="false">IFERROR('Price History'!N3+(INDEX('Price History'!N:N,MATCH(9.99E+307,'Price History'!$A:$A))-'Price History'!N3)*(ROW()-3)/(MATCH(9.99E+307,'Returns (Calc)'!$A:$A)-3),"")</f>
        <v>16.0050632911392</v>
      </c>
      <c r="AJ45" s="144" t="n">
        <f aca="false">IFERROR('Price History'!O3+(INDEX('Price History'!O:O,MATCH(9.99E+307,'Price History'!$A:$A))-'Price History'!O3)*(ROW()-3)/(MATCH(9.99E+307,'Returns (Calc)'!$A:$A)-3),"")</f>
        <v>42.3106329113924</v>
      </c>
      <c r="AK45" s="144" t="n">
        <f aca="false">IFERROR('Price History'!Q3+(INDEX('Price History'!Q:Q,MATCH(9.99E+307,'Price History'!$A:$A))-'Price History'!Q3)*(ROW()-3)/(MATCH(9.99E+307,'Returns (Calc)'!$A:$A)-3),"")</f>
        <v>172.99417721519</v>
      </c>
      <c r="AL45" s="144" t="n">
        <f aca="false">IFERROR('Price History'!R3+(INDEX('Price History'!R:R,MATCH(9.99E+307,'Price History'!$A:$A))-'Price History'!R3)*(ROW()-3)/(MATCH(9.99E+307,'Returns (Calc)'!$A:$A)-3),"")</f>
        <v>35.1083544303798</v>
      </c>
      <c r="AM45" s="144" t="n">
        <f aca="false">IFERROR('Price History'!S3+(INDEX('Price History'!S:S,MATCH(9.99E+307,'Price History'!$A:$A))-'Price History'!S3)*(ROW()-3)/(MATCH(9.99E+307,'Returns (Calc)'!$A:$A)-3),"")</f>
        <v>42.9787341772152</v>
      </c>
      <c r="AN45" s="144" t="n">
        <f aca="false">IFERROR('Price History'!T3+(INDEX('Price History'!T:T,MATCH(9.99E+307,'Price History'!$A:$A))-'Price History'!T3)*(ROW()-3)/(MATCH(9.99E+307,'Returns (Calc)'!$A:$A)-3),"")</f>
        <v>19.7567088607595</v>
      </c>
      <c r="AO45" s="145" t="n">
        <f aca="false">IFERROR('Price History'!V3+(INDEX('Price History'!V:V,MATCH(9.99E+307,'Price History'!$A:$A))-'Price History'!V3)*(ROW()-3)/(MATCH(9.99E+307,'Returns (Calc)'!$A:$A)-3),"")</f>
        <v>0</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0.0264473830425604</v>
      </c>
      <c r="G46" s="142" t="n">
        <f aca="false">IFERROR(IF(OR(NOT(ISNUMBER('Price History'!G47)),NOT(ISNUMBER('Price History'!G46)),'Price History'!G46=0),"",'Price History'!G47/'Price History'!G46-1),"")</f>
        <v>-0.178713777873532</v>
      </c>
      <c r="H46" s="142" t="n">
        <f aca="false">IFERROR(IF(OR(NOT(ISNUMBER('Price History'!H47)),NOT(ISNUMBER('Price History'!H46)),'Price History'!H46=0),"",'Price History'!H47/'Price History'!H46-1),"")</f>
        <v>0.0141542202153526</v>
      </c>
      <c r="I46" s="142" t="n">
        <f aca="false">IFERROR(IF(OR(NOT(ISNUMBER('Price History'!I47)),NOT(ISNUMBER('Price History'!I46)),'Price History'!I46=0),"",'Price History'!I47/'Price History'!I46-1),"")</f>
        <v>-0.110979369219825</v>
      </c>
      <c r="J46" s="142" t="n">
        <f aca="false">IFERROR(IF(OR(NOT(ISNUMBER('Price History'!J47)),NOT(ISNUMBER('Price History'!J46)),'Price History'!J46=0),"",'Price History'!J47/'Price History'!J46-1),"")</f>
        <v>-0.144439421338156</v>
      </c>
      <c r="K46" s="142" t="n">
        <f aca="false">IFERROR(IF(OR(NOT(ISNUMBER('Price History'!K47)),NOT(ISNUMBER('Price History'!K46)),'Price History'!K46=0),"",'Price History'!K47/'Price History'!K46-1),"")</f>
        <v>-0.0875232774674115</v>
      </c>
      <c r="L46" s="142" t="n">
        <f aca="false">IFERROR(IF(OR(NOT(ISNUMBER('Price History'!L47)),NOT(ISNUMBER('Price History'!L46)),'Price History'!L46=0),"",'Price History'!L47/'Price History'!L46-1),"")</f>
        <v>0.0300313760645452</v>
      </c>
      <c r="M46" s="142" t="n">
        <f aca="false">IFERROR(IF(OR(NOT(ISNUMBER('Price History'!M47)),NOT(ISNUMBER('Price History'!M46)),'Price History'!M46=0),"",'Price History'!M47/'Price History'!M46-1),"")</f>
        <v>0.0181688635553972</v>
      </c>
      <c r="N46" s="142" t="n">
        <f aca="false">IFERROR(IF(OR(NOT(ISNUMBER('Price History'!N47)),NOT(ISNUMBER('Price History'!N46)),'Price History'!N46=0),"",'Price History'!N47/'Price History'!N46-1),"")</f>
        <v>0.0183823529411764</v>
      </c>
      <c r="O46" s="142" t="n">
        <f aca="false">IFERROR(IF(OR(NOT(ISNUMBER('Price History'!O47)),NOT(ISNUMBER('Price History'!O46)),'Price History'!O46=0),"",'Price History'!O47/'Price History'!O46-1),"")</f>
        <v>-0.0404519774011299</v>
      </c>
      <c r="P46" s="142" t="n">
        <f aca="false">IFERROR(IF(OR(NOT(ISNUMBER('Price History'!P47)),NOT(ISNUMBER('Price History'!P46)),'Price History'!P46=0),"",'Price History'!P47/'Price History'!P46-1),"")</f>
        <v>-0.115173473869126</v>
      </c>
      <c r="Q46" s="142" t="n">
        <f aca="false">IFERROR(IF(OR(NOT(ISNUMBER('Price History'!Q47)),NOT(ISNUMBER('Price History'!Q46)),'Price History'!Q46=0),"",'Price History'!Q47/'Price History'!Q46-1),"")</f>
        <v>-0.00107168829180526</v>
      </c>
      <c r="R46" s="142" t="n">
        <f aca="false">IFERROR(IF(OR(NOT(ISNUMBER('Price History'!R47)),NOT(ISNUMBER('Price History'!R46)),'Price History'!R46=0),"",'Price History'!R47/'Price History'!R46-1),"")</f>
        <v>0.0126628739218204</v>
      </c>
      <c r="S46" s="142" t="n">
        <f aca="false">IFERROR(IF(OR(NOT(ISNUMBER('Price History'!S47)),NOT(ISNUMBER('Price History'!S46)),'Price History'!S46=0),"",'Price History'!S47/'Price History'!S46-1),"")</f>
        <v>0.0421981165812375</v>
      </c>
      <c r="T46" s="142" t="n">
        <f aca="false">IFERROR(IF(OR(NOT(ISNUMBER('Price History'!T47)),NOT(ISNUMBER('Price History'!T46)),'Price History'!T46=0),"",'Price History'!T47/'Price History'!T46-1),"")</f>
        <v>-0.00420032310177698</v>
      </c>
      <c r="U46" s="142" t="str">
        <f aca="false">IFERROR(IF(OR(NOT(ISNUMBER('Price History'!U47)),NOT(ISNUMBER('Price History'!U46)),'Price History'!U46=0),"",'Price History'!U47/'Price History'!U46-1),"")</f>
        <v/>
      </c>
      <c r="V46" s="143" t="n">
        <f aca="false">IFERROR(IF(OR(NOT(ISNUMBER('Price History'!V47)),NOT(ISNUMBER('Price History'!V46)),'Price History'!V46=0),"",'Price History'!V47/'Price History'!V46-1),"")</f>
        <v>-0.0287247244324403</v>
      </c>
      <c r="W46" s="144" t="str">
        <f aca="false">IFERROR('Price History'!B3+(INDEX('Price History'!B:B,MATCH(9.99E+307,'Price History'!$A:$A))-'Price History'!B3)*(ROW()-3)/(MATCH(9.99E+307,'Returns (Calc)'!$A:$A)-3),"")</f>
        <v/>
      </c>
      <c r="X46" s="144" t="n">
        <f aca="false">IFERROR('Price History'!C3+(INDEX('Price History'!C:C,MATCH(9.99E+307,'Price History'!$A:$A))-'Price History'!C3)*(ROW()-3)/(MATCH(9.99E+307,'Returns (Calc)'!$A:$A)-3),"")</f>
        <v>33.6120253164557</v>
      </c>
      <c r="Y46" s="144" t="n">
        <f aca="false">IFERROR('Price History'!D3+(INDEX('Price History'!D:D,MATCH(9.99E+307,'Price History'!$A:$A))-'Price History'!D3)*(ROW()-3)/(MATCH(9.99E+307,'Returns (Calc)'!$A:$A)-3),"")</f>
        <v>423.614873417721</v>
      </c>
      <c r="Z46" s="144" t="n">
        <f aca="false">IFERROR('Price History'!E3+(INDEX('Price History'!E:E,MATCH(9.99E+307,'Price History'!$A:$A))-'Price History'!E3)*(ROW()-3)/(MATCH(9.99E+307,'Returns (Calc)'!$A:$A)-3),"")</f>
        <v>59.6835443037975</v>
      </c>
      <c r="AA46" s="144" t="n">
        <f aca="false">IFERROR('Price History'!F3+(INDEX('Price History'!F:F,MATCH(9.99E+307,'Price History'!$A:$A))-'Price History'!F3)*(ROW()-3)/(MATCH(9.99E+307,'Returns (Calc)'!$A:$A)-3),"")</f>
        <v>54.8142405063291</v>
      </c>
      <c r="AB46" s="144" t="n">
        <f aca="false">IFERROR('Price History'!G3+(INDEX('Price History'!G:G,MATCH(9.99E+307,'Price History'!$A:$A))-'Price History'!G3)*(ROW()-3)/(MATCH(9.99E+307,'Returns (Calc)'!$A:$A)-3),"")</f>
        <v>30.1037974683544</v>
      </c>
      <c r="AC46" s="144" t="n">
        <f aca="false">IFERROR('Price History'!H3+(INDEX('Price History'!H:H,MATCH(9.99E+307,'Price History'!$A:$A))-'Price History'!H3)*(ROW()-3)/(MATCH(9.99E+307,'Returns (Calc)'!$A:$A)-3),"")</f>
        <v>73.2142405063291</v>
      </c>
      <c r="AD46" s="144" t="n">
        <f aca="false">IFERROR('Price History'!I3+(INDEX('Price History'!I:I,MATCH(9.99E+307,'Price History'!$A:$A))-'Price History'!I3)*(ROW()-3)/(MATCH(9.99E+307,'Returns (Calc)'!$A:$A)-3),"")</f>
        <v>32.2800632911392</v>
      </c>
      <c r="AE46" s="144" t="n">
        <f aca="false">IFERROR('Price History'!J3+(INDEX('Price History'!J:J,MATCH(9.99E+307,'Price History'!$A:$A))-'Price History'!J3)*(ROW()-3)/(MATCH(9.99E+307,'Returns (Calc)'!$A:$A)-3),"")</f>
        <v>50.301582278481</v>
      </c>
      <c r="AF46" s="144" t="n">
        <f aca="false">IFERROR('Price History'!K3+(INDEX('Price History'!K:K,MATCH(9.99E+307,'Price History'!$A:$A))-'Price History'!K3)*(ROW()-3)/(MATCH(9.99E+307,'Returns (Calc)'!$A:$A)-3),"")</f>
        <v>31.8579113924051</v>
      </c>
      <c r="AG46" s="144" t="n">
        <f aca="false">IFERROR('Price History'!L3+(INDEX('Price History'!L:L,MATCH(9.99E+307,'Price History'!$A:$A))-'Price History'!L3)*(ROW()-3)/(MATCH(9.99E+307,'Returns (Calc)'!$A:$A)-3),"")</f>
        <v>81.4025316455696</v>
      </c>
      <c r="AH46" s="144" t="n">
        <f aca="false">IFERROR('Price History'!M3+(INDEX('Price History'!M:M,MATCH(9.99E+307,'Price History'!$A:$A))-'Price History'!M3)*(ROW()-3)/(MATCH(9.99E+307,'Returns (Calc)'!$A:$A)-3),"")</f>
        <v>11.1579113924051</v>
      </c>
      <c r="AI46" s="144" t="n">
        <f aca="false">IFERROR('Price History'!N3+(INDEX('Price History'!N:N,MATCH(9.99E+307,'Price History'!$A:$A))-'Price History'!N3)*(ROW()-3)/(MATCH(9.99E+307,'Returns (Calc)'!$A:$A)-3),"")</f>
        <v>15.8670886075949</v>
      </c>
      <c r="AJ46" s="144" t="n">
        <f aca="false">IFERROR('Price History'!O3+(INDEX('Price History'!O:O,MATCH(9.99E+307,'Price History'!$A:$A))-'Price History'!O3)*(ROW()-3)/(MATCH(9.99E+307,'Returns (Calc)'!$A:$A)-3),"")</f>
        <v>41.9458860759494</v>
      </c>
      <c r="AK46" s="144" t="n">
        <f aca="false">IFERROR('Price History'!Q3+(INDEX('Price History'!Q:Q,MATCH(9.99E+307,'Price History'!$A:$A))-'Price History'!Q3)*(ROW()-3)/(MATCH(9.99E+307,'Returns (Calc)'!$A:$A)-3),"")</f>
        <v>171.502848101266</v>
      </c>
      <c r="AL46" s="144" t="n">
        <f aca="false">IFERROR('Price History'!R3+(INDEX('Price History'!R:R,MATCH(9.99E+307,'Price History'!$A:$A))-'Price History'!R3)*(ROW()-3)/(MATCH(9.99E+307,'Returns (Calc)'!$A:$A)-3),"")</f>
        <v>34.8056962025316</v>
      </c>
      <c r="AM46" s="144" t="n">
        <f aca="false">IFERROR('Price History'!S3+(INDEX('Price History'!S:S,MATCH(9.99E+307,'Price History'!$A:$A))-'Price History'!S3)*(ROW()-3)/(MATCH(9.99E+307,'Returns (Calc)'!$A:$A)-3),"")</f>
        <v>42.6082278481013</v>
      </c>
      <c r="AN46" s="144" t="n">
        <f aca="false">IFERROR('Price History'!T3+(INDEX('Price History'!T:T,MATCH(9.99E+307,'Price History'!$A:$A))-'Price History'!T3)*(ROW()-3)/(MATCH(9.99E+307,'Returns (Calc)'!$A:$A)-3),"")</f>
        <v>19.5863924050633</v>
      </c>
      <c r="AO46" s="145" t="n">
        <f aca="false">IFERROR('Price History'!V3+(INDEX('Price History'!V:V,MATCH(9.99E+307,'Price History'!$A:$A))-'Price History'!V3)*(ROW()-3)/(MATCH(9.99E+307,'Returns (Calc)'!$A:$A)-3),"")</f>
        <v>0</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0.0362671863159034</v>
      </c>
      <c r="G47" s="142" t="n">
        <f aca="false">IFERROR(IF(OR(NOT(ISNUMBER('Price History'!G48)),NOT(ISNUMBER('Price History'!G47)),'Price History'!G47=0),"",'Price History'!G48/'Price History'!G47-1),"")</f>
        <v>-0.160020986358867</v>
      </c>
      <c r="H47" s="142" t="n">
        <f aca="false">IFERROR(IF(OR(NOT(ISNUMBER('Price History'!H48)),NOT(ISNUMBER('Price History'!H47)),'Price History'!H47=0),"",'Price History'!H48/'Price History'!H47-1),"")</f>
        <v>0.0211490709821047</v>
      </c>
      <c r="I47" s="142" t="n">
        <f aca="false">IFERROR(IF(OR(NOT(ISNUMBER('Price History'!I48)),NOT(ISNUMBER('Price History'!I47)),'Price History'!I47=0),"",'Price History'!I48/'Price History'!I47-1),"")</f>
        <v>0.0326753801013604</v>
      </c>
      <c r="J47" s="142" t="n">
        <f aca="false">IFERROR(IF(OR(NOT(ISNUMBER('Price History'!J48)),NOT(ISNUMBER('Price History'!J47)),'Price History'!J47=0),"",'Price History'!J48/'Price History'!J47-1),"")</f>
        <v>-0.0424482606781154</v>
      </c>
      <c r="K47" s="142" t="n">
        <f aca="false">IFERROR(IF(OR(NOT(ISNUMBER('Price History'!K48)),NOT(ISNUMBER('Price History'!K47)),'Price History'!K47=0),"",'Price History'!K48/'Price History'!K47-1),"")</f>
        <v>-0.0412414965986394</v>
      </c>
      <c r="L47" s="142" t="n">
        <f aca="false">IFERROR(IF(OR(NOT(ISNUMBER('Price History'!L48)),NOT(ISNUMBER('Price History'!L47)),'Price History'!L47=0),"",'Price History'!L48/'Price History'!L47-1),"")</f>
        <v>-0.00870322019147085</v>
      </c>
      <c r="M47" s="142" t="n">
        <f aca="false">IFERROR(IF(OR(NOT(ISNUMBER('Price History'!M48)),NOT(ISNUMBER('Price History'!M47)),'Price History'!M47=0),"",'Price History'!M48/'Price History'!M47-1),"")</f>
        <v>-0.0489853044086773</v>
      </c>
      <c r="N47" s="142" t="n">
        <f aca="false">IFERROR(IF(OR(NOT(ISNUMBER('Price History'!N48)),NOT(ISNUMBER('Price History'!N47)),'Price History'!N47=0),"",'Price History'!N48/'Price History'!N47-1),"")</f>
        <v>0.0168471720818293</v>
      </c>
      <c r="O47" s="142" t="n">
        <f aca="false">IFERROR(IF(OR(NOT(ISNUMBER('Price History'!O48)),NOT(ISNUMBER('Price History'!O47)),'Price History'!O47=0),"",'Price History'!O48/'Price History'!O47-1),"")</f>
        <v>-0.0188412623645785</v>
      </c>
      <c r="P47" s="142" t="n">
        <f aca="false">IFERROR(IF(OR(NOT(ISNUMBER('Price History'!P48)),NOT(ISNUMBER('Price History'!P47)),'Price History'!P47=0),"",'Price History'!P48/'Price History'!P47-1),"")</f>
        <v>-0.0230797865740167</v>
      </c>
      <c r="Q47" s="142" t="n">
        <f aca="false">IFERROR(IF(OR(NOT(ISNUMBER('Price History'!Q48)),NOT(ISNUMBER('Price History'!Q47)),'Price History'!Q47=0),"",'Price History'!Q48/'Price History'!Q47-1),"")</f>
        <v>-0.0226062301237595</v>
      </c>
      <c r="R47" s="142" t="n">
        <f aca="false">IFERROR(IF(OR(NOT(ISNUMBER('Price History'!R48)),NOT(ISNUMBER('Price History'!R47)),'Price History'!R47=0),"",'Price History'!R48/'Price History'!R47-1),"")</f>
        <v>0.00108735048930786</v>
      </c>
      <c r="S47" s="142" t="n">
        <f aca="false">IFERROR(IF(OR(NOT(ISNUMBER('Price History'!S48)),NOT(ISNUMBER('Price History'!S47)),'Price History'!S47=0),"",'Price History'!S48/'Price History'!S47-1),"")</f>
        <v>-0.000800640512410022</v>
      </c>
      <c r="T47" s="142" t="n">
        <f aca="false">IFERROR(IF(OR(NOT(ISNUMBER('Price History'!T48)),NOT(ISNUMBER('Price History'!T47)),'Price History'!T47=0),"",'Price History'!T48/'Price History'!T47-1),"")</f>
        <v>0.00973393900064901</v>
      </c>
      <c r="U47" s="142" t="str">
        <f aca="false">IFERROR(IF(OR(NOT(ISNUMBER('Price History'!U48)),NOT(ISNUMBER('Price History'!U47)),'Price History'!U47=0),"",'Price History'!U48/'Price History'!U47-1),"")</f>
        <v/>
      </c>
      <c r="V47" s="143" t="n">
        <f aca="false">IFERROR(IF(OR(NOT(ISNUMBER('Price History'!V48)),NOT(ISNUMBER('Price History'!V47)),'Price History'!V47=0),"",'Price History'!V48/'Price History'!V47-1),"")</f>
        <v>0.0168351433617675</v>
      </c>
      <c r="W47" s="144" t="str">
        <f aca="false">IFERROR('Price History'!B3+(INDEX('Price History'!B:B,MATCH(9.99E+307,'Price History'!$A:$A))-'Price History'!B3)*(ROW()-3)/(MATCH(9.99E+307,'Returns (Calc)'!$A:$A)-3),"")</f>
        <v/>
      </c>
      <c r="X47" s="144" t="n">
        <f aca="false">IFERROR('Price History'!C3+(INDEX('Price History'!C:C,MATCH(9.99E+307,'Price History'!$A:$A))-'Price History'!C3)*(ROW()-3)/(MATCH(9.99E+307,'Returns (Calc)'!$A:$A)-3),"")</f>
        <v>33.319746835443</v>
      </c>
      <c r="Y47" s="144" t="n">
        <f aca="false">IFERROR('Price History'!D3+(INDEX('Price History'!D:D,MATCH(9.99E+307,'Price History'!$A:$A))-'Price History'!D3)*(ROW()-3)/(MATCH(9.99E+307,'Returns (Calc)'!$A:$A)-3),"")</f>
        <v>419.931265822785</v>
      </c>
      <c r="Z47" s="144" t="n">
        <f aca="false">IFERROR('Price History'!E3+(INDEX('Price History'!E:E,MATCH(9.99E+307,'Price History'!$A:$A))-'Price History'!E3)*(ROW()-3)/(MATCH(9.99E+307,'Returns (Calc)'!$A:$A)-3),"")</f>
        <v>59.1645569620253</v>
      </c>
      <c r="AA47" s="144" t="n">
        <f aca="false">IFERROR('Price History'!F3+(INDEX('Price History'!F:F,MATCH(9.99E+307,'Price History'!$A:$A))-'Price History'!F3)*(ROW()-3)/(MATCH(9.99E+307,'Returns (Calc)'!$A:$A)-3),"")</f>
        <v>54.3375949367089</v>
      </c>
      <c r="AB47" s="144" t="n">
        <f aca="false">IFERROR('Price History'!G3+(INDEX('Price History'!G:G,MATCH(9.99E+307,'Price History'!$A:$A))-'Price History'!G3)*(ROW()-3)/(MATCH(9.99E+307,'Returns (Calc)'!$A:$A)-3),"")</f>
        <v>29.8420253164557</v>
      </c>
      <c r="AC47" s="144" t="n">
        <f aca="false">IFERROR('Price History'!H3+(INDEX('Price History'!H:H,MATCH(9.99E+307,'Price History'!$A:$A))-'Price History'!H3)*(ROW()-3)/(MATCH(9.99E+307,'Returns (Calc)'!$A:$A)-3),"")</f>
        <v>72.5775949367089</v>
      </c>
      <c r="AD47" s="144" t="n">
        <f aca="false">IFERROR('Price History'!I3+(INDEX('Price History'!I:I,MATCH(9.99E+307,'Price History'!$A:$A))-'Price History'!I3)*(ROW()-3)/(MATCH(9.99E+307,'Returns (Calc)'!$A:$A)-3),"")</f>
        <v>31.9993670886076</v>
      </c>
      <c r="AE47" s="144" t="n">
        <f aca="false">IFERROR('Price History'!J3+(INDEX('Price History'!J:J,MATCH(9.99E+307,'Price History'!$A:$A))-'Price History'!J3)*(ROW()-3)/(MATCH(9.99E+307,'Returns (Calc)'!$A:$A)-3),"")</f>
        <v>49.8641772151899</v>
      </c>
      <c r="AF47" s="144" t="n">
        <f aca="false">IFERROR('Price History'!K3+(INDEX('Price History'!K:K,MATCH(9.99E+307,'Price History'!$A:$A))-'Price History'!K3)*(ROW()-3)/(MATCH(9.99E+307,'Returns (Calc)'!$A:$A)-3),"")</f>
        <v>31.5808860759494</v>
      </c>
      <c r="AG47" s="144" t="n">
        <f aca="false">IFERROR('Price History'!L3+(INDEX('Price History'!L:L,MATCH(9.99E+307,'Price History'!$A:$A))-'Price History'!L3)*(ROW()-3)/(MATCH(9.99E+307,'Returns (Calc)'!$A:$A)-3),"")</f>
        <v>80.6946835443038</v>
      </c>
      <c r="AH47" s="144" t="n">
        <f aca="false">IFERROR('Price History'!M3+(INDEX('Price History'!M:M,MATCH(9.99E+307,'Price History'!$A:$A))-'Price History'!M3)*(ROW()-3)/(MATCH(9.99E+307,'Returns (Calc)'!$A:$A)-3),"")</f>
        <v>11.0608860759494</v>
      </c>
      <c r="AI47" s="144" t="n">
        <f aca="false">IFERROR('Price History'!N3+(INDEX('Price History'!N:N,MATCH(9.99E+307,'Price History'!$A:$A))-'Price History'!N3)*(ROW()-3)/(MATCH(9.99E+307,'Returns (Calc)'!$A:$A)-3),"")</f>
        <v>15.7291139240506</v>
      </c>
      <c r="AJ47" s="144" t="n">
        <f aca="false">IFERROR('Price History'!O3+(INDEX('Price History'!O:O,MATCH(9.99E+307,'Price History'!$A:$A))-'Price History'!O3)*(ROW()-3)/(MATCH(9.99E+307,'Returns (Calc)'!$A:$A)-3),"")</f>
        <v>41.5811392405063</v>
      </c>
      <c r="AK47" s="144" t="n">
        <f aca="false">IFERROR('Price History'!Q3+(INDEX('Price History'!Q:Q,MATCH(9.99E+307,'Price History'!$A:$A))-'Price History'!Q3)*(ROW()-3)/(MATCH(9.99E+307,'Returns (Calc)'!$A:$A)-3),"")</f>
        <v>170.011518987342</v>
      </c>
      <c r="AL47" s="144" t="n">
        <f aca="false">IFERROR('Price History'!R3+(INDEX('Price History'!R:R,MATCH(9.99E+307,'Price History'!$A:$A))-'Price History'!R3)*(ROW()-3)/(MATCH(9.99E+307,'Returns (Calc)'!$A:$A)-3),"")</f>
        <v>34.5030379746835</v>
      </c>
      <c r="AM47" s="144" t="n">
        <f aca="false">IFERROR('Price History'!S3+(INDEX('Price History'!S:S,MATCH(9.99E+307,'Price History'!$A:$A))-'Price History'!S3)*(ROW()-3)/(MATCH(9.99E+307,'Returns (Calc)'!$A:$A)-3),"")</f>
        <v>42.2377215189873</v>
      </c>
      <c r="AN47" s="144" t="n">
        <f aca="false">IFERROR('Price History'!T3+(INDEX('Price History'!T:T,MATCH(9.99E+307,'Price History'!$A:$A))-'Price History'!T3)*(ROW()-3)/(MATCH(9.99E+307,'Returns (Calc)'!$A:$A)-3),"")</f>
        <v>19.4160759493671</v>
      </c>
      <c r="AO47" s="145" t="n">
        <f aca="false">IFERROR('Price History'!V3+(INDEX('Price History'!V:V,MATCH(9.99E+307,'Price History'!$A:$A))-'Price History'!V3)*(ROW()-3)/(MATCH(9.99E+307,'Returns (Calc)'!$A:$A)-3),"")</f>
        <v>0</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-0.0714584203928124</v>
      </c>
      <c r="G48" s="142" t="n">
        <f aca="false">IFERROR(IF(OR(NOT(ISNUMBER('Price History'!G49)),NOT(ISNUMBER('Price History'!G48)),'Price History'!G48=0),"",'Price History'!G49/'Price History'!G48-1),"")</f>
        <v>-0.149437851342911</v>
      </c>
      <c r="H48" s="142" t="n">
        <f aca="false">IFERROR(IF(OR(NOT(ISNUMBER('Price History'!H49)),NOT(ISNUMBER('Price History'!H48)),'Price History'!H48=0),"",'Price History'!H49/'Price History'!H48-1),"")</f>
        <v>-0.0144222706691263</v>
      </c>
      <c r="I48" s="142" t="n">
        <f aca="false">IFERROR(IF(OR(NOT(ISNUMBER('Price History'!I49)),NOT(ISNUMBER('Price History'!I48)),'Price History'!I48=0),"",'Price History'!I49/'Price History'!I48-1),"")</f>
        <v>-0.115846571096474</v>
      </c>
      <c r="J48" s="142" t="n">
        <f aca="false">IFERROR(IF(OR(NOT(ISNUMBER('Price History'!J49)),NOT(ISNUMBER('Price History'!J48)),'Price History'!J48=0),"",'Price History'!J49/'Price History'!J48-1),"")</f>
        <v>-0.152763726662375</v>
      </c>
      <c r="K48" s="142" t="n">
        <f aca="false">IFERROR(IF(OR(NOT(ISNUMBER('Price History'!K49)),NOT(ISNUMBER('Price History'!K48)),'Price History'!K48=0),"",'Price History'!K49/'Price History'!K48-1),"")</f>
        <v>-0.0512638580931264</v>
      </c>
      <c r="L48" s="142" t="n">
        <f aca="false">IFERROR(IF(OR(NOT(ISNUMBER('Price History'!L49)),NOT(ISNUMBER('Price History'!L48)),'Price History'!L48=0),"",'Price History'!L49/'Price History'!L48-1),"")</f>
        <v>0.0106233538191396</v>
      </c>
      <c r="M48" s="142" t="n">
        <f aca="false">IFERROR(IF(OR(NOT(ISNUMBER('Price History'!M49)),NOT(ISNUMBER('Price History'!M48)),'Price History'!M48=0),"",'Price History'!M49/'Price History'!M48-1),"")</f>
        <v>-0.0897718910963945</v>
      </c>
      <c r="N48" s="142" t="n">
        <f aca="false">IFERROR(IF(OR(NOT(ISNUMBER('Price History'!N49)),NOT(ISNUMBER('Price History'!N48)),'Price History'!N48=0),"",'Price History'!N49/'Price History'!N48-1),"")</f>
        <v>-0.0201183431952663</v>
      </c>
      <c r="O48" s="142" t="n">
        <f aca="false">IFERROR(IF(OR(NOT(ISNUMBER('Price History'!O49)),NOT(ISNUMBER('Price History'!O48)),'Price History'!O48=0),"",'Price History'!O49/'Price History'!O48-1),"")</f>
        <v>-0.0297647623619778</v>
      </c>
      <c r="P48" s="142" t="n">
        <f aca="false">IFERROR(IF(OR(NOT(ISNUMBER('Price History'!P49)),NOT(ISNUMBER('Price History'!P48)),'Price History'!P48=0),"",'Price History'!P49/'Price History'!P48-1),"")</f>
        <v>-0.0746221262542868</v>
      </c>
      <c r="Q48" s="142" t="n">
        <f aca="false">IFERROR(IF(OR(NOT(ISNUMBER('Price History'!Q49)),NOT(ISNUMBER('Price History'!Q48)),'Price History'!Q48=0),"",'Price History'!Q49/'Price History'!Q48-1),"")</f>
        <v>0.0274804970794622</v>
      </c>
      <c r="R48" s="142" t="n">
        <f aca="false">IFERROR(IF(OR(NOT(ISNUMBER('Price History'!R49)),NOT(ISNUMBER('Price History'!R48)),'Price History'!R48=0),"",'Price History'!R49/'Price History'!R48-1),"")</f>
        <v>0.00470673425054313</v>
      </c>
      <c r="S48" s="142" t="n">
        <f aca="false">IFERROR(IF(OR(NOT(ISNUMBER('Price History'!S49)),NOT(ISNUMBER('Price History'!S48)),'Price History'!S48=0),"",'Price History'!S49/'Price History'!S48-1),"")</f>
        <v>0.00114468864468864</v>
      </c>
      <c r="T48" s="142" t="n">
        <f aca="false">IFERROR(IF(OR(NOT(ISNUMBER('Price History'!T49)),NOT(ISNUMBER('Price History'!T48)),'Price History'!T48=0),"",'Price History'!T49/'Price History'!T48-1),"")</f>
        <v>-0.00642673521850901</v>
      </c>
      <c r="U48" s="142" t="str">
        <f aca="false">IFERROR(IF(OR(NOT(ISNUMBER('Price History'!U49)),NOT(ISNUMBER('Price History'!U48)),'Price History'!U48=0),"",'Price History'!U49/'Price History'!U48-1),"")</f>
        <v/>
      </c>
      <c r="V48" s="143" t="n">
        <f aca="false">IFERROR(IF(OR(NOT(ISNUMBER('Price History'!V49)),NOT(ISNUMBER('Price History'!V48)),'Price History'!V48=0),"",'Price History'!V49/'Price History'!V48-1),"")</f>
        <v>-0.0463431760227649</v>
      </c>
      <c r="W48" s="144" t="str">
        <f aca="false">IFERROR('Price History'!B3+(INDEX('Price History'!B:B,MATCH(9.99E+307,'Price History'!$A:$A))-'Price History'!B3)*(ROW()-3)/(MATCH(9.99E+307,'Returns (Calc)'!$A:$A)-3),"")</f>
        <v/>
      </c>
      <c r="X48" s="144" t="n">
        <f aca="false">IFERROR('Price History'!C3+(INDEX('Price History'!C:C,MATCH(9.99E+307,'Price History'!$A:$A))-'Price History'!C3)*(ROW()-3)/(MATCH(9.99E+307,'Returns (Calc)'!$A:$A)-3),"")</f>
        <v>33.0274683544304</v>
      </c>
      <c r="Y48" s="144" t="n">
        <f aca="false">IFERROR('Price History'!D3+(INDEX('Price History'!D:D,MATCH(9.99E+307,'Price History'!$A:$A))-'Price History'!D3)*(ROW()-3)/(MATCH(9.99E+307,'Returns (Calc)'!$A:$A)-3),"")</f>
        <v>416.247658227848</v>
      </c>
      <c r="Z48" s="144" t="n">
        <f aca="false">IFERROR('Price History'!E3+(INDEX('Price History'!E:E,MATCH(9.99E+307,'Price History'!$A:$A))-'Price History'!E3)*(ROW()-3)/(MATCH(9.99E+307,'Returns (Calc)'!$A:$A)-3),"")</f>
        <v>58.6455696202532</v>
      </c>
      <c r="AA48" s="144" t="n">
        <f aca="false">IFERROR('Price History'!F3+(INDEX('Price History'!F:F,MATCH(9.99E+307,'Price History'!$A:$A))-'Price History'!F3)*(ROW()-3)/(MATCH(9.99E+307,'Returns (Calc)'!$A:$A)-3),"")</f>
        <v>53.8609493670886</v>
      </c>
      <c r="AB48" s="144" t="n">
        <f aca="false">IFERROR('Price History'!G3+(INDEX('Price History'!G:G,MATCH(9.99E+307,'Price History'!$A:$A))-'Price History'!G3)*(ROW()-3)/(MATCH(9.99E+307,'Returns (Calc)'!$A:$A)-3),"")</f>
        <v>29.580253164557</v>
      </c>
      <c r="AC48" s="144" t="n">
        <f aca="false">IFERROR('Price History'!H3+(INDEX('Price History'!H:H,MATCH(9.99E+307,'Price History'!$A:$A))-'Price History'!H3)*(ROW()-3)/(MATCH(9.99E+307,'Returns (Calc)'!$A:$A)-3),"")</f>
        <v>71.9409493670886</v>
      </c>
      <c r="AD48" s="144" t="n">
        <f aca="false">IFERROR('Price History'!I3+(INDEX('Price History'!I:I,MATCH(9.99E+307,'Price History'!$A:$A))-'Price History'!I3)*(ROW()-3)/(MATCH(9.99E+307,'Returns (Calc)'!$A:$A)-3),"")</f>
        <v>31.718670886076</v>
      </c>
      <c r="AE48" s="144" t="n">
        <f aca="false">IFERROR('Price History'!J3+(INDEX('Price History'!J:J,MATCH(9.99E+307,'Price History'!$A:$A))-'Price History'!J3)*(ROW()-3)/(MATCH(9.99E+307,'Returns (Calc)'!$A:$A)-3),"")</f>
        <v>49.4267721518987</v>
      </c>
      <c r="AF48" s="144" t="n">
        <f aca="false">IFERROR('Price History'!K3+(INDEX('Price History'!K:K,MATCH(9.99E+307,'Price History'!$A:$A))-'Price History'!K3)*(ROW()-3)/(MATCH(9.99E+307,'Returns (Calc)'!$A:$A)-3),"")</f>
        <v>31.3038607594937</v>
      </c>
      <c r="AG48" s="144" t="n">
        <f aca="false">IFERROR('Price History'!L3+(INDEX('Price History'!L:L,MATCH(9.99E+307,'Price History'!$A:$A))-'Price History'!L3)*(ROW()-3)/(MATCH(9.99E+307,'Returns (Calc)'!$A:$A)-3),"")</f>
        <v>79.986835443038</v>
      </c>
      <c r="AH48" s="144" t="n">
        <f aca="false">IFERROR('Price History'!M3+(INDEX('Price History'!M:M,MATCH(9.99E+307,'Price History'!$A:$A))-'Price History'!M3)*(ROW()-3)/(MATCH(9.99E+307,'Returns (Calc)'!$A:$A)-3),"")</f>
        <v>10.9638607594937</v>
      </c>
      <c r="AI48" s="144" t="n">
        <f aca="false">IFERROR('Price History'!N3+(INDEX('Price History'!N:N,MATCH(9.99E+307,'Price History'!$A:$A))-'Price History'!N3)*(ROW()-3)/(MATCH(9.99E+307,'Returns (Calc)'!$A:$A)-3),"")</f>
        <v>15.5911392405063</v>
      </c>
      <c r="AJ48" s="144" t="n">
        <f aca="false">IFERROR('Price History'!O3+(INDEX('Price History'!O:O,MATCH(9.99E+307,'Price History'!$A:$A))-'Price History'!O3)*(ROW()-3)/(MATCH(9.99E+307,'Returns (Calc)'!$A:$A)-3),"")</f>
        <v>41.2163924050633</v>
      </c>
      <c r="AK48" s="144" t="n">
        <f aca="false">IFERROR('Price History'!Q3+(INDEX('Price History'!Q:Q,MATCH(9.99E+307,'Price History'!$A:$A))-'Price History'!Q3)*(ROW()-3)/(MATCH(9.99E+307,'Returns (Calc)'!$A:$A)-3),"")</f>
        <v>168.520189873418</v>
      </c>
      <c r="AL48" s="144" t="n">
        <f aca="false">IFERROR('Price History'!R3+(INDEX('Price History'!R:R,MATCH(9.99E+307,'Price History'!$A:$A))-'Price History'!R3)*(ROW()-3)/(MATCH(9.99E+307,'Returns (Calc)'!$A:$A)-3),"")</f>
        <v>34.2003797468354</v>
      </c>
      <c r="AM48" s="144" t="n">
        <f aca="false">IFERROR('Price History'!S3+(INDEX('Price History'!S:S,MATCH(9.99E+307,'Price History'!$A:$A))-'Price History'!S3)*(ROW()-3)/(MATCH(9.99E+307,'Returns (Calc)'!$A:$A)-3),"")</f>
        <v>41.8672151898734</v>
      </c>
      <c r="AN48" s="144" t="n">
        <f aca="false">IFERROR('Price History'!T3+(INDEX('Price History'!T:T,MATCH(9.99E+307,'Price History'!$A:$A))-'Price History'!T3)*(ROW()-3)/(MATCH(9.99E+307,'Returns (Calc)'!$A:$A)-3),"")</f>
        <v>19.2457594936709</v>
      </c>
      <c r="AO48" s="145" t="n">
        <f aca="false">IFERROR('Price History'!V3+(INDEX('Price History'!V:V,MATCH(9.99E+307,'Price History'!$A:$A))-'Price History'!V3)*(ROW()-3)/(MATCH(9.99E+307,'Returns (Calc)'!$A:$A)-3),"")</f>
        <v>0</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-0.0176642664266425</v>
      </c>
      <c r="G49" s="142" t="n">
        <f aca="false">IFERROR(IF(OR(NOT(ISNUMBER('Price History'!G50)),NOT(ISNUMBER('Price History'!G49)),'Price History'!G49=0),"",'Price History'!G50/'Price History'!G49-1),"")</f>
        <v>0.105562695061502</v>
      </c>
      <c r="H49" s="142" t="n">
        <f aca="false">IFERROR(IF(OR(NOT(ISNUMBER('Price History'!H50)),NOT(ISNUMBER('Price History'!H49)),'Price History'!H49=0),"",'Price History'!H50/'Price History'!H49-1),"")</f>
        <v>-0.0101242130338609</v>
      </c>
      <c r="I49" s="142" t="n">
        <f aca="false">IFERROR(IF(OR(NOT(ISNUMBER('Price History'!I50)),NOT(ISNUMBER('Price History'!I49)),'Price History'!I49=0),"",'Price History'!I50/'Price History'!I49-1),"")</f>
        <v>0.072597137014315</v>
      </c>
      <c r="J49" s="142" t="n">
        <f aca="false">IFERROR(IF(OR(NOT(ISNUMBER('Price History'!J50)),NOT(ISNUMBER('Price History'!J49)),'Price History'!J49=0),"",'Price History'!J50/'Price History'!J49-1),"")</f>
        <v>0.00412505427702992</v>
      </c>
      <c r="K49" s="142" t="n">
        <f aca="false">IFERROR(IF(OR(NOT(ISNUMBER('Price History'!K50)),NOT(ISNUMBER('Price History'!K49)),'Price History'!K49=0),"",'Price History'!K50/'Price History'!K49-1),"")</f>
        <v>-0.0234645227633916</v>
      </c>
      <c r="L49" s="142" t="n">
        <f aca="false">IFERROR(IF(OR(NOT(ISNUMBER('Price History'!L50)),NOT(ISNUMBER('Price History'!L49)),'Price History'!L49=0),"",'Price History'!L50/'Price History'!L49-1),"")</f>
        <v>-0.0167665711058986</v>
      </c>
      <c r="M49" s="142" t="n">
        <f aca="false">IFERROR(IF(OR(NOT(ISNUMBER('Price History'!M50)),NOT(ISNUMBER('Price History'!M49)),'Price History'!M49=0),"",'Price History'!M50/'Price History'!M49-1),"")</f>
        <v>0.21301535974131</v>
      </c>
      <c r="N49" s="142" t="n">
        <f aca="false">IFERROR(IF(OR(NOT(ISNUMBER('Price History'!N50)),NOT(ISNUMBER('Price History'!N49)),'Price History'!N49=0),"",'Price History'!N50/'Price History'!N49-1),"")</f>
        <v>-0.00805152979066015</v>
      </c>
      <c r="O49" s="142" t="n">
        <f aca="false">IFERROR(IF(OR(NOT(ISNUMBER('Price History'!O50)),NOT(ISNUMBER('Price History'!O49)),'Price History'!O49=0),"",'Price History'!O50/'Price History'!O49-1),"")</f>
        <v>0.0173181593270657</v>
      </c>
      <c r="P49" s="142" t="n">
        <f aca="false">IFERROR(IF(OR(NOT(ISNUMBER('Price History'!P50)),NOT(ISNUMBER('Price History'!P49)),'Price History'!P49=0),"",'Price History'!P50/'Price History'!P49-1),"")</f>
        <v>0.115160249811269</v>
      </c>
      <c r="Q49" s="142" t="n">
        <f aca="false">IFERROR(IF(OR(NOT(ISNUMBER('Price History'!Q50)),NOT(ISNUMBER('Price History'!Q49)),'Price History'!Q49=0),"",'Price History'!Q50/'Price History'!Q49-1),"")</f>
        <v>-0.0236550934757727</v>
      </c>
      <c r="R49" s="142" t="n">
        <f aca="false">IFERROR(IF(OR(NOT(ISNUMBER('Price History'!R50)),NOT(ISNUMBER('Price History'!R49)),'Price History'!R49=0),"",'Price History'!R50/'Price History'!R49-1),"")</f>
        <v>0.006846846846847</v>
      </c>
      <c r="S49" s="142" t="n">
        <f aca="false">IFERROR(IF(OR(NOT(ISNUMBER('Price History'!S50)),NOT(ISNUMBER('Price History'!S49)),'Price History'!S49=0),"",'Price History'!S50/'Price History'!S49-1),"")</f>
        <v>0.0309855934141323</v>
      </c>
      <c r="T49" s="142" t="n">
        <f aca="false">IFERROR(IF(OR(NOT(ISNUMBER('Price History'!T50)),NOT(ISNUMBER('Price History'!T49)),'Price History'!T49=0),"",'Price History'!T50/'Price History'!T49-1),"")</f>
        <v>-0.0200517464424321</v>
      </c>
      <c r="U49" s="142" t="str">
        <f aca="false">IFERROR(IF(OR(NOT(ISNUMBER('Price History'!U50)),NOT(ISNUMBER('Price History'!U49)),'Price History'!U49=0),"",'Price History'!U50/'Price History'!U49-1),"")</f>
        <v/>
      </c>
      <c r="V49" s="143" t="n">
        <f aca="false">IFERROR(IF(OR(NOT(ISNUMBER('Price History'!V50)),NOT(ISNUMBER('Price History'!V49)),'Price History'!V49=0),"",'Price History'!V50/'Price History'!V49-1),"")</f>
        <v>0.0300716915326487</v>
      </c>
      <c r="W49" s="144" t="str">
        <f aca="false">IFERROR('Price History'!B3+(INDEX('Price History'!B:B,MATCH(9.99E+307,'Price History'!$A:$A))-'Price History'!B3)*(ROW()-3)/(MATCH(9.99E+307,'Returns (Calc)'!$A:$A)-3),"")</f>
        <v/>
      </c>
      <c r="X49" s="144" t="n">
        <f aca="false">IFERROR('Price History'!C3+(INDEX('Price History'!C:C,MATCH(9.99E+307,'Price History'!$A:$A))-'Price History'!C3)*(ROW()-3)/(MATCH(9.99E+307,'Returns (Calc)'!$A:$A)-3),"")</f>
        <v>32.7351898734177</v>
      </c>
      <c r="Y49" s="144" t="n">
        <f aca="false">IFERROR('Price History'!D3+(INDEX('Price History'!D:D,MATCH(9.99E+307,'Price History'!$A:$A))-'Price History'!D3)*(ROW()-3)/(MATCH(9.99E+307,'Returns (Calc)'!$A:$A)-3),"")</f>
        <v>412.564050632911</v>
      </c>
      <c r="Z49" s="144" t="n">
        <f aca="false">IFERROR('Price History'!E3+(INDEX('Price History'!E:E,MATCH(9.99E+307,'Price History'!$A:$A))-'Price History'!E3)*(ROW()-3)/(MATCH(9.99E+307,'Returns (Calc)'!$A:$A)-3),"")</f>
        <v>58.126582278481</v>
      </c>
      <c r="AA49" s="144" t="n">
        <f aca="false">IFERROR('Price History'!F3+(INDEX('Price History'!F:F,MATCH(9.99E+307,'Price History'!$A:$A))-'Price History'!F3)*(ROW()-3)/(MATCH(9.99E+307,'Returns (Calc)'!$A:$A)-3),"")</f>
        <v>53.3843037974684</v>
      </c>
      <c r="AB49" s="144" t="n">
        <f aca="false">IFERROR('Price History'!G3+(INDEX('Price History'!G:G,MATCH(9.99E+307,'Price History'!$A:$A))-'Price History'!G3)*(ROW()-3)/(MATCH(9.99E+307,'Returns (Calc)'!$A:$A)-3),"")</f>
        <v>29.3184810126582</v>
      </c>
      <c r="AC49" s="144" t="n">
        <f aca="false">IFERROR('Price History'!H3+(INDEX('Price History'!H:H,MATCH(9.99E+307,'Price History'!$A:$A))-'Price History'!H3)*(ROW()-3)/(MATCH(9.99E+307,'Returns (Calc)'!$A:$A)-3),"")</f>
        <v>71.3043037974684</v>
      </c>
      <c r="AD49" s="144" t="n">
        <f aca="false">IFERROR('Price History'!I3+(INDEX('Price History'!I:I,MATCH(9.99E+307,'Price History'!$A:$A))-'Price History'!I3)*(ROW()-3)/(MATCH(9.99E+307,'Returns (Calc)'!$A:$A)-3),"")</f>
        <v>31.4379746835443</v>
      </c>
      <c r="AE49" s="144" t="n">
        <f aca="false">IFERROR('Price History'!J3+(INDEX('Price History'!J:J,MATCH(9.99E+307,'Price History'!$A:$A))-'Price History'!J3)*(ROW()-3)/(MATCH(9.99E+307,'Returns (Calc)'!$A:$A)-3),"")</f>
        <v>48.9893670886076</v>
      </c>
      <c r="AF49" s="144" t="n">
        <f aca="false">IFERROR('Price History'!K3+(INDEX('Price History'!K:K,MATCH(9.99E+307,'Price History'!$A:$A))-'Price History'!K3)*(ROW()-3)/(MATCH(9.99E+307,'Returns (Calc)'!$A:$A)-3),"")</f>
        <v>31.026835443038</v>
      </c>
      <c r="AG49" s="144" t="n">
        <f aca="false">IFERROR('Price History'!L3+(INDEX('Price History'!L:L,MATCH(9.99E+307,'Price History'!$A:$A))-'Price History'!L3)*(ROW()-3)/(MATCH(9.99E+307,'Returns (Calc)'!$A:$A)-3),"")</f>
        <v>79.2789873417722</v>
      </c>
      <c r="AH49" s="144" t="n">
        <f aca="false">IFERROR('Price History'!M3+(INDEX('Price History'!M:M,MATCH(9.99E+307,'Price History'!$A:$A))-'Price History'!M3)*(ROW()-3)/(MATCH(9.99E+307,'Returns (Calc)'!$A:$A)-3),"")</f>
        <v>10.866835443038</v>
      </c>
      <c r="AI49" s="144" t="n">
        <f aca="false">IFERROR('Price History'!N3+(INDEX('Price History'!N:N,MATCH(9.99E+307,'Price History'!$A:$A))-'Price History'!N3)*(ROW()-3)/(MATCH(9.99E+307,'Returns (Calc)'!$A:$A)-3),"")</f>
        <v>15.453164556962</v>
      </c>
      <c r="AJ49" s="144" t="n">
        <f aca="false">IFERROR('Price History'!O3+(INDEX('Price History'!O:O,MATCH(9.99E+307,'Price History'!$A:$A))-'Price History'!O3)*(ROW()-3)/(MATCH(9.99E+307,'Returns (Calc)'!$A:$A)-3),"")</f>
        <v>40.8516455696203</v>
      </c>
      <c r="AK49" s="144" t="n">
        <f aca="false">IFERROR('Price History'!Q3+(INDEX('Price History'!Q:Q,MATCH(9.99E+307,'Price History'!$A:$A))-'Price History'!Q3)*(ROW()-3)/(MATCH(9.99E+307,'Returns (Calc)'!$A:$A)-3),"")</f>
        <v>167.028860759494</v>
      </c>
      <c r="AL49" s="144" t="n">
        <f aca="false">IFERROR('Price History'!R3+(INDEX('Price History'!R:R,MATCH(9.99E+307,'Price History'!$A:$A))-'Price History'!R3)*(ROW()-3)/(MATCH(9.99E+307,'Returns (Calc)'!$A:$A)-3),"")</f>
        <v>33.8977215189873</v>
      </c>
      <c r="AM49" s="144" t="n">
        <f aca="false">IFERROR('Price History'!S3+(INDEX('Price History'!S:S,MATCH(9.99E+307,'Price History'!$A:$A))-'Price History'!S3)*(ROW()-3)/(MATCH(9.99E+307,'Returns (Calc)'!$A:$A)-3),"")</f>
        <v>41.4967088607595</v>
      </c>
      <c r="AN49" s="144" t="n">
        <f aca="false">IFERROR('Price History'!T3+(INDEX('Price History'!T:T,MATCH(9.99E+307,'Price History'!$A:$A))-'Price History'!T3)*(ROW()-3)/(MATCH(9.99E+307,'Returns (Calc)'!$A:$A)-3),"")</f>
        <v>19.0754430379747</v>
      </c>
      <c r="AO49" s="145" t="n">
        <f aca="false">IFERROR('Price History'!V3+(INDEX('Price History'!V:V,MATCH(9.99E+307,'Price History'!$A:$A))-'Price History'!V3)*(ROW()-3)/(MATCH(9.99E+307,'Returns (Calc)'!$A:$A)-3),"")</f>
        <v>0</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0.0286336043981217</v>
      </c>
      <c r="G50" s="142" t="n">
        <f aca="false">IFERROR(IF(OR(NOT(ISNUMBER('Price History'!G51)),NOT(ISNUMBER('Price History'!G50)),'Price History'!G50=0),"",'Price History'!G51/'Price History'!G50-1),"")</f>
        <v>0.0900033211557623</v>
      </c>
      <c r="H50" s="142" t="n">
        <f aca="false">IFERROR(IF(OR(NOT(ISNUMBER('Price History'!H51)),NOT(ISNUMBER('Price History'!H50)),'Price History'!H50=0),"",'Price History'!H51/'Price History'!H50-1),"")</f>
        <v>0.0256123764503653</v>
      </c>
      <c r="I50" s="142" t="n">
        <f aca="false">IFERROR(IF(OR(NOT(ISNUMBER('Price History'!I51)),NOT(ISNUMBER('Price History'!I50)),'Price History'!I50=0),"",'Price History'!I51/'Price History'!I50-1),"")</f>
        <v>0.0995505924009259</v>
      </c>
      <c r="J50" s="142" t="n">
        <f aca="false">IFERROR(IF(OR(NOT(ISNUMBER('Price History'!J51)),NOT(ISNUMBER('Price History'!J50)),'Price History'!J50=0),"",'Price History'!J51/'Price History'!J50-1),"")</f>
        <v>0.160216216216216</v>
      </c>
      <c r="K50" s="142" t="n">
        <f aca="false">IFERROR(IF(OR(NOT(ISNUMBER('Price History'!K51)),NOT(ISNUMBER('Price History'!K50)),'Price History'!K50=0),"",'Price History'!K51/'Price History'!K50-1),"")</f>
        <v>0.189354776948114</v>
      </c>
      <c r="L50" s="142" t="n">
        <f aca="false">IFERROR(IF(OR(NOT(ISNUMBER('Price History'!L51)),NOT(ISNUMBER('Price History'!L50)),'Price History'!L50=0),"",'Price History'!L51/'Price History'!L50-1),"")</f>
        <v>0.00777522530482422</v>
      </c>
      <c r="M50" s="142" t="n">
        <f aca="false">IFERROR(IF(OR(NOT(ISNUMBER('Price History'!M51)),NOT(ISNUMBER('Price History'!M50)),'Price History'!M50=0),"",'Price History'!M51/'Price History'!M50-1),"")</f>
        <v>0.0689770076641119</v>
      </c>
      <c r="N50" s="142" t="n">
        <f aca="false">IFERROR(IF(OR(NOT(ISNUMBER('Price History'!N51)),NOT(ISNUMBER('Price History'!N50)),'Price History'!N50=0),"",'Price History'!N51/'Price History'!N50-1),"")</f>
        <v>0.0227272727272727</v>
      </c>
      <c r="O50" s="142" t="n">
        <f aca="false">IFERROR(IF(OR(NOT(ISNUMBER('Price History'!O51)),NOT(ISNUMBER('Price History'!O50)),'Price History'!O50=0),"",'Price History'!O51/'Price History'!O50-1),"")</f>
        <v>0.0570282101167317</v>
      </c>
      <c r="P50" s="142" t="n">
        <f aca="false">IFERROR(IF(OR(NOT(ISNUMBER('Price History'!P51)),NOT(ISNUMBER('Price History'!P50)),'Price History'!P50=0),"",'Price History'!P51/'Price History'!P50-1),"")</f>
        <v>0.0444335036002215</v>
      </c>
      <c r="Q50" s="142" t="n">
        <f aca="false">IFERROR(IF(OR(NOT(ISNUMBER('Price History'!Q51)),NOT(ISNUMBER('Price History'!Q50)),'Price History'!Q50=0),"",'Price History'!Q51/'Price History'!Q50-1),"")</f>
        <v>0.0293474013286441</v>
      </c>
      <c r="R50" s="142" t="n">
        <f aca="false">IFERROR(IF(OR(NOT(ISNUMBER('Price History'!R51)),NOT(ISNUMBER('Price History'!R50)),'Price History'!R50=0),"",'Price History'!R51/'Price History'!R50-1),"")</f>
        <v>-0.000715819613457347</v>
      </c>
      <c r="S50" s="142" t="n">
        <f aca="false">IFERROR(IF(OR(NOT(ISNUMBER('Price History'!S51)),NOT(ISNUMBER('Price History'!S50)),'Price History'!S50=0),"",'Price History'!S51/'Price History'!S50-1),"")</f>
        <v>-0.00199622934457144</v>
      </c>
      <c r="T50" s="142" t="n">
        <f aca="false">IFERROR(IF(OR(NOT(ISNUMBER('Price History'!T51)),NOT(ISNUMBER('Price History'!T50)),'Price History'!T50=0),"",'Price History'!T51/'Price History'!T50-1),"")</f>
        <v>0.0382838283828384</v>
      </c>
      <c r="U50" s="142" t="str">
        <f aca="false">IFERROR(IF(OR(NOT(ISNUMBER('Price History'!U51)),NOT(ISNUMBER('Price History'!U50)),'Price History'!U50=0),"",'Price History'!U51/'Price History'!U50-1),"")</f>
        <v/>
      </c>
      <c r="V50" s="143" t="n">
        <f aca="false">IFERROR(IF(OR(NOT(ISNUMBER('Price History'!V51)),NOT(ISNUMBER('Price History'!V50)),'Price History'!V50=0),"",'Price History'!V51/'Price History'!V50-1),"")</f>
        <v>-0.0170798690794177</v>
      </c>
      <c r="W50" s="144" t="str">
        <f aca="false">IFERROR('Price History'!B3+(INDEX('Price History'!B:B,MATCH(9.99E+307,'Price History'!$A:$A))-'Price History'!B3)*(ROW()-3)/(MATCH(9.99E+307,'Returns (Calc)'!$A:$A)-3),"")</f>
        <v/>
      </c>
      <c r="X50" s="144" t="n">
        <f aca="false">IFERROR('Price History'!C3+(INDEX('Price History'!C:C,MATCH(9.99E+307,'Price History'!$A:$A))-'Price History'!C3)*(ROW()-3)/(MATCH(9.99E+307,'Returns (Calc)'!$A:$A)-3),"")</f>
        <v>32.4429113924051</v>
      </c>
      <c r="Y50" s="144" t="n">
        <f aca="false">IFERROR('Price History'!D3+(INDEX('Price History'!D:D,MATCH(9.99E+307,'Price History'!$A:$A))-'Price History'!D3)*(ROW()-3)/(MATCH(9.99E+307,'Returns (Calc)'!$A:$A)-3),"")</f>
        <v>408.880443037975</v>
      </c>
      <c r="Z50" s="144" t="n">
        <f aca="false">IFERROR('Price History'!E3+(INDEX('Price History'!E:E,MATCH(9.99E+307,'Price History'!$A:$A))-'Price History'!E3)*(ROW()-3)/(MATCH(9.99E+307,'Returns (Calc)'!$A:$A)-3),"")</f>
        <v>57.6075949367089</v>
      </c>
      <c r="AA50" s="144" t="n">
        <f aca="false">IFERROR('Price History'!F3+(INDEX('Price History'!F:F,MATCH(9.99E+307,'Price History'!$A:$A))-'Price History'!F3)*(ROW()-3)/(MATCH(9.99E+307,'Returns (Calc)'!$A:$A)-3),"")</f>
        <v>52.9076582278481</v>
      </c>
      <c r="AB50" s="144" t="n">
        <f aca="false">IFERROR('Price History'!G3+(INDEX('Price History'!G:G,MATCH(9.99E+307,'Price History'!$A:$A))-'Price History'!G3)*(ROW()-3)/(MATCH(9.99E+307,'Returns (Calc)'!$A:$A)-3),"")</f>
        <v>29.0567088607595</v>
      </c>
      <c r="AC50" s="144" t="n">
        <f aca="false">IFERROR('Price History'!H3+(INDEX('Price History'!H:H,MATCH(9.99E+307,'Price History'!$A:$A))-'Price History'!H3)*(ROW()-3)/(MATCH(9.99E+307,'Returns (Calc)'!$A:$A)-3),"")</f>
        <v>70.6676582278481</v>
      </c>
      <c r="AD50" s="144" t="n">
        <f aca="false">IFERROR('Price History'!I3+(INDEX('Price History'!I:I,MATCH(9.99E+307,'Price History'!$A:$A))-'Price History'!I3)*(ROW()-3)/(MATCH(9.99E+307,'Returns (Calc)'!$A:$A)-3),"")</f>
        <v>31.1572784810127</v>
      </c>
      <c r="AE50" s="144" t="n">
        <f aca="false">IFERROR('Price History'!J3+(INDEX('Price History'!J:J,MATCH(9.99E+307,'Price History'!$A:$A))-'Price History'!J3)*(ROW()-3)/(MATCH(9.99E+307,'Returns (Calc)'!$A:$A)-3),"")</f>
        <v>48.5519620253165</v>
      </c>
      <c r="AF50" s="144" t="n">
        <f aca="false">IFERROR('Price History'!K3+(INDEX('Price History'!K:K,MATCH(9.99E+307,'Price History'!$A:$A))-'Price History'!K3)*(ROW()-3)/(MATCH(9.99E+307,'Returns (Calc)'!$A:$A)-3),"")</f>
        <v>30.7498101265823</v>
      </c>
      <c r="AG50" s="144" t="n">
        <f aca="false">IFERROR('Price History'!L3+(INDEX('Price History'!L:L,MATCH(9.99E+307,'Price History'!$A:$A))-'Price History'!L3)*(ROW()-3)/(MATCH(9.99E+307,'Returns (Calc)'!$A:$A)-3),"")</f>
        <v>78.5711392405063</v>
      </c>
      <c r="AH50" s="144" t="n">
        <f aca="false">IFERROR('Price History'!M3+(INDEX('Price History'!M:M,MATCH(9.99E+307,'Price History'!$A:$A))-'Price History'!M3)*(ROW()-3)/(MATCH(9.99E+307,'Returns (Calc)'!$A:$A)-3),"")</f>
        <v>10.7698101265823</v>
      </c>
      <c r="AI50" s="144" t="n">
        <f aca="false">IFERROR('Price History'!N3+(INDEX('Price History'!N:N,MATCH(9.99E+307,'Price History'!$A:$A))-'Price History'!N3)*(ROW()-3)/(MATCH(9.99E+307,'Returns (Calc)'!$A:$A)-3),"")</f>
        <v>15.3151898734177</v>
      </c>
      <c r="AJ50" s="144" t="n">
        <f aca="false">IFERROR('Price History'!O3+(INDEX('Price History'!O:O,MATCH(9.99E+307,'Price History'!$A:$A))-'Price History'!O3)*(ROW()-3)/(MATCH(9.99E+307,'Returns (Calc)'!$A:$A)-3),"")</f>
        <v>40.4868987341772</v>
      </c>
      <c r="AK50" s="144" t="n">
        <f aca="false">IFERROR('Price History'!Q3+(INDEX('Price History'!Q:Q,MATCH(9.99E+307,'Price History'!$A:$A))-'Price History'!Q3)*(ROW()-3)/(MATCH(9.99E+307,'Returns (Calc)'!$A:$A)-3),"")</f>
        <v>165.53753164557</v>
      </c>
      <c r="AL50" s="144" t="n">
        <f aca="false">IFERROR('Price History'!R3+(INDEX('Price History'!R:R,MATCH(9.99E+307,'Price History'!$A:$A))-'Price History'!R3)*(ROW()-3)/(MATCH(9.99E+307,'Returns (Calc)'!$A:$A)-3),"")</f>
        <v>33.5950632911392</v>
      </c>
      <c r="AM50" s="144" t="n">
        <f aca="false">IFERROR('Price History'!S3+(INDEX('Price History'!S:S,MATCH(9.99E+307,'Price History'!$A:$A))-'Price History'!S3)*(ROW()-3)/(MATCH(9.99E+307,'Returns (Calc)'!$A:$A)-3),"")</f>
        <v>41.1262025316456</v>
      </c>
      <c r="AN50" s="144" t="n">
        <f aca="false">IFERROR('Price History'!T3+(INDEX('Price History'!T:T,MATCH(9.99E+307,'Price History'!$A:$A))-'Price History'!T3)*(ROW()-3)/(MATCH(9.99E+307,'Returns (Calc)'!$A:$A)-3),"")</f>
        <v>18.9051265822785</v>
      </c>
      <c r="AO50" s="145" t="n">
        <f aca="false">IFERROR('Price History'!V3+(INDEX('Price History'!V:V,MATCH(9.99E+307,'Price History'!$A:$A))-'Price History'!V3)*(ROW()-3)/(MATCH(9.99E+307,'Returns (Calc)'!$A:$A)-3),"")</f>
        <v>0</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0.0310655828972275</v>
      </c>
      <c r="G51" s="142" t="n">
        <f aca="false">IFERROR(IF(OR(NOT(ISNUMBER('Price History'!G52)),NOT(ISNUMBER('Price History'!G51)),'Price History'!G51=0),"",'Price History'!G52/'Price History'!G51-1),"")</f>
        <v>0.0342778793418648</v>
      </c>
      <c r="H51" s="142" t="n">
        <f aca="false">IFERROR(IF(OR(NOT(ISNUMBER('Price History'!H52)),NOT(ISNUMBER('Price History'!H51)),'Price History'!H51=0),"",'Price History'!H52/'Price History'!H51-1),"")</f>
        <v>0.0207827034274701</v>
      </c>
      <c r="I51" s="142" t="n">
        <f aca="false">IFERROR(IF(OR(NOT(ISNUMBER('Price History'!I52)),NOT(ISNUMBER('Price History'!I51)),'Price History'!I51=0),"",'Price History'!I52/'Price History'!I51-1),"")</f>
        <v>-0.00210552390388907</v>
      </c>
      <c r="J51" s="142" t="n">
        <f aca="false">IFERROR(IF(OR(NOT(ISNUMBER('Price History'!J52)),NOT(ISNUMBER('Price History'!J51)),'Price History'!J51=0),"",'Price History'!J52/'Price History'!J51-1),"")</f>
        <v>-0.0476146105106224</v>
      </c>
      <c r="K51" s="142" t="n">
        <f aca="false">IFERROR(IF(OR(NOT(ISNUMBER('Price History'!K52)),NOT(ISNUMBER('Price History'!K51)),'Price History'!K51=0),"",'Price History'!K52/'Price History'!K51-1),"")</f>
        <v>0.0383934320669672</v>
      </c>
      <c r="L51" s="142" t="n">
        <f aca="false">IFERROR(IF(OR(NOT(ISNUMBER('Price History'!L52)),NOT(ISNUMBER('Price History'!L51)),'Price History'!L51=0),"",'Price History'!L52/'Price History'!L51-1),"")</f>
        <v>0.0489216201998948</v>
      </c>
      <c r="M51" s="142" t="n">
        <f aca="false">IFERROR(IF(OR(NOT(ISNUMBER('Price History'!M52)),NOT(ISNUMBER('Price History'!M51)),'Price History'!M51=0),"",'Price History'!M52/'Price History'!M51-1),"")</f>
        <v>-0.00935162094763087</v>
      </c>
      <c r="N51" s="142" t="n">
        <f aca="false">IFERROR(IF(OR(NOT(ISNUMBER('Price History'!N52)),NOT(ISNUMBER('Price History'!N51)),'Price History'!N51=0),"",'Price History'!N52/'Price History'!N51-1),"")</f>
        <v>0.0186507936507938</v>
      </c>
      <c r="O51" s="142" t="n">
        <f aca="false">IFERROR(IF(OR(NOT(ISNUMBER('Price History'!O52)),NOT(ISNUMBER('Price History'!O51)),'Price History'!O51=0),"",'Price History'!O52/'Price History'!O51-1),"")</f>
        <v>0.0138042102841365</v>
      </c>
      <c r="P51" s="142" t="n">
        <f aca="false">IFERROR(IF(OR(NOT(ISNUMBER('Price History'!P52)),NOT(ISNUMBER('Price History'!P51)),'Price History'!P51=0),"",'Price History'!P52/'Price History'!P51-1),"")</f>
        <v>-0.0186789228684227</v>
      </c>
      <c r="Q51" s="142" t="n">
        <f aca="false">IFERROR(IF(OR(NOT(ISNUMBER('Price History'!Q52)),NOT(ISNUMBER('Price History'!Q51)),'Price History'!Q51=0),"",'Price History'!Q52/'Price History'!Q51-1),"")</f>
        <v>0.000227781785050007</v>
      </c>
      <c r="R51" s="142" t="n">
        <f aca="false">IFERROR(IF(OR(NOT(ISNUMBER('Price History'!R52)),NOT(ISNUMBER('Price History'!R51)),'Price History'!R51=0),"",'Price History'!R52/'Price History'!R51-1),"")</f>
        <v>-0.0295487106017193</v>
      </c>
      <c r="S51" s="142" t="n">
        <f aca="false">IFERROR(IF(OR(NOT(ISNUMBER('Price History'!S52)),NOT(ISNUMBER('Price History'!S51)),'Price History'!S51=0),"",'Price History'!S52/'Price History'!S51-1),"")</f>
        <v>-0.0404489387709746</v>
      </c>
      <c r="T51" s="142" t="n">
        <f aca="false">IFERROR(IF(OR(NOT(ISNUMBER('Price History'!T52)),NOT(ISNUMBER('Price History'!T51)),'Price History'!T51=0),"",'Price History'!T52/'Price History'!T51-1),"")</f>
        <v>0.0152574698029244</v>
      </c>
      <c r="U51" s="142" t="str">
        <f aca="false">IFERROR(IF(OR(NOT(ISNUMBER('Price History'!U52)),NOT(ISNUMBER('Price History'!U51)),'Price History'!U51=0),"",'Price History'!U52/'Price History'!U51-1),"")</f>
        <v/>
      </c>
      <c r="V51" s="143" t="n">
        <f aca="false">IFERROR(IF(OR(NOT(ISNUMBER('Price History'!V52)),NOT(ISNUMBER('Price History'!V51)),'Price History'!V51=0),"",'Price History'!V52/'Price History'!V51-1),"")</f>
        <v>-0.00107168829180526</v>
      </c>
      <c r="W51" s="144" t="str">
        <f aca="false">IFERROR('Price History'!B3+(INDEX('Price History'!B:B,MATCH(9.99E+307,'Price History'!$A:$A))-'Price History'!B3)*(ROW()-3)/(MATCH(9.99E+307,'Returns (Calc)'!$A:$A)-3),"")</f>
        <v/>
      </c>
      <c r="X51" s="144" t="n">
        <f aca="false">IFERROR('Price History'!C3+(INDEX('Price History'!C:C,MATCH(9.99E+307,'Price History'!$A:$A))-'Price History'!C3)*(ROW()-3)/(MATCH(9.99E+307,'Returns (Calc)'!$A:$A)-3),"")</f>
        <v>32.1506329113924</v>
      </c>
      <c r="Y51" s="144" t="n">
        <f aca="false">IFERROR('Price History'!D3+(INDEX('Price History'!D:D,MATCH(9.99E+307,'Price History'!$A:$A))-'Price History'!D3)*(ROW()-3)/(MATCH(9.99E+307,'Returns (Calc)'!$A:$A)-3),"")</f>
        <v>405.196835443038</v>
      </c>
      <c r="Z51" s="144" t="n">
        <f aca="false">IFERROR('Price History'!E3+(INDEX('Price History'!E:E,MATCH(9.99E+307,'Price History'!$A:$A))-'Price History'!E3)*(ROW()-3)/(MATCH(9.99E+307,'Returns (Calc)'!$A:$A)-3),"")</f>
        <v>57.0886075949367</v>
      </c>
      <c r="AA51" s="144" t="n">
        <f aca="false">IFERROR('Price History'!F3+(INDEX('Price History'!F:F,MATCH(9.99E+307,'Price History'!$A:$A))-'Price History'!F3)*(ROW()-3)/(MATCH(9.99E+307,'Returns (Calc)'!$A:$A)-3),"")</f>
        <v>52.4310126582279</v>
      </c>
      <c r="AB51" s="144" t="n">
        <f aca="false">IFERROR('Price History'!G3+(INDEX('Price History'!G:G,MATCH(9.99E+307,'Price History'!$A:$A))-'Price History'!G3)*(ROW()-3)/(MATCH(9.99E+307,'Returns (Calc)'!$A:$A)-3),"")</f>
        <v>28.7949367088608</v>
      </c>
      <c r="AC51" s="144" t="n">
        <f aca="false">IFERROR('Price History'!H3+(INDEX('Price History'!H:H,MATCH(9.99E+307,'Price History'!$A:$A))-'Price History'!H3)*(ROW()-3)/(MATCH(9.99E+307,'Returns (Calc)'!$A:$A)-3),"")</f>
        <v>70.0310126582279</v>
      </c>
      <c r="AD51" s="144" t="n">
        <f aca="false">IFERROR('Price History'!I3+(INDEX('Price History'!I:I,MATCH(9.99E+307,'Price History'!$A:$A))-'Price History'!I3)*(ROW()-3)/(MATCH(9.99E+307,'Returns (Calc)'!$A:$A)-3),"")</f>
        <v>30.876582278481</v>
      </c>
      <c r="AE51" s="144" t="n">
        <f aca="false">IFERROR('Price History'!J3+(INDEX('Price History'!J:J,MATCH(9.99E+307,'Price History'!$A:$A))-'Price History'!J3)*(ROW()-3)/(MATCH(9.99E+307,'Returns (Calc)'!$A:$A)-3),"")</f>
        <v>48.1145569620253</v>
      </c>
      <c r="AF51" s="144" t="n">
        <f aca="false">IFERROR('Price History'!K3+(INDEX('Price History'!K:K,MATCH(9.99E+307,'Price History'!$A:$A))-'Price History'!K3)*(ROW()-3)/(MATCH(9.99E+307,'Returns (Calc)'!$A:$A)-3),"")</f>
        <v>30.4727848101266</v>
      </c>
      <c r="AG51" s="144" t="n">
        <f aca="false">IFERROR('Price History'!L3+(INDEX('Price History'!L:L,MATCH(9.99E+307,'Price History'!$A:$A))-'Price History'!L3)*(ROW()-3)/(MATCH(9.99E+307,'Returns (Calc)'!$A:$A)-3),"")</f>
        <v>77.8632911392405</v>
      </c>
      <c r="AH51" s="144" t="n">
        <f aca="false">IFERROR('Price History'!M3+(INDEX('Price History'!M:M,MATCH(9.99E+307,'Price History'!$A:$A))-'Price History'!M3)*(ROW()-3)/(MATCH(9.99E+307,'Returns (Calc)'!$A:$A)-3),"")</f>
        <v>10.6727848101266</v>
      </c>
      <c r="AI51" s="144" t="n">
        <f aca="false">IFERROR('Price History'!N3+(INDEX('Price History'!N:N,MATCH(9.99E+307,'Price History'!$A:$A))-'Price History'!N3)*(ROW()-3)/(MATCH(9.99E+307,'Returns (Calc)'!$A:$A)-3),"")</f>
        <v>15.1772151898734</v>
      </c>
      <c r="AJ51" s="144" t="n">
        <f aca="false">IFERROR('Price History'!O3+(INDEX('Price History'!O:O,MATCH(9.99E+307,'Price History'!$A:$A))-'Price History'!O3)*(ROW()-3)/(MATCH(9.99E+307,'Returns (Calc)'!$A:$A)-3),"")</f>
        <v>40.1221518987342</v>
      </c>
      <c r="AK51" s="144" t="n">
        <f aca="false">IFERROR('Price History'!Q3+(INDEX('Price History'!Q:Q,MATCH(9.99E+307,'Price History'!$A:$A))-'Price History'!Q3)*(ROW()-3)/(MATCH(9.99E+307,'Returns (Calc)'!$A:$A)-3),"")</f>
        <v>164.046202531646</v>
      </c>
      <c r="AL51" s="144" t="n">
        <f aca="false">IFERROR('Price History'!R3+(INDEX('Price History'!R:R,MATCH(9.99E+307,'Price History'!$A:$A))-'Price History'!R3)*(ROW()-3)/(MATCH(9.99E+307,'Returns (Calc)'!$A:$A)-3),"")</f>
        <v>33.2924050632911</v>
      </c>
      <c r="AM51" s="144" t="n">
        <f aca="false">IFERROR('Price History'!S3+(INDEX('Price History'!S:S,MATCH(9.99E+307,'Price History'!$A:$A))-'Price History'!S3)*(ROW()-3)/(MATCH(9.99E+307,'Returns (Calc)'!$A:$A)-3),"")</f>
        <v>40.7556962025316</v>
      </c>
      <c r="AN51" s="144" t="n">
        <f aca="false">IFERROR('Price History'!T3+(INDEX('Price History'!T:T,MATCH(9.99E+307,'Price History'!$A:$A))-'Price History'!T3)*(ROW()-3)/(MATCH(9.99E+307,'Returns (Calc)'!$A:$A)-3),"")</f>
        <v>18.7348101265823</v>
      </c>
      <c r="AO51" s="145" t="n">
        <f aca="false">IFERROR('Price History'!V3+(INDEX('Price History'!V:V,MATCH(9.99E+307,'Price History'!$A:$A))-'Price History'!V3)*(ROW()-3)/(MATCH(9.99E+307,'Returns (Calc)'!$A:$A)-3),"")</f>
        <v>0</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0.000539956803455866</v>
      </c>
      <c r="G52" s="142" t="n">
        <f aca="false">IFERROR(IF(OR(NOT(ISNUMBER('Price History'!G53)),NOT(ISNUMBER('Price History'!G52)),'Price History'!G52=0),"",'Price History'!G53/'Price History'!G52-1),"")</f>
        <v>0.0210634850493445</v>
      </c>
      <c r="H52" s="142" t="n">
        <f aca="false">IFERROR(IF(OR(NOT(ISNUMBER('Price History'!H53)),NOT(ISNUMBER('Price History'!H52)),'Price History'!H52=0),"",'Price History'!H53/'Price History'!H52-1),"")</f>
        <v>0.0137098760364502</v>
      </c>
      <c r="I52" s="142" t="n">
        <f aca="false">IFERROR(IF(OR(NOT(ISNUMBER('Price History'!I53)),NOT(ISNUMBER('Price History'!I52)),'Price History'!I52=0),"",'Price History'!I53/'Price History'!I52-1),"")</f>
        <v>0.00186173513714794</v>
      </c>
      <c r="J52" s="142" t="n">
        <f aca="false">IFERROR(IF(OR(NOT(ISNUMBER('Price History'!J53)),NOT(ISNUMBER('Price History'!J52)),'Price History'!J52=0),"",'Price History'!J53/'Price History'!J52-1),"")</f>
        <v>-0.0642794247138244</v>
      </c>
      <c r="K52" s="142" t="n">
        <f aca="false">IFERROR(IF(OR(NOT(ISNUMBER('Price History'!K53)),NOT(ISNUMBER('Price History'!K52)),'Price History'!K52=0),"",'Price History'!K53/'Price History'!K52-1),"")</f>
        <v>-0.0772808309433376</v>
      </c>
      <c r="L52" s="142" t="n">
        <f aca="false">IFERROR(IF(OR(NOT(ISNUMBER('Price History'!L53)),NOT(ISNUMBER('Price History'!L52)),'Price History'!L52=0),"",'Price History'!L53/'Price History'!L52-1),"")</f>
        <v>-0.00810765630224009</v>
      </c>
      <c r="M52" s="142" t="n">
        <f aca="false">IFERROR(IF(OR(NOT(ISNUMBER('Price History'!M53)),NOT(ISNUMBER('Price History'!M52)),'Price History'!M52=0),"",'Price History'!M53/'Price History'!M52-1),"")</f>
        <v>-0.0094398993077407</v>
      </c>
      <c r="N52" s="142" t="n">
        <f aca="false">IFERROR(IF(OR(NOT(ISNUMBER('Price History'!N53)),NOT(ISNUMBER('Price History'!N52)),'Price History'!N52=0),"",'Price History'!N53/'Price History'!N52-1),"")</f>
        <v>0.0124659135177247</v>
      </c>
      <c r="O52" s="142" t="n">
        <f aca="false">IFERROR(IF(OR(NOT(ISNUMBER('Price History'!O53)),NOT(ISNUMBER('Price History'!O52)),'Price History'!O52=0),"",'Price History'!O53/'Price History'!O52-1),"")</f>
        <v>-0.00397140587768063</v>
      </c>
      <c r="P52" s="142" t="n">
        <f aca="false">IFERROR(IF(OR(NOT(ISNUMBER('Price History'!P53)),NOT(ISNUMBER('Price History'!P52)),'Price History'!P52=0),"",'Price History'!P53/'Price History'!P52-1),"")</f>
        <v>0.00246187102197659</v>
      </c>
      <c r="Q52" s="142" t="n">
        <f aca="false">IFERROR(IF(OR(NOT(ISNUMBER('Price History'!Q53)),NOT(ISNUMBER('Price History'!Q52)),'Price History'!Q52=0),"",'Price History'!Q53/'Price History'!Q52-1),"")</f>
        <v>0.0334003871408508</v>
      </c>
      <c r="R52" s="142" t="n">
        <f aca="false">IFERROR(IF(OR(NOT(ISNUMBER('Price History'!R53)),NOT(ISNUMBER('Price History'!R52)),'Price History'!R52=0),"",'Price History'!R53/'Price History'!R52-1),"")</f>
        <v>-0.0226979147444177</v>
      </c>
      <c r="S52" s="142" t="n">
        <f aca="false">IFERROR(IF(OR(NOT(ISNUMBER('Price History'!S53)),NOT(ISNUMBER('Price History'!S52)),'Price History'!S52=0),"",'Price History'!S53/'Price History'!S52-1),"")</f>
        <v>-0.0188766647365373</v>
      </c>
      <c r="T52" s="142" t="n">
        <f aca="false">IFERROR(IF(OR(NOT(ISNUMBER('Price History'!T53)),NOT(ISNUMBER('Price History'!T52)),'Price History'!T52=0),"",'Price History'!T53/'Price History'!T52-1),"")</f>
        <v>0.0178459611772073</v>
      </c>
      <c r="U52" s="142" t="str">
        <f aca="false">IFERROR(IF(OR(NOT(ISNUMBER('Price History'!U53)),NOT(ISNUMBER('Price History'!U52)),'Price History'!U52=0),"",'Price History'!U53/'Price History'!U52-1),"")</f>
        <v/>
      </c>
      <c r="V52" s="143" t="n">
        <f aca="false">IFERROR(IF(OR(NOT(ISNUMBER('Price History'!V53)),NOT(ISNUMBER('Price History'!V52)),'Price History'!V52=0),"",'Price History'!V53/'Price History'!V52-1),"")</f>
        <v>-0.0226062301237595</v>
      </c>
      <c r="W52" s="144" t="str">
        <f aca="false">IFERROR('Price History'!B3+(INDEX('Price History'!B:B,MATCH(9.99E+307,'Price History'!$A:$A))-'Price History'!B3)*(ROW()-3)/(MATCH(9.99E+307,'Returns (Calc)'!$A:$A)-3),"")</f>
        <v/>
      </c>
      <c r="X52" s="144" t="n">
        <f aca="false">IFERROR('Price History'!C3+(INDEX('Price History'!C:C,MATCH(9.99E+307,'Price History'!$A:$A))-'Price History'!C3)*(ROW()-3)/(MATCH(9.99E+307,'Returns (Calc)'!$A:$A)-3),"")</f>
        <v>31.8583544303797</v>
      </c>
      <c r="Y52" s="144" t="n">
        <f aca="false">IFERROR('Price History'!D3+(INDEX('Price History'!D:D,MATCH(9.99E+307,'Price History'!$A:$A))-'Price History'!D3)*(ROW()-3)/(MATCH(9.99E+307,'Returns (Calc)'!$A:$A)-3),"")</f>
        <v>401.513227848101</v>
      </c>
      <c r="Z52" s="144" t="n">
        <f aca="false">IFERROR('Price History'!E3+(INDEX('Price History'!E:E,MATCH(9.99E+307,'Price History'!$A:$A))-'Price History'!E3)*(ROW()-3)/(MATCH(9.99E+307,'Returns (Calc)'!$A:$A)-3),"")</f>
        <v>56.5696202531646</v>
      </c>
      <c r="AA52" s="144" t="n">
        <f aca="false">IFERROR('Price History'!F3+(INDEX('Price History'!F:F,MATCH(9.99E+307,'Price History'!$A:$A))-'Price History'!F3)*(ROW()-3)/(MATCH(9.99E+307,'Returns (Calc)'!$A:$A)-3),"")</f>
        <v>51.9543670886076</v>
      </c>
      <c r="AB52" s="144" t="n">
        <f aca="false">IFERROR('Price History'!G3+(INDEX('Price History'!G:G,MATCH(9.99E+307,'Price History'!$A:$A))-'Price History'!G3)*(ROW()-3)/(MATCH(9.99E+307,'Returns (Calc)'!$A:$A)-3),"")</f>
        <v>28.533164556962</v>
      </c>
      <c r="AC52" s="144" t="n">
        <f aca="false">IFERROR('Price History'!H3+(INDEX('Price History'!H:H,MATCH(9.99E+307,'Price History'!$A:$A))-'Price History'!H3)*(ROW()-3)/(MATCH(9.99E+307,'Returns (Calc)'!$A:$A)-3),"")</f>
        <v>69.3943670886076</v>
      </c>
      <c r="AD52" s="144" t="n">
        <f aca="false">IFERROR('Price History'!I3+(INDEX('Price History'!I:I,MATCH(9.99E+307,'Price History'!$A:$A))-'Price History'!I3)*(ROW()-3)/(MATCH(9.99E+307,'Returns (Calc)'!$A:$A)-3),"")</f>
        <v>30.5958860759494</v>
      </c>
      <c r="AE52" s="144" t="n">
        <f aca="false">IFERROR('Price History'!J3+(INDEX('Price History'!J:J,MATCH(9.99E+307,'Price History'!$A:$A))-'Price History'!J3)*(ROW()-3)/(MATCH(9.99E+307,'Returns (Calc)'!$A:$A)-3),"")</f>
        <v>47.6771518987342</v>
      </c>
      <c r="AF52" s="144" t="n">
        <f aca="false">IFERROR('Price History'!K3+(INDEX('Price History'!K:K,MATCH(9.99E+307,'Price History'!$A:$A))-'Price History'!K3)*(ROW()-3)/(MATCH(9.99E+307,'Returns (Calc)'!$A:$A)-3),"")</f>
        <v>30.1957594936709</v>
      </c>
      <c r="AG52" s="144" t="n">
        <f aca="false">IFERROR('Price History'!L3+(INDEX('Price History'!L:L,MATCH(9.99E+307,'Price History'!$A:$A))-'Price History'!L3)*(ROW()-3)/(MATCH(9.99E+307,'Returns (Calc)'!$A:$A)-3),"")</f>
        <v>77.1554430379747</v>
      </c>
      <c r="AH52" s="144" t="n">
        <f aca="false">IFERROR('Price History'!M3+(INDEX('Price History'!M:M,MATCH(9.99E+307,'Price History'!$A:$A))-'Price History'!M3)*(ROW()-3)/(MATCH(9.99E+307,'Returns (Calc)'!$A:$A)-3),"")</f>
        <v>10.5757594936709</v>
      </c>
      <c r="AI52" s="144" t="n">
        <f aca="false">IFERROR('Price History'!N3+(INDEX('Price History'!N:N,MATCH(9.99E+307,'Price History'!$A:$A))-'Price History'!N3)*(ROW()-3)/(MATCH(9.99E+307,'Returns (Calc)'!$A:$A)-3),"")</f>
        <v>15.0392405063291</v>
      </c>
      <c r="AJ52" s="144" t="n">
        <f aca="false">IFERROR('Price History'!O3+(INDEX('Price History'!O:O,MATCH(9.99E+307,'Price History'!$A:$A))-'Price History'!O3)*(ROW()-3)/(MATCH(9.99E+307,'Returns (Calc)'!$A:$A)-3),"")</f>
        <v>39.7574050632911</v>
      </c>
      <c r="AK52" s="144" t="n">
        <f aca="false">IFERROR('Price History'!Q3+(INDEX('Price History'!Q:Q,MATCH(9.99E+307,'Price History'!$A:$A))-'Price History'!Q3)*(ROW()-3)/(MATCH(9.99E+307,'Returns (Calc)'!$A:$A)-3),"")</f>
        <v>162.554873417722</v>
      </c>
      <c r="AL52" s="144" t="n">
        <f aca="false">IFERROR('Price History'!R3+(INDEX('Price History'!R:R,MATCH(9.99E+307,'Price History'!$A:$A))-'Price History'!R3)*(ROW()-3)/(MATCH(9.99E+307,'Returns (Calc)'!$A:$A)-3),"")</f>
        <v>32.989746835443</v>
      </c>
      <c r="AM52" s="144" t="n">
        <f aca="false">IFERROR('Price History'!S3+(INDEX('Price History'!S:S,MATCH(9.99E+307,'Price History'!$A:$A))-'Price History'!S3)*(ROW()-3)/(MATCH(9.99E+307,'Returns (Calc)'!$A:$A)-3),"")</f>
        <v>40.3851898734177</v>
      </c>
      <c r="AN52" s="144" t="n">
        <f aca="false">IFERROR('Price History'!T3+(INDEX('Price History'!T:T,MATCH(9.99E+307,'Price History'!$A:$A))-'Price History'!T3)*(ROW()-3)/(MATCH(9.99E+307,'Returns (Calc)'!$A:$A)-3),"")</f>
        <v>18.5644936708861</v>
      </c>
      <c r="AO52" s="145" t="n">
        <f aca="false">IFERROR('Price History'!V3+(INDEX('Price History'!V:V,MATCH(9.99E+307,'Price History'!$A:$A))-'Price History'!V3)*(ROW()-3)/(MATCH(9.99E+307,'Returns (Calc)'!$A:$A)-3),"")</f>
        <v>0</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-0.0566648677819752</v>
      </c>
      <c r="G53" s="142" t="n">
        <f aca="false">IFERROR(IF(OR(NOT(ISNUMBER('Price History'!G54)),NOT(ISNUMBER('Price History'!G53)),'Price History'!G53=0),"",'Price History'!G54/'Price History'!G53-1),"")</f>
        <v>-0.11136757068667</v>
      </c>
      <c r="H53" s="142" t="n">
        <f aca="false">IFERROR(IF(OR(NOT(ISNUMBER('Price History'!H54)),NOT(ISNUMBER('Price History'!H53)),'Price History'!H53=0),"",'Price History'!H54/'Price History'!H53-1),"")</f>
        <v>-0.0213799805636541</v>
      </c>
      <c r="I53" s="142" t="n">
        <f aca="false">IFERROR(IF(OR(NOT(ISNUMBER('Price History'!I54)),NOT(ISNUMBER('Price History'!I53)),'Price History'!I53=0),"",'Price History'!I54/'Price History'!I53-1),"")</f>
        <v>-0.142343904856293</v>
      </c>
      <c r="J53" s="142" t="n">
        <f aca="false">IFERROR(IF(OR(NOT(ISNUMBER('Price History'!J54)),NOT(ISNUMBER('Price History'!J53)),'Price History'!J53=0),"",'Price History'!J54/'Price History'!J53-1),"")</f>
        <v>-0.102467586783772</v>
      </c>
      <c r="K53" s="142" t="n">
        <f aca="false">IFERROR(IF(OR(NOT(ISNUMBER('Price History'!K54)),NOT(ISNUMBER('Price History'!K53)),'Price History'!K53=0),"",'Price History'!K54/'Price History'!K53-1),"")</f>
        <v>-0.138524865591398</v>
      </c>
      <c r="L53" s="142" t="n">
        <f aca="false">IFERROR(IF(OR(NOT(ISNUMBER('Price History'!L54)),NOT(ISNUMBER('Price History'!L53)),'Price History'!L53=0),"",'Price History'!L54/'Price History'!L53-1),"")</f>
        <v>-0.00455043397657373</v>
      </c>
      <c r="M53" s="142" t="n">
        <f aca="false">IFERROR(IF(OR(NOT(ISNUMBER('Price History'!M54)),NOT(ISNUMBER('Price History'!M53)),'Price History'!M53=0),"",'Price History'!M54/'Price History'!M53-1),"")</f>
        <v>-0.0365311308767472</v>
      </c>
      <c r="N53" s="142" t="n">
        <f aca="false">IFERROR(IF(OR(NOT(ISNUMBER('Price History'!N54)),NOT(ISNUMBER('Price History'!N53)),'Price History'!N53=0),"",'Price History'!N54/'Price History'!N53-1),"")</f>
        <v>-0.0300115429011157</v>
      </c>
      <c r="O53" s="142" t="n">
        <f aca="false">IFERROR(IF(OR(NOT(ISNUMBER('Price History'!O54)),NOT(ISNUMBER('Price History'!O53)),'Price History'!O53=0),"",'Price History'!O54/'Price History'!O53-1),"")</f>
        <v>-0.0598086124401914</v>
      </c>
      <c r="P53" s="142" t="n">
        <f aca="false">IFERROR(IF(OR(NOT(ISNUMBER('Price History'!P54)),NOT(ISNUMBER('Price History'!P53)),'Price History'!P53=0),"",'Price History'!P54/'Price History'!P53-1),"")</f>
        <v>-0.0866726564839773</v>
      </c>
      <c r="Q53" s="142" t="n">
        <f aca="false">IFERROR(IF(OR(NOT(ISNUMBER('Price History'!Q54)),NOT(ISNUMBER('Price History'!Q53)),'Price History'!Q53=0),"",'Price History'!Q54/'Price History'!Q53-1),"")</f>
        <v>0.0108348330701145</v>
      </c>
      <c r="R53" s="142" t="n">
        <f aca="false">IFERROR(IF(OR(NOT(ISNUMBER('Price History'!R54)),NOT(ISNUMBER('Price History'!R53)),'Price History'!R53=0),"",'Price History'!R54/'Price History'!R53-1),"")</f>
        <v>-0.0343655589123867</v>
      </c>
      <c r="S53" s="142" t="n">
        <f aca="false">IFERROR(IF(OR(NOT(ISNUMBER('Price History'!S54)),NOT(ISNUMBER('Price History'!S53)),'Price History'!S53=0),"",'Price History'!S54/'Price History'!S53-1),"")</f>
        <v>-0.0297450424929178</v>
      </c>
      <c r="T53" s="142" t="n">
        <f aca="false">IFERROR(IF(OR(NOT(ISNUMBER('Price History'!T54)),NOT(ISNUMBER('Price History'!T53)),'Price History'!T53=0),"",'Price History'!T54/'Price History'!T53-1),"")</f>
        <v>-0.0286065825899723</v>
      </c>
      <c r="U53" s="142" t="str">
        <f aca="false">IFERROR(IF(OR(NOT(ISNUMBER('Price History'!U54)),NOT(ISNUMBER('Price History'!U53)),'Price History'!U53=0),"",'Price History'!U54/'Price History'!U53-1),"")</f>
        <v/>
      </c>
      <c r="V53" s="143" t="n">
        <f aca="false">IFERROR(IF(OR(NOT(ISNUMBER('Price History'!V54)),NOT(ISNUMBER('Price History'!V53)),'Price History'!V53=0),"",'Price History'!V54/'Price History'!V53-1),"")</f>
        <v>0.0274804970794622</v>
      </c>
      <c r="W53" s="144" t="str">
        <f aca="false">IFERROR('Price History'!B3+(INDEX('Price History'!B:B,MATCH(9.99E+307,'Price History'!$A:$A))-'Price History'!B3)*(ROW()-3)/(MATCH(9.99E+307,'Returns (Calc)'!$A:$A)-3),"")</f>
        <v/>
      </c>
      <c r="X53" s="144" t="n">
        <f aca="false">IFERROR('Price History'!C3+(INDEX('Price History'!C:C,MATCH(9.99E+307,'Price History'!$A:$A))-'Price History'!C3)*(ROW()-3)/(MATCH(9.99E+307,'Returns (Calc)'!$A:$A)-3),"")</f>
        <v>31.5660759493671</v>
      </c>
      <c r="Y53" s="144" t="n">
        <f aca="false">IFERROR('Price History'!D3+(INDEX('Price History'!D:D,MATCH(9.99E+307,'Price History'!$A:$A))-'Price History'!D3)*(ROW()-3)/(MATCH(9.99E+307,'Returns (Calc)'!$A:$A)-3),"")</f>
        <v>397.829620253165</v>
      </c>
      <c r="Z53" s="144" t="n">
        <f aca="false">IFERROR('Price History'!E3+(INDEX('Price History'!E:E,MATCH(9.99E+307,'Price History'!$A:$A))-'Price History'!E3)*(ROW()-3)/(MATCH(9.99E+307,'Returns (Calc)'!$A:$A)-3),"")</f>
        <v>56.0506329113924</v>
      </c>
      <c r="AA53" s="144" t="n">
        <f aca="false">IFERROR('Price History'!F3+(INDEX('Price History'!F:F,MATCH(9.99E+307,'Price History'!$A:$A))-'Price History'!F3)*(ROW()-3)/(MATCH(9.99E+307,'Returns (Calc)'!$A:$A)-3),"")</f>
        <v>51.4777215189873</v>
      </c>
      <c r="AB53" s="144" t="n">
        <f aca="false">IFERROR('Price History'!G3+(INDEX('Price History'!G:G,MATCH(9.99E+307,'Price History'!$A:$A))-'Price History'!G3)*(ROW()-3)/(MATCH(9.99E+307,'Returns (Calc)'!$A:$A)-3),"")</f>
        <v>28.2713924050633</v>
      </c>
      <c r="AC53" s="144" t="n">
        <f aca="false">IFERROR('Price History'!H3+(INDEX('Price History'!H:H,MATCH(9.99E+307,'Price History'!$A:$A))-'Price History'!H3)*(ROW()-3)/(MATCH(9.99E+307,'Returns (Calc)'!$A:$A)-3),"")</f>
        <v>68.7577215189874</v>
      </c>
      <c r="AD53" s="144" t="n">
        <f aca="false">IFERROR('Price History'!I3+(INDEX('Price History'!I:I,MATCH(9.99E+307,'Price History'!$A:$A))-'Price History'!I3)*(ROW()-3)/(MATCH(9.99E+307,'Returns (Calc)'!$A:$A)-3),"")</f>
        <v>30.3151898734177</v>
      </c>
      <c r="AE53" s="144" t="n">
        <f aca="false">IFERROR('Price History'!J3+(INDEX('Price History'!J:J,MATCH(9.99E+307,'Price History'!$A:$A))-'Price History'!J3)*(ROW()-3)/(MATCH(9.99E+307,'Returns (Calc)'!$A:$A)-3),"")</f>
        <v>47.239746835443</v>
      </c>
      <c r="AF53" s="144" t="n">
        <f aca="false">IFERROR('Price History'!K3+(INDEX('Price History'!K:K,MATCH(9.99E+307,'Price History'!$A:$A))-'Price History'!K3)*(ROW()-3)/(MATCH(9.99E+307,'Returns (Calc)'!$A:$A)-3),"")</f>
        <v>29.9187341772152</v>
      </c>
      <c r="AG53" s="144" t="n">
        <f aca="false">IFERROR('Price History'!L3+(INDEX('Price History'!L:L,MATCH(9.99E+307,'Price History'!$A:$A))-'Price History'!L3)*(ROW()-3)/(MATCH(9.99E+307,'Returns (Calc)'!$A:$A)-3),"")</f>
        <v>76.4475949367089</v>
      </c>
      <c r="AH53" s="144" t="n">
        <f aca="false">IFERROR('Price History'!M3+(INDEX('Price History'!M:M,MATCH(9.99E+307,'Price History'!$A:$A))-'Price History'!M3)*(ROW()-3)/(MATCH(9.99E+307,'Returns (Calc)'!$A:$A)-3),"")</f>
        <v>10.4787341772152</v>
      </c>
      <c r="AI53" s="144" t="n">
        <f aca="false">IFERROR('Price History'!N3+(INDEX('Price History'!N:N,MATCH(9.99E+307,'Price History'!$A:$A))-'Price History'!N3)*(ROW()-3)/(MATCH(9.99E+307,'Returns (Calc)'!$A:$A)-3),"")</f>
        <v>14.9012658227848</v>
      </c>
      <c r="AJ53" s="144" t="n">
        <f aca="false">IFERROR('Price History'!O3+(INDEX('Price History'!O:O,MATCH(9.99E+307,'Price History'!$A:$A))-'Price History'!O3)*(ROW()-3)/(MATCH(9.99E+307,'Returns (Calc)'!$A:$A)-3),"")</f>
        <v>39.3926582278481</v>
      </c>
      <c r="AK53" s="144" t="n">
        <f aca="false">IFERROR('Price History'!Q3+(INDEX('Price History'!Q:Q,MATCH(9.99E+307,'Price History'!$A:$A))-'Price History'!Q3)*(ROW()-3)/(MATCH(9.99E+307,'Returns (Calc)'!$A:$A)-3),"")</f>
        <v>161.063544303797</v>
      </c>
      <c r="AL53" s="144" t="n">
        <f aca="false">IFERROR('Price History'!R3+(INDEX('Price History'!R:R,MATCH(9.99E+307,'Price History'!$A:$A))-'Price History'!R3)*(ROW()-3)/(MATCH(9.99E+307,'Returns (Calc)'!$A:$A)-3),"")</f>
        <v>32.6870886075949</v>
      </c>
      <c r="AM53" s="144" t="n">
        <f aca="false">IFERROR('Price History'!S3+(INDEX('Price History'!S:S,MATCH(9.99E+307,'Price History'!$A:$A))-'Price History'!S3)*(ROW()-3)/(MATCH(9.99E+307,'Returns (Calc)'!$A:$A)-3),"")</f>
        <v>40.0146835443038</v>
      </c>
      <c r="AN53" s="144" t="n">
        <f aca="false">IFERROR('Price History'!T3+(INDEX('Price History'!T:T,MATCH(9.99E+307,'Price History'!$A:$A))-'Price History'!T3)*(ROW()-3)/(MATCH(9.99E+307,'Returns (Calc)'!$A:$A)-3),"")</f>
        <v>18.3941772151899</v>
      </c>
      <c r="AO53" s="145" t="n">
        <f aca="false">IFERROR('Price History'!V3+(INDEX('Price History'!V:V,MATCH(9.99E+307,'Price History'!$A:$A))-'Price History'!V3)*(ROW()-3)/(MATCH(9.99E+307,'Returns (Calc)'!$A:$A)-3),"")</f>
        <v>0</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0.0288329519450801</v>
      </c>
      <c r="G54" s="142" t="n">
        <f aca="false">IFERROR(IF(OR(NOT(ISNUMBER('Price History'!G55)),NOT(ISNUMBER('Price History'!G54)),'Price History'!G54=0),"",'Price History'!G55/'Price History'!G54-1),"")</f>
        <v>0.0516233766233767</v>
      </c>
      <c r="H54" s="142" t="n">
        <f aca="false">IFERROR(IF(OR(NOT(ISNUMBER('Price History'!H55)),NOT(ISNUMBER('Price History'!H54)),'Price History'!H54=0),"",'Price History'!H55/'Price History'!H54-1),"")</f>
        <v>0.0185369083085072</v>
      </c>
      <c r="I54" s="142" t="n">
        <f aca="false">IFERROR(IF(OR(NOT(ISNUMBER('Price History'!I55)),NOT(ISNUMBER('Price History'!I54)),'Price History'!I54=0),"",'Price History'!I55/'Price History'!I54-1),"")</f>
        <v>0.0693341037122635</v>
      </c>
      <c r="J54" s="142" t="n">
        <f aca="false">IFERROR(IF(OR(NOT(ISNUMBER('Price History'!J55)),NOT(ISNUMBER('Price History'!J54)),'Price History'!J54=0),"",'Price History'!J55/'Price History'!J54-1),"")</f>
        <v>0.0560344827586208</v>
      </c>
      <c r="K54" s="142" t="n">
        <f aca="false">IFERROR(IF(OR(NOT(ISNUMBER('Price History'!K55)),NOT(ISNUMBER('Price History'!K54)),'Price History'!K54=0),"",'Price History'!K55/'Price History'!K54-1),"")</f>
        <v>0.158264261335934</v>
      </c>
      <c r="L54" s="142" t="n">
        <f aca="false">IFERROR(IF(OR(NOT(ISNUMBER('Price History'!L55)),NOT(ISNUMBER('Price History'!L54)),'Price History'!L54=0),"",'Price History'!L55/'Price History'!L54-1),"")</f>
        <v>0.0215863878777618</v>
      </c>
      <c r="M54" s="142" t="n">
        <f aca="false">IFERROR(IF(OR(NOT(ISNUMBER('Price History'!M55)),NOT(ISNUMBER('Price History'!M54)),'Price History'!M54=0),"",'Price History'!M55/'Price History'!M54-1),"")</f>
        <v>0.173425651170458</v>
      </c>
      <c r="N54" s="142" t="n">
        <f aca="false">IFERROR(IF(OR(NOT(ISNUMBER('Price History'!N55)),NOT(ISNUMBER('Price History'!N54)),'Price History'!N54=0),"",'Price History'!N55/'Price History'!N54-1),"")</f>
        <v>0.0166600555335183</v>
      </c>
      <c r="O54" s="142" t="n">
        <f aca="false">IFERROR(IF(OR(NOT(ISNUMBER('Price History'!O55)),NOT(ISNUMBER('Price History'!O54)),'Price History'!O54=0),"",'Price History'!O55/'Price History'!O54-1),"")</f>
        <v>0.0615533745304737</v>
      </c>
      <c r="P54" s="142" t="n">
        <f aca="false">IFERROR(IF(OR(NOT(ISNUMBER('Price History'!P55)),NOT(ISNUMBER('Price History'!P54)),'Price History'!P54=0),"",'Price History'!P55/'Price History'!P54-1),"")</f>
        <v>0.104013641133264</v>
      </c>
      <c r="Q54" s="142" t="n">
        <f aca="false">IFERROR(IF(OR(NOT(ISNUMBER('Price History'!Q55)),NOT(ISNUMBER('Price History'!Q54)),'Price History'!Q54=0),"",'Price History'!Q55/'Price History'!Q54-1),"")</f>
        <v>0.028558971005014</v>
      </c>
      <c r="R54" s="142" t="n">
        <f aca="false">IFERROR(IF(OR(NOT(ISNUMBER('Price History'!R55)),NOT(ISNUMBER('Price History'!R54)),'Price History'!R54=0),"",'Price History'!R55/'Price History'!R54-1),"")</f>
        <v>0.00293312475557284</v>
      </c>
      <c r="S54" s="142" t="n">
        <f aca="false">IFERROR(IF(OR(NOT(ISNUMBER('Price History'!S55)),NOT(ISNUMBER('Price History'!S54)),'Price History'!S54=0),"",'Price History'!S55/'Price History'!S54-1),"")</f>
        <v>0.0172749391727494</v>
      </c>
      <c r="T54" s="142" t="n">
        <f aca="false">IFERROR(IF(OR(NOT(ISNUMBER('Price History'!T55)),NOT(ISNUMBER('Price History'!T54)),'Price History'!T54=0),"",'Price History'!T55/'Price History'!T54-1),"")</f>
        <v>-0.00158328055731471</v>
      </c>
      <c r="U54" s="142" t="str">
        <f aca="false">IFERROR(IF(OR(NOT(ISNUMBER('Price History'!U55)),NOT(ISNUMBER('Price History'!U54)),'Price History'!U54=0),"",'Price History'!U55/'Price History'!U54-1),"")</f>
        <v/>
      </c>
      <c r="V54" s="143" t="n">
        <f aca="false">IFERROR(IF(OR(NOT(ISNUMBER('Price History'!V55)),NOT(ISNUMBER('Price History'!V54)),'Price History'!V54=0),"",'Price History'!V55/'Price History'!V54-1),"")</f>
        <v>-0.0236550934757727</v>
      </c>
      <c r="W54" s="144" t="str">
        <f aca="false">IFERROR('Price History'!B3+(INDEX('Price History'!B:B,MATCH(9.99E+307,'Price History'!$A:$A))-'Price History'!B3)*(ROW()-3)/(MATCH(9.99E+307,'Returns (Calc)'!$A:$A)-3),"")</f>
        <v/>
      </c>
      <c r="X54" s="144" t="n">
        <f aca="false">IFERROR('Price History'!C3+(INDEX('Price History'!C:C,MATCH(9.99E+307,'Price History'!$A:$A))-'Price History'!C3)*(ROW()-3)/(MATCH(9.99E+307,'Returns (Calc)'!$A:$A)-3),"")</f>
        <v>31.2737974683544</v>
      </c>
      <c r="Y54" s="144" t="n">
        <f aca="false">IFERROR('Price History'!D3+(INDEX('Price History'!D:D,MATCH(9.99E+307,'Price History'!$A:$A))-'Price History'!D3)*(ROW()-3)/(MATCH(9.99E+307,'Returns (Calc)'!$A:$A)-3),"")</f>
        <v>394.146012658228</v>
      </c>
      <c r="Z54" s="144" t="n">
        <f aca="false">IFERROR('Price History'!E3+(INDEX('Price History'!E:E,MATCH(9.99E+307,'Price History'!$A:$A))-'Price History'!E3)*(ROW()-3)/(MATCH(9.99E+307,'Returns (Calc)'!$A:$A)-3),"")</f>
        <v>55.5316455696203</v>
      </c>
      <c r="AA54" s="144" t="n">
        <f aca="false">IFERROR('Price History'!F3+(INDEX('Price History'!F:F,MATCH(9.99E+307,'Price History'!$A:$A))-'Price History'!F3)*(ROW()-3)/(MATCH(9.99E+307,'Returns (Calc)'!$A:$A)-3),"")</f>
        <v>51.0010759493671</v>
      </c>
      <c r="AB54" s="144" t="n">
        <f aca="false">IFERROR('Price History'!G3+(INDEX('Price History'!G:G,MATCH(9.99E+307,'Price History'!$A:$A))-'Price History'!G3)*(ROW()-3)/(MATCH(9.99E+307,'Returns (Calc)'!$A:$A)-3),"")</f>
        <v>28.0096202531646</v>
      </c>
      <c r="AC54" s="144" t="n">
        <f aca="false">IFERROR('Price History'!H3+(INDEX('Price History'!H:H,MATCH(9.99E+307,'Price History'!$A:$A))-'Price History'!H3)*(ROW()-3)/(MATCH(9.99E+307,'Returns (Calc)'!$A:$A)-3),"")</f>
        <v>68.1210759493671</v>
      </c>
      <c r="AD54" s="144" t="n">
        <f aca="false">IFERROR('Price History'!I3+(INDEX('Price History'!I:I,MATCH(9.99E+307,'Price History'!$A:$A))-'Price History'!I3)*(ROW()-3)/(MATCH(9.99E+307,'Returns (Calc)'!$A:$A)-3),"")</f>
        <v>30.0344936708861</v>
      </c>
      <c r="AE54" s="144" t="n">
        <f aca="false">IFERROR('Price History'!J3+(INDEX('Price History'!J:J,MATCH(9.99E+307,'Price History'!$A:$A))-'Price History'!J3)*(ROW()-3)/(MATCH(9.99E+307,'Returns (Calc)'!$A:$A)-3),"")</f>
        <v>46.8023417721519</v>
      </c>
      <c r="AF54" s="144" t="n">
        <f aca="false">IFERROR('Price History'!K3+(INDEX('Price History'!K:K,MATCH(9.99E+307,'Price History'!$A:$A))-'Price History'!K3)*(ROW()-3)/(MATCH(9.99E+307,'Returns (Calc)'!$A:$A)-3),"")</f>
        <v>29.6417088607595</v>
      </c>
      <c r="AG54" s="144" t="n">
        <f aca="false">IFERROR('Price History'!L3+(INDEX('Price History'!L:L,MATCH(9.99E+307,'Price History'!$A:$A))-'Price History'!L3)*(ROW()-3)/(MATCH(9.99E+307,'Returns (Calc)'!$A:$A)-3),"")</f>
        <v>75.739746835443</v>
      </c>
      <c r="AH54" s="144" t="n">
        <f aca="false">IFERROR('Price History'!M3+(INDEX('Price History'!M:M,MATCH(9.99E+307,'Price History'!$A:$A))-'Price History'!M3)*(ROW()-3)/(MATCH(9.99E+307,'Returns (Calc)'!$A:$A)-3),"")</f>
        <v>10.3817088607595</v>
      </c>
      <c r="AI54" s="144" t="n">
        <f aca="false">IFERROR('Price History'!N3+(INDEX('Price History'!N:N,MATCH(9.99E+307,'Price History'!$A:$A))-'Price History'!N3)*(ROW()-3)/(MATCH(9.99E+307,'Returns (Calc)'!$A:$A)-3),"")</f>
        <v>14.7632911392405</v>
      </c>
      <c r="AJ54" s="144" t="n">
        <f aca="false">IFERROR('Price History'!O3+(INDEX('Price History'!O:O,MATCH(9.99E+307,'Price History'!$A:$A))-'Price History'!O3)*(ROW()-3)/(MATCH(9.99E+307,'Returns (Calc)'!$A:$A)-3),"")</f>
        <v>39.0279113924051</v>
      </c>
      <c r="AK54" s="144" t="n">
        <f aca="false">IFERROR('Price History'!Q3+(INDEX('Price History'!Q:Q,MATCH(9.99E+307,'Price History'!$A:$A))-'Price History'!Q3)*(ROW()-3)/(MATCH(9.99E+307,'Returns (Calc)'!$A:$A)-3),"")</f>
        <v>159.572215189873</v>
      </c>
      <c r="AL54" s="144" t="n">
        <f aca="false">IFERROR('Price History'!R3+(INDEX('Price History'!R:R,MATCH(9.99E+307,'Price History'!$A:$A))-'Price History'!R3)*(ROW()-3)/(MATCH(9.99E+307,'Returns (Calc)'!$A:$A)-3),"")</f>
        <v>32.3844303797468</v>
      </c>
      <c r="AM54" s="144" t="n">
        <f aca="false">IFERROR('Price History'!S3+(INDEX('Price History'!S:S,MATCH(9.99E+307,'Price History'!$A:$A))-'Price History'!S3)*(ROW()-3)/(MATCH(9.99E+307,'Returns (Calc)'!$A:$A)-3),"")</f>
        <v>39.6441772151899</v>
      </c>
      <c r="AN54" s="144" t="n">
        <f aca="false">IFERROR('Price History'!T3+(INDEX('Price History'!T:T,MATCH(9.99E+307,'Price History'!$A:$A))-'Price History'!T3)*(ROW()-3)/(MATCH(9.99E+307,'Returns (Calc)'!$A:$A)-3),"")</f>
        <v>18.2238607594937</v>
      </c>
      <c r="AO54" s="145" t="n">
        <f aca="false">IFERROR('Price History'!V3+(INDEX('Price History'!V:V,MATCH(9.99E+307,'Price History'!$A:$A))-'Price History'!V3)*(ROW()-3)/(MATCH(9.99E+307,'Returns (Calc)'!$A:$A)-3),"")</f>
        <v>0</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0.0302491103202847</v>
      </c>
      <c r="G55" s="142" t="n">
        <f aca="false">IFERROR(IF(OR(NOT(ISNUMBER('Price History'!G56)),NOT(ISNUMBER('Price History'!G55)),'Price History'!G55=0),"",'Price History'!G56/'Price History'!G55-1),"")</f>
        <v>0.157147267675208</v>
      </c>
      <c r="H55" s="142" t="n">
        <f aca="false">IFERROR(IF(OR(NOT(ISNUMBER('Price History'!H56)),NOT(ISNUMBER('Price History'!H55)),'Price History'!H55=0),"",'Price History'!H56/'Price History'!H55-1),"")</f>
        <v>0.0121059473513161</v>
      </c>
      <c r="I55" s="142" t="n">
        <f aca="false">IFERROR(IF(OR(NOT(ISNUMBER('Price History'!I56)),NOT(ISNUMBER('Price History'!I55)),'Price History'!I55=0),"",'Price History'!I56/'Price History'!I55-1),"")</f>
        <v>0.00986086721599366</v>
      </c>
      <c r="J55" s="142" t="n">
        <f aca="false">IFERROR(IF(OR(NOT(ISNUMBER('Price History'!J56)),NOT(ISNUMBER('Price History'!J55)),'Price History'!J55=0),"",'Price History'!J56/'Price History'!J55-1),"")</f>
        <v>-0.00353006067291795</v>
      </c>
      <c r="K55" s="142" t="n">
        <f aca="false">IFERROR(IF(OR(NOT(ISNUMBER('Price History'!K56)),NOT(ISNUMBER('Price History'!K55)),'Price History'!K55=0),"",'Price History'!K56/'Price History'!K55-1),"")</f>
        <v>-0.0260144805522815</v>
      </c>
      <c r="L55" s="142" t="n">
        <f aca="false">IFERROR(IF(OR(NOT(ISNUMBER('Price History'!L56)),NOT(ISNUMBER('Price History'!L55)),'Price History'!L55=0),"",'Price History'!L56/'Price History'!L55-1),"")</f>
        <v>-0.0275107722903547</v>
      </c>
      <c r="M55" s="142" t="n">
        <f aca="false">IFERROR(IF(OR(NOT(ISNUMBER('Price History'!M56)),NOT(ISNUMBER('Price History'!M55)),'Price History'!M55=0),"",'Price History'!M56/'Price History'!M55-1),"")</f>
        <v>0.0452374262433268</v>
      </c>
      <c r="N55" s="142" t="n">
        <f aca="false">IFERROR(IF(OR(NOT(ISNUMBER('Price History'!N56)),NOT(ISNUMBER('Price History'!N55)),'Price History'!N55=0),"",'Price History'!N56/'Price History'!N55-1),"")</f>
        <v>0.0132657042528288</v>
      </c>
      <c r="O55" s="142" t="n">
        <f aca="false">IFERROR(IF(OR(NOT(ISNUMBER('Price History'!O56)),NOT(ISNUMBER('Price History'!O55)),'Price History'!O55=0),"",'Price History'!O56/'Price History'!O55-1),"")</f>
        <v>0.0162081954114828</v>
      </c>
      <c r="P55" s="142" t="n">
        <f aca="false">IFERROR(IF(OR(NOT(ISNUMBER('Price History'!P56)),NOT(ISNUMBER('Price History'!P55)),'Price History'!P55=0),"",'Price History'!P56/'Price History'!P55-1),"")</f>
        <v>0.00920755613639046</v>
      </c>
      <c r="Q55" s="142" t="n">
        <f aca="false">IFERROR(IF(OR(NOT(ISNUMBER('Price History'!Q56)),NOT(ISNUMBER('Price History'!Q55)),'Price History'!Q55=0),"",'Price History'!Q56/'Price History'!Q55-1),"")</f>
        <v>-0.00897272855729814</v>
      </c>
      <c r="R55" s="142" t="n">
        <f aca="false">IFERROR(IF(OR(NOT(ISNUMBER('Price History'!R56)),NOT(ISNUMBER('Price History'!R55)),'Price History'!R55=0),"",'Price History'!R56/'Price History'!R55-1),"")</f>
        <v>0.0421134724117762</v>
      </c>
      <c r="S55" s="142" t="n">
        <f aca="false">IFERROR(IF(OR(NOT(ISNUMBER('Price History'!S56)),NOT(ISNUMBER('Price History'!S55)),'Price History'!S55=0),"",'Price History'!S56/'Price History'!S55-1),"")</f>
        <v>0.0570437694331498</v>
      </c>
      <c r="T55" s="142" t="n">
        <f aca="false">IFERROR(IF(OR(NOT(ISNUMBER('Price History'!T56)),NOT(ISNUMBER('Price History'!T55)),'Price History'!T55=0),"",'Price History'!T56/'Price History'!T55-1),"")</f>
        <v>0.0161750713606088</v>
      </c>
      <c r="U55" s="142" t="str">
        <f aca="false">IFERROR(IF(OR(NOT(ISNUMBER('Price History'!U56)),NOT(ISNUMBER('Price History'!U55)),'Price History'!U55=0),"",'Price History'!U56/'Price History'!U55-1),"")</f>
        <v/>
      </c>
      <c r="V55" s="143" t="n">
        <f aca="false">IFERROR(IF(OR(NOT(ISNUMBER('Price History'!V56)),NOT(ISNUMBER('Price History'!V55)),'Price History'!V55=0),"",'Price History'!V56/'Price History'!V55-1),"")</f>
        <v>0.0293474013286441</v>
      </c>
      <c r="W55" s="144" t="str">
        <f aca="false">IFERROR('Price History'!B3+(INDEX('Price History'!B:B,MATCH(9.99E+307,'Price History'!$A:$A))-'Price History'!B3)*(ROW()-3)/(MATCH(9.99E+307,'Returns (Calc)'!$A:$A)-3),"")</f>
        <v/>
      </c>
      <c r="X55" s="144" t="n">
        <f aca="false">IFERROR('Price History'!C3+(INDEX('Price History'!C:C,MATCH(9.99E+307,'Price History'!$A:$A))-'Price History'!C3)*(ROW()-3)/(MATCH(9.99E+307,'Returns (Calc)'!$A:$A)-3),"")</f>
        <v>30.9815189873418</v>
      </c>
      <c r="Y55" s="144" t="n">
        <f aca="false">IFERROR('Price History'!D3+(INDEX('Price History'!D:D,MATCH(9.99E+307,'Price History'!$A:$A))-'Price History'!D3)*(ROW()-3)/(MATCH(9.99E+307,'Returns (Calc)'!$A:$A)-3),"")</f>
        <v>390.462405063291</v>
      </c>
      <c r="Z55" s="144" t="n">
        <f aca="false">IFERROR('Price History'!E3+(INDEX('Price History'!E:E,MATCH(9.99E+307,'Price History'!$A:$A))-'Price History'!E3)*(ROW()-3)/(MATCH(9.99E+307,'Returns (Calc)'!$A:$A)-3),"")</f>
        <v>55.0126582278481</v>
      </c>
      <c r="AA55" s="144" t="n">
        <f aca="false">IFERROR('Price History'!F3+(INDEX('Price History'!F:F,MATCH(9.99E+307,'Price History'!$A:$A))-'Price History'!F3)*(ROW()-3)/(MATCH(9.99E+307,'Returns (Calc)'!$A:$A)-3),"")</f>
        <v>50.5244303797468</v>
      </c>
      <c r="AB55" s="144" t="n">
        <f aca="false">IFERROR('Price History'!G3+(INDEX('Price History'!G:G,MATCH(9.99E+307,'Price History'!$A:$A))-'Price History'!G3)*(ROW()-3)/(MATCH(9.99E+307,'Returns (Calc)'!$A:$A)-3),"")</f>
        <v>27.7478481012658</v>
      </c>
      <c r="AC55" s="144" t="n">
        <f aca="false">IFERROR('Price History'!H3+(INDEX('Price History'!H:H,MATCH(9.99E+307,'Price History'!$A:$A))-'Price History'!H3)*(ROW()-3)/(MATCH(9.99E+307,'Returns (Calc)'!$A:$A)-3),"")</f>
        <v>67.4844303797468</v>
      </c>
      <c r="AD55" s="144" t="n">
        <f aca="false">IFERROR('Price History'!I3+(INDEX('Price History'!I:I,MATCH(9.99E+307,'Price History'!$A:$A))-'Price History'!I3)*(ROW()-3)/(MATCH(9.99E+307,'Returns (Calc)'!$A:$A)-3),"")</f>
        <v>29.7537974683544</v>
      </c>
      <c r="AE55" s="144" t="n">
        <f aca="false">IFERROR('Price History'!J3+(INDEX('Price History'!J:J,MATCH(9.99E+307,'Price History'!$A:$A))-'Price History'!J3)*(ROW()-3)/(MATCH(9.99E+307,'Returns (Calc)'!$A:$A)-3),"")</f>
        <v>46.3649367088608</v>
      </c>
      <c r="AF55" s="144" t="n">
        <f aca="false">IFERROR('Price History'!K3+(INDEX('Price History'!K:K,MATCH(9.99E+307,'Price History'!$A:$A))-'Price History'!K3)*(ROW()-3)/(MATCH(9.99E+307,'Returns (Calc)'!$A:$A)-3),"")</f>
        <v>29.3646835443038</v>
      </c>
      <c r="AG55" s="144" t="n">
        <f aca="false">IFERROR('Price History'!L3+(INDEX('Price History'!L:L,MATCH(9.99E+307,'Price History'!$A:$A))-'Price History'!L3)*(ROW()-3)/(MATCH(9.99E+307,'Returns (Calc)'!$A:$A)-3),"")</f>
        <v>75.0318987341772</v>
      </c>
      <c r="AH55" s="144" t="n">
        <f aca="false">IFERROR('Price History'!M3+(INDEX('Price History'!M:M,MATCH(9.99E+307,'Price History'!$A:$A))-'Price History'!M3)*(ROW()-3)/(MATCH(9.99E+307,'Returns (Calc)'!$A:$A)-3),"")</f>
        <v>10.2846835443038</v>
      </c>
      <c r="AI55" s="144" t="n">
        <f aca="false">IFERROR('Price History'!N3+(INDEX('Price History'!N:N,MATCH(9.99E+307,'Price History'!$A:$A))-'Price History'!N3)*(ROW()-3)/(MATCH(9.99E+307,'Returns (Calc)'!$A:$A)-3),"")</f>
        <v>14.6253164556962</v>
      </c>
      <c r="AJ55" s="144" t="n">
        <f aca="false">IFERROR('Price History'!O3+(INDEX('Price History'!O:O,MATCH(9.99E+307,'Price History'!$A:$A))-'Price History'!O3)*(ROW()-3)/(MATCH(9.99E+307,'Returns (Calc)'!$A:$A)-3),"")</f>
        <v>38.663164556962</v>
      </c>
      <c r="AK55" s="144" t="n">
        <f aca="false">IFERROR('Price History'!Q3+(INDEX('Price History'!Q:Q,MATCH(9.99E+307,'Price History'!$A:$A))-'Price History'!Q3)*(ROW()-3)/(MATCH(9.99E+307,'Returns (Calc)'!$A:$A)-3),"")</f>
        <v>158.080886075949</v>
      </c>
      <c r="AL55" s="144" t="n">
        <f aca="false">IFERROR('Price History'!R3+(INDEX('Price History'!R:R,MATCH(9.99E+307,'Price History'!$A:$A))-'Price History'!R3)*(ROW()-3)/(MATCH(9.99E+307,'Returns (Calc)'!$A:$A)-3),"")</f>
        <v>32.0817721518987</v>
      </c>
      <c r="AM55" s="144" t="n">
        <f aca="false">IFERROR('Price History'!S3+(INDEX('Price History'!S:S,MATCH(9.99E+307,'Price History'!$A:$A))-'Price History'!S3)*(ROW()-3)/(MATCH(9.99E+307,'Returns (Calc)'!$A:$A)-3),"")</f>
        <v>39.273670886076</v>
      </c>
      <c r="AN55" s="144" t="n">
        <f aca="false">IFERROR('Price History'!T3+(INDEX('Price History'!T:T,MATCH(9.99E+307,'Price History'!$A:$A))-'Price History'!T3)*(ROW()-3)/(MATCH(9.99E+307,'Returns (Calc)'!$A:$A)-3),"")</f>
        <v>18.0535443037975</v>
      </c>
      <c r="AO55" s="145" t="n">
        <f aca="false">IFERROR('Price History'!V3+(INDEX('Price History'!V:V,MATCH(9.99E+307,'Price History'!$A:$A))-'Price History'!V3)*(ROW()-3)/(MATCH(9.99E+307,'Returns (Calc)'!$A:$A)-3),"")</f>
        <v>0</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0.000431778929188331</v>
      </c>
      <c r="G56" s="142" t="n">
        <f aca="false">IFERROR(IF(OR(NOT(ISNUMBER('Price History'!G57)),NOT(ISNUMBER('Price History'!G56)),'Price History'!G56=0),"",'Price History'!G57/'Price History'!G56-1),"")</f>
        <v>-0.0466915688367129</v>
      </c>
      <c r="H56" s="142" t="n">
        <f aca="false">IFERROR(IF(OR(NOT(ISNUMBER('Price History'!H57)),NOT(ISNUMBER('Price History'!H56)),'Price History'!H56=0),"",'Price History'!H57/'Price History'!H56-1),"")</f>
        <v>0.00770651039576142</v>
      </c>
      <c r="I56" s="142" t="n">
        <f aca="false">IFERROR(IF(OR(NOT(ISNUMBER('Price History'!I57)),NOT(ISNUMBER('Price History'!I56)),'Price History'!I56=0),"",'Price History'!I57/'Price History'!I56-1),"")</f>
        <v>0.0310326377742107</v>
      </c>
      <c r="J56" s="142" t="n">
        <f aca="false">IFERROR(IF(OR(NOT(ISNUMBER('Price History'!J57)),NOT(ISNUMBER('Price History'!J56)),'Price History'!J56=0),"",'Price History'!J57/'Price History'!J56-1),"")</f>
        <v>0.182663566921289</v>
      </c>
      <c r="K56" s="142" t="n">
        <f aca="false">IFERROR(IF(OR(NOT(ISNUMBER('Price History'!K57)),NOT(ISNUMBER('Price History'!K56)),'Price History'!K56=0),"",'Price History'!K57/'Price History'!K56-1),"")</f>
        <v>0.0465900250669893</v>
      </c>
      <c r="L56" s="142" t="n">
        <f aca="false">IFERROR(IF(OR(NOT(ISNUMBER('Price History'!L57)),NOT(ISNUMBER('Price History'!L56)),'Price History'!L56=0),"",'Price History'!L57/'Price History'!L56-1),"")</f>
        <v>0.000937286980231766</v>
      </c>
      <c r="M56" s="142" t="n">
        <f aca="false">IFERROR(IF(OR(NOT(ISNUMBER('Price History'!M57)),NOT(ISNUMBER('Price History'!M56)),'Price History'!M56=0),"",'Price History'!M57/'Price History'!M56-1),"")</f>
        <v>-0.00967741935483868</v>
      </c>
      <c r="N56" s="142" t="n">
        <f aca="false">IFERROR(IF(OR(NOT(ISNUMBER('Price History'!N57)),NOT(ISNUMBER('Price History'!N56)),'Price History'!N56=0),"",'Price History'!N57/'Price History'!N56-1),"")</f>
        <v>0.00616095494801705</v>
      </c>
      <c r="O56" s="142" t="n">
        <f aca="false">IFERROR(IF(OR(NOT(ISNUMBER('Price History'!O57)),NOT(ISNUMBER('Price History'!O56)),'Price History'!O56=0),"",'Price History'!O57/'Price History'!O56-1),"")</f>
        <v>-0.00134786027181855</v>
      </c>
      <c r="P56" s="142" t="n">
        <f aca="false">IFERROR(IF(OR(NOT(ISNUMBER('Price History'!P57)),NOT(ISNUMBER('Price History'!P56)),'Price History'!P56=0),"",'Price History'!P57/'Price History'!P56-1),"")</f>
        <v>0.0223085525928544</v>
      </c>
      <c r="Q56" s="142" t="n">
        <f aca="false">IFERROR(IF(OR(NOT(ISNUMBER('Price History'!Q57)),NOT(ISNUMBER('Price History'!Q56)),'Price History'!Q56=0),"",'Price History'!Q57/'Price History'!Q56-1),"")</f>
        <v>-0.0337206815427391</v>
      </c>
      <c r="R56" s="142" t="n">
        <f aca="false">IFERROR(IF(OR(NOT(ISNUMBER('Price History'!R57)),NOT(ISNUMBER('Price History'!R56)),'Price History'!R56=0),"",'Price History'!R57/'Price History'!R56-1),"")</f>
        <v>0.00841908325537877</v>
      </c>
      <c r="S56" s="142" t="n">
        <f aca="false">IFERROR(IF(OR(NOT(ISNUMBER('Price History'!S57)),NOT(ISNUMBER('Price History'!S56)),'Price History'!S56=0),"",'Price History'!S57/'Price History'!S56-1),"")</f>
        <v>0.0138024663423464</v>
      </c>
      <c r="T56" s="142" t="n">
        <f aca="false">IFERROR(IF(OR(NOT(ISNUMBER('Price History'!T57)),NOT(ISNUMBER('Price History'!T56)),'Price History'!T56=0),"",'Price History'!T57/'Price History'!T56-1),"")</f>
        <v>0.0327715355805245</v>
      </c>
      <c r="U56" s="142" t="str">
        <f aca="false">IFERROR(IF(OR(NOT(ISNUMBER('Price History'!U57)),NOT(ISNUMBER('Price History'!U56)),'Price History'!U56=0),"",'Price History'!U57/'Price History'!U56-1),"")</f>
        <v/>
      </c>
      <c r="V56" s="143" t="n">
        <f aca="false">IFERROR(IF(OR(NOT(ISNUMBER('Price History'!V57)),NOT(ISNUMBER('Price History'!V56)),'Price History'!V56=0),"",'Price History'!V57/'Price History'!V56-1),"")</f>
        <v>0.000227781785050007</v>
      </c>
      <c r="W56" s="144" t="str">
        <f aca="false">IFERROR('Price History'!B3+(INDEX('Price History'!B:B,MATCH(9.99E+307,'Price History'!$A:$A))-'Price History'!B3)*(ROW()-3)/(MATCH(9.99E+307,'Returns (Calc)'!$A:$A)-3),"")</f>
        <v/>
      </c>
      <c r="X56" s="144" t="n">
        <f aca="false">IFERROR('Price History'!C3+(INDEX('Price History'!C:C,MATCH(9.99E+307,'Price History'!$A:$A))-'Price History'!C3)*(ROW()-3)/(MATCH(9.99E+307,'Returns (Calc)'!$A:$A)-3),"")</f>
        <v>30.6892405063291</v>
      </c>
      <c r="Y56" s="144" t="n">
        <f aca="false">IFERROR('Price History'!D3+(INDEX('Price History'!D:D,MATCH(9.99E+307,'Price History'!$A:$A))-'Price History'!D3)*(ROW()-3)/(MATCH(9.99E+307,'Returns (Calc)'!$A:$A)-3),"")</f>
        <v>386.778797468354</v>
      </c>
      <c r="Z56" s="144" t="n">
        <f aca="false">IFERROR('Price History'!E3+(INDEX('Price History'!E:E,MATCH(9.99E+307,'Price History'!$A:$A))-'Price History'!E3)*(ROW()-3)/(MATCH(9.99E+307,'Returns (Calc)'!$A:$A)-3),"")</f>
        <v>54.493670886076</v>
      </c>
      <c r="AA56" s="144" t="n">
        <f aca="false">IFERROR('Price History'!F3+(INDEX('Price History'!F:F,MATCH(9.99E+307,'Price History'!$A:$A))-'Price History'!F3)*(ROW()-3)/(MATCH(9.99E+307,'Returns (Calc)'!$A:$A)-3),"")</f>
        <v>50.0477848101266</v>
      </c>
      <c r="AB56" s="144" t="n">
        <f aca="false">IFERROR('Price History'!G3+(INDEX('Price History'!G:G,MATCH(9.99E+307,'Price History'!$A:$A))-'Price History'!G3)*(ROW()-3)/(MATCH(9.99E+307,'Returns (Calc)'!$A:$A)-3),"")</f>
        <v>27.4860759493671</v>
      </c>
      <c r="AC56" s="144" t="n">
        <f aca="false">IFERROR('Price History'!H3+(INDEX('Price History'!H:H,MATCH(9.99E+307,'Price History'!$A:$A))-'Price History'!H3)*(ROW()-3)/(MATCH(9.99E+307,'Returns (Calc)'!$A:$A)-3),"")</f>
        <v>66.8477848101266</v>
      </c>
      <c r="AD56" s="144" t="n">
        <f aca="false">IFERROR('Price History'!I3+(INDEX('Price History'!I:I,MATCH(9.99E+307,'Price History'!$A:$A))-'Price History'!I3)*(ROW()-3)/(MATCH(9.99E+307,'Returns (Calc)'!$A:$A)-3),"")</f>
        <v>29.4731012658228</v>
      </c>
      <c r="AE56" s="144" t="n">
        <f aca="false">IFERROR('Price History'!J3+(INDEX('Price History'!J:J,MATCH(9.99E+307,'Price History'!$A:$A))-'Price History'!J3)*(ROW()-3)/(MATCH(9.99E+307,'Returns (Calc)'!$A:$A)-3),"")</f>
        <v>45.9275316455696</v>
      </c>
      <c r="AF56" s="144" t="n">
        <f aca="false">IFERROR('Price History'!K3+(INDEX('Price History'!K:K,MATCH(9.99E+307,'Price History'!$A:$A))-'Price History'!K3)*(ROW()-3)/(MATCH(9.99E+307,'Returns (Calc)'!$A:$A)-3),"")</f>
        <v>29.0876582278481</v>
      </c>
      <c r="AG56" s="144" t="n">
        <f aca="false">IFERROR('Price History'!L3+(INDEX('Price History'!L:L,MATCH(9.99E+307,'Price History'!$A:$A))-'Price History'!L3)*(ROW()-3)/(MATCH(9.99E+307,'Returns (Calc)'!$A:$A)-3),"")</f>
        <v>74.3240506329114</v>
      </c>
      <c r="AH56" s="144" t="n">
        <f aca="false">IFERROR('Price History'!M3+(INDEX('Price History'!M:M,MATCH(9.99E+307,'Price History'!$A:$A))-'Price History'!M3)*(ROW()-3)/(MATCH(9.99E+307,'Returns (Calc)'!$A:$A)-3),"")</f>
        <v>10.1876582278481</v>
      </c>
      <c r="AI56" s="144" t="n">
        <f aca="false">IFERROR('Price History'!N3+(INDEX('Price History'!N:N,MATCH(9.99E+307,'Price History'!$A:$A))-'Price History'!N3)*(ROW()-3)/(MATCH(9.99E+307,'Returns (Calc)'!$A:$A)-3),"")</f>
        <v>14.4873417721519</v>
      </c>
      <c r="AJ56" s="144" t="n">
        <f aca="false">IFERROR('Price History'!O3+(INDEX('Price History'!O:O,MATCH(9.99E+307,'Price History'!$A:$A))-'Price History'!O3)*(ROW()-3)/(MATCH(9.99E+307,'Returns (Calc)'!$A:$A)-3),"")</f>
        <v>38.298417721519</v>
      </c>
      <c r="AK56" s="144" t="n">
        <f aca="false">IFERROR('Price History'!Q3+(INDEX('Price History'!Q:Q,MATCH(9.99E+307,'Price History'!$A:$A))-'Price History'!Q3)*(ROW()-3)/(MATCH(9.99E+307,'Returns (Calc)'!$A:$A)-3),"")</f>
        <v>156.589556962025</v>
      </c>
      <c r="AL56" s="144" t="n">
        <f aca="false">IFERROR('Price History'!R3+(INDEX('Price History'!R:R,MATCH(9.99E+307,'Price History'!$A:$A))-'Price History'!R3)*(ROW()-3)/(MATCH(9.99E+307,'Returns (Calc)'!$A:$A)-3),"")</f>
        <v>31.7791139240506</v>
      </c>
      <c r="AM56" s="144" t="n">
        <f aca="false">IFERROR('Price History'!S3+(INDEX('Price History'!S:S,MATCH(9.99E+307,'Price History'!$A:$A))-'Price History'!S3)*(ROW()-3)/(MATCH(9.99E+307,'Returns (Calc)'!$A:$A)-3),"")</f>
        <v>38.903164556962</v>
      </c>
      <c r="AN56" s="144" t="n">
        <f aca="false">IFERROR('Price History'!T3+(INDEX('Price History'!T:T,MATCH(9.99E+307,'Price History'!$A:$A))-'Price History'!T3)*(ROW()-3)/(MATCH(9.99E+307,'Returns (Calc)'!$A:$A)-3),"")</f>
        <v>17.8832278481013</v>
      </c>
      <c r="AO56" s="145" t="n">
        <f aca="false">IFERROR('Price History'!V3+(INDEX('Price History'!V:V,MATCH(9.99E+307,'Price History'!$A:$A))-'Price History'!V3)*(ROW()-3)/(MATCH(9.99E+307,'Returns (Calc)'!$A:$A)-3),"")</f>
        <v>0</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0.00280535174794982</v>
      </c>
      <c r="G57" s="142" t="n">
        <f aca="false">IFERROR(IF(OR(NOT(ISNUMBER('Price History'!G58)),NOT(ISNUMBER('Price History'!G57)),'Price History'!G57=0),"",'Price History'!G58/'Price History'!G57-1),"")</f>
        <v>0.0223901483347329</v>
      </c>
      <c r="H57" s="142" t="n">
        <f aca="false">IFERROR(IF(OR(NOT(ISNUMBER('Price History'!H58)),NOT(ISNUMBER('Price History'!H57)),'Price History'!H57=0),"",'Price History'!H58/'Price History'!H57-1),"")</f>
        <v>-0.00398311160678722</v>
      </c>
      <c r="I57" s="142" t="n">
        <f aca="false">IFERROR(IF(OR(NOT(ISNUMBER('Price History'!I58)),NOT(ISNUMBER('Price History'!I57)),'Price History'!I57=0),"",'Price History'!I58/'Price History'!I57-1),"")</f>
        <v>0.0063570316554229</v>
      </c>
      <c r="J57" s="142" t="n">
        <f aca="false">IFERROR(IF(OR(NOT(ISNUMBER('Price History'!J58)),NOT(ISNUMBER('Price History'!J57)),'Price History'!J57=0),"",'Price History'!J58/'Price History'!J57-1),"")</f>
        <v>-0.0488626790227464</v>
      </c>
      <c r="K57" s="142" t="n">
        <f aca="false">IFERROR(IF(OR(NOT(ISNUMBER('Price History'!K58)),NOT(ISNUMBER('Price History'!K57)),'Price History'!K57=0),"",'Price History'!K58/'Price History'!K57-1),"")</f>
        <v>0.0289890981169476</v>
      </c>
      <c r="L57" s="142" t="n">
        <f aca="false">IFERROR(IF(OR(NOT(ISNUMBER('Price History'!L58)),NOT(ISNUMBER('Price History'!L57)),'Price History'!L57=0),"",'Price History'!L58/'Price History'!L57-1),"")</f>
        <v>-0.0251979228739252</v>
      </c>
      <c r="M57" s="142" t="n">
        <f aca="false">IFERROR(IF(OR(NOT(ISNUMBER('Price History'!M58)),NOT(ISNUMBER('Price History'!M57)),'Price History'!M57=0),"",'Price History'!M58/'Price History'!M57-1),"")</f>
        <v>0.0860477741585233</v>
      </c>
      <c r="N57" s="142" t="n">
        <f aca="false">IFERROR(IF(OR(NOT(ISNUMBER('Price History'!N58)),NOT(ISNUMBER('Price History'!N57)),'Price History'!N57=0),"",'Price History'!N58/'Price History'!N57-1),"")</f>
        <v>0.00497512437810954</v>
      </c>
      <c r="O57" s="142" t="n">
        <f aca="false">IFERROR(IF(OR(NOT(ISNUMBER('Price History'!O58)),NOT(ISNUMBER('Price History'!O57)),'Price History'!O57=0),"",'Price History'!O58/'Price History'!O57-1),"")</f>
        <v>0.014958947250028</v>
      </c>
      <c r="P57" s="142" t="n">
        <f aca="false">IFERROR(IF(OR(NOT(ISNUMBER('Price History'!P58)),NOT(ISNUMBER('Price History'!P57)),'Price History'!P57=0),"",'Price History'!P58/'Price History'!P57-1),"")</f>
        <v>0.0179640718562875</v>
      </c>
      <c r="Q57" s="142" t="n">
        <f aca="false">IFERROR(IF(OR(NOT(ISNUMBER('Price History'!Q58)),NOT(ISNUMBER('Price History'!Q57)),'Price History'!Q57=0),"",'Price History'!Q58/'Price History'!Q57-1),"")</f>
        <v>0.010033938320791</v>
      </c>
      <c r="R57" s="142" t="n">
        <f aca="false">IFERROR(IF(OR(NOT(ISNUMBER('Price History'!R58)),NOT(ISNUMBER('Price History'!R57)),'Price History'!R57=0),"",'Price History'!R58/'Price History'!R57-1),"")</f>
        <v>0.00333951762523199</v>
      </c>
      <c r="S57" s="142" t="n">
        <f aca="false">IFERROR(IF(OR(NOT(ISNUMBER('Price History'!S58)),NOT(ISNUMBER('Price History'!S57)),'Price History'!S57=0),"",'Price History'!S58/'Price History'!S57-1),"")</f>
        <v>-0.00401740877134249</v>
      </c>
      <c r="T57" s="142" t="n">
        <f aca="false">IFERROR(IF(OR(NOT(ISNUMBER('Price History'!T58)),NOT(ISNUMBER('Price History'!T57)),'Price History'!T57=0),"",'Price History'!T58/'Price History'!T57-1),"")</f>
        <v>0.00332426715019651</v>
      </c>
      <c r="U57" s="142" t="str">
        <f aca="false">IFERROR(IF(OR(NOT(ISNUMBER('Price History'!U58)),NOT(ISNUMBER('Price History'!U57)),'Price History'!U57=0),"",'Price History'!U58/'Price History'!U57-1),"")</f>
        <v/>
      </c>
      <c r="V57" s="143" t="n">
        <f aca="false">IFERROR(IF(OR(NOT(ISNUMBER('Price History'!V58)),NOT(ISNUMBER('Price History'!V57)),'Price History'!V57=0),"",'Price History'!V58/'Price History'!V57-1),"")</f>
        <v>0.0334003871408508</v>
      </c>
      <c r="W57" s="144" t="str">
        <f aca="false">IFERROR('Price History'!B3+(INDEX('Price History'!B:B,MATCH(9.99E+307,'Price History'!$A:$A))-'Price History'!B3)*(ROW()-3)/(MATCH(9.99E+307,'Returns (Calc)'!$A:$A)-3),"")</f>
        <v/>
      </c>
      <c r="X57" s="144" t="n">
        <f aca="false">IFERROR('Price History'!C3+(INDEX('Price History'!C:C,MATCH(9.99E+307,'Price History'!$A:$A))-'Price History'!C3)*(ROW()-3)/(MATCH(9.99E+307,'Returns (Calc)'!$A:$A)-3),"")</f>
        <v>30.3969620253165</v>
      </c>
      <c r="Y57" s="144" t="n">
        <f aca="false">IFERROR('Price History'!D3+(INDEX('Price History'!D:D,MATCH(9.99E+307,'Price History'!$A:$A))-'Price History'!D3)*(ROW()-3)/(MATCH(9.99E+307,'Returns (Calc)'!$A:$A)-3),"")</f>
        <v>383.095189873418</v>
      </c>
      <c r="Z57" s="144" t="n">
        <f aca="false">IFERROR('Price History'!E3+(INDEX('Price History'!E:E,MATCH(9.99E+307,'Price History'!$A:$A))-'Price History'!E3)*(ROW()-3)/(MATCH(9.99E+307,'Returns (Calc)'!$A:$A)-3),"")</f>
        <v>53.9746835443038</v>
      </c>
      <c r="AA57" s="144" t="n">
        <f aca="false">IFERROR('Price History'!F3+(INDEX('Price History'!F:F,MATCH(9.99E+307,'Price History'!$A:$A))-'Price History'!F3)*(ROW()-3)/(MATCH(9.99E+307,'Returns (Calc)'!$A:$A)-3),"")</f>
        <v>49.5711392405063</v>
      </c>
      <c r="AB57" s="144" t="n">
        <f aca="false">IFERROR('Price History'!G3+(INDEX('Price History'!G:G,MATCH(9.99E+307,'Price History'!$A:$A))-'Price History'!G3)*(ROW()-3)/(MATCH(9.99E+307,'Returns (Calc)'!$A:$A)-3),"")</f>
        <v>27.2243037974684</v>
      </c>
      <c r="AC57" s="144" t="n">
        <f aca="false">IFERROR('Price History'!H3+(INDEX('Price History'!H:H,MATCH(9.99E+307,'Price History'!$A:$A))-'Price History'!H3)*(ROW()-3)/(MATCH(9.99E+307,'Returns (Calc)'!$A:$A)-3),"")</f>
        <v>66.2111392405063</v>
      </c>
      <c r="AD57" s="144" t="n">
        <f aca="false">IFERROR('Price History'!I3+(INDEX('Price History'!I:I,MATCH(9.99E+307,'Price History'!$A:$A))-'Price History'!I3)*(ROW()-3)/(MATCH(9.99E+307,'Returns (Calc)'!$A:$A)-3),"")</f>
        <v>29.1924050632911</v>
      </c>
      <c r="AE57" s="144" t="n">
        <f aca="false">IFERROR('Price History'!J3+(INDEX('Price History'!J:J,MATCH(9.99E+307,'Price History'!$A:$A))-'Price History'!J3)*(ROW()-3)/(MATCH(9.99E+307,'Returns (Calc)'!$A:$A)-3),"")</f>
        <v>45.4901265822785</v>
      </c>
      <c r="AF57" s="144" t="n">
        <f aca="false">IFERROR('Price History'!K3+(INDEX('Price History'!K:K,MATCH(9.99E+307,'Price History'!$A:$A))-'Price History'!K3)*(ROW()-3)/(MATCH(9.99E+307,'Returns (Calc)'!$A:$A)-3),"")</f>
        <v>28.8106329113924</v>
      </c>
      <c r="AG57" s="144" t="n">
        <f aca="false">IFERROR('Price History'!L3+(INDEX('Price History'!L:L,MATCH(9.99E+307,'Price History'!$A:$A))-'Price History'!L3)*(ROW()-3)/(MATCH(9.99E+307,'Returns (Calc)'!$A:$A)-3),"")</f>
        <v>73.6162025316456</v>
      </c>
      <c r="AH57" s="144" t="n">
        <f aca="false">IFERROR('Price History'!M3+(INDEX('Price History'!M:M,MATCH(9.99E+307,'Price History'!$A:$A))-'Price History'!M3)*(ROW()-3)/(MATCH(9.99E+307,'Returns (Calc)'!$A:$A)-3),"")</f>
        <v>10.0906329113924</v>
      </c>
      <c r="AI57" s="144" t="n">
        <f aca="false">IFERROR('Price History'!N3+(INDEX('Price History'!N:N,MATCH(9.99E+307,'Price History'!$A:$A))-'Price History'!N3)*(ROW()-3)/(MATCH(9.99E+307,'Returns (Calc)'!$A:$A)-3),"")</f>
        <v>14.3493670886076</v>
      </c>
      <c r="AJ57" s="144" t="n">
        <f aca="false">IFERROR('Price History'!O3+(INDEX('Price History'!O:O,MATCH(9.99E+307,'Price History'!$A:$A))-'Price History'!O3)*(ROW()-3)/(MATCH(9.99E+307,'Returns (Calc)'!$A:$A)-3),"")</f>
        <v>37.933670886076</v>
      </c>
      <c r="AK57" s="144" t="n">
        <f aca="false">IFERROR('Price History'!Q3+(INDEX('Price History'!Q:Q,MATCH(9.99E+307,'Price History'!$A:$A))-'Price History'!Q3)*(ROW()-3)/(MATCH(9.99E+307,'Returns (Calc)'!$A:$A)-3),"")</f>
        <v>155.098227848101</v>
      </c>
      <c r="AL57" s="144" t="n">
        <f aca="false">IFERROR('Price History'!R3+(INDEX('Price History'!R:R,MATCH(9.99E+307,'Price History'!$A:$A))-'Price History'!R3)*(ROW()-3)/(MATCH(9.99E+307,'Returns (Calc)'!$A:$A)-3),"")</f>
        <v>31.4764556962025</v>
      </c>
      <c r="AM57" s="144" t="n">
        <f aca="false">IFERROR('Price History'!S3+(INDEX('Price History'!S:S,MATCH(9.99E+307,'Price History'!$A:$A))-'Price History'!S3)*(ROW()-3)/(MATCH(9.99E+307,'Returns (Calc)'!$A:$A)-3),"")</f>
        <v>38.5326582278481</v>
      </c>
      <c r="AN57" s="144" t="n">
        <f aca="false">IFERROR('Price History'!T3+(INDEX('Price History'!T:T,MATCH(9.99E+307,'Price History'!$A:$A))-'Price History'!T3)*(ROW()-3)/(MATCH(9.99E+307,'Returns (Calc)'!$A:$A)-3),"")</f>
        <v>17.7129113924051</v>
      </c>
      <c r="AO57" s="145" t="n">
        <f aca="false">IFERROR('Price History'!V3+(INDEX('Price History'!V:V,MATCH(9.99E+307,'Price History'!$A:$A))-'Price History'!V3)*(ROW()-3)/(MATCH(9.99E+307,'Returns (Calc)'!$A:$A)-3),"")</f>
        <v>0</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0.0119431891542932</v>
      </c>
      <c r="G58" s="142" t="n">
        <f aca="false">IFERROR(IF(OR(NOT(ISNUMBER('Price History'!G59)),NOT(ISNUMBER('Price History'!G58)),'Price History'!G58=0),"",'Price History'!G59/'Price History'!G58-1),"")</f>
        <v>0.0956747878456064</v>
      </c>
      <c r="H58" s="142" t="n">
        <f aca="false">IFERROR(IF(OR(NOT(ISNUMBER('Price History'!H59)),NOT(ISNUMBER('Price History'!H58)),'Price History'!H58=0),"",'Price History'!H59/'Price History'!H58-1),"")</f>
        <v>0.000559865632248302</v>
      </c>
      <c r="I58" s="142" t="n">
        <f aca="false">IFERROR(IF(OR(NOT(ISNUMBER('Price History'!I59)),NOT(ISNUMBER('Price History'!I58)),'Price History'!I58=0),"",'Price History'!I59/'Price History'!I58-1),"")</f>
        <v>0.0207554466933095</v>
      </c>
      <c r="J58" s="142" t="n">
        <f aca="false">IFERROR(IF(OR(NOT(ISNUMBER('Price History'!J59)),NOT(ISNUMBER('Price History'!J58)),'Price History'!J58=0),"",'Price History'!J59/'Price History'!J58-1),"")</f>
        <v>0.0468457828953843</v>
      </c>
      <c r="K58" s="142" t="n">
        <f aca="false">IFERROR(IF(OR(NOT(ISNUMBER('Price History'!K59)),NOT(ISNUMBER('Price History'!K58)),'Price History'!K58=0),"",'Price History'!K59/'Price History'!K58-1),"")</f>
        <v>0.0790593145517295</v>
      </c>
      <c r="L58" s="142" t="n">
        <f aca="false">IFERROR(IF(OR(NOT(ISNUMBER('Price History'!L59)),NOT(ISNUMBER('Price History'!L58)),'Price History'!L58=0),"",'Price History'!L59/'Price History'!L58-1),"")</f>
        <v>-0.0178150379879487</v>
      </c>
      <c r="M58" s="142" t="n">
        <f aca="false">IFERROR(IF(OR(NOT(ISNUMBER('Price History'!M59)),NOT(ISNUMBER('Price History'!M58)),'Price History'!M58=0),"",'Price History'!M59/'Price History'!M58-1),"")</f>
        <v>0.0874781304673831</v>
      </c>
      <c r="N58" s="142" t="n">
        <f aca="false">IFERROR(IF(OR(NOT(ISNUMBER('Price History'!N59)),NOT(ISNUMBER('Price History'!N58)),'Price History'!N58=0),"",'Price History'!N59/'Price History'!N58-1),"")</f>
        <v>0.0114242193450114</v>
      </c>
      <c r="O58" s="142" t="n">
        <f aca="false">IFERROR(IF(OR(NOT(ISNUMBER('Price History'!O59)),NOT(ISNUMBER('Price History'!O58)),'Price History'!O58=0),"",'Price History'!O59/'Price History'!O58-1),"")</f>
        <v>0.0216090425531916</v>
      </c>
      <c r="P58" s="142" t="n">
        <f aca="false">IFERROR(IF(OR(NOT(ISNUMBER('Price History'!P59)),NOT(ISNUMBER('Price History'!P58)),'Price History'!P58=0),"",'Price History'!P59/'Price History'!P58-1),"")</f>
        <v>0.0532239819004525</v>
      </c>
      <c r="Q58" s="142" t="n">
        <f aca="false">IFERROR(IF(OR(NOT(ISNUMBER('Price History'!Q59)),NOT(ISNUMBER('Price History'!Q58)),'Price History'!Q58=0),"",'Price History'!Q59/'Price History'!Q58-1),"")</f>
        <v>-0.000328707085463953</v>
      </c>
      <c r="R58" s="142" t="n">
        <f aca="false">IFERROR(IF(OR(NOT(ISNUMBER('Price History'!R59)),NOT(ISNUMBER('Price History'!R58)),'Price History'!R58=0),"",'Price History'!R59/'Price History'!R58-1),"")</f>
        <v>-0.0502958579881657</v>
      </c>
      <c r="S58" s="142" t="n">
        <f aca="false">IFERROR(IF(OR(NOT(ISNUMBER('Price History'!S59)),NOT(ISNUMBER('Price History'!S58)),'Price History'!S58=0),"",'Price History'!S59/'Price History'!S58-1),"")</f>
        <v>-0.059719887955182</v>
      </c>
      <c r="T58" s="142" t="n">
        <f aca="false">IFERROR(IF(OR(NOT(ISNUMBER('Price History'!T59)),NOT(ISNUMBER('Price History'!T58)),'Price History'!T58=0),"",'Price History'!T59/'Price History'!T58-1),"")</f>
        <v>-0.041265060240964</v>
      </c>
      <c r="U58" s="142" t="str">
        <f aca="false">IFERROR(IF(OR(NOT(ISNUMBER('Price History'!U59)),NOT(ISNUMBER('Price History'!U58)),'Price History'!U58=0),"",'Price History'!U59/'Price History'!U58-1),"")</f>
        <v/>
      </c>
      <c r="V58" s="143" t="n">
        <f aca="false">IFERROR(IF(OR(NOT(ISNUMBER('Price History'!V59)),NOT(ISNUMBER('Price History'!V58)),'Price History'!V58=0),"",'Price History'!V59/'Price History'!V58-1),"")</f>
        <v>0.0108348330701145</v>
      </c>
      <c r="W58" s="144" t="str">
        <f aca="false">IFERROR('Price History'!B3+(INDEX('Price History'!B:B,MATCH(9.99E+307,'Price History'!$A:$A))-'Price History'!B3)*(ROW()-3)/(MATCH(9.99E+307,'Returns (Calc)'!$A:$A)-3),"")</f>
        <v/>
      </c>
      <c r="X58" s="144" t="n">
        <f aca="false">IFERROR('Price History'!C3+(INDEX('Price History'!C:C,MATCH(9.99E+307,'Price History'!$A:$A))-'Price History'!C3)*(ROW()-3)/(MATCH(9.99E+307,'Returns (Calc)'!$A:$A)-3),"")</f>
        <v>30.1046835443038</v>
      </c>
      <c r="Y58" s="144" t="n">
        <f aca="false">IFERROR('Price History'!D3+(INDEX('Price History'!D:D,MATCH(9.99E+307,'Price History'!$A:$A))-'Price History'!D3)*(ROW()-3)/(MATCH(9.99E+307,'Returns (Calc)'!$A:$A)-3),"")</f>
        <v>379.411582278481</v>
      </c>
      <c r="Z58" s="144" t="n">
        <f aca="false">IFERROR('Price History'!E3+(INDEX('Price History'!E:E,MATCH(9.99E+307,'Price History'!$A:$A))-'Price History'!E3)*(ROW()-3)/(MATCH(9.99E+307,'Returns (Calc)'!$A:$A)-3),"")</f>
        <v>53.4556962025316</v>
      </c>
      <c r="AA58" s="144" t="n">
        <f aca="false">IFERROR('Price History'!F3+(INDEX('Price History'!F:F,MATCH(9.99E+307,'Price History'!$A:$A))-'Price History'!F3)*(ROW()-3)/(MATCH(9.99E+307,'Returns (Calc)'!$A:$A)-3),"")</f>
        <v>49.0944936708861</v>
      </c>
      <c r="AB58" s="144" t="n">
        <f aca="false">IFERROR('Price History'!G3+(INDEX('Price History'!G:G,MATCH(9.99E+307,'Price History'!$A:$A))-'Price History'!G3)*(ROW()-3)/(MATCH(9.99E+307,'Returns (Calc)'!$A:$A)-3),"")</f>
        <v>26.9625316455696</v>
      </c>
      <c r="AC58" s="144" t="n">
        <f aca="false">IFERROR('Price History'!H3+(INDEX('Price History'!H:H,MATCH(9.99E+307,'Price History'!$A:$A))-'Price History'!H3)*(ROW()-3)/(MATCH(9.99E+307,'Returns (Calc)'!$A:$A)-3),"")</f>
        <v>65.5744936708861</v>
      </c>
      <c r="AD58" s="144" t="n">
        <f aca="false">IFERROR('Price History'!I3+(INDEX('Price History'!I:I,MATCH(9.99E+307,'Price History'!$A:$A))-'Price History'!I3)*(ROW()-3)/(MATCH(9.99E+307,'Returns (Calc)'!$A:$A)-3),"")</f>
        <v>28.9117088607595</v>
      </c>
      <c r="AE58" s="144" t="n">
        <f aca="false">IFERROR('Price History'!J3+(INDEX('Price History'!J:J,MATCH(9.99E+307,'Price History'!$A:$A))-'Price History'!J3)*(ROW()-3)/(MATCH(9.99E+307,'Returns (Calc)'!$A:$A)-3),"")</f>
        <v>45.0527215189873</v>
      </c>
      <c r="AF58" s="144" t="n">
        <f aca="false">IFERROR('Price History'!K3+(INDEX('Price History'!K:K,MATCH(9.99E+307,'Price History'!$A:$A))-'Price History'!K3)*(ROW()-3)/(MATCH(9.99E+307,'Returns (Calc)'!$A:$A)-3),"")</f>
        <v>28.5336075949367</v>
      </c>
      <c r="AG58" s="144" t="n">
        <f aca="false">IFERROR('Price History'!L3+(INDEX('Price History'!L:L,MATCH(9.99E+307,'Price History'!$A:$A))-'Price History'!L3)*(ROW()-3)/(MATCH(9.99E+307,'Returns (Calc)'!$A:$A)-3),"")</f>
        <v>72.9083544303798</v>
      </c>
      <c r="AH58" s="144" t="n">
        <f aca="false">IFERROR('Price History'!M3+(INDEX('Price History'!M:M,MATCH(9.99E+307,'Price History'!$A:$A))-'Price History'!M3)*(ROW()-3)/(MATCH(9.99E+307,'Returns (Calc)'!$A:$A)-3),"")</f>
        <v>9.99360759493671</v>
      </c>
      <c r="AI58" s="144" t="n">
        <f aca="false">IFERROR('Price History'!N3+(INDEX('Price History'!N:N,MATCH(9.99E+307,'Price History'!$A:$A))-'Price History'!N3)*(ROW()-3)/(MATCH(9.99E+307,'Returns (Calc)'!$A:$A)-3),"")</f>
        <v>14.2113924050633</v>
      </c>
      <c r="AJ58" s="144" t="n">
        <f aca="false">IFERROR('Price History'!O3+(INDEX('Price History'!O:O,MATCH(9.99E+307,'Price History'!$A:$A))-'Price History'!O3)*(ROW()-3)/(MATCH(9.99E+307,'Returns (Calc)'!$A:$A)-3),"")</f>
        <v>37.5689240506329</v>
      </c>
      <c r="AK58" s="144" t="n">
        <f aca="false">IFERROR('Price History'!Q3+(INDEX('Price History'!Q:Q,MATCH(9.99E+307,'Price History'!$A:$A))-'Price History'!Q3)*(ROW()-3)/(MATCH(9.99E+307,'Returns (Calc)'!$A:$A)-3),"")</f>
        <v>153.606898734177</v>
      </c>
      <c r="AL58" s="144" t="n">
        <f aca="false">IFERROR('Price History'!R3+(INDEX('Price History'!R:R,MATCH(9.99E+307,'Price History'!$A:$A))-'Price History'!R3)*(ROW()-3)/(MATCH(9.99E+307,'Returns (Calc)'!$A:$A)-3),"")</f>
        <v>31.1737974683544</v>
      </c>
      <c r="AM58" s="144" t="n">
        <f aca="false">IFERROR('Price History'!S3+(INDEX('Price History'!S:S,MATCH(9.99E+307,'Price History'!$A:$A))-'Price History'!S3)*(ROW()-3)/(MATCH(9.99E+307,'Returns (Calc)'!$A:$A)-3),"")</f>
        <v>38.1621518987342</v>
      </c>
      <c r="AN58" s="144" t="n">
        <f aca="false">IFERROR('Price History'!T3+(INDEX('Price History'!T:T,MATCH(9.99E+307,'Price History'!$A:$A))-'Price History'!T3)*(ROW()-3)/(MATCH(9.99E+307,'Returns (Calc)'!$A:$A)-3),"")</f>
        <v>17.5425949367089</v>
      </c>
      <c r="AO58" s="145" t="n">
        <f aca="false">IFERROR('Price History'!V3+(INDEX('Price History'!V:V,MATCH(9.99E+307,'Price History'!$A:$A))-'Price History'!V3)*(ROW()-3)/(MATCH(9.99E+307,'Returns (Calc)'!$A:$A)-3),"")</f>
        <v>0</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0.0125465178096758</v>
      </c>
      <c r="G59" s="142" t="n">
        <f aca="false">IFERROR(IF(OR(NOT(ISNUMBER('Price History'!G60)),NOT(ISNUMBER('Price History'!G59)),'Price History'!G59=0),"",'Price History'!G60/'Price History'!G59-1),"")</f>
        <v>-0.0313554028732042</v>
      </c>
      <c r="H59" s="142" t="n">
        <f aca="false">IFERROR(IF(OR(NOT(ISNUMBER('Price History'!H60)),NOT(ISNUMBER('Price History'!H59)),'Price History'!H59=0),"",'Price History'!H60/'Price History'!H59-1),"")</f>
        <v>0.0193445243804957</v>
      </c>
      <c r="I59" s="142" t="n">
        <f aca="false">IFERROR(IF(OR(NOT(ISNUMBER('Price History'!I60)),NOT(ISNUMBER('Price History'!I59)),'Price History'!I59=0),"",'Price History'!I60/'Price History'!I59-1),"")</f>
        <v>-0.155847436221268</v>
      </c>
      <c r="J59" s="142" t="n">
        <f aca="false">IFERROR(IF(OR(NOT(ISNUMBER('Price History'!J60)),NOT(ISNUMBER('Price History'!J59)),'Price History'!J59=0),"",'Price History'!J60/'Price History'!J59-1),"")</f>
        <v>0.0395788286170913</v>
      </c>
      <c r="K59" s="142" t="n">
        <f aca="false">IFERROR(IF(OR(NOT(ISNUMBER('Price History'!K60)),NOT(ISNUMBER('Price History'!K59)),'Price History'!K59=0),"",'Price History'!K60/'Price History'!K59-1),"")</f>
        <v>0.0237280571258554</v>
      </c>
      <c r="L59" s="142" t="n">
        <f aca="false">IFERROR(IF(OR(NOT(ISNUMBER('Price History'!L60)),NOT(ISNUMBER('Price History'!L59)),'Price History'!L59=0),"",'Price History'!L60/'Price History'!L59-1),"")</f>
        <v>0.0187605583711212</v>
      </c>
      <c r="M59" s="142" t="n">
        <f aca="false">IFERROR(IF(OR(NOT(ISNUMBER('Price History'!M60)),NOT(ISNUMBER('Price History'!M59)),'Price History'!M59=0),"",'Price History'!M60/'Price History'!M59-1),"")</f>
        <v>-0.01241094001379</v>
      </c>
      <c r="N59" s="142" t="n">
        <f aca="false">IFERROR(IF(OR(NOT(ISNUMBER('Price History'!N60)),NOT(ISNUMBER('Price History'!N59)),'Price History'!N59=0),"",'Price History'!N60/'Price History'!N59-1),"")</f>
        <v>0.0094126506024097</v>
      </c>
      <c r="O59" s="142" t="n">
        <f aca="false">IFERROR(IF(OR(NOT(ISNUMBER('Price History'!O60)),NOT(ISNUMBER('Price History'!O59)),'Price History'!O59=0),"",'Price History'!O60/'Price History'!O59-1),"")</f>
        <v>0.00433886538670136</v>
      </c>
      <c r="P59" s="142" t="n">
        <f aca="false">IFERROR(IF(OR(NOT(ISNUMBER('Price History'!P60)),NOT(ISNUMBER('Price History'!P59)),'Price History'!P59=0),"",'Price History'!P60/'Price History'!P59-1),"")</f>
        <v>0.0522528328231566</v>
      </c>
      <c r="Q59" s="142" t="n">
        <f aca="false">IFERROR(IF(OR(NOT(ISNUMBER('Price History'!Q60)),NOT(ISNUMBER('Price History'!Q59)),'Price History'!Q59=0),"",'Price History'!Q60/'Price History'!Q59-1),"")</f>
        <v>0.0459975886887583</v>
      </c>
      <c r="R59" s="142" t="n">
        <f aca="false">IFERROR(IF(OR(NOT(ISNUMBER('Price History'!R60)),NOT(ISNUMBER('Price History'!R59)),'Price History'!R59=0),"",'Price History'!R60/'Price History'!R59-1),"")</f>
        <v>0.0465342679127725</v>
      </c>
      <c r="S59" s="142" t="n">
        <f aca="false">IFERROR(IF(OR(NOT(ISNUMBER('Price History'!S60)),NOT(ISNUMBER('Price History'!S59)),'Price History'!S59=0),"",'Price History'!S60/'Price History'!S59-1),"")</f>
        <v>0.061487130600572</v>
      </c>
      <c r="T59" s="142" t="n">
        <f aca="false">IFERROR(IF(OR(NOT(ISNUMBER('Price History'!T60)),NOT(ISNUMBER('Price History'!T59)),'Price History'!T59=0),"",'Price History'!T60/'Price History'!T59-1),"")</f>
        <v>0.0235626767200754</v>
      </c>
      <c r="U59" s="142" t="str">
        <f aca="false">IFERROR(IF(OR(NOT(ISNUMBER('Price History'!U60)),NOT(ISNUMBER('Price History'!U59)),'Price History'!U59=0),"",'Price History'!U60/'Price History'!U59-1),"")</f>
        <v/>
      </c>
      <c r="V59" s="143" t="n">
        <f aca="false">IFERROR(IF(OR(NOT(ISNUMBER('Price History'!V60)),NOT(ISNUMBER('Price History'!V59)),'Price History'!V59=0),"",'Price History'!V60/'Price History'!V59-1),"")</f>
        <v>0.028558971005014</v>
      </c>
      <c r="W59" s="144" t="str">
        <f aca="false">IFERROR('Price History'!B3+(INDEX('Price History'!B:B,MATCH(9.99E+307,'Price History'!$A:$A))-'Price History'!B3)*(ROW()-3)/(MATCH(9.99E+307,'Returns (Calc)'!$A:$A)-3),"")</f>
        <v/>
      </c>
      <c r="X59" s="144" t="n">
        <f aca="false">IFERROR('Price History'!C3+(INDEX('Price History'!C:C,MATCH(9.99E+307,'Price History'!$A:$A))-'Price History'!C3)*(ROW()-3)/(MATCH(9.99E+307,'Returns (Calc)'!$A:$A)-3),"")</f>
        <v>29.8124050632911</v>
      </c>
      <c r="Y59" s="144" t="n">
        <f aca="false">IFERROR('Price History'!D3+(INDEX('Price History'!D:D,MATCH(9.99E+307,'Price History'!$A:$A))-'Price History'!D3)*(ROW()-3)/(MATCH(9.99E+307,'Returns (Calc)'!$A:$A)-3),"")</f>
        <v>375.727974683544</v>
      </c>
      <c r="Z59" s="144" t="n">
        <f aca="false">IFERROR('Price History'!E3+(INDEX('Price History'!E:E,MATCH(9.99E+307,'Price History'!$A:$A))-'Price History'!E3)*(ROW()-3)/(MATCH(9.99E+307,'Returns (Calc)'!$A:$A)-3),"")</f>
        <v>52.9367088607595</v>
      </c>
      <c r="AA59" s="144" t="n">
        <f aca="false">IFERROR('Price History'!F3+(INDEX('Price History'!F:F,MATCH(9.99E+307,'Price History'!$A:$A))-'Price History'!F3)*(ROW()-3)/(MATCH(9.99E+307,'Returns (Calc)'!$A:$A)-3),"")</f>
        <v>48.6178481012658</v>
      </c>
      <c r="AB59" s="144" t="n">
        <f aca="false">IFERROR('Price History'!G3+(INDEX('Price History'!G:G,MATCH(9.99E+307,'Price History'!$A:$A))-'Price History'!G3)*(ROW()-3)/(MATCH(9.99E+307,'Returns (Calc)'!$A:$A)-3),"")</f>
        <v>26.7007594936709</v>
      </c>
      <c r="AC59" s="144" t="n">
        <f aca="false">IFERROR('Price History'!H3+(INDEX('Price History'!H:H,MATCH(9.99E+307,'Price History'!$A:$A))-'Price History'!H3)*(ROW()-3)/(MATCH(9.99E+307,'Returns (Calc)'!$A:$A)-3),"")</f>
        <v>64.9378481012658</v>
      </c>
      <c r="AD59" s="144" t="n">
        <f aca="false">IFERROR('Price History'!I3+(INDEX('Price History'!I:I,MATCH(9.99E+307,'Price History'!$A:$A))-'Price History'!I3)*(ROW()-3)/(MATCH(9.99E+307,'Returns (Calc)'!$A:$A)-3),"")</f>
        <v>28.6310126582279</v>
      </c>
      <c r="AE59" s="144" t="n">
        <f aca="false">IFERROR('Price History'!J3+(INDEX('Price History'!J:J,MATCH(9.99E+307,'Price History'!$A:$A))-'Price History'!J3)*(ROW()-3)/(MATCH(9.99E+307,'Returns (Calc)'!$A:$A)-3),"")</f>
        <v>44.6153164556962</v>
      </c>
      <c r="AF59" s="144" t="n">
        <f aca="false">IFERROR('Price History'!K3+(INDEX('Price History'!K:K,MATCH(9.99E+307,'Price History'!$A:$A))-'Price History'!K3)*(ROW()-3)/(MATCH(9.99E+307,'Returns (Calc)'!$A:$A)-3),"")</f>
        <v>28.256582278481</v>
      </c>
      <c r="AG59" s="144" t="n">
        <f aca="false">IFERROR('Price History'!L3+(INDEX('Price History'!L:L,MATCH(9.99E+307,'Price History'!$A:$A))-'Price History'!L3)*(ROW()-3)/(MATCH(9.99E+307,'Returns (Calc)'!$A:$A)-3),"")</f>
        <v>72.2005063291139</v>
      </c>
      <c r="AH59" s="144" t="n">
        <f aca="false">IFERROR('Price History'!M3+(INDEX('Price History'!M:M,MATCH(9.99E+307,'Price History'!$A:$A))-'Price History'!M3)*(ROW()-3)/(MATCH(9.99E+307,'Returns (Calc)'!$A:$A)-3),"")</f>
        <v>9.89658227848101</v>
      </c>
      <c r="AI59" s="144" t="n">
        <f aca="false">IFERROR('Price History'!N3+(INDEX('Price History'!N:N,MATCH(9.99E+307,'Price History'!$A:$A))-'Price History'!N3)*(ROW()-3)/(MATCH(9.99E+307,'Returns (Calc)'!$A:$A)-3),"")</f>
        <v>14.073417721519</v>
      </c>
      <c r="AJ59" s="144" t="n">
        <f aca="false">IFERROR('Price History'!O3+(INDEX('Price History'!O:O,MATCH(9.99E+307,'Price History'!$A:$A))-'Price History'!O3)*(ROW()-3)/(MATCH(9.99E+307,'Returns (Calc)'!$A:$A)-3),"")</f>
        <v>37.2041772151899</v>
      </c>
      <c r="AK59" s="144" t="n">
        <f aca="false">IFERROR('Price History'!Q3+(INDEX('Price History'!Q:Q,MATCH(9.99E+307,'Price History'!$A:$A))-'Price History'!Q3)*(ROW()-3)/(MATCH(9.99E+307,'Returns (Calc)'!$A:$A)-3),"")</f>
        <v>152.115569620253</v>
      </c>
      <c r="AL59" s="144" t="n">
        <f aca="false">IFERROR('Price History'!R3+(INDEX('Price History'!R:R,MATCH(9.99E+307,'Price History'!$A:$A))-'Price History'!R3)*(ROW()-3)/(MATCH(9.99E+307,'Returns (Calc)'!$A:$A)-3),"")</f>
        <v>30.8711392405063</v>
      </c>
      <c r="AM59" s="144" t="n">
        <f aca="false">IFERROR('Price History'!S3+(INDEX('Price History'!S:S,MATCH(9.99E+307,'Price History'!$A:$A))-'Price History'!S3)*(ROW()-3)/(MATCH(9.99E+307,'Returns (Calc)'!$A:$A)-3),"")</f>
        <v>37.7916455696203</v>
      </c>
      <c r="AN59" s="144" t="n">
        <f aca="false">IFERROR('Price History'!T3+(INDEX('Price History'!T:T,MATCH(9.99E+307,'Price History'!$A:$A))-'Price History'!T3)*(ROW()-3)/(MATCH(9.99E+307,'Returns (Calc)'!$A:$A)-3),"")</f>
        <v>17.3722784810127</v>
      </c>
      <c r="AO59" s="145" t="n">
        <f aca="false">IFERROR('Price History'!V3+(INDEX('Price History'!V:V,MATCH(9.99E+307,'Price History'!$A:$A))-'Price History'!V3)*(ROW()-3)/(MATCH(9.99E+307,'Returns (Calc)'!$A:$A)-3),"")</f>
        <v>0</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-0.0332878294655046</v>
      </c>
      <c r="G60" s="142" t="n">
        <f aca="false">IFERROR(IF(OR(NOT(ISNUMBER('Price History'!G61)),NOT(ISNUMBER('Price History'!G60)),'Price History'!G60=0),"",'Price History'!G61/'Price History'!G60-1),"")</f>
        <v>-0.0308228011348981</v>
      </c>
      <c r="H60" s="142" t="n">
        <f aca="false">IFERROR(IF(OR(NOT(ISNUMBER('Price History'!H61)),NOT(ISNUMBER('Price History'!H60)),'Price History'!H60=0),"",'Price History'!H61/'Price History'!H60-1),"")</f>
        <v>-0.0236041405269761</v>
      </c>
      <c r="I60" s="142" t="n">
        <f aca="false">IFERROR(IF(OR(NOT(ISNUMBER('Price History'!I61)),NOT(ISNUMBER('Price History'!I60)),'Price History'!I60=0),"",'Price History'!I61/'Price History'!I60-1),"")</f>
        <v>-0.00792938360263318</v>
      </c>
      <c r="J60" s="142" t="n">
        <f aca="false">IFERROR(IF(OR(NOT(ISNUMBER('Price History'!J61)),NOT(ISNUMBER('Price History'!J60)),'Price History'!J60=0),"",'Price History'!J61/'Price History'!J60-1),"")</f>
        <v>-0.0291191897268945</v>
      </c>
      <c r="K60" s="142" t="n">
        <f aca="false">IFERROR(IF(OR(NOT(ISNUMBER('Price History'!K61)),NOT(ISNUMBER('Price History'!K60)),'Price History'!K60=0),"",'Price History'!K61/'Price History'!K60-1),"")</f>
        <v>0.0256484778028045</v>
      </c>
      <c r="L60" s="142" t="n">
        <f aca="false">IFERROR(IF(OR(NOT(ISNUMBER('Price History'!L61)),NOT(ISNUMBER('Price History'!L60)),'Price History'!L60=0),"",'Price History'!L61/'Price History'!L60-1),"")</f>
        <v>-0.0404957235119567</v>
      </c>
      <c r="M60" s="142" t="n">
        <f aca="false">IFERROR(IF(OR(NOT(ISNUMBER('Price History'!M61)),NOT(ISNUMBER('Price History'!M60)),'Price History'!M60=0),"",'Price History'!M61/'Price History'!M60-1),"")</f>
        <v>0.0439841750058181</v>
      </c>
      <c r="N60" s="142" t="n">
        <f aca="false">IFERROR(IF(OR(NOT(ISNUMBER('Price History'!N61)),NOT(ISNUMBER('Price History'!N60)),'Price History'!N60=0),"",'Price History'!N61/'Price History'!N60-1),"")</f>
        <v>-0.0231256993659081</v>
      </c>
      <c r="O60" s="142" t="n">
        <f aca="false">IFERROR(IF(OR(NOT(ISNUMBER('Price History'!O61)),NOT(ISNUMBER('Price History'!O60)),'Price History'!O60=0),"",'Price History'!O61/'Price History'!O60-1),"")</f>
        <v>-0.0146884112755157</v>
      </c>
      <c r="P60" s="142" t="n">
        <f aca="false">IFERROR(IF(OR(NOT(ISNUMBER('Price History'!P61)),NOT(ISNUMBER('Price History'!P60)),'Price History'!P60=0),"",'Price History'!P61/'Price History'!P60-1),"")</f>
        <v>0.0132693681739309</v>
      </c>
      <c r="Q60" s="142" t="n">
        <f aca="false">IFERROR(IF(OR(NOT(ISNUMBER('Price History'!Q61)),NOT(ISNUMBER('Price History'!Q60)),'Price History'!Q60=0),"",'Price History'!Q61/'Price History'!Q60-1),"")</f>
        <v>-0.030562347188264</v>
      </c>
      <c r="R60" s="142" t="n">
        <f aca="false">IFERROR(IF(OR(NOT(ISNUMBER('Price History'!R61)),NOT(ISNUMBER('Price History'!R60)),'Price History'!R60=0),"",'Price History'!R61/'Price History'!R60-1),"")</f>
        <v>0.0122790697674418</v>
      </c>
      <c r="S60" s="142" t="n">
        <f aca="false">IFERROR(IF(OR(NOT(ISNUMBER('Price History'!S61)),NOT(ISNUMBER('Price History'!S60)),'Price History'!S60=0),"",'Price History'!S61/'Price History'!S60-1),"")</f>
        <v>0.0162775033677594</v>
      </c>
      <c r="T60" s="142" t="n">
        <f aca="false">IFERROR(IF(OR(NOT(ISNUMBER('Price History'!T61)),NOT(ISNUMBER('Price History'!T60)),'Price History'!T60=0),"",'Price History'!T61/'Price History'!T60-1),"")</f>
        <v>0.0171884591774096</v>
      </c>
      <c r="U60" s="142" t="str">
        <f aca="false">IFERROR(IF(OR(NOT(ISNUMBER('Price History'!U61)),NOT(ISNUMBER('Price History'!U60)),'Price History'!U60=0),"",'Price History'!U61/'Price History'!U60-1),"")</f>
        <v/>
      </c>
      <c r="V60" s="143" t="n">
        <f aca="false">IFERROR(IF(OR(NOT(ISNUMBER('Price History'!V61)),NOT(ISNUMBER('Price History'!V60)),'Price History'!V60=0),"",'Price History'!V61/'Price History'!V60-1),"")</f>
        <v>-0.00897272855729814</v>
      </c>
      <c r="W60" s="144" t="str">
        <f aca="false">IFERROR('Price History'!B3+(INDEX('Price History'!B:B,MATCH(9.99E+307,'Price History'!$A:$A))-'Price History'!B3)*(ROW()-3)/(MATCH(9.99E+307,'Returns (Calc)'!$A:$A)-3),"")</f>
        <v/>
      </c>
      <c r="X60" s="144" t="n">
        <f aca="false">IFERROR('Price History'!C3+(INDEX('Price History'!C:C,MATCH(9.99E+307,'Price History'!$A:$A))-'Price History'!C3)*(ROW()-3)/(MATCH(9.99E+307,'Returns (Calc)'!$A:$A)-3),"")</f>
        <v>29.5201265822785</v>
      </c>
      <c r="Y60" s="144" t="n">
        <f aca="false">IFERROR('Price History'!D3+(INDEX('Price History'!D:D,MATCH(9.99E+307,'Price History'!$A:$A))-'Price History'!D3)*(ROW()-3)/(MATCH(9.99E+307,'Returns (Calc)'!$A:$A)-3),"")</f>
        <v>372.044367088608</v>
      </c>
      <c r="Z60" s="144" t="n">
        <f aca="false">IFERROR('Price History'!E3+(INDEX('Price History'!E:E,MATCH(9.99E+307,'Price History'!$A:$A))-'Price History'!E3)*(ROW()-3)/(MATCH(9.99E+307,'Returns (Calc)'!$A:$A)-3),"")</f>
        <v>52.4177215189873</v>
      </c>
      <c r="AA60" s="144" t="n">
        <f aca="false">IFERROR('Price History'!F3+(INDEX('Price History'!F:F,MATCH(9.99E+307,'Price History'!$A:$A))-'Price History'!F3)*(ROW()-3)/(MATCH(9.99E+307,'Returns (Calc)'!$A:$A)-3),"")</f>
        <v>48.1412025316456</v>
      </c>
      <c r="AB60" s="144" t="n">
        <f aca="false">IFERROR('Price History'!G3+(INDEX('Price History'!G:G,MATCH(9.99E+307,'Price History'!$A:$A))-'Price History'!G3)*(ROW()-3)/(MATCH(9.99E+307,'Returns (Calc)'!$A:$A)-3),"")</f>
        <v>26.4389873417722</v>
      </c>
      <c r="AC60" s="144" t="n">
        <f aca="false">IFERROR('Price History'!H3+(INDEX('Price History'!H:H,MATCH(9.99E+307,'Price History'!$A:$A))-'Price History'!H3)*(ROW()-3)/(MATCH(9.99E+307,'Returns (Calc)'!$A:$A)-3),"")</f>
        <v>64.3012025316456</v>
      </c>
      <c r="AD60" s="144" t="n">
        <f aca="false">IFERROR('Price History'!I3+(INDEX('Price History'!I:I,MATCH(9.99E+307,'Price History'!$A:$A))-'Price History'!I3)*(ROW()-3)/(MATCH(9.99E+307,'Returns (Calc)'!$A:$A)-3),"")</f>
        <v>28.3503164556962</v>
      </c>
      <c r="AE60" s="144" t="n">
        <f aca="false">IFERROR('Price History'!J3+(INDEX('Price History'!J:J,MATCH(9.99E+307,'Price History'!$A:$A))-'Price History'!J3)*(ROW()-3)/(MATCH(9.99E+307,'Returns (Calc)'!$A:$A)-3),"")</f>
        <v>44.1779113924051</v>
      </c>
      <c r="AF60" s="144" t="n">
        <f aca="false">IFERROR('Price History'!K3+(INDEX('Price History'!K:K,MATCH(9.99E+307,'Price History'!$A:$A))-'Price History'!K3)*(ROW()-3)/(MATCH(9.99E+307,'Returns (Calc)'!$A:$A)-3),"")</f>
        <v>27.9795569620253</v>
      </c>
      <c r="AG60" s="144" t="n">
        <f aca="false">IFERROR('Price History'!L3+(INDEX('Price History'!L:L,MATCH(9.99E+307,'Price History'!$A:$A))-'Price History'!L3)*(ROW()-3)/(MATCH(9.99E+307,'Returns (Calc)'!$A:$A)-3),"")</f>
        <v>71.4926582278481</v>
      </c>
      <c r="AH60" s="144" t="n">
        <f aca="false">IFERROR('Price History'!M3+(INDEX('Price History'!M:M,MATCH(9.99E+307,'Price History'!$A:$A))-'Price History'!M3)*(ROW()-3)/(MATCH(9.99E+307,'Returns (Calc)'!$A:$A)-3),"")</f>
        <v>9.79955696202532</v>
      </c>
      <c r="AI60" s="144" t="n">
        <f aca="false">IFERROR('Price History'!N3+(INDEX('Price History'!N:N,MATCH(9.99E+307,'Price History'!$A:$A))-'Price History'!N3)*(ROW()-3)/(MATCH(9.99E+307,'Returns (Calc)'!$A:$A)-3),"")</f>
        <v>13.9354430379747</v>
      </c>
      <c r="AJ60" s="144" t="n">
        <f aca="false">IFERROR('Price History'!O3+(INDEX('Price History'!O:O,MATCH(9.99E+307,'Price History'!$A:$A))-'Price History'!O3)*(ROW()-3)/(MATCH(9.99E+307,'Returns (Calc)'!$A:$A)-3),"")</f>
        <v>36.8394303797468</v>
      </c>
      <c r="AK60" s="144" t="n">
        <f aca="false">IFERROR('Price History'!Q3+(INDEX('Price History'!Q:Q,MATCH(9.99E+307,'Price History'!$A:$A))-'Price History'!Q3)*(ROW()-3)/(MATCH(9.99E+307,'Returns (Calc)'!$A:$A)-3),"")</f>
        <v>150.624240506329</v>
      </c>
      <c r="AL60" s="144" t="n">
        <f aca="false">IFERROR('Price History'!R3+(INDEX('Price History'!R:R,MATCH(9.99E+307,'Price History'!$A:$A))-'Price History'!R3)*(ROW()-3)/(MATCH(9.99E+307,'Returns (Calc)'!$A:$A)-3),"")</f>
        <v>30.5684810126582</v>
      </c>
      <c r="AM60" s="144" t="n">
        <f aca="false">IFERROR('Price History'!S3+(INDEX('Price History'!S:S,MATCH(9.99E+307,'Price History'!$A:$A))-'Price History'!S3)*(ROW()-3)/(MATCH(9.99E+307,'Returns (Calc)'!$A:$A)-3),"")</f>
        <v>37.4211392405063</v>
      </c>
      <c r="AN60" s="144" t="n">
        <f aca="false">IFERROR('Price History'!T3+(INDEX('Price History'!T:T,MATCH(9.99E+307,'Price History'!$A:$A))-'Price History'!T3)*(ROW()-3)/(MATCH(9.99E+307,'Returns (Calc)'!$A:$A)-3),"")</f>
        <v>17.2019620253165</v>
      </c>
      <c r="AO60" s="145" t="n">
        <f aca="false">IFERROR('Price History'!V3+(INDEX('Price History'!V:V,MATCH(9.99E+307,'Price History'!$A:$A))-'Price History'!V3)*(ROW()-3)/(MATCH(9.99E+307,'Returns (Calc)'!$A:$A)-3),"")</f>
        <v>0</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-0.00238974581794482</v>
      </c>
      <c r="G61" s="142" t="n">
        <f aca="false">IFERROR(IF(OR(NOT(ISNUMBER('Price History'!G62)),NOT(ISNUMBER('Price History'!G61)),'Price History'!G61=0),"",'Price History'!G62/'Price History'!G61-1),"")</f>
        <v>0.00838323353293413</v>
      </c>
      <c r="H61" s="142" t="n">
        <f aca="false">IFERROR(IF(OR(NOT(ISNUMBER('Price History'!H62)),NOT(ISNUMBER('Price History'!H61)),'Price History'!H61=0),"",'Price History'!H62/'Price History'!H61-1),"")</f>
        <v>-0.000963778009798411</v>
      </c>
      <c r="I61" s="142" t="n">
        <f aca="false">IFERROR(IF(OR(NOT(ISNUMBER('Price History'!I62)),NOT(ISNUMBER('Price History'!I61)),'Price History'!I61=0),"",'Price History'!I62/'Price History'!I61-1),"")</f>
        <v>-0.00557985220931989</v>
      </c>
      <c r="J61" s="142" t="n">
        <f aca="false">IFERROR(IF(OR(NOT(ISNUMBER('Price History'!J62)),NOT(ISNUMBER('Price History'!J61)),'Price History'!J61=0),"",'Price History'!J62/'Price History'!J61-1),"")</f>
        <v>-0.0758196721311476</v>
      </c>
      <c r="K61" s="142" t="n">
        <f aca="false">IFERROR(IF(OR(NOT(ISNUMBER('Price History'!K62)),NOT(ISNUMBER('Price History'!K61)),'Price History'!K61=0),"",'Price History'!K62/'Price History'!K61-1),"")</f>
        <v>-0.0433550580901105</v>
      </c>
      <c r="L61" s="142" t="n">
        <f aca="false">IFERROR(IF(OR(NOT(ISNUMBER('Price History'!L62)),NOT(ISNUMBER('Price History'!L61)),'Price History'!L61=0),"",'Price History'!L62/'Price History'!L61-1),"")</f>
        <v>-0.0352010187374933</v>
      </c>
      <c r="M61" s="142" t="n">
        <f aca="false">IFERROR(IF(OR(NOT(ISNUMBER('Price History'!M62)),NOT(ISNUMBER('Price History'!M61)),'Price History'!M61=0),"",'Price History'!M62/'Price History'!M61-1),"")</f>
        <v>-0.0655372269282211</v>
      </c>
      <c r="N61" s="142" t="n">
        <f aca="false">IFERROR(IF(OR(NOT(ISNUMBER('Price History'!N62)),NOT(ISNUMBER('Price History'!N61)),'Price History'!N61=0),"",'Price History'!N62/'Price History'!N61-1),"")</f>
        <v>-0.00152730049637273</v>
      </c>
      <c r="O61" s="142" t="n">
        <f aca="false">IFERROR(IF(OR(NOT(ISNUMBER('Price History'!O62)),NOT(ISNUMBER('Price History'!O61)),'Price History'!O61=0),"",'Price History'!O62/'Price History'!O61-1),"")</f>
        <v>-0.0137016332346815</v>
      </c>
      <c r="P61" s="142" t="n">
        <f aca="false">IFERROR(IF(OR(NOT(ISNUMBER('Price History'!P62)),NOT(ISNUMBER('Price History'!P61)),'Price History'!P61=0),"",'Price History'!P62/'Price History'!P61-1),"")</f>
        <v>-0.0515765085121385</v>
      </c>
      <c r="Q61" s="142" t="n">
        <f aca="false">IFERROR(IF(OR(NOT(ISNUMBER('Price History'!Q62)),NOT(ISNUMBER('Price History'!Q61)),'Price History'!Q61=0),"",'Price History'!Q62/'Price History'!Q61-1),"")</f>
        <v>0.0319582057286976</v>
      </c>
      <c r="R61" s="142" t="n">
        <f aca="false">IFERROR(IF(OR(NOT(ISNUMBER('Price History'!R62)),NOT(ISNUMBER('Price History'!R61)),'Price History'!R61=0),"",'Price History'!R62/'Price History'!R61-1),"")</f>
        <v>0.00716780003675788</v>
      </c>
      <c r="S61" s="142" t="n">
        <f aca="false">IFERROR(IF(OR(NOT(ISNUMBER('Price History'!S62)),NOT(ISNUMBER('Price History'!S61)),'Price History'!S61=0),"",'Price History'!S62/'Price History'!S61-1),"")</f>
        <v>-0.00209875179498509</v>
      </c>
      <c r="T61" s="142" t="n">
        <f aca="false">IFERROR(IF(OR(NOT(ISNUMBER('Price History'!T62)),NOT(ISNUMBER('Price History'!T61)),'Price History'!T61=0),"",'Price History'!T62/'Price History'!T61-1),"")</f>
        <v>0.00211225105612556</v>
      </c>
      <c r="U61" s="142" t="str">
        <f aca="false">IFERROR(IF(OR(NOT(ISNUMBER('Price History'!U62)),NOT(ISNUMBER('Price History'!U61)),'Price History'!U61=0),"",'Price History'!U62/'Price History'!U61-1),"")</f>
        <v/>
      </c>
      <c r="V61" s="143" t="n">
        <f aca="false">IFERROR(IF(OR(NOT(ISNUMBER('Price History'!V62)),NOT(ISNUMBER('Price History'!V61)),'Price History'!V61=0),"",'Price History'!V62/'Price History'!V61-1),"")</f>
        <v>-0.0337206815427391</v>
      </c>
      <c r="W61" s="144" t="str">
        <f aca="false">IFERROR('Price History'!B3+(INDEX('Price History'!B:B,MATCH(9.99E+307,'Price History'!$A:$A))-'Price History'!B3)*(ROW()-3)/(MATCH(9.99E+307,'Returns (Calc)'!$A:$A)-3),"")</f>
        <v/>
      </c>
      <c r="X61" s="144" t="n">
        <f aca="false">IFERROR('Price History'!C3+(INDEX('Price History'!C:C,MATCH(9.99E+307,'Price History'!$A:$A))-'Price History'!C3)*(ROW()-3)/(MATCH(9.99E+307,'Returns (Calc)'!$A:$A)-3),"")</f>
        <v>29.2278481012658</v>
      </c>
      <c r="Y61" s="144" t="n">
        <f aca="false">IFERROR('Price History'!D3+(INDEX('Price History'!D:D,MATCH(9.99E+307,'Price History'!$A:$A))-'Price History'!D3)*(ROW()-3)/(MATCH(9.99E+307,'Returns (Calc)'!$A:$A)-3),"")</f>
        <v>368.360759493671</v>
      </c>
      <c r="Z61" s="144" t="n">
        <f aca="false">IFERROR('Price History'!E3+(INDEX('Price History'!E:E,MATCH(9.99E+307,'Price History'!$A:$A))-'Price History'!E3)*(ROW()-3)/(MATCH(9.99E+307,'Returns (Calc)'!$A:$A)-3),"")</f>
        <v>51.8987341772152</v>
      </c>
      <c r="AA61" s="144" t="n">
        <f aca="false">IFERROR('Price History'!F3+(INDEX('Price History'!F:F,MATCH(9.99E+307,'Price History'!$A:$A))-'Price History'!F3)*(ROW()-3)/(MATCH(9.99E+307,'Returns (Calc)'!$A:$A)-3),"")</f>
        <v>47.6645569620253</v>
      </c>
      <c r="AB61" s="144" t="n">
        <f aca="false">IFERROR('Price History'!G3+(INDEX('Price History'!G:G,MATCH(9.99E+307,'Price History'!$A:$A))-'Price History'!G3)*(ROW()-3)/(MATCH(9.99E+307,'Returns (Calc)'!$A:$A)-3),"")</f>
        <v>26.1772151898734</v>
      </c>
      <c r="AC61" s="144" t="n">
        <f aca="false">IFERROR('Price History'!H3+(INDEX('Price History'!H:H,MATCH(9.99E+307,'Price History'!$A:$A))-'Price History'!H3)*(ROW()-3)/(MATCH(9.99E+307,'Returns (Calc)'!$A:$A)-3),"")</f>
        <v>63.6645569620253</v>
      </c>
      <c r="AD61" s="144" t="n">
        <f aca="false">IFERROR('Price History'!I3+(INDEX('Price History'!I:I,MATCH(9.99E+307,'Price History'!$A:$A))-'Price History'!I3)*(ROW()-3)/(MATCH(9.99E+307,'Returns (Calc)'!$A:$A)-3),"")</f>
        <v>28.0696202531646</v>
      </c>
      <c r="AE61" s="144" t="n">
        <f aca="false">IFERROR('Price History'!J3+(INDEX('Price History'!J:J,MATCH(9.99E+307,'Price History'!$A:$A))-'Price History'!J3)*(ROW()-3)/(MATCH(9.99E+307,'Returns (Calc)'!$A:$A)-3),"")</f>
        <v>43.7405063291139</v>
      </c>
      <c r="AF61" s="144" t="n">
        <f aca="false">IFERROR('Price History'!K3+(INDEX('Price History'!K:K,MATCH(9.99E+307,'Price History'!$A:$A))-'Price History'!K3)*(ROW()-3)/(MATCH(9.99E+307,'Returns (Calc)'!$A:$A)-3),"")</f>
        <v>27.7025316455696</v>
      </c>
      <c r="AG61" s="144" t="n">
        <f aca="false">IFERROR('Price History'!L3+(INDEX('Price History'!L:L,MATCH(9.99E+307,'Price History'!$A:$A))-'Price History'!L3)*(ROW()-3)/(MATCH(9.99E+307,'Returns (Calc)'!$A:$A)-3),"")</f>
        <v>70.7848101265823</v>
      </c>
      <c r="AH61" s="144" t="n">
        <f aca="false">IFERROR('Price History'!M3+(INDEX('Price History'!M:M,MATCH(9.99E+307,'Price History'!$A:$A))-'Price History'!M3)*(ROW()-3)/(MATCH(9.99E+307,'Returns (Calc)'!$A:$A)-3),"")</f>
        <v>9.70253164556962</v>
      </c>
      <c r="AI61" s="144" t="n">
        <f aca="false">IFERROR('Price History'!N3+(INDEX('Price History'!N:N,MATCH(9.99E+307,'Price History'!$A:$A))-'Price History'!N3)*(ROW()-3)/(MATCH(9.99E+307,'Returns (Calc)'!$A:$A)-3),"")</f>
        <v>13.7974683544304</v>
      </c>
      <c r="AJ61" s="144" t="n">
        <f aca="false">IFERROR('Price History'!O3+(INDEX('Price History'!O:O,MATCH(9.99E+307,'Price History'!$A:$A))-'Price History'!O3)*(ROW()-3)/(MATCH(9.99E+307,'Returns (Calc)'!$A:$A)-3),"")</f>
        <v>36.4746835443038</v>
      </c>
      <c r="AK61" s="144" t="n">
        <f aca="false">IFERROR('Price History'!Q3+(INDEX('Price History'!Q:Q,MATCH(9.99E+307,'Price History'!$A:$A))-'Price History'!Q3)*(ROW()-3)/(MATCH(9.99E+307,'Returns (Calc)'!$A:$A)-3),"")</f>
        <v>149.132911392405</v>
      </c>
      <c r="AL61" s="144" t="n">
        <f aca="false">IFERROR('Price History'!R3+(INDEX('Price History'!R:R,MATCH(9.99E+307,'Price History'!$A:$A))-'Price History'!R3)*(ROW()-3)/(MATCH(9.99E+307,'Returns (Calc)'!$A:$A)-3),"")</f>
        <v>30.2658227848101</v>
      </c>
      <c r="AM61" s="144" t="n">
        <f aca="false">IFERROR('Price History'!S3+(INDEX('Price History'!S:S,MATCH(9.99E+307,'Price History'!$A:$A))-'Price History'!S3)*(ROW()-3)/(MATCH(9.99E+307,'Returns (Calc)'!$A:$A)-3),"")</f>
        <v>37.0506329113924</v>
      </c>
      <c r="AN61" s="144" t="n">
        <f aca="false">IFERROR('Price History'!T3+(INDEX('Price History'!T:T,MATCH(9.99E+307,'Price History'!$A:$A))-'Price History'!T3)*(ROW()-3)/(MATCH(9.99E+307,'Returns (Calc)'!$A:$A)-3),"")</f>
        <v>17.0316455696203</v>
      </c>
      <c r="AO61" s="145" t="n">
        <f aca="false">IFERROR('Price History'!V3+(INDEX('Price History'!V:V,MATCH(9.99E+307,'Price History'!$A:$A))-'Price History'!V3)*(ROW()-3)/(MATCH(9.99E+307,'Returns (Calc)'!$A:$A)-3),"")</f>
        <v>0</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0.0886324041811846</v>
      </c>
      <c r="G62" s="142" t="n">
        <f aca="false">IFERROR(IF(OR(NOT(ISNUMBER('Price History'!G63)),NOT(ISNUMBER('Price History'!G62)),'Price History'!G62=0),"",'Price History'!G63/'Price History'!G62-1),"")</f>
        <v>0.0888097123251519</v>
      </c>
      <c r="H62" s="142" t="n">
        <f aca="false">IFERROR(IF(OR(NOT(ISNUMBER('Price History'!H63)),NOT(ISNUMBER('Price History'!H62)),'Price History'!H62=0),"",'Price History'!H63/'Price History'!H62-1),"")</f>
        <v>0.0347294798617253</v>
      </c>
      <c r="I62" s="142" t="n">
        <f aca="false">IFERROR(IF(OR(NOT(ISNUMBER('Price History'!I63)),NOT(ISNUMBER('Price History'!I62)),'Price History'!I62=0),"",'Price History'!I63/'Price History'!I62-1),"")</f>
        <v>0.02699423718532</v>
      </c>
      <c r="J62" s="142" t="n">
        <f aca="false">IFERROR(IF(OR(NOT(ISNUMBER('Price History'!J63)),NOT(ISNUMBER('Price History'!J62)),'Price History'!J62=0),"",'Price History'!J63/'Price History'!J62-1),"")</f>
        <v>0.122052005644023</v>
      </c>
      <c r="K62" s="142" t="n">
        <f aca="false">IFERROR(IF(OR(NOT(ISNUMBER('Price History'!K63)),NOT(ISNUMBER('Price History'!K62)),'Price History'!K62=0),"",'Price History'!K63/'Price History'!K62-1),"")</f>
        <v>0.0902695497630333</v>
      </c>
      <c r="L62" s="142" t="n">
        <f aca="false">IFERROR(IF(OR(NOT(ISNUMBER('Price History'!L63)),NOT(ISNUMBER('Price History'!L62)),'Price History'!L62=0),"",'Price History'!L63/'Price History'!L62-1),"")</f>
        <v>0.0214009616291129</v>
      </c>
      <c r="M62" s="142" t="n">
        <f aca="false">IFERROR(IF(OR(NOT(ISNUMBER('Price History'!M63)),NOT(ISNUMBER('Price History'!M62)),'Price History'!M62=0),"",'Price History'!M63/'Price History'!M62-1),"")</f>
        <v>0.392891221374046</v>
      </c>
      <c r="N62" s="142" t="n">
        <f aca="false">IFERROR(IF(OR(NOT(ISNUMBER('Price History'!N63)),NOT(ISNUMBER('Price History'!N62)),'Price History'!N62=0),"",'Price History'!N63/'Price History'!N62-1),"")</f>
        <v>0.0347992351816444</v>
      </c>
      <c r="O62" s="142" t="n">
        <f aca="false">IFERROR(IF(OR(NOT(ISNUMBER('Price History'!O63)),NOT(ISNUMBER('Price History'!O62)),'Price History'!O62=0),"",'Price History'!O63/'Price History'!O62-1),"")</f>
        <v>0.0597910646810402</v>
      </c>
      <c r="P62" s="142" t="n">
        <f aca="false">IFERROR(IF(OR(NOT(ISNUMBER('Price History'!P63)),NOT(ISNUMBER('Price History'!P62)),'Price History'!P62=0),"",'Price History'!P63/'Price History'!P62-1),"")</f>
        <v>0.0427509293680297</v>
      </c>
      <c r="Q62" s="142" t="n">
        <f aca="false">IFERROR(IF(OR(NOT(ISNUMBER('Price History'!Q63)),NOT(ISNUMBER('Price History'!Q62)),'Price History'!Q62=0),"",'Price History'!Q63/'Price History'!Q62-1),"")</f>
        <v>0.0589344319530758</v>
      </c>
      <c r="R62" s="142" t="n">
        <f aca="false">IFERROR(IF(OR(NOT(ISNUMBER('Price History'!R63)),NOT(ISNUMBER('Price History'!R62)),'Price History'!R62=0),"",'Price History'!R63/'Price History'!R62-1),"")</f>
        <v>-0.00784671532846715</v>
      </c>
      <c r="S62" s="142" t="n">
        <f aca="false">IFERROR(IF(OR(NOT(ISNUMBER('Price History'!S63)),NOT(ISNUMBER('Price History'!S62)),'Price History'!S62=0),"",'Price History'!S63/'Price History'!S62-1),"")</f>
        <v>0.0149435466017267</v>
      </c>
      <c r="T62" s="142" t="n">
        <f aca="false">IFERROR(IF(OR(NOT(ISNUMBER('Price History'!T63)),NOT(ISNUMBER('Price History'!T62)),'Price History'!T62=0),"",'Price History'!T63/'Price History'!T62-1),"")</f>
        <v>0.0186690755796446</v>
      </c>
      <c r="U62" s="142" t="str">
        <f aca="false">IFERROR(IF(OR(NOT(ISNUMBER('Price History'!U63)),NOT(ISNUMBER('Price History'!U62)),'Price History'!U62=0),"",'Price History'!U63/'Price History'!U62-1),"")</f>
        <v/>
      </c>
      <c r="V62" s="143" t="n">
        <f aca="false">IFERROR(IF(OR(NOT(ISNUMBER('Price History'!V63)),NOT(ISNUMBER('Price History'!V62)),'Price History'!V62=0),"",'Price History'!V63/'Price History'!V62-1),"")</f>
        <v>0.010033938320791</v>
      </c>
      <c r="W62" s="144" t="str">
        <f aca="false">IFERROR('Price History'!B3+(INDEX('Price History'!B:B,MATCH(9.99E+307,'Price History'!$A:$A))-'Price History'!B3)*(ROW()-3)/(MATCH(9.99E+307,'Returns (Calc)'!$A:$A)-3),"")</f>
        <v/>
      </c>
      <c r="X62" s="144" t="n">
        <f aca="false">IFERROR('Price History'!C3+(INDEX('Price History'!C:C,MATCH(9.99E+307,'Price History'!$A:$A))-'Price History'!C3)*(ROW()-3)/(MATCH(9.99E+307,'Returns (Calc)'!$A:$A)-3),"")</f>
        <v>28.9355696202532</v>
      </c>
      <c r="Y62" s="144" t="n">
        <f aca="false">IFERROR('Price History'!D3+(INDEX('Price History'!D:D,MATCH(9.99E+307,'Price History'!$A:$A))-'Price History'!D3)*(ROW()-3)/(MATCH(9.99E+307,'Returns (Calc)'!$A:$A)-3),"")</f>
        <v>364.677151898734</v>
      </c>
      <c r="Z62" s="144" t="n">
        <f aca="false">IFERROR('Price History'!E3+(INDEX('Price History'!E:E,MATCH(9.99E+307,'Price History'!$A:$A))-'Price History'!E3)*(ROW()-3)/(MATCH(9.99E+307,'Returns (Calc)'!$A:$A)-3),"")</f>
        <v>51.379746835443</v>
      </c>
      <c r="AA62" s="144" t="n">
        <f aca="false">IFERROR('Price History'!F3+(INDEX('Price History'!F:F,MATCH(9.99E+307,'Price History'!$A:$A))-'Price History'!F3)*(ROW()-3)/(MATCH(9.99E+307,'Returns (Calc)'!$A:$A)-3),"")</f>
        <v>47.1879113924051</v>
      </c>
      <c r="AB62" s="144" t="n">
        <f aca="false">IFERROR('Price History'!G3+(INDEX('Price History'!G:G,MATCH(9.99E+307,'Price History'!$A:$A))-'Price History'!G3)*(ROW()-3)/(MATCH(9.99E+307,'Returns (Calc)'!$A:$A)-3),"")</f>
        <v>25.9154430379747</v>
      </c>
      <c r="AC62" s="144" t="n">
        <f aca="false">IFERROR('Price History'!H3+(INDEX('Price History'!H:H,MATCH(9.99E+307,'Price History'!$A:$A))-'Price History'!H3)*(ROW()-3)/(MATCH(9.99E+307,'Returns (Calc)'!$A:$A)-3),"")</f>
        <v>63.0279113924051</v>
      </c>
      <c r="AD62" s="144" t="n">
        <f aca="false">IFERROR('Price History'!I3+(INDEX('Price History'!I:I,MATCH(9.99E+307,'Price History'!$A:$A))-'Price History'!I3)*(ROW()-3)/(MATCH(9.99E+307,'Returns (Calc)'!$A:$A)-3),"")</f>
        <v>27.7889240506329</v>
      </c>
      <c r="AE62" s="144" t="n">
        <f aca="false">IFERROR('Price History'!J3+(INDEX('Price History'!J:J,MATCH(9.99E+307,'Price History'!$A:$A))-'Price History'!J3)*(ROW()-3)/(MATCH(9.99E+307,'Returns (Calc)'!$A:$A)-3),"")</f>
        <v>43.3031012658228</v>
      </c>
      <c r="AF62" s="144" t="n">
        <f aca="false">IFERROR('Price History'!K3+(INDEX('Price History'!K:K,MATCH(9.99E+307,'Price History'!$A:$A))-'Price History'!K3)*(ROW()-3)/(MATCH(9.99E+307,'Returns (Calc)'!$A:$A)-3),"")</f>
        <v>27.4255063291139</v>
      </c>
      <c r="AG62" s="144" t="n">
        <f aca="false">IFERROR('Price History'!L3+(INDEX('Price History'!L:L,MATCH(9.99E+307,'Price History'!$A:$A))-'Price History'!L3)*(ROW()-3)/(MATCH(9.99E+307,'Returns (Calc)'!$A:$A)-3),"")</f>
        <v>70.0769620253165</v>
      </c>
      <c r="AH62" s="144" t="n">
        <f aca="false">IFERROR('Price History'!M3+(INDEX('Price History'!M:M,MATCH(9.99E+307,'Price History'!$A:$A))-'Price History'!M3)*(ROW()-3)/(MATCH(9.99E+307,'Returns (Calc)'!$A:$A)-3),"")</f>
        <v>9.60550632911392</v>
      </c>
      <c r="AI62" s="144" t="n">
        <f aca="false">IFERROR('Price History'!N3+(INDEX('Price History'!N:N,MATCH(9.99E+307,'Price History'!$A:$A))-'Price History'!N3)*(ROW()-3)/(MATCH(9.99E+307,'Returns (Calc)'!$A:$A)-3),"")</f>
        <v>13.6594936708861</v>
      </c>
      <c r="AJ62" s="144" t="n">
        <f aca="false">IFERROR('Price History'!O3+(INDEX('Price History'!O:O,MATCH(9.99E+307,'Price History'!$A:$A))-'Price History'!O3)*(ROW()-3)/(MATCH(9.99E+307,'Returns (Calc)'!$A:$A)-3),"")</f>
        <v>36.1099367088608</v>
      </c>
      <c r="AK62" s="144" t="n">
        <f aca="false">IFERROR('Price History'!Q3+(INDEX('Price History'!Q:Q,MATCH(9.99E+307,'Price History'!$A:$A))-'Price History'!Q3)*(ROW()-3)/(MATCH(9.99E+307,'Returns (Calc)'!$A:$A)-3),"")</f>
        <v>147.641582278481</v>
      </c>
      <c r="AL62" s="144" t="n">
        <f aca="false">IFERROR('Price History'!R3+(INDEX('Price History'!R:R,MATCH(9.99E+307,'Price History'!$A:$A))-'Price History'!R3)*(ROW()-3)/(MATCH(9.99E+307,'Returns (Calc)'!$A:$A)-3),"")</f>
        <v>29.963164556962</v>
      </c>
      <c r="AM62" s="144" t="n">
        <f aca="false">IFERROR('Price History'!S3+(INDEX('Price History'!S:S,MATCH(9.99E+307,'Price History'!$A:$A))-'Price History'!S3)*(ROW()-3)/(MATCH(9.99E+307,'Returns (Calc)'!$A:$A)-3),"")</f>
        <v>36.6801265822785</v>
      </c>
      <c r="AN62" s="144" t="n">
        <f aca="false">IFERROR('Price History'!T3+(INDEX('Price History'!T:T,MATCH(9.99E+307,'Price History'!$A:$A))-'Price History'!T3)*(ROW()-3)/(MATCH(9.99E+307,'Returns (Calc)'!$A:$A)-3),"")</f>
        <v>16.8613291139241</v>
      </c>
      <c r="AO62" s="145" t="n">
        <f aca="false">IFERROR('Price History'!V3+(INDEX('Price History'!V:V,MATCH(9.99E+307,'Price History'!$A:$A))-'Price History'!V3)*(ROW()-3)/(MATCH(9.99E+307,'Returns (Calc)'!$A:$A)-3),"")</f>
        <v>0</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-0.0194038807761552</v>
      </c>
      <c r="G63" s="142" t="n">
        <f aca="false">IFERROR(IF(OR(NOT(ISNUMBER('Price History'!G64)),NOT(ISNUMBER('Price History'!G63)),'Price History'!G63=0),"",'Price History'!G64/'Price History'!G63-1),"")</f>
        <v>0.020361168343231</v>
      </c>
      <c r="H63" s="142" t="n">
        <f aca="false">IFERROR(IF(OR(NOT(ISNUMBER('Price History'!H64)),NOT(ISNUMBER('Price History'!H63)),'Price History'!H63=0),"",'Price History'!H64/'Price History'!H63-1),"")</f>
        <v>0.00124310465387301</v>
      </c>
      <c r="I63" s="142" t="n">
        <f aca="false">IFERROR(IF(OR(NOT(ISNUMBER('Price History'!I64)),NOT(ISNUMBER('Price History'!I63)),'Price History'!I63=0),"",'Price History'!I64/'Price History'!I63-1),"")</f>
        <v>-0.106172474896633</v>
      </c>
      <c r="J63" s="142" t="n">
        <f aca="false">IFERROR(IF(OR(NOT(ISNUMBER('Price History'!J64)),NOT(ISNUMBER('Price History'!J63)),'Price History'!J63=0),"",'Price History'!J64/'Price History'!J63-1),"")</f>
        <v>-0.139046079223929</v>
      </c>
      <c r="K63" s="142" t="n">
        <f aca="false">IFERROR(IF(OR(NOT(ISNUMBER('Price History'!K64)),NOT(ISNUMBER('Price History'!K63)),'Price History'!K63=0),"",'Price History'!K64/'Price History'!K63-1),"")</f>
        <v>-0.038239489234531</v>
      </c>
      <c r="L63" s="142" t="n">
        <f aca="false">IFERROR(IF(OR(NOT(ISNUMBER('Price History'!L64)),NOT(ISNUMBER('Price History'!L63)),'Price History'!L63=0),"",'Price History'!L64/'Price History'!L63-1),"")</f>
        <v>-0.0207679527413698</v>
      </c>
      <c r="M63" s="142" t="n">
        <f aca="false">IFERROR(IF(OR(NOT(ISNUMBER('Price History'!M64)),NOT(ISNUMBER('Price History'!M63)),'Price History'!M63=0),"",'Price History'!M64/'Price History'!M63-1),"")</f>
        <v>0.126391505394759</v>
      </c>
      <c r="N63" s="142" t="n">
        <f aca="false">IFERROR(IF(OR(NOT(ISNUMBER('Price History'!N64)),NOT(ISNUMBER('Price History'!N63)),'Price History'!N63=0),"",'Price History'!N64/'Price History'!N63-1),"")</f>
        <v>-0.0155210643015521</v>
      </c>
      <c r="O63" s="142" t="n">
        <f aca="false">IFERROR(IF(OR(NOT(ISNUMBER('Price History'!O64)),NOT(ISNUMBER('Price History'!O63)),'Price History'!O63=0),"",'Price History'!O64/'Price History'!O63-1),"")</f>
        <v>-0.0308305369127516</v>
      </c>
      <c r="P63" s="142" t="n">
        <f aca="false">IFERROR(IF(OR(NOT(ISNUMBER('Price History'!P64)),NOT(ISNUMBER('Price History'!P63)),'Price History'!P63=0),"",'Price History'!P64/'Price History'!P63-1),"")</f>
        <v>-0.0754774637127578</v>
      </c>
      <c r="Q63" s="142" t="n">
        <f aca="false">IFERROR(IF(OR(NOT(ISNUMBER('Price History'!Q64)),NOT(ISNUMBER('Price History'!Q63)),'Price History'!Q63=0),"",'Price History'!Q64/'Price History'!Q63-1),"")</f>
        <v>0.00764919221892524</v>
      </c>
      <c r="R63" s="142" t="n">
        <f aca="false">IFERROR(IF(OR(NOT(ISNUMBER('Price History'!R64)),NOT(ISNUMBER('Price History'!R63)),'Price History'!R63=0),"",'Price History'!R64/'Price History'!R63-1),"")</f>
        <v>0.00901232297222743</v>
      </c>
      <c r="S63" s="142" t="n">
        <f aca="false">IFERROR(IF(OR(NOT(ISNUMBER('Price History'!S64)),NOT(ISNUMBER('Price History'!S63)),'Price History'!S63=0),"",'Price History'!S64/'Price History'!S63-1),"")</f>
        <v>0.021594503217363</v>
      </c>
      <c r="T63" s="142" t="n">
        <f aca="false">IFERROR(IF(OR(NOT(ISNUMBER('Price History'!T64)),NOT(ISNUMBER('Price History'!T63)),'Price History'!T63=0),"",'Price History'!T64/'Price History'!T63-1),"")</f>
        <v>0.00354714750221707</v>
      </c>
      <c r="U63" s="142" t="str">
        <f aca="false">IFERROR(IF(OR(NOT(ISNUMBER('Price History'!U64)),NOT(ISNUMBER('Price History'!U63)),'Price History'!U63=0),"",'Price History'!U64/'Price History'!U63-1),"")</f>
        <v/>
      </c>
      <c r="V63" s="143" t="n">
        <f aca="false">IFERROR(IF(OR(NOT(ISNUMBER('Price History'!V64)),NOT(ISNUMBER('Price History'!V63)),'Price History'!V63=0),"",'Price History'!V64/'Price History'!V63-1),"")</f>
        <v>-0.000328707085463953</v>
      </c>
      <c r="W63" s="144" t="str">
        <f aca="false">IFERROR('Price History'!B3+(INDEX('Price History'!B:B,MATCH(9.99E+307,'Price History'!$A:$A))-'Price History'!B3)*(ROW()-3)/(MATCH(9.99E+307,'Returns (Calc)'!$A:$A)-3),"")</f>
        <v/>
      </c>
      <c r="X63" s="144" t="n">
        <f aca="false">IFERROR('Price History'!C3+(INDEX('Price History'!C:C,MATCH(9.99E+307,'Price History'!$A:$A))-'Price History'!C3)*(ROW()-3)/(MATCH(9.99E+307,'Returns (Calc)'!$A:$A)-3),"")</f>
        <v>28.6432911392405</v>
      </c>
      <c r="Y63" s="144" t="n">
        <f aca="false">IFERROR('Price History'!D3+(INDEX('Price History'!D:D,MATCH(9.99E+307,'Price History'!$A:$A))-'Price History'!D3)*(ROW()-3)/(MATCH(9.99E+307,'Returns (Calc)'!$A:$A)-3),"")</f>
        <v>360.993544303798</v>
      </c>
      <c r="Z63" s="144" t="n">
        <f aca="false">IFERROR('Price History'!E3+(INDEX('Price History'!E:E,MATCH(9.99E+307,'Price History'!$A:$A))-'Price History'!E3)*(ROW()-3)/(MATCH(9.99E+307,'Returns (Calc)'!$A:$A)-3),"")</f>
        <v>50.8607594936709</v>
      </c>
      <c r="AA63" s="144" t="n">
        <f aca="false">IFERROR('Price History'!F3+(INDEX('Price History'!F:F,MATCH(9.99E+307,'Price History'!$A:$A))-'Price History'!F3)*(ROW()-3)/(MATCH(9.99E+307,'Returns (Calc)'!$A:$A)-3),"")</f>
        <v>46.7112658227848</v>
      </c>
      <c r="AB63" s="144" t="n">
        <f aca="false">IFERROR('Price History'!G3+(INDEX('Price History'!G:G,MATCH(9.99E+307,'Price History'!$A:$A))-'Price History'!G3)*(ROW()-3)/(MATCH(9.99E+307,'Returns (Calc)'!$A:$A)-3),"")</f>
        <v>25.653670886076</v>
      </c>
      <c r="AC63" s="144" t="n">
        <f aca="false">IFERROR('Price History'!H3+(INDEX('Price History'!H:H,MATCH(9.99E+307,'Price History'!$A:$A))-'Price History'!H3)*(ROW()-3)/(MATCH(9.99E+307,'Returns (Calc)'!$A:$A)-3),"")</f>
        <v>62.3912658227848</v>
      </c>
      <c r="AD63" s="144" t="n">
        <f aca="false">IFERROR('Price History'!I3+(INDEX('Price History'!I:I,MATCH(9.99E+307,'Price History'!$A:$A))-'Price History'!I3)*(ROW()-3)/(MATCH(9.99E+307,'Returns (Calc)'!$A:$A)-3),"")</f>
        <v>27.5082278481013</v>
      </c>
      <c r="AE63" s="144" t="n">
        <f aca="false">IFERROR('Price History'!J3+(INDEX('Price History'!J:J,MATCH(9.99E+307,'Price History'!$A:$A))-'Price History'!J3)*(ROW()-3)/(MATCH(9.99E+307,'Returns (Calc)'!$A:$A)-3),"")</f>
        <v>42.8656962025316</v>
      </c>
      <c r="AF63" s="144" t="n">
        <f aca="false">IFERROR('Price History'!K3+(INDEX('Price History'!K:K,MATCH(9.99E+307,'Price History'!$A:$A))-'Price History'!K3)*(ROW()-3)/(MATCH(9.99E+307,'Returns (Calc)'!$A:$A)-3),"")</f>
        <v>27.1484810126582</v>
      </c>
      <c r="AG63" s="144" t="n">
        <f aca="false">IFERROR('Price History'!L3+(INDEX('Price History'!L:L,MATCH(9.99E+307,'Price History'!$A:$A))-'Price History'!L3)*(ROW()-3)/(MATCH(9.99E+307,'Returns (Calc)'!$A:$A)-3),"")</f>
        <v>69.3691139240506</v>
      </c>
      <c r="AH63" s="144" t="n">
        <f aca="false">IFERROR('Price History'!M3+(INDEX('Price History'!M:M,MATCH(9.99E+307,'Price History'!$A:$A))-'Price History'!M3)*(ROW()-3)/(MATCH(9.99E+307,'Returns (Calc)'!$A:$A)-3),"")</f>
        <v>9.50848101265823</v>
      </c>
      <c r="AI63" s="144" t="n">
        <f aca="false">IFERROR('Price History'!N3+(INDEX('Price History'!N:N,MATCH(9.99E+307,'Price History'!$A:$A))-'Price History'!N3)*(ROW()-3)/(MATCH(9.99E+307,'Returns (Calc)'!$A:$A)-3),"")</f>
        <v>13.5215189873418</v>
      </c>
      <c r="AJ63" s="144" t="n">
        <f aca="false">IFERROR('Price History'!O3+(INDEX('Price History'!O:O,MATCH(9.99E+307,'Price History'!$A:$A))-'Price History'!O3)*(ROW()-3)/(MATCH(9.99E+307,'Returns (Calc)'!$A:$A)-3),"")</f>
        <v>35.7451898734177</v>
      </c>
      <c r="AK63" s="144" t="n">
        <f aca="false">IFERROR('Price History'!Q3+(INDEX('Price History'!Q:Q,MATCH(9.99E+307,'Price History'!$A:$A))-'Price History'!Q3)*(ROW()-3)/(MATCH(9.99E+307,'Returns (Calc)'!$A:$A)-3),"")</f>
        <v>146.150253164557</v>
      </c>
      <c r="AL63" s="144" t="n">
        <f aca="false">IFERROR('Price History'!R3+(INDEX('Price History'!R:R,MATCH(9.99E+307,'Price History'!$A:$A))-'Price History'!R3)*(ROW()-3)/(MATCH(9.99E+307,'Returns (Calc)'!$A:$A)-3),"")</f>
        <v>29.6605063291139</v>
      </c>
      <c r="AM63" s="144" t="n">
        <f aca="false">IFERROR('Price History'!S3+(INDEX('Price History'!S:S,MATCH(9.99E+307,'Price History'!$A:$A))-'Price History'!S3)*(ROW()-3)/(MATCH(9.99E+307,'Returns (Calc)'!$A:$A)-3),"")</f>
        <v>36.3096202531646</v>
      </c>
      <c r="AN63" s="144" t="n">
        <f aca="false">IFERROR('Price History'!T3+(INDEX('Price History'!T:T,MATCH(9.99E+307,'Price History'!$A:$A))-'Price History'!T3)*(ROW()-3)/(MATCH(9.99E+307,'Returns (Calc)'!$A:$A)-3),"")</f>
        <v>16.6910126582278</v>
      </c>
      <c r="AO63" s="145" t="n">
        <f aca="false">IFERROR('Price History'!V3+(INDEX('Price History'!V:V,MATCH(9.99E+307,'Price History'!$A:$A))-'Price History'!V3)*(ROW()-3)/(MATCH(9.99E+307,'Returns (Calc)'!$A:$A)-3),"")</f>
        <v>0</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0.036515707874337</v>
      </c>
      <c r="G64" s="142" t="n">
        <f aca="false">IFERROR(IF(OR(NOT(ISNUMBER('Price History'!G65)),NOT(ISNUMBER('Price History'!G64)),'Price History'!G64=0),"",'Price History'!G65/'Price History'!G64-1),"")</f>
        <v>0.10547570970424</v>
      </c>
      <c r="H64" s="142" t="n">
        <f aca="false">IFERROR(IF(OR(NOT(ISNUMBER('Price History'!H65)),NOT(ISNUMBER('Price History'!H64)),'Price History'!H64=0),"",'Price History'!H65/'Price History'!H64-1),"")</f>
        <v>0.0271591526344379</v>
      </c>
      <c r="I64" s="142" t="n">
        <f aca="false">IFERROR(IF(OR(NOT(ISNUMBER('Price History'!I65)),NOT(ISNUMBER('Price History'!I64)),'Price History'!I64=0),"",'Price History'!I65/'Price History'!I64-1),"")</f>
        <v>0.0437799438295059</v>
      </c>
      <c r="J64" s="142" t="n">
        <f aca="false">IFERROR(IF(OR(NOT(ISNUMBER('Price History'!J65)),NOT(ISNUMBER('Price History'!J64)),'Price History'!J64=0),"",'Price History'!J65/'Price History'!J64-1),"")</f>
        <v>0.0653103808033386</v>
      </c>
      <c r="K64" s="142" t="n">
        <f aca="false">IFERROR(IF(OR(NOT(ISNUMBER('Price History'!K65)),NOT(ISNUMBER('Price History'!K64)),'Price History'!K64=0),"",'Price History'!K65/'Price History'!K64-1),"")</f>
        <v>-0.000211864406779672</v>
      </c>
      <c r="L64" s="142" t="n">
        <f aca="false">IFERROR(IF(OR(NOT(ISNUMBER('Price History'!L65)),NOT(ISNUMBER('Price History'!L64)),'Price History'!L64=0),"",'Price History'!L65/'Price History'!L64-1),"")</f>
        <v>0.0209256291827693</v>
      </c>
      <c r="M64" s="142" t="n">
        <f aca="false">IFERROR(IF(OR(NOT(ISNUMBER('Price History'!M65)),NOT(ISNUMBER('Price History'!M64)),'Price History'!M64=0),"",'Price History'!M65/'Price History'!M64-1),"")</f>
        <v>-0.0215903907556637</v>
      </c>
      <c r="N64" s="142" t="n">
        <f aca="false">IFERROR(IF(OR(NOT(ISNUMBER('Price History'!N65)),NOT(ISNUMBER('Price History'!N64)),'Price History'!N64=0),"",'Price History'!N65/'Price History'!N64-1),"")</f>
        <v>0.0251501501501501</v>
      </c>
      <c r="O64" s="142" t="n">
        <f aca="false">IFERROR(IF(OR(NOT(ISNUMBER('Price History'!O65)),NOT(ISNUMBER('Price History'!O64)),'Price History'!O64=0),"",'Price History'!O65/'Price History'!O64-1),"")</f>
        <v>0.0178532785111447</v>
      </c>
      <c r="P64" s="142" t="n">
        <f aca="false">IFERROR(IF(OR(NOT(ISNUMBER('Price History'!P65)),NOT(ISNUMBER('Price History'!P64)),'Price History'!P64=0),"",'Price History'!P65/'Price History'!P64-1),"")</f>
        <v>0.0218696634165152</v>
      </c>
      <c r="Q64" s="142" t="n">
        <f aca="false">IFERROR(IF(OR(NOT(ISNUMBER('Price History'!Q65)),NOT(ISNUMBER('Price History'!Q64)),'Price History'!Q64=0),"",'Price History'!Q65/'Price History'!Q64-1),"")</f>
        <v>0.000916170407695649</v>
      </c>
      <c r="R64" s="142" t="n">
        <f aca="false">IFERROR(IF(OR(NOT(ISNUMBER('Price History'!R65)),NOT(ISNUMBER('Price History'!R64)),'Price History'!R64=0),"",'Price History'!R65/'Price History'!R64-1),"")</f>
        <v>0.00747356908494345</v>
      </c>
      <c r="S64" s="142" t="n">
        <f aca="false">IFERROR(IF(OR(NOT(ISNUMBER('Price History'!S65)),NOT(ISNUMBER('Price History'!S64)),'Price History'!S64=0),"",'Price History'!S65/'Price History'!S64-1),"")</f>
        <v>0.00427031066510075</v>
      </c>
      <c r="T64" s="142" t="n">
        <f aca="false">IFERROR(IF(OR(NOT(ISNUMBER('Price History'!T65)),NOT(ISNUMBER('Price History'!T64)),'Price History'!T64=0),"",'Price History'!T65/'Price History'!T64-1),"")</f>
        <v>-0.00471281296023574</v>
      </c>
      <c r="U64" s="142" t="str">
        <f aca="false">IFERROR(IF(OR(NOT(ISNUMBER('Price History'!U65)),NOT(ISNUMBER('Price History'!U64)),'Price History'!U64=0),"",'Price History'!U65/'Price History'!U64-1),"")</f>
        <v/>
      </c>
      <c r="V64" s="143" t="n">
        <f aca="false">IFERROR(IF(OR(NOT(ISNUMBER('Price History'!V65)),NOT(ISNUMBER('Price History'!V64)),'Price History'!V64=0),"",'Price History'!V65/'Price History'!V64-1),"")</f>
        <v>0.0459975886887583</v>
      </c>
      <c r="W64" s="144" t="str">
        <f aca="false">IFERROR('Price History'!B3+(INDEX('Price History'!B:B,MATCH(9.99E+307,'Price History'!$A:$A))-'Price History'!B3)*(ROW()-3)/(MATCH(9.99E+307,'Returns (Calc)'!$A:$A)-3),"")</f>
        <v/>
      </c>
      <c r="X64" s="144" t="n">
        <f aca="false">IFERROR('Price History'!C3+(INDEX('Price History'!C:C,MATCH(9.99E+307,'Price History'!$A:$A))-'Price History'!C3)*(ROW()-3)/(MATCH(9.99E+307,'Returns (Calc)'!$A:$A)-3),"")</f>
        <v>28.3510126582278</v>
      </c>
      <c r="Y64" s="144" t="n">
        <f aca="false">IFERROR('Price History'!D3+(INDEX('Price History'!D:D,MATCH(9.99E+307,'Price History'!$A:$A))-'Price History'!D3)*(ROW()-3)/(MATCH(9.99E+307,'Returns (Calc)'!$A:$A)-3),"")</f>
        <v>357.309936708861</v>
      </c>
      <c r="Z64" s="144" t="n">
        <f aca="false">IFERROR('Price History'!E3+(INDEX('Price History'!E:E,MATCH(9.99E+307,'Price History'!$A:$A))-'Price History'!E3)*(ROW()-3)/(MATCH(9.99E+307,'Returns (Calc)'!$A:$A)-3),"")</f>
        <v>50.3417721518987</v>
      </c>
      <c r="AA64" s="144" t="n">
        <f aca="false">IFERROR('Price History'!F3+(INDEX('Price History'!F:F,MATCH(9.99E+307,'Price History'!$A:$A))-'Price History'!F3)*(ROW()-3)/(MATCH(9.99E+307,'Returns (Calc)'!$A:$A)-3),"")</f>
        <v>46.2346202531646</v>
      </c>
      <c r="AB64" s="144" t="n">
        <f aca="false">IFERROR('Price History'!G3+(INDEX('Price History'!G:G,MATCH(9.99E+307,'Price History'!$A:$A))-'Price History'!G3)*(ROW()-3)/(MATCH(9.99E+307,'Returns (Calc)'!$A:$A)-3),"")</f>
        <v>25.3918987341772</v>
      </c>
      <c r="AC64" s="144" t="n">
        <f aca="false">IFERROR('Price History'!H3+(INDEX('Price History'!H:H,MATCH(9.99E+307,'Price History'!$A:$A))-'Price History'!H3)*(ROW()-3)/(MATCH(9.99E+307,'Returns (Calc)'!$A:$A)-3),"")</f>
        <v>61.7546202531646</v>
      </c>
      <c r="AD64" s="144" t="n">
        <f aca="false">IFERROR('Price History'!I3+(INDEX('Price History'!I:I,MATCH(9.99E+307,'Price History'!$A:$A))-'Price History'!I3)*(ROW()-3)/(MATCH(9.99E+307,'Returns (Calc)'!$A:$A)-3),"")</f>
        <v>27.2275316455696</v>
      </c>
      <c r="AE64" s="144" t="n">
        <f aca="false">IFERROR('Price History'!J3+(INDEX('Price History'!J:J,MATCH(9.99E+307,'Price History'!$A:$A))-'Price History'!J3)*(ROW()-3)/(MATCH(9.99E+307,'Returns (Calc)'!$A:$A)-3),"")</f>
        <v>42.4282911392405</v>
      </c>
      <c r="AF64" s="144" t="n">
        <f aca="false">IFERROR('Price History'!K3+(INDEX('Price History'!K:K,MATCH(9.99E+307,'Price History'!$A:$A))-'Price History'!K3)*(ROW()-3)/(MATCH(9.99E+307,'Returns (Calc)'!$A:$A)-3),"")</f>
        <v>26.8714556962025</v>
      </c>
      <c r="AG64" s="144" t="n">
        <f aca="false">IFERROR('Price History'!L3+(INDEX('Price History'!L:L,MATCH(9.99E+307,'Price History'!$A:$A))-'Price History'!L3)*(ROW()-3)/(MATCH(9.99E+307,'Returns (Calc)'!$A:$A)-3),"")</f>
        <v>68.6612658227848</v>
      </c>
      <c r="AH64" s="144" t="n">
        <f aca="false">IFERROR('Price History'!M3+(INDEX('Price History'!M:M,MATCH(9.99E+307,'Price History'!$A:$A))-'Price History'!M3)*(ROW()-3)/(MATCH(9.99E+307,'Returns (Calc)'!$A:$A)-3),"")</f>
        <v>9.41145569620253</v>
      </c>
      <c r="AI64" s="144" t="n">
        <f aca="false">IFERROR('Price History'!N3+(INDEX('Price History'!N:N,MATCH(9.99E+307,'Price History'!$A:$A))-'Price History'!N3)*(ROW()-3)/(MATCH(9.99E+307,'Returns (Calc)'!$A:$A)-3),"")</f>
        <v>13.3835443037975</v>
      </c>
      <c r="AJ64" s="144" t="n">
        <f aca="false">IFERROR('Price History'!O3+(INDEX('Price History'!O:O,MATCH(9.99E+307,'Price History'!$A:$A))-'Price History'!O3)*(ROW()-3)/(MATCH(9.99E+307,'Returns (Calc)'!$A:$A)-3),"")</f>
        <v>35.3804430379747</v>
      </c>
      <c r="AK64" s="144" t="n">
        <f aca="false">IFERROR('Price History'!Q3+(INDEX('Price History'!Q:Q,MATCH(9.99E+307,'Price History'!$A:$A))-'Price History'!Q3)*(ROW()-3)/(MATCH(9.99E+307,'Returns (Calc)'!$A:$A)-3),"")</f>
        <v>144.658924050633</v>
      </c>
      <c r="AL64" s="144" t="n">
        <f aca="false">IFERROR('Price History'!R3+(INDEX('Price History'!R:R,MATCH(9.99E+307,'Price History'!$A:$A))-'Price History'!R3)*(ROW()-3)/(MATCH(9.99E+307,'Returns (Calc)'!$A:$A)-3),"")</f>
        <v>29.3578481012658</v>
      </c>
      <c r="AM64" s="144" t="n">
        <f aca="false">IFERROR('Price History'!S3+(INDEX('Price History'!S:S,MATCH(9.99E+307,'Price History'!$A:$A))-'Price History'!S3)*(ROW()-3)/(MATCH(9.99E+307,'Returns (Calc)'!$A:$A)-3),"")</f>
        <v>35.9391139240506</v>
      </c>
      <c r="AN64" s="144" t="n">
        <f aca="false">IFERROR('Price History'!T3+(INDEX('Price History'!T:T,MATCH(9.99E+307,'Price History'!$A:$A))-'Price History'!T3)*(ROW()-3)/(MATCH(9.99E+307,'Returns (Calc)'!$A:$A)-3),"")</f>
        <v>16.5206962025316</v>
      </c>
      <c r="AO64" s="145" t="n">
        <f aca="false">IFERROR('Price History'!V3+(INDEX('Price History'!V:V,MATCH(9.99E+307,'Price History'!$A:$A))-'Price History'!V3)*(ROW()-3)/(MATCH(9.99E+307,'Returns (Calc)'!$A:$A)-3),"")</f>
        <v>0</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0.00679000196811641</v>
      </c>
      <c r="G65" s="142" t="n">
        <f aca="false">IFERROR(IF(OR(NOT(ISNUMBER('Price History'!G66)),NOT(ISNUMBER('Price History'!G65)),'Price History'!G65=0),"",'Price History'!G66/'Price History'!G65-1),"")</f>
        <v>-0.070699473514559</v>
      </c>
      <c r="H65" s="142" t="n">
        <f aca="false">IFERROR(IF(OR(NOT(ISNUMBER('Price History'!H66)),NOT(ISNUMBER('Price History'!H65)),'Price History'!H65=0),"",'Price History'!H66/'Price History'!H65-1),"")</f>
        <v>0.00936768149882905</v>
      </c>
      <c r="I65" s="142" t="n">
        <f aca="false">IFERROR(IF(OR(NOT(ISNUMBER('Price History'!I66)),NOT(ISNUMBER('Price History'!I65)),'Price History'!I65=0),"",'Price History'!I66/'Price History'!I65-1),"")</f>
        <v>0.0117125672681229</v>
      </c>
      <c r="J65" s="142" t="n">
        <f aca="false">IFERROR(IF(OR(NOT(ISNUMBER('Price History'!J66)),NOT(ISNUMBER('Price History'!J65)),'Price History'!J65=0),"",'Price History'!J66/'Price History'!J65-1),"")</f>
        <v>-0.0456370580746254</v>
      </c>
      <c r="K65" s="142" t="n">
        <f aca="false">IFERROR(IF(OR(NOT(ISNUMBER('Price History'!K66)),NOT(ISNUMBER('Price History'!K65)),'Price History'!K65=0),"",'Price History'!K66/'Price History'!K65-1),"")</f>
        <v>-0.0260648442466624</v>
      </c>
      <c r="L65" s="142" t="n">
        <f aca="false">IFERROR(IF(OR(NOT(ISNUMBER('Price History'!L66)),NOT(ISNUMBER('Price History'!L65)),'Price History'!L65=0),"",'Price History'!L66/'Price History'!L65-1),"")</f>
        <v>0.00849413719878123</v>
      </c>
      <c r="M65" s="142" t="n">
        <f aca="false">IFERROR(IF(OR(NOT(ISNUMBER('Price History'!M66)),NOT(ISNUMBER('Price History'!M65)),'Price History'!M65=0),"",'Price History'!M66/'Price History'!M65-1),"")</f>
        <v>0.0424242424242425</v>
      </c>
      <c r="N65" s="142" t="n">
        <f aca="false">IFERROR(IF(OR(NOT(ISNUMBER('Price History'!N66)),NOT(ISNUMBER('Price History'!N65)),'Price History'!N65=0),"",'Price History'!N66/'Price History'!N65-1),"")</f>
        <v>0.00622482607103625</v>
      </c>
      <c r="O65" s="142" t="n">
        <f aca="false">IFERROR(IF(OR(NOT(ISNUMBER('Price History'!O66)),NOT(ISNUMBER('Price History'!O65)),'Price History'!O65=0),"",'Price History'!O66/'Price History'!O65-1),"")</f>
        <v>0.0130753694057617</v>
      </c>
      <c r="P65" s="142" t="n">
        <f aca="false">IFERROR(IF(OR(NOT(ISNUMBER('Price History'!P66)),NOT(ISNUMBER('Price History'!P65)),'Price History'!P65=0),"",'Price History'!P66/'Price History'!P65-1),"")</f>
        <v>-0.0285175202156334</v>
      </c>
      <c r="Q65" s="142" t="n">
        <f aca="false">IFERROR(IF(OR(NOT(ISNUMBER('Price History'!Q66)),NOT(ISNUMBER('Price History'!Q65)),'Price History'!Q65=0),"",'Price History'!Q66/'Price History'!Q65-1),"")</f>
        <v>0.0166394246485782</v>
      </c>
      <c r="R65" s="142" t="n">
        <f aca="false">IFERROR(IF(OR(NOT(ISNUMBER('Price History'!R66)),NOT(ISNUMBER('Price History'!R65)),'Price History'!R65=0),"",'Price History'!R66/'Price History'!R65-1),"")</f>
        <v>0.0023520897412701</v>
      </c>
      <c r="S65" s="142" t="n">
        <f aca="false">IFERROR(IF(OR(NOT(ISNUMBER('Price History'!S66)),NOT(ISNUMBER('Price History'!S65)),'Price History'!S65=0),"",'Price History'!S66/'Price History'!S65-1),"")</f>
        <v>-0.0146699266503667</v>
      </c>
      <c r="T65" s="142" t="n">
        <f aca="false">IFERROR(IF(OR(NOT(ISNUMBER('Price History'!T66)),NOT(ISNUMBER('Price History'!T65)),'Price History'!T65=0),"",'Price History'!T66/'Price History'!T65-1),"")</f>
        <v>-0.0192364604912696</v>
      </c>
      <c r="U65" s="142" t="str">
        <f aca="false">IFERROR(IF(OR(NOT(ISNUMBER('Price History'!U66)),NOT(ISNUMBER('Price History'!U65)),'Price History'!U65=0),"",'Price History'!U66/'Price History'!U65-1),"")</f>
        <v/>
      </c>
      <c r="V65" s="143" t="n">
        <f aca="false">IFERROR(IF(OR(NOT(ISNUMBER('Price History'!V66)),NOT(ISNUMBER('Price History'!V65)),'Price History'!V65=0),"",'Price History'!V66/'Price History'!V65-1),"")</f>
        <v>-0.030562347188264</v>
      </c>
      <c r="W65" s="144" t="str">
        <f aca="false">IFERROR('Price History'!B3+(INDEX('Price History'!B:B,MATCH(9.99E+307,'Price History'!$A:$A))-'Price History'!B3)*(ROW()-3)/(MATCH(9.99E+307,'Returns (Calc)'!$A:$A)-3),"")</f>
        <v/>
      </c>
      <c r="X65" s="144" t="n">
        <f aca="false">IFERROR('Price History'!C3+(INDEX('Price History'!C:C,MATCH(9.99E+307,'Price History'!$A:$A))-'Price History'!C3)*(ROW()-3)/(MATCH(9.99E+307,'Returns (Calc)'!$A:$A)-3),"")</f>
        <v>28.0587341772152</v>
      </c>
      <c r="Y65" s="144" t="n">
        <f aca="false">IFERROR('Price History'!D3+(INDEX('Price History'!D:D,MATCH(9.99E+307,'Price History'!$A:$A))-'Price History'!D3)*(ROW()-3)/(MATCH(9.99E+307,'Returns (Calc)'!$A:$A)-3),"")</f>
        <v>353.626329113924</v>
      </c>
      <c r="Z65" s="144" t="n">
        <f aca="false">IFERROR('Price History'!E3+(INDEX('Price History'!E:E,MATCH(9.99E+307,'Price History'!$A:$A))-'Price History'!E3)*(ROW()-3)/(MATCH(9.99E+307,'Returns (Calc)'!$A:$A)-3),"")</f>
        <v>49.8227848101266</v>
      </c>
      <c r="AA65" s="144" t="n">
        <f aca="false">IFERROR('Price History'!F3+(INDEX('Price History'!F:F,MATCH(9.99E+307,'Price History'!$A:$A))-'Price History'!F3)*(ROW()-3)/(MATCH(9.99E+307,'Returns (Calc)'!$A:$A)-3),"")</f>
        <v>45.7579746835443</v>
      </c>
      <c r="AB65" s="144" t="n">
        <f aca="false">IFERROR('Price History'!G3+(INDEX('Price History'!G:G,MATCH(9.99E+307,'Price History'!$A:$A))-'Price History'!G3)*(ROW()-3)/(MATCH(9.99E+307,'Returns (Calc)'!$A:$A)-3),"")</f>
        <v>25.1301265822785</v>
      </c>
      <c r="AC65" s="144" t="n">
        <f aca="false">IFERROR('Price History'!H3+(INDEX('Price History'!H:H,MATCH(9.99E+307,'Price History'!$A:$A))-'Price History'!H3)*(ROW()-3)/(MATCH(9.99E+307,'Returns (Calc)'!$A:$A)-3),"")</f>
        <v>61.1179746835443</v>
      </c>
      <c r="AD65" s="144" t="n">
        <f aca="false">IFERROR('Price History'!I3+(INDEX('Price History'!I:I,MATCH(9.99E+307,'Price History'!$A:$A))-'Price History'!I3)*(ROW()-3)/(MATCH(9.99E+307,'Returns (Calc)'!$A:$A)-3),"")</f>
        <v>26.946835443038</v>
      </c>
      <c r="AE65" s="144" t="n">
        <f aca="false">IFERROR('Price History'!J3+(INDEX('Price History'!J:J,MATCH(9.99E+307,'Price History'!$A:$A))-'Price History'!J3)*(ROW()-3)/(MATCH(9.99E+307,'Returns (Calc)'!$A:$A)-3),"")</f>
        <v>41.9908860759494</v>
      </c>
      <c r="AF65" s="144" t="n">
        <f aca="false">IFERROR('Price History'!K3+(INDEX('Price History'!K:K,MATCH(9.99E+307,'Price History'!$A:$A))-'Price History'!K3)*(ROW()-3)/(MATCH(9.99E+307,'Returns (Calc)'!$A:$A)-3),"")</f>
        <v>26.5944303797468</v>
      </c>
      <c r="AG65" s="144" t="n">
        <f aca="false">IFERROR('Price History'!L3+(INDEX('Price History'!L:L,MATCH(9.99E+307,'Price History'!$A:$A))-'Price History'!L3)*(ROW()-3)/(MATCH(9.99E+307,'Returns (Calc)'!$A:$A)-3),"")</f>
        <v>67.953417721519</v>
      </c>
      <c r="AH65" s="144" t="n">
        <f aca="false">IFERROR('Price History'!M3+(INDEX('Price History'!M:M,MATCH(9.99E+307,'Price History'!$A:$A))-'Price History'!M3)*(ROW()-3)/(MATCH(9.99E+307,'Returns (Calc)'!$A:$A)-3),"")</f>
        <v>9.31443037974684</v>
      </c>
      <c r="AI65" s="144" t="n">
        <f aca="false">IFERROR('Price History'!N3+(INDEX('Price History'!N:N,MATCH(9.99E+307,'Price History'!$A:$A))-'Price History'!N3)*(ROW()-3)/(MATCH(9.99E+307,'Returns (Calc)'!$A:$A)-3),"")</f>
        <v>13.2455696202532</v>
      </c>
      <c r="AJ65" s="144" t="n">
        <f aca="false">IFERROR('Price History'!O3+(INDEX('Price History'!O:O,MATCH(9.99E+307,'Price History'!$A:$A))-'Price History'!O3)*(ROW()-3)/(MATCH(9.99E+307,'Returns (Calc)'!$A:$A)-3),"")</f>
        <v>35.0156962025316</v>
      </c>
      <c r="AK65" s="144" t="n">
        <f aca="false">IFERROR('Price History'!Q3+(INDEX('Price History'!Q:Q,MATCH(9.99E+307,'Price History'!$A:$A))-'Price History'!Q3)*(ROW()-3)/(MATCH(9.99E+307,'Returns (Calc)'!$A:$A)-3),"")</f>
        <v>143.167594936709</v>
      </c>
      <c r="AL65" s="144" t="n">
        <f aca="false">IFERROR('Price History'!R3+(INDEX('Price History'!R:R,MATCH(9.99E+307,'Price History'!$A:$A))-'Price History'!R3)*(ROW()-3)/(MATCH(9.99E+307,'Returns (Calc)'!$A:$A)-3),"")</f>
        <v>29.0551898734177</v>
      </c>
      <c r="AM65" s="144" t="n">
        <f aca="false">IFERROR('Price History'!S3+(INDEX('Price History'!S:S,MATCH(9.99E+307,'Price History'!$A:$A))-'Price History'!S3)*(ROW()-3)/(MATCH(9.99E+307,'Returns (Calc)'!$A:$A)-3),"")</f>
        <v>35.5686075949367</v>
      </c>
      <c r="AN65" s="144" t="n">
        <f aca="false">IFERROR('Price History'!T3+(INDEX('Price History'!T:T,MATCH(9.99E+307,'Price History'!$A:$A))-'Price History'!T3)*(ROW()-3)/(MATCH(9.99E+307,'Returns (Calc)'!$A:$A)-3),"")</f>
        <v>16.3503797468354</v>
      </c>
      <c r="AO65" s="145" t="n">
        <f aca="false">IFERROR('Price History'!V3+(INDEX('Price History'!V:V,MATCH(9.99E+307,'Price History'!$A:$A))-'Price History'!V3)*(ROW()-3)/(MATCH(9.99E+307,'Returns (Calc)'!$A:$A)-3),"")</f>
        <v>0</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-0.0208190792688886</v>
      </c>
      <c r="G66" s="142" t="n">
        <f aca="false">IFERROR(IF(OR(NOT(ISNUMBER('Price History'!G67)),NOT(ISNUMBER('Price History'!G66)),'Price History'!G66=0),"",'Price History'!G67/'Price History'!G66-1),"")</f>
        <v>0.0568851890391953</v>
      </c>
      <c r="H66" s="142" t="n">
        <f aca="false">IFERROR(IF(OR(NOT(ISNUMBER('Price History'!H67)),NOT(ISNUMBER('Price History'!H66)),'Price History'!H66=0),"",'Price History'!H67/'Price History'!H66-1),"")</f>
        <v>-0.0252975076715817</v>
      </c>
      <c r="I66" s="142" t="n">
        <f aca="false">IFERROR(IF(OR(NOT(ISNUMBER('Price History'!I67)),NOT(ISNUMBER('Price History'!I66)),'Price History'!I66=0),"",'Price History'!I67/'Price History'!I66-1),"")</f>
        <v>0.0020337922403002</v>
      </c>
      <c r="J66" s="142" t="n">
        <f aca="false">IFERROR(IF(OR(NOT(ISNUMBER('Price History'!J67)),NOT(ISNUMBER('Price History'!J66)),'Price History'!J66=0),"",'Price History'!J67/'Price History'!J66-1),"")</f>
        <v>0.0328373524884555</v>
      </c>
      <c r="K66" s="142" t="n">
        <f aca="false">IFERROR(IF(OR(NOT(ISNUMBER('Price History'!K67)),NOT(ISNUMBER('Price History'!K66)),'Price History'!K66=0),"",'Price History'!K67/'Price History'!K66-1),"")</f>
        <v>0.0303887438352191</v>
      </c>
      <c r="L66" s="142" t="n">
        <f aca="false">IFERROR(IF(OR(NOT(ISNUMBER('Price History'!L67)),NOT(ISNUMBER('Price History'!L66)),'Price History'!L66=0),"",'Price History'!L67/'Price History'!L66-1),"")</f>
        <v>-0.0409228234001647</v>
      </c>
      <c r="M66" s="142" t="n">
        <f aca="false">IFERROR(IF(OR(NOT(ISNUMBER('Price History'!M67)),NOT(ISNUMBER('Price History'!M66)),'Price History'!M66=0),"",'Price History'!M67/'Price History'!M66-1),"")</f>
        <v>0.13804412641622</v>
      </c>
      <c r="N66" s="142" t="n">
        <f aca="false">IFERROR(IF(OR(NOT(ISNUMBER('Price History'!N67)),NOT(ISNUMBER('Price History'!N66)),'Price History'!N66=0),"",'Price History'!N67/'Price History'!N66-1),"")</f>
        <v>-0.0240174672489083</v>
      </c>
      <c r="O66" s="142" t="n">
        <f aca="false">IFERROR(IF(OR(NOT(ISNUMBER('Price History'!O67)),NOT(ISNUMBER('Price History'!O66)),'Price History'!O66=0),"",'Price History'!O67/'Price History'!O66-1),"")</f>
        <v>0.0193074501573978</v>
      </c>
      <c r="P66" s="142" t="n">
        <f aca="false">IFERROR(IF(OR(NOT(ISNUMBER('Price History'!P67)),NOT(ISNUMBER('Price History'!P66)),'Price History'!P66=0),"",'Price History'!P67/'Price History'!P66-1),"")</f>
        <v>0.0994395427556738</v>
      </c>
      <c r="Q66" s="142" t="n">
        <f aca="false">IFERROR(IF(OR(NOT(ISNUMBER('Price History'!Q67)),NOT(ISNUMBER('Price History'!Q66)),'Price History'!Q66=0),"",'Price History'!Q67/'Price History'!Q66-1),"")</f>
        <v>-0.0129264606578989</v>
      </c>
      <c r="R66" s="142" t="n">
        <f aca="false">IFERROR(IF(OR(NOT(ISNUMBER('Price History'!R67)),NOT(ISNUMBER('Price History'!R66)),'Price History'!R66=0),"",'Price History'!R67/'Price History'!R66-1),"")</f>
        <v>-0.0173285198555957</v>
      </c>
      <c r="S66" s="142" t="n">
        <f aca="false">IFERROR(IF(OR(NOT(ISNUMBER('Price History'!S67)),NOT(ISNUMBER('Price History'!S66)),'Price History'!S66=0),"",'Price History'!S67/'Price History'!S66-1),"")</f>
        <v>-0.0137015859315999</v>
      </c>
      <c r="T66" s="142" t="n">
        <f aca="false">IFERROR(IF(OR(NOT(ISNUMBER('Price History'!T67)),NOT(ISNUMBER('Price History'!T66)),'Price History'!T66=0),"",'Price History'!T67/'Price History'!T66-1),"")</f>
        <v>0.000603500301749937</v>
      </c>
      <c r="U66" s="142" t="str">
        <f aca="false">IFERROR(IF(OR(NOT(ISNUMBER('Price History'!U67)),NOT(ISNUMBER('Price History'!U66)),'Price History'!U66=0),"",'Price History'!U67/'Price History'!U66-1),"")</f>
        <v/>
      </c>
      <c r="V66" s="143" t="n">
        <f aca="false">IFERROR(IF(OR(NOT(ISNUMBER('Price History'!V67)),NOT(ISNUMBER('Price History'!V66)),'Price History'!V66=0),"",'Price History'!V67/'Price History'!V66-1),"")</f>
        <v>0.0319582057286976</v>
      </c>
      <c r="W66" s="144" t="str">
        <f aca="false">IFERROR('Price History'!B3+(INDEX('Price History'!B:B,MATCH(9.99E+307,'Price History'!$A:$A))-'Price History'!B3)*(ROW()-3)/(MATCH(9.99E+307,'Returns (Calc)'!$A:$A)-3),"")</f>
        <v/>
      </c>
      <c r="X66" s="144" t="n">
        <f aca="false">IFERROR('Price History'!C3+(INDEX('Price History'!C:C,MATCH(9.99E+307,'Price History'!$A:$A))-'Price History'!C3)*(ROW()-3)/(MATCH(9.99E+307,'Returns (Calc)'!$A:$A)-3),"")</f>
        <v>27.7664556962025</v>
      </c>
      <c r="Y66" s="144" t="n">
        <f aca="false">IFERROR('Price History'!D3+(INDEX('Price History'!D:D,MATCH(9.99E+307,'Price History'!$A:$A))-'Price History'!D3)*(ROW()-3)/(MATCH(9.99E+307,'Returns (Calc)'!$A:$A)-3),"")</f>
        <v>349.942721518987</v>
      </c>
      <c r="Z66" s="144" t="n">
        <f aca="false">IFERROR('Price History'!E3+(INDEX('Price History'!E:E,MATCH(9.99E+307,'Price History'!$A:$A))-'Price History'!E3)*(ROW()-3)/(MATCH(9.99E+307,'Returns (Calc)'!$A:$A)-3),"")</f>
        <v>49.3037974683544</v>
      </c>
      <c r="AA66" s="144" t="n">
        <f aca="false">IFERROR('Price History'!F3+(INDEX('Price History'!F:F,MATCH(9.99E+307,'Price History'!$A:$A))-'Price History'!F3)*(ROW()-3)/(MATCH(9.99E+307,'Returns (Calc)'!$A:$A)-3),"")</f>
        <v>45.2813291139241</v>
      </c>
      <c r="AB66" s="144" t="n">
        <f aca="false">IFERROR('Price History'!G3+(INDEX('Price History'!G:G,MATCH(9.99E+307,'Price History'!$A:$A))-'Price History'!G3)*(ROW()-3)/(MATCH(9.99E+307,'Returns (Calc)'!$A:$A)-3),"")</f>
        <v>24.8683544303797</v>
      </c>
      <c r="AC66" s="144" t="n">
        <f aca="false">IFERROR('Price History'!H3+(INDEX('Price History'!H:H,MATCH(9.99E+307,'Price History'!$A:$A))-'Price History'!H3)*(ROW()-3)/(MATCH(9.99E+307,'Returns (Calc)'!$A:$A)-3),"")</f>
        <v>60.4813291139241</v>
      </c>
      <c r="AD66" s="144" t="n">
        <f aca="false">IFERROR('Price History'!I3+(INDEX('Price History'!I:I,MATCH(9.99E+307,'Price History'!$A:$A))-'Price History'!I3)*(ROW()-3)/(MATCH(9.99E+307,'Returns (Calc)'!$A:$A)-3),"")</f>
        <v>26.6661392405063</v>
      </c>
      <c r="AE66" s="144" t="n">
        <f aca="false">IFERROR('Price History'!J3+(INDEX('Price History'!J:J,MATCH(9.99E+307,'Price History'!$A:$A))-'Price History'!J3)*(ROW()-3)/(MATCH(9.99E+307,'Returns (Calc)'!$A:$A)-3),"")</f>
        <v>41.5534810126582</v>
      </c>
      <c r="AF66" s="144" t="n">
        <f aca="false">IFERROR('Price History'!K3+(INDEX('Price History'!K:K,MATCH(9.99E+307,'Price History'!$A:$A))-'Price History'!K3)*(ROW()-3)/(MATCH(9.99E+307,'Returns (Calc)'!$A:$A)-3),"")</f>
        <v>26.3174050632911</v>
      </c>
      <c r="AG66" s="144" t="n">
        <f aca="false">IFERROR('Price History'!L3+(INDEX('Price History'!L:L,MATCH(9.99E+307,'Price History'!$A:$A))-'Price History'!L3)*(ROW()-3)/(MATCH(9.99E+307,'Returns (Calc)'!$A:$A)-3),"")</f>
        <v>67.2455696202532</v>
      </c>
      <c r="AH66" s="144" t="n">
        <f aca="false">IFERROR('Price History'!M3+(INDEX('Price History'!M:M,MATCH(9.99E+307,'Price History'!$A:$A))-'Price History'!M3)*(ROW()-3)/(MATCH(9.99E+307,'Returns (Calc)'!$A:$A)-3),"")</f>
        <v>9.21740506329114</v>
      </c>
      <c r="AI66" s="144" t="n">
        <f aca="false">IFERROR('Price History'!N3+(INDEX('Price History'!N:N,MATCH(9.99E+307,'Price History'!$A:$A))-'Price History'!N3)*(ROW()-3)/(MATCH(9.99E+307,'Returns (Calc)'!$A:$A)-3),"")</f>
        <v>13.1075949367089</v>
      </c>
      <c r="AJ66" s="144" t="n">
        <f aca="false">IFERROR('Price History'!O3+(INDEX('Price History'!O:O,MATCH(9.99E+307,'Price History'!$A:$A))-'Price History'!O3)*(ROW()-3)/(MATCH(9.99E+307,'Returns (Calc)'!$A:$A)-3),"")</f>
        <v>34.6509493670886</v>
      </c>
      <c r="AK66" s="144" t="n">
        <f aca="false">IFERROR('Price History'!Q3+(INDEX('Price History'!Q:Q,MATCH(9.99E+307,'Price History'!$A:$A))-'Price History'!Q3)*(ROW()-3)/(MATCH(9.99E+307,'Returns (Calc)'!$A:$A)-3),"")</f>
        <v>141.676265822785</v>
      </c>
      <c r="AL66" s="144" t="n">
        <f aca="false">IFERROR('Price History'!R3+(INDEX('Price History'!R:R,MATCH(9.99E+307,'Price History'!$A:$A))-'Price History'!R3)*(ROW()-3)/(MATCH(9.99E+307,'Returns (Calc)'!$A:$A)-3),"")</f>
        <v>28.7525316455696</v>
      </c>
      <c r="AM66" s="144" t="n">
        <f aca="false">IFERROR('Price History'!S3+(INDEX('Price History'!S:S,MATCH(9.99E+307,'Price History'!$A:$A))-'Price History'!S3)*(ROW()-3)/(MATCH(9.99E+307,'Returns (Calc)'!$A:$A)-3),"")</f>
        <v>35.1981012658228</v>
      </c>
      <c r="AN66" s="144" t="n">
        <f aca="false">IFERROR('Price History'!T3+(INDEX('Price History'!T:T,MATCH(9.99E+307,'Price History'!$A:$A))-'Price History'!T3)*(ROW()-3)/(MATCH(9.99E+307,'Returns (Calc)'!$A:$A)-3),"")</f>
        <v>16.1800632911392</v>
      </c>
      <c r="AO66" s="145" t="n">
        <f aca="false">IFERROR('Price History'!V3+(INDEX('Price History'!V:V,MATCH(9.99E+307,'Price History'!$A:$A))-'Price History'!V3)*(ROW()-3)/(MATCH(9.99E+307,'Returns (Calc)'!$A:$A)-3),"")</f>
        <v>0</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-0.0123777201038132</v>
      </c>
      <c r="G67" s="142" t="n">
        <f aca="false">IFERROR(IF(OR(NOT(ISNUMBER('Price History'!G68)),NOT(ISNUMBER('Price History'!G67)),'Price History'!G67=0),"",'Price History'!G68/'Price History'!G67-1),"")</f>
        <v>0.00645443605732421</v>
      </c>
      <c r="H67" s="142" t="n">
        <f aca="false">IFERROR(IF(OR(NOT(ISNUMBER('Price History'!H68)),NOT(ISNUMBER('Price History'!H67)),'Price History'!H67=0),"",'Price History'!H68/'Price History'!H67-1),"")</f>
        <v>-0.0201950395454196</v>
      </c>
      <c r="I67" s="142" t="n">
        <f aca="false">IFERROR(IF(OR(NOT(ISNUMBER('Price History'!I68)),NOT(ISNUMBER('Price History'!I67)),'Price History'!I67=0),"",'Price History'!I68/'Price History'!I67-1),"")</f>
        <v>0.00827478532396575</v>
      </c>
      <c r="J67" s="142" t="n">
        <f aca="false">IFERROR(IF(OR(NOT(ISNUMBER('Price History'!J68)),NOT(ISNUMBER('Price History'!J67)),'Price History'!J67=0),"",'Price History'!J68/'Price History'!J67-1),"")</f>
        <v>0.0131147540983605</v>
      </c>
      <c r="K67" s="142" t="n">
        <f aca="false">IFERROR(IF(OR(NOT(ISNUMBER('Price History'!K68)),NOT(ISNUMBER('Price History'!K67)),'Price History'!K67=0),"",'Price History'!K68/'Price History'!K67-1),"")</f>
        <v>-0.0575068628141057</v>
      </c>
      <c r="L67" s="142" t="n">
        <f aca="false">IFERROR(IF(OR(NOT(ISNUMBER('Price History'!L68)),NOT(ISNUMBER('Price History'!L67)),'Price History'!L67=0),"",'Price History'!L68/'Price History'!L67-1),"")</f>
        <v>-0.00773195876288657</v>
      </c>
      <c r="M67" s="142" t="n">
        <f aca="false">IFERROR(IF(OR(NOT(ISNUMBER('Price History'!M68)),NOT(ISNUMBER('Price History'!M67)),'Price History'!M67=0),"",'Price History'!M68/'Price History'!M67-1),"")</f>
        <v>-0.00353680901231346</v>
      </c>
      <c r="N67" s="142" t="n">
        <f aca="false">IFERROR(IF(OR(NOT(ISNUMBER('Price History'!N68)),NOT(ISNUMBER('Price History'!N67)),'Price History'!N67=0),"",'Price History'!N68/'Price History'!N67-1),"")</f>
        <v>-0.0149142431021625</v>
      </c>
      <c r="O67" s="142" t="n">
        <f aca="false">IFERROR(IF(OR(NOT(ISNUMBER('Price History'!O68)),NOT(ISNUMBER('Price History'!O67)),'Price History'!O67=0),"",'Price History'!O68/'Price History'!O67-1),"")</f>
        <v>-0.00936792258595842</v>
      </c>
      <c r="P67" s="142" t="n">
        <f aca="false">IFERROR(IF(OR(NOT(ISNUMBER('Price History'!P68)),NOT(ISNUMBER('Price History'!P67)),'Price History'!P67=0),"",'Price History'!P68/'Price History'!P67-1),"")</f>
        <v>-0.00686418008378331</v>
      </c>
      <c r="Q67" s="142" t="n">
        <f aca="false">IFERROR(IF(OR(NOT(ISNUMBER('Price History'!Q68)),NOT(ISNUMBER('Price History'!Q67)),'Price History'!Q67=0),"",'Price History'!Q68/'Price History'!Q67-1),"")</f>
        <v>0.0119881421637291</v>
      </c>
      <c r="R67" s="142" t="n">
        <f aca="false">IFERROR(IF(OR(NOT(ISNUMBER('Price History'!R68)),NOT(ISNUMBER('Price History'!R67)),'Price History'!R67=0),"",'Price History'!R68/'Price History'!R67-1),"")</f>
        <v>0.038574577516532</v>
      </c>
      <c r="S67" s="142" t="n">
        <f aca="false">IFERROR(IF(OR(NOT(ISNUMBER('Price History'!S68)),NOT(ISNUMBER('Price History'!S67)),'Price History'!S67=0),"",'Price History'!S68/'Price History'!S67-1),"")</f>
        <v>0.0598337344126012</v>
      </c>
      <c r="T67" s="142" t="n">
        <f aca="false">IFERROR(IF(OR(NOT(ISNUMBER('Price History'!T68)),NOT(ISNUMBER('Price History'!T67)),'Price History'!T67=0),"",'Price History'!T68/'Price History'!T67-1),"")</f>
        <v>0.0775030156815439</v>
      </c>
      <c r="U67" s="142" t="str">
        <f aca="false">IFERROR(IF(OR(NOT(ISNUMBER('Price History'!U68)),NOT(ISNUMBER('Price History'!U67)),'Price History'!U67=0),"",'Price History'!U68/'Price History'!U67-1),"")</f>
        <v/>
      </c>
      <c r="V67" s="143" t="n">
        <f aca="false">IFERROR(IF(OR(NOT(ISNUMBER('Price History'!V68)),NOT(ISNUMBER('Price History'!V67)),'Price History'!V67=0),"",'Price History'!V68/'Price History'!V67-1),"")</f>
        <v>0.0589344319530758</v>
      </c>
      <c r="W67" s="144" t="str">
        <f aca="false">IFERROR('Price History'!B3+(INDEX('Price History'!B:B,MATCH(9.99E+307,'Price History'!$A:$A))-'Price History'!B3)*(ROW()-3)/(MATCH(9.99E+307,'Returns (Calc)'!$A:$A)-3),"")</f>
        <v/>
      </c>
      <c r="X67" s="144" t="n">
        <f aca="false">IFERROR('Price History'!C3+(INDEX('Price History'!C:C,MATCH(9.99E+307,'Price History'!$A:$A))-'Price History'!C3)*(ROW()-3)/(MATCH(9.99E+307,'Returns (Calc)'!$A:$A)-3),"")</f>
        <v>27.4741772151899</v>
      </c>
      <c r="Y67" s="144" t="n">
        <f aca="false">IFERROR('Price History'!D3+(INDEX('Price History'!D:D,MATCH(9.99E+307,'Price History'!$A:$A))-'Price History'!D3)*(ROW()-3)/(MATCH(9.99E+307,'Returns (Calc)'!$A:$A)-3),"")</f>
        <v>346.259113924051</v>
      </c>
      <c r="Z67" s="144" t="n">
        <f aca="false">IFERROR('Price History'!E3+(INDEX('Price History'!E:E,MATCH(9.99E+307,'Price History'!$A:$A))-'Price History'!E3)*(ROW()-3)/(MATCH(9.99E+307,'Returns (Calc)'!$A:$A)-3),"")</f>
        <v>48.7848101265823</v>
      </c>
      <c r="AA67" s="144" t="n">
        <f aca="false">IFERROR('Price History'!F3+(INDEX('Price History'!F:F,MATCH(9.99E+307,'Price History'!$A:$A))-'Price History'!F3)*(ROW()-3)/(MATCH(9.99E+307,'Returns (Calc)'!$A:$A)-3),"")</f>
        <v>44.8046835443038</v>
      </c>
      <c r="AB67" s="144" t="n">
        <f aca="false">IFERROR('Price History'!G3+(INDEX('Price History'!G:G,MATCH(9.99E+307,'Price History'!$A:$A))-'Price History'!G3)*(ROW()-3)/(MATCH(9.99E+307,'Returns (Calc)'!$A:$A)-3),"")</f>
        <v>24.606582278481</v>
      </c>
      <c r="AC67" s="144" t="n">
        <f aca="false">IFERROR('Price History'!H3+(INDEX('Price History'!H:H,MATCH(9.99E+307,'Price History'!$A:$A))-'Price History'!H3)*(ROW()-3)/(MATCH(9.99E+307,'Returns (Calc)'!$A:$A)-3),"")</f>
        <v>59.8446835443038</v>
      </c>
      <c r="AD67" s="144" t="n">
        <f aca="false">IFERROR('Price History'!I3+(INDEX('Price History'!I:I,MATCH(9.99E+307,'Price History'!$A:$A))-'Price History'!I3)*(ROW()-3)/(MATCH(9.99E+307,'Returns (Calc)'!$A:$A)-3),"")</f>
        <v>26.3854430379747</v>
      </c>
      <c r="AE67" s="144" t="n">
        <f aca="false">IFERROR('Price History'!J3+(INDEX('Price History'!J:J,MATCH(9.99E+307,'Price History'!$A:$A))-'Price History'!J3)*(ROW()-3)/(MATCH(9.99E+307,'Returns (Calc)'!$A:$A)-3),"")</f>
        <v>41.1160759493671</v>
      </c>
      <c r="AF67" s="144" t="n">
        <f aca="false">IFERROR('Price History'!K3+(INDEX('Price History'!K:K,MATCH(9.99E+307,'Price History'!$A:$A))-'Price History'!K3)*(ROW()-3)/(MATCH(9.99E+307,'Returns (Calc)'!$A:$A)-3),"")</f>
        <v>26.0403797468354</v>
      </c>
      <c r="AG67" s="144" t="n">
        <f aca="false">IFERROR('Price History'!L3+(INDEX('Price History'!L:L,MATCH(9.99E+307,'Price History'!$A:$A))-'Price History'!L3)*(ROW()-3)/(MATCH(9.99E+307,'Returns (Calc)'!$A:$A)-3),"")</f>
        <v>66.5377215189874</v>
      </c>
      <c r="AH67" s="144" t="n">
        <f aca="false">IFERROR('Price History'!M3+(INDEX('Price History'!M:M,MATCH(9.99E+307,'Price History'!$A:$A))-'Price History'!M3)*(ROW()-3)/(MATCH(9.99E+307,'Returns (Calc)'!$A:$A)-3),"")</f>
        <v>9.12037974683544</v>
      </c>
      <c r="AI67" s="144" t="n">
        <f aca="false">IFERROR('Price History'!N3+(INDEX('Price History'!N:N,MATCH(9.99E+307,'Price History'!$A:$A))-'Price History'!N3)*(ROW()-3)/(MATCH(9.99E+307,'Returns (Calc)'!$A:$A)-3),"")</f>
        <v>12.9696202531646</v>
      </c>
      <c r="AJ67" s="144" t="n">
        <f aca="false">IFERROR('Price History'!O3+(INDEX('Price History'!O:O,MATCH(9.99E+307,'Price History'!$A:$A))-'Price History'!O3)*(ROW()-3)/(MATCH(9.99E+307,'Returns (Calc)'!$A:$A)-3),"")</f>
        <v>34.2862025316456</v>
      </c>
      <c r="AK67" s="144" t="n">
        <f aca="false">IFERROR('Price History'!Q3+(INDEX('Price History'!Q:Q,MATCH(9.99E+307,'Price History'!$A:$A))-'Price History'!Q3)*(ROW()-3)/(MATCH(9.99E+307,'Returns (Calc)'!$A:$A)-3),"")</f>
        <v>140.184936708861</v>
      </c>
      <c r="AL67" s="144" t="n">
        <f aca="false">IFERROR('Price History'!R3+(INDEX('Price History'!R:R,MATCH(9.99E+307,'Price History'!$A:$A))-'Price History'!R3)*(ROW()-3)/(MATCH(9.99E+307,'Returns (Calc)'!$A:$A)-3),"")</f>
        <v>28.4498734177215</v>
      </c>
      <c r="AM67" s="144" t="n">
        <f aca="false">IFERROR('Price History'!S3+(INDEX('Price History'!S:S,MATCH(9.99E+307,'Price History'!$A:$A))-'Price History'!S3)*(ROW()-3)/(MATCH(9.99E+307,'Returns (Calc)'!$A:$A)-3),"")</f>
        <v>34.8275949367089</v>
      </c>
      <c r="AN67" s="144" t="n">
        <f aca="false">IFERROR('Price History'!T3+(INDEX('Price History'!T:T,MATCH(9.99E+307,'Price History'!$A:$A))-'Price History'!T3)*(ROW()-3)/(MATCH(9.99E+307,'Returns (Calc)'!$A:$A)-3),"")</f>
        <v>16.009746835443</v>
      </c>
      <c r="AO67" s="145" t="n">
        <f aca="false">IFERROR('Price History'!V3+(INDEX('Price History'!V:V,MATCH(9.99E+307,'Price History'!$A:$A))-'Price History'!V3)*(ROW()-3)/(MATCH(9.99E+307,'Returns (Calc)'!$A:$A)-3),"")</f>
        <v>0</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-0.0538710329492622</v>
      </c>
      <c r="G68" s="142" t="n">
        <f aca="false">IFERROR(IF(OR(NOT(ISNUMBER('Price History'!G69)),NOT(ISNUMBER('Price History'!G68)),'Price History'!G68=0),"",'Price History'!G69/'Price History'!G68-1),"")</f>
        <v>-0.0155434782608697</v>
      </c>
      <c r="H68" s="142" t="n">
        <f aca="false">IFERROR(IF(OR(NOT(ISNUMBER('Price History'!H69)),NOT(ISNUMBER('Price History'!H68)),'Price History'!H68=0),"",'Price History'!H69/'Price History'!H68-1),"")</f>
        <v>-0.0315830721003135</v>
      </c>
      <c r="I68" s="142" t="n">
        <f aca="false">IFERROR(IF(OR(NOT(ISNUMBER('Price History'!I69)),NOT(ISNUMBER('Price History'!I68)),'Price History'!I68=0),"",'Price History'!I69/'Price History'!I68-1),"")</f>
        <v>-0.0373180551254257</v>
      </c>
      <c r="J68" s="142" t="n">
        <f aca="false">IFERROR(IF(OR(NOT(ISNUMBER('Price History'!J69)),NOT(ISNUMBER('Price History'!J68)),'Price History'!J68=0),"",'Price History'!J69/'Price History'!J68-1),"")</f>
        <v>-0.120721780915956</v>
      </c>
      <c r="K68" s="142" t="n">
        <f aca="false">IFERROR(IF(OR(NOT(ISNUMBER('Price History'!K69)),NOT(ISNUMBER('Price History'!K68)),'Price History'!K68=0),"",'Price History'!K69/'Price History'!K68-1),"")</f>
        <v>0.00336071695294993</v>
      </c>
      <c r="L68" s="142" t="n">
        <f aca="false">IFERROR(IF(OR(NOT(ISNUMBER('Price History'!L69)),NOT(ISNUMBER('Price History'!L68)),'Price History'!L68=0),"",'Price History'!L69/'Price History'!L68-1),"")</f>
        <v>-0.0622414622414622</v>
      </c>
      <c r="M68" s="142" t="n">
        <f aca="false">IFERROR(IF(OR(NOT(ISNUMBER('Price History'!M69)),NOT(ISNUMBER('Price History'!M68)),'Price History'!M68=0),"",'Price History'!M69/'Price History'!M68-1),"")</f>
        <v>0.0588931247535165</v>
      </c>
      <c r="N68" s="142" t="n">
        <f aca="false">IFERROR(IF(OR(NOT(ISNUMBER('Price History'!N69)),NOT(ISNUMBER('Price History'!N68)),'Price History'!N68=0),"",'Price History'!N69/'Price History'!N68-1),"")</f>
        <v>-0.0299015897047692</v>
      </c>
      <c r="O68" s="142" t="n">
        <f aca="false">IFERROR(IF(OR(NOT(ISNUMBER('Price History'!O69)),NOT(ISNUMBER('Price History'!O68)),'Price History'!O68=0),"",'Price History'!O69/'Price History'!O68-1),"")</f>
        <v>-0.0224462225917075</v>
      </c>
      <c r="P68" s="142" t="n">
        <f aca="false">IFERROR(IF(OR(NOT(ISNUMBER('Price History'!P69)),NOT(ISNUMBER('Price History'!P68)),'Price History'!P68=0),"",'Price History'!P69/'Price History'!P68-1),"")</f>
        <v>-0.0188036794226764</v>
      </c>
      <c r="Q68" s="142" t="n">
        <f aca="false">IFERROR(IF(OR(NOT(ISNUMBER('Price History'!Q69)),NOT(ISNUMBER('Price History'!Q68)),'Price History'!Q68=0),"",'Price History'!Q69/'Price History'!Q68-1),"")</f>
        <v>0.00946402704007721</v>
      </c>
      <c r="R68" s="142" t="n">
        <f aca="false">IFERROR(IF(OR(NOT(ISNUMBER('Price History'!R69)),NOT(ISNUMBER('Price History'!R68)),'Price History'!R68=0),"",'Price History'!R69/'Price History'!R68-1),"")</f>
        <v>-0.0164485320127343</v>
      </c>
      <c r="S68" s="142" t="n">
        <f aca="false">IFERROR(IF(OR(NOT(ISNUMBER('Price History'!S69)),NOT(ISNUMBER('Price History'!S68)),'Price History'!S68=0),"",'Price History'!S69/'Price History'!S68-1),"")</f>
        <v>-0.030859737847043</v>
      </c>
      <c r="T68" s="142" t="n">
        <f aca="false">IFERROR(IF(OR(NOT(ISNUMBER('Price History'!T69)),NOT(ISNUMBER('Price History'!T68)),'Price History'!T68=0),"",'Price History'!T69/'Price History'!T68-1),"")</f>
        <v>-0.0153932269801287</v>
      </c>
      <c r="U68" s="142" t="str">
        <f aca="false">IFERROR(IF(OR(NOT(ISNUMBER('Price History'!U69)),NOT(ISNUMBER('Price History'!U68)),'Price History'!U68=0),"",'Price History'!U69/'Price History'!U68-1),"")</f>
        <v/>
      </c>
      <c r="V68" s="143" t="n">
        <f aca="false">IFERROR(IF(OR(NOT(ISNUMBER('Price History'!V69)),NOT(ISNUMBER('Price History'!V68)),'Price History'!V68=0),"",'Price History'!V69/'Price History'!V68-1),"")</f>
        <v>0.00764919221892524</v>
      </c>
      <c r="W68" s="144" t="str">
        <f aca="false">IFERROR('Price History'!B3+(INDEX('Price History'!B:B,MATCH(9.99E+307,'Price History'!$A:$A))-'Price History'!B3)*(ROW()-3)/(MATCH(9.99E+307,'Returns (Calc)'!$A:$A)-3),"")</f>
        <v/>
      </c>
      <c r="X68" s="144" t="n">
        <f aca="false">IFERROR('Price History'!C3+(INDEX('Price History'!C:C,MATCH(9.99E+307,'Price History'!$A:$A))-'Price History'!C3)*(ROW()-3)/(MATCH(9.99E+307,'Returns (Calc)'!$A:$A)-3),"")</f>
        <v>27.1818987341772</v>
      </c>
      <c r="Y68" s="144" t="n">
        <f aca="false">IFERROR('Price History'!D3+(INDEX('Price History'!D:D,MATCH(9.99E+307,'Price History'!$A:$A))-'Price History'!D3)*(ROW()-3)/(MATCH(9.99E+307,'Returns (Calc)'!$A:$A)-3),"")</f>
        <v>342.575506329114</v>
      </c>
      <c r="Z68" s="144" t="n">
        <f aca="false">IFERROR('Price History'!E3+(INDEX('Price History'!E:E,MATCH(9.99E+307,'Price History'!$A:$A))-'Price History'!E3)*(ROW()-3)/(MATCH(9.99E+307,'Returns (Calc)'!$A:$A)-3),"")</f>
        <v>48.2658227848101</v>
      </c>
      <c r="AA68" s="144" t="n">
        <f aca="false">IFERROR('Price History'!F3+(INDEX('Price History'!F:F,MATCH(9.99E+307,'Price History'!$A:$A))-'Price History'!F3)*(ROW()-3)/(MATCH(9.99E+307,'Returns (Calc)'!$A:$A)-3),"")</f>
        <v>44.3280379746835</v>
      </c>
      <c r="AB68" s="144" t="n">
        <f aca="false">IFERROR('Price History'!G3+(INDEX('Price History'!G:G,MATCH(9.99E+307,'Price History'!$A:$A))-'Price History'!G3)*(ROW()-3)/(MATCH(9.99E+307,'Returns (Calc)'!$A:$A)-3),"")</f>
        <v>24.3448101265823</v>
      </c>
      <c r="AC68" s="144" t="n">
        <f aca="false">IFERROR('Price History'!H3+(INDEX('Price History'!H:H,MATCH(9.99E+307,'Price History'!$A:$A))-'Price History'!H3)*(ROW()-3)/(MATCH(9.99E+307,'Returns (Calc)'!$A:$A)-3),"")</f>
        <v>59.2080379746835</v>
      </c>
      <c r="AD68" s="144" t="n">
        <f aca="false">IFERROR('Price History'!I3+(INDEX('Price History'!I:I,MATCH(9.99E+307,'Price History'!$A:$A))-'Price History'!I3)*(ROW()-3)/(MATCH(9.99E+307,'Returns (Calc)'!$A:$A)-3),"")</f>
        <v>26.104746835443</v>
      </c>
      <c r="AE68" s="144" t="n">
        <f aca="false">IFERROR('Price History'!J3+(INDEX('Price History'!J:J,MATCH(9.99E+307,'Price History'!$A:$A))-'Price History'!J3)*(ROW()-3)/(MATCH(9.99E+307,'Returns (Calc)'!$A:$A)-3),"")</f>
        <v>40.678670886076</v>
      </c>
      <c r="AF68" s="144" t="n">
        <f aca="false">IFERROR('Price History'!K3+(INDEX('Price History'!K:K,MATCH(9.99E+307,'Price History'!$A:$A))-'Price History'!K3)*(ROW()-3)/(MATCH(9.99E+307,'Returns (Calc)'!$A:$A)-3),"")</f>
        <v>25.7633544303798</v>
      </c>
      <c r="AG68" s="144" t="n">
        <f aca="false">IFERROR('Price History'!L3+(INDEX('Price History'!L:L,MATCH(9.99E+307,'Price History'!$A:$A))-'Price History'!L3)*(ROW()-3)/(MATCH(9.99E+307,'Returns (Calc)'!$A:$A)-3),"")</f>
        <v>65.8298734177215</v>
      </c>
      <c r="AH68" s="144" t="n">
        <f aca="false">IFERROR('Price History'!M3+(INDEX('Price History'!M:M,MATCH(9.99E+307,'Price History'!$A:$A))-'Price History'!M3)*(ROW()-3)/(MATCH(9.99E+307,'Returns (Calc)'!$A:$A)-3),"")</f>
        <v>9.02335443037975</v>
      </c>
      <c r="AI68" s="144" t="n">
        <f aca="false">IFERROR('Price History'!N3+(INDEX('Price History'!N:N,MATCH(9.99E+307,'Price History'!$A:$A))-'Price History'!N3)*(ROW()-3)/(MATCH(9.99E+307,'Returns (Calc)'!$A:$A)-3),"")</f>
        <v>12.8316455696203</v>
      </c>
      <c r="AJ68" s="144" t="n">
        <f aca="false">IFERROR('Price History'!O3+(INDEX('Price History'!O:O,MATCH(9.99E+307,'Price History'!$A:$A))-'Price History'!O3)*(ROW()-3)/(MATCH(9.99E+307,'Returns (Calc)'!$A:$A)-3),"")</f>
        <v>33.9214556962025</v>
      </c>
      <c r="AK68" s="144" t="n">
        <f aca="false">IFERROR('Price History'!Q3+(INDEX('Price History'!Q:Q,MATCH(9.99E+307,'Price History'!$A:$A))-'Price History'!Q3)*(ROW()-3)/(MATCH(9.99E+307,'Returns (Calc)'!$A:$A)-3),"")</f>
        <v>138.693607594937</v>
      </c>
      <c r="AL68" s="144" t="n">
        <f aca="false">IFERROR('Price History'!R3+(INDEX('Price History'!R:R,MATCH(9.99E+307,'Price History'!$A:$A))-'Price History'!R3)*(ROW()-3)/(MATCH(9.99E+307,'Returns (Calc)'!$A:$A)-3),"")</f>
        <v>28.1472151898734</v>
      </c>
      <c r="AM68" s="144" t="n">
        <f aca="false">IFERROR('Price History'!S3+(INDEX('Price History'!S:S,MATCH(9.99E+307,'Price History'!$A:$A))-'Price History'!S3)*(ROW()-3)/(MATCH(9.99E+307,'Returns (Calc)'!$A:$A)-3),"")</f>
        <v>34.4570886075949</v>
      </c>
      <c r="AN68" s="144" t="n">
        <f aca="false">IFERROR('Price History'!T3+(INDEX('Price History'!T:T,MATCH(9.99E+307,'Price History'!$A:$A))-'Price History'!T3)*(ROW()-3)/(MATCH(9.99E+307,'Returns (Calc)'!$A:$A)-3),"")</f>
        <v>15.8394303797468</v>
      </c>
      <c r="AO68" s="145" t="n">
        <f aca="false">IFERROR('Price History'!V3+(INDEX('Price History'!V:V,MATCH(9.99E+307,'Price History'!$A:$A))-'Price History'!V3)*(ROW()-3)/(MATCH(9.99E+307,'Returns (Calc)'!$A:$A)-3),"")</f>
        <v>0</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0.00395256916996045</v>
      </c>
      <c r="G69" s="142" t="n">
        <f aca="false">IFERROR(IF(OR(NOT(ISNUMBER('Price History'!G70)),NOT(ISNUMBER('Price History'!G69)),'Price History'!G69=0),"",'Price History'!G70/'Price History'!G69-1),"")</f>
        <v>-0.0200949541790879</v>
      </c>
      <c r="H69" s="142" t="n">
        <f aca="false">IFERROR(IF(OR(NOT(ISNUMBER('Price History'!H70)),NOT(ISNUMBER('Price History'!H69)),'Price History'!H69=0),"",'Price History'!H70/'Price History'!H69-1),"")</f>
        <v>0.00453184429877807</v>
      </c>
      <c r="I69" s="142" t="n">
        <f aca="false">IFERROR(IF(OR(NOT(ISNUMBER('Price History'!I70)),NOT(ISNUMBER('Price History'!I69)),'Price History'!I69=0),"",'Price History'!I70/'Price History'!I69-1),"")</f>
        <v>0.0246099404857649</v>
      </c>
      <c r="J69" s="142" t="n">
        <f aca="false">IFERROR(IF(OR(NOT(ISNUMBER('Price History'!J70)),NOT(ISNUMBER('Price History'!J69)),'Price History'!J69=0),"",'Price History'!J70/'Price History'!J69-1),"")</f>
        <v>-0.0165068034798125</v>
      </c>
      <c r="K69" s="142" t="n">
        <f aca="false">IFERROR(IF(OR(NOT(ISNUMBER('Price History'!K70)),NOT(ISNUMBER('Price History'!K69)),'Price History'!K69=0),"",'Price History'!K70/'Price History'!K69-1),"")</f>
        <v>0.0171194640863417</v>
      </c>
      <c r="L69" s="142" t="n">
        <f aca="false">IFERROR(IF(OR(NOT(ISNUMBER('Price History'!L70)),NOT(ISNUMBER('Price History'!L69)),'Price History'!L69=0),"",'Price History'!L70/'Price History'!L69-1),"")</f>
        <v>0.0185679113664341</v>
      </c>
      <c r="M69" s="142" t="n">
        <f aca="false">IFERROR(IF(OR(NOT(ISNUMBER('Price History'!M70)),NOT(ISNUMBER('Price History'!M69)),'Price History'!M69=0),"",'Price History'!M70/'Price History'!M69-1),"")</f>
        <v>-0.0182495344506518</v>
      </c>
      <c r="N69" s="142" t="n">
        <f aca="false">IFERROR(IF(OR(NOT(ISNUMBER('Price History'!N70)),NOT(ISNUMBER('Price History'!N69)),'Price History'!N69=0),"",'Price History'!N70/'Price History'!N69-1),"")</f>
        <v>0.00663285212641451</v>
      </c>
      <c r="O69" s="142" t="n">
        <f aca="false">IFERROR(IF(OR(NOT(ISNUMBER('Price History'!O70)),NOT(ISNUMBER('Price History'!O69)),'Price History'!O69=0),"",'Price History'!O70/'Price History'!O69-1),"")</f>
        <v>0.0126501541405337</v>
      </c>
      <c r="P69" s="142" t="n">
        <f aca="false">IFERROR(IF(OR(NOT(ISNUMBER('Price History'!P70)),NOT(ISNUMBER('Price History'!P69)),'Price History'!P69=0),"",'Price History'!P70/'Price History'!P69-1),"")</f>
        <v>0.0224270989796447</v>
      </c>
      <c r="Q69" s="142" t="n">
        <f aca="false">IFERROR(IF(OR(NOT(ISNUMBER('Price History'!Q70)),NOT(ISNUMBER('Price History'!Q69)),'Price History'!Q69=0),"",'Price History'!Q70/'Price History'!Q69-1),"")</f>
        <v>0.00296565579259545</v>
      </c>
      <c r="R69" s="142" t="n">
        <f aca="false">IFERROR(IF(OR(NOT(ISNUMBER('Price History'!R70)),NOT(ISNUMBER('Price History'!R69)),'Price History'!R69=0),"",'Price History'!R70/'Price History'!R69-1),"")</f>
        <v>0.0172630821794642</v>
      </c>
      <c r="S69" s="142" t="n">
        <f aca="false">IFERROR(IF(OR(NOT(ISNUMBER('Price History'!S70)),NOT(ISNUMBER('Price History'!S69)),'Price History'!S69=0),"",'Price History'!S70/'Price History'!S69-1),"")</f>
        <v>0.0178913738019169</v>
      </c>
      <c r="T69" s="142" t="n">
        <f aca="false">IFERROR(IF(OR(NOT(ISNUMBER('Price History'!T70)),NOT(ISNUMBER('Price History'!T69)),'Price History'!T69=0),"",'Price History'!T70/'Price History'!T69-1),"")</f>
        <v>0.0386583285957931</v>
      </c>
      <c r="U69" s="142" t="str">
        <f aca="false">IFERROR(IF(OR(NOT(ISNUMBER('Price History'!U70)),NOT(ISNUMBER('Price History'!U69)),'Price History'!U69=0),"",'Price History'!U70/'Price History'!U69-1),"")</f>
        <v/>
      </c>
      <c r="V69" s="143" t="n">
        <f aca="false">IFERROR(IF(OR(NOT(ISNUMBER('Price History'!V70)),NOT(ISNUMBER('Price History'!V69)),'Price History'!V69=0),"",'Price History'!V70/'Price History'!V69-1),"")</f>
        <v>0.000916170407695649</v>
      </c>
      <c r="W69" s="144" t="str">
        <f aca="false">IFERROR('Price History'!B3+(INDEX('Price History'!B:B,MATCH(9.99E+307,'Price History'!$A:$A))-'Price History'!B3)*(ROW()-3)/(MATCH(9.99E+307,'Returns (Calc)'!$A:$A)-3),"")</f>
        <v/>
      </c>
      <c r="X69" s="144" t="n">
        <f aca="false">IFERROR('Price History'!C3+(INDEX('Price History'!C:C,MATCH(9.99E+307,'Price History'!$A:$A))-'Price History'!C3)*(ROW()-3)/(MATCH(9.99E+307,'Returns (Calc)'!$A:$A)-3),"")</f>
        <v>26.8896202531646</v>
      </c>
      <c r="Y69" s="144" t="n">
        <f aca="false">IFERROR('Price History'!D3+(INDEX('Price History'!D:D,MATCH(9.99E+307,'Price History'!$A:$A))-'Price History'!D3)*(ROW()-3)/(MATCH(9.99E+307,'Returns (Calc)'!$A:$A)-3),"")</f>
        <v>338.891898734177</v>
      </c>
      <c r="Z69" s="144" t="n">
        <f aca="false">IFERROR('Price History'!E3+(INDEX('Price History'!E:E,MATCH(9.99E+307,'Price History'!$A:$A))-'Price History'!E3)*(ROW()-3)/(MATCH(9.99E+307,'Returns (Calc)'!$A:$A)-3),"")</f>
        <v>47.746835443038</v>
      </c>
      <c r="AA69" s="144" t="n">
        <f aca="false">IFERROR('Price History'!F3+(INDEX('Price History'!F:F,MATCH(9.99E+307,'Price History'!$A:$A))-'Price History'!F3)*(ROW()-3)/(MATCH(9.99E+307,'Returns (Calc)'!$A:$A)-3),"")</f>
        <v>43.8513924050633</v>
      </c>
      <c r="AB69" s="144" t="n">
        <f aca="false">IFERROR('Price History'!G3+(INDEX('Price History'!G:G,MATCH(9.99E+307,'Price History'!$A:$A))-'Price History'!G3)*(ROW()-3)/(MATCH(9.99E+307,'Returns (Calc)'!$A:$A)-3),"")</f>
        <v>24.0830379746835</v>
      </c>
      <c r="AC69" s="144" t="n">
        <f aca="false">IFERROR('Price History'!H3+(INDEX('Price History'!H:H,MATCH(9.99E+307,'Price History'!$A:$A))-'Price History'!H3)*(ROW()-3)/(MATCH(9.99E+307,'Returns (Calc)'!$A:$A)-3),"")</f>
        <v>58.5713924050633</v>
      </c>
      <c r="AD69" s="144" t="n">
        <f aca="false">IFERROR('Price History'!I3+(INDEX('Price History'!I:I,MATCH(9.99E+307,'Price History'!$A:$A))-'Price History'!I3)*(ROW()-3)/(MATCH(9.99E+307,'Returns (Calc)'!$A:$A)-3),"")</f>
        <v>25.8240506329114</v>
      </c>
      <c r="AE69" s="144" t="n">
        <f aca="false">IFERROR('Price History'!J3+(INDEX('Price History'!J:J,MATCH(9.99E+307,'Price History'!$A:$A))-'Price History'!J3)*(ROW()-3)/(MATCH(9.99E+307,'Returns (Calc)'!$A:$A)-3),"")</f>
        <v>40.2412658227848</v>
      </c>
      <c r="AF69" s="144" t="n">
        <f aca="false">IFERROR('Price History'!K3+(INDEX('Price History'!K:K,MATCH(9.99E+307,'Price History'!$A:$A))-'Price History'!K3)*(ROW()-3)/(MATCH(9.99E+307,'Returns (Calc)'!$A:$A)-3),"")</f>
        <v>25.4863291139241</v>
      </c>
      <c r="AG69" s="144" t="n">
        <f aca="false">IFERROR('Price History'!L3+(INDEX('Price History'!L:L,MATCH(9.99E+307,'Price History'!$A:$A))-'Price History'!L3)*(ROW()-3)/(MATCH(9.99E+307,'Returns (Calc)'!$A:$A)-3),"")</f>
        <v>65.1220253164557</v>
      </c>
      <c r="AH69" s="144" t="n">
        <f aca="false">IFERROR('Price History'!M3+(INDEX('Price History'!M:M,MATCH(9.99E+307,'Price History'!$A:$A))-'Price History'!M3)*(ROW()-3)/(MATCH(9.99E+307,'Returns (Calc)'!$A:$A)-3),"")</f>
        <v>8.92632911392405</v>
      </c>
      <c r="AI69" s="144" t="n">
        <f aca="false">IFERROR('Price History'!N3+(INDEX('Price History'!N:N,MATCH(9.99E+307,'Price History'!$A:$A))-'Price History'!N3)*(ROW()-3)/(MATCH(9.99E+307,'Returns (Calc)'!$A:$A)-3),"")</f>
        <v>12.693670886076</v>
      </c>
      <c r="AJ69" s="144" t="n">
        <f aca="false">IFERROR('Price History'!O3+(INDEX('Price History'!O:O,MATCH(9.99E+307,'Price History'!$A:$A))-'Price History'!O3)*(ROW()-3)/(MATCH(9.99E+307,'Returns (Calc)'!$A:$A)-3),"")</f>
        <v>33.5567088607595</v>
      </c>
      <c r="AK69" s="144" t="n">
        <f aca="false">IFERROR('Price History'!Q3+(INDEX('Price History'!Q:Q,MATCH(9.99E+307,'Price History'!$A:$A))-'Price History'!Q3)*(ROW()-3)/(MATCH(9.99E+307,'Returns (Calc)'!$A:$A)-3),"")</f>
        <v>137.202278481013</v>
      </c>
      <c r="AL69" s="144" t="n">
        <f aca="false">IFERROR('Price History'!R3+(INDEX('Price History'!R:R,MATCH(9.99E+307,'Price History'!$A:$A))-'Price History'!R3)*(ROW()-3)/(MATCH(9.99E+307,'Returns (Calc)'!$A:$A)-3),"")</f>
        <v>27.8445569620253</v>
      </c>
      <c r="AM69" s="144" t="n">
        <f aca="false">IFERROR('Price History'!S3+(INDEX('Price History'!S:S,MATCH(9.99E+307,'Price History'!$A:$A))-'Price History'!S3)*(ROW()-3)/(MATCH(9.99E+307,'Returns (Calc)'!$A:$A)-3),"")</f>
        <v>34.086582278481</v>
      </c>
      <c r="AN69" s="144" t="n">
        <f aca="false">IFERROR('Price History'!T3+(INDEX('Price History'!T:T,MATCH(9.99E+307,'Price History'!$A:$A))-'Price History'!T3)*(ROW()-3)/(MATCH(9.99E+307,'Returns (Calc)'!$A:$A)-3),"")</f>
        <v>15.6691139240506</v>
      </c>
      <c r="AO69" s="145" t="n">
        <f aca="false">IFERROR('Price History'!V3+(INDEX('Price History'!V:V,MATCH(9.99E+307,'Price History'!$A:$A))-'Price History'!V3)*(ROW()-3)/(MATCH(9.99E+307,'Returns (Calc)'!$A:$A)-3),"")</f>
        <v>0</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0.00787401574803148</v>
      </c>
      <c r="G70" s="142" t="n">
        <f aca="false">IFERROR(IF(OR(NOT(ISNUMBER('Price History'!G71)),NOT(ISNUMBER('Price History'!G70)),'Price History'!G70=0),"",'Price History'!G71/'Price History'!G70-1),"")</f>
        <v>0.0112676056338028</v>
      </c>
      <c r="H70" s="142" t="n">
        <f aca="false">IFERROR(IF(OR(NOT(ISNUMBER('Price History'!H71)),NOT(ISNUMBER('Price History'!H70)),'Price History'!H70=0),"",'Price History'!H71/'Price History'!H70-1),"")</f>
        <v>-0.000563924917425185</v>
      </c>
      <c r="I70" s="142" t="n">
        <f aca="false">IFERROR(IF(OR(NOT(ISNUMBER('Price History'!I71)),NOT(ISNUMBER('Price History'!I70)),'Price History'!I70=0),"",'Price History'!I71/'Price History'!I70-1),"")</f>
        <v>0.0188383045525904</v>
      </c>
      <c r="J70" s="142" t="n">
        <f aca="false">IFERROR(IF(OR(NOT(ISNUMBER('Price History'!J71)),NOT(ISNUMBER('Price History'!J70)),'Price History'!J70=0),"",'Price History'!J71/'Price History'!J70-1),"")</f>
        <v>0.0153095940122476</v>
      </c>
      <c r="K70" s="142" t="n">
        <f aca="false">IFERROR(IF(OR(NOT(ISNUMBER('Price History'!K71)),NOT(ISNUMBER('Price History'!K70)),'Price History'!K70=0),"",'Price History'!K71/'Price History'!K70-1),"")</f>
        <v>0.0544456641053788</v>
      </c>
      <c r="L70" s="142" t="n">
        <f aca="false">IFERROR(IF(OR(NOT(ISNUMBER('Price History'!L71)),NOT(ISNUMBER('Price History'!L70)),'Price History'!L70=0),"",'Price History'!L71/'Price History'!L70-1),"")</f>
        <v>0.00372645785074011</v>
      </c>
      <c r="M70" s="142" t="n">
        <f aca="false">IFERROR(IF(OR(NOT(ISNUMBER('Price History'!M71)),NOT(ISNUMBER('Price History'!M70)),'Price History'!M70=0),"",'Price History'!M71/'Price History'!M70-1),"")</f>
        <v>0.0102427921092565</v>
      </c>
      <c r="N70" s="142" t="n">
        <f aca="false">IFERROR(IF(OR(NOT(ISNUMBER('Price History'!N71)),NOT(ISNUMBER('Price History'!N70)),'Price History'!N70=0),"",'Price History'!N71/'Price History'!N70-1),"")</f>
        <v>-0.00116279069767444</v>
      </c>
      <c r="O70" s="142" t="n">
        <f aca="false">IFERROR(IF(OR(NOT(ISNUMBER('Price History'!O71)),NOT(ISNUMBER('Price History'!O70)),'Price History'!O70=0),"",'Price History'!O71/'Price History'!O70-1),"")</f>
        <v>0.00304429981104337</v>
      </c>
      <c r="P70" s="142" t="n">
        <f aca="false">IFERROR(IF(OR(NOT(ISNUMBER('Price History'!P71)),NOT(ISNUMBER('Price History'!P70)),'Price History'!P70=0),"",'Price History'!P71/'Price History'!P70-1),"")</f>
        <v>0.0345997973657548</v>
      </c>
      <c r="Q70" s="142" t="n">
        <f aca="false">IFERROR(IF(OR(NOT(ISNUMBER('Price History'!Q71)),NOT(ISNUMBER('Price History'!Q70)),'Price History'!Q70=0),"",'Price History'!Q71/'Price History'!Q70-1),"")</f>
        <v>-0.0117639577769298</v>
      </c>
      <c r="R70" s="142" t="n">
        <f aca="false">IFERROR(IF(OR(NOT(ISNUMBER('Price History'!R71)),NOT(ISNUMBER('Price History'!R70)),'Price History'!R70=0),"",'Price History'!R71/'Price History'!R70-1),"")</f>
        <v>0.00919215131695261</v>
      </c>
      <c r="S70" s="142" t="n">
        <f aca="false">IFERROR(IF(OR(NOT(ISNUMBER('Price History'!S71)),NOT(ISNUMBER('Price History'!S70)),'Price History'!S70=0),"",'Price History'!S71/'Price History'!S70-1),"")</f>
        <v>0.0130780498012137</v>
      </c>
      <c r="T70" s="142" t="n">
        <f aca="false">IFERROR(IF(OR(NOT(ISNUMBER('Price History'!T71)),NOT(ISNUMBER('Price History'!T70)),'Price History'!T70=0),"",'Price History'!T71/'Price History'!T70-1),"")</f>
        <v>0.00191570881226055</v>
      </c>
      <c r="U70" s="142" t="str">
        <f aca="false">IFERROR(IF(OR(NOT(ISNUMBER('Price History'!U71)),NOT(ISNUMBER('Price History'!U70)),'Price History'!U70=0),"",'Price History'!U71/'Price History'!U70-1),"")</f>
        <v/>
      </c>
      <c r="V70" s="143" t="n">
        <f aca="false">IFERROR(IF(OR(NOT(ISNUMBER('Price History'!V71)),NOT(ISNUMBER('Price History'!V70)),'Price History'!V70=0),"",'Price History'!V71/'Price History'!V70-1),"")</f>
        <v>0.0166394246485782</v>
      </c>
      <c r="W70" s="144" t="str">
        <f aca="false">IFERROR('Price History'!B3+(INDEX('Price History'!B:B,MATCH(9.99E+307,'Price History'!$A:$A))-'Price History'!B3)*(ROW()-3)/(MATCH(9.99E+307,'Returns (Calc)'!$A:$A)-3),"")</f>
        <v/>
      </c>
      <c r="X70" s="144" t="n">
        <f aca="false">IFERROR('Price History'!C3+(INDEX('Price History'!C:C,MATCH(9.99E+307,'Price History'!$A:$A))-'Price History'!C3)*(ROW()-3)/(MATCH(9.99E+307,'Returns (Calc)'!$A:$A)-3),"")</f>
        <v>26.5973417721519</v>
      </c>
      <c r="Y70" s="144" t="n">
        <f aca="false">IFERROR('Price History'!D3+(INDEX('Price History'!D:D,MATCH(9.99E+307,'Price History'!$A:$A))-'Price History'!D3)*(ROW()-3)/(MATCH(9.99E+307,'Returns (Calc)'!$A:$A)-3),"")</f>
        <v>335.208291139241</v>
      </c>
      <c r="Z70" s="144" t="n">
        <f aca="false">IFERROR('Price History'!E3+(INDEX('Price History'!E:E,MATCH(9.99E+307,'Price History'!$A:$A))-'Price History'!E3)*(ROW()-3)/(MATCH(9.99E+307,'Returns (Calc)'!$A:$A)-3),"")</f>
        <v>47.2278481012658</v>
      </c>
      <c r="AA70" s="144" t="n">
        <f aca="false">IFERROR('Price History'!F3+(INDEX('Price History'!F:F,MATCH(9.99E+307,'Price History'!$A:$A))-'Price History'!F3)*(ROW()-3)/(MATCH(9.99E+307,'Returns (Calc)'!$A:$A)-3),"")</f>
        <v>43.374746835443</v>
      </c>
      <c r="AB70" s="144" t="n">
        <f aca="false">IFERROR('Price History'!G3+(INDEX('Price History'!G:G,MATCH(9.99E+307,'Price History'!$A:$A))-'Price History'!G3)*(ROW()-3)/(MATCH(9.99E+307,'Returns (Calc)'!$A:$A)-3),"")</f>
        <v>23.8212658227848</v>
      </c>
      <c r="AC70" s="144" t="n">
        <f aca="false">IFERROR('Price History'!H3+(INDEX('Price History'!H:H,MATCH(9.99E+307,'Price History'!$A:$A))-'Price History'!H3)*(ROW()-3)/(MATCH(9.99E+307,'Returns (Calc)'!$A:$A)-3),"")</f>
        <v>57.934746835443</v>
      </c>
      <c r="AD70" s="144" t="n">
        <f aca="false">IFERROR('Price History'!I3+(INDEX('Price History'!I:I,MATCH(9.99E+307,'Price History'!$A:$A))-'Price History'!I3)*(ROW()-3)/(MATCH(9.99E+307,'Returns (Calc)'!$A:$A)-3),"")</f>
        <v>25.5433544303797</v>
      </c>
      <c r="AE70" s="144" t="n">
        <f aca="false">IFERROR('Price History'!J3+(INDEX('Price History'!J:J,MATCH(9.99E+307,'Price History'!$A:$A))-'Price History'!J3)*(ROW()-3)/(MATCH(9.99E+307,'Returns (Calc)'!$A:$A)-3),"")</f>
        <v>39.8038607594937</v>
      </c>
      <c r="AF70" s="144" t="n">
        <f aca="false">IFERROR('Price History'!K3+(INDEX('Price History'!K:K,MATCH(9.99E+307,'Price History'!$A:$A))-'Price History'!K3)*(ROW()-3)/(MATCH(9.99E+307,'Returns (Calc)'!$A:$A)-3),"")</f>
        <v>25.2093037974684</v>
      </c>
      <c r="AG70" s="144" t="n">
        <f aca="false">IFERROR('Price History'!L3+(INDEX('Price History'!L:L,MATCH(9.99E+307,'Price History'!$A:$A))-'Price History'!L3)*(ROW()-3)/(MATCH(9.99E+307,'Returns (Calc)'!$A:$A)-3),"")</f>
        <v>64.4141772151899</v>
      </c>
      <c r="AH70" s="144" t="n">
        <f aca="false">IFERROR('Price History'!M3+(INDEX('Price History'!M:M,MATCH(9.99E+307,'Price History'!$A:$A))-'Price History'!M3)*(ROW()-3)/(MATCH(9.99E+307,'Returns (Calc)'!$A:$A)-3),"")</f>
        <v>8.82930379746836</v>
      </c>
      <c r="AI70" s="144" t="n">
        <f aca="false">IFERROR('Price History'!N3+(INDEX('Price History'!N:N,MATCH(9.99E+307,'Price History'!$A:$A))-'Price History'!N3)*(ROW()-3)/(MATCH(9.99E+307,'Returns (Calc)'!$A:$A)-3),"")</f>
        <v>12.5556962025316</v>
      </c>
      <c r="AJ70" s="144" t="n">
        <f aca="false">IFERROR('Price History'!O3+(INDEX('Price History'!O:O,MATCH(9.99E+307,'Price History'!$A:$A))-'Price History'!O3)*(ROW()-3)/(MATCH(9.99E+307,'Returns (Calc)'!$A:$A)-3),"")</f>
        <v>33.1919620253165</v>
      </c>
      <c r="AK70" s="144" t="n">
        <f aca="false">IFERROR('Price History'!Q3+(INDEX('Price History'!Q:Q,MATCH(9.99E+307,'Price History'!$A:$A))-'Price History'!Q3)*(ROW()-3)/(MATCH(9.99E+307,'Returns (Calc)'!$A:$A)-3),"")</f>
        <v>135.710949367089</v>
      </c>
      <c r="AL70" s="144" t="n">
        <f aca="false">IFERROR('Price History'!R3+(INDEX('Price History'!R:R,MATCH(9.99E+307,'Price History'!$A:$A))-'Price History'!R3)*(ROW()-3)/(MATCH(9.99E+307,'Returns (Calc)'!$A:$A)-3),"")</f>
        <v>27.5418987341772</v>
      </c>
      <c r="AM70" s="144" t="n">
        <f aca="false">IFERROR('Price History'!S3+(INDEX('Price History'!S:S,MATCH(9.99E+307,'Price History'!$A:$A))-'Price History'!S3)*(ROW()-3)/(MATCH(9.99E+307,'Returns (Calc)'!$A:$A)-3),"")</f>
        <v>33.7160759493671</v>
      </c>
      <c r="AN70" s="144" t="n">
        <f aca="false">IFERROR('Price History'!T3+(INDEX('Price History'!T:T,MATCH(9.99E+307,'Price History'!$A:$A))-'Price History'!T3)*(ROW()-3)/(MATCH(9.99E+307,'Returns (Calc)'!$A:$A)-3),"")</f>
        <v>15.4987974683544</v>
      </c>
      <c r="AO70" s="145" t="n">
        <f aca="false">IFERROR('Price History'!V3+(INDEX('Price History'!V:V,MATCH(9.99E+307,'Price History'!$A:$A))-'Price History'!V3)*(ROW()-3)/(MATCH(9.99E+307,'Returns (Calc)'!$A:$A)-3),"")</f>
        <v>0</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-0.0262880067567567</v>
      </c>
      <c r="G71" s="142" t="n">
        <f aca="false">IFERROR(IF(OR(NOT(ISNUMBER('Price History'!G72)),NOT(ISNUMBER('Price History'!G71)),'Price History'!G71=0),"",'Price History'!G72/'Price History'!G71-1),"")</f>
        <v>-0.0283008356545962</v>
      </c>
      <c r="H71" s="142" t="n">
        <f aca="false">IFERROR(IF(OR(NOT(ISNUMBER('Price History'!H72)),NOT(ISNUMBER('Price History'!H71)),'Price History'!H71=0),"",'Price History'!H72/'Price History'!H71-1),"")</f>
        <v>-0.0249879090762535</v>
      </c>
      <c r="I71" s="142" t="n">
        <f aca="false">IFERROR(IF(OR(NOT(ISNUMBER('Price History'!I72)),NOT(ISNUMBER('Price History'!I71)),'Price History'!I71=0),"",'Price History'!I72/'Price History'!I71-1),"")</f>
        <v>0.0397534668721109</v>
      </c>
      <c r="J71" s="142" t="n">
        <f aca="false">IFERROR(IF(OR(NOT(ISNUMBER('Price History'!J72)),NOT(ISNUMBER('Price History'!J71)),'Price History'!J71=0),"",'Price History'!J72/'Price History'!J71-1),"")</f>
        <v>0.105327823076064</v>
      </c>
      <c r="K71" s="142" t="n">
        <f aca="false">IFERROR(IF(OR(NOT(ISNUMBER('Price History'!K72)),NOT(ISNUMBER('Price History'!K71)),'Price History'!K71=0),"",'Price History'!K72/'Price History'!K71-1),"")</f>
        <v>-0.0591991116663196</v>
      </c>
      <c r="L71" s="142" t="n">
        <f aca="false">IFERROR(IF(OR(NOT(ISNUMBER('Price History'!L72)),NOT(ISNUMBER('Price History'!L71)),'Price History'!L71=0),"",'Price History'!L72/'Price History'!L71-1),"")</f>
        <v>-0.0192655027092113</v>
      </c>
      <c r="M71" s="142" t="n">
        <f aca="false">IFERROR(IF(OR(NOT(ISNUMBER('Price History'!M72)),NOT(ISNUMBER('Price History'!M71)),'Price History'!M71=0),"",'Price History'!M72/'Price History'!M71-1),"")</f>
        <v>-0.1580923770184</v>
      </c>
      <c r="N71" s="142" t="n">
        <f aca="false">IFERROR(IF(OR(NOT(ISNUMBER('Price History'!N72)),NOT(ISNUMBER('Price History'!N71)),'Price History'!N71=0),"",'Price History'!N72/'Price History'!N71-1),"")</f>
        <v>-0.0155219247186651</v>
      </c>
      <c r="O71" s="142" t="n">
        <f aca="false">IFERROR(IF(OR(NOT(ISNUMBER('Price History'!O72)),NOT(ISNUMBER('Price History'!O71)),'Price History'!O71=0),"",'Price History'!O72/'Price History'!O71-1),"")</f>
        <v>-0.0135007849293562</v>
      </c>
      <c r="P71" s="142" t="n">
        <f aca="false">IFERROR(IF(OR(NOT(ISNUMBER('Price History'!P72)),NOT(ISNUMBER('Price History'!P71)),'Price History'!P71=0),"",'Price History'!P72/'Price History'!P71-1),"")</f>
        <v>-0.00112618126621944</v>
      </c>
      <c r="Q71" s="142" t="n">
        <f aca="false">IFERROR(IF(OR(NOT(ISNUMBER('Price History'!Q72)),NOT(ISNUMBER('Price History'!Q71)),'Price History'!Q71=0),"",'Price History'!Q72/'Price History'!Q71-1),"")</f>
        <v>-0.0228428029084357</v>
      </c>
      <c r="R71" s="142" t="n">
        <f aca="false">IFERROR(IF(OR(NOT(ISNUMBER('Price History'!R72)),NOT(ISNUMBER('Price History'!R71)),'Price History'!R71=0),"",'Price History'!R72/'Price History'!R71-1),"")</f>
        <v>0.00928358731826928</v>
      </c>
      <c r="S71" s="142" t="n">
        <f aca="false">IFERROR(IF(OR(NOT(ISNUMBER('Price History'!S72)),NOT(ISNUMBER('Price History'!S71)),'Price History'!S71=0),"",'Price History'!S72/'Price History'!S71-1),"")</f>
        <v>0.0193121966332748</v>
      </c>
      <c r="T71" s="142" t="n">
        <f aca="false">IFERROR(IF(OR(NOT(ISNUMBER('Price History'!T72)),NOT(ISNUMBER('Price History'!T71)),'Price History'!T71=0),"",'Price History'!T72/'Price History'!T71-1),"")</f>
        <v>-0.00081944823818636</v>
      </c>
      <c r="U71" s="142" t="str">
        <f aca="false">IFERROR(IF(OR(NOT(ISNUMBER('Price History'!U72)),NOT(ISNUMBER('Price History'!U71)),'Price History'!U71=0),"",'Price History'!U72/'Price History'!U71-1),"")</f>
        <v/>
      </c>
      <c r="V71" s="143" t="n">
        <f aca="false">IFERROR(IF(OR(NOT(ISNUMBER('Price History'!V72)),NOT(ISNUMBER('Price History'!V71)),'Price History'!V71=0),"",'Price History'!V72/'Price History'!V71-1),"")</f>
        <v>-0.0129264606578989</v>
      </c>
      <c r="W71" s="144" t="str">
        <f aca="false">IFERROR('Price History'!B3+(INDEX('Price History'!B:B,MATCH(9.99E+307,'Price History'!$A:$A))-'Price History'!B3)*(ROW()-3)/(MATCH(9.99E+307,'Returns (Calc)'!$A:$A)-3),"")</f>
        <v/>
      </c>
      <c r="X71" s="144" t="n">
        <f aca="false">IFERROR('Price History'!C3+(INDEX('Price History'!C:C,MATCH(9.99E+307,'Price History'!$A:$A))-'Price History'!C3)*(ROW()-3)/(MATCH(9.99E+307,'Returns (Calc)'!$A:$A)-3),"")</f>
        <v>26.3050632911392</v>
      </c>
      <c r="Y71" s="144" t="n">
        <f aca="false">IFERROR('Price History'!D3+(INDEX('Price History'!D:D,MATCH(9.99E+307,'Price History'!$A:$A))-'Price History'!D3)*(ROW()-3)/(MATCH(9.99E+307,'Returns (Calc)'!$A:$A)-3),"")</f>
        <v>331.524683544304</v>
      </c>
      <c r="Z71" s="144" t="n">
        <f aca="false">IFERROR('Price History'!E3+(INDEX('Price History'!E:E,MATCH(9.99E+307,'Price History'!$A:$A))-'Price History'!E3)*(ROW()-3)/(MATCH(9.99E+307,'Returns (Calc)'!$A:$A)-3),"")</f>
        <v>46.7088607594937</v>
      </c>
      <c r="AA71" s="144" t="n">
        <f aca="false">IFERROR('Price History'!F3+(INDEX('Price History'!F:F,MATCH(9.99E+307,'Price History'!$A:$A))-'Price History'!F3)*(ROW()-3)/(MATCH(9.99E+307,'Returns (Calc)'!$A:$A)-3),"")</f>
        <v>42.8981012658228</v>
      </c>
      <c r="AB71" s="144" t="n">
        <f aca="false">IFERROR('Price History'!G3+(INDEX('Price History'!G:G,MATCH(9.99E+307,'Price History'!$A:$A))-'Price History'!G3)*(ROW()-3)/(MATCH(9.99E+307,'Returns (Calc)'!$A:$A)-3),"")</f>
        <v>23.5594936708861</v>
      </c>
      <c r="AC71" s="144" t="n">
        <f aca="false">IFERROR('Price History'!H3+(INDEX('Price History'!H:H,MATCH(9.99E+307,'Price History'!$A:$A))-'Price History'!H3)*(ROW()-3)/(MATCH(9.99E+307,'Returns (Calc)'!$A:$A)-3),"")</f>
        <v>57.2981012658228</v>
      </c>
      <c r="AD71" s="144" t="n">
        <f aca="false">IFERROR('Price History'!I3+(INDEX('Price History'!I:I,MATCH(9.99E+307,'Price History'!$A:$A))-'Price History'!I3)*(ROW()-3)/(MATCH(9.99E+307,'Returns (Calc)'!$A:$A)-3),"")</f>
        <v>25.2626582278481</v>
      </c>
      <c r="AE71" s="144" t="n">
        <f aca="false">IFERROR('Price History'!J3+(INDEX('Price History'!J:J,MATCH(9.99E+307,'Price History'!$A:$A))-'Price History'!J3)*(ROW()-3)/(MATCH(9.99E+307,'Returns (Calc)'!$A:$A)-3),"")</f>
        <v>39.3664556962025</v>
      </c>
      <c r="AF71" s="144" t="n">
        <f aca="false">IFERROR('Price History'!K3+(INDEX('Price History'!K:K,MATCH(9.99E+307,'Price History'!$A:$A))-'Price History'!K3)*(ROW()-3)/(MATCH(9.99E+307,'Returns (Calc)'!$A:$A)-3),"")</f>
        <v>24.9322784810127</v>
      </c>
      <c r="AG71" s="144" t="n">
        <f aca="false">IFERROR('Price History'!L3+(INDEX('Price History'!L:L,MATCH(9.99E+307,'Price History'!$A:$A))-'Price History'!L3)*(ROW()-3)/(MATCH(9.99E+307,'Returns (Calc)'!$A:$A)-3),"")</f>
        <v>63.7063291139241</v>
      </c>
      <c r="AH71" s="144" t="n">
        <f aca="false">IFERROR('Price History'!M3+(INDEX('Price History'!M:M,MATCH(9.99E+307,'Price History'!$A:$A))-'Price History'!M3)*(ROW()-3)/(MATCH(9.99E+307,'Returns (Calc)'!$A:$A)-3),"")</f>
        <v>8.73227848101266</v>
      </c>
      <c r="AI71" s="144" t="n">
        <f aca="false">IFERROR('Price History'!N3+(INDEX('Price History'!N:N,MATCH(9.99E+307,'Price History'!$A:$A))-'Price History'!N3)*(ROW()-3)/(MATCH(9.99E+307,'Returns (Calc)'!$A:$A)-3),"")</f>
        <v>12.4177215189873</v>
      </c>
      <c r="AJ71" s="144" t="n">
        <f aca="false">IFERROR('Price History'!O3+(INDEX('Price History'!O:O,MATCH(9.99E+307,'Price History'!$A:$A))-'Price History'!O3)*(ROW()-3)/(MATCH(9.99E+307,'Returns (Calc)'!$A:$A)-3),"")</f>
        <v>32.8272151898734</v>
      </c>
      <c r="AK71" s="144" t="n">
        <f aca="false">IFERROR('Price History'!Q3+(INDEX('Price History'!Q:Q,MATCH(9.99E+307,'Price History'!$A:$A))-'Price History'!Q3)*(ROW()-3)/(MATCH(9.99E+307,'Returns (Calc)'!$A:$A)-3),"")</f>
        <v>134.219620253165</v>
      </c>
      <c r="AL71" s="144" t="n">
        <f aca="false">IFERROR('Price History'!R3+(INDEX('Price History'!R:R,MATCH(9.99E+307,'Price History'!$A:$A))-'Price History'!R3)*(ROW()-3)/(MATCH(9.99E+307,'Returns (Calc)'!$A:$A)-3),"")</f>
        <v>27.2392405063291</v>
      </c>
      <c r="AM71" s="144" t="n">
        <f aca="false">IFERROR('Price History'!S3+(INDEX('Price History'!S:S,MATCH(9.99E+307,'Price History'!$A:$A))-'Price History'!S3)*(ROW()-3)/(MATCH(9.99E+307,'Returns (Calc)'!$A:$A)-3),"")</f>
        <v>33.3455696202532</v>
      </c>
      <c r="AN71" s="144" t="n">
        <f aca="false">IFERROR('Price History'!T3+(INDEX('Price History'!T:T,MATCH(9.99E+307,'Price History'!$A:$A))-'Price History'!T3)*(ROW()-3)/(MATCH(9.99E+307,'Returns (Calc)'!$A:$A)-3),"")</f>
        <v>15.3284810126582</v>
      </c>
      <c r="AO71" s="145" t="n">
        <f aca="false">IFERROR('Price History'!V3+(INDEX('Price History'!V:V,MATCH(9.99E+307,'Price History'!$A:$A))-'Price History'!V3)*(ROW()-3)/(MATCH(9.99E+307,'Returns (Calc)'!$A:$A)-3),"")</f>
        <v>0</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0.0488994904044235</v>
      </c>
      <c r="G72" s="142" t="n">
        <f aca="false">IFERROR(IF(OR(NOT(ISNUMBER('Price History'!G73)),NOT(ISNUMBER('Price History'!G72)),'Price History'!G72=0),"",'Price History'!G73/'Price History'!G72-1),"")</f>
        <v>0.0233918128654971</v>
      </c>
      <c r="H72" s="142" t="n">
        <f aca="false">IFERROR(IF(OR(NOT(ISNUMBER('Price History'!H73)),NOT(ISNUMBER('Price History'!H72)),'Price History'!H72=0),"",'Price History'!H73/'Price History'!H72-1),"")</f>
        <v>0.0483630952380953</v>
      </c>
      <c r="I72" s="142" t="n">
        <f aca="false">IFERROR(IF(OR(NOT(ISNUMBER('Price History'!I73)),NOT(ISNUMBER('Price History'!I72)),'Price History'!I72=0),"",'Price History'!I73/'Price History'!I72-1),"")</f>
        <v>0.108921161825726</v>
      </c>
      <c r="J72" s="142" t="n">
        <f aca="false">IFERROR(IF(OR(NOT(ISNUMBER('Price History'!J73)),NOT(ISNUMBER('Price History'!J72)),'Price History'!J72=0),"",'Price History'!J73/'Price History'!J72-1),"")</f>
        <v>0.0644704931285369</v>
      </c>
      <c r="K72" s="142" t="n">
        <f aca="false">IFERROR(IF(OR(NOT(ISNUMBER('Price History'!K73)),NOT(ISNUMBER('Price History'!K72)),'Price History'!K72=0),"",'Price History'!K73/'Price History'!K72-1),"")</f>
        <v>0.0132044850988491</v>
      </c>
      <c r="L72" s="142" t="n">
        <f aca="false">IFERROR(IF(OR(NOT(ISNUMBER('Price History'!L73)),NOT(ISNUMBER('Price History'!L72)),'Price History'!L72=0),"",'Price History'!L73/'Price History'!L72-1),"")</f>
        <v>0.0567833026396563</v>
      </c>
      <c r="M72" s="142" t="n">
        <f aca="false">IFERROR(IF(OR(NOT(ISNUMBER('Price History'!M73)),NOT(ISNUMBER('Price History'!M72)),'Price History'!M72=0),"",'Price History'!M73/'Price History'!M72-1),"")</f>
        <v>0.0670532262860539</v>
      </c>
      <c r="N72" s="142" t="n">
        <f aca="false">IFERROR(IF(OR(NOT(ISNUMBER('Price History'!N73)),NOT(ISNUMBER('Price History'!N72)),'Price History'!N72=0),"",'Price History'!N73/'Price History'!N72-1),"")</f>
        <v>0.0362633031139139</v>
      </c>
      <c r="O72" s="142" t="n">
        <f aca="false">IFERROR(IF(OR(NOT(ISNUMBER('Price History'!O73)),NOT(ISNUMBER('Price History'!O72)),'Price History'!O72=0),"",'Price History'!O73/'Price History'!O72-1),"")</f>
        <v>0.0321451304901337</v>
      </c>
      <c r="P72" s="142" t="n">
        <f aca="false">IFERROR(IF(OR(NOT(ISNUMBER('Price History'!P73)),NOT(ISNUMBER('Price History'!P72)),'Price History'!P72=0),"",'Price History'!P73/'Price History'!P72-1),"")</f>
        <v>0.0149999999999999</v>
      </c>
      <c r="Q72" s="142" t="n">
        <f aca="false">IFERROR(IF(OR(NOT(ISNUMBER('Price History'!Q73)),NOT(ISNUMBER('Price History'!Q72)),'Price History'!Q72=0),"",'Price History'!Q73/'Price History'!Q72-1),"")</f>
        <v>0.0386869485052022</v>
      </c>
      <c r="R72" s="142" t="n">
        <f aca="false">IFERROR(IF(OR(NOT(ISNUMBER('Price History'!R73)),NOT(ISNUMBER('Price History'!R72)),'Price History'!R72=0),"",'Price History'!R73/'Price History'!R72-1),"")</f>
        <v>0.00399166955918084</v>
      </c>
      <c r="S72" s="142" t="n">
        <f aca="false">IFERROR(IF(OR(NOT(ISNUMBER('Price History'!S73)),NOT(ISNUMBER('Price History'!S72)),'Price History'!S72=0),"",'Price History'!S73/'Price History'!S72-1),"")</f>
        <v>-0.00942249240121584</v>
      </c>
      <c r="T72" s="142" t="n">
        <f aca="false">IFERROR(IF(OR(NOT(ISNUMBER('Price History'!T73)),NOT(ISNUMBER('Price History'!T72)),'Price History'!T72=0),"",'Price History'!T73/'Price History'!T72-1),"")</f>
        <v>-0.0440131219245489</v>
      </c>
      <c r="U72" s="142" t="str">
        <f aca="false">IFERROR(IF(OR(NOT(ISNUMBER('Price History'!U73)),NOT(ISNUMBER('Price History'!U72)),'Price History'!U72=0),"",'Price History'!U73/'Price History'!U72-1),"")</f>
        <v/>
      </c>
      <c r="V72" s="143" t="n">
        <f aca="false">IFERROR(IF(OR(NOT(ISNUMBER('Price History'!V73)),NOT(ISNUMBER('Price History'!V72)),'Price History'!V72=0),"",'Price History'!V73/'Price History'!V72-1),"")</f>
        <v>0.0119881421637291</v>
      </c>
      <c r="W72" s="144" t="str">
        <f aca="false">IFERROR('Price History'!B3+(INDEX('Price History'!B:B,MATCH(9.99E+307,'Price History'!$A:$A))-'Price History'!B3)*(ROW()-3)/(MATCH(9.99E+307,'Returns (Calc)'!$A:$A)-3),"")</f>
        <v/>
      </c>
      <c r="X72" s="144" t="n">
        <f aca="false">IFERROR('Price History'!C3+(INDEX('Price History'!C:C,MATCH(9.99E+307,'Price History'!$A:$A))-'Price History'!C3)*(ROW()-3)/(MATCH(9.99E+307,'Returns (Calc)'!$A:$A)-3),"")</f>
        <v>26.0127848101266</v>
      </c>
      <c r="Y72" s="144" t="n">
        <f aca="false">IFERROR('Price History'!D3+(INDEX('Price History'!D:D,MATCH(9.99E+307,'Price History'!$A:$A))-'Price History'!D3)*(ROW()-3)/(MATCH(9.99E+307,'Returns (Calc)'!$A:$A)-3),"")</f>
        <v>327.841075949367</v>
      </c>
      <c r="Z72" s="144" t="n">
        <f aca="false">IFERROR('Price History'!E3+(INDEX('Price History'!E:E,MATCH(9.99E+307,'Price History'!$A:$A))-'Price History'!E3)*(ROW()-3)/(MATCH(9.99E+307,'Returns (Calc)'!$A:$A)-3),"")</f>
        <v>46.1898734177215</v>
      </c>
      <c r="AA72" s="144" t="n">
        <f aca="false">IFERROR('Price History'!F3+(INDEX('Price History'!F:F,MATCH(9.99E+307,'Price History'!$A:$A))-'Price History'!F3)*(ROW()-3)/(MATCH(9.99E+307,'Returns (Calc)'!$A:$A)-3),"")</f>
        <v>42.4214556962025</v>
      </c>
      <c r="AB72" s="144" t="n">
        <f aca="false">IFERROR('Price History'!G3+(INDEX('Price History'!G:G,MATCH(9.99E+307,'Price History'!$A:$A))-'Price History'!G3)*(ROW()-3)/(MATCH(9.99E+307,'Returns (Calc)'!$A:$A)-3),"")</f>
        <v>23.2977215189873</v>
      </c>
      <c r="AC72" s="144" t="n">
        <f aca="false">IFERROR('Price History'!H3+(INDEX('Price History'!H:H,MATCH(9.99E+307,'Price History'!$A:$A))-'Price History'!H3)*(ROW()-3)/(MATCH(9.99E+307,'Returns (Calc)'!$A:$A)-3),"")</f>
        <v>56.6614556962025</v>
      </c>
      <c r="AD72" s="144" t="n">
        <f aca="false">IFERROR('Price History'!I3+(INDEX('Price History'!I:I,MATCH(9.99E+307,'Price History'!$A:$A))-'Price History'!I3)*(ROW()-3)/(MATCH(9.99E+307,'Returns (Calc)'!$A:$A)-3),"")</f>
        <v>24.9819620253165</v>
      </c>
      <c r="AE72" s="144" t="n">
        <f aca="false">IFERROR('Price History'!J3+(INDEX('Price History'!J:J,MATCH(9.99E+307,'Price History'!$A:$A))-'Price History'!J3)*(ROW()-3)/(MATCH(9.99E+307,'Returns (Calc)'!$A:$A)-3),"")</f>
        <v>38.9290506329114</v>
      </c>
      <c r="AF72" s="144" t="n">
        <f aca="false">IFERROR('Price History'!K3+(INDEX('Price History'!K:K,MATCH(9.99E+307,'Price History'!$A:$A))-'Price History'!K3)*(ROW()-3)/(MATCH(9.99E+307,'Returns (Calc)'!$A:$A)-3),"")</f>
        <v>24.655253164557</v>
      </c>
      <c r="AG72" s="144" t="n">
        <f aca="false">IFERROR('Price History'!L3+(INDEX('Price History'!L:L,MATCH(9.99E+307,'Price History'!$A:$A))-'Price History'!L3)*(ROW()-3)/(MATCH(9.99E+307,'Returns (Calc)'!$A:$A)-3),"")</f>
        <v>62.9984810126582</v>
      </c>
      <c r="AH72" s="144" t="n">
        <f aca="false">IFERROR('Price History'!M3+(INDEX('Price History'!M:M,MATCH(9.99E+307,'Price History'!$A:$A))-'Price History'!M3)*(ROW()-3)/(MATCH(9.99E+307,'Returns (Calc)'!$A:$A)-3),"")</f>
        <v>8.63525316455696</v>
      </c>
      <c r="AI72" s="144" t="n">
        <f aca="false">IFERROR('Price History'!N3+(INDEX('Price History'!N:N,MATCH(9.99E+307,'Price History'!$A:$A))-'Price History'!N3)*(ROW()-3)/(MATCH(9.99E+307,'Returns (Calc)'!$A:$A)-3),"")</f>
        <v>12.279746835443</v>
      </c>
      <c r="AJ72" s="144" t="n">
        <f aca="false">IFERROR('Price History'!O3+(INDEX('Price History'!O:O,MATCH(9.99E+307,'Price History'!$A:$A))-'Price History'!O3)*(ROW()-3)/(MATCH(9.99E+307,'Returns (Calc)'!$A:$A)-3),"")</f>
        <v>32.4624683544304</v>
      </c>
      <c r="AK72" s="144" t="n">
        <f aca="false">IFERROR('Price History'!Q3+(INDEX('Price History'!Q:Q,MATCH(9.99E+307,'Price History'!$A:$A))-'Price History'!Q3)*(ROW()-3)/(MATCH(9.99E+307,'Returns (Calc)'!$A:$A)-3),"")</f>
        <v>132.728291139241</v>
      </c>
      <c r="AL72" s="144" t="n">
        <f aca="false">IFERROR('Price History'!R3+(INDEX('Price History'!R:R,MATCH(9.99E+307,'Price History'!$A:$A))-'Price History'!R3)*(ROW()-3)/(MATCH(9.99E+307,'Returns (Calc)'!$A:$A)-3),"")</f>
        <v>26.936582278481</v>
      </c>
      <c r="AM72" s="144" t="n">
        <f aca="false">IFERROR('Price History'!S3+(INDEX('Price History'!S:S,MATCH(9.99E+307,'Price History'!$A:$A))-'Price History'!S3)*(ROW()-3)/(MATCH(9.99E+307,'Returns (Calc)'!$A:$A)-3),"")</f>
        <v>32.9750632911392</v>
      </c>
      <c r="AN72" s="144" t="n">
        <f aca="false">IFERROR('Price History'!T3+(INDEX('Price History'!T:T,MATCH(9.99E+307,'Price History'!$A:$A))-'Price History'!T3)*(ROW()-3)/(MATCH(9.99E+307,'Returns (Calc)'!$A:$A)-3),"")</f>
        <v>15.158164556962</v>
      </c>
      <c r="AO72" s="145" t="n">
        <f aca="false">IFERROR('Price History'!V3+(INDEX('Price History'!V:V,MATCH(9.99E+307,'Price History'!$A:$A))-'Price History'!V3)*(ROW()-3)/(MATCH(9.99E+307,'Returns (Calc)'!$A:$A)-3),"")</f>
        <v>0</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0.0050651230101304</v>
      </c>
      <c r="G73" s="142" t="n">
        <f aca="false">IFERROR(IF(OR(NOT(ISNUMBER('Price History'!G74)),NOT(ISNUMBER('Price History'!G73)),'Price History'!G73=0),"",'Price History'!G74/'Price History'!G73-1),"")</f>
        <v>0.0501960784313726</v>
      </c>
      <c r="H73" s="142" t="n">
        <f aca="false">IFERROR(IF(OR(NOT(ISNUMBER('Price History'!H74)),NOT(ISNUMBER('Price History'!H73)),'Price History'!H73=0),"",'Price History'!H74/'Price History'!H73-1),"")</f>
        <v>0.00220802775806317</v>
      </c>
      <c r="I73" s="142" t="n">
        <f aca="false">IFERROR(IF(OR(NOT(ISNUMBER('Price History'!I74)),NOT(ISNUMBER('Price History'!I73)),'Price History'!I73=0),"",'Price History'!I74/'Price History'!I73-1),"")</f>
        <v>-0.0101563544033142</v>
      </c>
      <c r="J73" s="142" t="n">
        <f aca="false">IFERROR(IF(OR(NOT(ISNUMBER('Price History'!J74)),NOT(ISNUMBER('Price History'!J73)),'Price History'!J73=0),"",'Price History'!J74/'Price History'!J73-1),"")</f>
        <v>-0.0242073286500855</v>
      </c>
      <c r="K73" s="142" t="n">
        <f aca="false">IFERROR(IF(OR(NOT(ISNUMBER('Price History'!K74)),NOT(ISNUMBER('Price History'!K73)),'Price History'!K73=0),"",'Price History'!K74/'Price History'!K73-1),"")</f>
        <v>0.0356752821259556</v>
      </c>
      <c r="L73" s="142" t="n">
        <f aca="false">IFERROR(IF(OR(NOT(ISNUMBER('Price History'!L74)),NOT(ISNUMBER('Price History'!L73)),'Price History'!L73=0),"",'Price History'!L74/'Price History'!L73-1),"")</f>
        <v>0.0863587956239713</v>
      </c>
      <c r="M73" s="142" t="n">
        <f aca="false">IFERROR(IF(OR(NOT(ISNUMBER('Price History'!M74)),NOT(ISNUMBER('Price History'!M73)),'Price History'!M73=0),"",'Price History'!M74/'Price History'!M73-1),"")</f>
        <v>0.100459802145743</v>
      </c>
      <c r="N73" s="142" t="n">
        <f aca="false">IFERROR(IF(OR(NOT(ISNUMBER('Price History'!N74)),NOT(ISNUMBER('Price History'!N73)),'Price History'!N73=0),"",'Price History'!N74/'Price History'!N73-1),"")</f>
        <v>0.00266260935717</v>
      </c>
      <c r="O73" s="142" t="n">
        <f aca="false">IFERROR(IF(OR(NOT(ISNUMBER('Price History'!O74)),NOT(ISNUMBER('Price History'!O73)),'Price History'!O73=0),"",'Price History'!O74/'Price History'!O73-1),"")</f>
        <v>0.0271353684859699</v>
      </c>
      <c r="P73" s="142" t="n">
        <f aca="false">IFERROR(IF(OR(NOT(ISNUMBER('Price History'!P74)),NOT(ISNUMBER('Price History'!P73)),'Price History'!P73=0),"",'Price History'!P74/'Price History'!P73-1),"")</f>
        <v>0.0490679030232784</v>
      </c>
      <c r="Q73" s="142" t="n">
        <f aca="false">IFERROR(IF(OR(NOT(ISNUMBER('Price History'!Q74)),NOT(ISNUMBER('Price History'!Q73)),'Price History'!Q73=0),"",'Price History'!Q74/'Price History'!Q73-1),"")</f>
        <v>0.0330934795701652</v>
      </c>
      <c r="R73" s="142" t="n">
        <f aca="false">IFERROR(IF(OR(NOT(ISNUMBER('Price History'!R74)),NOT(ISNUMBER('Price History'!R73)),'Price History'!R73=0),"",'Price History'!R74/'Price History'!R73-1),"")</f>
        <v>-0.0112359550561798</v>
      </c>
      <c r="S73" s="142" t="n">
        <f aca="false">IFERROR(IF(OR(NOT(ISNUMBER('Price History'!S74)),NOT(ISNUMBER('Price History'!S73)),'Price History'!S73=0),"",'Price History'!S74/'Price History'!S73-1),"")</f>
        <v>-0.0223995090518564</v>
      </c>
      <c r="T73" s="142" t="n">
        <f aca="false">IFERROR(IF(OR(NOT(ISNUMBER('Price History'!T74)),NOT(ISNUMBER('Price History'!T73)),'Price History'!T73=0),"",'Price History'!T74/'Price History'!T73-1),"")</f>
        <v>-0.0305976551329711</v>
      </c>
      <c r="U73" s="142" t="str">
        <f aca="false">IFERROR(IF(OR(NOT(ISNUMBER('Price History'!U74)),NOT(ISNUMBER('Price History'!U73)),'Price History'!U73=0),"",'Price History'!U74/'Price History'!U73-1),"")</f>
        <v/>
      </c>
      <c r="V73" s="143" t="n">
        <f aca="false">IFERROR(IF(OR(NOT(ISNUMBER('Price History'!V74)),NOT(ISNUMBER('Price History'!V73)),'Price History'!V73=0),"",'Price History'!V74/'Price History'!V73-1),"")</f>
        <v>0.00946402704007721</v>
      </c>
      <c r="W73" s="144" t="str">
        <f aca="false">IFERROR('Price History'!B3+(INDEX('Price History'!B:B,MATCH(9.99E+307,'Price History'!$A:$A))-'Price History'!B3)*(ROW()-3)/(MATCH(9.99E+307,'Returns (Calc)'!$A:$A)-3),"")</f>
        <v/>
      </c>
      <c r="X73" s="144" t="n">
        <f aca="false">IFERROR('Price History'!C3+(INDEX('Price History'!C:C,MATCH(9.99E+307,'Price History'!$A:$A))-'Price History'!C3)*(ROW()-3)/(MATCH(9.99E+307,'Returns (Calc)'!$A:$A)-3),"")</f>
        <v>25.7205063291139</v>
      </c>
      <c r="Y73" s="144" t="n">
        <f aca="false">IFERROR('Price History'!D3+(INDEX('Price History'!D:D,MATCH(9.99E+307,'Price History'!$A:$A))-'Price History'!D3)*(ROW()-3)/(MATCH(9.99E+307,'Returns (Calc)'!$A:$A)-3),"")</f>
        <v>324.15746835443</v>
      </c>
      <c r="Z73" s="144" t="n">
        <f aca="false">IFERROR('Price History'!E3+(INDEX('Price History'!E:E,MATCH(9.99E+307,'Price History'!$A:$A))-'Price History'!E3)*(ROW()-3)/(MATCH(9.99E+307,'Returns (Calc)'!$A:$A)-3),"")</f>
        <v>45.6708860759494</v>
      </c>
      <c r="AA73" s="144" t="n">
        <f aca="false">IFERROR('Price History'!F3+(INDEX('Price History'!F:F,MATCH(9.99E+307,'Price History'!$A:$A))-'Price History'!F3)*(ROW()-3)/(MATCH(9.99E+307,'Returns (Calc)'!$A:$A)-3),"")</f>
        <v>41.9448101265823</v>
      </c>
      <c r="AB73" s="144" t="n">
        <f aca="false">IFERROR('Price History'!G3+(INDEX('Price History'!G:G,MATCH(9.99E+307,'Price History'!$A:$A))-'Price History'!G3)*(ROW()-3)/(MATCH(9.99E+307,'Returns (Calc)'!$A:$A)-3),"")</f>
        <v>23.0359493670886</v>
      </c>
      <c r="AC73" s="144" t="n">
        <f aca="false">IFERROR('Price History'!H3+(INDEX('Price History'!H:H,MATCH(9.99E+307,'Price History'!$A:$A))-'Price History'!H3)*(ROW()-3)/(MATCH(9.99E+307,'Returns (Calc)'!$A:$A)-3),"")</f>
        <v>56.0248101265823</v>
      </c>
      <c r="AD73" s="144" t="n">
        <f aca="false">IFERROR('Price History'!I3+(INDEX('Price History'!I:I,MATCH(9.99E+307,'Price History'!$A:$A))-'Price History'!I3)*(ROW()-3)/(MATCH(9.99E+307,'Returns (Calc)'!$A:$A)-3),"")</f>
        <v>24.7012658227848</v>
      </c>
      <c r="AE73" s="144" t="n">
        <f aca="false">IFERROR('Price History'!J3+(INDEX('Price History'!J:J,MATCH(9.99E+307,'Price History'!$A:$A))-'Price History'!J3)*(ROW()-3)/(MATCH(9.99E+307,'Returns (Calc)'!$A:$A)-3),"")</f>
        <v>38.4916455696203</v>
      </c>
      <c r="AF73" s="144" t="n">
        <f aca="false">IFERROR('Price History'!K3+(INDEX('Price History'!K:K,MATCH(9.99E+307,'Price History'!$A:$A))-'Price History'!K3)*(ROW()-3)/(MATCH(9.99E+307,'Returns (Calc)'!$A:$A)-3),"")</f>
        <v>24.3782278481013</v>
      </c>
      <c r="AG73" s="144" t="n">
        <f aca="false">IFERROR('Price History'!L3+(INDEX('Price History'!L:L,MATCH(9.99E+307,'Price History'!$A:$A))-'Price History'!L3)*(ROW()-3)/(MATCH(9.99E+307,'Returns (Calc)'!$A:$A)-3),"")</f>
        <v>62.2906329113924</v>
      </c>
      <c r="AH73" s="144" t="n">
        <f aca="false">IFERROR('Price History'!M3+(INDEX('Price History'!M:M,MATCH(9.99E+307,'Price History'!$A:$A))-'Price History'!M3)*(ROW()-3)/(MATCH(9.99E+307,'Returns (Calc)'!$A:$A)-3),"")</f>
        <v>8.53822784810127</v>
      </c>
      <c r="AI73" s="144" t="n">
        <f aca="false">IFERROR('Price History'!N3+(INDEX('Price History'!N:N,MATCH(9.99E+307,'Price History'!$A:$A))-'Price History'!N3)*(ROW()-3)/(MATCH(9.99E+307,'Returns (Calc)'!$A:$A)-3),"")</f>
        <v>12.1417721518987</v>
      </c>
      <c r="AJ73" s="144" t="n">
        <f aca="false">IFERROR('Price History'!O3+(INDEX('Price History'!O:O,MATCH(9.99E+307,'Price History'!$A:$A))-'Price History'!O3)*(ROW()-3)/(MATCH(9.99E+307,'Returns (Calc)'!$A:$A)-3),"")</f>
        <v>32.0977215189873</v>
      </c>
      <c r="AK73" s="144" t="n">
        <f aca="false">IFERROR('Price History'!Q3+(INDEX('Price History'!Q:Q,MATCH(9.99E+307,'Price History'!$A:$A))-'Price History'!Q3)*(ROW()-3)/(MATCH(9.99E+307,'Returns (Calc)'!$A:$A)-3),"")</f>
        <v>131.236962025316</v>
      </c>
      <c r="AL73" s="144" t="n">
        <f aca="false">IFERROR('Price History'!R3+(INDEX('Price History'!R:R,MATCH(9.99E+307,'Price History'!$A:$A))-'Price History'!R3)*(ROW()-3)/(MATCH(9.99E+307,'Returns (Calc)'!$A:$A)-3),"")</f>
        <v>26.6339240506329</v>
      </c>
      <c r="AM73" s="144" t="n">
        <f aca="false">IFERROR('Price History'!S3+(INDEX('Price History'!S:S,MATCH(9.99E+307,'Price History'!$A:$A))-'Price History'!S3)*(ROW()-3)/(MATCH(9.99E+307,'Returns (Calc)'!$A:$A)-3),"")</f>
        <v>32.6045569620253</v>
      </c>
      <c r="AN73" s="144" t="n">
        <f aca="false">IFERROR('Price History'!T3+(INDEX('Price History'!T:T,MATCH(9.99E+307,'Price History'!$A:$A))-'Price History'!T3)*(ROW()-3)/(MATCH(9.99E+307,'Returns (Calc)'!$A:$A)-3),"")</f>
        <v>14.9878481012658</v>
      </c>
      <c r="AO73" s="145" t="n">
        <f aca="false">IFERROR('Price History'!V3+(INDEX('Price History'!V:V,MATCH(9.99E+307,'Price History'!$A:$A))-'Price History'!V3)*(ROW()-3)/(MATCH(9.99E+307,'Returns (Calc)'!$A:$A)-3),"")</f>
        <v>0</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-0.0151187904967602</v>
      </c>
      <c r="G74" s="142" t="n">
        <f aca="false">IFERROR(IF(OR(NOT(ISNUMBER('Price History'!G75)),NOT(ISNUMBER('Price History'!G74)),'Price History'!G74=0),"",'Price History'!G75/'Price History'!G74-1),"")</f>
        <v>0.0617731782780326</v>
      </c>
      <c r="H74" s="142" t="n">
        <f aca="false">IFERROR(IF(OR(NOT(ISNUMBER('Price History'!H75)),NOT(ISNUMBER('Price History'!H74)),'Price History'!H74=0),"",'Price History'!H75/'Price History'!H74-1),"")</f>
        <v>-0.0025965850971752</v>
      </c>
      <c r="I74" s="142" t="n">
        <f aca="false">IFERROR(IF(OR(NOT(ISNUMBER('Price History'!I75)),NOT(ISNUMBER('Price History'!I74)),'Price History'!I74=0),"",'Price History'!I75/'Price History'!I74-1),"")</f>
        <v>-0.0153908464965571</v>
      </c>
      <c r="J74" s="142" t="n">
        <f aca="false">IFERROR(IF(OR(NOT(ISNUMBER('Price History'!J75)),NOT(ISNUMBER('Price History'!J74)),'Price History'!J74=0),"",'Price History'!J75/'Price History'!J74-1),"")</f>
        <v>-0.115770016538574</v>
      </c>
      <c r="K74" s="142" t="n">
        <f aca="false">IFERROR(IF(OR(NOT(ISNUMBER('Price History'!K75)),NOT(ISNUMBER('Price History'!K74)),'Price History'!K74=0),"",'Price History'!K75/'Price History'!K74-1),"")</f>
        <v>-0.158101933216169</v>
      </c>
      <c r="L74" s="142" t="n">
        <f aca="false">IFERROR(IF(OR(NOT(ISNUMBER('Price History'!L75)),NOT(ISNUMBER('Price History'!L74)),'Price History'!L74=0),"",'Price History'!L75/'Price History'!L74-1),"")</f>
        <v>0.00267355850637219</v>
      </c>
      <c r="M74" s="142" t="n">
        <f aca="false">IFERROR(IF(OR(NOT(ISNUMBER('Price History'!M75)),NOT(ISNUMBER('Price History'!M74)),'Price History'!M74=0),"",'Price History'!M75/'Price History'!M74-1),"")</f>
        <v>0.0444416307926057</v>
      </c>
      <c r="N74" s="142" t="n">
        <f aca="false">IFERROR(IF(OR(NOT(ISNUMBER('Price History'!N75)),NOT(ISNUMBER('Price History'!N74)),'Price History'!N74=0),"",'Price History'!N75/'Price History'!N74-1),"")</f>
        <v>-0.00834597875569043</v>
      </c>
      <c r="O74" s="142" t="n">
        <f aca="false">IFERROR(IF(OR(NOT(ISNUMBER('Price History'!O75)),NOT(ISNUMBER('Price History'!O74)),'Price History'!O74=0),"",'Price History'!O75/'Price History'!O74-1),"")</f>
        <v>-0.0127088962273593</v>
      </c>
      <c r="P74" s="142" t="n">
        <f aca="false">IFERROR(IF(OR(NOT(ISNUMBER('Price History'!P75)),NOT(ISNUMBER('Price History'!P74)),'Price History'!P74=0),"",'Price History'!P75/'Price History'!P74-1),"")</f>
        <v>-0.0565785839241322</v>
      </c>
      <c r="Q74" s="142" t="n">
        <f aca="false">IFERROR(IF(OR(NOT(ISNUMBER('Price History'!Q75)),NOT(ISNUMBER('Price History'!Q74)),'Price History'!Q74=0),"",'Price History'!Q75/'Price History'!Q74-1),"")</f>
        <v>0.0351323985149274</v>
      </c>
      <c r="R74" s="142" t="n">
        <f aca="false">IFERROR(IF(OR(NOT(ISNUMBER('Price History'!R75)),NOT(ISNUMBER('Price History'!R74)),'Price History'!R74=0),"",'Price History'!R75/'Price History'!R74-1),"")</f>
        <v>0.00944055944055933</v>
      </c>
      <c r="S74" s="142" t="n">
        <f aca="false">IFERROR(IF(OR(NOT(ISNUMBER('Price History'!S75)),NOT(ISNUMBER('Price History'!S74)),'Price History'!S74=0),"",'Price History'!S75/'Price History'!S74-1),"")</f>
        <v>0.0105670642393807</v>
      </c>
      <c r="T74" s="142" t="n">
        <f aca="false">IFERROR(IF(OR(NOT(ISNUMBER('Price History'!T75)),NOT(ISNUMBER('Price History'!T74)),'Price History'!T74=0),"",'Price History'!T75/'Price History'!T74-1),"")</f>
        <v>0.00914454277286136</v>
      </c>
      <c r="U74" s="142" t="str">
        <f aca="false">IFERROR(IF(OR(NOT(ISNUMBER('Price History'!U75)),NOT(ISNUMBER('Price History'!U74)),'Price History'!U74=0),"",'Price History'!U75/'Price History'!U74-1),"")</f>
        <v/>
      </c>
      <c r="V74" s="143" t="n">
        <f aca="false">IFERROR(IF(OR(NOT(ISNUMBER('Price History'!V75)),NOT(ISNUMBER('Price History'!V74)),'Price History'!V74=0),"",'Price History'!V75/'Price History'!V74-1),"")</f>
        <v>0.00296565579259545</v>
      </c>
      <c r="W74" s="144" t="str">
        <f aca="false">IFERROR('Price History'!B3+(INDEX('Price History'!B:B,MATCH(9.99E+307,'Price History'!$A:$A))-'Price History'!B3)*(ROW()-3)/(MATCH(9.99E+307,'Returns (Calc)'!$A:$A)-3),"")</f>
        <v/>
      </c>
      <c r="X74" s="144" t="n">
        <f aca="false">IFERROR('Price History'!C3+(INDEX('Price History'!C:C,MATCH(9.99E+307,'Price History'!$A:$A))-'Price History'!C3)*(ROW()-3)/(MATCH(9.99E+307,'Returns (Calc)'!$A:$A)-3),"")</f>
        <v>25.4282278481013</v>
      </c>
      <c r="Y74" s="144" t="n">
        <f aca="false">IFERROR('Price History'!D3+(INDEX('Price History'!D:D,MATCH(9.99E+307,'Price History'!$A:$A))-'Price History'!D3)*(ROW()-3)/(MATCH(9.99E+307,'Returns (Calc)'!$A:$A)-3),"")</f>
        <v>320.473860759494</v>
      </c>
      <c r="Z74" s="144" t="n">
        <f aca="false">IFERROR('Price History'!E3+(INDEX('Price History'!E:E,MATCH(9.99E+307,'Price History'!$A:$A))-'Price History'!E3)*(ROW()-3)/(MATCH(9.99E+307,'Returns (Calc)'!$A:$A)-3),"")</f>
        <v>45.1518987341772</v>
      </c>
      <c r="AA74" s="144" t="n">
        <f aca="false">IFERROR('Price History'!F3+(INDEX('Price History'!F:F,MATCH(9.99E+307,'Price History'!$A:$A))-'Price History'!F3)*(ROW()-3)/(MATCH(9.99E+307,'Returns (Calc)'!$A:$A)-3),"")</f>
        <v>41.468164556962</v>
      </c>
      <c r="AB74" s="144" t="n">
        <f aca="false">IFERROR('Price History'!G3+(INDEX('Price History'!G:G,MATCH(9.99E+307,'Price History'!$A:$A))-'Price History'!G3)*(ROW()-3)/(MATCH(9.99E+307,'Returns (Calc)'!$A:$A)-3),"")</f>
        <v>22.7741772151899</v>
      </c>
      <c r="AC74" s="144" t="n">
        <f aca="false">IFERROR('Price History'!H3+(INDEX('Price History'!H:H,MATCH(9.99E+307,'Price History'!$A:$A))-'Price History'!H3)*(ROW()-3)/(MATCH(9.99E+307,'Returns (Calc)'!$A:$A)-3),"")</f>
        <v>55.388164556962</v>
      </c>
      <c r="AD74" s="144" t="n">
        <f aca="false">IFERROR('Price History'!I3+(INDEX('Price History'!I:I,MATCH(9.99E+307,'Price History'!$A:$A))-'Price History'!I3)*(ROW()-3)/(MATCH(9.99E+307,'Returns (Calc)'!$A:$A)-3),"")</f>
        <v>24.4205696202532</v>
      </c>
      <c r="AE74" s="144" t="n">
        <f aca="false">IFERROR('Price History'!J3+(INDEX('Price History'!J:J,MATCH(9.99E+307,'Price History'!$A:$A))-'Price History'!J3)*(ROW()-3)/(MATCH(9.99E+307,'Returns (Calc)'!$A:$A)-3),"")</f>
        <v>38.0542405063291</v>
      </c>
      <c r="AF74" s="144" t="n">
        <f aca="false">IFERROR('Price History'!K3+(INDEX('Price History'!K:K,MATCH(9.99E+307,'Price History'!$A:$A))-'Price History'!K3)*(ROW()-3)/(MATCH(9.99E+307,'Returns (Calc)'!$A:$A)-3),"")</f>
        <v>24.1012025316456</v>
      </c>
      <c r="AG74" s="144" t="n">
        <f aca="false">IFERROR('Price History'!L3+(INDEX('Price History'!L:L,MATCH(9.99E+307,'Price History'!$A:$A))-'Price History'!L3)*(ROW()-3)/(MATCH(9.99E+307,'Returns (Calc)'!$A:$A)-3),"")</f>
        <v>61.5827848101266</v>
      </c>
      <c r="AH74" s="144" t="n">
        <f aca="false">IFERROR('Price History'!M3+(INDEX('Price History'!M:M,MATCH(9.99E+307,'Price History'!$A:$A))-'Price History'!M3)*(ROW()-3)/(MATCH(9.99E+307,'Returns (Calc)'!$A:$A)-3),"")</f>
        <v>8.44120253164557</v>
      </c>
      <c r="AI74" s="144" t="n">
        <f aca="false">IFERROR('Price History'!N3+(INDEX('Price History'!N:N,MATCH(9.99E+307,'Price History'!$A:$A))-'Price History'!N3)*(ROW()-3)/(MATCH(9.99E+307,'Returns (Calc)'!$A:$A)-3),"")</f>
        <v>12.0037974683544</v>
      </c>
      <c r="AJ74" s="144" t="n">
        <f aca="false">IFERROR('Price History'!O3+(INDEX('Price History'!O:O,MATCH(9.99E+307,'Price History'!$A:$A))-'Price History'!O3)*(ROW()-3)/(MATCH(9.99E+307,'Returns (Calc)'!$A:$A)-3),"")</f>
        <v>31.7329746835443</v>
      </c>
      <c r="AK74" s="144" t="n">
        <f aca="false">IFERROR('Price History'!Q3+(INDEX('Price History'!Q:Q,MATCH(9.99E+307,'Price History'!$A:$A))-'Price History'!Q3)*(ROW()-3)/(MATCH(9.99E+307,'Returns (Calc)'!$A:$A)-3),"")</f>
        <v>129.745632911392</v>
      </c>
      <c r="AL74" s="144" t="n">
        <f aca="false">IFERROR('Price History'!R3+(INDEX('Price History'!R:R,MATCH(9.99E+307,'Price History'!$A:$A))-'Price History'!R3)*(ROW()-3)/(MATCH(9.99E+307,'Returns (Calc)'!$A:$A)-3),"")</f>
        <v>26.3312658227848</v>
      </c>
      <c r="AM74" s="144" t="n">
        <f aca="false">IFERROR('Price History'!S3+(INDEX('Price History'!S:S,MATCH(9.99E+307,'Price History'!$A:$A))-'Price History'!S3)*(ROW()-3)/(MATCH(9.99E+307,'Returns (Calc)'!$A:$A)-3),"")</f>
        <v>32.2340506329114</v>
      </c>
      <c r="AN74" s="144" t="n">
        <f aca="false">IFERROR('Price History'!T3+(INDEX('Price History'!T:T,MATCH(9.99E+307,'Price History'!$A:$A))-'Price History'!T3)*(ROW()-3)/(MATCH(9.99E+307,'Returns (Calc)'!$A:$A)-3),"")</f>
        <v>14.8175316455696</v>
      </c>
      <c r="AO74" s="145" t="n">
        <f aca="false">IFERROR('Price History'!V3+(INDEX('Price History'!V:V,MATCH(9.99E+307,'Price History'!$A:$A))-'Price History'!V3)*(ROW()-3)/(MATCH(9.99E+307,'Returns (Calc)'!$A:$A)-3),"")</f>
        <v>0</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-0.0115914786967418</v>
      </c>
      <c r="G75" s="142" t="n">
        <f aca="false">IFERROR(IF(OR(NOT(ISNUMBER('Price History'!G76)),NOT(ISNUMBER('Price History'!G75)),'Price History'!G75=0),"",'Price History'!G76/'Price History'!G75-1),"")</f>
        <v>0.0590836012861737</v>
      </c>
      <c r="H75" s="142" t="n">
        <f aca="false">IFERROR(IF(OR(NOT(ISNUMBER('Price History'!H76)),NOT(ISNUMBER('Price History'!H75)),'Price History'!H75=0),"",'Price History'!H76/'Price History'!H75-1),"")</f>
        <v>-0.00481224360997157</v>
      </c>
      <c r="I75" s="142" t="n">
        <f aca="false">IFERROR(IF(OR(NOT(ISNUMBER('Price History'!I76)),NOT(ISNUMBER('Price History'!I75)),'Price History'!I75=0),"",'Price History'!I76/'Price History'!I75-1),"")</f>
        <v>0.0127519539284244</v>
      </c>
      <c r="J75" s="142" t="n">
        <f aca="false">IFERROR(IF(OR(NOT(ISNUMBER('Price History'!J76)),NOT(ISNUMBER('Price History'!J75)),'Price History'!J75=0),"",'Price History'!J76/'Price History'!J75-1),"")</f>
        <v>0.011662449114314</v>
      </c>
      <c r="K75" s="142" t="n">
        <f aca="false">IFERROR(IF(OR(NOT(ISNUMBER('Price History'!K76)),NOT(ISNUMBER('Price History'!K75)),'Price History'!K75=0),"",'Price History'!K76/'Price History'!K75-1),"")</f>
        <v>0.0813293253173013</v>
      </c>
      <c r="L75" s="142" t="n">
        <f aca="false">IFERROR(IF(OR(NOT(ISNUMBER('Price History'!L76)),NOT(ISNUMBER('Price History'!L75)),'Price History'!L75=0),"",'Price History'!L76/'Price History'!L75-1),"")</f>
        <v>-0.0159096969158298</v>
      </c>
      <c r="M75" s="142" t="n">
        <f aca="false">IFERROR(IF(OR(NOT(ISNUMBER('Price History'!M76)),NOT(ISNUMBER('Price History'!M75)),'Price History'!M75=0),"",'Price History'!M76/'Price History'!M75-1),"")</f>
        <v>0.343799248393745</v>
      </c>
      <c r="N75" s="142" t="n">
        <f aca="false">IFERROR(IF(OR(NOT(ISNUMBER('Price History'!N76)),NOT(ISNUMBER('Price History'!N75)),'Price History'!N75=0),"",'Price History'!N76/'Price History'!N75-1),"")</f>
        <v>-0.009946442234124</v>
      </c>
      <c r="O75" s="142" t="n">
        <f aca="false">IFERROR(IF(OR(NOT(ISNUMBER('Price History'!O76)),NOT(ISNUMBER('Price History'!O75)),'Price History'!O75=0),"",'Price History'!O76/'Price History'!O75-1),"")</f>
        <v>0.0198662071761606</v>
      </c>
      <c r="P75" s="142" t="n">
        <f aca="false">IFERROR(IF(OR(NOT(ISNUMBER('Price History'!P76)),NOT(ISNUMBER('Price History'!P75)),'Price History'!P75=0),"",'Price History'!P76/'Price History'!P75-1),"")</f>
        <v>-0.0153223051773778</v>
      </c>
      <c r="Q75" s="142" t="n">
        <f aca="false">IFERROR(IF(OR(NOT(ISNUMBER('Price History'!Q76)),NOT(ISNUMBER('Price History'!Q75)),'Price History'!Q75=0),"",'Price History'!Q76/'Price History'!Q75-1),"")</f>
        <v>0.0182001422812426</v>
      </c>
      <c r="R75" s="142" t="n">
        <f aca="false">IFERROR(IF(OR(NOT(ISNUMBER('Price History'!R76)),NOT(ISNUMBER('Price History'!R75)),'Price History'!R75=0),"",'Price History'!R76/'Price History'!R75-1),"")</f>
        <v>-0.0114305507447178</v>
      </c>
      <c r="S75" s="142" t="n">
        <f aca="false">IFERROR(IF(OR(NOT(ISNUMBER('Price History'!S76)),NOT(ISNUMBER('Price History'!S75)),'Price History'!S75=0),"",'Price History'!S76/'Price History'!S75-1),"")</f>
        <v>0.00310591158505025</v>
      </c>
      <c r="T75" s="142" t="n">
        <f aca="false">IFERROR(IF(OR(NOT(ISNUMBER('Price History'!T76)),NOT(ISNUMBER('Price History'!T75)),'Price History'!T75=0),"",'Price History'!T76/'Price History'!T75-1),"")</f>
        <v>0.00760011692487561</v>
      </c>
      <c r="U75" s="142" t="str">
        <f aca="false">IFERROR(IF(OR(NOT(ISNUMBER('Price History'!U76)),NOT(ISNUMBER('Price History'!U75)),'Price History'!U75=0),"",'Price History'!U76/'Price History'!U75-1),"")</f>
        <v/>
      </c>
      <c r="V75" s="143" t="n">
        <f aca="false">IFERROR(IF(OR(NOT(ISNUMBER('Price History'!V76)),NOT(ISNUMBER('Price History'!V75)),'Price History'!V75=0),"",'Price History'!V76/'Price History'!V75-1),"")</f>
        <v>-0.0117639577769298</v>
      </c>
      <c r="W75" s="144" t="str">
        <f aca="false">IFERROR('Price History'!B3+(INDEX('Price History'!B:B,MATCH(9.99E+307,'Price History'!$A:$A))-'Price History'!B3)*(ROW()-3)/(MATCH(9.99E+307,'Returns (Calc)'!$A:$A)-3),"")</f>
        <v/>
      </c>
      <c r="X75" s="144" t="n">
        <f aca="false">IFERROR('Price History'!C3+(INDEX('Price History'!C:C,MATCH(9.99E+307,'Price History'!$A:$A))-'Price History'!C3)*(ROW()-3)/(MATCH(9.99E+307,'Returns (Calc)'!$A:$A)-3),"")</f>
        <v>25.1359493670886</v>
      </c>
      <c r="Y75" s="144" t="n">
        <f aca="false">IFERROR('Price History'!D3+(INDEX('Price History'!D:D,MATCH(9.99E+307,'Price History'!$A:$A))-'Price History'!D3)*(ROW()-3)/(MATCH(9.99E+307,'Returns (Calc)'!$A:$A)-3),"")</f>
        <v>316.790253164557</v>
      </c>
      <c r="Z75" s="144" t="n">
        <f aca="false">IFERROR('Price History'!E3+(INDEX('Price History'!E:E,MATCH(9.99E+307,'Price History'!$A:$A))-'Price History'!E3)*(ROW()-3)/(MATCH(9.99E+307,'Returns (Calc)'!$A:$A)-3),"")</f>
        <v>44.6329113924051</v>
      </c>
      <c r="AA75" s="144" t="n">
        <f aca="false">IFERROR('Price History'!F3+(INDEX('Price History'!F:F,MATCH(9.99E+307,'Price History'!$A:$A))-'Price History'!F3)*(ROW()-3)/(MATCH(9.99E+307,'Returns (Calc)'!$A:$A)-3),"")</f>
        <v>40.9915189873418</v>
      </c>
      <c r="AB75" s="144" t="n">
        <f aca="false">IFERROR('Price History'!G3+(INDEX('Price History'!G:G,MATCH(9.99E+307,'Price History'!$A:$A))-'Price History'!G3)*(ROW()-3)/(MATCH(9.99E+307,'Returns (Calc)'!$A:$A)-3),"")</f>
        <v>22.5124050632911</v>
      </c>
      <c r="AC75" s="144" t="n">
        <f aca="false">IFERROR('Price History'!H3+(INDEX('Price History'!H:H,MATCH(9.99E+307,'Price History'!$A:$A))-'Price History'!H3)*(ROW()-3)/(MATCH(9.99E+307,'Returns (Calc)'!$A:$A)-3),"")</f>
        <v>54.7515189873418</v>
      </c>
      <c r="AD75" s="144" t="n">
        <f aca="false">IFERROR('Price History'!I3+(INDEX('Price History'!I:I,MATCH(9.99E+307,'Price History'!$A:$A))-'Price History'!I3)*(ROW()-3)/(MATCH(9.99E+307,'Returns (Calc)'!$A:$A)-3),"")</f>
        <v>24.1398734177215</v>
      </c>
      <c r="AE75" s="144" t="n">
        <f aca="false">IFERROR('Price History'!J3+(INDEX('Price History'!J:J,MATCH(9.99E+307,'Price History'!$A:$A))-'Price History'!J3)*(ROW()-3)/(MATCH(9.99E+307,'Returns (Calc)'!$A:$A)-3),"")</f>
        <v>37.616835443038</v>
      </c>
      <c r="AF75" s="144" t="n">
        <f aca="false">IFERROR('Price History'!K3+(INDEX('Price History'!K:K,MATCH(9.99E+307,'Price History'!$A:$A))-'Price History'!K3)*(ROW()-3)/(MATCH(9.99E+307,'Returns (Calc)'!$A:$A)-3),"")</f>
        <v>23.8241772151899</v>
      </c>
      <c r="AG75" s="144" t="n">
        <f aca="false">IFERROR('Price History'!L3+(INDEX('Price History'!L:L,MATCH(9.99E+307,'Price History'!$A:$A))-'Price History'!L3)*(ROW()-3)/(MATCH(9.99E+307,'Returns (Calc)'!$A:$A)-3),"")</f>
        <v>60.8749367088608</v>
      </c>
      <c r="AH75" s="144" t="n">
        <f aca="false">IFERROR('Price History'!M3+(INDEX('Price History'!M:M,MATCH(9.99E+307,'Price History'!$A:$A))-'Price History'!M3)*(ROW()-3)/(MATCH(9.99E+307,'Returns (Calc)'!$A:$A)-3),"")</f>
        <v>8.34417721518987</v>
      </c>
      <c r="AI75" s="144" t="n">
        <f aca="false">IFERROR('Price History'!N3+(INDEX('Price History'!N:N,MATCH(9.99E+307,'Price History'!$A:$A))-'Price History'!N3)*(ROW()-3)/(MATCH(9.99E+307,'Returns (Calc)'!$A:$A)-3),"")</f>
        <v>11.8658227848101</v>
      </c>
      <c r="AJ75" s="144" t="n">
        <f aca="false">IFERROR('Price History'!O3+(INDEX('Price History'!O:O,MATCH(9.99E+307,'Price History'!$A:$A))-'Price History'!O3)*(ROW()-3)/(MATCH(9.99E+307,'Returns (Calc)'!$A:$A)-3),"")</f>
        <v>31.3682278481013</v>
      </c>
      <c r="AK75" s="144" t="n">
        <f aca="false">IFERROR('Price History'!Q3+(INDEX('Price History'!Q:Q,MATCH(9.99E+307,'Price History'!$A:$A))-'Price History'!Q3)*(ROW()-3)/(MATCH(9.99E+307,'Returns (Calc)'!$A:$A)-3),"")</f>
        <v>128.254303797468</v>
      </c>
      <c r="AL75" s="144" t="n">
        <f aca="false">IFERROR('Price History'!R3+(INDEX('Price History'!R:R,MATCH(9.99E+307,'Price History'!$A:$A))-'Price History'!R3)*(ROW()-3)/(MATCH(9.99E+307,'Returns (Calc)'!$A:$A)-3),"")</f>
        <v>26.0286075949367</v>
      </c>
      <c r="AM75" s="144" t="n">
        <f aca="false">IFERROR('Price History'!S3+(INDEX('Price History'!S:S,MATCH(9.99E+307,'Price History'!$A:$A))-'Price History'!S3)*(ROW()-3)/(MATCH(9.99E+307,'Returns (Calc)'!$A:$A)-3),"")</f>
        <v>31.8635443037975</v>
      </c>
      <c r="AN75" s="144" t="n">
        <f aca="false">IFERROR('Price History'!T3+(INDEX('Price History'!T:T,MATCH(9.99E+307,'Price History'!$A:$A))-'Price History'!T3)*(ROW()-3)/(MATCH(9.99E+307,'Returns (Calc)'!$A:$A)-3),"")</f>
        <v>14.6472151898734</v>
      </c>
      <c r="AO75" s="145" t="n">
        <f aca="false">IFERROR('Price History'!V3+(INDEX('Price History'!V:V,MATCH(9.99E+307,'Price History'!$A:$A))-'Price History'!V3)*(ROW()-3)/(MATCH(9.99E+307,'Returns (Calc)'!$A:$A)-3),"")</f>
        <v>0</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0.00306391970417308</v>
      </c>
      <c r="G76" s="142" t="n">
        <f aca="false">IFERROR(IF(OR(NOT(ISNUMBER('Price History'!G77)),NOT(ISNUMBER('Price History'!G76)),'Price History'!G76=0),"",'Price History'!G77/'Price History'!G76-1),"")</f>
        <v>0.0714421252371917</v>
      </c>
      <c r="H76" s="142" t="n">
        <f aca="false">IFERROR(IF(OR(NOT(ISNUMBER('Price History'!H77)),NOT(ISNUMBER('Price History'!H76)),'Price History'!H76=0),"",'Price History'!H77/'Price History'!H76-1),"")</f>
        <v>0.0119698771304002</v>
      </c>
      <c r="I76" s="142" t="n">
        <f aca="false">IFERROR(IF(OR(NOT(ISNUMBER('Price History'!I77)),NOT(ISNUMBER('Price History'!I76)),'Price History'!I76=0),"",'Price History'!I77/'Price History'!I76-1),"")</f>
        <v>0.00406173842404556</v>
      </c>
      <c r="J76" s="142" t="n">
        <f aca="false">IFERROR(IF(OR(NOT(ISNUMBER('Price History'!J77)),NOT(ISNUMBER('Price History'!J76)),'Price History'!J76=0),"",'Price History'!J77/'Price History'!J76-1),"")</f>
        <v>0.0781946710168571</v>
      </c>
      <c r="K76" s="142" t="n">
        <f aca="false">IFERROR(IF(OR(NOT(ISNUMBER('Price History'!K77)),NOT(ISNUMBER('Price History'!K76)),'Price History'!K76=0),"",'Price History'!K77/'Price History'!K76-1),"")</f>
        <v>0.0694208494208495</v>
      </c>
      <c r="L76" s="142" t="n">
        <f aca="false">IFERROR(IF(OR(NOT(ISNUMBER('Price History'!L77)),NOT(ISNUMBER('Price History'!L76)),'Price History'!L76=0),"",'Price History'!L77/'Price History'!L76-1),"")</f>
        <v>0.0298049132947977</v>
      </c>
      <c r="M76" s="142" t="n">
        <f aca="false">IFERROR(IF(OR(NOT(ISNUMBER('Price History'!M77)),NOT(ISNUMBER('Price History'!M76)),'Price History'!M76=0),"",'Price History'!M77/'Price History'!M76-1),"")</f>
        <v>0.0749661705006766</v>
      </c>
      <c r="N76" s="142" t="n">
        <f aca="false">IFERROR(IF(OR(NOT(ISNUMBER('Price History'!N77)),NOT(ISNUMBER('Price History'!N76)),'Price History'!N76=0),"",'Price History'!N77/'Price History'!N76-1),"")</f>
        <v>0.00850077279752703</v>
      </c>
      <c r="O76" s="142" t="n">
        <f aca="false">IFERROR(IF(OR(NOT(ISNUMBER('Price History'!O77)),NOT(ISNUMBER('Price History'!O76)),'Price History'!O76=0),"",'Price History'!O77/'Price History'!O76-1),"")</f>
        <v>0.0101371496720333</v>
      </c>
      <c r="P76" s="142" t="n">
        <f aca="false">IFERROR(IF(OR(NOT(ISNUMBER('Price History'!P77)),NOT(ISNUMBER('Price History'!P76)),'Price History'!P76=0),"",'Price History'!P77/'Price History'!P76-1),"")</f>
        <v>-0.0107537539025719</v>
      </c>
      <c r="Q76" s="142" t="n">
        <f aca="false">IFERROR(IF(OR(NOT(ISNUMBER('Price History'!Q77)),NOT(ISNUMBER('Price History'!Q76)),'Price History'!Q76=0),"",'Price History'!Q77/'Price History'!Q76-1),"")</f>
        <v>0.0183697234352256</v>
      </c>
      <c r="R76" s="142" t="n">
        <f aca="false">IFERROR(IF(OR(NOT(ISNUMBER('Price History'!R77)),NOT(ISNUMBER('Price History'!R76)),'Price History'!R76=0),"",'Price History'!R77/'Price History'!R76-1),"")</f>
        <v>-0.0192711983181499</v>
      </c>
      <c r="S76" s="142" t="n">
        <f aca="false">IFERROR(IF(OR(NOT(ISNUMBER('Price History'!S77)),NOT(ISNUMBER('Price History'!S76)),'Price History'!S76=0),"",'Price History'!S77/'Price History'!S76-1),"")</f>
        <v>-0.0135204871503768</v>
      </c>
      <c r="T76" s="142" t="n">
        <f aca="false">IFERROR(IF(OR(NOT(ISNUMBER('Price History'!T77)),NOT(ISNUMBER('Price History'!T76)),'Price History'!T76=0),"",'Price History'!T77/'Price History'!T76-1),"")</f>
        <v>-0.000290107339715684</v>
      </c>
      <c r="U76" s="142" t="str">
        <f aca="false">IFERROR(IF(OR(NOT(ISNUMBER('Price History'!U77)),NOT(ISNUMBER('Price History'!U76)),'Price History'!U76=0),"",'Price History'!U77/'Price History'!U76-1),"")</f>
        <v/>
      </c>
      <c r="V76" s="143" t="n">
        <f aca="false">IFERROR(IF(OR(NOT(ISNUMBER('Price History'!V77)),NOT(ISNUMBER('Price History'!V76)),'Price History'!V76=0),"",'Price History'!V77/'Price History'!V76-1),"")</f>
        <v>-0.0228428029084357</v>
      </c>
      <c r="W76" s="144" t="str">
        <f aca="false">IFERROR('Price History'!B3+(INDEX('Price History'!B:B,MATCH(9.99E+307,'Price History'!$A:$A))-'Price History'!B3)*(ROW()-3)/(MATCH(9.99E+307,'Returns (Calc)'!$A:$A)-3),"")</f>
        <v/>
      </c>
      <c r="X76" s="144" t="n">
        <f aca="false">IFERROR('Price History'!C3+(INDEX('Price History'!C:C,MATCH(9.99E+307,'Price History'!$A:$A))-'Price History'!C3)*(ROW()-3)/(MATCH(9.99E+307,'Returns (Calc)'!$A:$A)-3),"")</f>
        <v>24.843670886076</v>
      </c>
      <c r="Y76" s="144" t="n">
        <f aca="false">IFERROR('Price History'!D3+(INDEX('Price History'!D:D,MATCH(9.99E+307,'Price History'!$A:$A))-'Price History'!D3)*(ROW()-3)/(MATCH(9.99E+307,'Returns (Calc)'!$A:$A)-3),"")</f>
        <v>313.10664556962</v>
      </c>
      <c r="Z76" s="144" t="n">
        <f aca="false">IFERROR('Price History'!E3+(INDEX('Price History'!E:E,MATCH(9.99E+307,'Price History'!$A:$A))-'Price History'!E3)*(ROW()-3)/(MATCH(9.99E+307,'Returns (Calc)'!$A:$A)-3),"")</f>
        <v>44.1139240506329</v>
      </c>
      <c r="AA76" s="144" t="n">
        <f aca="false">IFERROR('Price History'!F3+(INDEX('Price History'!F:F,MATCH(9.99E+307,'Price History'!$A:$A))-'Price History'!F3)*(ROW()-3)/(MATCH(9.99E+307,'Returns (Calc)'!$A:$A)-3),"")</f>
        <v>40.5148734177215</v>
      </c>
      <c r="AB76" s="144" t="n">
        <f aca="false">IFERROR('Price History'!G3+(INDEX('Price History'!G:G,MATCH(9.99E+307,'Price History'!$A:$A))-'Price History'!G3)*(ROW()-3)/(MATCH(9.99E+307,'Returns (Calc)'!$A:$A)-3),"")</f>
        <v>22.2506329113924</v>
      </c>
      <c r="AC76" s="144" t="n">
        <f aca="false">IFERROR('Price History'!H3+(INDEX('Price History'!H:H,MATCH(9.99E+307,'Price History'!$A:$A))-'Price History'!H3)*(ROW()-3)/(MATCH(9.99E+307,'Returns (Calc)'!$A:$A)-3),"")</f>
        <v>54.1148734177215</v>
      </c>
      <c r="AD76" s="144" t="n">
        <f aca="false">IFERROR('Price History'!I3+(INDEX('Price History'!I:I,MATCH(9.99E+307,'Price History'!$A:$A))-'Price History'!I3)*(ROW()-3)/(MATCH(9.99E+307,'Returns (Calc)'!$A:$A)-3),"")</f>
        <v>23.8591772151899</v>
      </c>
      <c r="AE76" s="144" t="n">
        <f aca="false">IFERROR('Price History'!J3+(INDEX('Price History'!J:J,MATCH(9.99E+307,'Price History'!$A:$A))-'Price History'!J3)*(ROW()-3)/(MATCH(9.99E+307,'Returns (Calc)'!$A:$A)-3),"")</f>
        <v>37.1794303797468</v>
      </c>
      <c r="AF76" s="144" t="n">
        <f aca="false">IFERROR('Price History'!K3+(INDEX('Price History'!K:K,MATCH(9.99E+307,'Price History'!$A:$A))-'Price History'!K3)*(ROW()-3)/(MATCH(9.99E+307,'Returns (Calc)'!$A:$A)-3),"")</f>
        <v>23.5471518987342</v>
      </c>
      <c r="AG76" s="144" t="n">
        <f aca="false">IFERROR('Price History'!L3+(INDEX('Price History'!L:L,MATCH(9.99E+307,'Price History'!$A:$A))-'Price History'!L3)*(ROW()-3)/(MATCH(9.99E+307,'Returns (Calc)'!$A:$A)-3),"")</f>
        <v>60.1670886075949</v>
      </c>
      <c r="AH76" s="144" t="n">
        <f aca="false">IFERROR('Price History'!M3+(INDEX('Price History'!M:M,MATCH(9.99E+307,'Price History'!$A:$A))-'Price History'!M3)*(ROW()-3)/(MATCH(9.99E+307,'Returns (Calc)'!$A:$A)-3),"")</f>
        <v>8.24715189873418</v>
      </c>
      <c r="AI76" s="144" t="n">
        <f aca="false">IFERROR('Price History'!N3+(INDEX('Price History'!N:N,MATCH(9.99E+307,'Price History'!$A:$A))-'Price History'!N3)*(ROW()-3)/(MATCH(9.99E+307,'Returns (Calc)'!$A:$A)-3),"")</f>
        <v>11.7278481012658</v>
      </c>
      <c r="AJ76" s="144" t="n">
        <f aca="false">IFERROR('Price History'!O3+(INDEX('Price History'!O:O,MATCH(9.99E+307,'Price History'!$A:$A))-'Price History'!O3)*(ROW()-3)/(MATCH(9.99E+307,'Returns (Calc)'!$A:$A)-3),"")</f>
        <v>31.0034810126582</v>
      </c>
      <c r="AK76" s="144" t="n">
        <f aca="false">IFERROR('Price History'!Q3+(INDEX('Price History'!Q:Q,MATCH(9.99E+307,'Price History'!$A:$A))-'Price History'!Q3)*(ROW()-3)/(MATCH(9.99E+307,'Returns (Calc)'!$A:$A)-3),"")</f>
        <v>126.762974683544</v>
      </c>
      <c r="AL76" s="144" t="n">
        <f aca="false">IFERROR('Price History'!R3+(INDEX('Price History'!R:R,MATCH(9.99E+307,'Price History'!$A:$A))-'Price History'!R3)*(ROW()-3)/(MATCH(9.99E+307,'Returns (Calc)'!$A:$A)-3),"")</f>
        <v>25.7259493670886</v>
      </c>
      <c r="AM76" s="144" t="n">
        <f aca="false">IFERROR('Price History'!S3+(INDEX('Price History'!S:S,MATCH(9.99E+307,'Price History'!$A:$A))-'Price History'!S3)*(ROW()-3)/(MATCH(9.99E+307,'Returns (Calc)'!$A:$A)-3),"")</f>
        <v>31.4930379746835</v>
      </c>
      <c r="AN76" s="144" t="n">
        <f aca="false">IFERROR('Price History'!T3+(INDEX('Price History'!T:T,MATCH(9.99E+307,'Price History'!$A:$A))-'Price History'!T3)*(ROW()-3)/(MATCH(9.99E+307,'Returns (Calc)'!$A:$A)-3),"")</f>
        <v>14.4768987341772</v>
      </c>
      <c r="AO76" s="145" t="n">
        <f aca="false">IFERROR('Price History'!V3+(INDEX('Price History'!V:V,MATCH(9.99E+307,'Price History'!$A:$A))-'Price History'!V3)*(ROW()-3)/(MATCH(9.99E+307,'Returns (Calc)'!$A:$A)-3),"")</f>
        <v>0</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-0.0365493996208132</v>
      </c>
      <c r="G77" s="142" t="n">
        <f aca="false">IFERROR(IF(OR(NOT(ISNUMBER('Price History'!G78)),NOT(ISNUMBER('Price History'!G77)),'Price History'!G77=0),"",'Price History'!G78/'Price History'!G77-1),"")</f>
        <v>-0.0997077835827505</v>
      </c>
      <c r="H77" s="142" t="n">
        <f aca="false">IFERROR(IF(OR(NOT(ISNUMBER('Price History'!H78)),NOT(ISNUMBER('Price History'!H77)),'Price History'!H77=0),"",'Price History'!H78/'Price History'!H77-1),"")</f>
        <v>0.00728497571674769</v>
      </c>
      <c r="I77" s="142" t="n">
        <f aca="false">IFERROR(IF(OR(NOT(ISNUMBER('Price History'!I78)),NOT(ISNUMBER('Price History'!I77)),'Price History'!I77=0),"",'Price History'!I78/'Price History'!I77-1),"")</f>
        <v>0.00471952535059339</v>
      </c>
      <c r="J77" s="142" t="n">
        <f aca="false">IFERROR(IF(OR(NOT(ISNUMBER('Price History'!J78)),NOT(ISNUMBER('Price History'!J77)),'Price History'!J77=0),"",'Price History'!J78/'Price History'!J77-1),"")</f>
        <v>-0.00685898729070011</v>
      </c>
      <c r="K77" s="142" t="n">
        <f aca="false">IFERROR(IF(OR(NOT(ISNUMBER('Price History'!K78)),NOT(ISNUMBER('Price History'!K77)),'Price History'!K77=0),"",'Price History'!K78/'Price History'!K77-1),"")</f>
        <v>-0.0318434544010398</v>
      </c>
      <c r="L77" s="142" t="n">
        <f aca="false">IFERROR(IF(OR(NOT(ISNUMBER('Price History'!L78)),NOT(ISNUMBER('Price History'!L77)),'Price History'!L77=0),"",'Price History'!L78/'Price History'!L77-1),"")</f>
        <v>0.00105244693913353</v>
      </c>
      <c r="M77" s="142" t="n">
        <f aca="false">IFERROR(IF(OR(NOT(ISNUMBER('Price History'!M78)),NOT(ISNUMBER('Price History'!M77)),'Price History'!M77=0),"",'Price History'!M78/'Price History'!M77-1),"")</f>
        <v>-0.149462907015777</v>
      </c>
      <c r="N77" s="142" t="n">
        <f aca="false">IFERROR(IF(OR(NOT(ISNUMBER('Price History'!N78)),NOT(ISNUMBER('Price History'!N77)),'Price History'!N77=0),"",'Price History'!N78/'Price History'!N77-1),"")</f>
        <v>0.0149425287356322</v>
      </c>
      <c r="O77" s="142" t="n">
        <f aca="false">IFERROR(IF(OR(NOT(ISNUMBER('Price History'!O78)),NOT(ISNUMBER('Price History'!O77)),'Price History'!O77=0),"",'Price History'!O78/'Price History'!O77-1),"")</f>
        <v>-0.0305981896890988</v>
      </c>
      <c r="P77" s="142" t="n">
        <f aca="false">IFERROR(IF(OR(NOT(ISNUMBER('Price History'!P78)),NOT(ISNUMBER('Price History'!P77)),'Price History'!P77=0),"",'Price History'!P78/'Price History'!P77-1),"")</f>
        <v>-0.0277527301873559</v>
      </c>
      <c r="Q77" s="142" t="n">
        <f aca="false">IFERROR(IF(OR(NOT(ISNUMBER('Price History'!Q78)),NOT(ISNUMBER('Price History'!Q77)),'Price History'!Q77=0),"",'Price History'!Q78/'Price History'!Q77-1),"")</f>
        <v>-0.0149223864383523</v>
      </c>
      <c r="R77" s="142" t="n">
        <f aca="false">IFERROR(IF(OR(NOT(ISNUMBER('Price History'!R78)),NOT(ISNUMBER('Price History'!R77)),'Price History'!R77=0),"",'Price History'!R78/'Price History'!R77-1),"")</f>
        <v>0.0230439442658092</v>
      </c>
      <c r="S77" s="142" t="n">
        <f aca="false">IFERROR(IF(OR(NOT(ISNUMBER('Price History'!S78)),NOT(ISNUMBER('Price History'!S77)),'Price History'!S77=0),"",'Price History'!S78/'Price History'!S77-1),"")</f>
        <v>0.0321196903117809</v>
      </c>
      <c r="T77" s="142" t="n">
        <f aca="false">IFERROR(IF(OR(NOT(ISNUMBER('Price History'!T78)),NOT(ISNUMBER('Price History'!T77)),'Price History'!T77=0),"",'Price History'!T78/'Price History'!T77-1),"")</f>
        <v>0.038595473012188</v>
      </c>
      <c r="U77" s="142" t="str">
        <f aca="false">IFERROR(IF(OR(NOT(ISNUMBER('Price History'!U78)),NOT(ISNUMBER('Price History'!U77)),'Price History'!U77=0),"",'Price History'!U78/'Price History'!U77-1),"")</f>
        <v/>
      </c>
      <c r="V77" s="143" t="n">
        <f aca="false">IFERROR(IF(OR(NOT(ISNUMBER('Price History'!V78)),NOT(ISNUMBER('Price History'!V77)),'Price History'!V77=0),"",'Price History'!V78/'Price History'!V77-1),"")</f>
        <v>0.0386869485052022</v>
      </c>
      <c r="W77" s="144" t="str">
        <f aca="false">IFERROR('Price History'!B3+(INDEX('Price History'!B:B,MATCH(9.99E+307,'Price History'!$A:$A))-'Price History'!B3)*(ROW()-3)/(MATCH(9.99E+307,'Returns (Calc)'!$A:$A)-3),"")</f>
        <v/>
      </c>
      <c r="X77" s="144" t="n">
        <f aca="false">IFERROR('Price History'!C3+(INDEX('Price History'!C:C,MATCH(9.99E+307,'Price History'!$A:$A))-'Price History'!C3)*(ROW()-3)/(MATCH(9.99E+307,'Returns (Calc)'!$A:$A)-3),"")</f>
        <v>24.5513924050633</v>
      </c>
      <c r="Y77" s="144" t="n">
        <f aca="false">IFERROR('Price History'!D3+(INDEX('Price History'!D:D,MATCH(9.99E+307,'Price History'!$A:$A))-'Price History'!D3)*(ROW()-3)/(MATCH(9.99E+307,'Returns (Calc)'!$A:$A)-3),"")</f>
        <v>309.423037974684</v>
      </c>
      <c r="Z77" s="144" t="n">
        <f aca="false">IFERROR('Price History'!E3+(INDEX('Price History'!E:E,MATCH(9.99E+307,'Price History'!$A:$A))-'Price History'!E3)*(ROW()-3)/(MATCH(9.99E+307,'Returns (Calc)'!$A:$A)-3),"")</f>
        <v>43.5949367088608</v>
      </c>
      <c r="AA77" s="144" t="n">
        <f aca="false">IFERROR('Price History'!F3+(INDEX('Price History'!F:F,MATCH(9.99E+307,'Price History'!$A:$A))-'Price History'!F3)*(ROW()-3)/(MATCH(9.99E+307,'Returns (Calc)'!$A:$A)-3),"")</f>
        <v>40.0382278481013</v>
      </c>
      <c r="AB77" s="144" t="n">
        <f aca="false">IFERROR('Price History'!G3+(INDEX('Price History'!G:G,MATCH(9.99E+307,'Price History'!$A:$A))-'Price History'!G3)*(ROW()-3)/(MATCH(9.99E+307,'Returns (Calc)'!$A:$A)-3),"")</f>
        <v>21.9888607594937</v>
      </c>
      <c r="AC77" s="144" t="n">
        <f aca="false">IFERROR('Price History'!H3+(INDEX('Price History'!H:H,MATCH(9.99E+307,'Price History'!$A:$A))-'Price History'!H3)*(ROW()-3)/(MATCH(9.99E+307,'Returns (Calc)'!$A:$A)-3),"")</f>
        <v>53.4782278481013</v>
      </c>
      <c r="AD77" s="144" t="n">
        <f aca="false">IFERROR('Price History'!I3+(INDEX('Price History'!I:I,MATCH(9.99E+307,'Price History'!$A:$A))-'Price History'!I3)*(ROW()-3)/(MATCH(9.99E+307,'Returns (Calc)'!$A:$A)-3),"")</f>
        <v>23.5784810126582</v>
      </c>
      <c r="AE77" s="144" t="n">
        <f aca="false">IFERROR('Price History'!J3+(INDEX('Price History'!J:J,MATCH(9.99E+307,'Price History'!$A:$A))-'Price History'!J3)*(ROW()-3)/(MATCH(9.99E+307,'Returns (Calc)'!$A:$A)-3),"")</f>
        <v>36.7420253164557</v>
      </c>
      <c r="AF77" s="144" t="n">
        <f aca="false">IFERROR('Price History'!K3+(INDEX('Price History'!K:K,MATCH(9.99E+307,'Price History'!$A:$A))-'Price History'!K3)*(ROW()-3)/(MATCH(9.99E+307,'Returns (Calc)'!$A:$A)-3),"")</f>
        <v>23.2701265822785</v>
      </c>
      <c r="AG77" s="144" t="n">
        <f aca="false">IFERROR('Price History'!L3+(INDEX('Price History'!L:L,MATCH(9.99E+307,'Price History'!$A:$A))-'Price History'!L3)*(ROW()-3)/(MATCH(9.99E+307,'Returns (Calc)'!$A:$A)-3),"")</f>
        <v>59.4592405063291</v>
      </c>
      <c r="AH77" s="144" t="n">
        <f aca="false">IFERROR('Price History'!M3+(INDEX('Price History'!M:M,MATCH(9.99E+307,'Price History'!$A:$A))-'Price History'!M3)*(ROW()-3)/(MATCH(9.99E+307,'Returns (Calc)'!$A:$A)-3),"")</f>
        <v>8.15012658227848</v>
      </c>
      <c r="AI77" s="144" t="n">
        <f aca="false">IFERROR('Price History'!N3+(INDEX('Price History'!N:N,MATCH(9.99E+307,'Price History'!$A:$A))-'Price History'!N3)*(ROW()-3)/(MATCH(9.99E+307,'Returns (Calc)'!$A:$A)-3),"")</f>
        <v>11.5898734177215</v>
      </c>
      <c r="AJ77" s="144" t="n">
        <f aca="false">IFERROR('Price History'!O3+(INDEX('Price History'!O:O,MATCH(9.99E+307,'Price History'!$A:$A))-'Price History'!O3)*(ROW()-3)/(MATCH(9.99E+307,'Returns (Calc)'!$A:$A)-3),"")</f>
        <v>30.6387341772152</v>
      </c>
      <c r="AK77" s="144" t="n">
        <f aca="false">IFERROR('Price History'!Q3+(INDEX('Price History'!Q:Q,MATCH(9.99E+307,'Price History'!$A:$A))-'Price History'!Q3)*(ROW()-3)/(MATCH(9.99E+307,'Returns (Calc)'!$A:$A)-3),"")</f>
        <v>125.27164556962</v>
      </c>
      <c r="AL77" s="144" t="n">
        <f aca="false">IFERROR('Price History'!R3+(INDEX('Price History'!R:R,MATCH(9.99E+307,'Price History'!$A:$A))-'Price History'!R3)*(ROW()-3)/(MATCH(9.99E+307,'Returns (Calc)'!$A:$A)-3),"")</f>
        <v>25.4232911392405</v>
      </c>
      <c r="AM77" s="144" t="n">
        <f aca="false">IFERROR('Price History'!S3+(INDEX('Price History'!S:S,MATCH(9.99E+307,'Price History'!$A:$A))-'Price History'!S3)*(ROW()-3)/(MATCH(9.99E+307,'Returns (Calc)'!$A:$A)-3),"")</f>
        <v>31.1225316455696</v>
      </c>
      <c r="AN77" s="144" t="n">
        <f aca="false">IFERROR('Price History'!T3+(INDEX('Price History'!T:T,MATCH(9.99E+307,'Price History'!$A:$A))-'Price History'!T3)*(ROW()-3)/(MATCH(9.99E+307,'Returns (Calc)'!$A:$A)-3),"")</f>
        <v>14.306582278481</v>
      </c>
      <c r="AO77" s="145" t="n">
        <f aca="false">IFERROR('Price History'!V3+(INDEX('Price History'!V:V,MATCH(9.99E+307,'Price History'!$A:$A))-'Price History'!V3)*(ROW()-3)/(MATCH(9.99E+307,'Returns (Calc)'!$A:$A)-3),"")</f>
        <v>0</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-0.0112605225757079</v>
      </c>
      <c r="G78" s="142" t="n">
        <f aca="false">IFERROR(IF(OR(NOT(ISNUMBER('Price History'!G79)),NOT(ISNUMBER('Price History'!G78)),'Price History'!G78=0),"",'Price History'!G79/'Price History'!G78-1),"")</f>
        <v>-0.0418019081341595</v>
      </c>
      <c r="H78" s="142" t="n">
        <f aca="false">IFERROR(IF(OR(NOT(ISNUMBER('Price History'!H79)),NOT(ISNUMBER('Price History'!H78)),'Price History'!H78=0),"",'Price History'!H79/'Price History'!H78-1),"")</f>
        <v>0.0102651839178785</v>
      </c>
      <c r="I78" s="142" t="n">
        <f aca="false">IFERROR(IF(OR(NOT(ISNUMBER('Price History'!I79)),NOT(ISNUMBER('Price History'!I78)),'Price History'!I78=0),"",'Price History'!I79/'Price History'!I78-1),"")</f>
        <v>-0.0581130049657764</v>
      </c>
      <c r="J78" s="142" t="n">
        <f aca="false">IFERROR(IF(OR(NOT(ISNUMBER('Price History'!J79)),NOT(ISNUMBER('Price History'!J78)),'Price History'!J78=0),"",'Price History'!J79/'Price History'!J78-1),"")</f>
        <v>-0.0527117611212675</v>
      </c>
      <c r="K78" s="142" t="n">
        <f aca="false">IFERROR(IF(OR(NOT(ISNUMBER('Price History'!K79)),NOT(ISNUMBER('Price History'!K78)),'Price History'!K78=0),"",'Price History'!K79/'Price History'!K78-1),"")</f>
        <v>-0.0707786396181385</v>
      </c>
      <c r="L78" s="142" t="n">
        <f aca="false">IFERROR(IF(OR(NOT(ISNUMBER('Price History'!L79)),NOT(ISNUMBER('Price History'!L78)),'Price History'!L78=0),"",'Price History'!L79/'Price History'!L78-1),"")</f>
        <v>0.0243560539688104</v>
      </c>
      <c r="M78" s="142" t="n">
        <f aca="false">IFERROR(IF(OR(NOT(ISNUMBER('Price History'!M79)),NOT(ISNUMBER('Price History'!M78)),'Price History'!M78=0),"",'Price History'!M79/'Price History'!M78-1),"")</f>
        <v>-0.162111494819931</v>
      </c>
      <c r="N78" s="142" t="n">
        <f aca="false">IFERROR(IF(OR(NOT(ISNUMBER('Price History'!N79)),NOT(ISNUMBER('Price History'!N78)),'Price History'!N78=0),"",'Price History'!N79/'Price History'!N78-1),"")</f>
        <v>0.0117025292563233</v>
      </c>
      <c r="O78" s="142" t="n">
        <f aca="false">IFERROR(IF(OR(NOT(ISNUMBER('Price History'!O79)),NOT(ISNUMBER('Price History'!O78)),'Price History'!O78=0),"",'Price History'!O79/'Price History'!O78-1),"")</f>
        <v>-0.00111641124530604</v>
      </c>
      <c r="P78" s="142" t="n">
        <f aca="false">IFERROR(IF(OR(NOT(ISNUMBER('Price History'!P79)),NOT(ISNUMBER('Price History'!P78)),'Price History'!P78=0),"",'Price History'!P79/'Price History'!P78-1),"")</f>
        <v>-0.0893446001648804</v>
      </c>
      <c r="Q78" s="142" t="n">
        <f aca="false">IFERROR(IF(OR(NOT(ISNUMBER('Price History'!Q79)),NOT(ISNUMBER('Price History'!Q78)),'Price History'!Q78=0),"",'Price History'!Q79/'Price History'!Q78-1),"")</f>
        <v>0.0406570126817378</v>
      </c>
      <c r="R78" s="142" t="n">
        <f aca="false">IFERROR(IF(OR(NOT(ISNUMBER('Price History'!R79)),NOT(ISNUMBER('Price History'!R78)),'Price History'!R78=0),"",'Price History'!R79/'Price History'!R78-1),"")</f>
        <v>0.0139689191548804</v>
      </c>
      <c r="S78" s="142" t="n">
        <f aca="false">IFERROR(IF(OR(NOT(ISNUMBER('Price History'!S79)),NOT(ISNUMBER('Price History'!S78)),'Price History'!S78=0),"",'Price History'!S79/'Price History'!S78-1),"")</f>
        <v>0.0271667511403952</v>
      </c>
      <c r="T78" s="142" t="n">
        <f aca="false">IFERROR(IF(OR(NOT(ISNUMBER('Price History'!T79)),NOT(ISNUMBER('Price History'!T78)),'Price History'!T78=0),"",'Price History'!T79/'Price History'!T78-1),"")</f>
        <v>0.00251466890192797</v>
      </c>
      <c r="U78" s="142" t="str">
        <f aca="false">IFERROR(IF(OR(NOT(ISNUMBER('Price History'!U79)),NOT(ISNUMBER('Price History'!U78)),'Price History'!U78=0),"",'Price History'!U79/'Price History'!U78-1),"")</f>
        <v/>
      </c>
      <c r="V78" s="143" t="n">
        <f aca="false">IFERROR(IF(OR(NOT(ISNUMBER('Price History'!V79)),NOT(ISNUMBER('Price History'!V78)),'Price History'!V78=0),"",'Price History'!V79/'Price History'!V78-1),"")</f>
        <v>0.0330934795701652</v>
      </c>
      <c r="W78" s="144" t="str">
        <f aca="false">IFERROR('Price History'!B3+(INDEX('Price History'!B:B,MATCH(9.99E+307,'Price History'!$A:$A))-'Price History'!B3)*(ROW()-3)/(MATCH(9.99E+307,'Returns (Calc)'!$A:$A)-3),"")</f>
        <v/>
      </c>
      <c r="X78" s="144" t="n">
        <f aca="false">IFERROR('Price History'!C3+(INDEX('Price History'!C:C,MATCH(9.99E+307,'Price History'!$A:$A))-'Price History'!C3)*(ROW()-3)/(MATCH(9.99E+307,'Returns (Calc)'!$A:$A)-3),"")</f>
        <v>24.2591139240506</v>
      </c>
      <c r="Y78" s="144" t="n">
        <f aca="false">IFERROR('Price History'!D3+(INDEX('Price History'!D:D,MATCH(9.99E+307,'Price History'!$A:$A))-'Price History'!D3)*(ROW()-3)/(MATCH(9.99E+307,'Returns (Calc)'!$A:$A)-3),"")</f>
        <v>305.739430379747</v>
      </c>
      <c r="Z78" s="144" t="n">
        <f aca="false">IFERROR('Price History'!E3+(INDEX('Price History'!E:E,MATCH(9.99E+307,'Price History'!$A:$A))-'Price History'!E3)*(ROW()-3)/(MATCH(9.99E+307,'Returns (Calc)'!$A:$A)-3),"")</f>
        <v>43.0759493670886</v>
      </c>
      <c r="AA78" s="144" t="n">
        <f aca="false">IFERROR('Price History'!F3+(INDEX('Price History'!F:F,MATCH(9.99E+307,'Price History'!$A:$A))-'Price History'!F3)*(ROW()-3)/(MATCH(9.99E+307,'Returns (Calc)'!$A:$A)-3),"")</f>
        <v>39.561582278481</v>
      </c>
      <c r="AB78" s="144" t="n">
        <f aca="false">IFERROR('Price History'!G3+(INDEX('Price History'!G:G,MATCH(9.99E+307,'Price History'!$A:$A))-'Price History'!G3)*(ROW()-3)/(MATCH(9.99E+307,'Returns (Calc)'!$A:$A)-3),"")</f>
        <v>21.7270886075949</v>
      </c>
      <c r="AC78" s="144" t="n">
        <f aca="false">IFERROR('Price History'!H3+(INDEX('Price History'!H:H,MATCH(9.99E+307,'Price History'!$A:$A))-'Price History'!H3)*(ROW()-3)/(MATCH(9.99E+307,'Returns (Calc)'!$A:$A)-3),"")</f>
        <v>52.841582278481</v>
      </c>
      <c r="AD78" s="144" t="n">
        <f aca="false">IFERROR('Price History'!I3+(INDEX('Price History'!I:I,MATCH(9.99E+307,'Price History'!$A:$A))-'Price History'!I3)*(ROW()-3)/(MATCH(9.99E+307,'Returns (Calc)'!$A:$A)-3),"")</f>
        <v>23.2977848101266</v>
      </c>
      <c r="AE78" s="144" t="n">
        <f aca="false">IFERROR('Price History'!J3+(INDEX('Price History'!J:J,MATCH(9.99E+307,'Price History'!$A:$A))-'Price History'!J3)*(ROW()-3)/(MATCH(9.99E+307,'Returns (Calc)'!$A:$A)-3),"")</f>
        <v>36.3046202531646</v>
      </c>
      <c r="AF78" s="144" t="n">
        <f aca="false">IFERROR('Price History'!K3+(INDEX('Price History'!K:K,MATCH(9.99E+307,'Price History'!$A:$A))-'Price History'!K3)*(ROW()-3)/(MATCH(9.99E+307,'Returns (Calc)'!$A:$A)-3),"")</f>
        <v>22.9931012658228</v>
      </c>
      <c r="AG78" s="144" t="n">
        <f aca="false">IFERROR('Price History'!L3+(INDEX('Price History'!L:L,MATCH(9.99E+307,'Price History'!$A:$A))-'Price History'!L3)*(ROW()-3)/(MATCH(9.99E+307,'Returns (Calc)'!$A:$A)-3),"")</f>
        <v>58.7513924050633</v>
      </c>
      <c r="AH78" s="144" t="n">
        <f aca="false">IFERROR('Price History'!M3+(INDEX('Price History'!M:M,MATCH(9.99E+307,'Price History'!$A:$A))-'Price History'!M3)*(ROW()-3)/(MATCH(9.99E+307,'Returns (Calc)'!$A:$A)-3),"")</f>
        <v>8.05310126582279</v>
      </c>
      <c r="AI78" s="144" t="n">
        <f aca="false">IFERROR('Price History'!N3+(INDEX('Price History'!N:N,MATCH(9.99E+307,'Price History'!$A:$A))-'Price History'!N3)*(ROW()-3)/(MATCH(9.99E+307,'Returns (Calc)'!$A:$A)-3),"")</f>
        <v>11.4518987341772</v>
      </c>
      <c r="AJ78" s="144" t="n">
        <f aca="false">IFERROR('Price History'!O3+(INDEX('Price History'!O:O,MATCH(9.99E+307,'Price History'!$A:$A))-'Price History'!O3)*(ROW()-3)/(MATCH(9.99E+307,'Returns (Calc)'!$A:$A)-3),"")</f>
        <v>30.2739873417722</v>
      </c>
      <c r="AK78" s="144" t="n">
        <f aca="false">IFERROR('Price History'!Q3+(INDEX('Price History'!Q:Q,MATCH(9.99E+307,'Price History'!$A:$A))-'Price History'!Q3)*(ROW()-3)/(MATCH(9.99E+307,'Returns (Calc)'!$A:$A)-3),"")</f>
        <v>123.780316455696</v>
      </c>
      <c r="AL78" s="144" t="n">
        <f aca="false">IFERROR('Price History'!R3+(INDEX('Price History'!R:R,MATCH(9.99E+307,'Price History'!$A:$A))-'Price History'!R3)*(ROW()-3)/(MATCH(9.99E+307,'Returns (Calc)'!$A:$A)-3),"")</f>
        <v>25.1206329113924</v>
      </c>
      <c r="AM78" s="144" t="n">
        <f aca="false">IFERROR('Price History'!S3+(INDEX('Price History'!S:S,MATCH(9.99E+307,'Price History'!$A:$A))-'Price History'!S3)*(ROW()-3)/(MATCH(9.99E+307,'Returns (Calc)'!$A:$A)-3),"")</f>
        <v>30.7520253164557</v>
      </c>
      <c r="AN78" s="144" t="n">
        <f aca="false">IFERROR('Price History'!T3+(INDEX('Price History'!T:T,MATCH(9.99E+307,'Price History'!$A:$A))-'Price History'!T3)*(ROW()-3)/(MATCH(9.99E+307,'Returns (Calc)'!$A:$A)-3),"")</f>
        <v>14.1362658227848</v>
      </c>
      <c r="AO78" s="145" t="n">
        <f aca="false">IFERROR('Price History'!V3+(INDEX('Price History'!V:V,MATCH(9.99E+307,'Price History'!$A:$A))-'Price History'!V3)*(ROW()-3)/(MATCH(9.99E+307,'Returns (Calc)'!$A:$A)-3),"")</f>
        <v>0</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-0.0448916408668731</v>
      </c>
      <c r="G79" s="142" t="n">
        <f aca="false">IFERROR(IF(OR(NOT(ISNUMBER('Price History'!G80)),NOT(ISNUMBER('Price History'!G79)),'Price History'!G79=0),"",'Price History'!G80/'Price History'!G79-1),"")</f>
        <v>-0.144118250872511</v>
      </c>
      <c r="H79" s="142" t="n">
        <f aca="false">IFERROR(IF(OR(NOT(ISNUMBER('Price History'!H80)),NOT(ISNUMBER('Price History'!H79)),'Price History'!H79=0),"",'Price History'!H80/'Price History'!H79-1),"")</f>
        <v>-0.0274805634670156</v>
      </c>
      <c r="I79" s="142" t="n">
        <f aca="false">IFERROR(IF(OR(NOT(ISNUMBER('Price History'!I80)),NOT(ISNUMBER('Price History'!I79)),'Price History'!I79=0),"",'Price History'!I80/'Price History'!I79-1),"")</f>
        <v>0.00341977771444846</v>
      </c>
      <c r="J79" s="142" t="n">
        <f aca="false">IFERROR(IF(OR(NOT(ISNUMBER('Price History'!J80)),NOT(ISNUMBER('Price History'!J79)),'Price History'!J79=0),"",'Price History'!J80/'Price History'!J79-1),"")</f>
        <v>-0.00718344590972453</v>
      </c>
      <c r="K79" s="142" t="n">
        <f aca="false">IFERROR(IF(OR(NOT(ISNUMBER('Price History'!K80)),NOT(ISNUMBER('Price History'!K79)),'Price History'!K79=0),"",'Price History'!K80/'Price History'!K79-1),"")</f>
        <v>-0.0978409182117345</v>
      </c>
      <c r="L79" s="142" t="n">
        <f aca="false">IFERROR(IF(OR(NOT(ISNUMBER('Price History'!L80)),NOT(ISNUMBER('Price History'!L79)),'Price History'!L79=0),"",'Price History'!L80/'Price History'!L79-1),"")</f>
        <v>-0.032329798152583</v>
      </c>
      <c r="M79" s="142" t="n">
        <f aca="false">IFERROR(IF(OR(NOT(ISNUMBER('Price History'!M80)),NOT(ISNUMBER('Price History'!M79)),'Price History'!M79=0),"",'Price History'!M80/'Price History'!M79-1),"")</f>
        <v>-0.000117757889778636</v>
      </c>
      <c r="N79" s="142" t="n">
        <f aca="false">IFERROR(IF(OR(NOT(ISNUMBER('Price History'!N80)),NOT(ISNUMBER('Price History'!N79)),'Price History'!N79=0),"",'Price History'!N80/'Price History'!N79-1),"")</f>
        <v>-0.00261194029850742</v>
      </c>
      <c r="O79" s="142" t="n">
        <f aca="false">IFERROR(IF(OR(NOT(ISNUMBER('Price History'!O80)),NOT(ISNUMBER('Price History'!O79)),'Price History'!O79=0),"",'Price History'!O80/'Price History'!O79-1),"")</f>
        <v>-0.0526315789473685</v>
      </c>
      <c r="P79" s="142" t="n">
        <f aca="false">IFERROR(IF(OR(NOT(ISNUMBER('Price History'!P80)),NOT(ISNUMBER('Price History'!P79)),'Price History'!P79=0),"",'Price History'!P80/'Price History'!P79-1),"")</f>
        <v>-0.0190109765757611</v>
      </c>
      <c r="Q79" s="142" t="n">
        <f aca="false">IFERROR(IF(OR(NOT(ISNUMBER('Price History'!Q80)),NOT(ISNUMBER('Price History'!Q79)),'Price History'!Q79=0),"",'Price History'!Q80/'Price History'!Q79-1),"")</f>
        <v>-0.047936419408812</v>
      </c>
      <c r="R79" s="142" t="n">
        <f aca="false">IFERROR(IF(OR(NOT(ISNUMBER('Price History'!R80)),NOT(ISNUMBER('Price History'!R79)),'Price History'!R79=0),"",'Price History'!R80/'Price History'!R79-1),"")</f>
        <v>-0.0103323574995695</v>
      </c>
      <c r="S79" s="142" t="n">
        <f aca="false">IFERROR(IF(OR(NOT(ISNUMBER('Price History'!S80)),NOT(ISNUMBER('Price History'!S79)),'Price History'!S79=0),"",'Price History'!S80/'Price History'!S79-1),"")</f>
        <v>-0.0127306819303266</v>
      </c>
      <c r="T79" s="142" t="n">
        <f aca="false">IFERROR(IF(OR(NOT(ISNUMBER('Price History'!T80)),NOT(ISNUMBER('Price History'!T79)),'Price History'!T79=0),"",'Price History'!T80/'Price History'!T79-1),"")</f>
        <v>-0.0103121516164996</v>
      </c>
      <c r="U79" s="142" t="str">
        <f aca="false">IFERROR(IF(OR(NOT(ISNUMBER('Price History'!U80)),NOT(ISNUMBER('Price History'!U79)),'Price History'!U79=0),"",'Price History'!U80/'Price History'!U79-1),"")</f>
        <v/>
      </c>
      <c r="V79" s="143" t="n">
        <f aca="false">IFERROR(IF(OR(NOT(ISNUMBER('Price History'!V80)),NOT(ISNUMBER('Price History'!V79)),'Price History'!V79=0),"",'Price History'!V80/'Price History'!V79-1),"")</f>
        <v>0.0351323985149274</v>
      </c>
      <c r="W79" s="144" t="str">
        <f aca="false">IFERROR('Price History'!B3+(INDEX('Price History'!B:B,MATCH(9.99E+307,'Price History'!$A:$A))-'Price History'!B3)*(ROW()-3)/(MATCH(9.99E+307,'Returns (Calc)'!$A:$A)-3),"")</f>
        <v/>
      </c>
      <c r="X79" s="144" t="n">
        <f aca="false">IFERROR('Price History'!C3+(INDEX('Price History'!C:C,MATCH(9.99E+307,'Price History'!$A:$A))-'Price History'!C3)*(ROW()-3)/(MATCH(9.99E+307,'Returns (Calc)'!$A:$A)-3),"")</f>
        <v>23.966835443038</v>
      </c>
      <c r="Y79" s="144" t="n">
        <f aca="false">IFERROR('Price History'!D3+(INDEX('Price History'!D:D,MATCH(9.99E+307,'Price History'!$A:$A))-'Price History'!D3)*(ROW()-3)/(MATCH(9.99E+307,'Returns (Calc)'!$A:$A)-3),"")</f>
        <v>302.05582278481</v>
      </c>
      <c r="Z79" s="144" t="n">
        <f aca="false">IFERROR('Price History'!E3+(INDEX('Price History'!E:E,MATCH(9.99E+307,'Price History'!$A:$A))-'Price History'!E3)*(ROW()-3)/(MATCH(9.99E+307,'Returns (Calc)'!$A:$A)-3),"")</f>
        <v>42.5569620253165</v>
      </c>
      <c r="AA79" s="144" t="n">
        <f aca="false">IFERROR('Price History'!F3+(INDEX('Price History'!F:F,MATCH(9.99E+307,'Price History'!$A:$A))-'Price History'!F3)*(ROW()-3)/(MATCH(9.99E+307,'Returns (Calc)'!$A:$A)-3),"")</f>
        <v>39.0849367088608</v>
      </c>
      <c r="AB79" s="144" t="n">
        <f aca="false">IFERROR('Price History'!G3+(INDEX('Price History'!G:G,MATCH(9.99E+307,'Price History'!$A:$A))-'Price History'!G3)*(ROW()-3)/(MATCH(9.99E+307,'Returns (Calc)'!$A:$A)-3),"")</f>
        <v>21.4653164556962</v>
      </c>
      <c r="AC79" s="144" t="n">
        <f aca="false">IFERROR('Price History'!H3+(INDEX('Price History'!H:H,MATCH(9.99E+307,'Price History'!$A:$A))-'Price History'!H3)*(ROW()-3)/(MATCH(9.99E+307,'Returns (Calc)'!$A:$A)-3),"")</f>
        <v>52.2049367088608</v>
      </c>
      <c r="AD79" s="144" t="n">
        <f aca="false">IFERROR('Price History'!I3+(INDEX('Price History'!I:I,MATCH(9.99E+307,'Price History'!$A:$A))-'Price History'!I3)*(ROW()-3)/(MATCH(9.99E+307,'Returns (Calc)'!$A:$A)-3),"")</f>
        <v>23.0170886075949</v>
      </c>
      <c r="AE79" s="144" t="n">
        <f aca="false">IFERROR('Price History'!J3+(INDEX('Price History'!J:J,MATCH(9.99E+307,'Price History'!$A:$A))-'Price History'!J3)*(ROW()-3)/(MATCH(9.99E+307,'Returns (Calc)'!$A:$A)-3),"")</f>
        <v>35.8672151898734</v>
      </c>
      <c r="AF79" s="144" t="n">
        <f aca="false">IFERROR('Price History'!K3+(INDEX('Price History'!K:K,MATCH(9.99E+307,'Price History'!$A:$A))-'Price History'!K3)*(ROW()-3)/(MATCH(9.99E+307,'Returns (Calc)'!$A:$A)-3),"")</f>
        <v>22.7160759493671</v>
      </c>
      <c r="AG79" s="144" t="n">
        <f aca="false">IFERROR('Price History'!L3+(INDEX('Price History'!L:L,MATCH(9.99E+307,'Price History'!$A:$A))-'Price History'!L3)*(ROW()-3)/(MATCH(9.99E+307,'Returns (Calc)'!$A:$A)-3),"")</f>
        <v>58.0435443037975</v>
      </c>
      <c r="AH79" s="144" t="n">
        <f aca="false">IFERROR('Price History'!M3+(INDEX('Price History'!M:M,MATCH(9.99E+307,'Price History'!$A:$A))-'Price History'!M3)*(ROW()-3)/(MATCH(9.99E+307,'Returns (Calc)'!$A:$A)-3),"")</f>
        <v>7.95607594936709</v>
      </c>
      <c r="AI79" s="144" t="n">
        <f aca="false">IFERROR('Price History'!N3+(INDEX('Price History'!N:N,MATCH(9.99E+307,'Price History'!$A:$A))-'Price History'!N3)*(ROW()-3)/(MATCH(9.99E+307,'Returns (Calc)'!$A:$A)-3),"")</f>
        <v>11.3139240506329</v>
      </c>
      <c r="AJ79" s="144" t="n">
        <f aca="false">IFERROR('Price History'!O3+(INDEX('Price History'!O:O,MATCH(9.99E+307,'Price History'!$A:$A))-'Price History'!O3)*(ROW()-3)/(MATCH(9.99E+307,'Returns (Calc)'!$A:$A)-3),"")</f>
        <v>29.9092405063291</v>
      </c>
      <c r="AK79" s="144" t="n">
        <f aca="false">IFERROR('Price History'!Q3+(INDEX('Price History'!Q:Q,MATCH(9.99E+307,'Price History'!$A:$A))-'Price History'!Q3)*(ROW()-3)/(MATCH(9.99E+307,'Returns (Calc)'!$A:$A)-3),"")</f>
        <v>122.288987341772</v>
      </c>
      <c r="AL79" s="144" t="n">
        <f aca="false">IFERROR('Price History'!R3+(INDEX('Price History'!R:R,MATCH(9.99E+307,'Price History'!$A:$A))-'Price History'!R3)*(ROW()-3)/(MATCH(9.99E+307,'Returns (Calc)'!$A:$A)-3),"")</f>
        <v>24.8179746835443</v>
      </c>
      <c r="AM79" s="144" t="n">
        <f aca="false">IFERROR('Price History'!S3+(INDEX('Price History'!S:S,MATCH(9.99E+307,'Price History'!$A:$A))-'Price History'!S3)*(ROW()-3)/(MATCH(9.99E+307,'Returns (Calc)'!$A:$A)-3),"")</f>
        <v>30.3815189873418</v>
      </c>
      <c r="AN79" s="144" t="n">
        <f aca="false">IFERROR('Price History'!T3+(INDEX('Price History'!T:T,MATCH(9.99E+307,'Price History'!$A:$A))-'Price History'!T3)*(ROW()-3)/(MATCH(9.99E+307,'Returns (Calc)'!$A:$A)-3),"")</f>
        <v>13.9659493670886</v>
      </c>
      <c r="AO79" s="145" t="n">
        <f aca="false">IFERROR('Price History'!V3+(INDEX('Price History'!V:V,MATCH(9.99E+307,'Price History'!$A:$A))-'Price History'!V3)*(ROW()-3)/(MATCH(9.99E+307,'Returns (Calc)'!$A:$A)-3),"")</f>
        <v>0</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-0.0187543412827043</v>
      </c>
      <c r="G80" s="142" t="n">
        <f aca="false">IFERROR(IF(OR(NOT(ISNUMBER('Price History'!G81)),NOT(ISNUMBER('Price History'!G80)),'Price History'!G80=0),"",'Price History'!G81/'Price History'!G80-1),"")</f>
        <v>0.0605660829935237</v>
      </c>
      <c r="H80" s="142" t="n">
        <f aca="false">IFERROR(IF(OR(NOT(ISNUMBER('Price History'!H81)),NOT(ISNUMBER('Price History'!H80)),'Price History'!H80=0),"",'Price History'!H81/'Price History'!H80-1),"")</f>
        <v>-0.00839005857210706</v>
      </c>
      <c r="I80" s="142" t="n">
        <f aca="false">IFERROR(IF(OR(NOT(ISNUMBER('Price History'!I81)),NOT(ISNUMBER('Price History'!I80)),'Price History'!I80=0),"",'Price History'!I81/'Price History'!I80-1),"")</f>
        <v>0.00241408690712874</v>
      </c>
      <c r="J80" s="142" t="n">
        <f aca="false">IFERROR(IF(OR(NOT(ISNUMBER('Price History'!J81)),NOT(ISNUMBER('Price History'!J80)),'Price History'!J80=0),"",'Price History'!J81/'Price History'!J80-1),"")</f>
        <v>0.084233261339093</v>
      </c>
      <c r="K80" s="142" t="n">
        <f aca="false">IFERROR(IF(OR(NOT(ISNUMBER('Price History'!K81)),NOT(ISNUMBER('Price History'!K80)),'Price History'!K80=0),"",'Price History'!K81/'Price History'!K80-1),"")</f>
        <v>0.079715302491103</v>
      </c>
      <c r="L80" s="142" t="n">
        <f aca="false">IFERROR(IF(OR(NOT(ISNUMBER('Price History'!L81)),NOT(ISNUMBER('Price History'!L80)),'Price History'!L80=0),"",'Price History'!L81/'Price History'!L80-1),"")</f>
        <v>-0.0669082552589713</v>
      </c>
      <c r="M80" s="142" t="n">
        <f aca="false">IFERROR(IF(OR(NOT(ISNUMBER('Price History'!M81)),NOT(ISNUMBER('Price History'!M80)),'Price History'!M80=0),"",'Price History'!M81/'Price History'!M80-1),"")</f>
        <v>0.0156636438582027</v>
      </c>
      <c r="N80" s="142" t="n">
        <f aca="false">IFERROR(IF(OR(NOT(ISNUMBER('Price History'!N81)),NOT(ISNUMBER('Price History'!N80)),'Price History'!N80=0),"",'Price History'!N81/'Price History'!N80-1),"")</f>
        <v>-0.0288065843621399</v>
      </c>
      <c r="O80" s="142" t="n">
        <f aca="false">IFERROR(IF(OR(NOT(ISNUMBER('Price History'!O81)),NOT(ISNUMBER('Price History'!O80)),'Price History'!O80=0),"",'Price History'!O81/'Price History'!O80-1),"")</f>
        <v>-0.0071857571857572</v>
      </c>
      <c r="P80" s="142" t="n">
        <f aca="false">IFERROR(IF(OR(NOT(ISNUMBER('Price History'!P81)),NOT(ISNUMBER('Price History'!P80)),'Price History'!P80=0),"",'Price History'!P81/'Price History'!P80-1),"")</f>
        <v>-0.0169569731226208</v>
      </c>
      <c r="Q80" s="142" t="n">
        <f aca="false">IFERROR(IF(OR(NOT(ISNUMBER('Price History'!Q81)),NOT(ISNUMBER('Price History'!Q80)),'Price History'!Q80=0),"",'Price History'!Q81/'Price History'!Q80-1),"")</f>
        <v>-0.039161125918983</v>
      </c>
      <c r="R80" s="142" t="n">
        <f aca="false">IFERROR(IF(OR(NOT(ISNUMBER('Price History'!R81)),NOT(ISNUMBER('Price History'!R80)),'Price History'!R80=0),"",'Price History'!R81/'Price History'!R80-1),"")</f>
        <v>-0.00522011484252649</v>
      </c>
      <c r="S80" s="142" t="n">
        <f aca="false">IFERROR(IF(OR(NOT(ISNUMBER('Price History'!S81)),NOT(ISNUMBER('Price History'!S80)),'Price History'!S80=0),"",'Price History'!S81/'Price History'!S80-1),"")</f>
        <v>0.0198920431827268</v>
      </c>
      <c r="T80" s="142" t="n">
        <f aca="false">IFERROR(IF(OR(NOT(ISNUMBER('Price History'!T81)),NOT(ISNUMBER('Price History'!T80)),'Price History'!T80=0),"",'Price History'!T81/'Price History'!T80-1),"")</f>
        <v>-0.00872993522951271</v>
      </c>
      <c r="U80" s="142" t="str">
        <f aca="false">IFERROR(IF(OR(NOT(ISNUMBER('Price History'!U81)),NOT(ISNUMBER('Price History'!U80)),'Price History'!U80=0),"",'Price History'!U81/'Price History'!U80-1),"")</f>
        <v/>
      </c>
      <c r="V80" s="143" t="n">
        <f aca="false">IFERROR(IF(OR(NOT(ISNUMBER('Price History'!V81)),NOT(ISNUMBER('Price History'!V80)),'Price History'!V80=0),"",'Price History'!V81/'Price History'!V80-1),"")</f>
        <v>0.0182001422812426</v>
      </c>
      <c r="W80" s="144" t="str">
        <f aca="false">IFERROR('Price History'!B3+(INDEX('Price History'!B:B,MATCH(9.99E+307,'Price History'!$A:$A))-'Price History'!B3)*(ROW()-3)/(MATCH(9.99E+307,'Returns (Calc)'!$A:$A)-3),"")</f>
        <v/>
      </c>
      <c r="X80" s="144" t="n">
        <f aca="false">IFERROR('Price History'!C3+(INDEX('Price History'!C:C,MATCH(9.99E+307,'Price History'!$A:$A))-'Price History'!C3)*(ROW()-3)/(MATCH(9.99E+307,'Returns (Calc)'!$A:$A)-3),"")</f>
        <v>23.6745569620253</v>
      </c>
      <c r="Y80" s="144" t="n">
        <f aca="false">IFERROR('Price History'!D3+(INDEX('Price History'!D:D,MATCH(9.99E+307,'Price History'!$A:$A))-'Price History'!D3)*(ROW()-3)/(MATCH(9.99E+307,'Returns (Calc)'!$A:$A)-3),"")</f>
        <v>298.372215189873</v>
      </c>
      <c r="Z80" s="144" t="n">
        <f aca="false">IFERROR('Price History'!E3+(INDEX('Price History'!E:E,MATCH(9.99E+307,'Price History'!$A:$A))-'Price History'!E3)*(ROW()-3)/(MATCH(9.99E+307,'Returns (Calc)'!$A:$A)-3),"")</f>
        <v>42.0379746835443</v>
      </c>
      <c r="AA80" s="144" t="n">
        <f aca="false">IFERROR('Price History'!F3+(INDEX('Price History'!F:F,MATCH(9.99E+307,'Price History'!$A:$A))-'Price History'!F3)*(ROW()-3)/(MATCH(9.99E+307,'Returns (Calc)'!$A:$A)-3),"")</f>
        <v>38.6082911392405</v>
      </c>
      <c r="AB80" s="144" t="n">
        <f aca="false">IFERROR('Price History'!G3+(INDEX('Price History'!G:G,MATCH(9.99E+307,'Price History'!$A:$A))-'Price History'!G3)*(ROW()-3)/(MATCH(9.99E+307,'Returns (Calc)'!$A:$A)-3),"")</f>
        <v>21.2035443037975</v>
      </c>
      <c r="AC80" s="144" t="n">
        <f aca="false">IFERROR('Price History'!H3+(INDEX('Price History'!H:H,MATCH(9.99E+307,'Price History'!$A:$A))-'Price History'!H3)*(ROW()-3)/(MATCH(9.99E+307,'Returns (Calc)'!$A:$A)-3),"")</f>
        <v>51.5682911392405</v>
      </c>
      <c r="AD80" s="144" t="n">
        <f aca="false">IFERROR('Price History'!I3+(INDEX('Price History'!I:I,MATCH(9.99E+307,'Price History'!$A:$A))-'Price History'!I3)*(ROW()-3)/(MATCH(9.99E+307,'Returns (Calc)'!$A:$A)-3),"")</f>
        <v>22.7363924050633</v>
      </c>
      <c r="AE80" s="144" t="n">
        <f aca="false">IFERROR('Price History'!J3+(INDEX('Price History'!J:J,MATCH(9.99E+307,'Price History'!$A:$A))-'Price History'!J3)*(ROW()-3)/(MATCH(9.99E+307,'Returns (Calc)'!$A:$A)-3),"")</f>
        <v>35.4298101265823</v>
      </c>
      <c r="AF80" s="144" t="n">
        <f aca="false">IFERROR('Price History'!K3+(INDEX('Price History'!K:K,MATCH(9.99E+307,'Price History'!$A:$A))-'Price History'!K3)*(ROW()-3)/(MATCH(9.99E+307,'Returns (Calc)'!$A:$A)-3),"")</f>
        <v>22.4390506329114</v>
      </c>
      <c r="AG80" s="144" t="n">
        <f aca="false">IFERROR('Price History'!L3+(INDEX('Price History'!L:L,MATCH(9.99E+307,'Price History'!$A:$A))-'Price History'!L3)*(ROW()-3)/(MATCH(9.99E+307,'Returns (Calc)'!$A:$A)-3),"")</f>
        <v>57.3356962025317</v>
      </c>
      <c r="AH80" s="144" t="n">
        <f aca="false">IFERROR('Price History'!M3+(INDEX('Price History'!M:M,MATCH(9.99E+307,'Price History'!$A:$A))-'Price History'!M3)*(ROW()-3)/(MATCH(9.99E+307,'Returns (Calc)'!$A:$A)-3),"")</f>
        <v>7.85905063291139</v>
      </c>
      <c r="AI80" s="144" t="n">
        <f aca="false">IFERROR('Price History'!N3+(INDEX('Price History'!N:N,MATCH(9.99E+307,'Price History'!$A:$A))-'Price History'!N3)*(ROW()-3)/(MATCH(9.99E+307,'Returns (Calc)'!$A:$A)-3),"")</f>
        <v>11.1759493670886</v>
      </c>
      <c r="AJ80" s="144" t="n">
        <f aca="false">IFERROR('Price History'!O3+(INDEX('Price History'!O:O,MATCH(9.99E+307,'Price History'!$A:$A))-'Price History'!O3)*(ROW()-3)/(MATCH(9.99E+307,'Returns (Calc)'!$A:$A)-3),"")</f>
        <v>29.5444936708861</v>
      </c>
      <c r="AK80" s="144" t="n">
        <f aca="false">IFERROR('Price History'!Q3+(INDEX('Price History'!Q:Q,MATCH(9.99E+307,'Price History'!$A:$A))-'Price History'!Q3)*(ROW()-3)/(MATCH(9.99E+307,'Returns (Calc)'!$A:$A)-3),"")</f>
        <v>120.797658227848</v>
      </c>
      <c r="AL80" s="144" t="n">
        <f aca="false">IFERROR('Price History'!R3+(INDEX('Price History'!R:R,MATCH(9.99E+307,'Price History'!$A:$A))-'Price History'!R3)*(ROW()-3)/(MATCH(9.99E+307,'Returns (Calc)'!$A:$A)-3),"")</f>
        <v>24.5153164556962</v>
      </c>
      <c r="AM80" s="144" t="n">
        <f aca="false">IFERROR('Price History'!S3+(INDEX('Price History'!S:S,MATCH(9.99E+307,'Price History'!$A:$A))-'Price History'!S3)*(ROW()-3)/(MATCH(9.99E+307,'Returns (Calc)'!$A:$A)-3),"")</f>
        <v>30.0110126582279</v>
      </c>
      <c r="AN80" s="144" t="n">
        <f aca="false">IFERROR('Price History'!T3+(INDEX('Price History'!T:T,MATCH(9.99E+307,'Price History'!$A:$A))-'Price History'!T3)*(ROW()-3)/(MATCH(9.99E+307,'Returns (Calc)'!$A:$A)-3),"")</f>
        <v>13.7956329113924</v>
      </c>
      <c r="AO80" s="145" t="n">
        <f aca="false">IFERROR('Price History'!V3+(INDEX('Price History'!V:V,MATCH(9.99E+307,'Price History'!$A:$A))-'Price History'!V3)*(ROW()-3)/(MATCH(9.99E+307,'Returns (Calc)'!$A:$A)-3),"")</f>
        <v>0</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0.00967437470504939</v>
      </c>
      <c r="G81" s="142" t="n">
        <f aca="false">IFERROR(IF(OR(NOT(ISNUMBER('Price History'!G82)),NOT(ISNUMBER('Price History'!G81)),'Price History'!G81=0),"",'Price History'!G82/'Price History'!G81-1),"")</f>
        <v>0.0240868483546308</v>
      </c>
      <c r="H81" s="142" t="n">
        <f aca="false">IFERROR(IF(OR(NOT(ISNUMBER('Price History'!H82)),NOT(ISNUMBER('Price History'!H81)),'Price History'!H81=0),"",'Price History'!H82/'Price History'!H81-1),"")</f>
        <v>0.00478927203065127</v>
      </c>
      <c r="I81" s="142" t="n">
        <f aca="false">IFERROR(IF(OR(NOT(ISNUMBER('Price History'!I82)),NOT(ISNUMBER('Price History'!I81)),'Price History'!I81=0),"",'Price History'!I82/'Price History'!I81-1),"")</f>
        <v>-0.00906644000566659</v>
      </c>
      <c r="J81" s="142" t="n">
        <f aca="false">IFERROR(IF(OR(NOT(ISNUMBER('Price History'!J82)),NOT(ISNUMBER('Price History'!J81)),'Price History'!J81=0),"",'Price History'!J82/'Price History'!J81-1),"")</f>
        <v>-0.0601593625498008</v>
      </c>
      <c r="K81" s="142" t="n">
        <f aca="false">IFERROR(IF(OR(NOT(ISNUMBER('Price History'!K82)),NOT(ISNUMBER('Price History'!K81)),'Price History'!K81=0),"",'Price History'!K82/'Price History'!K81-1),"")</f>
        <v>-0.0326301911667765</v>
      </c>
      <c r="L81" s="142" t="n">
        <f aca="false">IFERROR(IF(OR(NOT(ISNUMBER('Price History'!L82)),NOT(ISNUMBER('Price History'!L81)),'Price History'!L81=0),"",'Price History'!L82/'Price History'!L81-1),"")</f>
        <v>-0.0223548356540684</v>
      </c>
      <c r="M81" s="142" t="n">
        <f aca="false">IFERROR(IF(OR(NOT(ISNUMBER('Price History'!M82)),NOT(ISNUMBER('Price History'!M81)),'Price History'!M81=0),"",'Price History'!M82/'Price History'!M81-1),"")</f>
        <v>0.0547309833024119</v>
      </c>
      <c r="N81" s="142" t="n">
        <f aca="false">IFERROR(IF(OR(NOT(ISNUMBER('Price History'!N82)),NOT(ISNUMBER('Price History'!N81)),'Price History'!N81=0),"",'Price History'!N82/'Price History'!N81-1),"")</f>
        <v>0.00423728813559321</v>
      </c>
      <c r="O81" s="142" t="n">
        <f aca="false">IFERROR(IF(OR(NOT(ISNUMBER('Price History'!O82)),NOT(ISNUMBER('Price History'!O81)),'Price History'!O81=0),"",'Price History'!O82/'Price History'!O81-1),"")</f>
        <v>0.0037809225451011</v>
      </c>
      <c r="P81" s="142" t="n">
        <f aca="false">IFERROR(IF(OR(NOT(ISNUMBER('Price History'!P82)),NOT(ISNUMBER('Price History'!P81)),'Price History'!P81=0),"",'Price History'!P82/'Price History'!P81-1),"")</f>
        <v>0.01906829382774</v>
      </c>
      <c r="Q81" s="142" t="n">
        <f aca="false">IFERROR(IF(OR(NOT(ISNUMBER('Price History'!Q82)),NOT(ISNUMBER('Price History'!Q81)),'Price History'!Q81=0),"",'Price History'!Q82/'Price History'!Q81-1),"")</f>
        <v>0.0116449213510548</v>
      </c>
      <c r="R81" s="142" t="n">
        <f aca="false">IFERROR(IF(OR(NOT(ISNUMBER('Price History'!R82)),NOT(ISNUMBER('Price History'!R81)),'Price History'!R81=0),"",'Price History'!R82/'Price History'!R81-1),"")</f>
        <v>0.0192408605912191</v>
      </c>
      <c r="S81" s="142" t="n">
        <f aca="false">IFERROR(IF(OR(NOT(ISNUMBER('Price History'!S82)),NOT(ISNUMBER('Price History'!S81)),'Price History'!S81=0),"",'Price History'!S82/'Price History'!S81-1),"")</f>
        <v>0.0100950700774283</v>
      </c>
      <c r="T81" s="142" t="n">
        <f aca="false">IFERROR(IF(OR(NOT(ISNUMBER('Price History'!T82)),NOT(ISNUMBER('Price History'!T81)),'Price History'!T81=0),"",'Price History'!T82/'Price History'!T81-1),"")</f>
        <v>0.0116477272727271</v>
      </c>
      <c r="U81" s="142" t="str">
        <f aca="false">IFERROR(IF(OR(NOT(ISNUMBER('Price History'!U82)),NOT(ISNUMBER('Price History'!U81)),'Price History'!U81=0),"",'Price History'!U82/'Price History'!U81-1),"")</f>
        <v/>
      </c>
      <c r="V81" s="143" t="n">
        <f aca="false">IFERROR(IF(OR(NOT(ISNUMBER('Price History'!V82)),NOT(ISNUMBER('Price History'!V81)),'Price History'!V81=0),"",'Price History'!V82/'Price History'!V81-1),"")</f>
        <v>0.0183697234352256</v>
      </c>
      <c r="W81" s="144" t="str">
        <f aca="false">IFERROR('Price History'!B3+(INDEX('Price History'!B:B,MATCH(9.99E+307,'Price History'!$A:$A))-'Price History'!B3)*(ROW()-3)/(MATCH(9.99E+307,'Returns (Calc)'!$A:$A)-3),"")</f>
        <v/>
      </c>
      <c r="X81" s="144" t="n">
        <f aca="false">IFERROR('Price History'!C3+(INDEX('Price History'!C:C,MATCH(9.99E+307,'Price History'!$A:$A))-'Price History'!C3)*(ROW()-3)/(MATCH(9.99E+307,'Returns (Calc)'!$A:$A)-3),"")</f>
        <v>23.3822784810127</v>
      </c>
      <c r="Y81" s="144" t="n">
        <f aca="false">IFERROR('Price History'!D3+(INDEX('Price History'!D:D,MATCH(9.99E+307,'Price History'!$A:$A))-'Price History'!D3)*(ROW()-3)/(MATCH(9.99E+307,'Returns (Calc)'!$A:$A)-3),"")</f>
        <v>294.688607594937</v>
      </c>
      <c r="Z81" s="144" t="n">
        <f aca="false">IFERROR('Price History'!E3+(INDEX('Price History'!E:E,MATCH(9.99E+307,'Price History'!$A:$A))-'Price History'!E3)*(ROW()-3)/(MATCH(9.99E+307,'Returns (Calc)'!$A:$A)-3),"")</f>
        <v>41.5189873417722</v>
      </c>
      <c r="AA81" s="144" t="n">
        <f aca="false">IFERROR('Price History'!F3+(INDEX('Price History'!F:F,MATCH(9.99E+307,'Price History'!$A:$A))-'Price History'!F3)*(ROW()-3)/(MATCH(9.99E+307,'Returns (Calc)'!$A:$A)-3),"")</f>
        <v>38.1316455696203</v>
      </c>
      <c r="AB81" s="144" t="n">
        <f aca="false">IFERROR('Price History'!G3+(INDEX('Price History'!G:G,MATCH(9.99E+307,'Price History'!$A:$A))-'Price History'!G3)*(ROW()-3)/(MATCH(9.99E+307,'Returns (Calc)'!$A:$A)-3),"")</f>
        <v>20.9417721518987</v>
      </c>
      <c r="AC81" s="144" t="n">
        <f aca="false">IFERROR('Price History'!H3+(INDEX('Price History'!H:H,MATCH(9.99E+307,'Price History'!$A:$A))-'Price History'!H3)*(ROW()-3)/(MATCH(9.99E+307,'Returns (Calc)'!$A:$A)-3),"")</f>
        <v>50.9316455696203</v>
      </c>
      <c r="AD81" s="144" t="n">
        <f aca="false">IFERROR('Price History'!I3+(INDEX('Price History'!I:I,MATCH(9.99E+307,'Price History'!$A:$A))-'Price History'!I3)*(ROW()-3)/(MATCH(9.99E+307,'Returns (Calc)'!$A:$A)-3),"")</f>
        <v>22.4556962025316</v>
      </c>
      <c r="AE81" s="144" t="n">
        <f aca="false">IFERROR('Price History'!J3+(INDEX('Price History'!J:J,MATCH(9.99E+307,'Price History'!$A:$A))-'Price History'!J3)*(ROW()-3)/(MATCH(9.99E+307,'Returns (Calc)'!$A:$A)-3),"")</f>
        <v>34.9924050632911</v>
      </c>
      <c r="AF81" s="144" t="n">
        <f aca="false">IFERROR('Price History'!K3+(INDEX('Price History'!K:K,MATCH(9.99E+307,'Price History'!$A:$A))-'Price History'!K3)*(ROW()-3)/(MATCH(9.99E+307,'Returns (Calc)'!$A:$A)-3),"")</f>
        <v>22.1620253164557</v>
      </c>
      <c r="AG81" s="144" t="n">
        <f aca="false">IFERROR('Price History'!L3+(INDEX('Price History'!L:L,MATCH(9.99E+307,'Price History'!$A:$A))-'Price History'!L3)*(ROW()-3)/(MATCH(9.99E+307,'Returns (Calc)'!$A:$A)-3),"")</f>
        <v>56.6278481012658</v>
      </c>
      <c r="AH81" s="144" t="n">
        <f aca="false">IFERROR('Price History'!M3+(INDEX('Price History'!M:M,MATCH(9.99E+307,'Price History'!$A:$A))-'Price History'!M3)*(ROW()-3)/(MATCH(9.99E+307,'Returns (Calc)'!$A:$A)-3),"")</f>
        <v>7.7620253164557</v>
      </c>
      <c r="AI81" s="144" t="n">
        <f aca="false">IFERROR('Price History'!N3+(INDEX('Price History'!N:N,MATCH(9.99E+307,'Price History'!$A:$A))-'Price History'!N3)*(ROW()-3)/(MATCH(9.99E+307,'Returns (Calc)'!$A:$A)-3),"")</f>
        <v>11.0379746835443</v>
      </c>
      <c r="AJ81" s="144" t="n">
        <f aca="false">IFERROR('Price History'!O3+(INDEX('Price History'!O:O,MATCH(9.99E+307,'Price History'!$A:$A))-'Price History'!O3)*(ROW()-3)/(MATCH(9.99E+307,'Returns (Calc)'!$A:$A)-3),"")</f>
        <v>29.179746835443</v>
      </c>
      <c r="AK81" s="144" t="n">
        <f aca="false">IFERROR('Price History'!Q3+(INDEX('Price History'!Q:Q,MATCH(9.99E+307,'Price History'!$A:$A))-'Price History'!Q3)*(ROW()-3)/(MATCH(9.99E+307,'Returns (Calc)'!$A:$A)-3),"")</f>
        <v>119.306329113924</v>
      </c>
      <c r="AL81" s="144" t="n">
        <f aca="false">IFERROR('Price History'!R3+(INDEX('Price History'!R:R,MATCH(9.99E+307,'Price History'!$A:$A))-'Price History'!R3)*(ROW()-3)/(MATCH(9.99E+307,'Returns (Calc)'!$A:$A)-3),"")</f>
        <v>24.2126582278481</v>
      </c>
      <c r="AM81" s="144" t="n">
        <f aca="false">IFERROR('Price History'!S3+(INDEX('Price History'!S:S,MATCH(9.99E+307,'Price History'!$A:$A))-'Price History'!S3)*(ROW()-3)/(MATCH(9.99E+307,'Returns (Calc)'!$A:$A)-3),"")</f>
        <v>29.6405063291139</v>
      </c>
      <c r="AN81" s="144" t="n">
        <f aca="false">IFERROR('Price History'!T3+(INDEX('Price History'!T:T,MATCH(9.99E+307,'Price History'!$A:$A))-'Price History'!T3)*(ROW()-3)/(MATCH(9.99E+307,'Returns (Calc)'!$A:$A)-3),"")</f>
        <v>13.6253164556962</v>
      </c>
      <c r="AO81" s="145" t="n">
        <f aca="false">IFERROR('Price History'!V3+(INDEX('Price History'!V:V,MATCH(9.99E+307,'Price History'!$A:$A))-'Price History'!V3)*(ROW()-3)/(MATCH(9.99E+307,'Returns (Calc)'!$A:$A)-3),"")</f>
        <v>0</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-0.00467398924982465</v>
      </c>
      <c r="G82" s="142" t="n">
        <f aca="false">IFERROR(IF(OR(NOT(ISNUMBER('Price History'!G83)),NOT(ISNUMBER('Price History'!G82)),'Price History'!G82=0),"",'Price History'!G83/'Price History'!G82-1),"")</f>
        <v>-0.0141342756183745</v>
      </c>
      <c r="H82" s="142" t="n">
        <f aca="false">IFERROR(IF(OR(NOT(ISNUMBER('Price History'!H83)),NOT(ISNUMBER('Price History'!H82)),'Price History'!H82=0),"",'Price History'!H83/'Price History'!H82-1),"")</f>
        <v>-0.000238322211630115</v>
      </c>
      <c r="I82" s="142" t="n">
        <f aca="false">IFERROR(IF(OR(NOT(ISNUMBER('Price History'!I83)),NOT(ISNUMBER('Price History'!I82)),'Price History'!I82=0),"",'Price History'!I83/'Price History'!I82-1),"")</f>
        <v>-0.0466047176554683</v>
      </c>
      <c r="J82" s="142" t="n">
        <f aca="false">IFERROR(IF(OR(NOT(ISNUMBER('Price History'!J83)),NOT(ISNUMBER('Price History'!J82)),'Price History'!J82=0),"",'Price History'!J83/'Price History'!J82-1),"")</f>
        <v>-0.066341670199237</v>
      </c>
      <c r="K82" s="142" t="n">
        <f aca="false">IFERROR(IF(OR(NOT(ISNUMBER('Price History'!K83)),NOT(ISNUMBER('Price History'!K82)),'Price History'!K82=0),"",'Price History'!K83/'Price History'!K82-1),"")</f>
        <v>-0.0682282793867122</v>
      </c>
      <c r="L82" s="142" t="n">
        <f aca="false">IFERROR(IF(OR(NOT(ISNUMBER('Price History'!L83)),NOT(ISNUMBER('Price History'!L82)),'Price History'!L82=0),"",'Price History'!L83/'Price History'!L82-1),"")</f>
        <v>0.0186997383974421</v>
      </c>
      <c r="M82" s="142" t="n">
        <f aca="false">IFERROR(IF(OR(NOT(ISNUMBER('Price History'!M83)),NOT(ISNUMBER('Price History'!M82)),'Price History'!M82=0),"",'Price History'!M83/'Price History'!M82-1),"")</f>
        <v>-0.0561785400175902</v>
      </c>
      <c r="N82" s="142" t="n">
        <f aca="false">IFERROR(IF(OR(NOT(ISNUMBER('Price History'!N83)),NOT(ISNUMBER('Price History'!N82)),'Price History'!N82=0),"",'Price History'!N83/'Price History'!N82-1),"")</f>
        <v>0.00268507863444567</v>
      </c>
      <c r="O82" s="142" t="n">
        <f aca="false">IFERROR(IF(OR(NOT(ISNUMBER('Price History'!O83)),NOT(ISNUMBER('Price History'!O82)),'Price History'!O82=0),"",'Price History'!O83/'Price History'!O82-1),"")</f>
        <v>-0.0196943607404219</v>
      </c>
      <c r="P82" s="142" t="n">
        <f aca="false">IFERROR(IF(OR(NOT(ISNUMBER('Price History'!P83)),NOT(ISNUMBER('Price History'!P82)),'Price History'!P82=0),"",'Price History'!P83/'Price History'!P82-1),"")</f>
        <v>-0.0649432897691289</v>
      </c>
      <c r="Q82" s="142" t="n">
        <f aca="false">IFERROR(IF(OR(NOT(ISNUMBER('Price History'!Q83)),NOT(ISNUMBER('Price History'!Q82)),'Price History'!Q82=0),"",'Price History'!Q83/'Price History'!Q82-1),"")</f>
        <v>0.0214246971614536</v>
      </c>
      <c r="R82" s="142" t="n">
        <f aca="false">IFERROR(IF(OR(NOT(ISNUMBER('Price History'!R83)),NOT(ISNUMBER('Price History'!R82)),'Price History'!R82=0),"",'Price History'!R83/'Price History'!R82-1),"")</f>
        <v>-0.0120130427321092</v>
      </c>
      <c r="S82" s="142" t="n">
        <f aca="false">IFERROR(IF(OR(NOT(ISNUMBER('Price History'!S83)),NOT(ISNUMBER('Price History'!S82)),'Price History'!S82=0),"",'Price History'!S83/'Price History'!S82-1),"")</f>
        <v>-0.0305647195808267</v>
      </c>
      <c r="T82" s="142" t="n">
        <f aca="false">IFERROR(IF(OR(NOT(ISNUMBER('Price History'!T83)),NOT(ISNUMBER('Price History'!T82)),'Price History'!T82=0),"",'Price History'!T83/'Price History'!T82-1),"")</f>
        <v>-0.00336983993260309</v>
      </c>
      <c r="U82" s="142" t="str">
        <f aca="false">IFERROR(IF(OR(NOT(ISNUMBER('Price History'!U83)),NOT(ISNUMBER('Price History'!U82)),'Price History'!U82=0),"",'Price History'!U83/'Price History'!U82-1),"")</f>
        <v/>
      </c>
      <c r="V82" s="143" t="n">
        <f aca="false">IFERROR(IF(OR(NOT(ISNUMBER('Price History'!V83)),NOT(ISNUMBER('Price History'!V82)),'Price History'!V82=0),"",'Price History'!V83/'Price History'!V82-1),"")</f>
        <v>-0.0149223864383523</v>
      </c>
      <c r="W82" s="144" t="str">
        <f aca="false">IFERROR('Price History'!B3+(INDEX('Price History'!B:B,MATCH(9.99E+307,'Price History'!$A:$A))-'Price History'!B3)*(ROW()-3)/(MATCH(9.99E+307,'Returns (Calc)'!$A:$A)-3),"")</f>
        <v/>
      </c>
      <c r="X82" s="144" t="n">
        <f aca="false">IFERROR('Price History'!C3+(INDEX('Price History'!C:C,MATCH(9.99E+307,'Price History'!$A:$A))-'Price History'!C3)*(ROW()-3)/(MATCH(9.99E+307,'Returns (Calc)'!$A:$A)-3),"")</f>
        <v>23.09</v>
      </c>
      <c r="Y82" s="144" t="n">
        <f aca="false">IFERROR('Price History'!D3+(INDEX('Price History'!D:D,MATCH(9.99E+307,'Price History'!$A:$A))-'Price History'!D3)*(ROW()-3)/(MATCH(9.99E+307,'Returns (Calc)'!$A:$A)-3),"")</f>
        <v>291.005</v>
      </c>
      <c r="Z82" s="144" t="n">
        <f aca="false">IFERROR('Price History'!E3+(INDEX('Price History'!E:E,MATCH(9.99E+307,'Price History'!$A:$A))-'Price History'!E3)*(ROW()-3)/(MATCH(9.99E+307,'Returns (Calc)'!$A:$A)-3),"")</f>
        <v>41</v>
      </c>
      <c r="AA82" s="144" t="n">
        <f aca="false">IFERROR('Price History'!F3+(INDEX('Price History'!F:F,MATCH(9.99E+307,'Price History'!$A:$A))-'Price History'!F3)*(ROW()-3)/(MATCH(9.99E+307,'Returns (Calc)'!$A:$A)-3),"")</f>
        <v>37.655</v>
      </c>
      <c r="AB82" s="144" t="n">
        <f aca="false">IFERROR('Price History'!G3+(INDEX('Price History'!G:G,MATCH(9.99E+307,'Price History'!$A:$A))-'Price History'!G3)*(ROW()-3)/(MATCH(9.99E+307,'Returns (Calc)'!$A:$A)-3),"")</f>
        <v>20.68</v>
      </c>
      <c r="AC82" s="144" t="n">
        <f aca="false">IFERROR('Price History'!H3+(INDEX('Price History'!H:H,MATCH(9.99E+307,'Price History'!$A:$A))-'Price History'!H3)*(ROW()-3)/(MATCH(9.99E+307,'Returns (Calc)'!$A:$A)-3),"")</f>
        <v>50.295</v>
      </c>
      <c r="AD82" s="144" t="n">
        <f aca="false">IFERROR('Price History'!I3+(INDEX('Price History'!I:I,MATCH(9.99E+307,'Price History'!$A:$A))-'Price History'!I3)*(ROW()-3)/(MATCH(9.99E+307,'Returns (Calc)'!$A:$A)-3),"")</f>
        <v>22.175</v>
      </c>
      <c r="AE82" s="144" t="n">
        <f aca="false">IFERROR('Price History'!J3+(INDEX('Price History'!J:J,MATCH(9.99E+307,'Price History'!$A:$A))-'Price History'!J3)*(ROW()-3)/(MATCH(9.99E+307,'Returns (Calc)'!$A:$A)-3),"")</f>
        <v>34.555</v>
      </c>
      <c r="AF82" s="144" t="n">
        <f aca="false">IFERROR('Price History'!K3+(INDEX('Price History'!K:K,MATCH(9.99E+307,'Price History'!$A:$A))-'Price History'!K3)*(ROW()-3)/(MATCH(9.99E+307,'Returns (Calc)'!$A:$A)-3),"")</f>
        <v>21.885</v>
      </c>
      <c r="AG82" s="144" t="n">
        <f aca="false">IFERROR('Price History'!L3+(INDEX('Price History'!L:L,MATCH(9.99E+307,'Price History'!$A:$A))-'Price History'!L3)*(ROW()-3)/(MATCH(9.99E+307,'Returns (Calc)'!$A:$A)-3),"")</f>
        <v>55.92</v>
      </c>
      <c r="AH82" s="144" t="n">
        <f aca="false">IFERROR('Price History'!M3+(INDEX('Price History'!M:M,MATCH(9.99E+307,'Price History'!$A:$A))-'Price History'!M3)*(ROW()-3)/(MATCH(9.99E+307,'Returns (Calc)'!$A:$A)-3),"")</f>
        <v>7.665</v>
      </c>
      <c r="AI82" s="144" t="n">
        <f aca="false">IFERROR('Price History'!N3+(INDEX('Price History'!N:N,MATCH(9.99E+307,'Price History'!$A:$A))-'Price History'!N3)*(ROW()-3)/(MATCH(9.99E+307,'Returns (Calc)'!$A:$A)-3),"")</f>
        <v>10.9</v>
      </c>
      <c r="AJ82" s="144" t="n">
        <f aca="false">IFERROR('Price History'!O3+(INDEX('Price History'!O:O,MATCH(9.99E+307,'Price History'!$A:$A))-'Price History'!O3)*(ROW()-3)/(MATCH(9.99E+307,'Returns (Calc)'!$A:$A)-3),"")</f>
        <v>28.815</v>
      </c>
      <c r="AK82" s="144" t="n">
        <f aca="false">IFERROR('Price History'!Q3+(INDEX('Price History'!Q:Q,MATCH(9.99E+307,'Price History'!$A:$A))-'Price History'!Q3)*(ROW()-3)/(MATCH(9.99E+307,'Returns (Calc)'!$A:$A)-3),"")</f>
        <v>117.815</v>
      </c>
      <c r="AL82" s="144" t="n">
        <f aca="false">IFERROR('Price History'!R3+(INDEX('Price History'!R:R,MATCH(9.99E+307,'Price History'!$A:$A))-'Price History'!R3)*(ROW()-3)/(MATCH(9.99E+307,'Returns (Calc)'!$A:$A)-3),"")</f>
        <v>23.91</v>
      </c>
      <c r="AM82" s="144" t="n">
        <f aca="false">IFERROR('Price History'!S3+(INDEX('Price History'!S:S,MATCH(9.99E+307,'Price History'!$A:$A))-'Price History'!S3)*(ROW()-3)/(MATCH(9.99E+307,'Returns (Calc)'!$A:$A)-3),"")</f>
        <v>29.27</v>
      </c>
      <c r="AN82" s="144" t="n">
        <f aca="false">IFERROR('Price History'!T3+(INDEX('Price History'!T:T,MATCH(9.99E+307,'Price History'!$A:$A))-'Price History'!T3)*(ROW()-3)/(MATCH(9.99E+307,'Returns (Calc)'!$A:$A)-3),"")</f>
        <v>13.455</v>
      </c>
      <c r="AO82" s="145" t="n">
        <f aca="false">IFERROR('Price History'!V3+(INDEX('Price History'!V:V,MATCH(9.99E+307,'Price History'!$A:$A))-'Price History'!V3)*(ROW()-3)/(MATCH(9.99E+307,'Returns (Calc)'!$A:$A)-3),"")</f>
        <v>0</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-0.104719417703686</v>
      </c>
      <c r="G83" s="142" t="n">
        <f aca="false">IFERROR(IF(OR(NOT(ISNUMBER('Price History'!G84)),NOT(ISNUMBER('Price History'!G83)),'Price History'!G83=0),"",'Price History'!G84/'Price History'!G83-1),"")</f>
        <v>-0.0993503584229392</v>
      </c>
      <c r="H83" s="142" t="n">
        <f aca="false">IFERROR(IF(OR(NOT(ISNUMBER('Price History'!H84)),NOT(ISNUMBER('Price History'!H83)),'Price History'!H83=0),"",'Price History'!H84/'Price History'!H83-1),"")</f>
        <v>-0.0803337306317045</v>
      </c>
      <c r="I83" s="142" t="n">
        <f aca="false">IFERROR(IF(OR(NOT(ISNUMBER('Price History'!I84)),NOT(ISNUMBER('Price History'!I83)),'Price History'!I83=0),"",'Price History'!I84/'Price History'!I83-1),"")</f>
        <v>-0.144099565152197</v>
      </c>
      <c r="J83" s="142" t="n">
        <f aca="false">IFERROR(IF(OR(NOT(ISNUMBER('Price History'!J84)),NOT(ISNUMBER('Price History'!J83)),'Price History'!J83=0),"",'Price History'!J84/'Price History'!J83-1),"")</f>
        <v>-0.267196367763905</v>
      </c>
      <c r="K83" s="142" t="n">
        <f aca="false">IFERROR(IF(OR(NOT(ISNUMBER('Price History'!K84)),NOT(ISNUMBER('Price History'!K83)),'Price History'!K83=0),"",'Price History'!K84/'Price History'!K83-1),"")</f>
        <v>-0.140049364658561</v>
      </c>
      <c r="L83" s="142" t="n">
        <f aca="false">IFERROR(IF(OR(NOT(ISNUMBER('Price History'!L84)),NOT(ISNUMBER('Price History'!L83)),'Price History'!L83=0),"",'Price History'!L84/'Price History'!L83-1),"")</f>
        <v>-0.110614418870078</v>
      </c>
      <c r="M83" s="142" t="n">
        <f aca="false">IFERROR(IF(OR(NOT(ISNUMBER('Price History'!M84)),NOT(ISNUMBER('Price History'!M83)),'Price History'!M83=0),"",'Price History'!M84/'Price History'!M83-1),"")</f>
        <v>-0.137914967967385</v>
      </c>
      <c r="N83" s="142" t="n">
        <f aca="false">IFERROR(IF(OR(NOT(ISNUMBER('Price History'!N84)),NOT(ISNUMBER('Price History'!N83)),'Price History'!N83=0),"",'Price History'!N84/'Price History'!N83-1),"")</f>
        <v>-0.0833970925784239</v>
      </c>
      <c r="O83" s="142" t="n">
        <f aca="false">IFERROR(IF(OR(NOT(ISNUMBER('Price History'!O84)),NOT(ISNUMBER('Price History'!O83)),'Price History'!O83=0),"",'Price History'!O84/'Price History'!O83-1),"")</f>
        <v>-0.107036996377209</v>
      </c>
      <c r="P83" s="142" t="n">
        <f aca="false">IFERROR(IF(OR(NOT(ISNUMBER('Price History'!P84)),NOT(ISNUMBER('Price History'!P83)),'Price History'!P83=0),"",'Price History'!P84/'Price History'!P83-1),"")</f>
        <v>-0.111631057200911</v>
      </c>
      <c r="Q83" s="142" t="n">
        <f aca="false">IFERROR(IF(OR(NOT(ISNUMBER('Price History'!Q84)),NOT(ISNUMBER('Price History'!Q83)),'Price History'!Q83=0),"",'Price History'!Q84/'Price History'!Q83-1),"")</f>
        <v>-0.0866743369619731</v>
      </c>
      <c r="R83" s="142" t="n">
        <f aca="false">IFERROR(IF(OR(NOT(ISNUMBER('Price History'!R84)),NOT(ISNUMBER('Price History'!R83)),'Price History'!R83=0),"",'Price History'!R84/'Price History'!R83-1),"")</f>
        <v>-0.0276185513288172</v>
      </c>
      <c r="S83" s="142" t="n">
        <f aca="false">IFERROR(IF(OR(NOT(ISNUMBER('Price History'!S84)),NOT(ISNUMBER('Price History'!S83)),'Price History'!S83=0),"",'Price History'!S84/'Price History'!S83-1),"")</f>
        <v>-0.0011009908918026</v>
      </c>
      <c r="T83" s="142" t="n">
        <f aca="false">IFERROR(IF(OR(NOT(ISNUMBER('Price History'!T84)),NOT(ISNUMBER('Price History'!T83)),'Price History'!T83=0),"",'Price History'!T84/'Price History'!T83-1),"")</f>
        <v>-0.00479008171315865</v>
      </c>
      <c r="U83" s="142" t="str">
        <f aca="false">IFERROR(IF(OR(NOT(ISNUMBER('Price History'!U84)),NOT(ISNUMBER('Price History'!U83)),'Price History'!U83=0),"",'Price History'!U84/'Price History'!U83-1),"")</f>
        <v/>
      </c>
      <c r="V83" s="143" t="n">
        <f aca="false">IFERROR(IF(OR(NOT(ISNUMBER('Price History'!V84)),NOT(ISNUMBER('Price History'!V83)),'Price History'!V83=0),"",'Price History'!V84/'Price History'!V83-1),"")</f>
        <v>0.0406570126817378</v>
      </c>
      <c r="W83" s="144" t="str">
        <f aca="false">IFERROR('Price History'!B3+(INDEX('Price History'!B:B,MATCH(9.99E+307,'Price History'!$A:$A))-'Price History'!B3)*(ROW()-3)/(MATCH(9.99E+307,'Returns (Calc)'!$A:$A)-3),"")</f>
        <v/>
      </c>
      <c r="X83" s="144" t="n">
        <f aca="false">IFERROR('Price History'!C3+(INDEX('Price History'!C:C,MATCH(9.99E+307,'Price History'!$A:$A))-'Price History'!C3)*(ROW()-3)/(MATCH(9.99E+307,'Returns (Calc)'!$A:$A)-3),"")</f>
        <v>22.7977215189873</v>
      </c>
      <c r="Y83" s="144" t="n">
        <f aca="false">IFERROR('Price History'!D3+(INDEX('Price History'!D:D,MATCH(9.99E+307,'Price History'!$A:$A))-'Price History'!D3)*(ROW()-3)/(MATCH(9.99E+307,'Returns (Calc)'!$A:$A)-3),"")</f>
        <v>287.321392405063</v>
      </c>
      <c r="Z83" s="144" t="n">
        <f aca="false">IFERROR('Price History'!E3+(INDEX('Price History'!E:E,MATCH(9.99E+307,'Price History'!$A:$A))-'Price History'!E3)*(ROW()-3)/(MATCH(9.99E+307,'Returns (Calc)'!$A:$A)-3),"")</f>
        <v>40.4810126582279</v>
      </c>
      <c r="AA83" s="144" t="n">
        <f aca="false">IFERROR('Price History'!F3+(INDEX('Price History'!F:F,MATCH(9.99E+307,'Price History'!$A:$A))-'Price History'!F3)*(ROW()-3)/(MATCH(9.99E+307,'Returns (Calc)'!$A:$A)-3),"")</f>
        <v>37.1783544303798</v>
      </c>
      <c r="AB83" s="144" t="n">
        <f aca="false">IFERROR('Price History'!G3+(INDEX('Price History'!G:G,MATCH(9.99E+307,'Price History'!$A:$A))-'Price History'!G3)*(ROW()-3)/(MATCH(9.99E+307,'Returns (Calc)'!$A:$A)-3),"")</f>
        <v>20.4182278481013</v>
      </c>
      <c r="AC83" s="144" t="n">
        <f aca="false">IFERROR('Price History'!H3+(INDEX('Price History'!H:H,MATCH(9.99E+307,'Price History'!$A:$A))-'Price History'!H3)*(ROW()-3)/(MATCH(9.99E+307,'Returns (Calc)'!$A:$A)-3),"")</f>
        <v>49.6583544303797</v>
      </c>
      <c r="AD83" s="144" t="n">
        <f aca="false">IFERROR('Price History'!I3+(INDEX('Price History'!I:I,MATCH(9.99E+307,'Price History'!$A:$A))-'Price History'!I3)*(ROW()-3)/(MATCH(9.99E+307,'Returns (Calc)'!$A:$A)-3),"")</f>
        <v>21.8943037974684</v>
      </c>
      <c r="AE83" s="144" t="n">
        <f aca="false">IFERROR('Price History'!J3+(INDEX('Price History'!J:J,MATCH(9.99E+307,'Price History'!$A:$A))-'Price History'!J3)*(ROW()-3)/(MATCH(9.99E+307,'Returns (Calc)'!$A:$A)-3),"")</f>
        <v>34.1175949367089</v>
      </c>
      <c r="AF83" s="144" t="n">
        <f aca="false">IFERROR('Price History'!K3+(INDEX('Price History'!K:K,MATCH(9.99E+307,'Price History'!$A:$A))-'Price History'!K3)*(ROW()-3)/(MATCH(9.99E+307,'Returns (Calc)'!$A:$A)-3),"")</f>
        <v>21.6079746835443</v>
      </c>
      <c r="AG83" s="144" t="n">
        <f aca="false">IFERROR('Price History'!L3+(INDEX('Price History'!L:L,MATCH(9.99E+307,'Price History'!$A:$A))-'Price History'!L3)*(ROW()-3)/(MATCH(9.99E+307,'Returns (Calc)'!$A:$A)-3),"")</f>
        <v>55.2121518987342</v>
      </c>
      <c r="AH83" s="144" t="n">
        <f aca="false">IFERROR('Price History'!M3+(INDEX('Price History'!M:M,MATCH(9.99E+307,'Price History'!$A:$A))-'Price History'!M3)*(ROW()-3)/(MATCH(9.99E+307,'Returns (Calc)'!$A:$A)-3),"")</f>
        <v>7.5679746835443</v>
      </c>
      <c r="AI83" s="144" t="n">
        <f aca="false">IFERROR('Price History'!N3+(INDEX('Price History'!N:N,MATCH(9.99E+307,'Price History'!$A:$A))-'Price History'!N3)*(ROW()-3)/(MATCH(9.99E+307,'Returns (Calc)'!$A:$A)-3),"")</f>
        <v>10.7620253164557</v>
      </c>
      <c r="AJ83" s="144" t="n">
        <f aca="false">IFERROR('Price History'!O3+(INDEX('Price History'!O:O,MATCH(9.99E+307,'Price History'!$A:$A))-'Price History'!O3)*(ROW()-3)/(MATCH(9.99E+307,'Returns (Calc)'!$A:$A)-3),"")</f>
        <v>28.450253164557</v>
      </c>
      <c r="AK83" s="144" t="n">
        <f aca="false">IFERROR('Price History'!Q3+(INDEX('Price History'!Q:Q,MATCH(9.99E+307,'Price History'!$A:$A))-'Price History'!Q3)*(ROW()-3)/(MATCH(9.99E+307,'Returns (Calc)'!$A:$A)-3),"")</f>
        <v>116.323670886076</v>
      </c>
      <c r="AL83" s="144" t="n">
        <f aca="false">IFERROR('Price History'!R3+(INDEX('Price History'!R:R,MATCH(9.99E+307,'Price History'!$A:$A))-'Price History'!R3)*(ROW()-3)/(MATCH(9.99E+307,'Returns (Calc)'!$A:$A)-3),"")</f>
        <v>23.6073417721519</v>
      </c>
      <c r="AM83" s="144" t="n">
        <f aca="false">IFERROR('Price History'!S3+(INDEX('Price History'!S:S,MATCH(9.99E+307,'Price History'!$A:$A))-'Price History'!S3)*(ROW()-3)/(MATCH(9.99E+307,'Returns (Calc)'!$A:$A)-3),"")</f>
        <v>28.8994936708861</v>
      </c>
      <c r="AN83" s="144" t="n">
        <f aca="false">IFERROR('Price History'!T3+(INDEX('Price History'!T:T,MATCH(9.99E+307,'Price History'!$A:$A))-'Price History'!T3)*(ROW()-3)/(MATCH(9.99E+307,'Returns (Calc)'!$A:$A)-3),"")</f>
        <v>13.2846835443038</v>
      </c>
      <c r="AO83" s="145" t="n">
        <f aca="false">IFERROR('Price History'!V3+(INDEX('Price History'!V:V,MATCH(9.99E+307,'Price History'!$A:$A))-'Price History'!V3)*(ROW()-3)/(MATCH(9.99E+307,'Returns (Calc)'!$A:$A)-3),"")</f>
        <v>0</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0.0125885129819039</v>
      </c>
      <c r="G84" s="142" t="n">
        <f aca="false">IFERROR(IF(OR(NOT(ISNUMBER('Price History'!G85)),NOT(ISNUMBER('Price History'!G84)),'Price History'!G84=0),"",'Price History'!G85/'Price History'!G84-1),"")</f>
        <v>0.174853873896282</v>
      </c>
      <c r="H84" s="142" t="n">
        <f aca="false">IFERROR(IF(OR(NOT(ISNUMBER('Price History'!H85)),NOT(ISNUMBER('Price History'!H84)),'Price History'!H84=0),"",'Price History'!H85/'Price History'!H84-1),"")</f>
        <v>0.0160705028512183</v>
      </c>
      <c r="I84" s="142" t="n">
        <f aca="false">IFERROR(IF(OR(NOT(ISNUMBER('Price History'!I85)),NOT(ISNUMBER('Price History'!I84)),'Price History'!I84=0),"",'Price History'!I85/'Price History'!I84-1),"")</f>
        <v>0.162578836720392</v>
      </c>
      <c r="J84" s="142" t="n">
        <f aca="false">IFERROR(IF(OR(NOT(ISNUMBER('Price History'!J85)),NOT(ISNUMBER('Price History'!J84)),'Price History'!J84=0),"",'Price History'!J85/'Price History'!J84-1),"")</f>
        <v>0.0745043370508054</v>
      </c>
      <c r="K84" s="142" t="n">
        <f aca="false">IFERROR(IF(OR(NOT(ISNUMBER('Price History'!K85)),NOT(ISNUMBER('Price History'!K84)),'Price History'!K84=0),"",'Price History'!K85/'Price History'!K84-1),"")</f>
        <v>0.176251727437015</v>
      </c>
      <c r="L84" s="142" t="n">
        <f aca="false">IFERROR(IF(OR(NOT(ISNUMBER('Price History'!L85)),NOT(ISNUMBER('Price History'!L84)),'Price History'!L84=0),"",'Price History'!L85/'Price History'!L84-1),"")</f>
        <v>-0.0204256229280292</v>
      </c>
      <c r="M84" s="142" t="n">
        <f aca="false">IFERROR(IF(OR(NOT(ISNUMBER('Price History'!M85)),NOT(ISNUMBER('Price History'!M84)),'Price History'!M84=0),"",'Price History'!M85/'Price History'!M84-1),"")</f>
        <v>0.196459937846237</v>
      </c>
      <c r="N84" s="142" t="n">
        <f aca="false">IFERROR(IF(OR(NOT(ISNUMBER('Price History'!N85)),NOT(ISNUMBER('Price History'!N84)),'Price History'!N84=0),"",'Price History'!N85/'Price History'!N84-1),"")</f>
        <v>0.000834724540901499</v>
      </c>
      <c r="O84" s="142" t="n">
        <f aca="false">IFERROR(IF(OR(NOT(ISNUMBER('Price History'!O85)),NOT(ISNUMBER('Price History'!O84)),'Price History'!O84=0),"",'Price History'!O85/'Price History'!O84-1),"")</f>
        <v>0.0910990902385049</v>
      </c>
      <c r="P84" s="142" t="n">
        <f aca="false">IFERROR(IF(OR(NOT(ISNUMBER('Price History'!P85)),NOT(ISNUMBER('Price History'!P84)),'Price History'!P84=0),"",'Price History'!P85/'Price History'!P84-1),"")</f>
        <v>0.0700027723870251</v>
      </c>
      <c r="Q84" s="142" t="n">
        <f aca="false">IFERROR(IF(OR(NOT(ISNUMBER('Price History'!Q85)),NOT(ISNUMBER('Price History'!Q84)),'Price History'!Q84=0),"",'Price History'!Q85/'Price History'!Q84-1),"")</f>
        <v>0.0647307729577829</v>
      </c>
      <c r="R84" s="142" t="n">
        <f aca="false">IFERROR(IF(OR(NOT(ISNUMBER('Price History'!R85)),NOT(ISNUMBER('Price History'!R84)),'Price History'!R84=0),"",'Price History'!R85/'Price History'!R84-1),"")</f>
        <v>-0.0396570203644159</v>
      </c>
      <c r="S84" s="142" t="n">
        <f aca="false">IFERROR(IF(OR(NOT(ISNUMBER('Price History'!S85)),NOT(ISNUMBER('Price History'!S84)),'Price History'!S84=0),"",'Price History'!S85/'Price History'!S84-1),"")</f>
        <v>-0.0527054108216432</v>
      </c>
      <c r="T84" s="142" t="n">
        <f aca="false">IFERROR(IF(OR(NOT(ISNUMBER('Price History'!T85)),NOT(ISNUMBER('Price History'!T84)),'Price History'!T84=0),"",'Price History'!T85/'Price History'!T84-1),"")</f>
        <v>-0.0144394110985276</v>
      </c>
      <c r="U84" s="142" t="str">
        <f aca="false">IFERROR(IF(OR(NOT(ISNUMBER('Price History'!U85)),NOT(ISNUMBER('Price History'!U84)),'Price History'!U84=0),"",'Price History'!U85/'Price History'!U84-1),"")</f>
        <v/>
      </c>
      <c r="V84" s="143" t="n">
        <f aca="false">IFERROR(IF(OR(NOT(ISNUMBER('Price History'!V85)),NOT(ISNUMBER('Price History'!V84)),'Price History'!V84=0),"",'Price History'!V85/'Price History'!V84-1),"")</f>
        <v>-0.047936419408812</v>
      </c>
      <c r="W84" s="144" t="str">
        <f aca="false">IFERROR('Price History'!B3+(INDEX('Price History'!B:B,MATCH(9.99E+307,'Price History'!$A:$A))-'Price History'!B3)*(ROW()-3)/(MATCH(9.99E+307,'Returns (Calc)'!$A:$A)-3),"")</f>
        <v/>
      </c>
      <c r="X84" s="144" t="n">
        <f aca="false">IFERROR('Price History'!C3+(INDEX('Price History'!C:C,MATCH(9.99E+307,'Price History'!$A:$A))-'Price History'!C3)*(ROW()-3)/(MATCH(9.99E+307,'Returns (Calc)'!$A:$A)-3),"")</f>
        <v>22.5054430379747</v>
      </c>
      <c r="Y84" s="144" t="n">
        <f aca="false">IFERROR('Price History'!D3+(INDEX('Price History'!D:D,MATCH(9.99E+307,'Price History'!$A:$A))-'Price History'!D3)*(ROW()-3)/(MATCH(9.99E+307,'Returns (Calc)'!$A:$A)-3),"")</f>
        <v>283.637784810127</v>
      </c>
      <c r="Z84" s="144" t="n">
        <f aca="false">IFERROR('Price History'!E3+(INDEX('Price History'!E:E,MATCH(9.99E+307,'Price History'!$A:$A))-'Price History'!E3)*(ROW()-3)/(MATCH(9.99E+307,'Returns (Calc)'!$A:$A)-3),"")</f>
        <v>39.9620253164557</v>
      </c>
      <c r="AA84" s="144" t="n">
        <f aca="false">IFERROR('Price History'!F3+(INDEX('Price History'!F:F,MATCH(9.99E+307,'Price History'!$A:$A))-'Price History'!F3)*(ROW()-3)/(MATCH(9.99E+307,'Returns (Calc)'!$A:$A)-3),"")</f>
        <v>36.7017088607595</v>
      </c>
      <c r="AB84" s="144" t="n">
        <f aca="false">IFERROR('Price History'!G3+(INDEX('Price History'!G:G,MATCH(9.99E+307,'Price History'!$A:$A))-'Price History'!G3)*(ROW()-3)/(MATCH(9.99E+307,'Returns (Calc)'!$A:$A)-3),"")</f>
        <v>20.1564556962025</v>
      </c>
      <c r="AC84" s="144" t="n">
        <f aca="false">IFERROR('Price History'!H3+(INDEX('Price History'!H:H,MATCH(9.99E+307,'Price History'!$A:$A))-'Price History'!H3)*(ROW()-3)/(MATCH(9.99E+307,'Returns (Calc)'!$A:$A)-3),"")</f>
        <v>49.0217088607595</v>
      </c>
      <c r="AD84" s="144" t="n">
        <f aca="false">IFERROR('Price History'!I3+(INDEX('Price History'!I:I,MATCH(9.99E+307,'Price History'!$A:$A))-'Price History'!I3)*(ROW()-3)/(MATCH(9.99E+307,'Returns (Calc)'!$A:$A)-3),"")</f>
        <v>21.6136075949367</v>
      </c>
      <c r="AE84" s="144" t="n">
        <f aca="false">IFERROR('Price History'!J3+(INDEX('Price History'!J:J,MATCH(9.99E+307,'Price History'!$A:$A))-'Price History'!J3)*(ROW()-3)/(MATCH(9.99E+307,'Returns (Calc)'!$A:$A)-3),"")</f>
        <v>33.6801898734177</v>
      </c>
      <c r="AF84" s="144" t="n">
        <f aca="false">IFERROR('Price History'!K3+(INDEX('Price History'!K:K,MATCH(9.99E+307,'Price History'!$A:$A))-'Price History'!K3)*(ROW()-3)/(MATCH(9.99E+307,'Returns (Calc)'!$A:$A)-3),"")</f>
        <v>21.3309493670886</v>
      </c>
      <c r="AG84" s="144" t="n">
        <f aca="false">IFERROR('Price History'!L3+(INDEX('Price History'!L:L,MATCH(9.99E+307,'Price History'!$A:$A))-'Price History'!L3)*(ROW()-3)/(MATCH(9.99E+307,'Returns (Calc)'!$A:$A)-3),"")</f>
        <v>54.5043037974684</v>
      </c>
      <c r="AH84" s="144" t="n">
        <f aca="false">IFERROR('Price History'!M3+(INDEX('Price History'!M:M,MATCH(9.99E+307,'Price History'!$A:$A))-'Price History'!M3)*(ROW()-3)/(MATCH(9.99E+307,'Returns (Calc)'!$A:$A)-3),"")</f>
        <v>7.47094936708861</v>
      </c>
      <c r="AI84" s="144" t="n">
        <f aca="false">IFERROR('Price History'!N3+(INDEX('Price History'!N:N,MATCH(9.99E+307,'Price History'!$A:$A))-'Price History'!N3)*(ROW()-3)/(MATCH(9.99E+307,'Returns (Calc)'!$A:$A)-3),"")</f>
        <v>10.6240506329114</v>
      </c>
      <c r="AJ84" s="144" t="n">
        <f aca="false">IFERROR('Price History'!O3+(INDEX('Price History'!O:O,MATCH(9.99E+307,'Price History'!$A:$A))-'Price History'!O3)*(ROW()-3)/(MATCH(9.99E+307,'Returns (Calc)'!$A:$A)-3),"")</f>
        <v>28.0855063291139</v>
      </c>
      <c r="AK84" s="144" t="n">
        <f aca="false">IFERROR('Price History'!Q3+(INDEX('Price History'!Q:Q,MATCH(9.99E+307,'Price History'!$A:$A))-'Price History'!Q3)*(ROW()-3)/(MATCH(9.99E+307,'Returns (Calc)'!$A:$A)-3),"")</f>
        <v>114.832341772152</v>
      </c>
      <c r="AL84" s="144" t="n">
        <f aca="false">IFERROR('Price History'!R3+(INDEX('Price History'!R:R,MATCH(9.99E+307,'Price History'!$A:$A))-'Price History'!R3)*(ROW()-3)/(MATCH(9.99E+307,'Returns (Calc)'!$A:$A)-3),"")</f>
        <v>23.3046835443038</v>
      </c>
      <c r="AM84" s="144" t="n">
        <f aca="false">IFERROR('Price History'!S3+(INDEX('Price History'!S:S,MATCH(9.99E+307,'Price History'!$A:$A))-'Price History'!S3)*(ROW()-3)/(MATCH(9.99E+307,'Returns (Calc)'!$A:$A)-3),"")</f>
        <v>28.5289873417722</v>
      </c>
      <c r="AN84" s="144" t="n">
        <f aca="false">IFERROR('Price History'!T3+(INDEX('Price History'!T:T,MATCH(9.99E+307,'Price History'!$A:$A))-'Price History'!T3)*(ROW()-3)/(MATCH(9.99E+307,'Returns (Calc)'!$A:$A)-3),"")</f>
        <v>13.1143670886076</v>
      </c>
      <c r="AO84" s="145" t="n">
        <f aca="false">IFERROR('Price History'!V3+(INDEX('Price History'!V:V,MATCH(9.99E+307,'Price History'!$A:$A))-'Price History'!V3)*(ROW()-3)/(MATCH(9.99E+307,'Returns (Calc)'!$A:$A)-3),"")</f>
        <v>0</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0.0186480186480187</v>
      </c>
      <c r="G85" s="142" t="n">
        <f aca="false">IFERROR(IF(OR(NOT(ISNUMBER('Price History'!G86)),NOT(ISNUMBER('Price History'!G85)),'Price History'!G85=0),"",'Price History'!G86/'Price History'!G85-1),"")</f>
        <v>-0.00603366147983475</v>
      </c>
      <c r="H85" s="142" t="n">
        <f aca="false">IFERROR(IF(OR(NOT(ISNUMBER('Price History'!H86)),NOT(ISNUMBER('Price History'!H85)),'Price History'!H85=0),"",'Price History'!H86/'Price History'!H85-1),"")</f>
        <v>0.0147108843537416</v>
      </c>
      <c r="I85" s="142" t="n">
        <f aca="false">IFERROR(IF(OR(NOT(ISNUMBER('Price History'!I86)),NOT(ISNUMBER('Price History'!I85)),'Price History'!I85=0),"",'Price History'!I86/'Price History'!I85-1),"")</f>
        <v>-0.0534960819770945</v>
      </c>
      <c r="J85" s="142" t="n">
        <f aca="false">IFERROR(IF(OR(NOT(ISNUMBER('Price History'!J86)),NOT(ISNUMBER('Price History'!J85)),'Price History'!J85=0),"",'Price History'!J86/'Price History'!J85-1),"")</f>
        <v>-0.0106674354908464</v>
      </c>
      <c r="K85" s="142" t="n">
        <f aca="false">IFERROR(IF(OR(NOT(ISNUMBER('Price History'!K86)),NOT(ISNUMBER('Price History'!K85)),'Price History'!K85=0),"",'Price History'!K86/'Price History'!K85-1),"")</f>
        <v>-0.0851333032083145</v>
      </c>
      <c r="L85" s="142" t="n">
        <f aca="false">IFERROR(IF(OR(NOT(ISNUMBER('Price History'!L86)),NOT(ISNUMBER('Price History'!L85)),'Price History'!L85=0),"",'Price History'!L86/'Price History'!L85-1),"")</f>
        <v>0.0610262008733624</v>
      </c>
      <c r="M85" s="142" t="n">
        <f aca="false">IFERROR(IF(OR(NOT(ISNUMBER('Price History'!M86)),NOT(ISNUMBER('Price History'!M85)),'Price History'!M85=0),"",'Price History'!M86/'Price History'!M85-1),"")</f>
        <v>0.0590626764539808</v>
      </c>
      <c r="N85" s="142" t="n">
        <f aca="false">IFERROR(IF(OR(NOT(ISNUMBER('Price History'!N86)),NOT(ISNUMBER('Price History'!N85)),'Price History'!N85=0),"",'Price History'!N86/'Price History'!N85-1),"")</f>
        <v>0.00458715596330284</v>
      </c>
      <c r="O85" s="142" t="n">
        <f aca="false">IFERROR(IF(OR(NOT(ISNUMBER('Price History'!O86)),NOT(ISNUMBER('Price History'!O85)),'Price History'!O85=0),"",'Price History'!O86/'Price History'!O85-1),"")</f>
        <v>-0.0173521126760564</v>
      </c>
      <c r="P85" s="142" t="n">
        <f aca="false">IFERROR(IF(OR(NOT(ISNUMBER('Price History'!P86)),NOT(ISNUMBER('Price History'!P85)),'Price History'!P85=0),"",'Price History'!P86/'Price History'!P85-1),"")</f>
        <v>-0.0340069957248348</v>
      </c>
      <c r="Q85" s="142" t="n">
        <f aca="false">IFERROR(IF(OR(NOT(ISNUMBER('Price History'!Q86)),NOT(ISNUMBER('Price History'!Q85)),'Price History'!Q85=0),"",'Price History'!Q86/'Price History'!Q85-1),"")</f>
        <v>-0.0113763917119194</v>
      </c>
      <c r="R85" s="142" t="n">
        <f aca="false">IFERROR(IF(OR(NOT(ISNUMBER('Price History'!R86)),NOT(ISNUMBER('Price History'!R85)),'Price History'!R85=0),"",'Price History'!R86/'Price History'!R85-1),"")</f>
        <v>-0.0213913690476191</v>
      </c>
      <c r="S85" s="142" t="n">
        <f aca="false">IFERROR(IF(OR(NOT(ISNUMBER('Price History'!S86)),NOT(ISNUMBER('Price History'!S85)),'Price History'!S85=0),"",'Price History'!S86/'Price History'!S85-1),"")</f>
        <v>-0.00719272265707649</v>
      </c>
      <c r="T85" s="142" t="n">
        <f aca="false">IFERROR(IF(OR(NOT(ISNUMBER('Price History'!T86)),NOT(ISNUMBER('Price History'!T85)),'Price History'!T85=0),"",'Price History'!T86/'Price History'!T85-1),"")</f>
        <v>-0.020683711577133</v>
      </c>
      <c r="U85" s="142" t="str">
        <f aca="false">IFERROR(IF(OR(NOT(ISNUMBER('Price History'!U86)),NOT(ISNUMBER('Price History'!U85)),'Price History'!U85=0),"",'Price History'!U86/'Price History'!U85-1),"")</f>
        <v/>
      </c>
      <c r="V85" s="143" t="n">
        <f aca="false">IFERROR(IF(OR(NOT(ISNUMBER('Price History'!V86)),NOT(ISNUMBER('Price History'!V85)),'Price History'!V85=0),"",'Price History'!V86/'Price History'!V85-1),"")</f>
        <v>-0.039161125918983</v>
      </c>
      <c r="W85" s="144" t="str">
        <f aca="false">IFERROR('Price History'!B3+(INDEX('Price History'!B:B,MATCH(9.99E+307,'Price History'!$A:$A))-'Price History'!B3)*(ROW()-3)/(MATCH(9.99E+307,'Returns (Calc)'!$A:$A)-3),"")</f>
        <v/>
      </c>
      <c r="X85" s="144" t="n">
        <f aca="false">IFERROR('Price History'!C3+(INDEX('Price History'!C:C,MATCH(9.99E+307,'Price History'!$A:$A))-'Price History'!C3)*(ROW()-3)/(MATCH(9.99E+307,'Returns (Calc)'!$A:$A)-3),"")</f>
        <v>22.213164556962</v>
      </c>
      <c r="Y85" s="144" t="n">
        <f aca="false">IFERROR('Price History'!D3+(INDEX('Price History'!D:D,MATCH(9.99E+307,'Price History'!$A:$A))-'Price History'!D3)*(ROW()-3)/(MATCH(9.99E+307,'Returns (Calc)'!$A:$A)-3),"")</f>
        <v>279.95417721519</v>
      </c>
      <c r="Z85" s="144" t="n">
        <f aca="false">IFERROR('Price History'!E3+(INDEX('Price History'!E:E,MATCH(9.99E+307,'Price History'!$A:$A))-'Price History'!E3)*(ROW()-3)/(MATCH(9.99E+307,'Returns (Calc)'!$A:$A)-3),"")</f>
        <v>39.4430379746835</v>
      </c>
      <c r="AA85" s="144" t="n">
        <f aca="false">IFERROR('Price History'!F3+(INDEX('Price History'!F:F,MATCH(9.99E+307,'Price History'!$A:$A))-'Price History'!F3)*(ROW()-3)/(MATCH(9.99E+307,'Returns (Calc)'!$A:$A)-3),"")</f>
        <v>36.2250632911392</v>
      </c>
      <c r="AB85" s="144" t="n">
        <f aca="false">IFERROR('Price History'!G3+(INDEX('Price History'!G:G,MATCH(9.99E+307,'Price History'!$A:$A))-'Price History'!G3)*(ROW()-3)/(MATCH(9.99E+307,'Returns (Calc)'!$A:$A)-3),"")</f>
        <v>19.8946835443038</v>
      </c>
      <c r="AC85" s="144" t="n">
        <f aca="false">IFERROR('Price History'!H3+(INDEX('Price History'!H:H,MATCH(9.99E+307,'Price History'!$A:$A))-'Price History'!H3)*(ROW()-3)/(MATCH(9.99E+307,'Returns (Calc)'!$A:$A)-3),"")</f>
        <v>48.3850632911392</v>
      </c>
      <c r="AD85" s="144" t="n">
        <f aca="false">IFERROR('Price History'!I3+(INDEX('Price History'!I:I,MATCH(9.99E+307,'Price History'!$A:$A))-'Price History'!I3)*(ROW()-3)/(MATCH(9.99E+307,'Returns (Calc)'!$A:$A)-3),"")</f>
        <v>21.3329113924051</v>
      </c>
      <c r="AE85" s="144" t="n">
        <f aca="false">IFERROR('Price History'!J3+(INDEX('Price History'!J:J,MATCH(9.99E+307,'Price History'!$A:$A))-'Price History'!J3)*(ROW()-3)/(MATCH(9.99E+307,'Returns (Calc)'!$A:$A)-3),"")</f>
        <v>33.2427848101266</v>
      </c>
      <c r="AF85" s="144" t="n">
        <f aca="false">IFERROR('Price History'!K3+(INDEX('Price History'!K:K,MATCH(9.99E+307,'Price History'!$A:$A))-'Price History'!K3)*(ROW()-3)/(MATCH(9.99E+307,'Returns (Calc)'!$A:$A)-3),"")</f>
        <v>21.0539240506329</v>
      </c>
      <c r="AG85" s="144" t="n">
        <f aca="false">IFERROR('Price History'!L3+(INDEX('Price History'!L:L,MATCH(9.99E+307,'Price History'!$A:$A))-'Price History'!L3)*(ROW()-3)/(MATCH(9.99E+307,'Returns (Calc)'!$A:$A)-3),"")</f>
        <v>53.7964556962025</v>
      </c>
      <c r="AH85" s="144" t="n">
        <f aca="false">IFERROR('Price History'!M3+(INDEX('Price History'!M:M,MATCH(9.99E+307,'Price History'!$A:$A))-'Price History'!M3)*(ROW()-3)/(MATCH(9.99E+307,'Returns (Calc)'!$A:$A)-3),"")</f>
        <v>7.37392405063291</v>
      </c>
      <c r="AI85" s="144" t="n">
        <f aca="false">IFERROR('Price History'!N3+(INDEX('Price History'!N:N,MATCH(9.99E+307,'Price History'!$A:$A))-'Price History'!N3)*(ROW()-3)/(MATCH(9.99E+307,'Returns (Calc)'!$A:$A)-3),"")</f>
        <v>10.4860759493671</v>
      </c>
      <c r="AJ85" s="144" t="n">
        <f aca="false">IFERROR('Price History'!O3+(INDEX('Price History'!O:O,MATCH(9.99E+307,'Price History'!$A:$A))-'Price History'!O3)*(ROW()-3)/(MATCH(9.99E+307,'Returns (Calc)'!$A:$A)-3),"")</f>
        <v>27.7207594936709</v>
      </c>
      <c r="AK85" s="144" t="n">
        <f aca="false">IFERROR('Price History'!Q3+(INDEX('Price History'!Q:Q,MATCH(9.99E+307,'Price History'!$A:$A))-'Price History'!Q3)*(ROW()-3)/(MATCH(9.99E+307,'Returns (Calc)'!$A:$A)-3),"")</f>
        <v>113.341012658228</v>
      </c>
      <c r="AL85" s="144" t="n">
        <f aca="false">IFERROR('Price History'!R3+(INDEX('Price History'!R:R,MATCH(9.99E+307,'Price History'!$A:$A))-'Price History'!R3)*(ROW()-3)/(MATCH(9.99E+307,'Returns (Calc)'!$A:$A)-3),"")</f>
        <v>23.0020253164557</v>
      </c>
      <c r="AM85" s="144" t="n">
        <f aca="false">IFERROR('Price History'!S3+(INDEX('Price History'!S:S,MATCH(9.99E+307,'Price History'!$A:$A))-'Price History'!S3)*(ROW()-3)/(MATCH(9.99E+307,'Returns (Calc)'!$A:$A)-3),"")</f>
        <v>28.1584810126582</v>
      </c>
      <c r="AN85" s="144" t="n">
        <f aca="false">IFERROR('Price History'!T3+(INDEX('Price History'!T:T,MATCH(9.99E+307,'Price History'!$A:$A))-'Price History'!T3)*(ROW()-3)/(MATCH(9.99E+307,'Returns (Calc)'!$A:$A)-3),"")</f>
        <v>12.9440506329114</v>
      </c>
      <c r="AO85" s="145" t="n">
        <f aca="false">IFERROR('Price History'!V3+(INDEX('Price History'!V:V,MATCH(9.99E+307,'Price History'!$A:$A))-'Price History'!V3)*(ROW()-3)/(MATCH(9.99E+307,'Returns (Calc)'!$A:$A)-3),"")</f>
        <v>0</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0.0280956013221461</v>
      </c>
      <c r="G86" s="142" t="n">
        <f aca="false">IFERROR(IF(OR(NOT(ISNUMBER('Price History'!G87)),NOT(ISNUMBER('Price History'!G86)),'Price History'!G86=0),"",'Price History'!G87/'Price History'!G86-1),"")</f>
        <v>0.131203407880724</v>
      </c>
      <c r="H86" s="142" t="n">
        <f aca="false">IFERROR(IF(OR(NOT(ISNUMBER('Price History'!H87)),NOT(ISNUMBER('Price History'!H86)),'Price History'!H86=0),"",'Price History'!H87/'Price History'!H86-1),"")</f>
        <v>0.0143300092181347</v>
      </c>
      <c r="I86" s="142" t="n">
        <f aca="false">IFERROR(IF(OR(NOT(ISNUMBER('Price History'!I87)),NOT(ISNUMBER('Price History'!I86)),'Price History'!I86=0),"",'Price History'!I87/'Price History'!I86-1),"")</f>
        <v>0.0948893488298042</v>
      </c>
      <c r="J86" s="142" t="n">
        <f aca="false">IFERROR(IF(OR(NOT(ISNUMBER('Price History'!J87)),NOT(ISNUMBER('Price History'!J86)),'Price History'!J86=0),"",'Price History'!J87/'Price History'!J86-1),"")</f>
        <v>0.159551216669095</v>
      </c>
      <c r="K86" s="142" t="n">
        <f aca="false">IFERROR(IF(OR(NOT(ISNUMBER('Price History'!K87)),NOT(ISNUMBER('Price History'!K86)),'Price History'!K86=0),"",'Price History'!K87/'Price History'!K86-1),"")</f>
        <v>0.0938456979156377</v>
      </c>
      <c r="L86" s="142" t="n">
        <f aca="false">IFERROR(IF(OR(NOT(ISNUMBER('Price History'!L87)),NOT(ISNUMBER('Price History'!L86)),'Price History'!L86=0),"",'Price History'!L87/'Price History'!L86-1),"")</f>
        <v>0.00133758617141666</v>
      </c>
      <c r="M86" s="142" t="n">
        <f aca="false">IFERROR(IF(OR(NOT(ISNUMBER('Price History'!M87)),NOT(ISNUMBER('Price History'!M86)),'Price History'!M86=0),"",'Price History'!M87/'Price History'!M86-1),"")</f>
        <v>0.202601834079761</v>
      </c>
      <c r="N86" s="142" t="n">
        <f aca="false">IFERROR(IF(OR(NOT(ISNUMBER('Price History'!N87)),NOT(ISNUMBER('Price History'!N86)),'Price History'!N86=0),"",'Price History'!N87/'Price History'!N86-1),"")</f>
        <v>0.00996264009962644</v>
      </c>
      <c r="O86" s="142" t="n">
        <f aca="false">IFERROR(IF(OR(NOT(ISNUMBER('Price History'!O87)),NOT(ISNUMBER('Price History'!O86)),'Price History'!O86=0),"",'Price History'!O87/'Price History'!O86-1),"")</f>
        <v>0.0652448113748425</v>
      </c>
      <c r="P86" s="142" t="n">
        <f aca="false">IFERROR(IF(OR(NOT(ISNUMBER('Price History'!P87)),NOT(ISNUMBER('Price History'!P86)),'Price History'!P86=0),"",'Price History'!P87/'Price History'!P86-1),"")</f>
        <v>0.0880439884664386</v>
      </c>
      <c r="Q86" s="142" t="n">
        <f aca="false">IFERROR(IF(OR(NOT(ISNUMBER('Price History'!Q87)),NOT(ISNUMBER('Price History'!Q86)),'Price History'!Q86=0),"",'Price History'!Q87/'Price History'!Q86-1),"")</f>
        <v>0.0168773781760156</v>
      </c>
      <c r="R86" s="142" t="n">
        <f aca="false">IFERROR(IF(OR(NOT(ISNUMBER('Price History'!R87)),NOT(ISNUMBER('Price History'!R86)),'Price History'!R86=0),"",'Price History'!R87/'Price History'!R86-1),"")</f>
        <v>0.00361148070708994</v>
      </c>
      <c r="S86" s="142" t="n">
        <f aca="false">IFERROR(IF(OR(NOT(ISNUMBER('Price History'!S87)),NOT(ISNUMBER('Price History'!S86)),'Price History'!S86=0),"",'Price History'!S87/'Price History'!S86-1),"")</f>
        <v>0.00383549968037511</v>
      </c>
      <c r="T86" s="142" t="n">
        <f aca="false">IFERROR(IF(OR(NOT(ISNUMBER('Price History'!T87)),NOT(ISNUMBER('Price History'!T86)),'Price History'!T86=0),"",'Price History'!T87/'Price History'!T86-1),"")</f>
        <v>0.0170137870343208</v>
      </c>
      <c r="U86" s="142" t="str">
        <f aca="false">IFERROR(IF(OR(NOT(ISNUMBER('Price History'!U87)),NOT(ISNUMBER('Price History'!U86)),'Price History'!U86=0),"",'Price History'!U87/'Price History'!U86-1),"")</f>
        <v/>
      </c>
      <c r="V86" s="143" t="n">
        <f aca="false">IFERROR(IF(OR(NOT(ISNUMBER('Price History'!V87)),NOT(ISNUMBER('Price History'!V86)),'Price History'!V86=0),"",'Price History'!V87/'Price History'!V86-1),"")</f>
        <v>0.0116449213510548</v>
      </c>
      <c r="W86" s="144" t="str">
        <f aca="false">IFERROR('Price History'!B3+(INDEX('Price History'!B:B,MATCH(9.99E+307,'Price History'!$A:$A))-'Price History'!B3)*(ROW()-3)/(MATCH(9.99E+307,'Returns (Calc)'!$A:$A)-3),"")</f>
        <v/>
      </c>
      <c r="X86" s="144" t="n">
        <f aca="false">IFERROR('Price History'!C3+(INDEX('Price History'!C:C,MATCH(9.99E+307,'Price History'!$A:$A))-'Price History'!C3)*(ROW()-3)/(MATCH(9.99E+307,'Returns (Calc)'!$A:$A)-3),"")</f>
        <v>21.9208860759494</v>
      </c>
      <c r="Y86" s="144" t="n">
        <f aca="false">IFERROR('Price History'!D3+(INDEX('Price History'!D:D,MATCH(9.99E+307,'Price History'!$A:$A))-'Price History'!D3)*(ROW()-3)/(MATCH(9.99E+307,'Returns (Calc)'!$A:$A)-3),"")</f>
        <v>276.270569620253</v>
      </c>
      <c r="Z86" s="144" t="n">
        <f aca="false">IFERROR('Price History'!E3+(INDEX('Price History'!E:E,MATCH(9.99E+307,'Price History'!$A:$A))-'Price History'!E3)*(ROW()-3)/(MATCH(9.99E+307,'Returns (Calc)'!$A:$A)-3),"")</f>
        <v>38.9240506329114</v>
      </c>
      <c r="AA86" s="144" t="n">
        <f aca="false">IFERROR('Price History'!F3+(INDEX('Price History'!F:F,MATCH(9.99E+307,'Price History'!$A:$A))-'Price History'!F3)*(ROW()-3)/(MATCH(9.99E+307,'Returns (Calc)'!$A:$A)-3),"")</f>
        <v>35.748417721519</v>
      </c>
      <c r="AB86" s="144" t="n">
        <f aca="false">IFERROR('Price History'!G3+(INDEX('Price History'!G:G,MATCH(9.99E+307,'Price History'!$A:$A))-'Price History'!G3)*(ROW()-3)/(MATCH(9.99E+307,'Returns (Calc)'!$A:$A)-3),"")</f>
        <v>19.6329113924051</v>
      </c>
      <c r="AC86" s="144" t="n">
        <f aca="false">IFERROR('Price History'!H3+(INDEX('Price History'!H:H,MATCH(9.99E+307,'Price History'!$A:$A))-'Price History'!H3)*(ROW()-3)/(MATCH(9.99E+307,'Returns (Calc)'!$A:$A)-3),"")</f>
        <v>47.748417721519</v>
      </c>
      <c r="AD86" s="144" t="n">
        <f aca="false">IFERROR('Price History'!I3+(INDEX('Price History'!I:I,MATCH(9.99E+307,'Price History'!$A:$A))-'Price History'!I3)*(ROW()-3)/(MATCH(9.99E+307,'Returns (Calc)'!$A:$A)-3),"")</f>
        <v>21.0522151898734</v>
      </c>
      <c r="AE86" s="144" t="n">
        <f aca="false">IFERROR('Price History'!J3+(INDEX('Price History'!J:J,MATCH(9.99E+307,'Price History'!$A:$A))-'Price History'!J3)*(ROW()-3)/(MATCH(9.99E+307,'Returns (Calc)'!$A:$A)-3),"")</f>
        <v>32.8053797468354</v>
      </c>
      <c r="AF86" s="144" t="n">
        <f aca="false">IFERROR('Price History'!K3+(INDEX('Price History'!K:K,MATCH(9.99E+307,'Price History'!$A:$A))-'Price History'!K3)*(ROW()-3)/(MATCH(9.99E+307,'Returns (Calc)'!$A:$A)-3),"")</f>
        <v>20.7768987341772</v>
      </c>
      <c r="AG86" s="144" t="n">
        <f aca="false">IFERROR('Price History'!L3+(INDEX('Price History'!L:L,MATCH(9.99E+307,'Price History'!$A:$A))-'Price History'!L3)*(ROW()-3)/(MATCH(9.99E+307,'Returns (Calc)'!$A:$A)-3),"")</f>
        <v>53.0886075949367</v>
      </c>
      <c r="AH86" s="144" t="n">
        <f aca="false">IFERROR('Price History'!M3+(INDEX('Price History'!M:M,MATCH(9.99E+307,'Price History'!$A:$A))-'Price History'!M3)*(ROW()-3)/(MATCH(9.99E+307,'Returns (Calc)'!$A:$A)-3),"")</f>
        <v>7.27689873417721</v>
      </c>
      <c r="AI86" s="144" t="n">
        <f aca="false">IFERROR('Price History'!N3+(INDEX('Price History'!N:N,MATCH(9.99E+307,'Price History'!$A:$A))-'Price History'!N3)*(ROW()-3)/(MATCH(9.99E+307,'Returns (Calc)'!$A:$A)-3),"")</f>
        <v>10.3481012658228</v>
      </c>
      <c r="AJ86" s="144" t="n">
        <f aca="false">IFERROR('Price History'!O3+(INDEX('Price History'!O:O,MATCH(9.99E+307,'Price History'!$A:$A))-'Price History'!O3)*(ROW()-3)/(MATCH(9.99E+307,'Returns (Calc)'!$A:$A)-3),"")</f>
        <v>27.3560126582279</v>
      </c>
      <c r="AK86" s="144" t="n">
        <f aca="false">IFERROR('Price History'!Q3+(INDEX('Price History'!Q:Q,MATCH(9.99E+307,'Price History'!$A:$A))-'Price History'!Q3)*(ROW()-3)/(MATCH(9.99E+307,'Returns (Calc)'!$A:$A)-3),"")</f>
        <v>111.849683544304</v>
      </c>
      <c r="AL86" s="144" t="n">
        <f aca="false">IFERROR('Price History'!R3+(INDEX('Price History'!R:R,MATCH(9.99E+307,'Price History'!$A:$A))-'Price History'!R3)*(ROW()-3)/(MATCH(9.99E+307,'Returns (Calc)'!$A:$A)-3),"")</f>
        <v>22.6993670886076</v>
      </c>
      <c r="AM86" s="144" t="n">
        <f aca="false">IFERROR('Price History'!S3+(INDEX('Price History'!S:S,MATCH(9.99E+307,'Price History'!$A:$A))-'Price History'!S3)*(ROW()-3)/(MATCH(9.99E+307,'Returns (Calc)'!$A:$A)-3),"")</f>
        <v>27.7879746835443</v>
      </c>
      <c r="AN86" s="144" t="n">
        <f aca="false">IFERROR('Price History'!T3+(INDEX('Price History'!T:T,MATCH(9.99E+307,'Price History'!$A:$A))-'Price History'!T3)*(ROW()-3)/(MATCH(9.99E+307,'Returns (Calc)'!$A:$A)-3),"")</f>
        <v>12.7737341772152</v>
      </c>
      <c r="AO86" s="145" t="n">
        <f aca="false">IFERROR('Price History'!V3+(INDEX('Price History'!V:V,MATCH(9.99E+307,'Price History'!$A:$A))-'Price History'!V3)*(ROW()-3)/(MATCH(9.99E+307,'Returns (Calc)'!$A:$A)-3),"")</f>
        <v>0</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0.0338815382712996</v>
      </c>
      <c r="G87" s="142" t="n">
        <f aca="false">IFERROR(IF(OR(NOT(ISNUMBER('Price History'!G88)),NOT(ISNUMBER('Price History'!G87)),'Price History'!G87=0),"",'Price History'!G88/'Price History'!G87-1),"")</f>
        <v>0.0369045377518358</v>
      </c>
      <c r="H87" s="142" t="n">
        <f aca="false">IFERROR(IF(OR(NOT(ISNUMBER('Price History'!H88)),NOT(ISNUMBER('Price History'!H87)),'Price History'!H87=0),"",'Price History'!H88/'Price History'!H87-1),"")</f>
        <v>0.016606080634501</v>
      </c>
      <c r="I87" s="142" t="n">
        <f aca="false">IFERROR(IF(OR(NOT(ISNUMBER('Price History'!I88)),NOT(ISNUMBER('Price History'!I87)),'Price History'!I87=0),"",'Price History'!I88/'Price History'!I87-1),"")</f>
        <v>0.00508942852988237</v>
      </c>
      <c r="J87" s="142" t="n">
        <f aca="false">IFERROR(IF(OR(NOT(ISNUMBER('Price History'!J88)),NOT(ISNUMBER('Price History'!J87)),'Price History'!J87=0),"",'Price History'!J88/'Price History'!J87-1),"")</f>
        <v>0.0116863533551144</v>
      </c>
      <c r="K87" s="142" t="n">
        <f aca="false">IFERROR(IF(OR(NOT(ISNUMBER('Price History'!K88)),NOT(ISNUMBER('Price History'!K87)),'Price History'!K87=0),"",'Price History'!K88/'Price History'!K87-1),"")</f>
        <v>0.0314277973448929</v>
      </c>
      <c r="L87" s="142" t="n">
        <f aca="false">IFERROR(IF(OR(NOT(ISNUMBER('Price History'!L88)),NOT(ISNUMBER('Price History'!L87)),'Price History'!L87=0),"",'Price History'!L88/'Price History'!L87-1),"")</f>
        <v>0.0310316481709825</v>
      </c>
      <c r="M87" s="142" t="n">
        <f aca="false">IFERROR(IF(OR(NOT(ISNUMBER('Price History'!M88)),NOT(ISNUMBER('Price History'!M87)),'Price History'!M87=0),"",'Price History'!M88/'Price History'!M87-1),"")</f>
        <v>0.101968434119525</v>
      </c>
      <c r="N87" s="142" t="n">
        <f aca="false">IFERROR(IF(OR(NOT(ISNUMBER('Price History'!N88)),NOT(ISNUMBER('Price History'!N87)),'Price History'!N87=0),"",'Price History'!N88/'Price History'!N87-1),"")</f>
        <v>0.0152075626798192</v>
      </c>
      <c r="O87" s="142" t="n">
        <f aca="false">IFERROR(IF(OR(NOT(ISNUMBER('Price History'!O88)),NOT(ISNUMBER('Price History'!O87)),'Price History'!O87=0),"",'Price History'!O88/'Price History'!O87-1),"")</f>
        <v>0.0402583423035521</v>
      </c>
      <c r="P87" s="142" t="n">
        <f aca="false">IFERROR(IF(OR(NOT(ISNUMBER('Price History'!P88)),NOT(ISNUMBER('Price History'!P87)),'Price History'!P87=0),"",'Price History'!P88/'Price History'!P87-1),"")</f>
        <v>0.0859115000616295</v>
      </c>
      <c r="Q87" s="142" t="n">
        <f aca="false">IFERROR(IF(OR(NOT(ISNUMBER('Price History'!Q88)),NOT(ISNUMBER('Price History'!Q87)),'Price History'!Q87=0),"",'Price History'!Q88/'Price History'!Q87-1),"")</f>
        <v>0.0370873317641378</v>
      </c>
      <c r="R87" s="142" t="n">
        <f aca="false">IFERROR(IF(OR(NOT(ISNUMBER('Price History'!R88)),NOT(ISNUMBER('Price History'!R87)),'Price History'!R87=0),"",'Price History'!R88/'Price History'!R87-1),"")</f>
        <v>-0.0187499999999999</v>
      </c>
      <c r="S87" s="142" t="n">
        <f aca="false">IFERROR(IF(OR(NOT(ISNUMBER('Price History'!S88)),NOT(ISNUMBER('Price History'!S87)),'Price History'!S87=0),"",'Price History'!S88/'Price History'!S87-1),"")</f>
        <v>-0.0215453194650818</v>
      </c>
      <c r="T87" s="142" t="n">
        <f aca="false">IFERROR(IF(OR(NOT(ISNUMBER('Price History'!T88)),NOT(ISNUMBER('Price History'!T87)),'Price History'!T87=0),"",'Price History'!T88/'Price History'!T87-1),"")</f>
        <v>-0.0164407268531872</v>
      </c>
      <c r="U87" s="142" t="str">
        <f aca="false">IFERROR(IF(OR(NOT(ISNUMBER('Price History'!U88)),NOT(ISNUMBER('Price History'!U87)),'Price History'!U87=0),"",'Price History'!U88/'Price History'!U87-1),"")</f>
        <v/>
      </c>
      <c r="V87" s="143" t="n">
        <f aca="false">IFERROR(IF(OR(NOT(ISNUMBER('Price History'!V88)),NOT(ISNUMBER('Price History'!V87)),'Price History'!V87=0),"",'Price History'!V88/'Price History'!V87-1),"")</f>
        <v>0.0214246971614536</v>
      </c>
      <c r="W87" s="144" t="str">
        <f aca="false">IFERROR('Price History'!B3+(INDEX('Price History'!B:B,MATCH(9.99E+307,'Price History'!$A:$A))-'Price History'!B3)*(ROW()-3)/(MATCH(9.99E+307,'Returns (Calc)'!$A:$A)-3),"")</f>
        <v/>
      </c>
      <c r="X87" s="144" t="n">
        <f aca="false">IFERROR('Price History'!C3+(INDEX('Price History'!C:C,MATCH(9.99E+307,'Price History'!$A:$A))-'Price History'!C3)*(ROW()-3)/(MATCH(9.99E+307,'Returns (Calc)'!$A:$A)-3),"")</f>
        <v>21.6286075949367</v>
      </c>
      <c r="Y87" s="144" t="n">
        <f aca="false">IFERROR('Price History'!D3+(INDEX('Price History'!D:D,MATCH(9.99E+307,'Price History'!$A:$A))-'Price History'!D3)*(ROW()-3)/(MATCH(9.99E+307,'Returns (Calc)'!$A:$A)-3),"")</f>
        <v>272.586962025317</v>
      </c>
      <c r="Z87" s="144" t="n">
        <f aca="false">IFERROR('Price History'!E3+(INDEX('Price History'!E:E,MATCH(9.99E+307,'Price History'!$A:$A))-'Price History'!E3)*(ROW()-3)/(MATCH(9.99E+307,'Returns (Calc)'!$A:$A)-3),"")</f>
        <v>38.4050632911392</v>
      </c>
      <c r="AA87" s="144" t="n">
        <f aca="false">IFERROR('Price History'!F3+(INDEX('Price History'!F:F,MATCH(9.99E+307,'Price History'!$A:$A))-'Price History'!F3)*(ROW()-3)/(MATCH(9.99E+307,'Returns (Calc)'!$A:$A)-3),"")</f>
        <v>35.2717721518987</v>
      </c>
      <c r="AB87" s="144" t="n">
        <f aca="false">IFERROR('Price History'!G3+(INDEX('Price History'!G:G,MATCH(9.99E+307,'Price History'!$A:$A))-'Price History'!G3)*(ROW()-3)/(MATCH(9.99E+307,'Returns (Calc)'!$A:$A)-3),"")</f>
        <v>19.3711392405063</v>
      </c>
      <c r="AC87" s="144" t="n">
        <f aca="false">IFERROR('Price History'!H3+(INDEX('Price History'!H:H,MATCH(9.99E+307,'Price History'!$A:$A))-'Price History'!H3)*(ROW()-3)/(MATCH(9.99E+307,'Returns (Calc)'!$A:$A)-3),"")</f>
        <v>47.1117721518987</v>
      </c>
      <c r="AD87" s="144" t="n">
        <f aca="false">IFERROR('Price History'!I3+(INDEX('Price History'!I:I,MATCH(9.99E+307,'Price History'!$A:$A))-'Price History'!I3)*(ROW()-3)/(MATCH(9.99E+307,'Returns (Calc)'!$A:$A)-3),"")</f>
        <v>20.7715189873418</v>
      </c>
      <c r="AE87" s="144" t="n">
        <f aca="false">IFERROR('Price History'!J3+(INDEX('Price History'!J:J,MATCH(9.99E+307,'Price History'!$A:$A))-'Price History'!J3)*(ROW()-3)/(MATCH(9.99E+307,'Returns (Calc)'!$A:$A)-3),"")</f>
        <v>32.3679746835443</v>
      </c>
      <c r="AF87" s="144" t="n">
        <f aca="false">IFERROR('Price History'!K3+(INDEX('Price History'!K:K,MATCH(9.99E+307,'Price History'!$A:$A))-'Price History'!K3)*(ROW()-3)/(MATCH(9.99E+307,'Returns (Calc)'!$A:$A)-3),"")</f>
        <v>20.4998734177215</v>
      </c>
      <c r="AG87" s="144" t="n">
        <f aca="false">IFERROR('Price History'!L3+(INDEX('Price History'!L:L,MATCH(9.99E+307,'Price History'!$A:$A))-'Price History'!L3)*(ROW()-3)/(MATCH(9.99E+307,'Returns (Calc)'!$A:$A)-3),"")</f>
        <v>52.3807594936709</v>
      </c>
      <c r="AH87" s="144" t="n">
        <f aca="false">IFERROR('Price History'!M3+(INDEX('Price History'!M:M,MATCH(9.99E+307,'Price History'!$A:$A))-'Price History'!M3)*(ROW()-3)/(MATCH(9.99E+307,'Returns (Calc)'!$A:$A)-3),"")</f>
        <v>7.17987341772152</v>
      </c>
      <c r="AI87" s="144" t="n">
        <f aca="false">IFERROR('Price History'!N3+(INDEX('Price History'!N:N,MATCH(9.99E+307,'Price History'!$A:$A))-'Price History'!N3)*(ROW()-3)/(MATCH(9.99E+307,'Returns (Calc)'!$A:$A)-3),"")</f>
        <v>10.2101265822785</v>
      </c>
      <c r="AJ87" s="144" t="n">
        <f aca="false">IFERROR('Price History'!O3+(INDEX('Price History'!O:O,MATCH(9.99E+307,'Price History'!$A:$A))-'Price History'!O3)*(ROW()-3)/(MATCH(9.99E+307,'Returns (Calc)'!$A:$A)-3),"")</f>
        <v>26.9912658227848</v>
      </c>
      <c r="AK87" s="144" t="n">
        <f aca="false">IFERROR('Price History'!Q3+(INDEX('Price History'!Q:Q,MATCH(9.99E+307,'Price History'!$A:$A))-'Price History'!Q3)*(ROW()-3)/(MATCH(9.99E+307,'Returns (Calc)'!$A:$A)-3),"")</f>
        <v>110.35835443038</v>
      </c>
      <c r="AL87" s="144" t="n">
        <f aca="false">IFERROR('Price History'!R3+(INDEX('Price History'!R:R,MATCH(9.99E+307,'Price History'!$A:$A))-'Price History'!R3)*(ROW()-3)/(MATCH(9.99E+307,'Returns (Calc)'!$A:$A)-3),"")</f>
        <v>22.3967088607595</v>
      </c>
      <c r="AM87" s="144" t="n">
        <f aca="false">IFERROR('Price History'!S3+(INDEX('Price History'!S:S,MATCH(9.99E+307,'Price History'!$A:$A))-'Price History'!S3)*(ROW()-3)/(MATCH(9.99E+307,'Returns (Calc)'!$A:$A)-3),"")</f>
        <v>27.4174683544304</v>
      </c>
      <c r="AN87" s="144" t="n">
        <f aca="false">IFERROR('Price History'!T3+(INDEX('Price History'!T:T,MATCH(9.99E+307,'Price History'!$A:$A))-'Price History'!T3)*(ROW()-3)/(MATCH(9.99E+307,'Returns (Calc)'!$A:$A)-3),"")</f>
        <v>12.603417721519</v>
      </c>
      <c r="AO87" s="145" t="n">
        <f aca="false">IFERROR('Price History'!V3+(INDEX('Price History'!V:V,MATCH(9.99E+307,'Price History'!$A:$A))-'Price History'!V3)*(ROW()-3)/(MATCH(9.99E+307,'Returns (Calc)'!$A:$A)-3),"")</f>
        <v>0</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0.011601483076187</v>
      </c>
      <c r="G88" s="142" t="n">
        <f aca="false">IFERROR(IF(OR(NOT(ISNUMBER('Price History'!G89)),NOT(ISNUMBER('Price History'!G88)),'Price History'!G88=0),"",'Price History'!G89/'Price History'!G88-1),"")</f>
        <v>-0.0680951516252043</v>
      </c>
      <c r="H88" s="142" t="n">
        <f aca="false">IFERROR(IF(OR(NOT(ISNUMBER('Price History'!H89)),NOT(ISNUMBER('Price History'!H88)),'Price History'!H88=0),"",'Price History'!H89/'Price History'!H88-1),"")</f>
        <v>-0.00121901665989432</v>
      </c>
      <c r="I88" s="142" t="n">
        <f aca="false">IFERROR(IF(OR(NOT(ISNUMBER('Price History'!I89)),NOT(ISNUMBER('Price History'!I88)),'Price History'!I88=0),"",'Price History'!I89/'Price History'!I88-1),"")</f>
        <v>0.00448495370370372</v>
      </c>
      <c r="J88" s="142" t="n">
        <f aca="false">IFERROR(IF(OR(NOT(ISNUMBER('Price History'!J89)),NOT(ISNUMBER('Price History'!J88)),'Price History'!J88=0),"",'Price History'!J89/'Price History'!J88-1),"")</f>
        <v>0.0637187926965595</v>
      </c>
      <c r="K88" s="142" t="n">
        <f aca="false">IFERROR(IF(OR(NOT(ISNUMBER('Price History'!K89)),NOT(ISNUMBER('Price History'!K88)),'Price History'!K88=0),"",'Price History'!K89/'Price History'!K88-1),"")</f>
        <v>0.0188249715436477</v>
      </c>
      <c r="L88" s="142" t="n">
        <f aca="false">IFERROR(IF(OR(NOT(ISNUMBER('Price History'!L89)),NOT(ISNUMBER('Price History'!L88)),'Price History'!L88=0),"",'Price History'!L89/'Price History'!L88-1),"")</f>
        <v>0.0142515447478573</v>
      </c>
      <c r="M88" s="142" t="n">
        <f aca="false">IFERROR(IF(OR(NOT(ISNUMBER('Price History'!M89)),NOT(ISNUMBER('Price History'!M88)),'Price History'!M88=0),"",'Price History'!M89/'Price History'!M88-1),"")</f>
        <v>-0.0561635017701964</v>
      </c>
      <c r="N88" s="142" t="n">
        <f aca="false">IFERROR(IF(OR(NOT(ISNUMBER('Price History'!N89)),NOT(ISNUMBER('Price History'!N88)),'Price History'!N88=0),"",'Price History'!N89/'Price History'!N88-1),"")</f>
        <v>-0.0129554655870445</v>
      </c>
      <c r="O88" s="142" t="n">
        <f aca="false">IFERROR(IF(OR(NOT(ISNUMBER('Price History'!O89)),NOT(ISNUMBER('Price History'!O88)),'Price History'!O88=0),"",'Price History'!O89/'Price History'!O88-1),"")</f>
        <v>0.00693294701986758</v>
      </c>
      <c r="P88" s="142" t="n">
        <f aca="false">IFERROR(IF(OR(NOT(ISNUMBER('Price History'!P89)),NOT(ISNUMBER('Price History'!P88)),'Price History'!P88=0),"",'Price History'!P89/'Price History'!P88-1),"")</f>
        <v>-0.0153802497162314</v>
      </c>
      <c r="Q88" s="142" t="n">
        <f aca="false">IFERROR(IF(OR(NOT(ISNUMBER('Price History'!Q89)),NOT(ISNUMBER('Price History'!Q88)),'Price History'!Q88=0),"",'Price History'!Q89/'Price History'!Q88-1),"")</f>
        <v>0.0141996682864376</v>
      </c>
      <c r="R88" s="142" t="n">
        <f aca="false">IFERROR(IF(OR(NOT(ISNUMBER('Price History'!R89)),NOT(ISNUMBER('Price History'!R88)),'Price History'!R88=0),"",'Price History'!R89/'Price History'!R88-1),"")</f>
        <v>-0.100559737502413</v>
      </c>
      <c r="S88" s="142" t="n">
        <f aca="false">IFERROR(IF(OR(NOT(ISNUMBER('Price History'!S89)),NOT(ISNUMBER('Price History'!S88)),'Price History'!S88=0),"",'Price History'!S89/'Price History'!S88-1),"")</f>
        <v>-0.107061503416857</v>
      </c>
      <c r="T88" s="142" t="n">
        <f aca="false">IFERROR(IF(OR(NOT(ISNUMBER('Price History'!T89)),NOT(ISNUMBER('Price History'!T88)),'Price History'!T88=0),"",'Price History'!T89/'Price History'!T88-1),"")</f>
        <v>-0.092375366568915</v>
      </c>
      <c r="U88" s="142" t="str">
        <f aca="false">IFERROR(IF(OR(NOT(ISNUMBER('Price History'!U89)),NOT(ISNUMBER('Price History'!U88)),'Price History'!U88=0),"",'Price History'!U89/'Price History'!U88-1),"")</f>
        <v/>
      </c>
      <c r="V88" s="143" t="n">
        <f aca="false">IFERROR(IF(OR(NOT(ISNUMBER('Price History'!V89)),NOT(ISNUMBER('Price History'!V88)),'Price History'!V88=0),"",'Price History'!V89/'Price History'!V88-1),"")</f>
        <v>-0.0866743369619731</v>
      </c>
      <c r="W88" s="144" t="str">
        <f aca="false">IFERROR('Price History'!B3+(INDEX('Price History'!B:B,MATCH(9.99E+307,'Price History'!$A:$A))-'Price History'!B3)*(ROW()-3)/(MATCH(9.99E+307,'Returns (Calc)'!$A:$A)-3),"")</f>
        <v/>
      </c>
      <c r="X88" s="144" t="n">
        <f aca="false">IFERROR('Price History'!C3+(INDEX('Price History'!C:C,MATCH(9.99E+307,'Price History'!$A:$A))-'Price History'!C3)*(ROW()-3)/(MATCH(9.99E+307,'Returns (Calc)'!$A:$A)-3),"")</f>
        <v>21.336329113924</v>
      </c>
      <c r="Y88" s="144" t="n">
        <f aca="false">IFERROR('Price History'!D3+(INDEX('Price History'!D:D,MATCH(9.99E+307,'Price History'!$A:$A))-'Price History'!D3)*(ROW()-3)/(MATCH(9.99E+307,'Returns (Calc)'!$A:$A)-3),"")</f>
        <v>268.90335443038</v>
      </c>
      <c r="Z88" s="144" t="n">
        <f aca="false">IFERROR('Price History'!E3+(INDEX('Price History'!E:E,MATCH(9.99E+307,'Price History'!$A:$A))-'Price History'!E3)*(ROW()-3)/(MATCH(9.99E+307,'Returns (Calc)'!$A:$A)-3),"")</f>
        <v>37.8860759493671</v>
      </c>
      <c r="AA88" s="144" t="n">
        <f aca="false">IFERROR('Price History'!F3+(INDEX('Price History'!F:F,MATCH(9.99E+307,'Price History'!$A:$A))-'Price History'!F3)*(ROW()-3)/(MATCH(9.99E+307,'Returns (Calc)'!$A:$A)-3),"")</f>
        <v>34.7951265822785</v>
      </c>
      <c r="AB88" s="144" t="n">
        <f aca="false">IFERROR('Price History'!G3+(INDEX('Price History'!G:G,MATCH(9.99E+307,'Price History'!$A:$A))-'Price History'!G3)*(ROW()-3)/(MATCH(9.99E+307,'Returns (Calc)'!$A:$A)-3),"")</f>
        <v>19.1093670886076</v>
      </c>
      <c r="AC88" s="144" t="n">
        <f aca="false">IFERROR('Price History'!H3+(INDEX('Price History'!H:H,MATCH(9.99E+307,'Price History'!$A:$A))-'Price History'!H3)*(ROW()-3)/(MATCH(9.99E+307,'Returns (Calc)'!$A:$A)-3),"")</f>
        <v>46.4751265822785</v>
      </c>
      <c r="AD88" s="144" t="n">
        <f aca="false">IFERROR('Price History'!I3+(INDEX('Price History'!I:I,MATCH(9.99E+307,'Price History'!$A:$A))-'Price History'!I3)*(ROW()-3)/(MATCH(9.99E+307,'Returns (Calc)'!$A:$A)-3),"")</f>
        <v>20.4908227848101</v>
      </c>
      <c r="AE88" s="144" t="n">
        <f aca="false">IFERROR('Price History'!J3+(INDEX('Price History'!J:J,MATCH(9.99E+307,'Price History'!$A:$A))-'Price History'!J3)*(ROW()-3)/(MATCH(9.99E+307,'Returns (Calc)'!$A:$A)-3),"")</f>
        <v>31.9305696202532</v>
      </c>
      <c r="AF88" s="144" t="n">
        <f aca="false">IFERROR('Price History'!K3+(INDEX('Price History'!K:K,MATCH(9.99E+307,'Price History'!$A:$A))-'Price History'!K3)*(ROW()-3)/(MATCH(9.99E+307,'Returns (Calc)'!$A:$A)-3),"")</f>
        <v>20.2228481012658</v>
      </c>
      <c r="AG88" s="144" t="n">
        <f aca="false">IFERROR('Price History'!L3+(INDEX('Price History'!L:L,MATCH(9.99E+307,'Price History'!$A:$A))-'Price History'!L3)*(ROW()-3)/(MATCH(9.99E+307,'Returns (Calc)'!$A:$A)-3),"")</f>
        <v>51.6729113924051</v>
      </c>
      <c r="AH88" s="144" t="n">
        <f aca="false">IFERROR('Price History'!M3+(INDEX('Price History'!M:M,MATCH(9.99E+307,'Price History'!$A:$A))-'Price History'!M3)*(ROW()-3)/(MATCH(9.99E+307,'Returns (Calc)'!$A:$A)-3),"")</f>
        <v>7.08284810126582</v>
      </c>
      <c r="AI88" s="144" t="n">
        <f aca="false">IFERROR('Price History'!N3+(INDEX('Price History'!N:N,MATCH(9.99E+307,'Price History'!$A:$A))-'Price History'!N3)*(ROW()-3)/(MATCH(9.99E+307,'Returns (Calc)'!$A:$A)-3),"")</f>
        <v>10.0721518987342</v>
      </c>
      <c r="AJ88" s="144" t="n">
        <f aca="false">IFERROR('Price History'!O3+(INDEX('Price History'!O:O,MATCH(9.99E+307,'Price History'!$A:$A))-'Price History'!O3)*(ROW()-3)/(MATCH(9.99E+307,'Returns (Calc)'!$A:$A)-3),"")</f>
        <v>26.6265189873418</v>
      </c>
      <c r="AK88" s="144" t="n">
        <f aca="false">IFERROR('Price History'!Q3+(INDEX('Price History'!Q:Q,MATCH(9.99E+307,'Price History'!$A:$A))-'Price History'!Q3)*(ROW()-3)/(MATCH(9.99E+307,'Returns (Calc)'!$A:$A)-3),"")</f>
        <v>108.867025316456</v>
      </c>
      <c r="AL88" s="144" t="n">
        <f aca="false">IFERROR('Price History'!R3+(INDEX('Price History'!R:R,MATCH(9.99E+307,'Price History'!$A:$A))-'Price History'!R3)*(ROW()-3)/(MATCH(9.99E+307,'Returns (Calc)'!$A:$A)-3),"")</f>
        <v>22.0940506329114</v>
      </c>
      <c r="AM88" s="144" t="n">
        <f aca="false">IFERROR('Price History'!S3+(INDEX('Price History'!S:S,MATCH(9.99E+307,'Price History'!$A:$A))-'Price History'!S3)*(ROW()-3)/(MATCH(9.99E+307,'Returns (Calc)'!$A:$A)-3),"")</f>
        <v>27.0469620253165</v>
      </c>
      <c r="AN88" s="144" t="n">
        <f aca="false">IFERROR('Price History'!T3+(INDEX('Price History'!T:T,MATCH(9.99E+307,'Price History'!$A:$A))-'Price History'!T3)*(ROW()-3)/(MATCH(9.99E+307,'Returns (Calc)'!$A:$A)-3),"")</f>
        <v>12.4331012658228</v>
      </c>
      <c r="AO88" s="145" t="n">
        <f aca="false">IFERROR('Price History'!V3+(INDEX('Price History'!V:V,MATCH(9.99E+307,'Price History'!$A:$A))-'Price History'!V3)*(ROW()-3)/(MATCH(9.99E+307,'Returns (Calc)'!$A:$A)-3),"")</f>
        <v>0</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0.0489477417829274</v>
      </c>
      <c r="G89" s="142" t="n">
        <f aca="false">IFERROR(IF(OR(NOT(ISNUMBER('Price History'!G90)),NOT(ISNUMBER('Price History'!G89)),'Price History'!G89=0),"",'Price History'!G90/'Price History'!G89-1),"")</f>
        <v>0.0699532346063911</v>
      </c>
      <c r="H89" s="142" t="n">
        <f aca="false">IFERROR(IF(OR(NOT(ISNUMBER('Price History'!H90)),NOT(ISNUMBER('Price History'!H89)),'Price History'!H89=0),"",'Price History'!H90/'Price History'!H89-1),"")</f>
        <v>0.0320585842148087</v>
      </c>
      <c r="I89" s="142" t="n">
        <f aca="false">IFERROR(IF(OR(NOT(ISNUMBER('Price History'!I90)),NOT(ISNUMBER('Price History'!I89)),'Price History'!I89=0),"",'Price History'!I90/'Price History'!I89-1),"")</f>
        <v>0.128186662825868</v>
      </c>
      <c r="J89" s="142" t="n">
        <f aca="false">IFERROR(IF(OR(NOT(ISNUMBER('Price History'!J90)),NOT(ISNUMBER('Price History'!J89)),'Price History'!J89=0),"",'Price History'!J90/'Price History'!J89-1),"")</f>
        <v>0.14140588510042</v>
      </c>
      <c r="K89" s="142" t="n">
        <f aca="false">IFERROR(IF(OR(NOT(ISNUMBER('Price History'!K90)),NOT(ISNUMBER('Price History'!K89)),'Price History'!K89=0),"",'Price History'!K90/'Price History'!K89-1),"")</f>
        <v>0.160708147129598</v>
      </c>
      <c r="L89" s="142" t="n">
        <f aca="false">IFERROR(IF(OR(NOT(ISNUMBER('Price History'!L90)),NOT(ISNUMBER('Price History'!L89)),'Price History'!L89=0),"",'Price History'!L90/'Price History'!L89-1),"")</f>
        <v>0.033998231305886</v>
      </c>
      <c r="M89" s="142" t="n">
        <f aca="false">IFERROR(IF(OR(NOT(ISNUMBER('Price History'!M90)),NOT(ISNUMBER('Price History'!M89)),'Price History'!M89=0),"",'Price History'!M90/'Price History'!M89-1),"")</f>
        <v>0.104177323103154</v>
      </c>
      <c r="N89" s="142" t="n">
        <f aca="false">IFERROR(IF(OR(NOT(ISNUMBER('Price History'!N90)),NOT(ISNUMBER('Price History'!N89)),'Price History'!N89=0),"",'Price History'!N90/'Price History'!N89-1),"")</f>
        <v>0.0340442986054144</v>
      </c>
      <c r="O89" s="142" t="n">
        <f aca="false">IFERROR(IF(OR(NOT(ISNUMBER('Price History'!O90)),NOT(ISNUMBER('Price History'!O89)),'Price History'!O89=0),"",'Price History'!O90/'Price History'!O89-1),"")</f>
        <v>0.0682355359161444</v>
      </c>
      <c r="P89" s="142" t="n">
        <f aca="false">IFERROR(IF(OR(NOT(ISNUMBER('Price History'!P90)),NOT(ISNUMBER('Price History'!P89)),'Price History'!P89=0),"",'Price History'!P90/'Price History'!P89-1),"")</f>
        <v>0.100236324860222</v>
      </c>
      <c r="Q89" s="142" t="n">
        <f aca="false">IFERROR(IF(OR(NOT(ISNUMBER('Price History'!Q90)),NOT(ISNUMBER('Price History'!Q89)),'Price History'!Q89=0),"",'Price History'!Q90/'Price History'!Q89-1),"")</f>
        <v>0.0374121359919666</v>
      </c>
      <c r="R89" s="142" t="n">
        <f aca="false">IFERROR(IF(OR(NOT(ISNUMBER('Price History'!R90)),NOT(ISNUMBER('Price History'!R89)),'Price History'!R89=0),"",'Price History'!R90/'Price History'!R89-1),"")</f>
        <v>0.0630901287553647</v>
      </c>
      <c r="S89" s="142" t="n">
        <f aca="false">IFERROR(IF(OR(NOT(ISNUMBER('Price History'!S90)),NOT(ISNUMBER('Price History'!S89)),'Price History'!S89=0),"",'Price History'!S90/'Price History'!S89-1),"")</f>
        <v>0.0911078717201166</v>
      </c>
      <c r="T89" s="142" t="n">
        <f aca="false">IFERROR(IF(OR(NOT(ISNUMBER('Price History'!T90)),NOT(ISNUMBER('Price History'!T89)),'Price History'!T89=0),"",'Price History'!T90/'Price History'!T89-1),"")</f>
        <v>0.0197092084006463</v>
      </c>
      <c r="U89" s="142" t="str">
        <f aca="false">IFERROR(IF(OR(NOT(ISNUMBER('Price History'!U90)),NOT(ISNUMBER('Price History'!U89)),'Price History'!U89=0),"",'Price History'!U90/'Price History'!U89-1),"")</f>
        <v/>
      </c>
      <c r="V89" s="143" t="n">
        <f aca="false">IFERROR(IF(OR(NOT(ISNUMBER('Price History'!V90)),NOT(ISNUMBER('Price History'!V89)),'Price History'!V89=0),"",'Price History'!V90/'Price History'!V89-1),"")</f>
        <v>0.0647307729577829</v>
      </c>
      <c r="W89" s="144" t="str">
        <f aca="false">IFERROR('Price History'!B3+(INDEX('Price History'!B:B,MATCH(9.99E+307,'Price History'!$A:$A))-'Price History'!B3)*(ROW()-3)/(MATCH(9.99E+307,'Returns (Calc)'!$A:$A)-3),"")</f>
        <v/>
      </c>
      <c r="X89" s="144" t="n">
        <f aca="false">IFERROR('Price History'!C3+(INDEX('Price History'!C:C,MATCH(9.99E+307,'Price History'!$A:$A))-'Price History'!C3)*(ROW()-3)/(MATCH(9.99E+307,'Returns (Calc)'!$A:$A)-3),"")</f>
        <v>21.0440506329114</v>
      </c>
      <c r="Y89" s="144" t="n">
        <f aca="false">IFERROR('Price History'!D3+(INDEX('Price History'!D:D,MATCH(9.99E+307,'Price History'!$A:$A))-'Price History'!D3)*(ROW()-3)/(MATCH(9.99E+307,'Returns (Calc)'!$A:$A)-3),"")</f>
        <v>265.219746835443</v>
      </c>
      <c r="Z89" s="144" t="n">
        <f aca="false">IFERROR('Price History'!E3+(INDEX('Price History'!E:E,MATCH(9.99E+307,'Price History'!$A:$A))-'Price History'!E3)*(ROW()-3)/(MATCH(9.99E+307,'Returns (Calc)'!$A:$A)-3),"")</f>
        <v>37.3670886075949</v>
      </c>
      <c r="AA89" s="144" t="n">
        <f aca="false">IFERROR('Price History'!F3+(INDEX('Price History'!F:F,MATCH(9.99E+307,'Price History'!$A:$A))-'Price History'!F3)*(ROW()-3)/(MATCH(9.99E+307,'Returns (Calc)'!$A:$A)-3),"")</f>
        <v>34.3184810126582</v>
      </c>
      <c r="AB89" s="144" t="n">
        <f aca="false">IFERROR('Price History'!G3+(INDEX('Price History'!G:G,MATCH(9.99E+307,'Price History'!$A:$A))-'Price History'!G3)*(ROW()-3)/(MATCH(9.99E+307,'Returns (Calc)'!$A:$A)-3),"")</f>
        <v>18.8475949367089</v>
      </c>
      <c r="AC89" s="144" t="n">
        <f aca="false">IFERROR('Price History'!H3+(INDEX('Price History'!H:H,MATCH(9.99E+307,'Price History'!$A:$A))-'Price History'!H3)*(ROW()-3)/(MATCH(9.99E+307,'Returns (Calc)'!$A:$A)-3),"")</f>
        <v>45.8384810126582</v>
      </c>
      <c r="AD89" s="144" t="n">
        <f aca="false">IFERROR('Price History'!I3+(INDEX('Price History'!I:I,MATCH(9.99E+307,'Price History'!$A:$A))-'Price History'!I3)*(ROW()-3)/(MATCH(9.99E+307,'Returns (Calc)'!$A:$A)-3),"")</f>
        <v>20.2101265822785</v>
      </c>
      <c r="AE89" s="144" t="n">
        <f aca="false">IFERROR('Price History'!J3+(INDEX('Price History'!J:J,MATCH(9.99E+307,'Price History'!$A:$A))-'Price History'!J3)*(ROW()-3)/(MATCH(9.99E+307,'Returns (Calc)'!$A:$A)-3),"")</f>
        <v>31.493164556962</v>
      </c>
      <c r="AF89" s="144" t="n">
        <f aca="false">IFERROR('Price History'!K3+(INDEX('Price History'!K:K,MATCH(9.99E+307,'Price History'!$A:$A))-'Price History'!K3)*(ROW()-3)/(MATCH(9.99E+307,'Returns (Calc)'!$A:$A)-3),"")</f>
        <v>19.9458227848101</v>
      </c>
      <c r="AG89" s="144" t="n">
        <f aca="false">IFERROR('Price History'!L3+(INDEX('Price History'!L:L,MATCH(9.99E+307,'Price History'!$A:$A))-'Price History'!L3)*(ROW()-3)/(MATCH(9.99E+307,'Returns (Calc)'!$A:$A)-3),"")</f>
        <v>50.9650632911392</v>
      </c>
      <c r="AH89" s="144" t="n">
        <f aca="false">IFERROR('Price History'!M3+(INDEX('Price History'!M:M,MATCH(9.99E+307,'Price History'!$A:$A))-'Price History'!M3)*(ROW()-3)/(MATCH(9.99E+307,'Returns (Calc)'!$A:$A)-3),"")</f>
        <v>6.98582278481013</v>
      </c>
      <c r="AI89" s="144" t="n">
        <f aca="false">IFERROR('Price History'!N3+(INDEX('Price History'!N:N,MATCH(9.99E+307,'Price History'!$A:$A))-'Price History'!N3)*(ROW()-3)/(MATCH(9.99E+307,'Returns (Calc)'!$A:$A)-3),"")</f>
        <v>9.93417721518988</v>
      </c>
      <c r="AJ89" s="144" t="n">
        <f aca="false">IFERROR('Price History'!O3+(INDEX('Price History'!O:O,MATCH(9.99E+307,'Price History'!$A:$A))-'Price History'!O3)*(ROW()-3)/(MATCH(9.99E+307,'Returns (Calc)'!$A:$A)-3),"")</f>
        <v>26.2617721518987</v>
      </c>
      <c r="AK89" s="144" t="n">
        <f aca="false">IFERROR('Price History'!Q3+(INDEX('Price History'!Q:Q,MATCH(9.99E+307,'Price History'!$A:$A))-'Price History'!Q3)*(ROW()-3)/(MATCH(9.99E+307,'Returns (Calc)'!$A:$A)-3),"")</f>
        <v>107.375696202532</v>
      </c>
      <c r="AL89" s="144" t="n">
        <f aca="false">IFERROR('Price History'!R3+(INDEX('Price History'!R:R,MATCH(9.99E+307,'Price History'!$A:$A))-'Price History'!R3)*(ROW()-3)/(MATCH(9.99E+307,'Returns (Calc)'!$A:$A)-3),"")</f>
        <v>21.7913924050633</v>
      </c>
      <c r="AM89" s="144" t="n">
        <f aca="false">IFERROR('Price History'!S3+(INDEX('Price History'!S:S,MATCH(9.99E+307,'Price History'!$A:$A))-'Price History'!S3)*(ROW()-3)/(MATCH(9.99E+307,'Returns (Calc)'!$A:$A)-3),"")</f>
        <v>26.6764556962025</v>
      </c>
      <c r="AN89" s="144" t="n">
        <f aca="false">IFERROR('Price History'!T3+(INDEX('Price History'!T:T,MATCH(9.99E+307,'Price History'!$A:$A))-'Price History'!T3)*(ROW()-3)/(MATCH(9.99E+307,'Returns (Calc)'!$A:$A)-3),"")</f>
        <v>12.2627848101266</v>
      </c>
      <c r="AO89" s="145" t="n">
        <f aca="false">IFERROR('Price History'!V3+(INDEX('Price History'!V:V,MATCH(9.99E+307,'Price History'!$A:$A))-'Price History'!V3)*(ROW()-3)/(MATCH(9.99E+307,'Returns (Calc)'!$A:$A)-3),"")</f>
        <v>0</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-0.0400135256988278</v>
      </c>
      <c r="G90" s="142" t="n">
        <f aca="false">IFERROR(IF(OR(NOT(ISNUMBER('Price History'!G91)),NOT(ISNUMBER('Price History'!G90)),'Price History'!G90=0),"",'Price History'!G91/'Price History'!G90-1),"")</f>
        <v>0.0371517027863779</v>
      </c>
      <c r="H90" s="142" t="n">
        <f aca="false">IFERROR(IF(OR(NOT(ISNUMBER('Price History'!H91)),NOT(ISNUMBER('Price History'!H90)),'Price History'!H90=0),"",'Price History'!H91/'Price History'!H90-1),"")</f>
        <v>-0.0258593503626616</v>
      </c>
      <c r="I90" s="142" t="n">
        <f aca="false">IFERROR(IF(OR(NOT(ISNUMBER('Price History'!I91)),NOT(ISNUMBER('Price History'!I90)),'Price History'!I90=0),"",'Price History'!I91/'Price History'!I90-1),"")</f>
        <v>-0.0405974722328609</v>
      </c>
      <c r="J90" s="142" t="n">
        <f aca="false">IFERROR(IF(OR(NOT(ISNUMBER('Price History'!J91)),NOT(ISNUMBER('Price History'!J90)),'Price History'!J90=0),"",'Price History'!J91/'Price History'!J90-1),"")</f>
        <v>-0.0472634271099744</v>
      </c>
      <c r="K90" s="142" t="n">
        <f aca="false">IFERROR(IF(OR(NOT(ISNUMBER('Price History'!K91)),NOT(ISNUMBER('Price History'!K90)),'Price History'!K90=0),"",'Price History'!K91/'Price History'!K90-1),"")</f>
        <v>-0.0303568784244039</v>
      </c>
      <c r="L90" s="142" t="n">
        <f aca="false">IFERROR(IF(OR(NOT(ISNUMBER('Price History'!L91)),NOT(ISNUMBER('Price History'!L90)),'Price History'!L90=0),"",'Price History'!L91/'Price History'!L90-1),"")</f>
        <v>-0.0588235294117647</v>
      </c>
      <c r="M90" s="142" t="n">
        <f aca="false">IFERROR(IF(OR(NOT(ISNUMBER('Price History'!M91)),NOT(ISNUMBER('Price History'!M90)),'Price History'!M90=0),"",'Price History'!M91/'Price History'!M90-1),"")</f>
        <v>-0.0479462631253861</v>
      </c>
      <c r="N90" s="142" t="n">
        <f aca="false">IFERROR(IF(OR(NOT(ISNUMBER('Price History'!N91)),NOT(ISNUMBER('Price History'!N90)),'Price History'!N90=0),"",'Price History'!N91/'Price History'!N90-1),"")</f>
        <v>-0.0269734232447442</v>
      </c>
      <c r="O90" s="142" t="n">
        <f aca="false">IFERROR(IF(OR(NOT(ISNUMBER('Price History'!O91)),NOT(ISNUMBER('Price History'!O90)),'Price History'!O90=0),"",'Price History'!O91/'Price History'!O90-1),"")</f>
        <v>-0.0223184223184224</v>
      </c>
      <c r="P90" s="142" t="n">
        <f aca="false">IFERROR(IF(OR(NOT(ISNUMBER('Price History'!P91)),NOT(ISNUMBER('Price History'!P90)),'Price History'!P90=0),"",'Price History'!P91/'Price History'!P90-1),"")</f>
        <v>-0.0115255658005029</v>
      </c>
      <c r="Q90" s="142" t="n">
        <f aca="false">IFERROR(IF(OR(NOT(ISNUMBER('Price History'!Q91)),NOT(ISNUMBER('Price History'!Q90)),'Price History'!Q90=0),"",'Price History'!Q91/'Price History'!Q90-1),"")</f>
        <v>-0.0317210099836831</v>
      </c>
      <c r="R90" s="142" t="n">
        <f aca="false">IFERROR(IF(OR(NOT(ISNUMBER('Price History'!R91)),NOT(ISNUMBER('Price History'!R90)),'Price History'!R90=0),"",'Price History'!R91/'Price History'!R90-1),"")</f>
        <v>-0.0161485668146951</v>
      </c>
      <c r="S90" s="142" t="n">
        <f aca="false">IFERROR(IF(OR(NOT(ISNUMBER('Price History'!S91)),NOT(ISNUMBER('Price History'!S90)),'Price History'!S90=0),"",'Price History'!S91/'Price History'!S90-1),"")</f>
        <v>-0.0173680694722778</v>
      </c>
      <c r="T90" s="142" t="n">
        <f aca="false">IFERROR(IF(OR(NOT(ISNUMBER('Price History'!T91)),NOT(ISNUMBER('Price History'!T90)),'Price History'!T90=0),"",'Price History'!T91/'Price History'!T90-1),"")</f>
        <v>0.00697084917617241</v>
      </c>
      <c r="U90" s="142" t="str">
        <f aca="false">IFERROR(IF(OR(NOT(ISNUMBER('Price History'!U91)),NOT(ISNUMBER('Price History'!U90)),'Price History'!U90=0),"",'Price History'!U91/'Price History'!U90-1),"")</f>
        <v/>
      </c>
      <c r="V90" s="143" t="str">
        <f aca="false">IFERROR(IF(OR(NOT(ISNUMBER('Price History'!V91)),NOT(ISNUMBER('Price History'!V90)),'Price History'!V90=0),"",'Price History'!V91/'Price History'!V90-1),"")</f>
        <v/>
      </c>
      <c r="W90" s="144" t="str">
        <f aca="false">IFERROR('Price History'!B3+(INDEX('Price History'!B:B,MATCH(9.99E+307,'Price History'!$A:$A))-'Price History'!B3)*(ROW()-3)/(MATCH(9.99E+307,'Returns (Calc)'!$A:$A)-3),"")</f>
        <v/>
      </c>
      <c r="X90" s="144" t="n">
        <f aca="false">IFERROR('Price History'!C3+(INDEX('Price History'!C:C,MATCH(9.99E+307,'Price History'!$A:$A))-'Price History'!C3)*(ROW()-3)/(MATCH(9.99E+307,'Returns (Calc)'!$A:$A)-3),"")</f>
        <v>20.7517721518987</v>
      </c>
      <c r="Y90" s="144" t="n">
        <f aca="false">IFERROR('Price History'!D3+(INDEX('Price History'!D:D,MATCH(9.99E+307,'Price History'!$A:$A))-'Price History'!D3)*(ROW()-3)/(MATCH(9.99E+307,'Returns (Calc)'!$A:$A)-3),"")</f>
        <v>261.536139240506</v>
      </c>
      <c r="Z90" s="144" t="n">
        <f aca="false">IFERROR('Price History'!E3+(INDEX('Price History'!E:E,MATCH(9.99E+307,'Price History'!$A:$A))-'Price History'!E3)*(ROW()-3)/(MATCH(9.99E+307,'Returns (Calc)'!$A:$A)-3),"")</f>
        <v>36.8481012658228</v>
      </c>
      <c r="AA90" s="144" t="n">
        <f aca="false">IFERROR('Price History'!F3+(INDEX('Price History'!F:F,MATCH(9.99E+307,'Price History'!$A:$A))-'Price History'!F3)*(ROW()-3)/(MATCH(9.99E+307,'Returns (Calc)'!$A:$A)-3),"")</f>
        <v>33.841835443038</v>
      </c>
      <c r="AB90" s="144" t="n">
        <f aca="false">IFERROR('Price History'!G3+(INDEX('Price History'!G:G,MATCH(9.99E+307,'Price History'!$A:$A))-'Price History'!G3)*(ROW()-3)/(MATCH(9.99E+307,'Returns (Calc)'!$A:$A)-3),"")</f>
        <v>18.5858227848101</v>
      </c>
      <c r="AC90" s="144" t="n">
        <f aca="false">IFERROR('Price History'!H3+(INDEX('Price History'!H:H,MATCH(9.99E+307,'Price History'!$A:$A))-'Price History'!H3)*(ROW()-3)/(MATCH(9.99E+307,'Returns (Calc)'!$A:$A)-3),"")</f>
        <v>45.201835443038</v>
      </c>
      <c r="AD90" s="144" t="n">
        <f aca="false">IFERROR('Price History'!I3+(INDEX('Price History'!I:I,MATCH(9.99E+307,'Price History'!$A:$A))-'Price History'!I3)*(ROW()-3)/(MATCH(9.99E+307,'Returns (Calc)'!$A:$A)-3),"")</f>
        <v>19.9294303797468</v>
      </c>
      <c r="AE90" s="144" t="n">
        <f aca="false">IFERROR('Price History'!J3+(INDEX('Price History'!J:J,MATCH(9.99E+307,'Price History'!$A:$A))-'Price History'!J3)*(ROW()-3)/(MATCH(9.99E+307,'Returns (Calc)'!$A:$A)-3),"")</f>
        <v>31.0557594936709</v>
      </c>
      <c r="AF90" s="144" t="n">
        <f aca="false">IFERROR('Price History'!K3+(INDEX('Price History'!K:K,MATCH(9.99E+307,'Price History'!$A:$A))-'Price History'!K3)*(ROW()-3)/(MATCH(9.99E+307,'Returns (Calc)'!$A:$A)-3),"")</f>
        <v>19.6687974683544</v>
      </c>
      <c r="AG90" s="144" t="n">
        <f aca="false">IFERROR('Price History'!L3+(INDEX('Price History'!L:L,MATCH(9.99E+307,'Price History'!$A:$A))-'Price History'!L3)*(ROW()-3)/(MATCH(9.99E+307,'Returns (Calc)'!$A:$A)-3),"")</f>
        <v>50.2572151898734</v>
      </c>
      <c r="AH90" s="144" t="n">
        <f aca="false">IFERROR('Price History'!M3+(INDEX('Price History'!M:M,MATCH(9.99E+307,'Price History'!$A:$A))-'Price History'!M3)*(ROW()-3)/(MATCH(9.99E+307,'Returns (Calc)'!$A:$A)-3),"")</f>
        <v>6.88879746835443</v>
      </c>
      <c r="AI90" s="144" t="n">
        <f aca="false">IFERROR('Price History'!N3+(INDEX('Price History'!N:N,MATCH(9.99E+307,'Price History'!$A:$A))-'Price History'!N3)*(ROW()-3)/(MATCH(9.99E+307,'Returns (Calc)'!$A:$A)-3),"")</f>
        <v>9.79620253164557</v>
      </c>
      <c r="AJ90" s="144" t="n">
        <f aca="false">IFERROR('Price History'!O3+(INDEX('Price History'!O:O,MATCH(9.99E+307,'Price History'!$A:$A))-'Price History'!O3)*(ROW()-3)/(MATCH(9.99E+307,'Returns (Calc)'!$A:$A)-3),"")</f>
        <v>25.8970253164557</v>
      </c>
      <c r="AK90" s="144" t="n">
        <f aca="false">IFERROR('Price History'!Q3+(INDEX('Price History'!Q:Q,MATCH(9.99E+307,'Price History'!$A:$A))-'Price History'!Q3)*(ROW()-3)/(MATCH(9.99E+307,'Returns (Calc)'!$A:$A)-3),"")</f>
        <v>105.884367088608</v>
      </c>
      <c r="AL90" s="144" t="n">
        <f aca="false">IFERROR('Price History'!R3+(INDEX('Price History'!R:R,MATCH(9.99E+307,'Price History'!$A:$A))-'Price History'!R3)*(ROW()-3)/(MATCH(9.99E+307,'Returns (Calc)'!$A:$A)-3),"")</f>
        <v>21.4887341772152</v>
      </c>
      <c r="AM90" s="144" t="n">
        <f aca="false">IFERROR('Price History'!S3+(INDEX('Price History'!S:S,MATCH(9.99E+307,'Price History'!$A:$A))-'Price History'!S3)*(ROW()-3)/(MATCH(9.99E+307,'Returns (Calc)'!$A:$A)-3),"")</f>
        <v>26.3059493670886</v>
      </c>
      <c r="AN90" s="144" t="n">
        <f aca="false">IFERROR('Price History'!T3+(INDEX('Price History'!T:T,MATCH(9.99E+307,'Price History'!$A:$A))-'Price History'!T3)*(ROW()-3)/(MATCH(9.99E+307,'Returns (Calc)'!$A:$A)-3),"")</f>
        <v>12.0924683544304</v>
      </c>
      <c r="AO90" s="145" t="n">
        <f aca="false">IFERROR('Price History'!V3+(INDEX('Price History'!V:V,MATCH(9.99E+307,'Price History'!$A:$A))-'Price History'!V3)*(ROW()-3)/(MATCH(9.99E+307,'Returns (Calc)'!$A:$A)-3),"")</f>
        <v>0</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0.0117412234354819</v>
      </c>
      <c r="G91" s="142" t="n">
        <f aca="false">IFERROR(IF(OR(NOT(ISNUMBER('Price History'!G92)),NOT(ISNUMBER('Price History'!G91)),'Price History'!G91=0),"",'Price History'!G92/'Price History'!G91-1),"")</f>
        <v>0.0345917471466197</v>
      </c>
      <c r="H91" s="142" t="n">
        <f aca="false">IFERROR(IF(OR(NOT(ISNUMBER('Price History'!H92)),NOT(ISNUMBER('Price History'!H91)),'Price History'!H91=0),"",'Price History'!H92/'Price History'!H91-1),"")</f>
        <v>0.00647458724506311</v>
      </c>
      <c r="I91" s="142" t="n">
        <f aca="false">IFERROR(IF(OR(NOT(ISNUMBER('Price History'!I92)),NOT(ISNUMBER('Price History'!I91)),'Price History'!I91=0),"",'Price History'!I92/'Price History'!I91-1),"")</f>
        <v>-0.000399201596806398</v>
      </c>
      <c r="J91" s="142" t="n">
        <f aca="false">IFERROR(IF(OR(NOT(ISNUMBER('Price History'!J92)),NOT(ISNUMBER('Price History'!J91)),'Price History'!J91=0),"",'Price History'!J92/'Price History'!J91-1),"")</f>
        <v>0.0117040695801569</v>
      </c>
      <c r="K91" s="142" t="n">
        <f aca="false">IFERROR(IF(OR(NOT(ISNUMBER('Price History'!K92)),NOT(ISNUMBER('Price History'!K91)),'Price History'!K91=0),"",'Price History'!K92/'Price History'!K91-1),"")</f>
        <v>0.0292455711667683</v>
      </c>
      <c r="L91" s="142" t="n">
        <f aca="false">IFERROR(IF(OR(NOT(ISNUMBER('Price History'!L92)),NOT(ISNUMBER('Price History'!L91)),'Price History'!L91=0),"",'Price History'!L92/'Price History'!L91-1),"")</f>
        <v>0.0438206785137316</v>
      </c>
      <c r="M91" s="142" t="n">
        <f aca="false">IFERROR(IF(OR(NOT(ISNUMBER('Price History'!M92)),NOT(ISNUMBER('Price History'!M91)),'Price History'!M91=0),"",'Price History'!M92/'Price History'!M91-1),"")</f>
        <v>0.0686886708296164</v>
      </c>
      <c r="N91" s="142" t="n">
        <f aca="false">IFERROR(IF(OR(NOT(ISNUMBER('Price History'!N92)),NOT(ISNUMBER('Price History'!N91)),'Price History'!N91=0),"",'Price History'!N92/'Price History'!N91-1),"")</f>
        <v>0.0110069302894416</v>
      </c>
      <c r="O91" s="142" t="n">
        <f aca="false">IFERROR(IF(OR(NOT(ISNUMBER('Price History'!O92)),NOT(ISNUMBER('Price History'!O91)),'Price History'!O91=0),"",'Price History'!O92/'Price History'!O91-1),"")</f>
        <v>0.0243038472891863</v>
      </c>
      <c r="P91" s="142" t="n">
        <f aca="false">IFERROR(IF(OR(NOT(ISNUMBER('Price History'!P92)),NOT(ISNUMBER('Price History'!P91)),'Price History'!P91=0),"",'Price History'!P92/'Price History'!P91-1),"")</f>
        <v>0.00699597201611191</v>
      </c>
      <c r="Q91" s="142" t="n">
        <f aca="false">IFERROR(IF(OR(NOT(ISNUMBER('Price History'!Q92)),NOT(ISNUMBER('Price History'!Q91)),'Price History'!Q91=0),"",'Price History'!Q92/'Price History'!Q91-1),"")</f>
        <v>0.0329601279561294</v>
      </c>
      <c r="R91" s="142" t="n">
        <f aca="false">IFERROR(IF(OR(NOT(ISNUMBER('Price History'!R92)),NOT(ISNUMBER('Price History'!R91)),'Price History'!R91=0),"",'Price History'!R92/'Price History'!R91-1),"")</f>
        <v>0.0482150184653263</v>
      </c>
      <c r="S91" s="142" t="n">
        <f aca="false">IFERROR(IF(OR(NOT(ISNUMBER('Price History'!S92)),NOT(ISNUMBER('Price History'!S91)),'Price History'!S91=0),"",'Price History'!S92/'Price History'!S91-1),"")</f>
        <v>0.0652617267165192</v>
      </c>
      <c r="T91" s="142" t="n">
        <f aca="false">IFERROR(IF(OR(NOT(ISNUMBER('Price History'!T92)),NOT(ISNUMBER('Price History'!T91)),'Price History'!T91=0),"",'Price History'!T92/'Price History'!T91-1),"")</f>
        <v>0.0330396475770924</v>
      </c>
      <c r="U91" s="142" t="str">
        <f aca="false">IFERROR(IF(OR(NOT(ISNUMBER('Price History'!U92)),NOT(ISNUMBER('Price History'!U91)),'Price History'!U91=0),"",'Price History'!U92/'Price History'!U91-1),"")</f>
        <v/>
      </c>
      <c r="V91" s="143" t="str">
        <f aca="false">IFERROR(IF(OR(NOT(ISNUMBER('Price History'!V92)),NOT(ISNUMBER('Price History'!V91)),'Price History'!V91=0),"",'Price History'!V92/'Price History'!V91-1),"")</f>
        <v/>
      </c>
      <c r="W91" s="144" t="str">
        <f aca="false">IFERROR('Price History'!B3+(INDEX('Price History'!B:B,MATCH(9.99E+307,'Price History'!$A:$A))-'Price History'!B3)*(ROW()-3)/(MATCH(9.99E+307,'Returns (Calc)'!$A:$A)-3),"")</f>
        <v/>
      </c>
      <c r="X91" s="144" t="n">
        <f aca="false">IFERROR('Price History'!C3+(INDEX('Price History'!C:C,MATCH(9.99E+307,'Price History'!$A:$A))-'Price History'!C3)*(ROW()-3)/(MATCH(9.99E+307,'Returns (Calc)'!$A:$A)-3),"")</f>
        <v>20.4594936708861</v>
      </c>
      <c r="Y91" s="144" t="n">
        <f aca="false">IFERROR('Price History'!D3+(INDEX('Price History'!D:D,MATCH(9.99E+307,'Price History'!$A:$A))-'Price History'!D3)*(ROW()-3)/(MATCH(9.99E+307,'Returns (Calc)'!$A:$A)-3),"")</f>
        <v>257.85253164557</v>
      </c>
      <c r="Z91" s="144" t="n">
        <f aca="false">IFERROR('Price History'!E3+(INDEX('Price History'!E:E,MATCH(9.99E+307,'Price History'!$A:$A))-'Price History'!E3)*(ROW()-3)/(MATCH(9.99E+307,'Returns (Calc)'!$A:$A)-3),"")</f>
        <v>36.3291139240506</v>
      </c>
      <c r="AA91" s="144" t="n">
        <f aca="false">IFERROR('Price History'!F3+(INDEX('Price History'!F:F,MATCH(9.99E+307,'Price History'!$A:$A))-'Price History'!F3)*(ROW()-3)/(MATCH(9.99E+307,'Returns (Calc)'!$A:$A)-3),"")</f>
        <v>33.3651898734177</v>
      </c>
      <c r="AB91" s="144" t="n">
        <f aca="false">IFERROR('Price History'!G3+(INDEX('Price History'!G:G,MATCH(9.99E+307,'Price History'!$A:$A))-'Price History'!G3)*(ROW()-3)/(MATCH(9.99E+307,'Returns (Calc)'!$A:$A)-3),"")</f>
        <v>18.3240506329114</v>
      </c>
      <c r="AC91" s="144" t="n">
        <f aca="false">IFERROR('Price History'!H3+(INDEX('Price History'!H:H,MATCH(9.99E+307,'Price History'!$A:$A))-'Price History'!H3)*(ROW()-3)/(MATCH(9.99E+307,'Returns (Calc)'!$A:$A)-3),"")</f>
        <v>44.5651898734177</v>
      </c>
      <c r="AD91" s="144" t="n">
        <f aca="false">IFERROR('Price History'!I3+(INDEX('Price History'!I:I,MATCH(9.99E+307,'Price History'!$A:$A))-'Price History'!I3)*(ROW()-3)/(MATCH(9.99E+307,'Returns (Calc)'!$A:$A)-3),"")</f>
        <v>19.6487341772152</v>
      </c>
      <c r="AE91" s="144" t="n">
        <f aca="false">IFERROR('Price History'!J3+(INDEX('Price History'!J:J,MATCH(9.99E+307,'Price History'!$A:$A))-'Price History'!J3)*(ROW()-3)/(MATCH(9.99E+307,'Returns (Calc)'!$A:$A)-3),"")</f>
        <v>30.6183544303797</v>
      </c>
      <c r="AF91" s="144" t="n">
        <f aca="false">IFERROR('Price History'!K3+(INDEX('Price History'!K:K,MATCH(9.99E+307,'Price History'!$A:$A))-'Price History'!K3)*(ROW()-3)/(MATCH(9.99E+307,'Returns (Calc)'!$A:$A)-3),"")</f>
        <v>19.3917721518987</v>
      </c>
      <c r="AG91" s="144" t="n">
        <f aca="false">IFERROR('Price History'!L3+(INDEX('Price History'!L:L,MATCH(9.99E+307,'Price History'!$A:$A))-'Price History'!L3)*(ROW()-3)/(MATCH(9.99E+307,'Returns (Calc)'!$A:$A)-3),"")</f>
        <v>49.5493670886076</v>
      </c>
      <c r="AH91" s="144" t="n">
        <f aca="false">IFERROR('Price History'!M3+(INDEX('Price History'!M:M,MATCH(9.99E+307,'Price History'!$A:$A))-'Price History'!M3)*(ROW()-3)/(MATCH(9.99E+307,'Returns (Calc)'!$A:$A)-3),"")</f>
        <v>6.79177215189874</v>
      </c>
      <c r="AI91" s="144" t="n">
        <f aca="false">IFERROR('Price History'!N3+(INDEX('Price History'!N:N,MATCH(9.99E+307,'Price History'!$A:$A))-'Price History'!N3)*(ROW()-3)/(MATCH(9.99E+307,'Returns (Calc)'!$A:$A)-3),"")</f>
        <v>9.65822784810127</v>
      </c>
      <c r="AJ91" s="144" t="n">
        <f aca="false">IFERROR('Price History'!O3+(INDEX('Price History'!O:O,MATCH(9.99E+307,'Price History'!$A:$A))-'Price History'!O3)*(ROW()-3)/(MATCH(9.99E+307,'Returns (Calc)'!$A:$A)-3),"")</f>
        <v>25.5322784810127</v>
      </c>
      <c r="AK91" s="144" t="n">
        <f aca="false">IFERROR('Price History'!Q3+(INDEX('Price History'!Q:Q,MATCH(9.99E+307,'Price History'!$A:$A))-'Price History'!Q3)*(ROW()-3)/(MATCH(9.99E+307,'Returns (Calc)'!$A:$A)-3),"")</f>
        <v>104.393037974684</v>
      </c>
      <c r="AL91" s="144" t="n">
        <f aca="false">IFERROR('Price History'!R3+(INDEX('Price History'!R:R,MATCH(9.99E+307,'Price History'!$A:$A))-'Price History'!R3)*(ROW()-3)/(MATCH(9.99E+307,'Returns (Calc)'!$A:$A)-3),"")</f>
        <v>21.1860759493671</v>
      </c>
      <c r="AM91" s="144" t="n">
        <f aca="false">IFERROR('Price History'!S3+(INDEX('Price History'!S:S,MATCH(9.99E+307,'Price History'!$A:$A))-'Price History'!S3)*(ROW()-3)/(MATCH(9.99E+307,'Returns (Calc)'!$A:$A)-3),"")</f>
        <v>25.9354430379747</v>
      </c>
      <c r="AN91" s="144" t="n">
        <f aca="false">IFERROR('Price History'!T3+(INDEX('Price History'!T:T,MATCH(9.99E+307,'Price History'!$A:$A))-'Price History'!T3)*(ROW()-3)/(MATCH(9.99E+307,'Returns (Calc)'!$A:$A)-3),"")</f>
        <v>11.9221518987342</v>
      </c>
      <c r="AO91" s="145" t="n">
        <f aca="false">IFERROR('Price History'!V3+(INDEX('Price History'!V:V,MATCH(9.99E+307,'Price History'!$A:$A))-'Price History'!V3)*(ROW()-3)/(MATCH(9.99E+307,'Returns (Calc)'!$A:$A)-3),"")</f>
        <v>0</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0.0184518974120924</v>
      </c>
      <c r="G92" s="142" t="n">
        <f aca="false">IFERROR(IF(OR(NOT(ISNUMBER('Price History'!G93)),NOT(ISNUMBER('Price History'!G92)),'Price History'!G92=0),"",'Price History'!G93/'Price History'!G92-1),"")</f>
        <v>-0.00627970128988464</v>
      </c>
      <c r="H92" s="142" t="n">
        <f aca="false">IFERROR(IF(OR(NOT(ISNUMBER('Price History'!H93)),NOT(ISNUMBER('Price History'!H92)),'Price History'!H92=0),"",'Price History'!H93/'Price History'!H92-1),"")</f>
        <v>0.00369893856545511</v>
      </c>
      <c r="I92" s="142" t="n">
        <f aca="false">IFERROR(IF(OR(NOT(ISNUMBER('Price History'!I93)),NOT(ISNUMBER('Price History'!I92)),'Price History'!I92=0),"",'Price History'!I93/'Price History'!I92-1),"")</f>
        <v>0.0674920127795526</v>
      </c>
      <c r="J92" s="142" t="n">
        <f aca="false">IFERROR(IF(OR(NOT(ISNUMBER('Price History'!J93)),NOT(ISNUMBER('Price History'!J92)),'Price History'!J92=0),"",'Price History'!J93/'Price History'!J92-1),"")</f>
        <v>0.149225217575886</v>
      </c>
      <c r="K92" s="142" t="n">
        <f aca="false">IFERROR(IF(OR(NOT(ISNUMBER('Price History'!K93)),NOT(ISNUMBER('Price History'!K92)),'Price History'!K92=0),"",'Price History'!K93/'Price History'!K92-1),"")</f>
        <v>0.048742488315157</v>
      </c>
      <c r="L92" s="142" t="n">
        <f aca="false">IFERROR(IF(OR(NOT(ISNUMBER('Price History'!L93)),NOT(ISNUMBER('Price History'!L92)),'Price History'!L92=0),"",'Price History'!L93/'Price History'!L92-1),"")</f>
        <v>0.0017411491584447</v>
      </c>
      <c r="M92" s="142" t="n">
        <f aca="false">IFERROR(IF(OR(NOT(ISNUMBER('Price History'!M93)),NOT(ISNUMBER('Price History'!M92)),'Price History'!M92=0),"",'Price History'!M93/'Price History'!M92-1),"")</f>
        <v>-0.0308089239641828</v>
      </c>
      <c r="N92" s="142" t="n">
        <f aca="false">IFERROR(IF(OR(NOT(ISNUMBER('Price History'!N93)),NOT(ISNUMBER('Price History'!N92)),'Price History'!N92=0),"",'Price History'!N93/'Price History'!N92-1),"")</f>
        <v>0.0141129032258063</v>
      </c>
      <c r="O92" s="142" t="n">
        <f aca="false">IFERROR(IF(OR(NOT(ISNUMBER('Price History'!O93)),NOT(ISNUMBER('Price History'!O92)),'Price History'!O92=0),"",'Price History'!O93/'Price History'!O92-1),"")</f>
        <v>0.0148895292987512</v>
      </c>
      <c r="P92" s="142" t="n">
        <f aca="false">IFERROR(IF(OR(NOT(ISNUMBER('Price History'!P93)),NOT(ISNUMBER('Price History'!P92)),'Price History'!P92=0),"",'Price History'!P93/'Price History'!P92-1),"")</f>
        <v>0.0613684210526315</v>
      </c>
      <c r="Q92" s="142" t="n">
        <f aca="false">IFERROR(IF(OR(NOT(ISNUMBER('Price History'!Q93)),NOT(ISNUMBER('Price History'!Q92)),'Price History'!Q92=0),"",'Price History'!Q93/'Price History'!Q92-1),"")</f>
        <v>0.0137698390753747</v>
      </c>
      <c r="R92" s="142" t="n">
        <f aca="false">IFERROR(IF(OR(NOT(ISNUMBER('Price History'!R93)),NOT(ISNUMBER('Price History'!R92)),'Price History'!R92=0),"",'Price History'!R93/'Price History'!R92-1),"")</f>
        <v>0.00782932080641996</v>
      </c>
      <c r="S92" s="142" t="n">
        <f aca="false">IFERROR(IF(OR(NOT(ISNUMBER('Price History'!S93)),NOT(ISNUMBER('Price History'!S92)),'Price History'!S92=0),"",'Price History'!S93/'Price History'!S92-1),"")</f>
        <v>0.0402042118698149</v>
      </c>
      <c r="T92" s="142" t="n">
        <f aca="false">IFERROR(IF(OR(NOT(ISNUMBER('Price History'!T93)),NOT(ISNUMBER('Price History'!T92)),'Price History'!T92=0),"",'Price History'!T93/'Price History'!T92-1),"")</f>
        <v>0.0191897654584223</v>
      </c>
      <c r="U92" s="142" t="str">
        <f aca="false">IFERROR(IF(OR(NOT(ISNUMBER('Price History'!U93)),NOT(ISNUMBER('Price History'!U92)),'Price History'!U92=0),"",'Price History'!U93/'Price History'!U92-1),"")</f>
        <v/>
      </c>
      <c r="V92" s="143" t="n">
        <f aca="false">IFERROR(IF(OR(NOT(ISNUMBER('Price History'!V93)),NOT(ISNUMBER('Price History'!V92)),'Price History'!V92=0),"",'Price History'!V93/'Price History'!V92-1),"")</f>
        <v>0.0370873317641378</v>
      </c>
      <c r="W92" s="144" t="str">
        <f aca="false">IFERROR('Price History'!B3+(INDEX('Price History'!B:B,MATCH(9.99E+307,'Price History'!$A:$A))-'Price History'!B3)*(ROW()-3)/(MATCH(9.99E+307,'Returns (Calc)'!$A:$A)-3),"")</f>
        <v/>
      </c>
      <c r="X92" s="144" t="n">
        <f aca="false">IFERROR('Price History'!C3+(INDEX('Price History'!C:C,MATCH(9.99E+307,'Price History'!$A:$A))-'Price History'!C3)*(ROW()-3)/(MATCH(9.99E+307,'Returns (Calc)'!$A:$A)-3),"")</f>
        <v>20.1672151898734</v>
      </c>
      <c r="Y92" s="144" t="n">
        <f aca="false">IFERROR('Price History'!D3+(INDEX('Price History'!D:D,MATCH(9.99E+307,'Price History'!$A:$A))-'Price History'!D3)*(ROW()-3)/(MATCH(9.99E+307,'Returns (Calc)'!$A:$A)-3),"")</f>
        <v>254.168924050633</v>
      </c>
      <c r="Z92" s="144" t="n">
        <f aca="false">IFERROR('Price History'!E3+(INDEX('Price History'!E:E,MATCH(9.99E+307,'Price History'!$A:$A))-'Price History'!E3)*(ROW()-3)/(MATCH(9.99E+307,'Returns (Calc)'!$A:$A)-3),"")</f>
        <v>35.8101265822785</v>
      </c>
      <c r="AA92" s="144" t="n">
        <f aca="false">IFERROR('Price History'!F3+(INDEX('Price History'!F:F,MATCH(9.99E+307,'Price History'!$A:$A))-'Price History'!F3)*(ROW()-3)/(MATCH(9.99E+307,'Returns (Calc)'!$A:$A)-3),"")</f>
        <v>32.8885443037975</v>
      </c>
      <c r="AB92" s="144" t="n">
        <f aca="false">IFERROR('Price History'!G3+(INDEX('Price History'!G:G,MATCH(9.99E+307,'Price History'!$A:$A))-'Price History'!G3)*(ROW()-3)/(MATCH(9.99E+307,'Returns (Calc)'!$A:$A)-3),"")</f>
        <v>18.0622784810127</v>
      </c>
      <c r="AC92" s="144" t="n">
        <f aca="false">IFERROR('Price History'!H3+(INDEX('Price History'!H:H,MATCH(9.99E+307,'Price History'!$A:$A))-'Price History'!H3)*(ROW()-3)/(MATCH(9.99E+307,'Returns (Calc)'!$A:$A)-3),"")</f>
        <v>43.9285443037975</v>
      </c>
      <c r="AD92" s="144" t="n">
        <f aca="false">IFERROR('Price History'!I3+(INDEX('Price History'!I:I,MATCH(9.99E+307,'Price History'!$A:$A))-'Price History'!I3)*(ROW()-3)/(MATCH(9.99E+307,'Returns (Calc)'!$A:$A)-3),"")</f>
        <v>19.3680379746835</v>
      </c>
      <c r="AE92" s="144" t="n">
        <f aca="false">IFERROR('Price History'!J3+(INDEX('Price History'!J:J,MATCH(9.99E+307,'Price History'!$A:$A))-'Price History'!J3)*(ROW()-3)/(MATCH(9.99E+307,'Returns (Calc)'!$A:$A)-3),"")</f>
        <v>30.1809493670886</v>
      </c>
      <c r="AF92" s="144" t="n">
        <f aca="false">IFERROR('Price History'!K3+(INDEX('Price History'!K:K,MATCH(9.99E+307,'Price History'!$A:$A))-'Price History'!K3)*(ROW()-3)/(MATCH(9.99E+307,'Returns (Calc)'!$A:$A)-3),"")</f>
        <v>19.114746835443</v>
      </c>
      <c r="AG92" s="144" t="n">
        <f aca="false">IFERROR('Price History'!L3+(INDEX('Price History'!L:L,MATCH(9.99E+307,'Price History'!$A:$A))-'Price History'!L3)*(ROW()-3)/(MATCH(9.99E+307,'Returns (Calc)'!$A:$A)-3),"")</f>
        <v>48.8415189873418</v>
      </c>
      <c r="AH92" s="144" t="n">
        <f aca="false">IFERROR('Price History'!M3+(INDEX('Price History'!M:M,MATCH(9.99E+307,'Price History'!$A:$A))-'Price History'!M3)*(ROW()-3)/(MATCH(9.99E+307,'Returns (Calc)'!$A:$A)-3),"")</f>
        <v>6.69474683544304</v>
      </c>
      <c r="AI92" s="144" t="n">
        <f aca="false">IFERROR('Price History'!N3+(INDEX('Price History'!N:N,MATCH(9.99E+307,'Price History'!$A:$A))-'Price History'!N3)*(ROW()-3)/(MATCH(9.99E+307,'Returns (Calc)'!$A:$A)-3),"")</f>
        <v>9.52025316455696</v>
      </c>
      <c r="AJ92" s="144" t="n">
        <f aca="false">IFERROR('Price History'!O3+(INDEX('Price History'!O:O,MATCH(9.99E+307,'Price History'!$A:$A))-'Price History'!O3)*(ROW()-3)/(MATCH(9.99E+307,'Returns (Calc)'!$A:$A)-3),"")</f>
        <v>25.1675316455696</v>
      </c>
      <c r="AK92" s="144" t="n">
        <f aca="false">IFERROR('Price History'!Q3+(INDEX('Price History'!Q:Q,MATCH(9.99E+307,'Price History'!$A:$A))-'Price History'!Q3)*(ROW()-3)/(MATCH(9.99E+307,'Returns (Calc)'!$A:$A)-3),"")</f>
        <v>102.90170886076</v>
      </c>
      <c r="AL92" s="144" t="n">
        <f aca="false">IFERROR('Price History'!R3+(INDEX('Price History'!R:R,MATCH(9.99E+307,'Price History'!$A:$A))-'Price History'!R3)*(ROW()-3)/(MATCH(9.99E+307,'Returns (Calc)'!$A:$A)-3),"")</f>
        <v>20.883417721519</v>
      </c>
      <c r="AM92" s="144" t="n">
        <f aca="false">IFERROR('Price History'!S3+(INDEX('Price History'!S:S,MATCH(9.99E+307,'Price History'!$A:$A))-'Price History'!S3)*(ROW()-3)/(MATCH(9.99E+307,'Returns (Calc)'!$A:$A)-3),"")</f>
        <v>25.5649367088608</v>
      </c>
      <c r="AN92" s="144" t="n">
        <f aca="false">IFERROR('Price History'!T3+(INDEX('Price History'!T:T,MATCH(9.99E+307,'Price History'!$A:$A))-'Price History'!T3)*(ROW()-3)/(MATCH(9.99E+307,'Returns (Calc)'!$A:$A)-3),"")</f>
        <v>11.751835443038</v>
      </c>
      <c r="AO92" s="145" t="n">
        <f aca="false">IFERROR('Price History'!V3+(INDEX('Price History'!V:V,MATCH(9.99E+307,'Price History'!$A:$A))-'Price History'!V3)*(ROW()-3)/(MATCH(9.99E+307,'Returns (Calc)'!$A:$A)-3),"")</f>
        <v>0</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-0.00603919781221518</v>
      </c>
      <c r="G93" s="142" t="n">
        <f aca="false">IFERROR(IF(OR(NOT(ISNUMBER('Price History'!G94)),NOT(ISNUMBER('Price History'!G93)),'Price History'!G93=0),"",'Price History'!G94/'Price History'!G93-1),"")</f>
        <v>0.0260461144321094</v>
      </c>
      <c r="H93" s="142" t="n">
        <f aca="false">IFERROR(IF(OR(NOT(ISNUMBER('Price History'!H94)),NOT(ISNUMBER('Price History'!H93)),'Price History'!H93=0),"",'Price History'!H94/'Price History'!H93-1),"")</f>
        <v>-0.00352507610959785</v>
      </c>
      <c r="I93" s="142" t="n">
        <f aca="false">IFERROR(IF(OR(NOT(ISNUMBER('Price History'!I94)),NOT(ISNUMBER('Price History'!I93)),'Price History'!I93=0),"",'Price History'!I94/'Price History'!I93-1),"")</f>
        <v>0.073824666417259</v>
      </c>
      <c r="J93" s="142" t="n">
        <f aca="false">IFERROR(IF(OR(NOT(ISNUMBER('Price History'!J94)),NOT(ISNUMBER('Price History'!J93)),'Price History'!J93=0),"",'Price History'!J94/'Price History'!J93-1),"")</f>
        <v>0.0649242704100481</v>
      </c>
      <c r="K93" s="142" t="n">
        <f aca="false">IFERROR(IF(OR(NOT(ISNUMBER('Price History'!K94)),NOT(ISNUMBER('Price History'!K93)),'Price History'!K93=0),"",'Price History'!K94/'Price History'!K93-1),"")</f>
        <v>0.00183927560837582</v>
      </c>
      <c r="L93" s="142" t="n">
        <f aca="false">IFERROR(IF(OR(NOT(ISNUMBER('Price History'!L94)),NOT(ISNUMBER('Price History'!L93)),'Price History'!L93=0),"",'Price History'!L94/'Price History'!L93-1),"")</f>
        <v>-0.0139049826187717</v>
      </c>
      <c r="M93" s="142" t="n">
        <f aca="false">IFERROR(IF(OR(NOT(ISNUMBER('Price History'!M94)),NOT(ISNUMBER('Price History'!M93)),'Price History'!M93=0),"",'Price History'!M94/'Price History'!M93-1),"")</f>
        <v>0.0757907923582839</v>
      </c>
      <c r="N93" s="142" t="n">
        <f aca="false">IFERROR(IF(OR(NOT(ISNUMBER('Price History'!N94)),NOT(ISNUMBER('Price History'!N93)),'Price History'!N93=0),"",'Price History'!N94/'Price History'!N93-1),"")</f>
        <v>0.0135188866799205</v>
      </c>
      <c r="O93" s="142" t="n">
        <f aca="false">IFERROR(IF(OR(NOT(ISNUMBER('Price History'!O94)),NOT(ISNUMBER('Price History'!O93)),'Price History'!O93=0),"",'Price History'!O94/'Price History'!O93-1),"")</f>
        <v>-0.00709891150023667</v>
      </c>
      <c r="P93" s="142" t="n">
        <f aca="false">IFERROR(IF(OR(NOT(ISNUMBER('Price History'!P94)),NOT(ISNUMBER('Price History'!P93)),'Price History'!P93=0),"",'Price History'!P94/'Price History'!P93-1),"")</f>
        <v>0.0325795894079144</v>
      </c>
      <c r="Q93" s="142" t="n">
        <f aca="false">IFERROR(IF(OR(NOT(ISNUMBER('Price History'!Q94)),NOT(ISNUMBER('Price History'!Q93)),'Price History'!Q93=0),"",'Price History'!Q94/'Price History'!Q93-1),"")</f>
        <v>-0.0469125027274711</v>
      </c>
      <c r="R93" s="142" t="n">
        <f aca="false">IFERROR(IF(OR(NOT(ISNUMBER('Price History'!R94)),NOT(ISNUMBER('Price History'!R93)),'Price History'!R93=0),"",'Price History'!R94/'Price History'!R93-1),"")</f>
        <v>0.00271897455816661</v>
      </c>
      <c r="S93" s="142" t="n">
        <f aca="false">IFERROR(IF(OR(NOT(ISNUMBER('Price History'!S94)),NOT(ISNUMBER('Price History'!S93)),'Price History'!S93=0),"",'Price History'!S94/'Price History'!S93-1),"")</f>
        <v>0.00695296523517386</v>
      </c>
      <c r="T93" s="142" t="n">
        <f aca="false">IFERROR(IF(OR(NOT(ISNUMBER('Price History'!T94)),NOT(ISNUMBER('Price History'!T93)),'Price History'!T93=0),"",'Price History'!T94/'Price History'!T93-1),"")</f>
        <v>-0.00179318589360433</v>
      </c>
      <c r="U93" s="142" t="str">
        <f aca="false">IFERROR(IF(OR(NOT(ISNUMBER('Price History'!U94)),NOT(ISNUMBER('Price History'!U93)),'Price History'!U93=0),"",'Price History'!U94/'Price History'!U93-1),"")</f>
        <v/>
      </c>
      <c r="V93" s="143" t="n">
        <f aca="false">IFERROR(IF(OR(NOT(ISNUMBER('Price History'!V94)),NOT(ISNUMBER('Price History'!V93)),'Price History'!V93=0),"",'Price History'!V94/'Price History'!V93-1),"")</f>
        <v>0.0141996682864376</v>
      </c>
      <c r="W93" s="144" t="str">
        <f aca="false">IFERROR('Price History'!B3+(INDEX('Price History'!B:B,MATCH(9.99E+307,'Price History'!$A:$A))-'Price History'!B3)*(ROW()-3)/(MATCH(9.99E+307,'Returns (Calc)'!$A:$A)-3),"")</f>
        <v/>
      </c>
      <c r="X93" s="144" t="n">
        <f aca="false">IFERROR('Price History'!C3+(INDEX('Price History'!C:C,MATCH(9.99E+307,'Price History'!$A:$A))-'Price History'!C3)*(ROW()-3)/(MATCH(9.99E+307,'Returns (Calc)'!$A:$A)-3),"")</f>
        <v>19.8749367088608</v>
      </c>
      <c r="Y93" s="144" t="n">
        <f aca="false">IFERROR('Price History'!D3+(INDEX('Price History'!D:D,MATCH(9.99E+307,'Price History'!$A:$A))-'Price History'!D3)*(ROW()-3)/(MATCH(9.99E+307,'Returns (Calc)'!$A:$A)-3),"")</f>
        <v>250.485316455696</v>
      </c>
      <c r="Z93" s="144" t="n">
        <f aca="false">IFERROR('Price History'!E3+(INDEX('Price History'!E:E,MATCH(9.99E+307,'Price History'!$A:$A))-'Price History'!E3)*(ROW()-3)/(MATCH(9.99E+307,'Returns (Calc)'!$A:$A)-3),"")</f>
        <v>35.2911392405063</v>
      </c>
      <c r="AA93" s="144" t="n">
        <f aca="false">IFERROR('Price History'!F3+(INDEX('Price History'!F:F,MATCH(9.99E+307,'Price History'!$A:$A))-'Price History'!F3)*(ROW()-3)/(MATCH(9.99E+307,'Returns (Calc)'!$A:$A)-3),"")</f>
        <v>32.4118987341772</v>
      </c>
      <c r="AB93" s="144" t="n">
        <f aca="false">IFERROR('Price History'!G3+(INDEX('Price History'!G:G,MATCH(9.99E+307,'Price History'!$A:$A))-'Price History'!G3)*(ROW()-3)/(MATCH(9.99E+307,'Returns (Calc)'!$A:$A)-3),"")</f>
        <v>17.8005063291139</v>
      </c>
      <c r="AC93" s="144" t="n">
        <f aca="false">IFERROR('Price History'!H3+(INDEX('Price History'!H:H,MATCH(9.99E+307,'Price History'!$A:$A))-'Price History'!H3)*(ROW()-3)/(MATCH(9.99E+307,'Returns (Calc)'!$A:$A)-3),"")</f>
        <v>43.2918987341772</v>
      </c>
      <c r="AD93" s="144" t="n">
        <f aca="false">IFERROR('Price History'!I3+(INDEX('Price History'!I:I,MATCH(9.99E+307,'Price History'!$A:$A))-'Price History'!I3)*(ROW()-3)/(MATCH(9.99E+307,'Returns (Calc)'!$A:$A)-3),"")</f>
        <v>19.0873417721519</v>
      </c>
      <c r="AE93" s="144" t="n">
        <f aca="false">IFERROR('Price History'!J3+(INDEX('Price History'!J:J,MATCH(9.99E+307,'Price History'!$A:$A))-'Price History'!J3)*(ROW()-3)/(MATCH(9.99E+307,'Returns (Calc)'!$A:$A)-3),"")</f>
        <v>29.7435443037975</v>
      </c>
      <c r="AF93" s="144" t="n">
        <f aca="false">IFERROR('Price History'!K3+(INDEX('Price History'!K:K,MATCH(9.99E+307,'Price History'!$A:$A))-'Price History'!K3)*(ROW()-3)/(MATCH(9.99E+307,'Returns (Calc)'!$A:$A)-3),"")</f>
        <v>18.8377215189873</v>
      </c>
      <c r="AG93" s="144" t="n">
        <f aca="false">IFERROR('Price History'!L3+(INDEX('Price History'!L:L,MATCH(9.99E+307,'Price History'!$A:$A))-'Price History'!L3)*(ROW()-3)/(MATCH(9.99E+307,'Returns (Calc)'!$A:$A)-3),"")</f>
        <v>48.133670886076</v>
      </c>
      <c r="AH93" s="144" t="n">
        <f aca="false">IFERROR('Price History'!M3+(INDEX('Price History'!M:M,MATCH(9.99E+307,'Price History'!$A:$A))-'Price History'!M3)*(ROW()-3)/(MATCH(9.99E+307,'Returns (Calc)'!$A:$A)-3),"")</f>
        <v>6.59772151898734</v>
      </c>
      <c r="AI93" s="144" t="n">
        <f aca="false">IFERROR('Price History'!N3+(INDEX('Price History'!N:N,MATCH(9.99E+307,'Price History'!$A:$A))-'Price History'!N3)*(ROW()-3)/(MATCH(9.99E+307,'Returns (Calc)'!$A:$A)-3),"")</f>
        <v>9.38227848101266</v>
      </c>
      <c r="AJ93" s="144" t="n">
        <f aca="false">IFERROR('Price History'!O3+(INDEX('Price History'!O:O,MATCH(9.99E+307,'Price History'!$A:$A))-'Price History'!O3)*(ROW()-3)/(MATCH(9.99E+307,'Returns (Calc)'!$A:$A)-3),"")</f>
        <v>24.8027848101266</v>
      </c>
      <c r="AK93" s="144" t="n">
        <f aca="false">IFERROR('Price History'!Q3+(INDEX('Price History'!Q:Q,MATCH(9.99E+307,'Price History'!$A:$A))-'Price History'!Q3)*(ROW()-3)/(MATCH(9.99E+307,'Returns (Calc)'!$A:$A)-3),"")</f>
        <v>101.410379746835</v>
      </c>
      <c r="AL93" s="144" t="n">
        <f aca="false">IFERROR('Price History'!R3+(INDEX('Price History'!R:R,MATCH(9.99E+307,'Price History'!$A:$A))-'Price History'!R3)*(ROW()-3)/(MATCH(9.99E+307,'Returns (Calc)'!$A:$A)-3),"")</f>
        <v>20.5807594936709</v>
      </c>
      <c r="AM93" s="144" t="n">
        <f aca="false">IFERROR('Price History'!S3+(INDEX('Price History'!S:S,MATCH(9.99E+307,'Price History'!$A:$A))-'Price History'!S3)*(ROW()-3)/(MATCH(9.99E+307,'Returns (Calc)'!$A:$A)-3),"")</f>
        <v>25.1944303797468</v>
      </c>
      <c r="AN93" s="144" t="n">
        <f aca="false">IFERROR('Price History'!T3+(INDEX('Price History'!T:T,MATCH(9.99E+307,'Price History'!$A:$A))-'Price History'!T3)*(ROW()-3)/(MATCH(9.99E+307,'Returns (Calc)'!$A:$A)-3),"")</f>
        <v>11.5815189873418</v>
      </c>
      <c r="AO93" s="145" t="n">
        <f aca="false">IFERROR('Price History'!V3+(INDEX('Price History'!V:V,MATCH(9.99E+307,'Price History'!$A:$A))-'Price History'!V3)*(ROW()-3)/(MATCH(9.99E+307,'Returns (Calc)'!$A:$A)-3),"")</f>
        <v>0</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0.00171959188352622</v>
      </c>
      <c r="G94" s="142" t="n">
        <f aca="false">IFERROR(IF(OR(NOT(ISNUMBER('Price History'!G95)),NOT(ISNUMBER('Price History'!G94)),'Price History'!G94=0),"",'Price History'!G95/'Price History'!G94-1),"")</f>
        <v>-0.00898876404494398</v>
      </c>
      <c r="H94" s="142" t="n">
        <f aca="false">IFERROR(IF(OR(NOT(ISNUMBER('Price History'!H95)),NOT(ISNUMBER('Price History'!H94)),'Price History'!H94=0),"",'Price History'!H95/'Price History'!H94-1),"")</f>
        <v>0.00297475478372733</v>
      </c>
      <c r="I94" s="142" t="n">
        <f aca="false">IFERROR(IF(OR(NOT(ISNUMBER('Price History'!I95)),NOT(ISNUMBER('Price History'!I94)),'Price History'!I94=0),"",'Price History'!I95/'Price History'!I94-1),"")</f>
        <v>-0.020322842875392</v>
      </c>
      <c r="J94" s="142" t="n">
        <f aca="false">IFERROR(IF(OR(NOT(ISNUMBER('Price History'!J95)),NOT(ISNUMBER('Price History'!J94)),'Price History'!J94=0),"",'Price History'!J95/'Price History'!J94-1),"")</f>
        <v>0.0692047524065562</v>
      </c>
      <c r="K94" s="142" t="n">
        <f aca="false">IFERROR(IF(OR(NOT(ISNUMBER('Price History'!K95)),NOT(ISNUMBER('Price History'!K94)),'Price History'!K94=0),"",'Price History'!K95/'Price History'!K94-1),"")</f>
        <v>0.0132749611636773</v>
      </c>
      <c r="L94" s="142" t="n">
        <f aca="false">IFERROR(IF(OR(NOT(ISNUMBER('Price History'!L95)),NOT(ISNUMBER('Price History'!L94)),'Price History'!L94=0),"",'Price History'!L95/'Price History'!L94-1),"")</f>
        <v>-0.00538582060321202</v>
      </c>
      <c r="M94" s="142" t="n">
        <f aca="false">IFERROR(IF(OR(NOT(ISNUMBER('Price History'!M95)),NOT(ISNUMBER('Price History'!M94)),'Price History'!M94=0),"",'Price History'!M95/'Price History'!M94-1),"")</f>
        <v>-0.000727802037845615</v>
      </c>
      <c r="N94" s="142" t="n">
        <f aca="false">IFERROR(IF(OR(NOT(ISNUMBER('Price History'!N95)),NOT(ISNUMBER('Price History'!N94)),'Price History'!N94=0),"",'Price History'!N95/'Price History'!N94-1),"")</f>
        <v>-0.00745390349156527</v>
      </c>
      <c r="O94" s="142" t="n">
        <f aca="false">IFERROR(IF(OR(NOT(ISNUMBER('Price History'!O95)),NOT(ISNUMBER('Price History'!O94)),'Price History'!O94=0),"",'Price History'!O95/'Price History'!O94-1),"")</f>
        <v>0.00705433746425155</v>
      </c>
      <c r="P94" s="142" t="n">
        <f aca="false">IFERROR(IF(OR(NOT(ISNUMBER('Price History'!P95)),NOT(ISNUMBER('Price History'!P94)),'Price History'!P94=0),"",'Price History'!P95/'Price History'!P94-1),"")</f>
        <v>-0.00753973971089661</v>
      </c>
      <c r="Q94" s="142" t="n">
        <f aca="false">IFERROR(IF(OR(NOT(ISNUMBER('Price History'!Q95)),NOT(ISNUMBER('Price History'!Q94)),'Price History'!Q94=0),"",'Price History'!Q95/'Price History'!Q94-1),"")</f>
        <v>-0.0404933608058607</v>
      </c>
      <c r="R94" s="142" t="n">
        <f aca="false">IFERROR(IF(OR(NOT(ISNUMBER('Price History'!R95)),NOT(ISNUMBER('Price History'!R94)),'Price History'!R94=0),"",'Price History'!R95/'Price History'!R94-1),"")</f>
        <v>0.0172380398992833</v>
      </c>
      <c r="S94" s="142" t="n">
        <f aca="false">IFERROR(IF(OR(NOT(ISNUMBER('Price History'!S95)),NOT(ISNUMBER('Price History'!S94)),'Price History'!S94=0),"",'Price History'!S95/'Price History'!S94-1),"")</f>
        <v>0.0682372055239642</v>
      </c>
      <c r="T94" s="142" t="n">
        <f aca="false">IFERROR(IF(OR(NOT(ISNUMBER('Price History'!T95)),NOT(ISNUMBER('Price History'!T94)),'Price History'!T94=0),"",'Price History'!T95/'Price History'!T94-1),"")</f>
        <v>0.0431137724550901</v>
      </c>
      <c r="U94" s="142" t="str">
        <f aca="false">IFERROR(IF(OR(NOT(ISNUMBER('Price History'!U95)),NOT(ISNUMBER('Price History'!U94)),'Price History'!U94=0),"",'Price History'!U95/'Price History'!U94-1),"")</f>
        <v/>
      </c>
      <c r="V94" s="143" t="n">
        <f aca="false">IFERROR(IF(OR(NOT(ISNUMBER('Price History'!V95)),NOT(ISNUMBER('Price History'!V94)),'Price History'!V94=0),"",'Price History'!V95/'Price History'!V94-1),"")</f>
        <v>0.0374121359919666</v>
      </c>
      <c r="W94" s="144" t="str">
        <f aca="false">IFERROR('Price History'!B3+(INDEX('Price History'!B:B,MATCH(9.99E+307,'Price History'!$A:$A))-'Price History'!B3)*(ROW()-3)/(MATCH(9.99E+307,'Returns (Calc)'!$A:$A)-3),"")</f>
        <v/>
      </c>
      <c r="X94" s="144" t="n">
        <f aca="false">IFERROR('Price History'!C3+(INDEX('Price History'!C:C,MATCH(9.99E+307,'Price History'!$A:$A))-'Price History'!C3)*(ROW()-3)/(MATCH(9.99E+307,'Returns (Calc)'!$A:$A)-3),"")</f>
        <v>19.5826582278481</v>
      </c>
      <c r="Y94" s="144" t="n">
        <f aca="false">IFERROR('Price History'!D3+(INDEX('Price History'!D:D,MATCH(9.99E+307,'Price History'!$A:$A))-'Price History'!D3)*(ROW()-3)/(MATCH(9.99E+307,'Returns (Calc)'!$A:$A)-3),"")</f>
        <v>246.80170886076</v>
      </c>
      <c r="Z94" s="144" t="n">
        <f aca="false">IFERROR('Price History'!E3+(INDEX('Price History'!E:E,MATCH(9.99E+307,'Price History'!$A:$A))-'Price History'!E3)*(ROW()-3)/(MATCH(9.99E+307,'Returns (Calc)'!$A:$A)-3),"")</f>
        <v>34.7721518987342</v>
      </c>
      <c r="AA94" s="144" t="n">
        <f aca="false">IFERROR('Price History'!F3+(INDEX('Price History'!F:F,MATCH(9.99E+307,'Price History'!$A:$A))-'Price History'!F3)*(ROW()-3)/(MATCH(9.99E+307,'Returns (Calc)'!$A:$A)-3),"")</f>
        <v>31.935253164557</v>
      </c>
      <c r="AB94" s="144" t="n">
        <f aca="false">IFERROR('Price History'!G3+(INDEX('Price History'!G:G,MATCH(9.99E+307,'Price History'!$A:$A))-'Price History'!G3)*(ROW()-3)/(MATCH(9.99E+307,'Returns (Calc)'!$A:$A)-3),"")</f>
        <v>17.5387341772152</v>
      </c>
      <c r="AC94" s="144" t="n">
        <f aca="false">IFERROR('Price History'!H3+(INDEX('Price History'!H:H,MATCH(9.99E+307,'Price History'!$A:$A))-'Price History'!H3)*(ROW()-3)/(MATCH(9.99E+307,'Returns (Calc)'!$A:$A)-3),"")</f>
        <v>42.655253164557</v>
      </c>
      <c r="AD94" s="144" t="n">
        <f aca="false">IFERROR('Price History'!I3+(INDEX('Price History'!I:I,MATCH(9.99E+307,'Price History'!$A:$A))-'Price History'!I3)*(ROW()-3)/(MATCH(9.99E+307,'Returns (Calc)'!$A:$A)-3),"")</f>
        <v>18.8066455696203</v>
      </c>
      <c r="AE94" s="144" t="n">
        <f aca="false">IFERROR('Price History'!J3+(INDEX('Price History'!J:J,MATCH(9.99E+307,'Price History'!$A:$A))-'Price History'!J3)*(ROW()-3)/(MATCH(9.99E+307,'Returns (Calc)'!$A:$A)-3),"")</f>
        <v>29.3061392405063</v>
      </c>
      <c r="AF94" s="144" t="n">
        <f aca="false">IFERROR('Price History'!K3+(INDEX('Price History'!K:K,MATCH(9.99E+307,'Price History'!$A:$A))-'Price History'!K3)*(ROW()-3)/(MATCH(9.99E+307,'Returns (Calc)'!$A:$A)-3),"")</f>
        <v>18.5606962025317</v>
      </c>
      <c r="AG94" s="144" t="n">
        <f aca="false">IFERROR('Price History'!L3+(INDEX('Price History'!L:L,MATCH(9.99E+307,'Price History'!$A:$A))-'Price History'!L3)*(ROW()-3)/(MATCH(9.99E+307,'Returns (Calc)'!$A:$A)-3),"")</f>
        <v>47.4258227848101</v>
      </c>
      <c r="AH94" s="144" t="n">
        <f aca="false">IFERROR('Price History'!M3+(INDEX('Price History'!M:M,MATCH(9.99E+307,'Price History'!$A:$A))-'Price History'!M3)*(ROW()-3)/(MATCH(9.99E+307,'Returns (Calc)'!$A:$A)-3),"")</f>
        <v>6.50069620253165</v>
      </c>
      <c r="AI94" s="144" t="n">
        <f aca="false">IFERROR('Price History'!N3+(INDEX('Price History'!N:N,MATCH(9.99E+307,'Price History'!$A:$A))-'Price History'!N3)*(ROW()-3)/(MATCH(9.99E+307,'Returns (Calc)'!$A:$A)-3),"")</f>
        <v>9.24430379746836</v>
      </c>
      <c r="AJ94" s="144" t="n">
        <f aca="false">IFERROR('Price History'!O3+(INDEX('Price History'!O:O,MATCH(9.99E+307,'Price History'!$A:$A))-'Price History'!O3)*(ROW()-3)/(MATCH(9.99E+307,'Returns (Calc)'!$A:$A)-3),"")</f>
        <v>24.4380379746835</v>
      </c>
      <c r="AK94" s="144" t="n">
        <f aca="false">IFERROR('Price History'!Q3+(INDEX('Price History'!Q:Q,MATCH(9.99E+307,'Price History'!$A:$A))-'Price History'!Q3)*(ROW()-3)/(MATCH(9.99E+307,'Returns (Calc)'!$A:$A)-3),"")</f>
        <v>99.9190506329114</v>
      </c>
      <c r="AL94" s="144" t="n">
        <f aca="false">IFERROR('Price History'!R3+(INDEX('Price History'!R:R,MATCH(9.99E+307,'Price History'!$A:$A))-'Price History'!R3)*(ROW()-3)/(MATCH(9.99E+307,'Returns (Calc)'!$A:$A)-3),"")</f>
        <v>20.2781012658228</v>
      </c>
      <c r="AM94" s="144" t="n">
        <f aca="false">IFERROR('Price History'!S3+(INDEX('Price History'!S:S,MATCH(9.99E+307,'Price History'!$A:$A))-'Price History'!S3)*(ROW()-3)/(MATCH(9.99E+307,'Returns (Calc)'!$A:$A)-3),"")</f>
        <v>24.8239240506329</v>
      </c>
      <c r="AN94" s="144" t="n">
        <f aca="false">IFERROR('Price History'!T3+(INDEX('Price History'!T:T,MATCH(9.99E+307,'Price History'!$A:$A))-'Price History'!T3)*(ROW()-3)/(MATCH(9.99E+307,'Returns (Calc)'!$A:$A)-3),"")</f>
        <v>11.4112025316456</v>
      </c>
      <c r="AO94" s="145" t="n">
        <f aca="false">IFERROR('Price History'!V3+(INDEX('Price History'!V:V,MATCH(9.99E+307,'Price History'!$A:$A))-'Price History'!V3)*(ROW()-3)/(MATCH(9.99E+307,'Returns (Calc)'!$A:$A)-3),"")</f>
        <v>0</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0.0255207141222249</v>
      </c>
      <c r="G95" s="142" t="n">
        <f aca="false">IFERROR(IF(OR(NOT(ISNUMBER('Price History'!G96)),NOT(ISNUMBER('Price History'!G95)),'Price History'!G95=0),"",'Price History'!G96/'Price History'!G95-1),"")</f>
        <v>0.0483749055177627</v>
      </c>
      <c r="H95" s="142" t="n">
        <f aca="false">IFERROR(IF(OR(NOT(ISNUMBER('Price History'!H96)),NOT(ISNUMBER('Price History'!H95)),'Price History'!H95=0),"",'Price History'!H96/'Price History'!H95-1),"")</f>
        <v>0.0137875751503005</v>
      </c>
      <c r="I95" s="142" t="n">
        <f aca="false">IFERROR(IF(OR(NOT(ISNUMBER('Price History'!I96)),NOT(ISNUMBER('Price History'!I95)),'Price History'!I95=0),"",'Price History'!I96/'Price History'!I95-1),"")</f>
        <v>0.0469416785206258</v>
      </c>
      <c r="J95" s="142" t="n">
        <f aca="false">IFERROR(IF(OR(NOT(ISNUMBER('Price History'!J96)),NOT(ISNUMBER('Price History'!J95)),'Price History'!J95=0),"",'Price History'!J96/'Price History'!J95-1),"")</f>
        <v>0.00932760158974766</v>
      </c>
      <c r="K95" s="142" t="n">
        <f aca="false">IFERROR(IF(OR(NOT(ISNUMBER('Price History'!K96)),NOT(ISNUMBER('Price History'!K95)),'Price History'!K95=0),"",'Price History'!K96/'Price History'!K95-1),"")</f>
        <v>0.0965853658536586</v>
      </c>
      <c r="L95" s="142" t="n">
        <f aca="false">IFERROR(IF(OR(NOT(ISNUMBER('Price History'!L96)),NOT(ISNUMBER('Price History'!L95)),'Price History'!L95=0),"",'Price History'!L96/'Price History'!L95-1),"")</f>
        <v>-0.000689179875947521</v>
      </c>
      <c r="M95" s="142" t="n">
        <f aca="false">IFERROR(IF(OR(NOT(ISNUMBER('Price History'!M96)),NOT(ISNUMBER('Price History'!M95)),'Price History'!M95=0),"",'Price History'!M96/'Price History'!M95-1),"")</f>
        <v>-0.0477785870356883</v>
      </c>
      <c r="N95" s="142" t="n">
        <f aca="false">IFERROR(IF(OR(NOT(ISNUMBER('Price History'!N96)),NOT(ISNUMBER('Price History'!N95)),'Price History'!N95=0),"",'Price History'!N96/'Price History'!N95-1),"")</f>
        <v>-0.00197628458498023</v>
      </c>
      <c r="O95" s="142" t="n">
        <f aca="false">IFERROR(IF(OR(NOT(ISNUMBER('Price History'!O96)),NOT(ISNUMBER('Price History'!O95)),'Price History'!O95=0),"",'Price History'!O96/'Price History'!O95-1),"")</f>
        <v>0.048182506626278</v>
      </c>
      <c r="P95" s="142" t="n">
        <f aca="false">IFERROR(IF(OR(NOT(ISNUMBER('Price History'!P96)),NOT(ISNUMBER('Price History'!P95)),'Price History'!P95=0),"",'Price History'!P96/'Price History'!P95-1),"")</f>
        <v>0.0909706764734346</v>
      </c>
      <c r="Q95" s="142" t="n">
        <f aca="false">IFERROR(IF(OR(NOT(ISNUMBER('Price History'!Q96)),NOT(ISNUMBER('Price History'!Q95)),'Price History'!Q95=0),"",'Price History'!Q96/'Price History'!Q95-1),"")</f>
        <v>0.0296758030361777</v>
      </c>
      <c r="R95" s="142" t="n">
        <f aca="false">IFERROR(IF(OR(NOT(ISNUMBER('Price History'!R96)),NOT(ISNUMBER('Price History'!R95)),'Price History'!R95=0),"",'Price History'!R96/'Price History'!R95-1),"")</f>
        <v>-0.00913937547600918</v>
      </c>
      <c r="S95" s="142" t="n">
        <f aca="false">IFERROR(IF(OR(NOT(ISNUMBER('Price History'!S96)),NOT(ISNUMBER('Price History'!S95)),'Price History'!S95=0),"",'Price History'!S96/'Price History'!S95-1),"")</f>
        <v>-0.0223384030418252</v>
      </c>
      <c r="T95" s="142" t="n">
        <f aca="false">IFERROR(IF(OR(NOT(ISNUMBER('Price History'!T96)),NOT(ISNUMBER('Price History'!T95)),'Price History'!T95=0),"",'Price History'!T96/'Price History'!T95-1),"")</f>
        <v>-0.0347301951779564</v>
      </c>
      <c r="U95" s="142" t="str">
        <f aca="false">IFERROR(IF(OR(NOT(ISNUMBER('Price History'!U96)),NOT(ISNUMBER('Price History'!U95)),'Price History'!U95=0),"",'Price History'!U96/'Price History'!U95-1),"")</f>
        <v/>
      </c>
      <c r="V95" s="143" t="n">
        <f aca="false">IFERROR(IF(OR(NOT(ISNUMBER('Price History'!V96)),NOT(ISNUMBER('Price History'!V95)),'Price History'!V95=0),"",'Price History'!V96/'Price History'!V95-1),"")</f>
        <v>-0.0317210099836831</v>
      </c>
      <c r="W95" s="144" t="str">
        <f aca="false">IFERROR('Price History'!B3+(INDEX('Price History'!B:B,MATCH(9.99E+307,'Price History'!$A:$A))-'Price History'!B3)*(ROW()-3)/(MATCH(9.99E+307,'Returns (Calc)'!$A:$A)-3),"")</f>
        <v/>
      </c>
      <c r="X95" s="144" t="n">
        <f aca="false">IFERROR('Price History'!C3+(INDEX('Price History'!C:C,MATCH(9.99E+307,'Price History'!$A:$A))-'Price History'!C3)*(ROW()-3)/(MATCH(9.99E+307,'Returns (Calc)'!$A:$A)-3),"")</f>
        <v>19.2903797468354</v>
      </c>
      <c r="Y95" s="144" t="n">
        <f aca="false">IFERROR('Price History'!D3+(INDEX('Price History'!D:D,MATCH(9.99E+307,'Price History'!$A:$A))-'Price History'!D3)*(ROW()-3)/(MATCH(9.99E+307,'Returns (Calc)'!$A:$A)-3),"")</f>
        <v>243.118101265823</v>
      </c>
      <c r="Z95" s="144" t="n">
        <f aca="false">IFERROR('Price History'!E3+(INDEX('Price History'!E:E,MATCH(9.99E+307,'Price History'!$A:$A))-'Price History'!E3)*(ROW()-3)/(MATCH(9.99E+307,'Returns (Calc)'!$A:$A)-3),"")</f>
        <v>34.253164556962</v>
      </c>
      <c r="AA95" s="144" t="n">
        <f aca="false">IFERROR('Price History'!F3+(INDEX('Price History'!F:F,MATCH(9.99E+307,'Price History'!$A:$A))-'Price History'!F3)*(ROW()-3)/(MATCH(9.99E+307,'Returns (Calc)'!$A:$A)-3),"")</f>
        <v>31.4586075949367</v>
      </c>
      <c r="AB95" s="144" t="n">
        <f aca="false">IFERROR('Price History'!G3+(INDEX('Price History'!G:G,MATCH(9.99E+307,'Price History'!$A:$A))-'Price History'!G3)*(ROW()-3)/(MATCH(9.99E+307,'Returns (Calc)'!$A:$A)-3),"")</f>
        <v>17.2769620253165</v>
      </c>
      <c r="AC95" s="144" t="n">
        <f aca="false">IFERROR('Price History'!H3+(INDEX('Price History'!H:H,MATCH(9.99E+307,'Price History'!$A:$A))-'Price History'!H3)*(ROW()-3)/(MATCH(9.99E+307,'Returns (Calc)'!$A:$A)-3),"")</f>
        <v>42.0186075949367</v>
      </c>
      <c r="AD95" s="144" t="n">
        <f aca="false">IFERROR('Price History'!I3+(INDEX('Price History'!I:I,MATCH(9.99E+307,'Price History'!$A:$A))-'Price History'!I3)*(ROW()-3)/(MATCH(9.99E+307,'Returns (Calc)'!$A:$A)-3),"")</f>
        <v>18.5259493670886</v>
      </c>
      <c r="AE95" s="144" t="n">
        <f aca="false">IFERROR('Price History'!J3+(INDEX('Price History'!J:J,MATCH(9.99E+307,'Price History'!$A:$A))-'Price History'!J3)*(ROW()-3)/(MATCH(9.99E+307,'Returns (Calc)'!$A:$A)-3),"")</f>
        <v>28.8687341772152</v>
      </c>
      <c r="AF95" s="144" t="n">
        <f aca="false">IFERROR('Price History'!K3+(INDEX('Price History'!K:K,MATCH(9.99E+307,'Price History'!$A:$A))-'Price History'!K3)*(ROW()-3)/(MATCH(9.99E+307,'Returns (Calc)'!$A:$A)-3),"")</f>
        <v>18.283670886076</v>
      </c>
      <c r="AG95" s="144" t="n">
        <f aca="false">IFERROR('Price History'!L3+(INDEX('Price History'!L:L,MATCH(9.99E+307,'Price History'!$A:$A))-'Price History'!L3)*(ROW()-3)/(MATCH(9.99E+307,'Returns (Calc)'!$A:$A)-3),"")</f>
        <v>46.7179746835443</v>
      </c>
      <c r="AH95" s="144" t="n">
        <f aca="false">IFERROR('Price History'!M3+(INDEX('Price History'!M:M,MATCH(9.99E+307,'Price History'!$A:$A))-'Price History'!M3)*(ROW()-3)/(MATCH(9.99E+307,'Returns (Calc)'!$A:$A)-3),"")</f>
        <v>6.40367088607595</v>
      </c>
      <c r="AI95" s="144" t="n">
        <f aca="false">IFERROR('Price History'!N3+(INDEX('Price History'!N:N,MATCH(9.99E+307,'Price History'!$A:$A))-'Price History'!N3)*(ROW()-3)/(MATCH(9.99E+307,'Returns (Calc)'!$A:$A)-3),"")</f>
        <v>9.10632911392405</v>
      </c>
      <c r="AJ95" s="144" t="n">
        <f aca="false">IFERROR('Price History'!O3+(INDEX('Price History'!O:O,MATCH(9.99E+307,'Price History'!$A:$A))-'Price History'!O3)*(ROW()-3)/(MATCH(9.99E+307,'Returns (Calc)'!$A:$A)-3),"")</f>
        <v>24.0732911392405</v>
      </c>
      <c r="AK95" s="144" t="n">
        <f aca="false">IFERROR('Price History'!Q3+(INDEX('Price History'!Q:Q,MATCH(9.99E+307,'Price History'!$A:$A))-'Price History'!Q3)*(ROW()-3)/(MATCH(9.99E+307,'Returns (Calc)'!$A:$A)-3),"")</f>
        <v>98.4277215189873</v>
      </c>
      <c r="AL95" s="144" t="n">
        <f aca="false">IFERROR('Price History'!R3+(INDEX('Price History'!R:R,MATCH(9.99E+307,'Price History'!$A:$A))-'Price History'!R3)*(ROW()-3)/(MATCH(9.99E+307,'Returns (Calc)'!$A:$A)-3),"")</f>
        <v>19.9754430379747</v>
      </c>
      <c r="AM95" s="144" t="n">
        <f aca="false">IFERROR('Price History'!S3+(INDEX('Price History'!S:S,MATCH(9.99E+307,'Price History'!$A:$A))-'Price History'!S3)*(ROW()-3)/(MATCH(9.99E+307,'Returns (Calc)'!$A:$A)-3),"")</f>
        <v>24.453417721519</v>
      </c>
      <c r="AN95" s="144" t="n">
        <f aca="false">IFERROR('Price History'!T3+(INDEX('Price History'!T:T,MATCH(9.99E+307,'Price History'!$A:$A))-'Price History'!T3)*(ROW()-3)/(MATCH(9.99E+307,'Returns (Calc)'!$A:$A)-3),"")</f>
        <v>11.2408860759494</v>
      </c>
      <c r="AO95" s="145" t="n">
        <f aca="false">IFERROR('Price History'!V3+(INDEX('Price History'!V:V,MATCH(9.99E+307,'Price History'!$A:$A))-'Price History'!V3)*(ROW()-3)/(MATCH(9.99E+307,'Returns (Calc)'!$A:$A)-3),"")</f>
        <v>0</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0.0416248186586319</v>
      </c>
      <c r="G96" s="142" t="n">
        <f aca="false">IFERROR(IF(OR(NOT(ISNUMBER('Price History'!G97)),NOT(ISNUMBER('Price History'!G96)),'Price History'!G96=0),"",'Price History'!G97/'Price History'!G96-1),"")</f>
        <v>0.0295602018745496</v>
      </c>
      <c r="H96" s="142" t="n">
        <f aca="false">IFERROR(IF(OR(NOT(ISNUMBER('Price History'!H97)),NOT(ISNUMBER('Price History'!H96)),'Price History'!H96=0),"",'Price History'!H97/'Price History'!H96-1),"")</f>
        <v>0.0341582984106903</v>
      </c>
      <c r="I96" s="142" t="n">
        <f aca="false">IFERROR(IF(OR(NOT(ISNUMBER('Price History'!I97)),NOT(ISNUMBER('Price History'!I96)),'Price History'!I96=0),"",'Price History'!I97/'Price History'!I96-1),"")</f>
        <v>0.0389492753623191</v>
      </c>
      <c r="J96" s="142" t="n">
        <f aca="false">IFERROR(IF(OR(NOT(ISNUMBER('Price History'!J97)),NOT(ISNUMBER('Price History'!J96)),'Price History'!J96=0),"",'Price History'!J97/'Price History'!J96-1),"")</f>
        <v>-0.01976856316297</v>
      </c>
      <c r="K96" s="142" t="n">
        <f aca="false">IFERROR(IF(OR(NOT(ISNUMBER('Price History'!K97)),NOT(ISNUMBER('Price History'!K96)),'Price History'!K96=0),"",'Price History'!K97/'Price History'!K96-1),"")</f>
        <v>0.0101042196237924</v>
      </c>
      <c r="L96" s="142" t="n">
        <f aca="false">IFERROR(IF(OR(NOT(ISNUMBER('Price History'!L97)),NOT(ISNUMBER('Price History'!L96)),'Price History'!L96=0),"",'Price History'!L97/'Price History'!L96-1),"")</f>
        <v>0.0227586206896553</v>
      </c>
      <c r="M96" s="142" t="n">
        <f aca="false">IFERROR(IF(OR(NOT(ISNUMBER('Price History'!M97)),NOT(ISNUMBER('Price History'!M96)),'Price History'!M96=0),"",'Price History'!M97/'Price History'!M96-1),"")</f>
        <v>0.0276885421447148</v>
      </c>
      <c r="N96" s="142" t="n">
        <f aca="false">IFERROR(IF(OR(NOT(ISNUMBER('Price History'!N97)),NOT(ISNUMBER('Price History'!N96)),'Price History'!N96=0),"",'Price History'!N97/'Price History'!N96-1),"")</f>
        <v>0.0364356435643565</v>
      </c>
      <c r="O96" s="142" t="n">
        <f aca="false">IFERROR(IF(OR(NOT(ISNUMBER('Price History'!O97)),NOT(ISNUMBER('Price History'!O96)),'Price History'!O96=0),"",'Price History'!O97/'Price History'!O96-1),"")</f>
        <v>0.00596044432403131</v>
      </c>
      <c r="P96" s="142" t="n">
        <f aca="false">IFERROR(IF(OR(NOT(ISNUMBER('Price History'!P97)),NOT(ISNUMBER('Price History'!P96)),'Price History'!P96=0),"",'Price History'!P97/'Price History'!P96-1),"")</f>
        <v>0.0272775658653419</v>
      </c>
      <c r="Q96" s="142" t="n">
        <f aca="false">IFERROR(IF(OR(NOT(ISNUMBER('Price History'!Q97)),NOT(ISNUMBER('Price History'!Q96)),'Price History'!Q96=0),"",'Price History'!Q97/'Price History'!Q96-1),"")</f>
        <v>0.0293998377939984</v>
      </c>
      <c r="R96" s="142" t="n">
        <f aca="false">IFERROR(IF(OR(NOT(ISNUMBER('Price History'!R97)),NOT(ISNUMBER('Price History'!R96)),'Price History'!R96=0),"",'Price History'!R97/'Price History'!R96-1),"")</f>
        <v>0.0113374327440432</v>
      </c>
      <c r="S96" s="142" t="n">
        <f aca="false">IFERROR(IF(OR(NOT(ISNUMBER('Price History'!S97)),NOT(ISNUMBER('Price History'!S96)),'Price History'!S96=0),"",'Price History'!S97/'Price History'!S96-1),"")</f>
        <v>0.0243072435585805</v>
      </c>
      <c r="T96" s="142" t="n">
        <f aca="false">IFERROR(IF(OR(NOT(ISNUMBER('Price History'!T97)),NOT(ISNUMBER('Price History'!T96)),'Price History'!T96=0),"",'Price History'!T97/'Price History'!T96-1),"")</f>
        <v>0.007731192387749</v>
      </c>
      <c r="U96" s="142" t="str">
        <f aca="false">IFERROR(IF(OR(NOT(ISNUMBER('Price History'!U97)),NOT(ISNUMBER('Price History'!U96)),'Price History'!U96=0),"",'Price History'!U97/'Price History'!U96-1),"")</f>
        <v/>
      </c>
      <c r="V96" s="143" t="n">
        <f aca="false">IFERROR(IF(OR(NOT(ISNUMBER('Price History'!V97)),NOT(ISNUMBER('Price History'!V96)),'Price History'!V96=0),"",'Price History'!V97/'Price History'!V96-1),"")</f>
        <v>0.0329601279561294</v>
      </c>
      <c r="W96" s="144" t="str">
        <f aca="false">IFERROR('Price History'!B3+(INDEX('Price History'!B:B,MATCH(9.99E+307,'Price History'!$A:$A))-'Price History'!B3)*(ROW()-3)/(MATCH(9.99E+307,'Returns (Calc)'!$A:$A)-3),"")</f>
        <v/>
      </c>
      <c r="X96" s="144" t="n">
        <f aca="false">IFERROR('Price History'!C3+(INDEX('Price History'!C:C,MATCH(9.99E+307,'Price History'!$A:$A))-'Price History'!C3)*(ROW()-3)/(MATCH(9.99E+307,'Returns (Calc)'!$A:$A)-3),"")</f>
        <v>18.9981012658228</v>
      </c>
      <c r="Y96" s="144" t="n">
        <f aca="false">IFERROR('Price History'!D3+(INDEX('Price History'!D:D,MATCH(9.99E+307,'Price History'!$A:$A))-'Price History'!D3)*(ROW()-3)/(MATCH(9.99E+307,'Returns (Calc)'!$A:$A)-3),"")</f>
        <v>239.434493670886</v>
      </c>
      <c r="Z96" s="144" t="n">
        <f aca="false">IFERROR('Price History'!E3+(INDEX('Price History'!E:E,MATCH(9.99E+307,'Price History'!$A:$A))-'Price History'!E3)*(ROW()-3)/(MATCH(9.99E+307,'Returns (Calc)'!$A:$A)-3),"")</f>
        <v>33.7341772151899</v>
      </c>
      <c r="AA96" s="144" t="n">
        <f aca="false">IFERROR('Price History'!F3+(INDEX('Price History'!F:F,MATCH(9.99E+307,'Price History'!$A:$A))-'Price History'!F3)*(ROW()-3)/(MATCH(9.99E+307,'Returns (Calc)'!$A:$A)-3),"")</f>
        <v>30.9819620253165</v>
      </c>
      <c r="AB96" s="144" t="n">
        <f aca="false">IFERROR('Price History'!G3+(INDEX('Price History'!G:G,MATCH(9.99E+307,'Price History'!$A:$A))-'Price History'!G3)*(ROW()-3)/(MATCH(9.99E+307,'Returns (Calc)'!$A:$A)-3),"")</f>
        <v>17.0151898734177</v>
      </c>
      <c r="AC96" s="144" t="n">
        <f aca="false">IFERROR('Price History'!H3+(INDEX('Price History'!H:H,MATCH(9.99E+307,'Price History'!$A:$A))-'Price History'!H3)*(ROW()-3)/(MATCH(9.99E+307,'Returns (Calc)'!$A:$A)-3),"")</f>
        <v>41.3819620253165</v>
      </c>
      <c r="AD96" s="144" t="n">
        <f aca="false">IFERROR('Price History'!I3+(INDEX('Price History'!I:I,MATCH(9.99E+307,'Price History'!$A:$A))-'Price History'!I3)*(ROW()-3)/(MATCH(9.99E+307,'Returns (Calc)'!$A:$A)-3),"")</f>
        <v>18.245253164557</v>
      </c>
      <c r="AE96" s="144" t="n">
        <f aca="false">IFERROR('Price History'!J3+(INDEX('Price History'!J:J,MATCH(9.99E+307,'Price History'!$A:$A))-'Price History'!J3)*(ROW()-3)/(MATCH(9.99E+307,'Returns (Calc)'!$A:$A)-3),"")</f>
        <v>28.4313291139241</v>
      </c>
      <c r="AF96" s="144" t="n">
        <f aca="false">IFERROR('Price History'!K3+(INDEX('Price History'!K:K,MATCH(9.99E+307,'Price History'!$A:$A))-'Price History'!K3)*(ROW()-3)/(MATCH(9.99E+307,'Returns (Calc)'!$A:$A)-3),"")</f>
        <v>18.0066455696203</v>
      </c>
      <c r="AG96" s="144" t="n">
        <f aca="false">IFERROR('Price History'!L3+(INDEX('Price History'!L:L,MATCH(9.99E+307,'Price History'!$A:$A))-'Price History'!L3)*(ROW()-3)/(MATCH(9.99E+307,'Returns (Calc)'!$A:$A)-3),"")</f>
        <v>46.0101265822785</v>
      </c>
      <c r="AH96" s="144" t="n">
        <f aca="false">IFERROR('Price History'!M3+(INDEX('Price History'!M:M,MATCH(9.99E+307,'Price History'!$A:$A))-'Price History'!M3)*(ROW()-3)/(MATCH(9.99E+307,'Returns (Calc)'!$A:$A)-3),"")</f>
        <v>6.30664556962025</v>
      </c>
      <c r="AI96" s="144" t="n">
        <f aca="false">IFERROR('Price History'!N3+(INDEX('Price History'!N:N,MATCH(9.99E+307,'Price History'!$A:$A))-'Price History'!N3)*(ROW()-3)/(MATCH(9.99E+307,'Returns (Calc)'!$A:$A)-3),"")</f>
        <v>8.96835443037975</v>
      </c>
      <c r="AJ96" s="144" t="n">
        <f aca="false">IFERROR('Price History'!O3+(INDEX('Price History'!O:O,MATCH(9.99E+307,'Price History'!$A:$A))-'Price History'!O3)*(ROW()-3)/(MATCH(9.99E+307,'Returns (Calc)'!$A:$A)-3),"")</f>
        <v>23.7085443037975</v>
      </c>
      <c r="AK96" s="144" t="n">
        <f aca="false">IFERROR('Price History'!Q3+(INDEX('Price History'!Q:Q,MATCH(9.99E+307,'Price History'!$A:$A))-'Price History'!Q3)*(ROW()-3)/(MATCH(9.99E+307,'Returns (Calc)'!$A:$A)-3),"")</f>
        <v>96.9363924050633</v>
      </c>
      <c r="AL96" s="144" t="n">
        <f aca="false">IFERROR('Price History'!R3+(INDEX('Price History'!R:R,MATCH(9.99E+307,'Price History'!$A:$A))-'Price History'!R3)*(ROW()-3)/(MATCH(9.99E+307,'Returns (Calc)'!$A:$A)-3),"")</f>
        <v>19.6727848101266</v>
      </c>
      <c r="AM96" s="144" t="n">
        <f aca="false">IFERROR('Price History'!S3+(INDEX('Price History'!S:S,MATCH(9.99E+307,'Price History'!$A:$A))-'Price History'!S3)*(ROW()-3)/(MATCH(9.99E+307,'Returns (Calc)'!$A:$A)-3),"")</f>
        <v>24.0829113924051</v>
      </c>
      <c r="AN96" s="144" t="n">
        <f aca="false">IFERROR('Price History'!T3+(INDEX('Price History'!T:T,MATCH(9.99E+307,'Price History'!$A:$A))-'Price History'!T3)*(ROW()-3)/(MATCH(9.99E+307,'Returns (Calc)'!$A:$A)-3),"")</f>
        <v>11.0705696202532</v>
      </c>
      <c r="AO96" s="145" t="n">
        <f aca="false">IFERROR('Price History'!V3+(INDEX('Price History'!V:V,MATCH(9.99E+307,'Price History'!$A:$A))-'Price History'!V3)*(ROW()-3)/(MATCH(9.99E+307,'Returns (Calc)'!$A:$A)-3),"")</f>
        <v>0</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-0.00128562245553898</v>
      </c>
      <c r="G97" s="142" t="n">
        <f aca="false">IFERROR(IF(OR(NOT(ISNUMBER('Price History'!G98)),NOT(ISNUMBER('Price History'!G97)),'Price History'!G97=0),"",'Price History'!G98/'Price History'!G97-1),"")</f>
        <v>-0.0693277310924371</v>
      </c>
      <c r="H97" s="142" t="n">
        <f aca="false">IFERROR(IF(OR(NOT(ISNUMBER('Price History'!H98)),NOT(ISNUMBER('Price History'!H97)),'Price History'!H97=0),"",'Price History'!H98/'Price History'!H97-1),"")</f>
        <v>-0.00336417157275015</v>
      </c>
      <c r="I97" s="142" t="n">
        <f aca="false">IFERROR(IF(OR(NOT(ISNUMBER('Price History'!I98)),NOT(ISNUMBER('Price History'!I97)),'Price History'!I97=0),"",'Price History'!I98/'Price History'!I97-1),"")</f>
        <v>0</v>
      </c>
      <c r="J97" s="142" t="n">
        <f aca="false">IFERROR(IF(OR(NOT(ISNUMBER('Price History'!J98)),NOT(ISNUMBER('Price History'!J97)),'Price History'!J97=0),"",'Price History'!J98/'Price History'!J97-1),"")</f>
        <v>0.0192654533530086</v>
      </c>
      <c r="K97" s="142" t="n">
        <f aca="false">IFERROR(IF(OR(NOT(ISNUMBER('Price History'!K98)),NOT(ISNUMBER('Price History'!K97)),'Price History'!K97=0),"",'Price History'!K98/'Price History'!K97-1),"")</f>
        <v>0.0350424661843349</v>
      </c>
      <c r="L97" s="142" t="n">
        <f aca="false">IFERROR(IF(OR(NOT(ISNUMBER('Price History'!L98)),NOT(ISNUMBER('Price History'!L97)),'Price History'!L97=0),"",'Price History'!L98/'Price History'!L97-1),"")</f>
        <v>0.0105962816684326</v>
      </c>
      <c r="M97" s="142" t="n">
        <f aca="false">IFERROR(IF(OR(NOT(ISNUMBER('Price History'!M98)),NOT(ISNUMBER('Price History'!M97)),'Price History'!M97=0),"",'Price History'!M98/'Price History'!M97-1),"")</f>
        <v>0.0576064304852633</v>
      </c>
      <c r="N97" s="142" t="n">
        <f aca="false">IFERROR(IF(OR(NOT(ISNUMBER('Price History'!N98)),NOT(ISNUMBER('Price History'!N97)),'Price History'!N97=0),"",'Price History'!N98/'Price History'!N97-1),"")</f>
        <v>-0.000764233855559904</v>
      </c>
      <c r="O97" s="142" t="n">
        <f aca="false">IFERROR(IF(OR(NOT(ISNUMBER('Price History'!O98)),NOT(ISNUMBER('Price History'!O97)),'Price History'!O97=0),"",'Price History'!O98/'Price History'!O97-1),"")</f>
        <v>-0.00305233863003862</v>
      </c>
      <c r="P97" s="142" t="n">
        <f aca="false">IFERROR(IF(OR(NOT(ISNUMBER('Price History'!P98)),NOT(ISNUMBER('Price History'!P97)),'Price History'!P97=0),"",'Price History'!P98/'Price History'!P97-1),"")</f>
        <v>-0.0187383964422952</v>
      </c>
      <c r="Q97" s="142" t="n">
        <f aca="false">IFERROR(IF(OR(NOT(ISNUMBER('Price History'!Q98)),NOT(ISNUMBER('Price History'!Q97)),'Price History'!Q97=0),"",'Price History'!Q98/'Price History'!Q97-1),"")</f>
        <v>-0.0304735642533555</v>
      </c>
      <c r="R97" s="142" t="n">
        <f aca="false">IFERROR(IF(OR(NOT(ISNUMBER('Price History'!R98)),NOT(ISNUMBER('Price History'!R97)),'Price History'!R97=0),"",'Price History'!R98/'Price History'!R97-1),"")</f>
        <v>0.00133003990119707</v>
      </c>
      <c r="S97" s="142" t="n">
        <f aca="false">IFERROR(IF(OR(NOT(ISNUMBER('Price History'!S98)),NOT(ISNUMBER('Price History'!S97)),'Price History'!S97=0),"",'Price History'!S98/'Price History'!S97-1),"")</f>
        <v>0.0149027052681538</v>
      </c>
      <c r="T97" s="142" t="n">
        <f aca="false">IFERROR(IF(OR(NOT(ISNUMBER('Price History'!T98)),NOT(ISNUMBER('Price History'!T97)),'Price History'!T97=0),"",'Price History'!T98/'Price History'!T97-1),"")</f>
        <v>0.023605783416937</v>
      </c>
      <c r="U97" s="142" t="str">
        <f aca="false">IFERROR(IF(OR(NOT(ISNUMBER('Price History'!U98)),NOT(ISNUMBER('Price History'!U97)),'Price History'!U97=0),"",'Price History'!U98/'Price History'!U97-1),"")</f>
        <v/>
      </c>
      <c r="V97" s="143" t="n">
        <f aca="false">IFERROR(IF(OR(NOT(ISNUMBER('Price History'!V98)),NOT(ISNUMBER('Price History'!V97)),'Price History'!V97=0),"",'Price History'!V98/'Price History'!V97-1),"")</f>
        <v>0.0137698390753747</v>
      </c>
      <c r="W97" s="144" t="str">
        <f aca="false">IFERROR('Price History'!B3+(INDEX('Price History'!B:B,MATCH(9.99E+307,'Price History'!$A:$A))-'Price History'!B3)*(ROW()-3)/(MATCH(9.99E+307,'Returns (Calc)'!$A:$A)-3),"")</f>
        <v/>
      </c>
      <c r="X97" s="144" t="n">
        <f aca="false">IFERROR('Price History'!C3+(INDEX('Price History'!C:C,MATCH(9.99E+307,'Price History'!$A:$A))-'Price History'!C3)*(ROW()-3)/(MATCH(9.99E+307,'Returns (Calc)'!$A:$A)-3),"")</f>
        <v>18.7058227848101</v>
      </c>
      <c r="Y97" s="144" t="n">
        <f aca="false">IFERROR('Price History'!D3+(INDEX('Price History'!D:D,MATCH(9.99E+307,'Price History'!$A:$A))-'Price History'!D3)*(ROW()-3)/(MATCH(9.99E+307,'Returns (Calc)'!$A:$A)-3),"")</f>
        <v>235.750886075949</v>
      </c>
      <c r="Z97" s="144" t="n">
        <f aca="false">IFERROR('Price History'!E3+(INDEX('Price History'!E:E,MATCH(9.99E+307,'Price History'!$A:$A))-'Price History'!E3)*(ROW()-3)/(MATCH(9.99E+307,'Returns (Calc)'!$A:$A)-3),"")</f>
        <v>33.2151898734177</v>
      </c>
      <c r="AA97" s="144" t="n">
        <f aca="false">IFERROR('Price History'!F3+(INDEX('Price History'!F:F,MATCH(9.99E+307,'Price History'!$A:$A))-'Price History'!F3)*(ROW()-3)/(MATCH(9.99E+307,'Returns (Calc)'!$A:$A)-3),"")</f>
        <v>30.5053164556962</v>
      </c>
      <c r="AB97" s="144" t="n">
        <f aca="false">IFERROR('Price History'!G3+(INDEX('Price History'!G:G,MATCH(9.99E+307,'Price History'!$A:$A))-'Price History'!G3)*(ROW()-3)/(MATCH(9.99E+307,'Returns (Calc)'!$A:$A)-3),"")</f>
        <v>16.753417721519</v>
      </c>
      <c r="AC97" s="144" t="n">
        <f aca="false">IFERROR('Price History'!H3+(INDEX('Price History'!H:H,MATCH(9.99E+307,'Price History'!$A:$A))-'Price History'!H3)*(ROW()-3)/(MATCH(9.99E+307,'Returns (Calc)'!$A:$A)-3),"")</f>
        <v>40.7453164556962</v>
      </c>
      <c r="AD97" s="144" t="n">
        <f aca="false">IFERROR('Price History'!I3+(INDEX('Price History'!I:I,MATCH(9.99E+307,'Price History'!$A:$A))-'Price History'!I3)*(ROW()-3)/(MATCH(9.99E+307,'Returns (Calc)'!$A:$A)-3),"")</f>
        <v>17.9645569620253</v>
      </c>
      <c r="AE97" s="144" t="n">
        <f aca="false">IFERROR('Price History'!J3+(INDEX('Price History'!J:J,MATCH(9.99E+307,'Price History'!$A:$A))-'Price History'!J3)*(ROW()-3)/(MATCH(9.99E+307,'Returns (Calc)'!$A:$A)-3),"")</f>
        <v>27.9939240506329</v>
      </c>
      <c r="AF97" s="144" t="n">
        <f aca="false">IFERROR('Price History'!K3+(INDEX('Price History'!K:K,MATCH(9.99E+307,'Price History'!$A:$A))-'Price History'!K3)*(ROW()-3)/(MATCH(9.99E+307,'Returns (Calc)'!$A:$A)-3),"")</f>
        <v>17.7296202531646</v>
      </c>
      <c r="AG97" s="144" t="n">
        <f aca="false">IFERROR('Price History'!L3+(INDEX('Price History'!L:L,MATCH(9.99E+307,'Price History'!$A:$A))-'Price History'!L3)*(ROW()-3)/(MATCH(9.99E+307,'Returns (Calc)'!$A:$A)-3),"")</f>
        <v>45.3022784810127</v>
      </c>
      <c r="AH97" s="144" t="n">
        <f aca="false">IFERROR('Price History'!M3+(INDEX('Price History'!M:M,MATCH(9.99E+307,'Price History'!$A:$A))-'Price History'!M3)*(ROW()-3)/(MATCH(9.99E+307,'Returns (Calc)'!$A:$A)-3),"")</f>
        <v>6.20962025316456</v>
      </c>
      <c r="AI97" s="144" t="n">
        <f aca="false">IFERROR('Price History'!N3+(INDEX('Price History'!N:N,MATCH(9.99E+307,'Price History'!$A:$A))-'Price History'!N3)*(ROW()-3)/(MATCH(9.99E+307,'Returns (Calc)'!$A:$A)-3),"")</f>
        <v>8.83037974683544</v>
      </c>
      <c r="AJ97" s="144" t="n">
        <f aca="false">IFERROR('Price History'!O3+(INDEX('Price History'!O:O,MATCH(9.99E+307,'Price History'!$A:$A))-'Price History'!O3)*(ROW()-3)/(MATCH(9.99E+307,'Returns (Calc)'!$A:$A)-3),"")</f>
        <v>23.3437974683544</v>
      </c>
      <c r="AK97" s="144" t="n">
        <f aca="false">IFERROR('Price History'!Q3+(INDEX('Price History'!Q:Q,MATCH(9.99E+307,'Price History'!$A:$A))-'Price History'!Q3)*(ROW()-3)/(MATCH(9.99E+307,'Returns (Calc)'!$A:$A)-3),"")</f>
        <v>95.4450632911392</v>
      </c>
      <c r="AL97" s="144" t="n">
        <f aca="false">IFERROR('Price History'!R3+(INDEX('Price History'!R:R,MATCH(9.99E+307,'Price History'!$A:$A))-'Price History'!R3)*(ROW()-3)/(MATCH(9.99E+307,'Returns (Calc)'!$A:$A)-3),"")</f>
        <v>19.3701265822785</v>
      </c>
      <c r="AM97" s="144" t="n">
        <f aca="false">IFERROR('Price History'!S3+(INDEX('Price History'!S:S,MATCH(9.99E+307,'Price History'!$A:$A))-'Price History'!S3)*(ROW()-3)/(MATCH(9.99E+307,'Returns (Calc)'!$A:$A)-3),"")</f>
        <v>23.7124050632911</v>
      </c>
      <c r="AN97" s="144" t="n">
        <f aca="false">IFERROR('Price History'!T3+(INDEX('Price History'!T:T,MATCH(9.99E+307,'Price History'!$A:$A))-'Price History'!T3)*(ROW()-3)/(MATCH(9.99E+307,'Returns (Calc)'!$A:$A)-3),"")</f>
        <v>10.900253164557</v>
      </c>
      <c r="AO97" s="145" t="n">
        <f aca="false">IFERROR('Price History'!V3+(INDEX('Price History'!V:V,MATCH(9.99E+307,'Price History'!$A:$A))-'Price History'!V3)*(ROW()-3)/(MATCH(9.99E+307,'Returns (Calc)'!$A:$A)-3),"")</f>
        <v>0</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-0.0118000429092469</v>
      </c>
      <c r="G98" s="142" t="n">
        <f aca="false">IFERROR(IF(OR(NOT(ISNUMBER('Price History'!G99)),NOT(ISNUMBER('Price History'!G98)),'Price History'!G98=0),"",'Price History'!G99/'Price History'!G98-1),"")</f>
        <v>-0.00518351308419029</v>
      </c>
      <c r="H98" s="142" t="n">
        <f aca="false">IFERROR(IF(OR(NOT(ISNUMBER('Price History'!H99)),NOT(ISNUMBER('Price History'!H98)),'Price History'!H98=0),"",'Price History'!H99/'Price History'!H98-1),"")</f>
        <v>-0.00421940928270026</v>
      </c>
      <c r="I98" s="142" t="n">
        <f aca="false">IFERROR(IF(OR(NOT(ISNUMBER('Price History'!I99)),NOT(ISNUMBER('Price History'!I98)),'Price History'!I98=0),"",'Price History'!I99/'Price History'!I98-1),"")</f>
        <v>0.00708369659982555</v>
      </c>
      <c r="J98" s="142" t="n">
        <f aca="false">IFERROR(IF(OR(NOT(ISNUMBER('Price History'!J99)),NOT(ISNUMBER('Price History'!J98)),'Price History'!J98=0),"",'Price History'!J99/'Price History'!J98-1),"")</f>
        <v>-0.0813962840826832</v>
      </c>
      <c r="K98" s="142" t="n">
        <f aca="false">IFERROR(IF(OR(NOT(ISNUMBER('Price History'!K99)),NOT(ISNUMBER('Price History'!K98)),'Price History'!K98=0),"",'Price History'!K99/'Price History'!K98-1),"")</f>
        <v>0.0454048140043764</v>
      </c>
      <c r="L98" s="142" t="n">
        <f aca="false">IFERROR(IF(OR(NOT(ISNUMBER('Price History'!L99)),NOT(ISNUMBER('Price History'!L98)),'Price History'!L98=0),"",'Price History'!L99/'Price History'!L98-1),"")</f>
        <v>-0.0219235535220665</v>
      </c>
      <c r="M98" s="142" t="n">
        <f aca="false">IFERROR(IF(OR(NOT(ISNUMBER('Price History'!M99)),NOT(ISNUMBER('Price History'!M98)),'Price History'!M98=0),"",'Price History'!M99/'Price History'!M98-1),"")</f>
        <v>0.08036593947924</v>
      </c>
      <c r="N98" s="142" t="n">
        <f aca="false">IFERROR(IF(OR(NOT(ISNUMBER('Price History'!N99)),NOT(ISNUMBER('Price History'!N98)),'Price History'!N98=0),"",'Price History'!N99/'Price History'!N98-1),"")</f>
        <v>-0.0110898661567878</v>
      </c>
      <c r="O98" s="142" t="n">
        <f aca="false">IFERROR(IF(OR(NOT(ISNUMBER('Price History'!O99)),NOT(ISNUMBER('Price History'!O98)),'Price History'!O98=0),"",'Price History'!O99/'Price History'!O98-1),"")</f>
        <v>0.014858171994597</v>
      </c>
      <c r="P98" s="142" t="n">
        <f aca="false">IFERROR(IF(OR(NOT(ISNUMBER('Price History'!P99)),NOT(ISNUMBER('Price History'!P98)),'Price History'!P98=0),"",'Price History'!P99/'Price History'!P98-1),"")</f>
        <v>0.0433845206142474</v>
      </c>
      <c r="Q98" s="142" t="n">
        <f aca="false">IFERROR(IF(OR(NOT(ISNUMBER('Price History'!Q99)),NOT(ISNUMBER('Price History'!Q98)),'Price History'!Q98=0),"",'Price History'!Q99/'Price History'!Q98-1),"")</f>
        <v>0.00322149988390996</v>
      </c>
      <c r="R98" s="142" t="n">
        <f aca="false">IFERROR(IF(OR(NOT(ISNUMBER('Price History'!R99)),NOT(ISNUMBER('Price History'!R98)),'Price History'!R98=0),"",'Price History'!R99/'Price History'!R98-1),"")</f>
        <v>-0.00208728652751422</v>
      </c>
      <c r="S98" s="142" t="n">
        <f aca="false">IFERROR(IF(OR(NOT(ISNUMBER('Price History'!S99)),NOT(ISNUMBER('Price History'!S98)),'Price History'!S98=0),"",'Price History'!S99/'Price History'!S98-1),"")</f>
        <v>-0.00710811821922941</v>
      </c>
      <c r="T98" s="142" t="n">
        <f aca="false">IFERROR(IF(OR(NOT(ISNUMBER('Price History'!T99)),NOT(ISNUMBER('Price History'!T98)),'Price History'!T98=0),"",'Price History'!T99/'Price History'!T98-1),"")</f>
        <v>0.0109541654655521</v>
      </c>
      <c r="U98" s="142" t="str">
        <f aca="false">IFERROR(IF(OR(NOT(ISNUMBER('Price History'!U99)),NOT(ISNUMBER('Price History'!U98)),'Price History'!U98=0),"",'Price History'!U99/'Price History'!U98-1),"")</f>
        <v/>
      </c>
      <c r="V98" s="143" t="n">
        <f aca="false">IFERROR(IF(OR(NOT(ISNUMBER('Price History'!V99)),NOT(ISNUMBER('Price History'!V98)),'Price History'!V98=0),"",'Price History'!V99/'Price History'!V98-1),"")</f>
        <v>-0.0469125027274711</v>
      </c>
      <c r="W98" s="144" t="str">
        <f aca="false">IFERROR('Price History'!B3+(INDEX('Price History'!B:B,MATCH(9.99E+307,'Price History'!$A:$A))-'Price History'!B3)*(ROW()-3)/(MATCH(9.99E+307,'Returns (Calc)'!$A:$A)-3),"")</f>
        <v/>
      </c>
      <c r="X98" s="144" t="n">
        <f aca="false">IFERROR('Price History'!C3+(INDEX('Price History'!C:C,MATCH(9.99E+307,'Price History'!$A:$A))-'Price History'!C3)*(ROW()-3)/(MATCH(9.99E+307,'Returns (Calc)'!$A:$A)-3),"")</f>
        <v>18.4135443037975</v>
      </c>
      <c r="Y98" s="144" t="n">
        <f aca="false">IFERROR('Price History'!D3+(INDEX('Price History'!D:D,MATCH(9.99E+307,'Price History'!$A:$A))-'Price History'!D3)*(ROW()-3)/(MATCH(9.99E+307,'Returns (Calc)'!$A:$A)-3),"")</f>
        <v>232.067278481013</v>
      </c>
      <c r="Z98" s="144" t="n">
        <f aca="false">IFERROR('Price History'!E3+(INDEX('Price History'!E:E,MATCH(9.99E+307,'Price History'!$A:$A))-'Price History'!E3)*(ROW()-3)/(MATCH(9.99E+307,'Returns (Calc)'!$A:$A)-3),"")</f>
        <v>32.6962025316456</v>
      </c>
      <c r="AA98" s="144" t="n">
        <f aca="false">IFERROR('Price History'!F3+(INDEX('Price History'!F:F,MATCH(9.99E+307,'Price History'!$A:$A))-'Price History'!F3)*(ROW()-3)/(MATCH(9.99E+307,'Returns (Calc)'!$A:$A)-3),"")</f>
        <v>30.028670886076</v>
      </c>
      <c r="AB98" s="144" t="n">
        <f aca="false">IFERROR('Price History'!G3+(INDEX('Price History'!G:G,MATCH(9.99E+307,'Price History'!$A:$A))-'Price History'!G3)*(ROW()-3)/(MATCH(9.99E+307,'Returns (Calc)'!$A:$A)-3),"")</f>
        <v>16.4916455696203</v>
      </c>
      <c r="AC98" s="144" t="n">
        <f aca="false">IFERROR('Price History'!H3+(INDEX('Price History'!H:H,MATCH(9.99E+307,'Price History'!$A:$A))-'Price History'!H3)*(ROW()-3)/(MATCH(9.99E+307,'Returns (Calc)'!$A:$A)-3),"")</f>
        <v>40.108670886076</v>
      </c>
      <c r="AD98" s="144" t="n">
        <f aca="false">IFERROR('Price History'!I3+(INDEX('Price History'!I:I,MATCH(9.99E+307,'Price History'!$A:$A))-'Price History'!I3)*(ROW()-3)/(MATCH(9.99E+307,'Returns (Calc)'!$A:$A)-3),"")</f>
        <v>17.6838607594937</v>
      </c>
      <c r="AE98" s="144" t="n">
        <f aca="false">IFERROR('Price History'!J3+(INDEX('Price History'!J:J,MATCH(9.99E+307,'Price History'!$A:$A))-'Price History'!J3)*(ROW()-3)/(MATCH(9.99E+307,'Returns (Calc)'!$A:$A)-3),"")</f>
        <v>27.5565189873418</v>
      </c>
      <c r="AF98" s="144" t="n">
        <f aca="false">IFERROR('Price History'!K3+(INDEX('Price History'!K:K,MATCH(9.99E+307,'Price History'!$A:$A))-'Price History'!K3)*(ROW()-3)/(MATCH(9.99E+307,'Returns (Calc)'!$A:$A)-3),"")</f>
        <v>17.4525949367089</v>
      </c>
      <c r="AG98" s="144" t="n">
        <f aca="false">IFERROR('Price History'!L3+(INDEX('Price History'!L:L,MATCH(9.99E+307,'Price History'!$A:$A))-'Price History'!L3)*(ROW()-3)/(MATCH(9.99E+307,'Returns (Calc)'!$A:$A)-3),"")</f>
        <v>44.5944303797468</v>
      </c>
      <c r="AH98" s="144" t="n">
        <f aca="false">IFERROR('Price History'!M3+(INDEX('Price History'!M:M,MATCH(9.99E+307,'Price History'!$A:$A))-'Price History'!M3)*(ROW()-3)/(MATCH(9.99E+307,'Returns (Calc)'!$A:$A)-3),"")</f>
        <v>6.11259493670886</v>
      </c>
      <c r="AI98" s="144" t="n">
        <f aca="false">IFERROR('Price History'!N3+(INDEX('Price History'!N:N,MATCH(9.99E+307,'Price History'!$A:$A))-'Price History'!N3)*(ROW()-3)/(MATCH(9.99E+307,'Returns (Calc)'!$A:$A)-3),"")</f>
        <v>8.69240506329114</v>
      </c>
      <c r="AJ98" s="144" t="n">
        <f aca="false">IFERROR('Price History'!O3+(INDEX('Price History'!O:O,MATCH(9.99E+307,'Price History'!$A:$A))-'Price History'!O3)*(ROW()-3)/(MATCH(9.99E+307,'Returns (Calc)'!$A:$A)-3),"")</f>
        <v>22.9790506329114</v>
      </c>
      <c r="AK98" s="144" t="n">
        <f aca="false">IFERROR('Price History'!Q3+(INDEX('Price History'!Q:Q,MATCH(9.99E+307,'Price History'!$A:$A))-'Price History'!Q3)*(ROW()-3)/(MATCH(9.99E+307,'Returns (Calc)'!$A:$A)-3),"")</f>
        <v>93.9537341772152</v>
      </c>
      <c r="AL98" s="144" t="n">
        <f aca="false">IFERROR('Price History'!R3+(INDEX('Price History'!R:R,MATCH(9.99E+307,'Price History'!$A:$A))-'Price History'!R3)*(ROW()-3)/(MATCH(9.99E+307,'Returns (Calc)'!$A:$A)-3),"")</f>
        <v>19.0674683544304</v>
      </c>
      <c r="AM98" s="144" t="n">
        <f aca="false">IFERROR('Price History'!S3+(INDEX('Price History'!S:S,MATCH(9.99E+307,'Price History'!$A:$A))-'Price History'!S3)*(ROW()-3)/(MATCH(9.99E+307,'Returns (Calc)'!$A:$A)-3),"")</f>
        <v>23.3418987341772</v>
      </c>
      <c r="AN98" s="144" t="n">
        <f aca="false">IFERROR('Price History'!T3+(INDEX('Price History'!T:T,MATCH(9.99E+307,'Price History'!$A:$A))-'Price History'!T3)*(ROW()-3)/(MATCH(9.99E+307,'Returns (Calc)'!$A:$A)-3),"")</f>
        <v>10.7299367088608</v>
      </c>
      <c r="AO98" s="145" t="n">
        <f aca="false">IFERROR('Price History'!V3+(INDEX('Price History'!V:V,MATCH(9.99E+307,'Price History'!$A:$A))-'Price History'!V3)*(ROW()-3)/(MATCH(9.99E+307,'Returns (Calc)'!$A:$A)-3),"")</f>
        <v>0</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0.0147633521493704</v>
      </c>
      <c r="G99" s="142" t="n">
        <f aca="false">IFERROR(IF(OR(NOT(ISNUMBER('Price History'!G100)),NOT(ISNUMBER('Price History'!G99)),'Price History'!G99=0),"",'Price History'!G100/'Price History'!G99-1),"")</f>
        <v>-0.0168921758130934</v>
      </c>
      <c r="H99" s="142" t="n">
        <f aca="false">IFERROR(IF(OR(NOT(ISNUMBER('Price History'!H100)),NOT(ISNUMBER('Price History'!H99)),'Price History'!H99=0),"",'Price History'!H100/'Price History'!H99-1),"")</f>
        <v>0.0181818181818181</v>
      </c>
      <c r="I99" s="142" t="n">
        <f aca="false">IFERROR(IF(OR(NOT(ISNUMBER('Price History'!I100)),NOT(ISNUMBER('Price History'!I99)),'Price History'!I99=0),"",'Price History'!I100/'Price History'!I99-1),"")</f>
        <v>-0.0311654582837355</v>
      </c>
      <c r="J99" s="142" t="n">
        <f aca="false">IFERROR(IF(OR(NOT(ISNUMBER('Price History'!J100)),NOT(ISNUMBER('Price History'!J99)),'Price History'!J99=0),"",'Price History'!J100/'Price History'!J99-1),"")</f>
        <v>-0.0274056562472638</v>
      </c>
      <c r="K99" s="142" t="n">
        <f aca="false">IFERROR(IF(OR(NOT(ISNUMBER('Price History'!K100)),NOT(ISNUMBER('Price History'!K99)),'Price History'!K99=0),"",'Price History'!K100/'Price History'!K99-1),"")</f>
        <v>0.00633757776614918</v>
      </c>
      <c r="L99" s="142" t="n">
        <f aca="false">IFERROR(IF(OR(NOT(ISNUMBER('Price History'!L100)),NOT(ISNUMBER('Price History'!L99)),'Price History'!L99=0),"",'Price History'!L100/'Price History'!L99-1),"")</f>
        <v>0.0329402592339927</v>
      </c>
      <c r="M99" s="142" t="n">
        <f aca="false">IFERROR(IF(OR(NOT(ISNUMBER('Price History'!M100)),NOT(ISNUMBER('Price History'!M99)),'Price History'!M99=0),"",'Price History'!M100/'Price History'!M99-1),"")</f>
        <v>0.0343929129755081</v>
      </c>
      <c r="N99" s="142" t="n">
        <f aca="false">IFERROR(IF(OR(NOT(ISNUMBER('Price History'!N100)),NOT(ISNUMBER('Price History'!N99)),'Price History'!N99=0),"",'Price History'!N100/'Price History'!N99-1),"")</f>
        <v>0.0108275328692962</v>
      </c>
      <c r="O99" s="142" t="n">
        <f aca="false">IFERROR(IF(OR(NOT(ISNUMBER('Price History'!O100)),NOT(ISNUMBER('Price History'!O99)),'Price History'!O99=0),"",'Price History'!O100/'Price History'!O99-1),"")</f>
        <v>0.01055900621118</v>
      </c>
      <c r="P99" s="142" t="n">
        <f aca="false">IFERROR(IF(OR(NOT(ISNUMBER('Price History'!P100)),NOT(ISNUMBER('Price History'!P99)),'Price History'!P99=0),"",'Price History'!P100/'Price History'!P99-1),"")</f>
        <v>0.0216337030320921</v>
      </c>
      <c r="Q99" s="142" t="n">
        <f aca="false">IFERROR(IF(OR(NOT(ISNUMBER('Price History'!Q100)),NOT(ISNUMBER('Price History'!Q99)),'Price History'!Q99=0),"",'Price History'!Q100/'Price History'!Q99-1),"")</f>
        <v>0.0229120259206757</v>
      </c>
      <c r="R99" s="142" t="n">
        <f aca="false">IFERROR(IF(OR(NOT(ISNUMBER('Price History'!R100)),NOT(ISNUMBER('Price History'!R99)),'Price History'!R99=0),"",'Price History'!R100/'Price History'!R99-1),"")</f>
        <v>0.00304240349876395</v>
      </c>
      <c r="S99" s="142" t="n">
        <f aca="false">IFERROR(IF(OR(NOT(ISNUMBER('Price History'!S100)),NOT(ISNUMBER('Price History'!S99)),'Price History'!S99=0),"",'Price History'!S100/'Price History'!S99-1),"")</f>
        <v>0.00706480783722685</v>
      </c>
      <c r="T99" s="142" t="n">
        <f aca="false">IFERROR(IF(OR(NOT(ISNUMBER('Price History'!T100)),NOT(ISNUMBER('Price History'!T99)),'Price History'!T99=0),"",'Price History'!T100/'Price History'!T99-1),"")</f>
        <v>-0.00114057599087536</v>
      </c>
      <c r="U99" s="142" t="str">
        <f aca="false">IFERROR(IF(OR(NOT(ISNUMBER('Price History'!U100)),NOT(ISNUMBER('Price History'!U99)),'Price History'!U99=0),"",'Price History'!U100/'Price History'!U99-1),"")</f>
        <v/>
      </c>
      <c r="V99" s="143" t="n">
        <f aca="false">IFERROR(IF(OR(NOT(ISNUMBER('Price History'!V100)),NOT(ISNUMBER('Price History'!V99)),'Price History'!V99=0),"",'Price History'!V100/'Price History'!V99-1),"")</f>
        <v>-0.0404933608058607</v>
      </c>
      <c r="W99" s="144" t="str">
        <f aca="false">IFERROR('Price History'!B3+(INDEX('Price History'!B:B,MATCH(9.99E+307,'Price History'!$A:$A))-'Price History'!B3)*(ROW()-3)/(MATCH(9.99E+307,'Returns (Calc)'!$A:$A)-3),"")</f>
        <v/>
      </c>
      <c r="X99" s="144" t="n">
        <f aca="false">IFERROR('Price History'!C3+(INDEX('Price History'!C:C,MATCH(9.99E+307,'Price History'!$A:$A))-'Price History'!C3)*(ROW()-3)/(MATCH(9.99E+307,'Returns (Calc)'!$A:$A)-3),"")</f>
        <v>18.1212658227848</v>
      </c>
      <c r="Y99" s="144" t="n">
        <f aca="false">IFERROR('Price History'!D3+(INDEX('Price History'!D:D,MATCH(9.99E+307,'Price History'!$A:$A))-'Price History'!D3)*(ROW()-3)/(MATCH(9.99E+307,'Returns (Calc)'!$A:$A)-3),"")</f>
        <v>228.383670886076</v>
      </c>
      <c r="Z99" s="144" t="n">
        <f aca="false">IFERROR('Price History'!E3+(INDEX('Price History'!E:E,MATCH(9.99E+307,'Price History'!$A:$A))-'Price History'!E3)*(ROW()-3)/(MATCH(9.99E+307,'Returns (Calc)'!$A:$A)-3),"")</f>
        <v>32.1772151898734</v>
      </c>
      <c r="AA99" s="144" t="n">
        <f aca="false">IFERROR('Price History'!F3+(INDEX('Price History'!F:F,MATCH(9.99E+307,'Price History'!$A:$A))-'Price History'!F3)*(ROW()-3)/(MATCH(9.99E+307,'Returns (Calc)'!$A:$A)-3),"")</f>
        <v>29.5520253164557</v>
      </c>
      <c r="AB99" s="144" t="n">
        <f aca="false">IFERROR('Price History'!G3+(INDEX('Price History'!G:G,MATCH(9.99E+307,'Price History'!$A:$A))-'Price History'!G3)*(ROW()-3)/(MATCH(9.99E+307,'Returns (Calc)'!$A:$A)-3),"")</f>
        <v>16.2298734177215</v>
      </c>
      <c r="AC99" s="144" t="n">
        <f aca="false">IFERROR('Price History'!H3+(INDEX('Price History'!H:H,MATCH(9.99E+307,'Price History'!$A:$A))-'Price History'!H3)*(ROW()-3)/(MATCH(9.99E+307,'Returns (Calc)'!$A:$A)-3),"")</f>
        <v>39.4720253164557</v>
      </c>
      <c r="AD99" s="144" t="n">
        <f aca="false">IFERROR('Price History'!I3+(INDEX('Price History'!I:I,MATCH(9.99E+307,'Price History'!$A:$A))-'Price History'!I3)*(ROW()-3)/(MATCH(9.99E+307,'Returns (Calc)'!$A:$A)-3),"")</f>
        <v>17.403164556962</v>
      </c>
      <c r="AE99" s="144" t="n">
        <f aca="false">IFERROR('Price History'!J3+(INDEX('Price History'!J:J,MATCH(9.99E+307,'Price History'!$A:$A))-'Price History'!J3)*(ROW()-3)/(MATCH(9.99E+307,'Returns (Calc)'!$A:$A)-3),"")</f>
        <v>27.1191139240506</v>
      </c>
      <c r="AF99" s="144" t="n">
        <f aca="false">IFERROR('Price History'!K3+(INDEX('Price History'!K:K,MATCH(9.99E+307,'Price History'!$A:$A))-'Price History'!K3)*(ROW()-3)/(MATCH(9.99E+307,'Returns (Calc)'!$A:$A)-3),"")</f>
        <v>17.1755696202532</v>
      </c>
      <c r="AG99" s="144" t="n">
        <f aca="false">IFERROR('Price History'!L3+(INDEX('Price History'!L:L,MATCH(9.99E+307,'Price History'!$A:$A))-'Price History'!L3)*(ROW()-3)/(MATCH(9.99E+307,'Returns (Calc)'!$A:$A)-3),"")</f>
        <v>43.886582278481</v>
      </c>
      <c r="AH99" s="144" t="n">
        <f aca="false">IFERROR('Price History'!M3+(INDEX('Price History'!M:M,MATCH(9.99E+307,'Price History'!$A:$A))-'Price History'!M3)*(ROW()-3)/(MATCH(9.99E+307,'Returns (Calc)'!$A:$A)-3),"")</f>
        <v>6.01556962025316</v>
      </c>
      <c r="AI99" s="144" t="n">
        <f aca="false">IFERROR('Price History'!N3+(INDEX('Price History'!N:N,MATCH(9.99E+307,'Price History'!$A:$A))-'Price History'!N3)*(ROW()-3)/(MATCH(9.99E+307,'Returns (Calc)'!$A:$A)-3),"")</f>
        <v>8.55443037974684</v>
      </c>
      <c r="AJ99" s="144" t="n">
        <f aca="false">IFERROR('Price History'!O3+(INDEX('Price History'!O:O,MATCH(9.99E+307,'Price History'!$A:$A))-'Price History'!O3)*(ROW()-3)/(MATCH(9.99E+307,'Returns (Calc)'!$A:$A)-3),"")</f>
        <v>22.6143037974684</v>
      </c>
      <c r="AK99" s="144" t="n">
        <f aca="false">IFERROR('Price History'!Q3+(INDEX('Price History'!Q:Q,MATCH(9.99E+307,'Price History'!$A:$A))-'Price History'!Q3)*(ROW()-3)/(MATCH(9.99E+307,'Returns (Calc)'!$A:$A)-3),"")</f>
        <v>92.4624050632911</v>
      </c>
      <c r="AL99" s="144" t="n">
        <f aca="false">IFERROR('Price History'!R3+(INDEX('Price History'!R:R,MATCH(9.99E+307,'Price History'!$A:$A))-'Price History'!R3)*(ROW()-3)/(MATCH(9.99E+307,'Returns (Calc)'!$A:$A)-3),"")</f>
        <v>18.7648101265823</v>
      </c>
      <c r="AM99" s="144" t="n">
        <f aca="false">IFERROR('Price History'!S3+(INDEX('Price History'!S:S,MATCH(9.99E+307,'Price History'!$A:$A))-'Price History'!S3)*(ROW()-3)/(MATCH(9.99E+307,'Returns (Calc)'!$A:$A)-3),"")</f>
        <v>22.9713924050633</v>
      </c>
      <c r="AN99" s="144" t="n">
        <f aca="false">IFERROR('Price History'!T3+(INDEX('Price History'!T:T,MATCH(9.99E+307,'Price History'!$A:$A))-'Price History'!T3)*(ROW()-3)/(MATCH(9.99E+307,'Returns (Calc)'!$A:$A)-3),"")</f>
        <v>10.5596202531646</v>
      </c>
      <c r="AO99" s="145" t="n">
        <f aca="false">IFERROR('Price History'!V3+(INDEX('Price History'!V:V,MATCH(9.99E+307,'Price History'!$A:$A))-'Price History'!V3)*(ROW()-3)/(MATCH(9.99E+307,'Returns (Calc)'!$A:$A)-3),"")</f>
        <v>0</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-0.0502781343602911</v>
      </c>
      <c r="G100" s="142" t="n">
        <f aca="false">IFERROR(IF(OR(NOT(ISNUMBER('Price History'!G101)),NOT(ISNUMBER('Price History'!G100)),'Price History'!G100=0),"",'Price History'!G101/'Price History'!G100-1),"")</f>
        <v>-0.0453923747649171</v>
      </c>
      <c r="H100" s="142" t="n">
        <f aca="false">IFERROR(IF(OR(NOT(ISNUMBER('Price History'!H101)),NOT(ISNUMBER('Price History'!H100)),'Price History'!H100=0),"",'Price History'!H101/'Price History'!H100-1),"")</f>
        <v>-0.0300393462469734</v>
      </c>
      <c r="I100" s="142" t="n">
        <f aca="false">IFERROR(IF(OR(NOT(ISNUMBER('Price History'!I101)),NOT(ISNUMBER('Price History'!I100)),'Price History'!I100=0),"",'Price History'!I101/'Price History'!I100-1),"")</f>
        <v>-0.0170892438288842</v>
      </c>
      <c r="J100" s="142" t="n">
        <f aca="false">IFERROR(IF(OR(NOT(ISNUMBER('Price History'!J101)),NOT(ISNUMBER('Price History'!J100)),'Price History'!J100=0),"",'Price History'!J101/'Price History'!J100-1),"")</f>
        <v>-0.0573460568959309</v>
      </c>
      <c r="K100" s="142" t="n">
        <f aca="false">IFERROR(IF(OR(NOT(ISNUMBER('Price History'!K101)),NOT(ISNUMBER('Price History'!K100)),'Price History'!K100=0),"",'Price History'!K101/'Price History'!K100-1),"")</f>
        <v>0.00127108851398194</v>
      </c>
      <c r="L100" s="142" t="n">
        <f aca="false">IFERROR(IF(OR(NOT(ISNUMBER('Price History'!L101)),NOT(ISNUMBER('Price History'!L100)),'Price History'!L100=0),"",'Price History'!L101/'Price History'!L100-1),"")</f>
        <v>-0.0487781866213795</v>
      </c>
      <c r="M100" s="142" t="n">
        <f aca="false">IFERROR(IF(OR(NOT(ISNUMBER('Price History'!M101)),NOT(ISNUMBER('Price History'!M100)),'Price History'!M100=0),"",'Price History'!M101/'Price History'!M100-1),"")</f>
        <v>-0.0285264483627204</v>
      </c>
      <c r="N100" s="142" t="n">
        <f aca="false">IFERROR(IF(OR(NOT(ISNUMBER('Price History'!N101)),NOT(ISNUMBER('Price History'!N100)),'Price History'!N100=0),"",'Price History'!N101/'Price History'!N100-1),"")</f>
        <v>-0.0344299923488907</v>
      </c>
      <c r="O100" s="142" t="n">
        <f aca="false">IFERROR(IF(OR(NOT(ISNUMBER('Price History'!O101)),NOT(ISNUMBER('Price History'!O100)),'Price History'!O100=0),"",'Price History'!O101/'Price History'!O100-1),"")</f>
        <v>-0.0157169198349285</v>
      </c>
      <c r="P100" s="142" t="n">
        <f aca="false">IFERROR(IF(OR(NOT(ISNUMBER('Price History'!P101)),NOT(ISNUMBER('Price History'!P100)),'Price History'!P100=0),"",'Price History'!P101/'Price History'!P100-1),"")</f>
        <v>-0.0423099149673905</v>
      </c>
      <c r="Q100" s="142" t="n">
        <f aca="false">IFERROR(IF(OR(NOT(ISNUMBER('Price History'!Q101)),NOT(ISNUMBER('Price History'!Q100)),'Price History'!Q100=0),"",'Price History'!Q101/'Price History'!Q100-1),"")</f>
        <v>-0.0495489125823694</v>
      </c>
      <c r="R100" s="142" t="n">
        <f aca="false">IFERROR(IF(OR(NOT(ISNUMBER('Price History'!R101)),NOT(ISNUMBER('Price History'!R100)),'Price History'!R100=0),"",'Price History'!R101/'Price History'!R100-1),"")</f>
        <v>0.0288151658767772</v>
      </c>
      <c r="S100" s="142" t="n">
        <f aca="false">IFERROR(IF(OR(NOT(ISNUMBER('Price History'!S101)),NOT(ISNUMBER('Price History'!S100)),'Price History'!S100=0),"",'Price History'!S101/'Price History'!S100-1),"")</f>
        <v>0.0461135534561781</v>
      </c>
      <c r="T100" s="142" t="n">
        <f aca="false">IFERROR(IF(OR(NOT(ISNUMBER('Price History'!T101)),NOT(ISNUMBER('Price History'!T100)),'Price History'!T100=0),"",'Price History'!T101/'Price History'!T100-1),"")</f>
        <v>0.00856408792463603</v>
      </c>
      <c r="U100" s="142" t="str">
        <f aca="false">IFERROR(IF(OR(NOT(ISNUMBER('Price History'!U101)),NOT(ISNUMBER('Price History'!U100)),'Price History'!U100=0),"",'Price History'!U101/'Price History'!U100-1),"")</f>
        <v/>
      </c>
      <c r="V100" s="143" t="n">
        <f aca="false">IFERROR(IF(OR(NOT(ISNUMBER('Price History'!V101)),NOT(ISNUMBER('Price History'!V100)),'Price History'!V100=0),"",'Price History'!V101/'Price History'!V100-1),"")</f>
        <v>0.0296758030361777</v>
      </c>
      <c r="W100" s="144" t="str">
        <f aca="false">IFERROR('Price History'!B3+(INDEX('Price History'!B:B,MATCH(9.99E+307,'Price History'!$A:$A))-'Price History'!B3)*(ROW()-3)/(MATCH(9.99E+307,'Returns (Calc)'!$A:$A)-3),"")</f>
        <v/>
      </c>
      <c r="X100" s="144" t="n">
        <f aca="false">IFERROR('Price History'!C3+(INDEX('Price History'!C:C,MATCH(9.99E+307,'Price History'!$A:$A))-'Price History'!C3)*(ROW()-3)/(MATCH(9.99E+307,'Returns (Calc)'!$A:$A)-3),"")</f>
        <v>17.8289873417722</v>
      </c>
      <c r="Y100" s="144" t="n">
        <f aca="false">IFERROR('Price History'!D3+(INDEX('Price History'!D:D,MATCH(9.99E+307,'Price History'!$A:$A))-'Price History'!D3)*(ROW()-3)/(MATCH(9.99E+307,'Returns (Calc)'!$A:$A)-3),"")</f>
        <v>224.700063291139</v>
      </c>
      <c r="Z100" s="144" t="n">
        <f aca="false">IFERROR('Price History'!E3+(INDEX('Price History'!E:E,MATCH(9.99E+307,'Price History'!$A:$A))-'Price History'!E3)*(ROW()-3)/(MATCH(9.99E+307,'Returns (Calc)'!$A:$A)-3),"")</f>
        <v>31.6582278481013</v>
      </c>
      <c r="AA100" s="144" t="n">
        <f aca="false">IFERROR('Price History'!F3+(INDEX('Price History'!F:F,MATCH(9.99E+307,'Price History'!$A:$A))-'Price History'!F3)*(ROW()-3)/(MATCH(9.99E+307,'Returns (Calc)'!$A:$A)-3),"")</f>
        <v>29.0753797468354</v>
      </c>
      <c r="AB100" s="144" t="n">
        <f aca="false">IFERROR('Price History'!G3+(INDEX('Price History'!G:G,MATCH(9.99E+307,'Price History'!$A:$A))-'Price History'!G3)*(ROW()-3)/(MATCH(9.99E+307,'Returns (Calc)'!$A:$A)-3),"")</f>
        <v>15.9681012658228</v>
      </c>
      <c r="AC100" s="144" t="n">
        <f aca="false">IFERROR('Price History'!H3+(INDEX('Price History'!H:H,MATCH(9.99E+307,'Price History'!$A:$A))-'Price History'!H3)*(ROW()-3)/(MATCH(9.99E+307,'Returns (Calc)'!$A:$A)-3),"")</f>
        <v>38.8353797468355</v>
      </c>
      <c r="AD100" s="144" t="n">
        <f aca="false">IFERROR('Price History'!I3+(INDEX('Price History'!I:I,MATCH(9.99E+307,'Price History'!$A:$A))-'Price History'!I3)*(ROW()-3)/(MATCH(9.99E+307,'Returns (Calc)'!$A:$A)-3),"")</f>
        <v>17.1224683544304</v>
      </c>
      <c r="AE100" s="144" t="n">
        <f aca="false">IFERROR('Price History'!J3+(INDEX('Price History'!J:J,MATCH(9.99E+307,'Price History'!$A:$A))-'Price History'!J3)*(ROW()-3)/(MATCH(9.99E+307,'Returns (Calc)'!$A:$A)-3),"")</f>
        <v>26.6817088607595</v>
      </c>
      <c r="AF100" s="144" t="n">
        <f aca="false">IFERROR('Price History'!K3+(INDEX('Price History'!K:K,MATCH(9.99E+307,'Price History'!$A:$A))-'Price History'!K3)*(ROW()-3)/(MATCH(9.99E+307,'Returns (Calc)'!$A:$A)-3),"")</f>
        <v>16.8985443037975</v>
      </c>
      <c r="AG100" s="144" t="n">
        <f aca="false">IFERROR('Price History'!L3+(INDEX('Price History'!L:L,MATCH(9.99E+307,'Price History'!$A:$A))-'Price History'!L3)*(ROW()-3)/(MATCH(9.99E+307,'Returns (Calc)'!$A:$A)-3),"")</f>
        <v>43.1787341772152</v>
      </c>
      <c r="AH100" s="144" t="n">
        <f aca="false">IFERROR('Price History'!M3+(INDEX('Price History'!M:M,MATCH(9.99E+307,'Price History'!$A:$A))-'Price History'!M3)*(ROW()-3)/(MATCH(9.99E+307,'Returns (Calc)'!$A:$A)-3),"")</f>
        <v>5.91854430379747</v>
      </c>
      <c r="AI100" s="144" t="n">
        <f aca="false">IFERROR('Price History'!N3+(INDEX('Price History'!N:N,MATCH(9.99E+307,'Price History'!$A:$A))-'Price History'!N3)*(ROW()-3)/(MATCH(9.99E+307,'Returns (Calc)'!$A:$A)-3),"")</f>
        <v>8.41645569620253</v>
      </c>
      <c r="AJ100" s="144" t="n">
        <f aca="false">IFERROR('Price History'!O3+(INDEX('Price History'!O:O,MATCH(9.99E+307,'Price History'!$A:$A))-'Price History'!O3)*(ROW()-3)/(MATCH(9.99E+307,'Returns (Calc)'!$A:$A)-3),"")</f>
        <v>22.2495569620253</v>
      </c>
      <c r="AK100" s="144" t="n">
        <f aca="false">IFERROR('Price History'!Q3+(INDEX('Price History'!Q:Q,MATCH(9.99E+307,'Price History'!$A:$A))-'Price History'!Q3)*(ROW()-3)/(MATCH(9.99E+307,'Returns (Calc)'!$A:$A)-3),"")</f>
        <v>90.9710759493671</v>
      </c>
      <c r="AL100" s="144" t="n">
        <f aca="false">IFERROR('Price History'!R3+(INDEX('Price History'!R:R,MATCH(9.99E+307,'Price History'!$A:$A))-'Price History'!R3)*(ROW()-3)/(MATCH(9.99E+307,'Returns (Calc)'!$A:$A)-3),"")</f>
        <v>18.4621518987342</v>
      </c>
      <c r="AM100" s="144" t="n">
        <f aca="false">IFERROR('Price History'!S3+(INDEX('Price History'!S:S,MATCH(9.99E+307,'Price History'!$A:$A))-'Price History'!S3)*(ROW()-3)/(MATCH(9.99E+307,'Returns (Calc)'!$A:$A)-3),"")</f>
        <v>22.6008860759494</v>
      </c>
      <c r="AN100" s="144" t="n">
        <f aca="false">IFERROR('Price History'!T3+(INDEX('Price History'!T:T,MATCH(9.99E+307,'Price History'!$A:$A))-'Price History'!T3)*(ROW()-3)/(MATCH(9.99E+307,'Returns (Calc)'!$A:$A)-3),"")</f>
        <v>10.3893037974684</v>
      </c>
      <c r="AO100" s="145" t="n">
        <f aca="false">IFERROR('Price History'!V3+(INDEX('Price History'!V:V,MATCH(9.99E+307,'Price History'!$A:$A))-'Price History'!V3)*(ROW()-3)/(MATCH(9.99E+307,'Returns (Calc)'!$A:$A)-3),"")</f>
        <v>0</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0.0233160621761657</v>
      </c>
      <c r="G101" s="142" t="n">
        <f aca="false">IFERROR(IF(OR(NOT(ISNUMBER('Price History'!G102)),NOT(ISNUMBER('Price History'!G101)),'Price History'!G101=0),"",'Price History'!G102/'Price History'!G101-1),"")</f>
        <v>-0.0497000089549565</v>
      </c>
      <c r="H101" s="142" t="n">
        <f aca="false">IFERROR(IF(OR(NOT(ISNUMBER('Price History'!H102)),NOT(ISNUMBER('Price History'!H101)),'Price History'!H101=0),"",'Price History'!H102/'Price History'!H101-1),"")</f>
        <v>0.0161479054528433</v>
      </c>
      <c r="I101" s="142" t="n">
        <f aca="false">IFERROR(IF(OR(NOT(ISNUMBER('Price History'!I102)),NOT(ISNUMBER('Price History'!I101)),'Price History'!I101=0),"",'Price History'!I102/'Price History'!I101-1),"")</f>
        <v>0.0317045454545455</v>
      </c>
      <c r="J101" s="142" t="n">
        <f aca="false">IFERROR(IF(OR(NOT(ISNUMBER('Price History'!J102)),NOT(ISNUMBER('Price History'!J101)),'Price History'!J101=0),"",'Price History'!J102/'Price History'!J101-1),"")</f>
        <v>0.133607105338554</v>
      </c>
      <c r="K101" s="142" t="n">
        <f aca="false">IFERROR(IF(OR(NOT(ISNUMBER('Price History'!K102)),NOT(ISNUMBER('Price History'!K101)),'Price History'!K101=0),"",'Price History'!K102/'Price History'!K101-1),"")</f>
        <v>0.0516445470282747</v>
      </c>
      <c r="L101" s="142" t="n">
        <f aca="false">IFERROR(IF(OR(NOT(ISNUMBER('Price History'!L102)),NOT(ISNUMBER('Price History'!L101)),'Price History'!L101=0),"",'Price History'!L102/'Price History'!L101-1),"")</f>
        <v>0.00733981352906188</v>
      </c>
      <c r="M101" s="142" t="n">
        <f aca="false">IFERROR(IF(OR(NOT(ISNUMBER('Price History'!M102)),NOT(ISNUMBER('Price History'!M101)),'Price History'!M101=0),"",'Price History'!M102/'Price History'!M101-1),"")</f>
        <v>0.211901212160498</v>
      </c>
      <c r="N101" s="142" t="n">
        <f aca="false">IFERROR(IF(OR(NOT(ISNUMBER('Price History'!N102)),NOT(ISNUMBER('Price History'!N101)),'Price History'!N101=0),"",'Price History'!N102/'Price History'!N101-1),"")</f>
        <v>0.0190174326465928</v>
      </c>
      <c r="O101" s="142" t="n">
        <f aca="false">IFERROR(IF(OR(NOT(ISNUMBER('Price History'!O102)),NOT(ISNUMBER('Price History'!O101)),'Price History'!O101=0),"",'Price History'!O102/'Price History'!O101-1),"")</f>
        <v>0.0349687778768957</v>
      </c>
      <c r="P101" s="142" t="n">
        <f aca="false">IFERROR(IF(OR(NOT(ISNUMBER('Price History'!P102)),NOT(ISNUMBER('Price History'!P101)),'Price History'!P101=0),"",'Price History'!P102/'Price History'!P101-1),"")</f>
        <v>0.0281453385629931</v>
      </c>
      <c r="Q101" s="142" t="n">
        <f aca="false">IFERROR(IF(OR(NOT(ISNUMBER('Price History'!Q102)),NOT(ISNUMBER('Price History'!Q101)),'Price History'!Q101=0),"",'Price History'!Q102/'Price History'!Q101-1),"")</f>
        <v>-0.00758770494242278</v>
      </c>
      <c r="R101" s="142" t="n">
        <f aca="false">IFERROR(IF(OR(NOT(ISNUMBER('Price History'!R102)),NOT(ISNUMBER('Price History'!R101)),'Price History'!R101=0),"",'Price History'!R102/'Price History'!R101-1),"")</f>
        <v>-0.00202690252441506</v>
      </c>
      <c r="S101" s="142" t="n">
        <f aca="false">IFERROR(IF(OR(NOT(ISNUMBER('Price History'!S102)),NOT(ISNUMBER('Price History'!S101)),'Price History'!S101=0),"",'Price History'!S102/'Price History'!S101-1),"")</f>
        <v>0.00599070100143062</v>
      </c>
      <c r="T101" s="142" t="n">
        <f aca="false">IFERROR(IF(OR(NOT(ISNUMBER('Price History'!T102)),NOT(ISNUMBER('Price History'!T101)),'Price History'!T101=0),"",'Price History'!T102/'Price History'!T101-1),"")</f>
        <v>0.0124540050948203</v>
      </c>
      <c r="U101" s="142" t="str">
        <f aca="false">IFERROR(IF(OR(NOT(ISNUMBER('Price History'!U102)),NOT(ISNUMBER('Price History'!U101)),'Price History'!U101=0),"",'Price History'!U102/'Price History'!U101-1),"")</f>
        <v/>
      </c>
      <c r="V101" s="143" t="str">
        <f aca="false">IFERROR(IF(OR(NOT(ISNUMBER('Price History'!V102)),NOT(ISNUMBER('Price History'!V101)),'Price History'!V101=0),"",'Price History'!V102/'Price History'!V101-1),"")</f>
        <v/>
      </c>
      <c r="W101" s="144" t="str">
        <f aca="false">IFERROR('Price History'!B3+(INDEX('Price History'!B:B,MATCH(9.99E+307,'Price History'!$A:$A))-'Price History'!B3)*(ROW()-3)/(MATCH(9.99E+307,'Returns (Calc)'!$A:$A)-3),"")</f>
        <v/>
      </c>
      <c r="X101" s="144" t="n">
        <f aca="false">IFERROR('Price History'!C3+(INDEX('Price History'!C:C,MATCH(9.99E+307,'Price History'!$A:$A))-'Price History'!C3)*(ROW()-3)/(MATCH(9.99E+307,'Returns (Calc)'!$A:$A)-3),"")</f>
        <v>17.5367088607595</v>
      </c>
      <c r="Y101" s="144" t="n">
        <f aca="false">IFERROR('Price History'!D3+(INDEX('Price History'!D:D,MATCH(9.99E+307,'Price History'!$A:$A))-'Price History'!D3)*(ROW()-3)/(MATCH(9.99E+307,'Returns (Calc)'!$A:$A)-3),"")</f>
        <v>221.016455696203</v>
      </c>
      <c r="Z101" s="144" t="n">
        <f aca="false">IFERROR('Price History'!E3+(INDEX('Price History'!E:E,MATCH(9.99E+307,'Price History'!$A:$A))-'Price History'!E3)*(ROW()-3)/(MATCH(9.99E+307,'Returns (Calc)'!$A:$A)-3),"")</f>
        <v>31.1392405063291</v>
      </c>
      <c r="AA101" s="144" t="n">
        <f aca="false">IFERROR('Price History'!F3+(INDEX('Price History'!F:F,MATCH(9.99E+307,'Price History'!$A:$A))-'Price History'!F3)*(ROW()-3)/(MATCH(9.99E+307,'Returns (Calc)'!$A:$A)-3),"")</f>
        <v>28.5987341772152</v>
      </c>
      <c r="AB101" s="144" t="n">
        <f aca="false">IFERROR('Price History'!G3+(INDEX('Price History'!G:G,MATCH(9.99E+307,'Price History'!$A:$A))-'Price History'!G3)*(ROW()-3)/(MATCH(9.99E+307,'Returns (Calc)'!$A:$A)-3),"")</f>
        <v>15.7063291139241</v>
      </c>
      <c r="AC101" s="144" t="n">
        <f aca="false">IFERROR('Price History'!H3+(INDEX('Price History'!H:H,MATCH(9.99E+307,'Price History'!$A:$A))-'Price History'!H3)*(ROW()-3)/(MATCH(9.99E+307,'Returns (Calc)'!$A:$A)-3),"")</f>
        <v>38.1987341772152</v>
      </c>
      <c r="AD101" s="144" t="n">
        <f aca="false">IFERROR('Price History'!I3+(INDEX('Price History'!I:I,MATCH(9.99E+307,'Price History'!$A:$A))-'Price History'!I3)*(ROW()-3)/(MATCH(9.99E+307,'Returns (Calc)'!$A:$A)-3),"")</f>
        <v>16.8417721518987</v>
      </c>
      <c r="AE101" s="144" t="n">
        <f aca="false">IFERROR('Price History'!J3+(INDEX('Price History'!J:J,MATCH(9.99E+307,'Price History'!$A:$A))-'Price History'!J3)*(ROW()-3)/(MATCH(9.99E+307,'Returns (Calc)'!$A:$A)-3),"")</f>
        <v>26.2443037974684</v>
      </c>
      <c r="AF101" s="144" t="n">
        <f aca="false">IFERROR('Price History'!K3+(INDEX('Price History'!K:K,MATCH(9.99E+307,'Price History'!$A:$A))-'Price History'!K3)*(ROW()-3)/(MATCH(9.99E+307,'Returns (Calc)'!$A:$A)-3),"")</f>
        <v>16.6215189873418</v>
      </c>
      <c r="AG101" s="144" t="n">
        <f aca="false">IFERROR('Price History'!L3+(INDEX('Price History'!L:L,MATCH(9.99E+307,'Price History'!$A:$A))-'Price History'!L3)*(ROW()-3)/(MATCH(9.99E+307,'Returns (Calc)'!$A:$A)-3),"")</f>
        <v>42.4708860759494</v>
      </c>
      <c r="AH101" s="144" t="n">
        <f aca="false">IFERROR('Price History'!M3+(INDEX('Price History'!M:M,MATCH(9.99E+307,'Price History'!$A:$A))-'Price History'!M3)*(ROW()-3)/(MATCH(9.99E+307,'Returns (Calc)'!$A:$A)-3),"")</f>
        <v>5.82151898734177</v>
      </c>
      <c r="AI101" s="144" t="n">
        <f aca="false">IFERROR('Price History'!N3+(INDEX('Price History'!N:N,MATCH(9.99E+307,'Price History'!$A:$A))-'Price History'!N3)*(ROW()-3)/(MATCH(9.99E+307,'Returns (Calc)'!$A:$A)-3),"")</f>
        <v>8.27848101265823</v>
      </c>
      <c r="AJ101" s="144" t="n">
        <f aca="false">IFERROR('Price History'!O3+(INDEX('Price History'!O:O,MATCH(9.99E+307,'Price History'!$A:$A))-'Price History'!O3)*(ROW()-3)/(MATCH(9.99E+307,'Returns (Calc)'!$A:$A)-3),"")</f>
        <v>21.8848101265823</v>
      </c>
      <c r="AK101" s="144" t="n">
        <f aca="false">IFERROR('Price History'!Q3+(INDEX('Price History'!Q:Q,MATCH(9.99E+307,'Price History'!$A:$A))-'Price History'!Q3)*(ROW()-3)/(MATCH(9.99E+307,'Returns (Calc)'!$A:$A)-3),"")</f>
        <v>89.4797468354431</v>
      </c>
      <c r="AL101" s="144" t="n">
        <f aca="false">IFERROR('Price History'!R3+(INDEX('Price History'!R:R,MATCH(9.99E+307,'Price History'!$A:$A))-'Price History'!R3)*(ROW()-3)/(MATCH(9.99E+307,'Returns (Calc)'!$A:$A)-3),"")</f>
        <v>18.1594936708861</v>
      </c>
      <c r="AM101" s="144" t="n">
        <f aca="false">IFERROR('Price History'!S3+(INDEX('Price History'!S:S,MATCH(9.99E+307,'Price History'!$A:$A))-'Price History'!S3)*(ROW()-3)/(MATCH(9.99E+307,'Returns (Calc)'!$A:$A)-3),"")</f>
        <v>22.2303797468354</v>
      </c>
      <c r="AN101" s="144" t="n">
        <f aca="false">IFERROR('Price History'!T3+(INDEX('Price History'!T:T,MATCH(9.99E+307,'Price History'!$A:$A))-'Price History'!T3)*(ROW()-3)/(MATCH(9.99E+307,'Returns (Calc)'!$A:$A)-3),"")</f>
        <v>10.2189873417722</v>
      </c>
      <c r="AO101" s="145" t="n">
        <f aca="false">IFERROR('Price History'!V3+(INDEX('Price History'!V:V,MATCH(9.99E+307,'Price History'!$A:$A))-'Price History'!V3)*(ROW()-3)/(MATCH(9.99E+307,'Returns (Calc)'!$A:$A)-3),"")</f>
        <v>0</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0.0298293891029169</v>
      </c>
      <c r="G102" s="142" t="n">
        <f aca="false">IFERROR(IF(OR(NOT(ISNUMBER('Price History'!G103)),NOT(ISNUMBER('Price History'!G102)),'Price History'!G102=0),"",'Price History'!G103/'Price History'!G102-1),"")</f>
        <v>0.00800980022615905</v>
      </c>
      <c r="H102" s="142" t="n">
        <f aca="false">IFERROR(IF(OR(NOT(ISNUMBER('Price History'!H103)),NOT(ISNUMBER('Price History'!H102)),'Price History'!H102=0),"",'Price History'!H103/'Price History'!H102-1),"")</f>
        <v>0.0153539075694764</v>
      </c>
      <c r="I102" s="142" t="n">
        <f aca="false">IFERROR(IF(OR(NOT(ISNUMBER('Price History'!I103)),NOT(ISNUMBER('Price History'!I102)),'Price History'!I102=0),"",'Price History'!I103/'Price History'!I102-1),"")</f>
        <v>-0.0435069941623527</v>
      </c>
      <c r="J102" s="142" t="n">
        <f aca="false">IFERROR(IF(OR(NOT(ISNUMBER('Price History'!J103)),NOT(ISNUMBER('Price History'!J102)),'Price History'!J102=0),"",'Price History'!J103/'Price History'!J102-1),"")</f>
        <v>0.016680707666386</v>
      </c>
      <c r="K102" s="142" t="n">
        <f aca="false">IFERROR(IF(OR(NOT(ISNUMBER('Price History'!K103)),NOT(ISNUMBER('Price History'!K102)),'Price History'!K102=0),"",'Price History'!K103/'Price History'!K102-1),"")</f>
        <v>-0.0122908093278464</v>
      </c>
      <c r="L102" s="142" t="n">
        <f aca="false">IFERROR(IF(OR(NOT(ISNUMBER('Price History'!L103)),NOT(ISNUMBER('Price History'!L102)),'Price History'!L102=0),"",'Price History'!L103/'Price History'!L102-1),"")</f>
        <v>0.00856636471051608</v>
      </c>
      <c r="M102" s="142" t="n">
        <f aca="false">IFERROR(IF(OR(NOT(ISNUMBER('Price History'!M103)),NOT(ISNUMBER('Price History'!M102)),'Price History'!M102=0),"",'Price History'!M103/'Price History'!M102-1),"")</f>
        <v>-0.0523641420624734</v>
      </c>
      <c r="N102" s="142" t="n">
        <f aca="false">IFERROR(IF(OR(NOT(ISNUMBER('Price History'!N103)),NOT(ISNUMBER('Price History'!N102)),'Price History'!N102=0),"",'Price History'!N103/'Price History'!N102-1),"")</f>
        <v>0.0167185069984448</v>
      </c>
      <c r="O102" s="142" t="n">
        <f aca="false">IFERROR(IF(OR(NOT(ISNUMBER('Price History'!O103)),NOT(ISNUMBER('Price History'!O102)),'Price History'!O102=0),"",'Price History'!O103/'Price History'!O102-1),"")</f>
        <v>0.00103430443027075</v>
      </c>
      <c r="P102" s="142" t="n">
        <f aca="false">IFERROR(IF(OR(NOT(ISNUMBER('Price History'!P103)),NOT(ISNUMBER('Price History'!P102)),'Price History'!P102=0),"",'Price History'!P103/'Price History'!P102-1),"")</f>
        <v>-0.0121992118722227</v>
      </c>
      <c r="Q102" s="142" t="n">
        <f aca="false">IFERROR(IF(OR(NOT(ISNUMBER('Price History'!Q103)),NOT(ISNUMBER('Price History'!Q102)),'Price History'!Q102=0),"",'Price History'!Q103/'Price History'!Q102-1),"")</f>
        <v>0.0246461981290478</v>
      </c>
      <c r="R102" s="142" t="n">
        <f aca="false">IFERROR(IF(OR(NOT(ISNUMBER('Price History'!R103)),NOT(ISNUMBER('Price History'!R102)),'Price History'!R102=0),"",'Price History'!R103/'Price History'!R102-1),"")</f>
        <v>0.00369276218611536</v>
      </c>
      <c r="S102" s="142" t="n">
        <f aca="false">IFERROR(IF(OR(NOT(ISNUMBER('Price History'!S103)),NOT(ISNUMBER('Price History'!S102)),'Price History'!S102=0),"",'Price History'!S103/'Price History'!S102-1),"")</f>
        <v>-0.00302195360412416</v>
      </c>
      <c r="T102" s="142" t="n">
        <f aca="false">IFERROR(IF(OR(NOT(ISNUMBER('Price History'!T103)),NOT(ISNUMBER('Price History'!T102)),'Price History'!T102=0),"",'Price History'!T103/'Price History'!T102-1),"")</f>
        <v>0.00195694716242656</v>
      </c>
      <c r="U102" s="142" t="str">
        <f aca="false">IFERROR(IF(OR(NOT(ISNUMBER('Price History'!U103)),NOT(ISNUMBER('Price History'!U102)),'Price History'!U102=0),"",'Price History'!U103/'Price History'!U102-1),"")</f>
        <v/>
      </c>
      <c r="V102" s="143" t="str">
        <f aca="false">IFERROR(IF(OR(NOT(ISNUMBER('Price History'!V103)),NOT(ISNUMBER('Price History'!V102)),'Price History'!V102=0),"",'Price History'!V103/'Price History'!V102-1),"")</f>
        <v/>
      </c>
      <c r="W102" s="144" t="str">
        <f aca="false">IFERROR('Price History'!B3+(INDEX('Price History'!B:B,MATCH(9.99E+307,'Price History'!$A:$A))-'Price History'!B3)*(ROW()-3)/(MATCH(9.99E+307,'Returns (Calc)'!$A:$A)-3),"")</f>
        <v/>
      </c>
      <c r="X102" s="144" t="n">
        <f aca="false">IFERROR('Price History'!C3+(INDEX('Price History'!C:C,MATCH(9.99E+307,'Price History'!$A:$A))-'Price History'!C3)*(ROW()-3)/(MATCH(9.99E+307,'Returns (Calc)'!$A:$A)-3),"")</f>
        <v>17.2444303797468</v>
      </c>
      <c r="Y102" s="144" t="n">
        <f aca="false">IFERROR('Price History'!D3+(INDEX('Price History'!D:D,MATCH(9.99E+307,'Price History'!$A:$A))-'Price History'!D3)*(ROW()-3)/(MATCH(9.99E+307,'Returns (Calc)'!$A:$A)-3),"")</f>
        <v>217.332848101266</v>
      </c>
      <c r="Z102" s="144" t="n">
        <f aca="false">IFERROR('Price History'!E3+(INDEX('Price History'!E:E,MATCH(9.99E+307,'Price History'!$A:$A))-'Price History'!E3)*(ROW()-3)/(MATCH(9.99E+307,'Returns (Calc)'!$A:$A)-3),"")</f>
        <v>30.620253164557</v>
      </c>
      <c r="AA102" s="144" t="n">
        <f aca="false">IFERROR('Price History'!F3+(INDEX('Price History'!F:F,MATCH(9.99E+307,'Price History'!$A:$A))-'Price History'!F3)*(ROW()-3)/(MATCH(9.99E+307,'Returns (Calc)'!$A:$A)-3),"")</f>
        <v>28.1220886075949</v>
      </c>
      <c r="AB102" s="144" t="n">
        <f aca="false">IFERROR('Price History'!G3+(INDEX('Price History'!G:G,MATCH(9.99E+307,'Price History'!$A:$A))-'Price History'!G3)*(ROW()-3)/(MATCH(9.99E+307,'Returns (Calc)'!$A:$A)-3),"")</f>
        <v>15.4445569620253</v>
      </c>
      <c r="AC102" s="144" t="n">
        <f aca="false">IFERROR('Price History'!H3+(INDEX('Price History'!H:H,MATCH(9.99E+307,'Price History'!$A:$A))-'Price History'!H3)*(ROW()-3)/(MATCH(9.99E+307,'Returns (Calc)'!$A:$A)-3),"")</f>
        <v>37.5620886075949</v>
      </c>
      <c r="AD102" s="144" t="n">
        <f aca="false">IFERROR('Price History'!I3+(INDEX('Price History'!I:I,MATCH(9.99E+307,'Price History'!$A:$A))-'Price History'!I3)*(ROW()-3)/(MATCH(9.99E+307,'Returns (Calc)'!$A:$A)-3),"")</f>
        <v>16.5610759493671</v>
      </c>
      <c r="AE102" s="144" t="n">
        <f aca="false">IFERROR('Price History'!J3+(INDEX('Price History'!J:J,MATCH(9.99E+307,'Price History'!$A:$A))-'Price History'!J3)*(ROW()-3)/(MATCH(9.99E+307,'Returns (Calc)'!$A:$A)-3),"")</f>
        <v>25.8068987341772</v>
      </c>
      <c r="AF102" s="144" t="n">
        <f aca="false">IFERROR('Price History'!K3+(INDEX('Price History'!K:K,MATCH(9.99E+307,'Price History'!$A:$A))-'Price History'!K3)*(ROW()-3)/(MATCH(9.99E+307,'Returns (Calc)'!$A:$A)-3),"")</f>
        <v>16.3444936708861</v>
      </c>
      <c r="AG102" s="144" t="n">
        <f aca="false">IFERROR('Price History'!L3+(INDEX('Price History'!L:L,MATCH(9.99E+307,'Price History'!$A:$A))-'Price History'!L3)*(ROW()-3)/(MATCH(9.99E+307,'Returns (Calc)'!$A:$A)-3),"")</f>
        <v>41.7630379746835</v>
      </c>
      <c r="AH102" s="144" t="n">
        <f aca="false">IFERROR('Price History'!M3+(INDEX('Price History'!M:M,MATCH(9.99E+307,'Price History'!$A:$A))-'Price History'!M3)*(ROW()-3)/(MATCH(9.99E+307,'Returns (Calc)'!$A:$A)-3),"")</f>
        <v>5.72449367088608</v>
      </c>
      <c r="AI102" s="144" t="n">
        <f aca="false">IFERROR('Price History'!N3+(INDEX('Price History'!N:N,MATCH(9.99E+307,'Price History'!$A:$A))-'Price History'!N3)*(ROW()-3)/(MATCH(9.99E+307,'Returns (Calc)'!$A:$A)-3),"")</f>
        <v>8.14050632911392</v>
      </c>
      <c r="AJ102" s="144" t="n">
        <f aca="false">IFERROR('Price History'!O3+(INDEX('Price History'!O:O,MATCH(9.99E+307,'Price History'!$A:$A))-'Price History'!O3)*(ROW()-3)/(MATCH(9.99E+307,'Returns (Calc)'!$A:$A)-3),"")</f>
        <v>21.5200632911392</v>
      </c>
      <c r="AK102" s="144" t="n">
        <f aca="false">IFERROR('Price History'!Q3+(INDEX('Price History'!Q:Q,MATCH(9.99E+307,'Price History'!$A:$A))-'Price History'!Q3)*(ROW()-3)/(MATCH(9.99E+307,'Returns (Calc)'!$A:$A)-3),"")</f>
        <v>87.988417721519</v>
      </c>
      <c r="AL102" s="144" t="n">
        <f aca="false">IFERROR('Price History'!R3+(INDEX('Price History'!R:R,MATCH(9.99E+307,'Price History'!$A:$A))-'Price History'!R3)*(ROW()-3)/(MATCH(9.99E+307,'Returns (Calc)'!$A:$A)-3),"")</f>
        <v>17.856835443038</v>
      </c>
      <c r="AM102" s="144" t="n">
        <f aca="false">IFERROR('Price History'!S3+(INDEX('Price History'!S:S,MATCH(9.99E+307,'Price History'!$A:$A))-'Price History'!S3)*(ROW()-3)/(MATCH(9.99E+307,'Returns (Calc)'!$A:$A)-3),"")</f>
        <v>21.8598734177215</v>
      </c>
      <c r="AN102" s="144" t="n">
        <f aca="false">IFERROR('Price History'!T3+(INDEX('Price History'!T:T,MATCH(9.99E+307,'Price History'!$A:$A))-'Price History'!T3)*(ROW()-3)/(MATCH(9.99E+307,'Returns (Calc)'!$A:$A)-3),"")</f>
        <v>10.048670886076</v>
      </c>
      <c r="AO102" s="145" t="n">
        <f aca="false">IFERROR('Price History'!V3+(INDEX('Price History'!V:V,MATCH(9.99E+307,'Price History'!$A:$A))-'Price History'!V3)*(ROW()-3)/(MATCH(9.99E+307,'Returns (Calc)'!$A:$A)-3),"")</f>
        <v>0</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0.0397605814450619</v>
      </c>
      <c r="G103" s="142" t="n">
        <f aca="false">IFERROR(IF(OR(NOT(ISNUMBER('Price History'!G104)),NOT(ISNUMBER('Price History'!G103)),'Price History'!G103=0),"",'Price History'!G104/'Price History'!G103-1),"")</f>
        <v>-0.0171076002617556</v>
      </c>
      <c r="H103" s="142" t="n">
        <f aca="false">IFERROR(IF(OR(NOT(ISNUMBER('Price History'!H104)),NOT(ISNUMBER('Price History'!H103)),'Price History'!H103=0),"",'Price History'!H104/'Price History'!H103-1),"")</f>
        <v>0.0288825041584759</v>
      </c>
      <c r="I103" s="142" t="n">
        <f aca="false">IFERROR(IF(OR(NOT(ISNUMBER('Price History'!I104)),NOT(ISNUMBER('Price History'!I103)),'Price History'!I103=0),"",'Price History'!I104/'Price History'!I103-1),"")</f>
        <v>-0.0032243205895901</v>
      </c>
      <c r="J103" s="142" t="n">
        <f aca="false">IFERROR(IF(OR(NOT(ISNUMBER('Price History'!J104)),NOT(ISNUMBER('Price History'!J103)),'Price History'!J103=0),"",'Price History'!J104/'Price History'!J103-1),"")</f>
        <v>-0.0264335432548891</v>
      </c>
      <c r="K103" s="142" t="n">
        <f aca="false">IFERROR(IF(OR(NOT(ISNUMBER('Price History'!K104)),NOT(ISNUMBER('Price History'!K103)),'Price History'!K103=0),"",'Price History'!K104/'Price History'!K103-1),"")</f>
        <v>-0.0136659074495861</v>
      </c>
      <c r="L103" s="142" t="n">
        <f aca="false">IFERROR(IF(OR(NOT(ISNUMBER('Price History'!L104)),NOT(ISNUMBER('Price History'!L103)),'Price History'!L103=0),"",'Price History'!L104/'Price History'!L103-1),"")</f>
        <v>0.0534023235380259</v>
      </c>
      <c r="M103" s="142" t="n">
        <f aca="false">IFERROR(IF(OR(NOT(ISNUMBER('Price History'!M104)),NOT(ISNUMBER('Price History'!M103)),'Price History'!M103=0),"",'Price History'!M104/'Price History'!M103-1),"")</f>
        <v>-0.104024383360614</v>
      </c>
      <c r="N103" s="142" t="n">
        <f aca="false">IFERROR(IF(OR(NOT(ISNUMBER('Price History'!N104)),NOT(ISNUMBER('Price History'!N103)),'Price History'!N103=0),"",'Price History'!N104/'Price History'!N103-1),"")</f>
        <v>0.0229445506692161</v>
      </c>
      <c r="O103" s="142" t="n">
        <f aca="false">IFERROR(IF(OR(NOT(ISNUMBER('Price History'!O104)),NOT(ISNUMBER('Price History'!O103)),'Price History'!O103=0),"",'Price History'!O104/'Price History'!O103-1),"")</f>
        <v>-0.0068021353538833</v>
      </c>
      <c r="P103" s="142" t="n">
        <f aca="false">IFERROR(IF(OR(NOT(ISNUMBER('Price History'!P104)),NOT(ISNUMBER('Price History'!P103)),'Price History'!P103=0),"",'Price History'!P104/'Price History'!P103-1),"")</f>
        <v>-0.0246573017018207</v>
      </c>
      <c r="Q103" s="142" t="n">
        <f aca="false">IFERROR(IF(OR(NOT(ISNUMBER('Price History'!Q104)),NOT(ISNUMBER('Price History'!Q103)),'Price History'!Q103=0),"",'Price History'!Q104/'Price History'!Q103-1),"")</f>
        <v>0.0161526306548838</v>
      </c>
      <c r="R103" s="142" t="n">
        <f aca="false">IFERROR(IF(OR(NOT(ISNUMBER('Price History'!R104)),NOT(ISNUMBER('Price History'!R103)),'Price History'!R103=0),"",'Price History'!R104/'Price History'!R103-1),"")</f>
        <v>0.00607064017660042</v>
      </c>
      <c r="S103" s="142" t="n">
        <f aca="false">IFERROR(IF(OR(NOT(ISNUMBER('Price History'!S104)),NOT(ISNUMBER('Price History'!S103)),'Price History'!S103=0),"",'Price History'!S104/'Price History'!S103-1),"")</f>
        <v>0.014798965855398</v>
      </c>
      <c r="T103" s="142" t="n">
        <f aca="false">IFERROR(IF(OR(NOT(ISNUMBER('Price History'!T104)),NOT(ISNUMBER('Price History'!T103)),'Price History'!T103=0),"",'Price History'!T104/'Price History'!T103-1),"")</f>
        <v>-0.0212053571428573</v>
      </c>
      <c r="U103" s="142" t="str">
        <f aca="false">IFERROR(IF(OR(NOT(ISNUMBER('Price History'!U104)),NOT(ISNUMBER('Price History'!U103)),'Price History'!U103=0),"",'Price History'!U104/'Price History'!U103-1),"")</f>
        <v/>
      </c>
      <c r="V103" s="143" t="n">
        <f aca="false">IFERROR(IF(OR(NOT(ISNUMBER('Price History'!V104)),NOT(ISNUMBER('Price History'!V103)),'Price History'!V103=0),"",'Price History'!V104/'Price History'!V103-1),"")</f>
        <v>0.00322149988390996</v>
      </c>
      <c r="W103" s="144" t="str">
        <f aca="false">IFERROR('Price History'!B3+(INDEX('Price History'!B:B,MATCH(9.99E+307,'Price History'!$A:$A))-'Price History'!B3)*(ROW()-3)/(MATCH(9.99E+307,'Returns (Calc)'!$A:$A)-3),"")</f>
        <v/>
      </c>
      <c r="X103" s="144" t="n">
        <f aca="false">IFERROR('Price History'!C3+(INDEX('Price History'!C:C,MATCH(9.99E+307,'Price History'!$A:$A))-'Price History'!C3)*(ROW()-3)/(MATCH(9.99E+307,'Returns (Calc)'!$A:$A)-3),"")</f>
        <v>16.9521518987342</v>
      </c>
      <c r="Y103" s="144" t="n">
        <f aca="false">IFERROR('Price History'!D3+(INDEX('Price History'!D:D,MATCH(9.99E+307,'Price History'!$A:$A))-'Price History'!D3)*(ROW()-3)/(MATCH(9.99E+307,'Returns (Calc)'!$A:$A)-3),"")</f>
        <v>213.649240506329</v>
      </c>
      <c r="Z103" s="144" t="n">
        <f aca="false">IFERROR('Price History'!E3+(INDEX('Price History'!E:E,MATCH(9.99E+307,'Price History'!$A:$A))-'Price History'!E3)*(ROW()-3)/(MATCH(9.99E+307,'Returns (Calc)'!$A:$A)-3),"")</f>
        <v>30.1012658227848</v>
      </c>
      <c r="AA103" s="144" t="n">
        <f aca="false">IFERROR('Price History'!F3+(INDEX('Price History'!F:F,MATCH(9.99E+307,'Price History'!$A:$A))-'Price History'!F3)*(ROW()-3)/(MATCH(9.99E+307,'Returns (Calc)'!$A:$A)-3),"")</f>
        <v>27.6454430379747</v>
      </c>
      <c r="AB103" s="144" t="n">
        <f aca="false">IFERROR('Price History'!G3+(INDEX('Price History'!G:G,MATCH(9.99E+307,'Price History'!$A:$A))-'Price History'!G3)*(ROW()-3)/(MATCH(9.99E+307,'Returns (Calc)'!$A:$A)-3),"")</f>
        <v>15.1827848101266</v>
      </c>
      <c r="AC103" s="144" t="n">
        <f aca="false">IFERROR('Price History'!H3+(INDEX('Price History'!H:H,MATCH(9.99E+307,'Price History'!$A:$A))-'Price History'!H3)*(ROW()-3)/(MATCH(9.99E+307,'Returns (Calc)'!$A:$A)-3),"")</f>
        <v>36.9254430379747</v>
      </c>
      <c r="AD103" s="144" t="n">
        <f aca="false">IFERROR('Price History'!I3+(INDEX('Price History'!I:I,MATCH(9.99E+307,'Price History'!$A:$A))-'Price History'!I3)*(ROW()-3)/(MATCH(9.99E+307,'Returns (Calc)'!$A:$A)-3),"")</f>
        <v>16.2803797468354</v>
      </c>
      <c r="AE103" s="144" t="n">
        <f aca="false">IFERROR('Price History'!J3+(INDEX('Price History'!J:J,MATCH(9.99E+307,'Price History'!$A:$A))-'Price History'!J3)*(ROW()-3)/(MATCH(9.99E+307,'Returns (Calc)'!$A:$A)-3),"")</f>
        <v>25.3694936708861</v>
      </c>
      <c r="AF103" s="144" t="n">
        <f aca="false">IFERROR('Price History'!K3+(INDEX('Price History'!K:K,MATCH(9.99E+307,'Price History'!$A:$A))-'Price History'!K3)*(ROW()-3)/(MATCH(9.99E+307,'Returns (Calc)'!$A:$A)-3),"")</f>
        <v>16.0674683544304</v>
      </c>
      <c r="AG103" s="144" t="n">
        <f aca="false">IFERROR('Price History'!L3+(INDEX('Price History'!L:L,MATCH(9.99E+307,'Price History'!$A:$A))-'Price History'!L3)*(ROW()-3)/(MATCH(9.99E+307,'Returns (Calc)'!$A:$A)-3),"")</f>
        <v>41.0551898734177</v>
      </c>
      <c r="AH103" s="144" t="n">
        <f aca="false">IFERROR('Price History'!M3+(INDEX('Price History'!M:M,MATCH(9.99E+307,'Price History'!$A:$A))-'Price History'!M3)*(ROW()-3)/(MATCH(9.99E+307,'Returns (Calc)'!$A:$A)-3),"")</f>
        <v>5.62746835443038</v>
      </c>
      <c r="AI103" s="144" t="n">
        <f aca="false">IFERROR('Price History'!N3+(INDEX('Price History'!N:N,MATCH(9.99E+307,'Price History'!$A:$A))-'Price History'!N3)*(ROW()-3)/(MATCH(9.99E+307,'Returns (Calc)'!$A:$A)-3),"")</f>
        <v>8.00253164556962</v>
      </c>
      <c r="AJ103" s="144" t="n">
        <f aca="false">IFERROR('Price History'!O3+(INDEX('Price History'!O:O,MATCH(9.99E+307,'Price History'!$A:$A))-'Price History'!O3)*(ROW()-3)/(MATCH(9.99E+307,'Returns (Calc)'!$A:$A)-3),"")</f>
        <v>21.1553164556962</v>
      </c>
      <c r="AK103" s="144" t="n">
        <f aca="false">IFERROR('Price History'!Q3+(INDEX('Price History'!Q:Q,MATCH(9.99E+307,'Price History'!$A:$A))-'Price History'!Q3)*(ROW()-3)/(MATCH(9.99E+307,'Returns (Calc)'!$A:$A)-3),"")</f>
        <v>86.4970886075949</v>
      </c>
      <c r="AL103" s="144" t="n">
        <f aca="false">IFERROR('Price History'!R3+(INDEX('Price History'!R:R,MATCH(9.99E+307,'Price History'!$A:$A))-'Price History'!R3)*(ROW()-3)/(MATCH(9.99E+307,'Returns (Calc)'!$A:$A)-3),"")</f>
        <v>17.5541772151899</v>
      </c>
      <c r="AM103" s="144" t="n">
        <f aca="false">IFERROR('Price History'!S3+(INDEX('Price History'!S:S,MATCH(9.99E+307,'Price History'!$A:$A))-'Price History'!S3)*(ROW()-3)/(MATCH(9.99E+307,'Returns (Calc)'!$A:$A)-3),"")</f>
        <v>21.4893670886076</v>
      </c>
      <c r="AN103" s="144" t="n">
        <f aca="false">IFERROR('Price History'!T3+(INDEX('Price History'!T:T,MATCH(9.99E+307,'Price History'!$A:$A))-'Price History'!T3)*(ROW()-3)/(MATCH(9.99E+307,'Returns (Calc)'!$A:$A)-3),"")</f>
        <v>9.87835443037975</v>
      </c>
      <c r="AO103" s="145" t="n">
        <f aca="false">IFERROR('Price History'!V3+(INDEX('Price History'!V:V,MATCH(9.99E+307,'Price History'!$A:$A))-'Price History'!V3)*(ROW()-3)/(MATCH(9.99E+307,'Returns (Calc)'!$A:$A)-3),"")</f>
        <v>0</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0.00842927631578938</v>
      </c>
      <c r="G104" s="142" t="n">
        <f aca="false">IFERROR(IF(OR(NOT(ISNUMBER('Price History'!G105)),NOT(ISNUMBER('Price History'!G104)),'Price History'!G104=0),"",'Price History'!G105/'Price History'!G104-1),"")</f>
        <v>0.00751379113562867</v>
      </c>
      <c r="H104" s="142" t="n">
        <f aca="false">IFERROR(IF(OR(NOT(ISNUMBER('Price History'!H105)),NOT(ISNUMBER('Price History'!H104)),'Price History'!H104=0),"",'Price History'!H105/'Price History'!H104-1),"")</f>
        <v>-0.00220458553791891</v>
      </c>
      <c r="I104" s="142" t="n">
        <f aca="false">IFERROR(IF(OR(NOT(ISNUMBER('Price History'!I105)),NOT(ISNUMBER('Price History'!I104)),'Price History'!I104=0),"",'Price History'!I105/'Price History'!I104-1),"")</f>
        <v>0.00196395563770801</v>
      </c>
      <c r="J104" s="142" t="n">
        <f aca="false">IFERROR(IF(OR(NOT(ISNUMBER('Price History'!J105)),NOT(ISNUMBER('Price History'!J104)),'Price History'!J104=0),"",'Price History'!J105/'Price History'!J104-1),"")</f>
        <v>0.0113201123499873</v>
      </c>
      <c r="K104" s="142" t="n">
        <f aca="false">IFERROR(IF(OR(NOT(ISNUMBER('Price History'!K105)),NOT(ISNUMBER('Price History'!K104)),'Price History'!K104=0),"",'Price History'!K105/'Price History'!K104-1),"")</f>
        <v>-0.0214024218529992</v>
      </c>
      <c r="L104" s="142" t="n">
        <f aca="false">IFERROR(IF(OR(NOT(ISNUMBER('Price History'!L105)),NOT(ISNUMBER('Price History'!L104)),'Price History'!L104=0),"",'Price History'!L105/'Price History'!L104-1),"")</f>
        <v>0.0133456904541243</v>
      </c>
      <c r="M104" s="142" t="n">
        <f aca="false">IFERROR(IF(OR(NOT(ISNUMBER('Price History'!M105)),NOT(ISNUMBER('Price History'!M104)),'Price History'!M104=0),"",'Price History'!M105/'Price History'!M104-1),"")</f>
        <v>-0.0127882071311579</v>
      </c>
      <c r="N104" s="142" t="n">
        <f aca="false">IFERROR(IF(OR(NOT(ISNUMBER('Price History'!N105)),NOT(ISNUMBER('Price History'!N104)),'Price History'!N104=0),"",'Price History'!N105/'Price History'!N104-1),"")</f>
        <v>-0.00112149532710282</v>
      </c>
      <c r="O104" s="142" t="n">
        <f aca="false">IFERROR(IF(OR(NOT(ISNUMBER('Price History'!O105)),NOT(ISNUMBER('Price History'!O104)),'Price History'!O104=0),"",'Price History'!O105/'Price History'!O104-1),"")</f>
        <v>-0.000260078023406996</v>
      </c>
      <c r="P104" s="142" t="n">
        <f aca="false">IFERROR(IF(OR(NOT(ISNUMBER('Price History'!P105)),NOT(ISNUMBER('Price History'!P104)),'Price History'!P104=0),"",'Price History'!P105/'Price History'!P104-1),"")</f>
        <v>-0.00909407362283532</v>
      </c>
      <c r="Q104" s="142" t="n">
        <f aca="false">IFERROR(IF(OR(NOT(ISNUMBER('Price History'!Q105)),NOT(ISNUMBER('Price History'!Q104)),'Price History'!Q104=0),"",'Price History'!Q105/'Price History'!Q104-1),"")</f>
        <v>0.00498185797385253</v>
      </c>
      <c r="R104" s="142" t="n">
        <f aca="false">IFERROR(IF(OR(NOT(ISNUMBER('Price History'!R105)),NOT(ISNUMBER('Price History'!R104)),'Price History'!R104=0),"",'Price History'!R105/'Price History'!R104-1),"")</f>
        <v>0.00713110257816796</v>
      </c>
      <c r="S104" s="142" t="n">
        <f aca="false">IFERROR(IF(OR(NOT(ISNUMBER('Price History'!S105)),NOT(ISNUMBER('Price History'!S104)),'Price History'!S104=0),"",'Price History'!S105/'Price History'!S104-1),"")</f>
        <v>0.0105420363700255</v>
      </c>
      <c r="T104" s="142" t="n">
        <f aca="false">IFERROR(IF(OR(NOT(ISNUMBER('Price History'!T105)),NOT(ISNUMBER('Price History'!T104)),'Price History'!T104=0),"",'Price History'!T105/'Price History'!T104-1),"")</f>
        <v>0.0219498289623719</v>
      </c>
      <c r="U104" s="142" t="str">
        <f aca="false">IFERROR(IF(OR(NOT(ISNUMBER('Price History'!U105)),NOT(ISNUMBER('Price History'!U104)),'Price History'!U104=0),"",'Price History'!U105/'Price History'!U104-1),"")</f>
        <v/>
      </c>
      <c r="V104" s="143" t="n">
        <f aca="false">IFERROR(IF(OR(NOT(ISNUMBER('Price History'!V105)),NOT(ISNUMBER('Price History'!V104)),'Price History'!V104=0),"",'Price History'!V105/'Price History'!V104-1),"")</f>
        <v>0.0229120259206757</v>
      </c>
      <c r="W104" s="144" t="str">
        <f aca="false">IFERROR('Price History'!B3+(INDEX('Price History'!B:B,MATCH(9.99E+307,'Price History'!$A:$A))-'Price History'!B3)*(ROW()-3)/(MATCH(9.99E+307,'Returns (Calc)'!$A:$A)-3),"")</f>
        <v/>
      </c>
      <c r="X104" s="144" t="n">
        <f aca="false">IFERROR('Price History'!C3+(INDEX('Price History'!C:C,MATCH(9.99E+307,'Price History'!$A:$A))-'Price History'!C3)*(ROW()-3)/(MATCH(9.99E+307,'Returns (Calc)'!$A:$A)-3),"")</f>
        <v>16.6598734177215</v>
      </c>
      <c r="Y104" s="144" t="n">
        <f aca="false">IFERROR('Price History'!D3+(INDEX('Price History'!D:D,MATCH(9.99E+307,'Price History'!$A:$A))-'Price History'!D3)*(ROW()-3)/(MATCH(9.99E+307,'Returns (Calc)'!$A:$A)-3),"")</f>
        <v>209.965632911392</v>
      </c>
      <c r="Z104" s="144" t="n">
        <f aca="false">IFERROR('Price History'!E3+(INDEX('Price History'!E:E,MATCH(9.99E+307,'Price History'!$A:$A))-'Price History'!E3)*(ROW()-3)/(MATCH(9.99E+307,'Returns (Calc)'!$A:$A)-3),"")</f>
        <v>29.5822784810127</v>
      </c>
      <c r="AA104" s="144" t="n">
        <f aca="false">IFERROR('Price History'!F3+(INDEX('Price History'!F:F,MATCH(9.99E+307,'Price History'!$A:$A))-'Price History'!F3)*(ROW()-3)/(MATCH(9.99E+307,'Returns (Calc)'!$A:$A)-3),"")</f>
        <v>27.1687974683544</v>
      </c>
      <c r="AB104" s="144" t="n">
        <f aca="false">IFERROR('Price History'!G3+(INDEX('Price History'!G:G,MATCH(9.99E+307,'Price History'!$A:$A))-'Price History'!G3)*(ROW()-3)/(MATCH(9.99E+307,'Returns (Calc)'!$A:$A)-3),"")</f>
        <v>14.9210126582278</v>
      </c>
      <c r="AC104" s="144" t="n">
        <f aca="false">IFERROR('Price History'!H3+(INDEX('Price History'!H:H,MATCH(9.99E+307,'Price History'!$A:$A))-'Price History'!H3)*(ROW()-3)/(MATCH(9.99E+307,'Returns (Calc)'!$A:$A)-3),"")</f>
        <v>36.2887974683544</v>
      </c>
      <c r="AD104" s="144" t="n">
        <f aca="false">IFERROR('Price History'!I3+(INDEX('Price History'!I:I,MATCH(9.99E+307,'Price History'!$A:$A))-'Price History'!I3)*(ROW()-3)/(MATCH(9.99E+307,'Returns (Calc)'!$A:$A)-3),"")</f>
        <v>15.9996835443038</v>
      </c>
      <c r="AE104" s="144" t="n">
        <f aca="false">IFERROR('Price History'!J3+(INDEX('Price History'!J:J,MATCH(9.99E+307,'Price History'!$A:$A))-'Price History'!J3)*(ROW()-3)/(MATCH(9.99E+307,'Returns (Calc)'!$A:$A)-3),"")</f>
        <v>24.9320886075949</v>
      </c>
      <c r="AF104" s="144" t="n">
        <f aca="false">IFERROR('Price History'!K3+(INDEX('Price History'!K:K,MATCH(9.99E+307,'Price History'!$A:$A))-'Price History'!K3)*(ROW()-3)/(MATCH(9.99E+307,'Returns (Calc)'!$A:$A)-3),"")</f>
        <v>15.7904430379747</v>
      </c>
      <c r="AG104" s="144" t="n">
        <f aca="false">IFERROR('Price History'!L3+(INDEX('Price History'!L:L,MATCH(9.99E+307,'Price History'!$A:$A))-'Price History'!L3)*(ROW()-3)/(MATCH(9.99E+307,'Returns (Calc)'!$A:$A)-3),"")</f>
        <v>40.3473417721519</v>
      </c>
      <c r="AH104" s="144" t="n">
        <f aca="false">IFERROR('Price History'!M3+(INDEX('Price History'!M:M,MATCH(9.99E+307,'Price History'!$A:$A))-'Price History'!M3)*(ROW()-3)/(MATCH(9.99E+307,'Returns (Calc)'!$A:$A)-3),"")</f>
        <v>5.53044303797469</v>
      </c>
      <c r="AI104" s="144" t="n">
        <f aca="false">IFERROR('Price History'!N3+(INDEX('Price History'!N:N,MATCH(9.99E+307,'Price History'!$A:$A))-'Price History'!N3)*(ROW()-3)/(MATCH(9.99E+307,'Returns (Calc)'!$A:$A)-3),"")</f>
        <v>7.86455696202532</v>
      </c>
      <c r="AJ104" s="144" t="n">
        <f aca="false">IFERROR('Price History'!O3+(INDEX('Price History'!O:O,MATCH(9.99E+307,'Price History'!$A:$A))-'Price History'!O3)*(ROW()-3)/(MATCH(9.99E+307,'Returns (Calc)'!$A:$A)-3),"")</f>
        <v>20.7905696202532</v>
      </c>
      <c r="AK104" s="144" t="n">
        <f aca="false">IFERROR('Price History'!Q3+(INDEX('Price History'!Q:Q,MATCH(9.99E+307,'Price History'!$A:$A))-'Price History'!Q3)*(ROW()-3)/(MATCH(9.99E+307,'Returns (Calc)'!$A:$A)-3),"")</f>
        <v>85.0057594936709</v>
      </c>
      <c r="AL104" s="144" t="n">
        <f aca="false">IFERROR('Price History'!R3+(INDEX('Price History'!R:R,MATCH(9.99E+307,'Price History'!$A:$A))-'Price History'!R3)*(ROW()-3)/(MATCH(9.99E+307,'Returns (Calc)'!$A:$A)-3),"")</f>
        <v>17.2515189873418</v>
      </c>
      <c r="AM104" s="144" t="n">
        <f aca="false">IFERROR('Price History'!S3+(INDEX('Price History'!S:S,MATCH(9.99E+307,'Price History'!$A:$A))-'Price History'!S3)*(ROW()-3)/(MATCH(9.99E+307,'Returns (Calc)'!$A:$A)-3),"")</f>
        <v>21.1188607594937</v>
      </c>
      <c r="AN104" s="144" t="n">
        <f aca="false">IFERROR('Price History'!T3+(INDEX('Price History'!T:T,MATCH(9.99E+307,'Price History'!$A:$A))-'Price History'!T3)*(ROW()-3)/(MATCH(9.99E+307,'Returns (Calc)'!$A:$A)-3),"")</f>
        <v>9.70803797468355</v>
      </c>
      <c r="AO104" s="145" t="n">
        <f aca="false">IFERROR('Price History'!V3+(INDEX('Price History'!V:V,MATCH(9.99E+307,'Price History'!$A:$A))-'Price History'!V3)*(ROW()-3)/(MATCH(9.99E+307,'Returns (Calc)'!$A:$A)-3),"")</f>
        <v>0</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0.0109072375127421</v>
      </c>
      <c r="G105" s="142" t="n">
        <f aca="false">IFERROR(IF(OR(NOT(ISNUMBER('Price History'!G106)),NOT(ISNUMBER('Price History'!G105)),'Price History'!G105=0),"",'Price History'!G106/'Price History'!G105-1),"")</f>
        <v>-0.0143490984612481</v>
      </c>
      <c r="H105" s="142" t="n">
        <f aca="false">IFERROR(IF(OR(NOT(ISNUMBER('Price History'!H106)),NOT(ISNUMBER('Price History'!H105)),'Price History'!H105=0),"",'Price History'!H106/'Price History'!H105-1),"")</f>
        <v>-0.000883782589483073</v>
      </c>
      <c r="I105" s="142" t="n">
        <f aca="false">IFERROR(IF(OR(NOT(ISNUMBER('Price History'!I106)),NOT(ISNUMBER('Price History'!I105)),'Price History'!I105=0),"",'Price History'!I106/'Price History'!I105-1),"")</f>
        <v>0.0379338175948345</v>
      </c>
      <c r="J105" s="142" t="n">
        <f aca="false">IFERROR(IF(OR(NOT(ISNUMBER('Price History'!J106)),NOT(ISNUMBER('Price History'!J105)),'Price History'!J105=0),"",'Price History'!J106/'Price History'!J105-1),"")</f>
        <v>0.103854569937721</v>
      </c>
      <c r="K105" s="142" t="n">
        <f aca="false">IFERROR(IF(OR(NOT(ISNUMBER('Price History'!K106)),NOT(ISNUMBER('Price History'!K105)),'Price History'!K105=0),"",'Price History'!K106/'Price History'!K105-1),"")</f>
        <v>-0.041093525179856</v>
      </c>
      <c r="L105" s="142" t="n">
        <f aca="false">IFERROR(IF(OR(NOT(ISNUMBER('Price History'!L106)),NOT(ISNUMBER('Price History'!L105)),'Price History'!L105=0),"",'Price History'!L106/'Price History'!L105-1),"")</f>
        <v>-0.00109749405524062</v>
      </c>
      <c r="M105" s="142" t="n">
        <f aca="false">IFERROR(IF(OR(NOT(ISNUMBER('Price History'!M106)),NOT(ISNUMBER('Price History'!M105)),'Price History'!M105=0),"",'Price History'!M106/'Price History'!M105-1),"")</f>
        <v>-0.0229723693446493</v>
      </c>
      <c r="N105" s="142" t="n">
        <f aca="false">IFERROR(IF(OR(NOT(ISNUMBER('Price History'!N106)),NOT(ISNUMBER('Price History'!N105)),'Price History'!N105=0),"",'Price History'!N106/'Price History'!N105-1),"")</f>
        <v>-0.0101047904191617</v>
      </c>
      <c r="O105" s="142" t="n">
        <f aca="false">IFERROR(IF(OR(NOT(ISNUMBER('Price History'!O106)),NOT(ISNUMBER('Price History'!O105)),'Price History'!O105=0),"",'Price History'!O106/'Price History'!O105-1),"")</f>
        <v>0.004942767950052</v>
      </c>
      <c r="P105" s="142" t="n">
        <f aca="false">IFERROR(IF(OR(NOT(ISNUMBER('Price History'!P106)),NOT(ISNUMBER('Price History'!P105)),'Price History'!P105=0),"",'Price History'!P106/'Price History'!P105-1),"")</f>
        <v>0.0543187107539631</v>
      </c>
      <c r="Q105" s="142" t="n">
        <f aca="false">IFERROR(IF(OR(NOT(ISNUMBER('Price History'!Q106)),NOT(ISNUMBER('Price History'!Q105)),'Price History'!Q105=0),"",'Price History'!Q106/'Price History'!Q105-1),"")</f>
        <v>-0.0243273446230551</v>
      </c>
      <c r="R105" s="142" t="n">
        <f aca="false">IFERROR(IF(OR(NOT(ISNUMBER('Price History'!R106)),NOT(ISNUMBER('Price History'!R105)),'Price History'!R105=0),"",'Price History'!R106/'Price History'!R105-1),"")</f>
        <v>-0.0230573710965867</v>
      </c>
      <c r="S105" s="142" t="n">
        <f aca="false">IFERROR(IF(OR(NOT(ISNUMBER('Price History'!S106)),NOT(ISNUMBER('Price History'!S105)),'Price History'!S105=0),"",'Price History'!S106/'Price History'!S105-1),"")</f>
        <v>-0.0156480918021386</v>
      </c>
      <c r="T105" s="142" t="n">
        <f aca="false">IFERROR(IF(OR(NOT(ISNUMBER('Price History'!T106)),NOT(ISNUMBER('Price History'!T105)),'Price History'!T105=0),"",'Price History'!T106/'Price History'!T105-1),"")</f>
        <v>-0.0418410041841004</v>
      </c>
      <c r="U105" s="142" t="str">
        <f aca="false">IFERROR(IF(OR(NOT(ISNUMBER('Price History'!U106)),NOT(ISNUMBER('Price History'!U105)),'Price History'!U105=0),"",'Price History'!U106/'Price History'!U105-1),"")</f>
        <v/>
      </c>
      <c r="V105" s="143" t="n">
        <f aca="false">IFERROR(IF(OR(NOT(ISNUMBER('Price History'!V106)),NOT(ISNUMBER('Price History'!V105)),'Price History'!V105=0),"",'Price History'!V106/'Price History'!V105-1),"")</f>
        <v>-0.0495489125823694</v>
      </c>
      <c r="W105" s="144" t="str">
        <f aca="false">IFERROR('Price History'!B3+(INDEX('Price History'!B:B,MATCH(9.99E+307,'Price History'!$A:$A))-'Price History'!B3)*(ROW()-3)/(MATCH(9.99E+307,'Returns (Calc)'!$A:$A)-3),"")</f>
        <v/>
      </c>
      <c r="X105" s="144" t="n">
        <f aca="false">IFERROR('Price History'!C3+(INDEX('Price History'!C:C,MATCH(9.99E+307,'Price History'!$A:$A))-'Price History'!C3)*(ROW()-3)/(MATCH(9.99E+307,'Returns (Calc)'!$A:$A)-3),"")</f>
        <v>16.3675949367089</v>
      </c>
      <c r="Y105" s="144" t="n">
        <f aca="false">IFERROR('Price History'!D3+(INDEX('Price History'!D:D,MATCH(9.99E+307,'Price History'!$A:$A))-'Price History'!D3)*(ROW()-3)/(MATCH(9.99E+307,'Returns (Calc)'!$A:$A)-3),"")</f>
        <v>206.282025316456</v>
      </c>
      <c r="Z105" s="144" t="n">
        <f aca="false">IFERROR('Price History'!E3+(INDEX('Price History'!E:E,MATCH(9.99E+307,'Price History'!$A:$A))-'Price History'!E3)*(ROW()-3)/(MATCH(9.99E+307,'Returns (Calc)'!$A:$A)-3),"")</f>
        <v>29.0632911392405</v>
      </c>
      <c r="AA105" s="144" t="n">
        <f aca="false">IFERROR('Price History'!F3+(INDEX('Price History'!F:F,MATCH(9.99E+307,'Price History'!$A:$A))-'Price History'!F3)*(ROW()-3)/(MATCH(9.99E+307,'Returns (Calc)'!$A:$A)-3),"")</f>
        <v>26.6921518987342</v>
      </c>
      <c r="AB105" s="144" t="n">
        <f aca="false">IFERROR('Price History'!G3+(INDEX('Price History'!G:G,MATCH(9.99E+307,'Price History'!$A:$A))-'Price History'!G3)*(ROW()-3)/(MATCH(9.99E+307,'Returns (Calc)'!$A:$A)-3),"")</f>
        <v>14.6592405063291</v>
      </c>
      <c r="AC105" s="144" t="n">
        <f aca="false">IFERROR('Price History'!H3+(INDEX('Price History'!H:H,MATCH(9.99E+307,'Price History'!$A:$A))-'Price History'!H3)*(ROW()-3)/(MATCH(9.99E+307,'Returns (Calc)'!$A:$A)-3),"")</f>
        <v>35.6521518987342</v>
      </c>
      <c r="AD105" s="144" t="n">
        <f aca="false">IFERROR('Price History'!I3+(INDEX('Price History'!I:I,MATCH(9.99E+307,'Price History'!$A:$A))-'Price History'!I3)*(ROW()-3)/(MATCH(9.99E+307,'Returns (Calc)'!$A:$A)-3),"")</f>
        <v>15.7189873417722</v>
      </c>
      <c r="AE105" s="144" t="n">
        <f aca="false">IFERROR('Price History'!J3+(INDEX('Price History'!J:J,MATCH(9.99E+307,'Price History'!$A:$A))-'Price History'!J3)*(ROW()-3)/(MATCH(9.99E+307,'Returns (Calc)'!$A:$A)-3),"")</f>
        <v>24.4946835443038</v>
      </c>
      <c r="AF105" s="144" t="n">
        <f aca="false">IFERROR('Price History'!K3+(INDEX('Price History'!K:K,MATCH(9.99E+307,'Price History'!$A:$A))-'Price History'!K3)*(ROW()-3)/(MATCH(9.99E+307,'Returns (Calc)'!$A:$A)-3),"")</f>
        <v>15.513417721519</v>
      </c>
      <c r="AG105" s="144" t="n">
        <f aca="false">IFERROR('Price History'!L3+(INDEX('Price History'!L:L,MATCH(9.99E+307,'Price History'!$A:$A))-'Price History'!L3)*(ROW()-3)/(MATCH(9.99E+307,'Returns (Calc)'!$A:$A)-3),"")</f>
        <v>39.6394936708861</v>
      </c>
      <c r="AH105" s="144" t="n">
        <f aca="false">IFERROR('Price History'!M3+(INDEX('Price History'!M:M,MATCH(9.99E+307,'Price History'!$A:$A))-'Price History'!M3)*(ROW()-3)/(MATCH(9.99E+307,'Returns (Calc)'!$A:$A)-3),"")</f>
        <v>5.43341772151899</v>
      </c>
      <c r="AI105" s="144" t="n">
        <f aca="false">IFERROR('Price History'!N3+(INDEX('Price History'!N:N,MATCH(9.99E+307,'Price History'!$A:$A))-'Price History'!N3)*(ROW()-3)/(MATCH(9.99E+307,'Returns (Calc)'!$A:$A)-3),"")</f>
        <v>7.72658227848102</v>
      </c>
      <c r="AJ105" s="144" t="n">
        <f aca="false">IFERROR('Price History'!O3+(INDEX('Price History'!O:O,MATCH(9.99E+307,'Price History'!$A:$A))-'Price History'!O3)*(ROW()-3)/(MATCH(9.99E+307,'Returns (Calc)'!$A:$A)-3),"")</f>
        <v>20.4258227848101</v>
      </c>
      <c r="AK105" s="144" t="n">
        <f aca="false">IFERROR('Price History'!Q3+(INDEX('Price History'!Q:Q,MATCH(9.99E+307,'Price History'!$A:$A))-'Price History'!Q3)*(ROW()-3)/(MATCH(9.99E+307,'Returns (Calc)'!$A:$A)-3),"")</f>
        <v>83.5144303797468</v>
      </c>
      <c r="AL105" s="144" t="n">
        <f aca="false">IFERROR('Price History'!R3+(INDEX('Price History'!R:R,MATCH(9.99E+307,'Price History'!$A:$A))-'Price History'!R3)*(ROW()-3)/(MATCH(9.99E+307,'Returns (Calc)'!$A:$A)-3),"")</f>
        <v>16.9488607594937</v>
      </c>
      <c r="AM105" s="144" t="n">
        <f aca="false">IFERROR('Price History'!S3+(INDEX('Price History'!S:S,MATCH(9.99E+307,'Price History'!$A:$A))-'Price History'!S3)*(ROW()-3)/(MATCH(9.99E+307,'Returns (Calc)'!$A:$A)-3),"")</f>
        <v>20.7483544303798</v>
      </c>
      <c r="AN105" s="144" t="n">
        <f aca="false">IFERROR('Price History'!T3+(INDEX('Price History'!T:T,MATCH(9.99E+307,'Price History'!$A:$A))-'Price History'!T3)*(ROW()-3)/(MATCH(9.99E+307,'Returns (Calc)'!$A:$A)-3),"")</f>
        <v>9.53772151898734</v>
      </c>
      <c r="AO105" s="145" t="n">
        <f aca="false">IFERROR('Price History'!V3+(INDEX('Price History'!V:V,MATCH(9.99E+307,'Price History'!$A:$A))-'Price History'!V3)*(ROW()-3)/(MATCH(9.99E+307,'Returns (Calc)'!$A:$A)-3),"")</f>
        <v>0</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-0.00796611878592324</v>
      </c>
      <c r="G106" s="142" t="n">
        <f aca="false">IFERROR(IF(OR(NOT(ISNUMBER('Price History'!G107)),NOT(ISNUMBER('Price History'!G106)),'Price History'!G106=0),"",'Price History'!G107/'Price History'!G106-1),"")</f>
        <v>0.0442486351882003</v>
      </c>
      <c r="H106" s="142" t="n">
        <f aca="false">IFERROR(IF(OR(NOT(ISNUMBER('Price History'!H107)),NOT(ISNUMBER('Price History'!H106)),'Price History'!H106=0),"",'Price History'!H107/'Price History'!H106-1),"")</f>
        <v>0.0013268465280849</v>
      </c>
      <c r="I106" s="142" t="n">
        <f aca="false">IFERROR(IF(OR(NOT(ISNUMBER('Price History'!I107)),NOT(ISNUMBER('Price History'!I106)),'Price History'!I106=0),"",'Price History'!I107/'Price History'!I106-1),"")</f>
        <v>0.0650966451899577</v>
      </c>
      <c r="J106" s="142" t="n">
        <f aca="false">IFERROR(IF(OR(NOT(ISNUMBER('Price History'!J107)),NOT(ISNUMBER('Price History'!J106)),'Price History'!J106=0),"",'Price History'!J107/'Price History'!J106-1),"")</f>
        <v>0.196858798414151</v>
      </c>
      <c r="K106" s="142" t="n">
        <f aca="false">IFERROR(IF(OR(NOT(ISNUMBER('Price History'!K107)),NOT(ISNUMBER('Price History'!K106)),'Price History'!K106=0),"",'Price History'!K107/'Price History'!K106-1),"")</f>
        <v>0.0647620190864893</v>
      </c>
      <c r="L106" s="142" t="n">
        <f aca="false">IFERROR(IF(OR(NOT(ISNUMBER('Price History'!L107)),NOT(ISNUMBER('Price History'!L106)),'Price History'!L106=0),"",'Price History'!L107/'Price History'!L106-1),"")</f>
        <v>0.0149240065921992</v>
      </c>
      <c r="M106" s="142" t="n">
        <f aca="false">IFERROR(IF(OR(NOT(ISNUMBER('Price History'!M107)),NOT(ISNUMBER('Price History'!M106)),'Price History'!M106=0),"",'Price History'!M107/'Price History'!M106-1),"")</f>
        <v>0.119652537391418</v>
      </c>
      <c r="N106" s="142" t="n">
        <f aca="false">IFERROR(IF(OR(NOT(ISNUMBER('Price History'!N107)),NOT(ISNUMBER('Price History'!N106)),'Price History'!N106=0),"",'Price History'!N107/'Price History'!N106-1),"")</f>
        <v>-0.00567107750472584</v>
      </c>
      <c r="O106" s="142" t="n">
        <f aca="false">IFERROR(IF(OR(NOT(ISNUMBER('Price History'!O107)),NOT(ISNUMBER('Price History'!O106)),'Price History'!O106=0),"",'Price History'!O107/'Price History'!O106-1),"")</f>
        <v>0.029251876779705</v>
      </c>
      <c r="P106" s="142" t="n">
        <f aca="false">IFERROR(IF(OR(NOT(ISNUMBER('Price History'!P107)),NOT(ISNUMBER('Price History'!P106)),'Price History'!P106=0),"",'Price History'!P107/'Price History'!P106-1),"")</f>
        <v>0.0654310703873386</v>
      </c>
      <c r="Q106" s="142" t="n">
        <f aca="false">IFERROR(IF(OR(NOT(ISNUMBER('Price History'!Q107)),NOT(ISNUMBER('Price History'!Q106)),'Price History'!Q106=0),"",'Price History'!Q107/'Price History'!Q106-1),"")</f>
        <v>-0.0110425844346549</v>
      </c>
      <c r="R106" s="142" t="n">
        <f aca="false">IFERROR(IF(OR(NOT(ISNUMBER('Price History'!R107)),NOT(ISNUMBER('Price History'!R106)),'Price History'!R106=0),"",'Price History'!R107/'Price History'!R106-1),"")</f>
        <v>0.0280616985690392</v>
      </c>
      <c r="S106" s="142" t="n">
        <f aca="false">IFERROR(IF(OR(NOT(ISNUMBER('Price History'!S107)),NOT(ISNUMBER('Price History'!S106)),'Price History'!S106=0),"",'Price History'!S107/'Price History'!S106-1),"")</f>
        <v>0.0349730636757042</v>
      </c>
      <c r="T106" s="142" t="n">
        <f aca="false">IFERROR(IF(OR(NOT(ISNUMBER('Price History'!T107)),NOT(ISNUMBER('Price History'!T106)),'Price History'!T106=0),"",'Price History'!T107/'Price History'!T106-1),"")</f>
        <v>0.00989810771470157</v>
      </c>
      <c r="U106" s="142" t="str">
        <f aca="false">IFERROR(IF(OR(NOT(ISNUMBER('Price History'!U107)),NOT(ISNUMBER('Price History'!U106)),'Price History'!U106=0),"",'Price History'!U107/'Price History'!U106-1),"")</f>
        <v/>
      </c>
      <c r="V106" s="143" t="n">
        <f aca="false">IFERROR(IF(OR(NOT(ISNUMBER('Price History'!V107)),NOT(ISNUMBER('Price History'!V106)),'Price History'!V106=0),"",'Price History'!V107/'Price History'!V106-1),"")</f>
        <v>-0.00758770494242278</v>
      </c>
      <c r="W106" s="144" t="str">
        <f aca="false">IFERROR('Price History'!B3+(INDEX('Price History'!B:B,MATCH(9.99E+307,'Price History'!$A:$A))-'Price History'!B3)*(ROW()-3)/(MATCH(9.99E+307,'Returns (Calc)'!$A:$A)-3),"")</f>
        <v/>
      </c>
      <c r="X106" s="144" t="n">
        <f aca="false">IFERROR('Price History'!C3+(INDEX('Price History'!C:C,MATCH(9.99E+307,'Price History'!$A:$A))-'Price History'!C3)*(ROW()-3)/(MATCH(9.99E+307,'Returns (Calc)'!$A:$A)-3),"")</f>
        <v>16.0753164556962</v>
      </c>
      <c r="Y106" s="144" t="n">
        <f aca="false">IFERROR('Price History'!D3+(INDEX('Price History'!D:D,MATCH(9.99E+307,'Price History'!$A:$A))-'Price History'!D3)*(ROW()-3)/(MATCH(9.99E+307,'Returns (Calc)'!$A:$A)-3),"")</f>
        <v>202.598417721519</v>
      </c>
      <c r="Z106" s="144" t="n">
        <f aca="false">IFERROR('Price History'!E3+(INDEX('Price History'!E:E,MATCH(9.99E+307,'Price History'!$A:$A))-'Price History'!E3)*(ROW()-3)/(MATCH(9.99E+307,'Returns (Calc)'!$A:$A)-3),"")</f>
        <v>28.5443037974684</v>
      </c>
      <c r="AA106" s="144" t="n">
        <f aca="false">IFERROR('Price History'!F3+(INDEX('Price History'!F:F,MATCH(9.99E+307,'Price History'!$A:$A))-'Price History'!F3)*(ROW()-3)/(MATCH(9.99E+307,'Returns (Calc)'!$A:$A)-3),"")</f>
        <v>26.2155063291139</v>
      </c>
      <c r="AB106" s="144" t="n">
        <f aca="false">IFERROR('Price History'!G3+(INDEX('Price History'!G:G,MATCH(9.99E+307,'Price History'!$A:$A))-'Price History'!G3)*(ROW()-3)/(MATCH(9.99E+307,'Returns (Calc)'!$A:$A)-3),"")</f>
        <v>14.3974683544304</v>
      </c>
      <c r="AC106" s="144" t="n">
        <f aca="false">IFERROR('Price History'!H3+(INDEX('Price History'!H:H,MATCH(9.99E+307,'Price History'!$A:$A))-'Price History'!H3)*(ROW()-3)/(MATCH(9.99E+307,'Returns (Calc)'!$A:$A)-3),"")</f>
        <v>35.0155063291139</v>
      </c>
      <c r="AD106" s="144" t="n">
        <f aca="false">IFERROR('Price History'!I3+(INDEX('Price History'!I:I,MATCH(9.99E+307,'Price History'!$A:$A))-'Price History'!I3)*(ROW()-3)/(MATCH(9.99E+307,'Returns (Calc)'!$A:$A)-3),"")</f>
        <v>15.4382911392405</v>
      </c>
      <c r="AE106" s="144" t="n">
        <f aca="false">IFERROR('Price History'!J3+(INDEX('Price History'!J:J,MATCH(9.99E+307,'Price History'!$A:$A))-'Price History'!J3)*(ROW()-3)/(MATCH(9.99E+307,'Returns (Calc)'!$A:$A)-3),"")</f>
        <v>24.0572784810127</v>
      </c>
      <c r="AF106" s="144" t="n">
        <f aca="false">IFERROR('Price History'!K3+(INDEX('Price History'!K:K,MATCH(9.99E+307,'Price History'!$A:$A))-'Price History'!K3)*(ROW()-3)/(MATCH(9.99E+307,'Returns (Calc)'!$A:$A)-3),"")</f>
        <v>15.2363924050633</v>
      </c>
      <c r="AG106" s="144" t="n">
        <f aca="false">IFERROR('Price History'!L3+(INDEX('Price History'!L:L,MATCH(9.99E+307,'Price History'!$A:$A))-'Price History'!L3)*(ROW()-3)/(MATCH(9.99E+307,'Returns (Calc)'!$A:$A)-3),"")</f>
        <v>38.9316455696203</v>
      </c>
      <c r="AH106" s="144" t="n">
        <f aca="false">IFERROR('Price History'!M3+(INDEX('Price History'!M:M,MATCH(9.99E+307,'Price History'!$A:$A))-'Price History'!M3)*(ROW()-3)/(MATCH(9.99E+307,'Returns (Calc)'!$A:$A)-3),"")</f>
        <v>5.33639240506329</v>
      </c>
      <c r="AI106" s="144" t="n">
        <f aca="false">IFERROR('Price History'!N3+(INDEX('Price History'!N:N,MATCH(9.99E+307,'Price History'!$A:$A))-'Price History'!N3)*(ROW()-3)/(MATCH(9.99E+307,'Returns (Calc)'!$A:$A)-3),"")</f>
        <v>7.58860759493671</v>
      </c>
      <c r="AJ106" s="144" t="n">
        <f aca="false">IFERROR('Price History'!O3+(INDEX('Price History'!O:O,MATCH(9.99E+307,'Price History'!$A:$A))-'Price History'!O3)*(ROW()-3)/(MATCH(9.99E+307,'Returns (Calc)'!$A:$A)-3),"")</f>
        <v>20.0610759493671</v>
      </c>
      <c r="AK106" s="144" t="n">
        <f aca="false">IFERROR('Price History'!Q3+(INDEX('Price History'!Q:Q,MATCH(9.99E+307,'Price History'!$A:$A))-'Price History'!Q3)*(ROW()-3)/(MATCH(9.99E+307,'Returns (Calc)'!$A:$A)-3),"")</f>
        <v>82.0231012658228</v>
      </c>
      <c r="AL106" s="144" t="n">
        <f aca="false">IFERROR('Price History'!R3+(INDEX('Price History'!R:R,MATCH(9.99E+307,'Price History'!$A:$A))-'Price History'!R3)*(ROW()-3)/(MATCH(9.99E+307,'Returns (Calc)'!$A:$A)-3),"")</f>
        <v>16.6462025316456</v>
      </c>
      <c r="AM106" s="144" t="n">
        <f aca="false">IFERROR('Price History'!S3+(INDEX('Price History'!S:S,MATCH(9.99E+307,'Price History'!$A:$A))-'Price History'!S3)*(ROW()-3)/(MATCH(9.99E+307,'Returns (Calc)'!$A:$A)-3),"")</f>
        <v>20.3778481012658</v>
      </c>
      <c r="AN106" s="144" t="n">
        <f aca="false">IFERROR('Price History'!T3+(INDEX('Price History'!T:T,MATCH(9.99E+307,'Price History'!$A:$A))-'Price History'!T3)*(ROW()-3)/(MATCH(9.99E+307,'Returns (Calc)'!$A:$A)-3),"")</f>
        <v>9.36740506329114</v>
      </c>
      <c r="AO106" s="145" t="n">
        <f aca="false">IFERROR('Price History'!V3+(INDEX('Price History'!V:V,MATCH(9.99E+307,'Price History'!$A:$A))-'Price History'!V3)*(ROW()-3)/(MATCH(9.99E+307,'Returns (Calc)'!$A:$A)-3),"")</f>
        <v>0</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0.00569221386460672</v>
      </c>
      <c r="G107" s="142" t="n">
        <f aca="false">IFERROR(IF(OR(NOT(ISNUMBER('Price History'!G108)),NOT(ISNUMBER('Price History'!G107)),'Price History'!G107=0),"",'Price History'!G108/'Price History'!G107-1),"")</f>
        <v>0.152343391727048</v>
      </c>
      <c r="H107" s="142" t="n">
        <f aca="false">IFERROR(IF(OR(NOT(ISNUMBER('Price History'!H108)),NOT(ISNUMBER('Price History'!H107)),'Price History'!H107=0),"",'Price History'!H108/'Price History'!H107-1),"")</f>
        <v>-0.00279740871613665</v>
      </c>
      <c r="I107" s="142" t="n">
        <f aca="false">IFERROR(IF(OR(NOT(ISNUMBER('Price History'!I108)),NOT(ISNUMBER('Price History'!I107)),'Price History'!I107=0),"",'Price History'!I108/'Price History'!I107-1),"")</f>
        <v>0.083854818523154</v>
      </c>
      <c r="J107" s="142" t="n">
        <f aca="false">IFERROR(IF(OR(NOT(ISNUMBER('Price History'!J108)),NOT(ISNUMBER('Price History'!J107)),'Price History'!J107=0),"",'Price History'!J108/'Price History'!J107-1),"")</f>
        <v>0.0349726079755384</v>
      </c>
      <c r="K107" s="142" t="n">
        <f aca="false">IFERROR(IF(OR(NOT(ISNUMBER('Price History'!K108)),NOT(ISNUMBER('Price History'!K107)),'Price History'!K107=0),"",'Price History'!K108/'Price History'!K107-1),"")</f>
        <v>-0.00648252536640359</v>
      </c>
      <c r="L107" s="142" t="n">
        <f aca="false">IFERROR(IF(OR(NOT(ISNUMBER('Price History'!L108)),NOT(ISNUMBER('Price History'!L107)),'Price History'!L107=0),"",'Price History'!L108/'Price History'!L107-1),"")</f>
        <v>-0.00721695985566073</v>
      </c>
      <c r="M107" s="142" t="n">
        <f aca="false">IFERROR(IF(OR(NOT(ISNUMBER('Price History'!M108)),NOT(ISNUMBER('Price History'!M107)),'Price History'!M107=0),"",'Price History'!M108/'Price History'!M107-1),"")</f>
        <v>0.0639328005599953</v>
      </c>
      <c r="N107" s="142" t="n">
        <f aca="false">IFERROR(IF(OR(NOT(ISNUMBER('Price History'!N108)),NOT(ISNUMBER('Price History'!N107)),'Price History'!N107=0),"",'Price History'!N108/'Price History'!N107-1),"")</f>
        <v>-0.00570342205323204</v>
      </c>
      <c r="O107" s="142" t="n">
        <f aca="false">IFERROR(IF(OR(NOT(ISNUMBER('Price History'!O108)),NOT(ISNUMBER('Price History'!O107)),'Price History'!O107=0),"",'Price History'!O108/'Price History'!O107-1),"")</f>
        <v>0.012072434607646</v>
      </c>
      <c r="P107" s="142" t="n">
        <f aca="false">IFERROR(IF(OR(NOT(ISNUMBER('Price History'!P108)),NOT(ISNUMBER('Price History'!P107)),'Price History'!P107=0),"",'Price History'!P108/'Price History'!P107-1),"")</f>
        <v>0.0245885618232282</v>
      </c>
      <c r="Q107" s="142" t="n">
        <f aca="false">IFERROR(IF(OR(NOT(ISNUMBER('Price History'!Q108)),NOT(ISNUMBER('Price History'!Q107)),'Price History'!Q107=0),"",'Price History'!Q108/'Price History'!Q107-1),"")</f>
        <v>0.00641444437845218</v>
      </c>
      <c r="R107" s="142" t="n">
        <f aca="false">IFERROR(IF(OR(NOT(ISNUMBER('Price History'!R108)),NOT(ISNUMBER('Price History'!R107)),'Price History'!R107=0),"",'Price History'!R108/'Price History'!R107-1),"")</f>
        <v>0.00867678958785234</v>
      </c>
      <c r="S107" s="142" t="n">
        <f aca="false">IFERROR(IF(OR(NOT(ISNUMBER('Price History'!S108)),NOT(ISNUMBER('Price History'!S107)),'Price History'!S107=0),"",'Price History'!S108/'Price History'!S107-1),"")</f>
        <v>0.00102397815513267</v>
      </c>
      <c r="T107" s="142" t="n">
        <f aca="false">IFERROR(IF(OR(NOT(ISNUMBER('Price History'!T108)),NOT(ISNUMBER('Price History'!T107)),'Price History'!T107=0),"",'Price History'!T108/'Price History'!T107-1),"")</f>
        <v>0.0394926491784378</v>
      </c>
      <c r="U107" s="142" t="str">
        <f aca="false">IFERROR(IF(OR(NOT(ISNUMBER('Price History'!U108)),NOT(ISNUMBER('Price History'!U107)),'Price History'!U107=0),"",'Price History'!U108/'Price History'!U107-1),"")</f>
        <v/>
      </c>
      <c r="V107" s="143" t="n">
        <f aca="false">IFERROR(IF(OR(NOT(ISNUMBER('Price History'!V108)),NOT(ISNUMBER('Price History'!V107)),'Price History'!V107=0),"",'Price History'!V108/'Price History'!V107-1),"")</f>
        <v>0.0246461981290478</v>
      </c>
      <c r="W107" s="144" t="str">
        <f aca="false">IFERROR('Price History'!B3+(INDEX('Price History'!B:B,MATCH(9.99E+307,'Price History'!$A:$A))-'Price History'!B3)*(ROW()-3)/(MATCH(9.99E+307,'Returns (Calc)'!$A:$A)-3),"")</f>
        <v/>
      </c>
      <c r="X107" s="144" t="n">
        <f aca="false">IFERROR('Price History'!C3+(INDEX('Price History'!C:C,MATCH(9.99E+307,'Price History'!$A:$A))-'Price History'!C3)*(ROW()-3)/(MATCH(9.99E+307,'Returns (Calc)'!$A:$A)-3),"")</f>
        <v>15.7830379746835</v>
      </c>
      <c r="Y107" s="144" t="n">
        <f aca="false">IFERROR('Price History'!D3+(INDEX('Price History'!D:D,MATCH(9.99E+307,'Price History'!$A:$A))-'Price History'!D3)*(ROW()-3)/(MATCH(9.99E+307,'Returns (Calc)'!$A:$A)-3),"")</f>
        <v>198.914810126582</v>
      </c>
      <c r="Z107" s="144" t="n">
        <f aca="false">IFERROR('Price History'!E3+(INDEX('Price History'!E:E,MATCH(9.99E+307,'Price History'!$A:$A))-'Price History'!E3)*(ROW()-3)/(MATCH(9.99E+307,'Returns (Calc)'!$A:$A)-3),"")</f>
        <v>28.0253164556962</v>
      </c>
      <c r="AA107" s="144" t="n">
        <f aca="false">IFERROR('Price History'!F3+(INDEX('Price History'!F:F,MATCH(9.99E+307,'Price History'!$A:$A))-'Price History'!F3)*(ROW()-3)/(MATCH(9.99E+307,'Returns (Calc)'!$A:$A)-3),"")</f>
        <v>25.7388607594937</v>
      </c>
      <c r="AB107" s="144" t="n">
        <f aca="false">IFERROR('Price History'!G3+(INDEX('Price History'!G:G,MATCH(9.99E+307,'Price History'!$A:$A))-'Price History'!G3)*(ROW()-3)/(MATCH(9.99E+307,'Returns (Calc)'!$A:$A)-3),"")</f>
        <v>14.1356962025316</v>
      </c>
      <c r="AC107" s="144" t="n">
        <f aca="false">IFERROR('Price History'!H3+(INDEX('Price History'!H:H,MATCH(9.99E+307,'Price History'!$A:$A))-'Price History'!H3)*(ROW()-3)/(MATCH(9.99E+307,'Returns (Calc)'!$A:$A)-3),"")</f>
        <v>34.3788607594937</v>
      </c>
      <c r="AD107" s="144" t="n">
        <f aca="false">IFERROR('Price History'!I3+(INDEX('Price History'!I:I,MATCH(9.99E+307,'Price History'!$A:$A))-'Price History'!I3)*(ROW()-3)/(MATCH(9.99E+307,'Returns (Calc)'!$A:$A)-3),"")</f>
        <v>15.1575949367089</v>
      </c>
      <c r="AE107" s="144" t="n">
        <f aca="false">IFERROR('Price History'!J3+(INDEX('Price History'!J:J,MATCH(9.99E+307,'Price History'!$A:$A))-'Price History'!J3)*(ROW()-3)/(MATCH(9.99E+307,'Returns (Calc)'!$A:$A)-3),"")</f>
        <v>23.6198734177215</v>
      </c>
      <c r="AF107" s="144" t="n">
        <f aca="false">IFERROR('Price History'!K3+(INDEX('Price History'!K:K,MATCH(9.99E+307,'Price History'!$A:$A))-'Price History'!K3)*(ROW()-3)/(MATCH(9.99E+307,'Returns (Calc)'!$A:$A)-3),"")</f>
        <v>14.9593670886076</v>
      </c>
      <c r="AG107" s="144" t="n">
        <f aca="false">IFERROR('Price History'!L3+(INDEX('Price History'!L:L,MATCH(9.99E+307,'Price History'!$A:$A))-'Price History'!L3)*(ROW()-3)/(MATCH(9.99E+307,'Returns (Calc)'!$A:$A)-3),"")</f>
        <v>38.2237974683544</v>
      </c>
      <c r="AH107" s="144" t="n">
        <f aca="false">IFERROR('Price History'!M3+(INDEX('Price History'!M:M,MATCH(9.99E+307,'Price History'!$A:$A))-'Price History'!M3)*(ROW()-3)/(MATCH(9.99E+307,'Returns (Calc)'!$A:$A)-3),"")</f>
        <v>5.2393670886076</v>
      </c>
      <c r="AI107" s="144" t="n">
        <f aca="false">IFERROR('Price History'!N3+(INDEX('Price History'!N:N,MATCH(9.99E+307,'Price History'!$A:$A))-'Price History'!N3)*(ROW()-3)/(MATCH(9.99E+307,'Returns (Calc)'!$A:$A)-3),"")</f>
        <v>7.4506329113924</v>
      </c>
      <c r="AJ107" s="144" t="n">
        <f aca="false">IFERROR('Price History'!O3+(INDEX('Price History'!O:O,MATCH(9.99E+307,'Price History'!$A:$A))-'Price History'!O3)*(ROW()-3)/(MATCH(9.99E+307,'Returns (Calc)'!$A:$A)-3),"")</f>
        <v>19.6963291139241</v>
      </c>
      <c r="AK107" s="144" t="n">
        <f aca="false">IFERROR('Price History'!Q3+(INDEX('Price History'!Q:Q,MATCH(9.99E+307,'Price History'!$A:$A))-'Price History'!Q3)*(ROW()-3)/(MATCH(9.99E+307,'Returns (Calc)'!$A:$A)-3),"")</f>
        <v>80.5317721518987</v>
      </c>
      <c r="AL107" s="144" t="n">
        <f aca="false">IFERROR('Price History'!R3+(INDEX('Price History'!R:R,MATCH(9.99E+307,'Price History'!$A:$A))-'Price History'!R3)*(ROW()-3)/(MATCH(9.99E+307,'Returns (Calc)'!$A:$A)-3),"")</f>
        <v>16.3435443037975</v>
      </c>
      <c r="AM107" s="144" t="n">
        <f aca="false">IFERROR('Price History'!S3+(INDEX('Price History'!S:S,MATCH(9.99E+307,'Price History'!$A:$A))-'Price History'!S3)*(ROW()-3)/(MATCH(9.99E+307,'Returns (Calc)'!$A:$A)-3),"")</f>
        <v>20.0073417721519</v>
      </c>
      <c r="AN107" s="144" t="n">
        <f aca="false">IFERROR('Price History'!T3+(INDEX('Price History'!T:T,MATCH(9.99E+307,'Price History'!$A:$A))-'Price History'!T3)*(ROW()-3)/(MATCH(9.99E+307,'Returns (Calc)'!$A:$A)-3),"")</f>
        <v>9.19708860759494</v>
      </c>
      <c r="AO107" s="145" t="n">
        <f aca="false">IFERROR('Price History'!V3+(INDEX('Price History'!V:V,MATCH(9.99E+307,'Price History'!$A:$A))-'Price History'!V3)*(ROW()-3)/(MATCH(9.99E+307,'Returns (Calc)'!$A:$A)-3),"")</f>
        <v>0</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0.00303214069132807</v>
      </c>
      <c r="G108" s="142" t="n">
        <f aca="false">IFERROR(IF(OR(NOT(ISNUMBER('Price History'!G109)),NOT(ISNUMBER('Price History'!G108)),'Price History'!G108=0),"",'Price History'!G109/'Price History'!G108-1),"")</f>
        <v>-0.0420248328557784</v>
      </c>
      <c r="H108" s="142" t="n">
        <f aca="false">IFERROR(IF(OR(NOT(ISNUMBER('Price History'!H109)),NOT(ISNUMBER('Price History'!H108)),'Price History'!H108=0),"",'Price History'!H109/'Price History'!H108-1),"")</f>
        <v>0.00767754318618041</v>
      </c>
      <c r="I108" s="142" t="n">
        <f aca="false">IFERROR(IF(OR(NOT(ISNUMBER('Price History'!I109)),NOT(ISNUMBER('Price History'!I108)),'Price History'!I108=0),"",'Price History'!I109/'Price History'!I108-1),"")</f>
        <v>0.0186682063125481</v>
      </c>
      <c r="J108" s="142" t="n">
        <f aca="false">IFERROR(IF(OR(NOT(ISNUMBER('Price History'!J109)),NOT(ISNUMBER('Price History'!J108)),'Price History'!J108=0),"",'Price History'!J109/'Price History'!J108-1),"")</f>
        <v>-0.0335446543977349</v>
      </c>
      <c r="K108" s="142" t="n">
        <f aca="false">IFERROR(IF(OR(NOT(ISNUMBER('Price History'!K109)),NOT(ISNUMBER('Price History'!K108)),'Price History'!K108=0),"",'Price History'!K109/'Price History'!K108-1),"")</f>
        <v>0.00856737588652479</v>
      </c>
      <c r="L108" s="142" t="n">
        <f aca="false">IFERROR(IF(OR(NOT(ISNUMBER('Price History'!L109)),NOT(ISNUMBER('Price History'!L108)),'Price History'!L108=0),"",'Price History'!L109/'Price History'!L108-1),"")</f>
        <v>0.00599727396637895</v>
      </c>
      <c r="M108" s="142" t="n">
        <f aca="false">IFERROR(IF(OR(NOT(ISNUMBER('Price History'!M109)),NOT(ISNUMBER('Price History'!M108)),'Price History'!M108=0),"",'Price History'!M109/'Price History'!M108-1),"")</f>
        <v>-0.0264268874390043</v>
      </c>
      <c r="N108" s="142" t="n">
        <f aca="false">IFERROR(IF(OR(NOT(ISNUMBER('Price History'!N109)),NOT(ISNUMBER('Price History'!N108)),'Price History'!N108=0),"",'Price History'!N109/'Price History'!N108-1),"")</f>
        <v>0.00535372848948379</v>
      </c>
      <c r="O108" s="142" t="n">
        <f aca="false">IFERROR(IF(OR(NOT(ISNUMBER('Price History'!O109)),NOT(ISNUMBER('Price History'!O108)),'Price History'!O108=0),"",'Price History'!O109/'Price History'!O108-1),"")</f>
        <v>-0.00952617627567931</v>
      </c>
      <c r="P108" s="142" t="n">
        <f aca="false">IFERROR(IF(OR(NOT(ISNUMBER('Price History'!P109)),NOT(ISNUMBER('Price History'!P108)),'Price History'!P108=0),"",'Price History'!P109/'Price History'!P108-1),"")</f>
        <v>0.0320488363220144</v>
      </c>
      <c r="Q108" s="142" t="n">
        <f aca="false">IFERROR(IF(OR(NOT(ISNUMBER('Price History'!Q109)),NOT(ISNUMBER('Price History'!Q108)),'Price History'!Q108=0),"",'Price History'!Q109/'Price History'!Q108-1),"")</f>
        <v>-0.0124225435231631</v>
      </c>
      <c r="R108" s="142" t="n">
        <f aca="false">IFERROR(IF(OR(NOT(ISNUMBER('Price History'!R109)),NOT(ISNUMBER('Price History'!R108)),'Price History'!R108=0),"",'Price History'!R109/'Price History'!R108-1),"")</f>
        <v>-0.00232974910394257</v>
      </c>
      <c r="S108" s="142" t="n">
        <f aca="false">IFERROR(IF(OR(NOT(ISNUMBER('Price History'!S109)),NOT(ISNUMBER('Price History'!S108)),'Price History'!S108=0),"",'Price History'!S109/'Price History'!S108-1),"")</f>
        <v>-0.00681953797630208</v>
      </c>
      <c r="T108" s="142" t="n">
        <f aca="false">IFERROR(IF(OR(NOT(ISNUMBER('Price History'!T109)),NOT(ISNUMBER('Price History'!T108)),'Price History'!T108=0),"",'Price History'!T109/'Price History'!T108-1),"")</f>
        <v>0.0257903494176373</v>
      </c>
      <c r="U108" s="142" t="str">
        <f aca="false">IFERROR(IF(OR(NOT(ISNUMBER('Price History'!U109)),NOT(ISNUMBER('Price History'!U108)),'Price History'!U108=0),"",'Price History'!U109/'Price History'!U108-1),"")</f>
        <v/>
      </c>
      <c r="V108" s="143" t="n">
        <f aca="false">IFERROR(IF(OR(NOT(ISNUMBER('Price History'!V109)),NOT(ISNUMBER('Price History'!V108)),'Price History'!V108=0),"",'Price History'!V109/'Price History'!V108-1),"")</f>
        <v>0.0161526306548838</v>
      </c>
      <c r="W108" s="144" t="str">
        <f aca="false">IFERROR('Price History'!B3+(INDEX('Price History'!B:B,MATCH(9.99E+307,'Price History'!$A:$A))-'Price History'!B3)*(ROW()-3)/(MATCH(9.99E+307,'Returns (Calc)'!$A:$A)-3),"")</f>
        <v/>
      </c>
      <c r="X108" s="144" t="n">
        <f aca="false">IFERROR('Price History'!C3+(INDEX('Price History'!C:C,MATCH(9.99E+307,'Price History'!$A:$A))-'Price History'!C3)*(ROW()-3)/(MATCH(9.99E+307,'Returns (Calc)'!$A:$A)-3),"")</f>
        <v>15.4907594936709</v>
      </c>
      <c r="Y108" s="144" t="n">
        <f aca="false">IFERROR('Price History'!D3+(INDEX('Price History'!D:D,MATCH(9.99E+307,'Price History'!$A:$A))-'Price History'!D3)*(ROW()-3)/(MATCH(9.99E+307,'Returns (Calc)'!$A:$A)-3),"")</f>
        <v>195.231202531646</v>
      </c>
      <c r="Z108" s="144" t="n">
        <f aca="false">IFERROR('Price History'!E3+(INDEX('Price History'!E:E,MATCH(9.99E+307,'Price History'!$A:$A))-'Price History'!E3)*(ROW()-3)/(MATCH(9.99E+307,'Returns (Calc)'!$A:$A)-3),"")</f>
        <v>27.5063291139241</v>
      </c>
      <c r="AA108" s="144" t="n">
        <f aca="false">IFERROR('Price History'!F3+(INDEX('Price History'!F:F,MATCH(9.99E+307,'Price History'!$A:$A))-'Price History'!F3)*(ROW()-3)/(MATCH(9.99E+307,'Returns (Calc)'!$A:$A)-3),"")</f>
        <v>25.2622151898734</v>
      </c>
      <c r="AB108" s="144" t="n">
        <f aca="false">IFERROR('Price History'!G3+(INDEX('Price History'!G:G,MATCH(9.99E+307,'Price History'!$A:$A))-'Price History'!G3)*(ROW()-3)/(MATCH(9.99E+307,'Returns (Calc)'!$A:$A)-3),"")</f>
        <v>13.8739240506329</v>
      </c>
      <c r="AC108" s="144" t="n">
        <f aca="false">IFERROR('Price History'!H3+(INDEX('Price History'!H:H,MATCH(9.99E+307,'Price History'!$A:$A))-'Price History'!H3)*(ROW()-3)/(MATCH(9.99E+307,'Returns (Calc)'!$A:$A)-3),"")</f>
        <v>33.7422151898734</v>
      </c>
      <c r="AD108" s="144" t="n">
        <f aca="false">IFERROR('Price History'!I3+(INDEX('Price History'!I:I,MATCH(9.99E+307,'Price History'!$A:$A))-'Price History'!I3)*(ROW()-3)/(MATCH(9.99E+307,'Returns (Calc)'!$A:$A)-3),"")</f>
        <v>14.8768987341772</v>
      </c>
      <c r="AE108" s="144" t="n">
        <f aca="false">IFERROR('Price History'!J3+(INDEX('Price History'!J:J,MATCH(9.99E+307,'Price History'!$A:$A))-'Price History'!J3)*(ROW()-3)/(MATCH(9.99E+307,'Returns (Calc)'!$A:$A)-3),"")</f>
        <v>23.1824683544304</v>
      </c>
      <c r="AF108" s="144" t="n">
        <f aca="false">IFERROR('Price History'!K3+(INDEX('Price History'!K:K,MATCH(9.99E+307,'Price History'!$A:$A))-'Price History'!K3)*(ROW()-3)/(MATCH(9.99E+307,'Returns (Calc)'!$A:$A)-3),"")</f>
        <v>14.6823417721519</v>
      </c>
      <c r="AG108" s="144" t="n">
        <f aca="false">IFERROR('Price History'!L3+(INDEX('Price History'!L:L,MATCH(9.99E+307,'Price History'!$A:$A))-'Price History'!L3)*(ROW()-3)/(MATCH(9.99E+307,'Returns (Calc)'!$A:$A)-3),"")</f>
        <v>37.5159493670886</v>
      </c>
      <c r="AH108" s="144" t="n">
        <f aca="false">IFERROR('Price History'!M3+(INDEX('Price History'!M:M,MATCH(9.99E+307,'Price History'!$A:$A))-'Price History'!M3)*(ROW()-3)/(MATCH(9.99E+307,'Returns (Calc)'!$A:$A)-3),"")</f>
        <v>5.1423417721519</v>
      </c>
      <c r="AI108" s="144" t="n">
        <f aca="false">IFERROR('Price History'!N3+(INDEX('Price History'!N:N,MATCH(9.99E+307,'Price History'!$A:$A))-'Price History'!N3)*(ROW()-3)/(MATCH(9.99E+307,'Returns (Calc)'!$A:$A)-3),"")</f>
        <v>7.3126582278481</v>
      </c>
      <c r="AJ108" s="144" t="n">
        <f aca="false">IFERROR('Price History'!O3+(INDEX('Price History'!O:O,MATCH(9.99E+307,'Price History'!$A:$A))-'Price History'!O3)*(ROW()-3)/(MATCH(9.99E+307,'Returns (Calc)'!$A:$A)-3),"")</f>
        <v>19.331582278481</v>
      </c>
      <c r="AK108" s="144" t="n">
        <f aca="false">IFERROR('Price History'!Q3+(INDEX('Price History'!Q:Q,MATCH(9.99E+307,'Price History'!$A:$A))-'Price History'!Q3)*(ROW()-3)/(MATCH(9.99E+307,'Returns (Calc)'!$A:$A)-3),"")</f>
        <v>79.0404430379747</v>
      </c>
      <c r="AL108" s="144" t="n">
        <f aca="false">IFERROR('Price History'!R3+(INDEX('Price History'!R:R,MATCH(9.99E+307,'Price History'!$A:$A))-'Price History'!R3)*(ROW()-3)/(MATCH(9.99E+307,'Returns (Calc)'!$A:$A)-3),"")</f>
        <v>16.0408860759494</v>
      </c>
      <c r="AM108" s="144" t="n">
        <f aca="false">IFERROR('Price History'!S3+(INDEX('Price History'!S:S,MATCH(9.99E+307,'Price History'!$A:$A))-'Price History'!S3)*(ROW()-3)/(MATCH(9.99E+307,'Returns (Calc)'!$A:$A)-3),"")</f>
        <v>19.636835443038</v>
      </c>
      <c r="AN108" s="144" t="n">
        <f aca="false">IFERROR('Price History'!T3+(INDEX('Price History'!T:T,MATCH(9.99E+307,'Price History'!$A:$A))-'Price History'!T3)*(ROW()-3)/(MATCH(9.99E+307,'Returns (Calc)'!$A:$A)-3),"")</f>
        <v>9.02677215189873</v>
      </c>
      <c r="AO108" s="145" t="n">
        <f aca="false">IFERROR('Price History'!V3+(INDEX('Price History'!V:V,MATCH(9.99E+307,'Price History'!$A:$A))-'Price History'!V3)*(ROW()-3)/(MATCH(9.99E+307,'Returns (Calc)'!$A:$A)-3),"")</f>
        <v>0</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0.00110842402257161</v>
      </c>
      <c r="G109" s="142" t="n">
        <f aca="false">IFERROR(IF(OR(NOT(ISNUMBER('Price History'!G110)),NOT(ISNUMBER('Price History'!G109)),'Price History'!G109=0),"",'Price History'!G110/'Price History'!G109-1),"")</f>
        <v>0.0175307411100034</v>
      </c>
      <c r="H109" s="142" t="n">
        <f aca="false">IFERROR(IF(OR(NOT(ISNUMBER('Price History'!H110)),NOT(ISNUMBER('Price History'!H109)),'Price History'!H109=0),"",'Price History'!H110/'Price History'!H109-1),"")</f>
        <v>0.0123809523809524</v>
      </c>
      <c r="I109" s="142" t="n">
        <f aca="false">IFERROR(IF(OR(NOT(ISNUMBER('Price History'!I110)),NOT(ISNUMBER('Price History'!I109)),'Price History'!I109=0),"",'Price History'!I110/'Price History'!I109-1),"")</f>
        <v>0.0349518231626678</v>
      </c>
      <c r="J109" s="142" t="n">
        <f aca="false">IFERROR(IF(OR(NOT(ISNUMBER('Price History'!J110)),NOT(ISNUMBER('Price History'!J109)),'Price History'!J109=0),"",'Price History'!J110/'Price History'!J109-1),"")</f>
        <v>0.195070691631639</v>
      </c>
      <c r="K109" s="142" t="n">
        <f aca="false">IFERROR(IF(OR(NOT(ISNUMBER('Price History'!K110)),NOT(ISNUMBER('Price History'!K109)),'Price History'!K109=0),"",'Price History'!K110/'Price History'!K109-1),"")</f>
        <v>0.0529365436543654</v>
      </c>
      <c r="L109" s="142" t="n">
        <f aca="false">IFERROR(IF(OR(NOT(ISNUMBER('Price History'!L110)),NOT(ISNUMBER('Price History'!L109)),'Price History'!L109=0),"",'Price History'!L110/'Price History'!L109-1),"")</f>
        <v>0.0252009755216331</v>
      </c>
      <c r="M109" s="142" t="n">
        <f aca="false">IFERROR(IF(OR(NOT(ISNUMBER('Price History'!M110)),NOT(ISNUMBER('Price History'!M109)),'Price History'!M109=0),"",'Price History'!M110/'Price History'!M109-1),"")</f>
        <v>-0.025342118601115</v>
      </c>
      <c r="N109" s="142" t="n">
        <f aca="false">IFERROR(IF(OR(NOT(ISNUMBER('Price History'!N110)),NOT(ISNUMBER('Price History'!N109)),'Price History'!N109=0),"",'Price History'!N110/'Price History'!N109-1),"")</f>
        <v>0.00722708254089022</v>
      </c>
      <c r="O109" s="142" t="n">
        <f aca="false">IFERROR(IF(OR(NOT(ISNUMBER('Price History'!O110)),NOT(ISNUMBER('Price History'!O109)),'Price History'!O109=0),"",'Price History'!O110/'Price History'!O109-1),"")</f>
        <v>-0.00409801789746589</v>
      </c>
      <c r="P109" s="142" t="n">
        <f aca="false">IFERROR(IF(OR(NOT(ISNUMBER('Price History'!P110)),NOT(ISNUMBER('Price History'!P109)),'Price History'!P109=0),"",'Price History'!P110/'Price History'!P109-1),"")</f>
        <v>0.0688724584103513</v>
      </c>
      <c r="Q109" s="142" t="n">
        <f aca="false">IFERROR(IF(OR(NOT(ISNUMBER('Price History'!Q110)),NOT(ISNUMBER('Price History'!Q109)),'Price History'!Q109=0),"",'Price History'!Q110/'Price History'!Q109-1),"")</f>
        <v>0.0369595745316562</v>
      </c>
      <c r="R109" s="142" t="n">
        <f aca="false">IFERROR(IF(OR(NOT(ISNUMBER('Price History'!R110)),NOT(ISNUMBER('Price History'!R109)),'Price History'!R109=0),"",'Price History'!R110/'Price History'!R109-1),"")</f>
        <v>0.000179629962277605</v>
      </c>
      <c r="S109" s="142" t="n">
        <f aca="false">IFERROR(IF(OR(NOT(ISNUMBER('Price History'!S110)),NOT(ISNUMBER('Price History'!S109)),'Price History'!S109=0),"",'Price History'!S110/'Price History'!S109-1),"")</f>
        <v>-0.000257488627585678</v>
      </c>
      <c r="T109" s="142" t="n">
        <f aca="false">IFERROR(IF(OR(NOT(ISNUMBER('Price History'!T110)),NOT(ISNUMBER('Price History'!T109)),'Price History'!T109=0),"",'Price History'!T110/'Price History'!T109-1),"")</f>
        <v>0.00919167342524996</v>
      </c>
      <c r="U109" s="142" t="str">
        <f aca="false">IFERROR(IF(OR(NOT(ISNUMBER('Price History'!U110)),NOT(ISNUMBER('Price History'!U109)),'Price History'!U109=0),"",'Price History'!U110/'Price History'!U109-1),"")</f>
        <v/>
      </c>
      <c r="V109" s="143" t="n">
        <f aca="false">IFERROR(IF(OR(NOT(ISNUMBER('Price History'!V110)),NOT(ISNUMBER('Price History'!V109)),'Price History'!V109=0),"",'Price History'!V110/'Price History'!V109-1),"")</f>
        <v>0.00498185797385253</v>
      </c>
      <c r="W109" s="144" t="str">
        <f aca="false">IFERROR('Price History'!B3+(INDEX('Price History'!B:B,MATCH(9.99E+307,'Price History'!$A:$A))-'Price History'!B3)*(ROW()-3)/(MATCH(9.99E+307,'Returns (Calc)'!$A:$A)-3),"")</f>
        <v/>
      </c>
      <c r="X109" s="144" t="n">
        <f aca="false">IFERROR('Price History'!C3+(INDEX('Price History'!C:C,MATCH(9.99E+307,'Price History'!$A:$A))-'Price History'!C3)*(ROW()-3)/(MATCH(9.99E+307,'Returns (Calc)'!$A:$A)-3),"")</f>
        <v>15.1984810126582</v>
      </c>
      <c r="Y109" s="144" t="n">
        <f aca="false">IFERROR('Price History'!D3+(INDEX('Price History'!D:D,MATCH(9.99E+307,'Price History'!$A:$A))-'Price History'!D3)*(ROW()-3)/(MATCH(9.99E+307,'Returns (Calc)'!$A:$A)-3),"")</f>
        <v>191.547594936709</v>
      </c>
      <c r="Z109" s="144" t="n">
        <f aca="false">IFERROR('Price History'!E3+(INDEX('Price History'!E:E,MATCH(9.99E+307,'Price History'!$A:$A))-'Price History'!E3)*(ROW()-3)/(MATCH(9.99E+307,'Returns (Calc)'!$A:$A)-3),"")</f>
        <v>26.9873417721519</v>
      </c>
      <c r="AA109" s="144" t="n">
        <f aca="false">IFERROR('Price History'!F3+(INDEX('Price History'!F:F,MATCH(9.99E+307,'Price History'!$A:$A))-'Price History'!F3)*(ROW()-3)/(MATCH(9.99E+307,'Returns (Calc)'!$A:$A)-3),"")</f>
        <v>24.7855696202532</v>
      </c>
      <c r="AB109" s="144" t="n">
        <f aca="false">IFERROR('Price History'!G3+(INDEX('Price History'!G:G,MATCH(9.99E+307,'Price History'!$A:$A))-'Price History'!G3)*(ROW()-3)/(MATCH(9.99E+307,'Returns (Calc)'!$A:$A)-3),"")</f>
        <v>13.6121518987342</v>
      </c>
      <c r="AC109" s="144" t="n">
        <f aca="false">IFERROR('Price History'!H3+(INDEX('Price History'!H:H,MATCH(9.99E+307,'Price History'!$A:$A))-'Price History'!H3)*(ROW()-3)/(MATCH(9.99E+307,'Returns (Calc)'!$A:$A)-3),"")</f>
        <v>33.1055696202532</v>
      </c>
      <c r="AD109" s="144" t="n">
        <f aca="false">IFERROR('Price History'!I3+(INDEX('Price History'!I:I,MATCH(9.99E+307,'Price History'!$A:$A))-'Price History'!I3)*(ROW()-3)/(MATCH(9.99E+307,'Returns (Calc)'!$A:$A)-3),"")</f>
        <v>14.5962025316456</v>
      </c>
      <c r="AE109" s="144" t="n">
        <f aca="false">IFERROR('Price History'!J3+(INDEX('Price History'!J:J,MATCH(9.99E+307,'Price History'!$A:$A))-'Price History'!J3)*(ROW()-3)/(MATCH(9.99E+307,'Returns (Calc)'!$A:$A)-3),"")</f>
        <v>22.7450632911392</v>
      </c>
      <c r="AF109" s="144" t="n">
        <f aca="false">IFERROR('Price History'!K3+(INDEX('Price History'!K:K,MATCH(9.99E+307,'Price History'!$A:$A))-'Price History'!K3)*(ROW()-3)/(MATCH(9.99E+307,'Returns (Calc)'!$A:$A)-3),"")</f>
        <v>14.4053164556962</v>
      </c>
      <c r="AG109" s="144" t="n">
        <f aca="false">IFERROR('Price History'!L3+(INDEX('Price History'!L:L,MATCH(9.99E+307,'Price History'!$A:$A))-'Price History'!L3)*(ROW()-3)/(MATCH(9.99E+307,'Returns (Calc)'!$A:$A)-3),"")</f>
        <v>36.8081012658228</v>
      </c>
      <c r="AH109" s="144" t="n">
        <f aca="false">IFERROR('Price History'!M3+(INDEX('Price History'!M:M,MATCH(9.99E+307,'Price History'!$A:$A))-'Price History'!M3)*(ROW()-3)/(MATCH(9.99E+307,'Returns (Calc)'!$A:$A)-3),"")</f>
        <v>5.0453164556962</v>
      </c>
      <c r="AI109" s="144" t="n">
        <f aca="false">IFERROR('Price History'!N3+(INDEX('Price History'!N:N,MATCH(9.99E+307,'Price History'!$A:$A))-'Price History'!N3)*(ROW()-3)/(MATCH(9.99E+307,'Returns (Calc)'!$A:$A)-3),"")</f>
        <v>7.1746835443038</v>
      </c>
      <c r="AJ109" s="144" t="n">
        <f aca="false">IFERROR('Price History'!O3+(INDEX('Price History'!O:O,MATCH(9.99E+307,'Price History'!$A:$A))-'Price History'!O3)*(ROW()-3)/(MATCH(9.99E+307,'Returns (Calc)'!$A:$A)-3),"")</f>
        <v>18.966835443038</v>
      </c>
      <c r="AK109" s="144" t="n">
        <f aca="false">IFERROR('Price History'!Q3+(INDEX('Price History'!Q:Q,MATCH(9.99E+307,'Price History'!$A:$A))-'Price History'!Q3)*(ROW()-3)/(MATCH(9.99E+307,'Returns (Calc)'!$A:$A)-3),"")</f>
        <v>77.5491139240506</v>
      </c>
      <c r="AL109" s="144" t="n">
        <f aca="false">IFERROR('Price History'!R3+(INDEX('Price History'!R:R,MATCH(9.99E+307,'Price History'!$A:$A))-'Price History'!R3)*(ROW()-3)/(MATCH(9.99E+307,'Returns (Calc)'!$A:$A)-3),"")</f>
        <v>15.7382278481013</v>
      </c>
      <c r="AM109" s="144" t="n">
        <f aca="false">IFERROR('Price History'!S3+(INDEX('Price History'!S:S,MATCH(9.99E+307,'Price History'!$A:$A))-'Price History'!S3)*(ROW()-3)/(MATCH(9.99E+307,'Returns (Calc)'!$A:$A)-3),"")</f>
        <v>19.2663291139241</v>
      </c>
      <c r="AN109" s="144" t="n">
        <f aca="false">IFERROR('Price History'!T3+(INDEX('Price History'!T:T,MATCH(9.99E+307,'Price History'!$A:$A))-'Price History'!T3)*(ROW()-3)/(MATCH(9.99E+307,'Returns (Calc)'!$A:$A)-3),"")</f>
        <v>8.85645569620253</v>
      </c>
      <c r="AO109" s="145" t="n">
        <f aca="false">IFERROR('Price History'!V3+(INDEX('Price History'!V:V,MATCH(9.99E+307,'Price History'!$A:$A))-'Price History'!V3)*(ROW()-3)/(MATCH(9.99E+307,'Returns (Calc)'!$A:$A)-3),"")</f>
        <v>0</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-0.054353296426774</v>
      </c>
      <c r="G110" s="142" t="n">
        <f aca="false">IFERROR(IF(OR(NOT(ISNUMBER('Price History'!G111)),NOT(ISNUMBER('Price History'!G110)),'Price History'!G110=0),"",'Price History'!G111/'Price History'!G110-1),"")</f>
        <v>0.00775700171470573</v>
      </c>
      <c r="H110" s="142" t="n">
        <f aca="false">IFERROR(IF(OR(NOT(ISNUMBER('Price History'!H111)),NOT(ISNUMBER('Price History'!H110)),'Price History'!H110=0),"",'Price History'!H111/'Price History'!H110-1),"")</f>
        <v>-0.0345900571676677</v>
      </c>
      <c r="I110" s="142" t="n">
        <f aca="false">IFERROR(IF(OR(NOT(ISNUMBER('Price History'!I111)),NOT(ISNUMBER('Price History'!I110)),'Price History'!I110=0),"",'Price History'!I111/'Price History'!I110-1),"")</f>
        <v>-0.107794815626141</v>
      </c>
      <c r="J110" s="142" t="n">
        <f aca="false">IFERROR(IF(OR(NOT(ISNUMBER('Price History'!J111)),NOT(ISNUMBER('Price History'!J110)),'Price History'!J110=0),"",'Price History'!J111/'Price History'!J110-1),"")</f>
        <v>-0.0332001065814016</v>
      </c>
      <c r="K110" s="142" t="n">
        <f aca="false">IFERROR(IF(OR(NOT(ISNUMBER('Price History'!K111)),NOT(ISNUMBER('Price History'!K110)),'Price History'!K110=0),"",'Price History'!K111/'Price History'!K110-1),"")</f>
        <v>-0.0237751776459902</v>
      </c>
      <c r="L110" s="142" t="n">
        <f aca="false">IFERROR(IF(OR(NOT(ISNUMBER('Price History'!L111)),NOT(ISNUMBER('Price History'!L110)),'Price History'!L110=0),"",'Price History'!L111/'Price History'!L110-1),"")</f>
        <v>-0.0498678414096916</v>
      </c>
      <c r="M110" s="142" t="n">
        <f aca="false">IFERROR(IF(OR(NOT(ISNUMBER('Price History'!M111)),NOT(ISNUMBER('Price History'!M110)),'Price History'!M110=0),"",'Price History'!M111/'Price History'!M110-1),"")</f>
        <v>0.0136938810885769</v>
      </c>
      <c r="N110" s="142" t="n">
        <f aca="false">IFERROR(IF(OR(NOT(ISNUMBER('Price History'!N111)),NOT(ISNUMBER('Price History'!N110)),'Price History'!N110=0),"",'Price History'!N111/'Price History'!N110-1),"")</f>
        <v>-0.0317220543806647</v>
      </c>
      <c r="O110" s="142" t="n">
        <f aca="false">IFERROR(IF(OR(NOT(ISNUMBER('Price History'!O111)),NOT(ISNUMBER('Price History'!O110)),'Price History'!O110=0),"",'Price History'!O111/'Price History'!O110-1),"")</f>
        <v>-0.0131844138394356</v>
      </c>
      <c r="P110" s="142" t="n">
        <f aca="false">IFERROR(IF(OR(NOT(ISNUMBER('Price History'!P111)),NOT(ISNUMBER('Price History'!P110)),'Price History'!P110=0),"",'Price History'!P111/'Price History'!P110-1),"")</f>
        <v>-0.0394632172379206</v>
      </c>
      <c r="Q110" s="142" t="n">
        <f aca="false">IFERROR(IF(OR(NOT(ISNUMBER('Price History'!Q111)),NOT(ISNUMBER('Price History'!Q110)),'Price History'!Q110=0),"",'Price History'!Q111/'Price History'!Q110-1),"")</f>
        <v>-0.0176914654526594</v>
      </c>
      <c r="R110" s="142" t="n">
        <f aca="false">IFERROR(IF(OR(NOT(ISNUMBER('Price History'!R111)),NOT(ISNUMBER('Price History'!R110)),'Price History'!R110=0),"",'Price History'!R111/'Price History'!R110-1),"")</f>
        <v>0.00179597701149437</v>
      </c>
      <c r="S110" s="142" t="n">
        <f aca="false">IFERROR(IF(OR(NOT(ISNUMBER('Price History'!S111)),NOT(ISNUMBER('Price History'!S110)),'Price History'!S110=0),"",'Price History'!S111/'Price History'!S110-1),"")</f>
        <v>0.0048935439560438</v>
      </c>
      <c r="T110" s="142" t="n">
        <f aca="false">IFERROR(IF(OR(NOT(ISNUMBER('Price History'!T111)),NOT(ISNUMBER('Price History'!T110)),'Price History'!T110=0),"",'Price History'!T111/'Price History'!T110-1),"")</f>
        <v>0.00750066970265206</v>
      </c>
      <c r="U110" s="142" t="str">
        <f aca="false">IFERROR(IF(OR(NOT(ISNUMBER('Price History'!U111)),NOT(ISNUMBER('Price History'!U110)),'Price History'!U110=0),"",'Price History'!U111/'Price History'!U110-1),"")</f>
        <v/>
      </c>
      <c r="V110" s="143" t="n">
        <f aca="false">IFERROR(IF(OR(NOT(ISNUMBER('Price History'!V111)),NOT(ISNUMBER('Price History'!V110)),'Price History'!V110=0),"",'Price History'!V111/'Price History'!V110-1),"")</f>
        <v>-0.0243273446230551</v>
      </c>
      <c r="W110" s="144" t="str">
        <f aca="false">IFERROR('Price History'!B3+(INDEX('Price History'!B:B,MATCH(9.99E+307,'Price History'!$A:$A))-'Price History'!B3)*(ROW()-3)/(MATCH(9.99E+307,'Returns (Calc)'!$A:$A)-3),"")</f>
        <v/>
      </c>
      <c r="X110" s="144" t="n">
        <f aca="false">IFERROR('Price History'!C3+(INDEX('Price History'!C:C,MATCH(9.99E+307,'Price History'!$A:$A))-'Price History'!C3)*(ROW()-3)/(MATCH(9.99E+307,'Returns (Calc)'!$A:$A)-3),"")</f>
        <v>14.9062025316456</v>
      </c>
      <c r="Y110" s="144" t="n">
        <f aca="false">IFERROR('Price History'!D3+(INDEX('Price History'!D:D,MATCH(9.99E+307,'Price History'!$A:$A))-'Price History'!D3)*(ROW()-3)/(MATCH(9.99E+307,'Returns (Calc)'!$A:$A)-3),"")</f>
        <v>187.863987341772</v>
      </c>
      <c r="Z110" s="144" t="n">
        <f aca="false">IFERROR('Price History'!E3+(INDEX('Price History'!E:E,MATCH(9.99E+307,'Price History'!$A:$A))-'Price History'!E3)*(ROW()-3)/(MATCH(9.99E+307,'Returns (Calc)'!$A:$A)-3),"")</f>
        <v>26.4683544303797</v>
      </c>
      <c r="AA110" s="144" t="n">
        <f aca="false">IFERROR('Price History'!F3+(INDEX('Price History'!F:F,MATCH(9.99E+307,'Price History'!$A:$A))-'Price History'!F3)*(ROW()-3)/(MATCH(9.99E+307,'Returns (Calc)'!$A:$A)-3),"")</f>
        <v>24.3089240506329</v>
      </c>
      <c r="AB110" s="144" t="n">
        <f aca="false">IFERROR('Price History'!G3+(INDEX('Price History'!G:G,MATCH(9.99E+307,'Price History'!$A:$A))-'Price History'!G3)*(ROW()-3)/(MATCH(9.99E+307,'Returns (Calc)'!$A:$A)-3),"")</f>
        <v>13.3503797468354</v>
      </c>
      <c r="AC110" s="144" t="n">
        <f aca="false">IFERROR('Price History'!H3+(INDEX('Price History'!H:H,MATCH(9.99E+307,'Price History'!$A:$A))-'Price History'!H3)*(ROW()-3)/(MATCH(9.99E+307,'Returns (Calc)'!$A:$A)-3),"")</f>
        <v>32.4689240506329</v>
      </c>
      <c r="AD110" s="144" t="n">
        <f aca="false">IFERROR('Price History'!I3+(INDEX('Price History'!I:I,MATCH(9.99E+307,'Price History'!$A:$A))-'Price History'!I3)*(ROW()-3)/(MATCH(9.99E+307,'Returns (Calc)'!$A:$A)-3),"")</f>
        <v>14.3155063291139</v>
      </c>
      <c r="AE110" s="144" t="n">
        <f aca="false">IFERROR('Price History'!J3+(INDEX('Price History'!J:J,MATCH(9.99E+307,'Price History'!$A:$A))-'Price History'!J3)*(ROW()-3)/(MATCH(9.99E+307,'Returns (Calc)'!$A:$A)-3),"")</f>
        <v>22.3076582278481</v>
      </c>
      <c r="AF110" s="144" t="n">
        <f aca="false">IFERROR('Price History'!K3+(INDEX('Price History'!K:K,MATCH(9.99E+307,'Price History'!$A:$A))-'Price History'!K3)*(ROW()-3)/(MATCH(9.99E+307,'Returns (Calc)'!$A:$A)-3),"")</f>
        <v>14.1282911392405</v>
      </c>
      <c r="AG110" s="144" t="n">
        <f aca="false">IFERROR('Price History'!L3+(INDEX('Price History'!L:L,MATCH(9.99E+307,'Price History'!$A:$A))-'Price History'!L3)*(ROW()-3)/(MATCH(9.99E+307,'Returns (Calc)'!$A:$A)-3),"")</f>
        <v>36.100253164557</v>
      </c>
      <c r="AH110" s="144" t="n">
        <f aca="false">IFERROR('Price History'!M3+(INDEX('Price History'!M:M,MATCH(9.99E+307,'Price History'!$A:$A))-'Price History'!M3)*(ROW()-3)/(MATCH(9.99E+307,'Returns (Calc)'!$A:$A)-3),"")</f>
        <v>4.94829113924051</v>
      </c>
      <c r="AI110" s="144" t="n">
        <f aca="false">IFERROR('Price History'!N3+(INDEX('Price History'!N:N,MATCH(9.99E+307,'Price History'!$A:$A))-'Price History'!N3)*(ROW()-3)/(MATCH(9.99E+307,'Returns (Calc)'!$A:$A)-3),"")</f>
        <v>7.0367088607595</v>
      </c>
      <c r="AJ110" s="144" t="n">
        <f aca="false">IFERROR('Price History'!O3+(INDEX('Price History'!O:O,MATCH(9.99E+307,'Price History'!$A:$A))-'Price History'!O3)*(ROW()-3)/(MATCH(9.99E+307,'Returns (Calc)'!$A:$A)-3),"")</f>
        <v>18.6020886075949</v>
      </c>
      <c r="AK110" s="144" t="n">
        <f aca="false">IFERROR('Price History'!Q3+(INDEX('Price History'!Q:Q,MATCH(9.99E+307,'Price History'!$A:$A))-'Price History'!Q3)*(ROW()-3)/(MATCH(9.99E+307,'Returns (Calc)'!$A:$A)-3),"")</f>
        <v>76.0577848101266</v>
      </c>
      <c r="AL110" s="144" t="n">
        <f aca="false">IFERROR('Price History'!R3+(INDEX('Price History'!R:R,MATCH(9.99E+307,'Price History'!$A:$A))-'Price History'!R3)*(ROW()-3)/(MATCH(9.99E+307,'Returns (Calc)'!$A:$A)-3),"")</f>
        <v>15.4355696202532</v>
      </c>
      <c r="AM110" s="144" t="n">
        <f aca="false">IFERROR('Price History'!S3+(INDEX('Price History'!S:S,MATCH(9.99E+307,'Price History'!$A:$A))-'Price History'!S3)*(ROW()-3)/(MATCH(9.99E+307,'Returns (Calc)'!$A:$A)-3),"")</f>
        <v>18.8958227848101</v>
      </c>
      <c r="AN110" s="144" t="n">
        <f aca="false">IFERROR('Price History'!T3+(INDEX('Price History'!T:T,MATCH(9.99E+307,'Price History'!$A:$A))-'Price History'!T3)*(ROW()-3)/(MATCH(9.99E+307,'Returns (Calc)'!$A:$A)-3),"")</f>
        <v>8.68613924050633</v>
      </c>
      <c r="AO110" s="145" t="n">
        <f aca="false">IFERROR('Price History'!V3+(INDEX('Price History'!V:V,MATCH(9.99E+307,'Price History'!$A:$A))-'Price History'!V3)*(ROW()-3)/(MATCH(9.99E+307,'Returns (Calc)'!$A:$A)-3),"")</f>
        <v>0</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0.0195848855774348</v>
      </c>
      <c r="G111" s="142" t="n">
        <f aca="false">IFERROR(IF(OR(NOT(ISNUMBER('Price History'!G112)),NOT(ISNUMBER('Price History'!G111)),'Price History'!G111=0),"",'Price History'!G112/'Price History'!G111-1),"")</f>
        <v>-0.0183114568141306</v>
      </c>
      <c r="H111" s="142" t="n">
        <f aca="false">IFERROR(IF(OR(NOT(ISNUMBER('Price History'!H112)),NOT(ISNUMBER('Price History'!H111)),'Price History'!H111=0),"",'Price History'!H112/'Price History'!H111-1),"")</f>
        <v>0.0146915523573945</v>
      </c>
      <c r="I111" s="142" t="n">
        <f aca="false">IFERROR(IF(OR(NOT(ISNUMBER('Price History'!I112)),NOT(ISNUMBER('Price History'!I111)),'Price History'!I111=0),"",'Price History'!I112/'Price History'!I111-1),"")</f>
        <v>0.126035805626598</v>
      </c>
      <c r="J111" s="142" t="n">
        <f aca="false">IFERROR(IF(OR(NOT(ISNUMBER('Price History'!J112)),NOT(ISNUMBER('Price History'!J111)),'Price History'!J111=0),"",'Price History'!J112/'Price History'!J111-1),"")</f>
        <v>0.114430603020615</v>
      </c>
      <c r="K111" s="142" t="n">
        <f aca="false">IFERROR(IF(OR(NOT(ISNUMBER('Price History'!K112)),NOT(ISNUMBER('Price History'!K111)),'Price History'!K111=0),"",'Price History'!K112/'Price History'!K111-1),"")</f>
        <v>0.00032837127845875</v>
      </c>
      <c r="L111" s="142" t="n">
        <f aca="false">IFERROR(IF(OR(NOT(ISNUMBER('Price History'!L112)),NOT(ISNUMBER('Price History'!L111)),'Price History'!L111=0),"",'Price History'!L112/'Price History'!L111-1),"")</f>
        <v>0.115541543026706</v>
      </c>
      <c r="M111" s="142" t="n">
        <f aca="false">IFERROR(IF(OR(NOT(ISNUMBER('Price History'!M112)),NOT(ISNUMBER('Price History'!M111)),'Price History'!M111=0),"",'Price History'!M112/'Price History'!M111-1),"")</f>
        <v>0.0154468764249887</v>
      </c>
      <c r="N111" s="142" t="n">
        <f aca="false">IFERROR(IF(OR(NOT(ISNUMBER('Price History'!N112)),NOT(ISNUMBER('Price History'!N111)),'Price History'!N111=0),"",'Price History'!N112/'Price History'!N111-1),"")</f>
        <v>0.00936037441497661</v>
      </c>
      <c r="O111" s="142" t="n">
        <f aca="false">IFERROR(IF(OR(NOT(ISNUMBER('Price History'!O112)),NOT(ISNUMBER('Price History'!O111)),'Price History'!O111=0),"",'Price History'!O112/'Price History'!O111-1),"")</f>
        <v>0.0161688366947492</v>
      </c>
      <c r="P111" s="142" t="n">
        <f aca="false">IFERROR(IF(OR(NOT(ISNUMBER('Price History'!P112)),NOT(ISNUMBER('Price History'!P111)),'Price History'!P111=0),"",'Price History'!P112/'Price History'!P111-1),"")</f>
        <v>0.0513826875990204</v>
      </c>
      <c r="Q111" s="142" t="n">
        <f aca="false">IFERROR(IF(OR(NOT(ISNUMBER('Price History'!Q112)),NOT(ISNUMBER('Price History'!Q111)),'Price History'!Q111=0),"",'Price History'!Q112/'Price History'!Q111-1),"")</f>
        <v>-0.00510383667722636</v>
      </c>
      <c r="R111" s="142" t="n">
        <f aca="false">IFERROR(IF(OR(NOT(ISNUMBER('Price History'!R112)),NOT(ISNUMBER('Price History'!R111)),'Price History'!R111=0),"",'Price History'!R112/'Price History'!R111-1),"")</f>
        <v>0.0136249551810685</v>
      </c>
      <c r="S111" s="142" t="n">
        <f aca="false">IFERROR(IF(OR(NOT(ISNUMBER('Price History'!S112)),NOT(ISNUMBER('Price History'!S111)),'Price History'!S111=0),"",'Price History'!S112/'Price History'!S111-1),"")</f>
        <v>0.0293037163605296</v>
      </c>
      <c r="T111" s="142" t="n">
        <f aca="false">IFERROR(IF(OR(NOT(ISNUMBER('Price History'!T112)),NOT(ISNUMBER('Price History'!T111)),'Price History'!T111=0),"",'Price History'!T112/'Price History'!T111-1),"")</f>
        <v>-0.00292475405477266</v>
      </c>
      <c r="U111" s="142" t="str">
        <f aca="false">IFERROR(IF(OR(NOT(ISNUMBER('Price History'!U112)),NOT(ISNUMBER('Price History'!U111)),'Price History'!U111=0),"",'Price History'!U112/'Price History'!U111-1),"")</f>
        <v/>
      </c>
      <c r="V111" s="143" t="n">
        <f aca="false">IFERROR(IF(OR(NOT(ISNUMBER('Price History'!V112)),NOT(ISNUMBER('Price History'!V111)),'Price History'!V111=0),"",'Price History'!V112/'Price History'!V111-1),"")</f>
        <v>-0.0110425844346549</v>
      </c>
      <c r="W111" s="144" t="str">
        <f aca="false">IFERROR('Price History'!B3+(INDEX('Price History'!B:B,MATCH(9.99E+307,'Price History'!$A:$A))-'Price History'!B3)*(ROW()-3)/(MATCH(9.99E+307,'Returns (Calc)'!$A:$A)-3),"")</f>
        <v/>
      </c>
      <c r="X111" s="144" t="n">
        <f aca="false">IFERROR('Price History'!C3+(INDEX('Price History'!C:C,MATCH(9.99E+307,'Price History'!$A:$A))-'Price History'!C3)*(ROW()-3)/(MATCH(9.99E+307,'Returns (Calc)'!$A:$A)-3),"")</f>
        <v>14.6139240506329</v>
      </c>
      <c r="Y111" s="144" t="n">
        <f aca="false">IFERROR('Price History'!D3+(INDEX('Price History'!D:D,MATCH(9.99E+307,'Price History'!$A:$A))-'Price History'!D3)*(ROW()-3)/(MATCH(9.99E+307,'Returns (Calc)'!$A:$A)-3),"")</f>
        <v>184.180379746835</v>
      </c>
      <c r="Z111" s="144" t="n">
        <f aca="false">IFERROR('Price History'!E3+(INDEX('Price History'!E:E,MATCH(9.99E+307,'Price History'!$A:$A))-'Price History'!E3)*(ROW()-3)/(MATCH(9.99E+307,'Returns (Calc)'!$A:$A)-3),"")</f>
        <v>25.9493670886076</v>
      </c>
      <c r="AA111" s="144" t="n">
        <f aca="false">IFERROR('Price History'!F3+(INDEX('Price History'!F:F,MATCH(9.99E+307,'Price History'!$A:$A))-'Price History'!F3)*(ROW()-3)/(MATCH(9.99E+307,'Returns (Calc)'!$A:$A)-3),"")</f>
        <v>23.8322784810127</v>
      </c>
      <c r="AB111" s="144" t="n">
        <f aca="false">IFERROR('Price History'!G3+(INDEX('Price History'!G:G,MATCH(9.99E+307,'Price History'!$A:$A))-'Price History'!G3)*(ROW()-3)/(MATCH(9.99E+307,'Returns (Calc)'!$A:$A)-3),"")</f>
        <v>13.0886075949367</v>
      </c>
      <c r="AC111" s="144" t="n">
        <f aca="false">IFERROR('Price History'!H3+(INDEX('Price History'!H:H,MATCH(9.99E+307,'Price History'!$A:$A))-'Price History'!H3)*(ROW()-3)/(MATCH(9.99E+307,'Returns (Calc)'!$A:$A)-3),"")</f>
        <v>31.8322784810127</v>
      </c>
      <c r="AD111" s="144" t="n">
        <f aca="false">IFERROR('Price History'!I3+(INDEX('Price History'!I:I,MATCH(9.99E+307,'Price History'!$A:$A))-'Price History'!I3)*(ROW()-3)/(MATCH(9.99E+307,'Returns (Calc)'!$A:$A)-3),"")</f>
        <v>14.0348101265823</v>
      </c>
      <c r="AE111" s="144" t="n">
        <f aca="false">IFERROR('Price History'!J3+(INDEX('Price History'!J:J,MATCH(9.99E+307,'Price History'!$A:$A))-'Price History'!J3)*(ROW()-3)/(MATCH(9.99E+307,'Returns (Calc)'!$A:$A)-3),"")</f>
        <v>21.870253164557</v>
      </c>
      <c r="AF111" s="144" t="n">
        <f aca="false">IFERROR('Price History'!K3+(INDEX('Price History'!K:K,MATCH(9.99E+307,'Price History'!$A:$A))-'Price History'!K3)*(ROW()-3)/(MATCH(9.99E+307,'Returns (Calc)'!$A:$A)-3),"")</f>
        <v>13.8512658227848</v>
      </c>
      <c r="AG111" s="144" t="n">
        <f aca="false">IFERROR('Price History'!L3+(INDEX('Price History'!L:L,MATCH(9.99E+307,'Price History'!$A:$A))-'Price History'!L3)*(ROW()-3)/(MATCH(9.99E+307,'Returns (Calc)'!$A:$A)-3),"")</f>
        <v>35.3924050632911</v>
      </c>
      <c r="AH111" s="144" t="n">
        <f aca="false">IFERROR('Price History'!M3+(INDEX('Price History'!M:M,MATCH(9.99E+307,'Price History'!$A:$A))-'Price History'!M3)*(ROW()-3)/(MATCH(9.99E+307,'Returns (Calc)'!$A:$A)-3),"")</f>
        <v>4.85126582278481</v>
      </c>
      <c r="AI111" s="144" t="n">
        <f aca="false">IFERROR('Price History'!N3+(INDEX('Price History'!N:N,MATCH(9.99E+307,'Price History'!$A:$A))-'Price History'!N3)*(ROW()-3)/(MATCH(9.99E+307,'Returns (Calc)'!$A:$A)-3),"")</f>
        <v>6.89873417721519</v>
      </c>
      <c r="AJ111" s="144" t="n">
        <f aca="false">IFERROR('Price History'!O3+(INDEX('Price History'!O:O,MATCH(9.99E+307,'Price History'!$A:$A))-'Price History'!O3)*(ROW()-3)/(MATCH(9.99E+307,'Returns (Calc)'!$A:$A)-3),"")</f>
        <v>18.2373417721519</v>
      </c>
      <c r="AK111" s="144" t="n">
        <f aca="false">IFERROR('Price History'!Q3+(INDEX('Price History'!Q:Q,MATCH(9.99E+307,'Price History'!$A:$A))-'Price History'!Q3)*(ROW()-3)/(MATCH(9.99E+307,'Returns (Calc)'!$A:$A)-3),"")</f>
        <v>74.5664556962025</v>
      </c>
      <c r="AL111" s="144" t="n">
        <f aca="false">IFERROR('Price History'!R3+(INDEX('Price History'!R:R,MATCH(9.99E+307,'Price History'!$A:$A))-'Price History'!R3)*(ROW()-3)/(MATCH(9.99E+307,'Returns (Calc)'!$A:$A)-3),"")</f>
        <v>15.1329113924051</v>
      </c>
      <c r="AM111" s="144" t="n">
        <f aca="false">IFERROR('Price History'!S3+(INDEX('Price History'!S:S,MATCH(9.99E+307,'Price History'!$A:$A))-'Price History'!S3)*(ROW()-3)/(MATCH(9.99E+307,'Returns (Calc)'!$A:$A)-3),"")</f>
        <v>18.5253164556962</v>
      </c>
      <c r="AN111" s="144" t="n">
        <f aca="false">IFERROR('Price History'!T3+(INDEX('Price History'!T:T,MATCH(9.99E+307,'Price History'!$A:$A))-'Price History'!T3)*(ROW()-3)/(MATCH(9.99E+307,'Returns (Calc)'!$A:$A)-3),"")</f>
        <v>8.51582278481013</v>
      </c>
      <c r="AO111" s="145" t="n">
        <f aca="false">IFERROR('Price History'!V3+(INDEX('Price History'!V:V,MATCH(9.99E+307,'Price History'!$A:$A))-'Price History'!V3)*(ROW()-3)/(MATCH(9.99E+307,'Returns (Calc)'!$A:$A)-3),"")</f>
        <v>0</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0.0294393986846226</v>
      </c>
      <c r="G112" s="142" t="n">
        <f aca="false">IFERROR(IF(OR(NOT(ISNUMBER('Price History'!G113)),NOT(ISNUMBER('Price History'!G112)),'Price History'!G112=0),"",'Price History'!G113/'Price History'!G112-1),"")</f>
        <v>0.0880653681082868</v>
      </c>
      <c r="H112" s="142" t="n">
        <f aca="false">IFERROR(IF(OR(NOT(ISNUMBER('Price History'!H113)),NOT(ISNUMBER('Price History'!H112)),'Price History'!H112=0),"",'Price History'!H113/'Price History'!H112-1),"")</f>
        <v>0.0169904705621629</v>
      </c>
      <c r="I112" s="142" t="n">
        <f aca="false">IFERROR(IF(OR(NOT(ISNUMBER('Price History'!I113)),NOT(ISNUMBER('Price History'!I112)),'Price History'!I112=0),"",'Price History'!I113/'Price History'!I112-1),"")</f>
        <v>0.0688652675570094</v>
      </c>
      <c r="J112" s="142" t="n">
        <f aca="false">IFERROR(IF(OR(NOT(ISNUMBER('Price History'!J113)),NOT(ISNUMBER('Price History'!J112)),'Price History'!J112=0),"",'Price History'!J113/'Price History'!J112-1),"")</f>
        <v>0.082253437530913</v>
      </c>
      <c r="K112" s="142" t="n">
        <f aca="false">IFERROR(IF(OR(NOT(ISNUMBER('Price History'!K113)),NOT(ISNUMBER('Price History'!K112)),'Price History'!K112=0),"",'Price History'!K113/'Price History'!K112-1),"")</f>
        <v>0.0165773060509902</v>
      </c>
      <c r="L112" s="142" t="n">
        <f aca="false">IFERROR(IF(OR(NOT(ISNUMBER('Price History'!L113)),NOT(ISNUMBER('Price History'!L112)),'Price History'!L112=0),"",'Price History'!L113/'Price History'!L112-1),"")</f>
        <v>0.0189526184538653</v>
      </c>
      <c r="M112" s="142" t="n">
        <f aca="false">IFERROR(IF(OR(NOT(ISNUMBER('Price History'!M113)),NOT(ISNUMBER('Price History'!M112)),'Price History'!M112=0),"",'Price History'!M113/'Price History'!M112-1),"")</f>
        <v>0.0363738422677518</v>
      </c>
      <c r="N112" s="142" t="n">
        <f aca="false">IFERROR(IF(OR(NOT(ISNUMBER('Price History'!N113)),NOT(ISNUMBER('Price History'!N112)),'Price History'!N112=0),"",'Price History'!N113/'Price History'!N112-1),"")</f>
        <v>0.00888717156105101</v>
      </c>
      <c r="O112" s="142" t="n">
        <f aca="false">IFERROR(IF(OR(NOT(ISNUMBER('Price History'!O113)),NOT(ISNUMBER('Price History'!O112)),'Price History'!O112=0),"",'Price History'!O113/'Price History'!O112-1),"")</f>
        <v>0.0107193702369985</v>
      </c>
      <c r="P112" s="142" t="n">
        <f aca="false">IFERROR(IF(OR(NOT(ISNUMBER('Price History'!P113)),NOT(ISNUMBER('Price History'!P112)),'Price History'!P112=0),"",'Price History'!P113/'Price History'!P112-1),"")</f>
        <v>-0.000410972978526658</v>
      </c>
      <c r="Q112" s="142" t="n">
        <f aca="false">IFERROR(IF(OR(NOT(ISNUMBER('Price History'!Q113)),NOT(ISNUMBER('Price History'!Q112)),'Price History'!Q112=0),"",'Price History'!Q113/'Price History'!Q112-1),"")</f>
        <v>0.0160386815260334</v>
      </c>
      <c r="R112" s="142" t="n">
        <f aca="false">IFERROR(IF(OR(NOT(ISNUMBER('Price History'!R113)),NOT(ISNUMBER('Price History'!R112)),'Price History'!R112=0),"",'Price History'!R113/'Price History'!R112-1),"")</f>
        <v>0.0109656880084896</v>
      </c>
      <c r="S112" s="142" t="n">
        <f aca="false">IFERROR(IF(OR(NOT(ISNUMBER('Price History'!S113)),NOT(ISNUMBER('Price History'!S112)),'Price History'!S112=0),"",'Price History'!S113/'Price History'!S112-1),"")</f>
        <v>0.0120351925630811</v>
      </c>
      <c r="T112" s="142" t="n">
        <f aca="false">IFERROR(IF(OR(NOT(ISNUMBER('Price History'!T113)),NOT(ISNUMBER('Price History'!T112)),'Price History'!T112=0),"",'Price History'!T113/'Price History'!T112-1),"")</f>
        <v>-0.0013333333333333</v>
      </c>
      <c r="U112" s="142" t="str">
        <f aca="false">IFERROR(IF(OR(NOT(ISNUMBER('Price History'!U113)),NOT(ISNUMBER('Price History'!U112)),'Price History'!U112=0),"",'Price History'!U113/'Price History'!U112-1),"")</f>
        <v/>
      </c>
      <c r="V112" s="143" t="n">
        <f aca="false">IFERROR(IF(OR(NOT(ISNUMBER('Price History'!V113)),NOT(ISNUMBER('Price History'!V112)),'Price History'!V112=0),"",'Price History'!V113/'Price History'!V112-1),"")</f>
        <v>0.00641444437845218</v>
      </c>
      <c r="W112" s="144" t="str">
        <f aca="false">IFERROR('Price History'!B3+(INDEX('Price History'!B:B,MATCH(9.99E+307,'Price History'!$A:$A))-'Price History'!B3)*(ROW()-3)/(MATCH(9.99E+307,'Returns (Calc)'!$A:$A)-3),"")</f>
        <v/>
      </c>
      <c r="X112" s="144" t="n">
        <f aca="false">IFERROR('Price History'!C3+(INDEX('Price History'!C:C,MATCH(9.99E+307,'Price History'!$A:$A))-'Price History'!C3)*(ROW()-3)/(MATCH(9.99E+307,'Returns (Calc)'!$A:$A)-3),"")</f>
        <v>14.3216455696203</v>
      </c>
      <c r="Y112" s="144" t="n">
        <f aca="false">IFERROR('Price History'!D3+(INDEX('Price History'!D:D,MATCH(9.99E+307,'Price History'!$A:$A))-'Price History'!D3)*(ROW()-3)/(MATCH(9.99E+307,'Returns (Calc)'!$A:$A)-3),"")</f>
        <v>180.496772151899</v>
      </c>
      <c r="Z112" s="144" t="n">
        <f aca="false">IFERROR('Price History'!E3+(INDEX('Price History'!E:E,MATCH(9.99E+307,'Price History'!$A:$A))-'Price History'!E3)*(ROW()-3)/(MATCH(9.99E+307,'Returns (Calc)'!$A:$A)-3),"")</f>
        <v>25.4303797468354</v>
      </c>
      <c r="AA112" s="144" t="n">
        <f aca="false">IFERROR('Price History'!F3+(INDEX('Price History'!F:F,MATCH(9.99E+307,'Price History'!$A:$A))-'Price History'!F3)*(ROW()-3)/(MATCH(9.99E+307,'Returns (Calc)'!$A:$A)-3),"")</f>
        <v>23.3556329113924</v>
      </c>
      <c r="AB112" s="144" t="n">
        <f aca="false">IFERROR('Price History'!G3+(INDEX('Price History'!G:G,MATCH(9.99E+307,'Price History'!$A:$A))-'Price History'!G3)*(ROW()-3)/(MATCH(9.99E+307,'Returns (Calc)'!$A:$A)-3),"")</f>
        <v>12.826835443038</v>
      </c>
      <c r="AC112" s="144" t="n">
        <f aca="false">IFERROR('Price History'!H3+(INDEX('Price History'!H:H,MATCH(9.99E+307,'Price History'!$A:$A))-'Price History'!H3)*(ROW()-3)/(MATCH(9.99E+307,'Returns (Calc)'!$A:$A)-3),"")</f>
        <v>31.1956329113924</v>
      </c>
      <c r="AD112" s="144" t="n">
        <f aca="false">IFERROR('Price History'!I3+(INDEX('Price History'!I:I,MATCH(9.99E+307,'Price History'!$A:$A))-'Price History'!I3)*(ROW()-3)/(MATCH(9.99E+307,'Returns (Calc)'!$A:$A)-3),"")</f>
        <v>13.7541139240506</v>
      </c>
      <c r="AE112" s="144" t="n">
        <f aca="false">IFERROR('Price History'!J3+(INDEX('Price History'!J:J,MATCH(9.99E+307,'Price History'!$A:$A))-'Price History'!J3)*(ROW()-3)/(MATCH(9.99E+307,'Returns (Calc)'!$A:$A)-3),"")</f>
        <v>21.4328481012658</v>
      </c>
      <c r="AF112" s="144" t="n">
        <f aca="false">IFERROR('Price History'!K3+(INDEX('Price History'!K:K,MATCH(9.99E+307,'Price History'!$A:$A))-'Price History'!K3)*(ROW()-3)/(MATCH(9.99E+307,'Returns (Calc)'!$A:$A)-3),"")</f>
        <v>13.5742405063291</v>
      </c>
      <c r="AG112" s="144" t="n">
        <f aca="false">IFERROR('Price History'!L3+(INDEX('Price History'!L:L,MATCH(9.99E+307,'Price History'!$A:$A))-'Price History'!L3)*(ROW()-3)/(MATCH(9.99E+307,'Returns (Calc)'!$A:$A)-3),"")</f>
        <v>34.6845569620253</v>
      </c>
      <c r="AH112" s="144" t="n">
        <f aca="false">IFERROR('Price History'!M3+(INDEX('Price History'!M:M,MATCH(9.99E+307,'Price History'!$A:$A))-'Price History'!M3)*(ROW()-3)/(MATCH(9.99E+307,'Returns (Calc)'!$A:$A)-3),"")</f>
        <v>4.75424050632911</v>
      </c>
      <c r="AI112" s="144" t="n">
        <f aca="false">IFERROR('Price History'!N3+(INDEX('Price History'!N:N,MATCH(9.99E+307,'Price History'!$A:$A))-'Price History'!N3)*(ROW()-3)/(MATCH(9.99E+307,'Returns (Calc)'!$A:$A)-3),"")</f>
        <v>6.76075949367089</v>
      </c>
      <c r="AJ112" s="144" t="n">
        <f aca="false">IFERROR('Price History'!O3+(INDEX('Price History'!O:O,MATCH(9.99E+307,'Price History'!$A:$A))-'Price History'!O3)*(ROW()-3)/(MATCH(9.99E+307,'Returns (Calc)'!$A:$A)-3),"")</f>
        <v>17.8725949367089</v>
      </c>
      <c r="AK112" s="144" t="n">
        <f aca="false">IFERROR('Price History'!Q3+(INDEX('Price History'!Q:Q,MATCH(9.99E+307,'Price History'!$A:$A))-'Price History'!Q3)*(ROW()-3)/(MATCH(9.99E+307,'Returns (Calc)'!$A:$A)-3),"")</f>
        <v>73.0751265822785</v>
      </c>
      <c r="AL112" s="144" t="n">
        <f aca="false">IFERROR('Price History'!R3+(INDEX('Price History'!R:R,MATCH(9.99E+307,'Price History'!$A:$A))-'Price History'!R3)*(ROW()-3)/(MATCH(9.99E+307,'Returns (Calc)'!$A:$A)-3),"")</f>
        <v>14.830253164557</v>
      </c>
      <c r="AM112" s="144" t="n">
        <f aca="false">IFERROR('Price History'!S3+(INDEX('Price History'!S:S,MATCH(9.99E+307,'Price History'!$A:$A))-'Price History'!S3)*(ROW()-3)/(MATCH(9.99E+307,'Returns (Calc)'!$A:$A)-3),"")</f>
        <v>18.1548101265823</v>
      </c>
      <c r="AN112" s="144" t="n">
        <f aca="false">IFERROR('Price History'!T3+(INDEX('Price History'!T:T,MATCH(9.99E+307,'Price History'!$A:$A))-'Price History'!T3)*(ROW()-3)/(MATCH(9.99E+307,'Returns (Calc)'!$A:$A)-3),"")</f>
        <v>8.34550632911392</v>
      </c>
      <c r="AO112" s="145" t="n">
        <f aca="false">IFERROR('Price History'!V3+(INDEX('Price History'!V:V,MATCH(9.99E+307,'Price History'!$A:$A))-'Price History'!V3)*(ROW()-3)/(MATCH(9.99E+307,'Returns (Calc)'!$A:$A)-3),"")</f>
        <v>0</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-0.021194605009634</v>
      </c>
      <c r="G113" s="142" t="n">
        <f aca="false">IFERROR(IF(OR(NOT(ISNUMBER('Price History'!G114)),NOT(ISNUMBER('Price History'!G113)),'Price History'!G113=0),"",'Price History'!G114/'Price History'!G113-1),"")</f>
        <v>0.029735265114162</v>
      </c>
      <c r="H113" s="142" t="n">
        <f aca="false">IFERROR(IF(OR(NOT(ISNUMBER('Price History'!H114)),NOT(ISNUMBER('Price History'!H113)),'Price History'!H113=0),"",'Price History'!H114/'Price History'!H113-1),"")</f>
        <v>-0.0238250889808963</v>
      </c>
      <c r="I113" s="142" t="n">
        <f aca="false">IFERROR(IF(OR(NOT(ISNUMBER('Price History'!I114)),NOT(ISNUMBER('Price History'!I113)),'Price History'!I113=0),"",'Price History'!I114/'Price History'!I113-1),"")</f>
        <v>0.0219294517637059</v>
      </c>
      <c r="J113" s="142" t="n">
        <f aca="false">IFERROR(IF(OR(NOT(ISNUMBER('Price History'!J114)),NOT(ISNUMBER('Price History'!J113)),'Price History'!J113=0),"",'Price History'!J114/'Price History'!J113-1),"")</f>
        <v>0.0216626296787168</v>
      </c>
      <c r="K113" s="142" t="n">
        <f aca="false">IFERROR(IF(OR(NOT(ISNUMBER('Price History'!K114)),NOT(ISNUMBER('Price History'!K113)),'Price History'!K113=0),"",'Price History'!K114/'Price History'!K113-1),"")</f>
        <v>0.0871858349927344</v>
      </c>
      <c r="L113" s="142" t="n">
        <f aca="false">IFERROR(IF(OR(NOT(ISNUMBER('Price History'!L114)),NOT(ISNUMBER('Price History'!L113)),'Price History'!L113=0),"",'Price History'!L114/'Price History'!L113-1),"")</f>
        <v>-0.0185185185185185</v>
      </c>
      <c r="M113" s="142" t="n">
        <f aca="false">IFERROR(IF(OR(NOT(ISNUMBER('Price History'!M114)),NOT(ISNUMBER('Price History'!M113)),'Price History'!M113=0),"",'Price History'!M114/'Price History'!M113-1),"")</f>
        <v>0.0857932080376971</v>
      </c>
      <c r="N113" s="142" t="n">
        <f aca="false">IFERROR(IF(OR(NOT(ISNUMBER('Price History'!N114)),NOT(ISNUMBER('Price History'!N113)),'Price History'!N113=0),"",'Price History'!N114/'Price History'!N113-1),"")</f>
        <v>-0.0103408655687476</v>
      </c>
      <c r="O113" s="142" t="n">
        <f aca="false">IFERROR(IF(OR(NOT(ISNUMBER('Price History'!O114)),NOT(ISNUMBER('Price History'!O113)),'Price History'!O113=0),"",'Price History'!O114/'Price History'!O113-1),"")</f>
        <v>-8.28569061230855E-005</v>
      </c>
      <c r="P113" s="142" t="n">
        <f aca="false">IFERROR(IF(OR(NOT(ISNUMBER('Price History'!P114)),NOT(ISNUMBER('Price History'!P113)),'Price History'!P113=0),"",'Price History'!P114/'Price History'!P113-1),"")</f>
        <v>0.0185356494329667</v>
      </c>
      <c r="Q113" s="142" t="n">
        <f aca="false">IFERROR(IF(OR(NOT(ISNUMBER('Price History'!Q114)),NOT(ISNUMBER('Price History'!Q113)),'Price History'!Q113=0),"",'Price History'!Q114/'Price History'!Q113-1),"")</f>
        <v>-0.0190934942835587</v>
      </c>
      <c r="R113" s="142" t="n">
        <f aca="false">IFERROR(IF(OR(NOT(ISNUMBER('Price History'!R114)),NOT(ISNUMBER('Price History'!R113)),'Price History'!R113=0),"",'Price History'!R114/'Price History'!R113-1),"")</f>
        <v>0.00157452764170762</v>
      </c>
      <c r="S113" s="142" t="n">
        <f aca="false">IFERROR(IF(OR(NOT(ISNUMBER('Price History'!S114)),NOT(ISNUMBER('Price History'!S113)),'Price History'!S113=0),"",'Price History'!S114/'Price History'!S113-1),"")</f>
        <v>-0.0110719265152137</v>
      </c>
      <c r="T113" s="142" t="n">
        <f aca="false">IFERROR(IF(OR(NOT(ISNUMBER('Price History'!T114)),NOT(ISNUMBER('Price History'!T113)),'Price History'!T113=0),"",'Price History'!T114/'Price History'!T113-1),"")</f>
        <v>0.0077436582109478</v>
      </c>
      <c r="U113" s="142" t="str">
        <f aca="false">IFERROR(IF(OR(NOT(ISNUMBER('Price History'!U114)),NOT(ISNUMBER('Price History'!U113)),'Price History'!U113=0),"",'Price History'!U114/'Price History'!U113-1),"")</f>
        <v/>
      </c>
      <c r="V113" s="143" t="n">
        <f aca="false">IFERROR(IF(OR(NOT(ISNUMBER('Price History'!V114)),NOT(ISNUMBER('Price History'!V113)),'Price History'!V113=0),"",'Price History'!V114/'Price History'!V113-1),"")</f>
        <v>-0.0124225435231631</v>
      </c>
      <c r="W113" s="144" t="str">
        <f aca="false">IFERROR('Price History'!B3+(INDEX('Price History'!B:B,MATCH(9.99E+307,'Price History'!$A:$A))-'Price History'!B3)*(ROW()-3)/(MATCH(9.99E+307,'Returns (Calc)'!$A:$A)-3),"")</f>
        <v/>
      </c>
      <c r="X113" s="144" t="n">
        <f aca="false">IFERROR('Price History'!C3+(INDEX('Price History'!C:C,MATCH(9.99E+307,'Price History'!$A:$A))-'Price History'!C3)*(ROW()-3)/(MATCH(9.99E+307,'Returns (Calc)'!$A:$A)-3),"")</f>
        <v>14.0293670886076</v>
      </c>
      <c r="Y113" s="144" t="n">
        <f aca="false">IFERROR('Price History'!D3+(INDEX('Price History'!D:D,MATCH(9.99E+307,'Price History'!$A:$A))-'Price History'!D3)*(ROW()-3)/(MATCH(9.99E+307,'Returns (Calc)'!$A:$A)-3),"")</f>
        <v>176.813164556962</v>
      </c>
      <c r="Z113" s="144" t="n">
        <f aca="false">IFERROR('Price History'!E3+(INDEX('Price History'!E:E,MATCH(9.99E+307,'Price History'!$A:$A))-'Price History'!E3)*(ROW()-3)/(MATCH(9.99E+307,'Returns (Calc)'!$A:$A)-3),"")</f>
        <v>24.9113924050633</v>
      </c>
      <c r="AA113" s="144" t="n">
        <f aca="false">IFERROR('Price History'!F3+(INDEX('Price History'!F:F,MATCH(9.99E+307,'Price History'!$A:$A))-'Price History'!F3)*(ROW()-3)/(MATCH(9.99E+307,'Returns (Calc)'!$A:$A)-3),"")</f>
        <v>22.8789873417722</v>
      </c>
      <c r="AB113" s="144" t="n">
        <f aca="false">IFERROR('Price History'!G3+(INDEX('Price History'!G:G,MATCH(9.99E+307,'Price History'!$A:$A))-'Price History'!G3)*(ROW()-3)/(MATCH(9.99E+307,'Returns (Calc)'!$A:$A)-3),"")</f>
        <v>12.5650632911392</v>
      </c>
      <c r="AC113" s="144" t="n">
        <f aca="false">IFERROR('Price History'!H3+(INDEX('Price History'!H:H,MATCH(9.99E+307,'Price History'!$A:$A))-'Price History'!H3)*(ROW()-3)/(MATCH(9.99E+307,'Returns (Calc)'!$A:$A)-3),"")</f>
        <v>30.5589873417722</v>
      </c>
      <c r="AD113" s="144" t="n">
        <f aca="false">IFERROR('Price History'!I3+(INDEX('Price History'!I:I,MATCH(9.99E+307,'Price History'!$A:$A))-'Price History'!I3)*(ROW()-3)/(MATCH(9.99E+307,'Returns (Calc)'!$A:$A)-3),"")</f>
        <v>13.473417721519</v>
      </c>
      <c r="AE113" s="144" t="n">
        <f aca="false">IFERROR('Price History'!J3+(INDEX('Price History'!J:J,MATCH(9.99E+307,'Price History'!$A:$A))-'Price History'!J3)*(ROW()-3)/(MATCH(9.99E+307,'Returns (Calc)'!$A:$A)-3),"")</f>
        <v>20.9954430379747</v>
      </c>
      <c r="AF113" s="144" t="n">
        <f aca="false">IFERROR('Price History'!K3+(INDEX('Price History'!K:K,MATCH(9.99E+307,'Price History'!$A:$A))-'Price History'!K3)*(ROW()-3)/(MATCH(9.99E+307,'Returns (Calc)'!$A:$A)-3),"")</f>
        <v>13.2972151898734</v>
      </c>
      <c r="AG113" s="144" t="n">
        <f aca="false">IFERROR('Price History'!L3+(INDEX('Price History'!L:L,MATCH(9.99E+307,'Price History'!$A:$A))-'Price History'!L3)*(ROW()-3)/(MATCH(9.99E+307,'Returns (Calc)'!$A:$A)-3),"")</f>
        <v>33.9767088607595</v>
      </c>
      <c r="AH113" s="144" t="n">
        <f aca="false">IFERROR('Price History'!M3+(INDEX('Price History'!M:M,MATCH(9.99E+307,'Price History'!$A:$A))-'Price History'!M3)*(ROW()-3)/(MATCH(9.99E+307,'Returns (Calc)'!$A:$A)-3),"")</f>
        <v>4.65721518987342</v>
      </c>
      <c r="AI113" s="144" t="n">
        <f aca="false">IFERROR('Price History'!N3+(INDEX('Price History'!N:N,MATCH(9.99E+307,'Price History'!$A:$A))-'Price History'!N3)*(ROW()-3)/(MATCH(9.99E+307,'Returns (Calc)'!$A:$A)-3),"")</f>
        <v>6.62278481012658</v>
      </c>
      <c r="AJ113" s="144" t="n">
        <f aca="false">IFERROR('Price History'!O3+(INDEX('Price History'!O:O,MATCH(9.99E+307,'Price History'!$A:$A))-'Price History'!O3)*(ROW()-3)/(MATCH(9.99E+307,'Returns (Calc)'!$A:$A)-3),"")</f>
        <v>17.5078481012658</v>
      </c>
      <c r="AK113" s="144" t="n">
        <f aca="false">IFERROR('Price History'!Q3+(INDEX('Price History'!Q:Q,MATCH(9.99E+307,'Price History'!$A:$A))-'Price History'!Q3)*(ROW()-3)/(MATCH(9.99E+307,'Returns (Calc)'!$A:$A)-3),"")</f>
        <v>71.5837974683544</v>
      </c>
      <c r="AL113" s="144" t="n">
        <f aca="false">IFERROR('Price History'!R3+(INDEX('Price History'!R:R,MATCH(9.99E+307,'Price History'!$A:$A))-'Price History'!R3)*(ROW()-3)/(MATCH(9.99E+307,'Returns (Calc)'!$A:$A)-3),"")</f>
        <v>14.5275949367089</v>
      </c>
      <c r="AM113" s="144" t="n">
        <f aca="false">IFERROR('Price History'!S3+(INDEX('Price History'!S:S,MATCH(9.99E+307,'Price History'!$A:$A))-'Price History'!S3)*(ROW()-3)/(MATCH(9.99E+307,'Returns (Calc)'!$A:$A)-3),"")</f>
        <v>17.7843037974684</v>
      </c>
      <c r="AN113" s="144" t="n">
        <f aca="false">IFERROR('Price History'!T3+(INDEX('Price History'!T:T,MATCH(9.99E+307,'Price History'!$A:$A))-'Price History'!T3)*(ROW()-3)/(MATCH(9.99E+307,'Returns (Calc)'!$A:$A)-3),"")</f>
        <v>8.17518987341772</v>
      </c>
      <c r="AO113" s="145" t="n">
        <f aca="false">IFERROR('Price History'!V3+(INDEX('Price History'!V:V,MATCH(9.99E+307,'Price History'!$A:$A))-'Price History'!V3)*(ROW()-3)/(MATCH(9.99E+307,'Returns (Calc)'!$A:$A)-3),"")</f>
        <v>0</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-0.000621632822213059</v>
      </c>
      <c r="G114" s="142" t="n">
        <f aca="false">IFERROR(IF(OR(NOT(ISNUMBER('Price History'!G115)),NOT(ISNUMBER('Price History'!G114)),'Price History'!G114=0),"",'Price History'!G115/'Price History'!G114-1),"")</f>
        <v>-0.00589318600368327</v>
      </c>
      <c r="H114" s="142" t="n">
        <f aca="false">IFERROR(IF(OR(NOT(ISNUMBER('Price History'!H115)),NOT(ISNUMBER('Price History'!H114)),'Price History'!H114=0),"",'Price History'!H115/'Price History'!H114-1),"")</f>
        <v>0.00744102983852968</v>
      </c>
      <c r="I114" s="142" t="n">
        <f aca="false">IFERROR(IF(OR(NOT(ISNUMBER('Price History'!I115)),NOT(ISNUMBER('Price History'!I114)),'Price History'!I114=0),"",'Price History'!I115/'Price History'!I114-1),"")</f>
        <v>-0.0127256092489395</v>
      </c>
      <c r="J114" s="142" t="n">
        <f aca="false">IFERROR(IF(OR(NOT(ISNUMBER('Price History'!J115)),NOT(ISNUMBER('Price History'!J114)),'Price History'!J114=0),"",'Price History'!J115/'Price History'!J114-1),"")</f>
        <v>0.0632520688883917</v>
      </c>
      <c r="K114" s="142" t="n">
        <f aca="false">IFERROR(IF(OR(NOT(ISNUMBER('Price History'!K115)),NOT(ISNUMBER('Price History'!K114)),'Price History'!K114=0),"",'Price History'!K115/'Price History'!K114-1),"")</f>
        <v>-0.0708380773229048</v>
      </c>
      <c r="L114" s="142" t="n">
        <f aca="false">IFERROR(IF(OR(NOT(ISNUMBER('Price History'!L115)),NOT(ISNUMBER('Price History'!L114)),'Price History'!L114=0),"",'Price History'!L115/'Price History'!L114-1),"")</f>
        <v>0.012218435707755</v>
      </c>
      <c r="M114" s="142" t="n">
        <f aca="false">IFERROR(IF(OR(NOT(ISNUMBER('Price History'!M115)),NOT(ISNUMBER('Price History'!M114)),'Price History'!M114=0),"",'Price History'!M115/'Price History'!M114-1),"")</f>
        <v>-0.112435775926573</v>
      </c>
      <c r="N114" s="142" t="n">
        <f aca="false">IFERROR(IF(OR(NOT(ISNUMBER('Price History'!N115)),NOT(ISNUMBER('Price History'!N114)),'Price History'!N114=0),"",'Price History'!N115/'Price History'!N114-1),"")</f>
        <v>-0.00116099071207432</v>
      </c>
      <c r="O114" s="142" t="n">
        <f aca="false">IFERROR(IF(OR(NOT(ISNUMBER('Price History'!O115)),NOT(ISNUMBER('Price History'!O114)),'Price History'!O114=0),"",'Price History'!O115/'Price History'!O114-1),"")</f>
        <v>-0.0260192243950945</v>
      </c>
      <c r="P114" s="142" t="n">
        <f aca="false">IFERROR(IF(OR(NOT(ISNUMBER('Price History'!P115)),NOT(ISNUMBER('Price History'!P114)),'Price History'!P114=0),"",'Price History'!P115/'Price History'!P114-1),"")</f>
        <v>-0.046353606027987</v>
      </c>
      <c r="Q114" s="142" t="n">
        <f aca="false">IFERROR(IF(OR(NOT(ISNUMBER('Price History'!Q115)),NOT(ISNUMBER('Price History'!Q114)),'Price History'!Q114=0),"",'Price History'!Q115/'Price History'!Q114-1),"")</f>
        <v>-0.0138740977399124</v>
      </c>
      <c r="R114" s="142" t="n">
        <f aca="false">IFERROR(IF(OR(NOT(ISNUMBER('Price History'!R115)),NOT(ISNUMBER('Price History'!R114)),'Price History'!R114=0),"",'Price History'!R115/'Price History'!R114-1),"")</f>
        <v>0.00052401746724895</v>
      </c>
      <c r="S114" s="142" t="n">
        <f aca="false">IFERROR(IF(OR(NOT(ISNUMBER('Price History'!S115)),NOT(ISNUMBER('Price History'!S114)),'Price History'!S114=0),"",'Price History'!S115/'Price History'!S114-1),"")</f>
        <v>-0.00406369215458613</v>
      </c>
      <c r="T114" s="142" t="n">
        <f aca="false">IFERROR(IF(OR(NOT(ISNUMBER('Price History'!T115)),NOT(ISNUMBER('Price History'!T114)),'Price History'!T114=0),"",'Price History'!T115/'Price History'!T114-1),"")</f>
        <v>0.00344462109167987</v>
      </c>
      <c r="U114" s="142" t="str">
        <f aca="false">IFERROR(IF(OR(NOT(ISNUMBER('Price History'!U115)),NOT(ISNUMBER('Price History'!U114)),'Price History'!U114=0),"",'Price History'!U115/'Price History'!U114-1),"")</f>
        <v/>
      </c>
      <c r="V114" s="143" t="n">
        <f aca="false">IFERROR(IF(OR(NOT(ISNUMBER('Price History'!V115)),NOT(ISNUMBER('Price History'!V114)),'Price History'!V114=0),"",'Price History'!V115/'Price History'!V114-1),"")</f>
        <v>0.0369595745316562</v>
      </c>
      <c r="W114" s="144" t="str">
        <f aca="false">IFERROR('Price History'!B3+(INDEX('Price History'!B:B,MATCH(9.99E+307,'Price History'!$A:$A))-'Price History'!B3)*(ROW()-3)/(MATCH(9.99E+307,'Returns (Calc)'!$A:$A)-3),"")</f>
        <v/>
      </c>
      <c r="X114" s="144" t="n">
        <f aca="false">IFERROR('Price History'!C3+(INDEX('Price History'!C:C,MATCH(9.99E+307,'Price History'!$A:$A))-'Price History'!C3)*(ROW()-3)/(MATCH(9.99E+307,'Returns (Calc)'!$A:$A)-3),"")</f>
        <v>13.7370886075949</v>
      </c>
      <c r="Y114" s="144" t="n">
        <f aca="false">IFERROR('Price History'!D3+(INDEX('Price History'!D:D,MATCH(9.99E+307,'Price History'!$A:$A))-'Price History'!D3)*(ROW()-3)/(MATCH(9.99E+307,'Returns (Calc)'!$A:$A)-3),"")</f>
        <v>173.129556962025</v>
      </c>
      <c r="Z114" s="144" t="n">
        <f aca="false">IFERROR('Price History'!E3+(INDEX('Price History'!E:E,MATCH(9.99E+307,'Price History'!$A:$A))-'Price History'!E3)*(ROW()-3)/(MATCH(9.99E+307,'Returns (Calc)'!$A:$A)-3),"")</f>
        <v>24.3924050632911</v>
      </c>
      <c r="AA114" s="144" t="n">
        <f aca="false">IFERROR('Price History'!F3+(INDEX('Price History'!F:F,MATCH(9.99E+307,'Price History'!$A:$A))-'Price History'!F3)*(ROW()-3)/(MATCH(9.99E+307,'Returns (Calc)'!$A:$A)-3),"")</f>
        <v>22.4023417721519</v>
      </c>
      <c r="AB114" s="144" t="n">
        <f aca="false">IFERROR('Price History'!G3+(INDEX('Price History'!G:G,MATCH(9.99E+307,'Price History'!$A:$A))-'Price History'!G3)*(ROW()-3)/(MATCH(9.99E+307,'Returns (Calc)'!$A:$A)-3),"")</f>
        <v>12.3032911392405</v>
      </c>
      <c r="AC114" s="144" t="n">
        <f aca="false">IFERROR('Price History'!H3+(INDEX('Price History'!H:H,MATCH(9.99E+307,'Price History'!$A:$A))-'Price History'!H3)*(ROW()-3)/(MATCH(9.99E+307,'Returns (Calc)'!$A:$A)-3),"")</f>
        <v>29.9223417721519</v>
      </c>
      <c r="AD114" s="144" t="n">
        <f aca="false">IFERROR('Price History'!I3+(INDEX('Price History'!I:I,MATCH(9.99E+307,'Price History'!$A:$A))-'Price History'!I3)*(ROW()-3)/(MATCH(9.99E+307,'Returns (Calc)'!$A:$A)-3),"")</f>
        <v>13.1927215189873</v>
      </c>
      <c r="AE114" s="144" t="n">
        <f aca="false">IFERROR('Price History'!J3+(INDEX('Price History'!J:J,MATCH(9.99E+307,'Price History'!$A:$A))-'Price History'!J3)*(ROW()-3)/(MATCH(9.99E+307,'Returns (Calc)'!$A:$A)-3),"")</f>
        <v>20.5580379746835</v>
      </c>
      <c r="AF114" s="144" t="n">
        <f aca="false">IFERROR('Price History'!K3+(INDEX('Price History'!K:K,MATCH(9.99E+307,'Price History'!$A:$A))-'Price History'!K3)*(ROW()-3)/(MATCH(9.99E+307,'Returns (Calc)'!$A:$A)-3),"")</f>
        <v>13.0201898734177</v>
      </c>
      <c r="AG114" s="144" t="n">
        <f aca="false">IFERROR('Price History'!L3+(INDEX('Price History'!L:L,MATCH(9.99E+307,'Price History'!$A:$A))-'Price History'!L3)*(ROW()-3)/(MATCH(9.99E+307,'Returns (Calc)'!$A:$A)-3),"")</f>
        <v>33.2688607594937</v>
      </c>
      <c r="AH114" s="144" t="n">
        <f aca="false">IFERROR('Price History'!M3+(INDEX('Price History'!M:M,MATCH(9.99E+307,'Price History'!$A:$A))-'Price History'!M3)*(ROW()-3)/(MATCH(9.99E+307,'Returns (Calc)'!$A:$A)-3),"")</f>
        <v>4.56018987341772</v>
      </c>
      <c r="AI114" s="144" t="n">
        <f aca="false">IFERROR('Price History'!N3+(INDEX('Price History'!N:N,MATCH(9.99E+307,'Price History'!$A:$A))-'Price History'!N3)*(ROW()-3)/(MATCH(9.99E+307,'Returns (Calc)'!$A:$A)-3),"")</f>
        <v>6.48481012658228</v>
      </c>
      <c r="AJ114" s="144" t="n">
        <f aca="false">IFERROR('Price History'!O3+(INDEX('Price History'!O:O,MATCH(9.99E+307,'Price History'!$A:$A))-'Price History'!O3)*(ROW()-3)/(MATCH(9.99E+307,'Returns (Calc)'!$A:$A)-3),"")</f>
        <v>17.1431012658228</v>
      </c>
      <c r="AK114" s="144" t="n">
        <f aca="false">IFERROR('Price History'!Q3+(INDEX('Price History'!Q:Q,MATCH(9.99E+307,'Price History'!$A:$A))-'Price History'!Q3)*(ROW()-3)/(MATCH(9.99E+307,'Returns (Calc)'!$A:$A)-3),"")</f>
        <v>70.0924683544304</v>
      </c>
      <c r="AL114" s="144" t="n">
        <f aca="false">IFERROR('Price History'!R3+(INDEX('Price History'!R:R,MATCH(9.99E+307,'Price History'!$A:$A))-'Price History'!R3)*(ROW()-3)/(MATCH(9.99E+307,'Returns (Calc)'!$A:$A)-3),"")</f>
        <v>14.2249367088608</v>
      </c>
      <c r="AM114" s="144" t="n">
        <f aca="false">IFERROR('Price History'!S3+(INDEX('Price History'!S:S,MATCH(9.99E+307,'Price History'!$A:$A))-'Price History'!S3)*(ROW()-3)/(MATCH(9.99E+307,'Returns (Calc)'!$A:$A)-3),"")</f>
        <v>17.4137974683544</v>
      </c>
      <c r="AN114" s="144" t="n">
        <f aca="false">IFERROR('Price History'!T3+(INDEX('Price History'!T:T,MATCH(9.99E+307,'Price History'!$A:$A))-'Price History'!T3)*(ROW()-3)/(MATCH(9.99E+307,'Returns (Calc)'!$A:$A)-3),"")</f>
        <v>8.00487341772152</v>
      </c>
      <c r="AO114" s="145" t="n">
        <f aca="false">IFERROR('Price History'!V3+(INDEX('Price History'!V:V,MATCH(9.99E+307,'Price History'!$A:$A))-'Price History'!V3)*(ROW()-3)/(MATCH(9.99E+307,'Returns (Calc)'!$A:$A)-3),"")</f>
        <v>0</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-0.00145137880986934</v>
      </c>
      <c r="G115" s="142" t="n">
        <f aca="false">IFERROR(IF(OR(NOT(ISNUMBER('Price History'!G116)),NOT(ISNUMBER('Price History'!G115)),'Price History'!G115=0),"",'Price History'!G116/'Price History'!G115-1),"")</f>
        <v>-0.00414968506854396</v>
      </c>
      <c r="H115" s="142" t="n">
        <f aca="false">IFERROR(IF(OR(NOT(ISNUMBER('Price History'!H116)),NOT(ISNUMBER('Price History'!H115)),'Price History'!H115=0),"",'Price History'!H116/'Price History'!H115-1),"")</f>
        <v>0.00310214934633302</v>
      </c>
      <c r="I115" s="142" t="n">
        <f aca="false">IFERROR(IF(OR(NOT(ISNUMBER('Price History'!I116)),NOT(ISNUMBER('Price History'!I115)),'Price History'!I115=0),"",'Price History'!I116/'Price History'!I115-1),"")</f>
        <v>-0.0495366470092672</v>
      </c>
      <c r="J115" s="142" t="n">
        <f aca="false">IFERROR(IF(OR(NOT(ISNUMBER('Price History'!J116)),NOT(ISNUMBER('Price History'!J115)),'Price History'!J115=0),"",'Price History'!J116/'Price History'!J115-1),"")</f>
        <v>0.0374437292271446</v>
      </c>
      <c r="K115" s="142" t="n">
        <f aca="false">IFERROR(IF(OR(NOT(ISNUMBER('Price History'!K116)),NOT(ISNUMBER('Price History'!K115)),'Price History'!K115=0),"",'Price History'!K116/'Price History'!K115-1),"")</f>
        <v>0.0107618540223762</v>
      </c>
      <c r="L115" s="142" t="n">
        <f aca="false">IFERROR(IF(OR(NOT(ISNUMBER('Price History'!L116)),NOT(ISNUMBER('Price History'!L115)),'Price History'!L115=0),"",'Price History'!L116/'Price History'!L115-1),"")</f>
        <v>-0.0220890129742157</v>
      </c>
      <c r="M115" s="142" t="n">
        <f aca="false">IFERROR(IF(OR(NOT(ISNUMBER('Price History'!M116)),NOT(ISNUMBER('Price History'!M115)),'Price History'!M115=0),"",'Price History'!M116/'Price History'!M115-1),"")</f>
        <v>-0.0220311358399371</v>
      </c>
      <c r="N115" s="142" t="n">
        <f aca="false">IFERROR(IF(OR(NOT(ISNUMBER('Price History'!N116)),NOT(ISNUMBER('Price History'!N115)),'Price History'!N115=0),"",'Price History'!N116/'Price History'!N115-1),"")</f>
        <v>0.0197597830298335</v>
      </c>
      <c r="O115" s="142" t="n">
        <f aca="false">IFERROR(IF(OR(NOT(ISNUMBER('Price History'!O116)),NOT(ISNUMBER('Price History'!O115)),'Price History'!O115=0),"",'Price History'!O116/'Price History'!O115-1),"")</f>
        <v>-0.00595541943168287</v>
      </c>
      <c r="P115" s="142" t="n">
        <f aca="false">IFERROR(IF(OR(NOT(ISNUMBER('Price History'!P116)),NOT(ISNUMBER('Price History'!P115)),'Price History'!P115=0),"",'Price History'!P116/'Price History'!P115-1),"")</f>
        <v>-0.0058553791887126</v>
      </c>
      <c r="Q115" s="142" t="n">
        <f aca="false">IFERROR(IF(OR(NOT(ISNUMBER('Price History'!Q116)),NOT(ISNUMBER('Price History'!Q115)),'Price History'!Q115=0),"",'Price History'!Q116/'Price History'!Q115-1),"")</f>
        <v>-0.0158992050397481</v>
      </c>
      <c r="R115" s="142" t="n">
        <f aca="false">IFERROR(IF(OR(NOT(ISNUMBER('Price History'!R116)),NOT(ISNUMBER('Price History'!R115)),'Price History'!R115=0),"",'Price History'!R116/'Price History'!R115-1),"")</f>
        <v>-0.0165851955307264</v>
      </c>
      <c r="S115" s="142" t="n">
        <f aca="false">IFERROR(IF(OR(NOT(ISNUMBER('Price History'!S116)),NOT(ISNUMBER('Price History'!S115)),'Price History'!S115=0),"",'Price History'!S116/'Price History'!S115-1),"")</f>
        <v>-0.0132400699475393</v>
      </c>
      <c r="T115" s="142" t="n">
        <f aca="false">IFERROR(IF(OR(NOT(ISNUMBER('Price History'!T116)),NOT(ISNUMBER('Price History'!T115)),'Price History'!T115=0),"",'Price History'!T116/'Price History'!T115-1),"")</f>
        <v>-0.0340639028254555</v>
      </c>
      <c r="U115" s="142" t="str">
        <f aca="false">IFERROR(IF(OR(NOT(ISNUMBER('Price History'!U116)),NOT(ISNUMBER('Price History'!U115)),'Price History'!U115=0),"",'Price History'!U116/'Price History'!U115-1),"")</f>
        <v/>
      </c>
      <c r="V115" s="143" t="n">
        <f aca="false">IFERROR(IF(OR(NOT(ISNUMBER('Price History'!V116)),NOT(ISNUMBER('Price History'!V115)),'Price History'!V115=0),"",'Price History'!V116/'Price History'!V115-1),"")</f>
        <v>-0.0176914654526594</v>
      </c>
      <c r="W115" s="144" t="str">
        <f aca="false">IFERROR('Price History'!B3+(INDEX('Price History'!B:B,MATCH(9.99E+307,'Price History'!$A:$A))-'Price History'!B3)*(ROW()-3)/(MATCH(9.99E+307,'Returns (Calc)'!$A:$A)-3),"")</f>
        <v/>
      </c>
      <c r="X115" s="144" t="n">
        <f aca="false">IFERROR('Price History'!C3+(INDEX('Price History'!C:C,MATCH(9.99E+307,'Price History'!$A:$A))-'Price History'!C3)*(ROW()-3)/(MATCH(9.99E+307,'Returns (Calc)'!$A:$A)-3),"")</f>
        <v>13.4448101265823</v>
      </c>
      <c r="Y115" s="144" t="n">
        <f aca="false">IFERROR('Price History'!D3+(INDEX('Price History'!D:D,MATCH(9.99E+307,'Price History'!$A:$A))-'Price History'!D3)*(ROW()-3)/(MATCH(9.99E+307,'Returns (Calc)'!$A:$A)-3),"")</f>
        <v>169.445949367089</v>
      </c>
      <c r="Z115" s="144" t="n">
        <f aca="false">IFERROR('Price History'!E3+(INDEX('Price History'!E:E,MATCH(9.99E+307,'Price History'!$A:$A))-'Price History'!E3)*(ROW()-3)/(MATCH(9.99E+307,'Returns (Calc)'!$A:$A)-3),"")</f>
        <v>23.873417721519</v>
      </c>
      <c r="AA115" s="144" t="n">
        <f aca="false">IFERROR('Price History'!F3+(INDEX('Price History'!F:F,MATCH(9.99E+307,'Price History'!$A:$A))-'Price History'!F3)*(ROW()-3)/(MATCH(9.99E+307,'Returns (Calc)'!$A:$A)-3),"")</f>
        <v>21.9256962025316</v>
      </c>
      <c r="AB115" s="144" t="n">
        <f aca="false">IFERROR('Price History'!G3+(INDEX('Price History'!G:G,MATCH(9.99E+307,'Price History'!$A:$A))-'Price History'!G3)*(ROW()-3)/(MATCH(9.99E+307,'Returns (Calc)'!$A:$A)-3),"")</f>
        <v>12.0415189873418</v>
      </c>
      <c r="AC115" s="144" t="n">
        <f aca="false">IFERROR('Price History'!H3+(INDEX('Price History'!H:H,MATCH(9.99E+307,'Price History'!$A:$A))-'Price History'!H3)*(ROW()-3)/(MATCH(9.99E+307,'Returns (Calc)'!$A:$A)-3),"")</f>
        <v>29.2856962025317</v>
      </c>
      <c r="AD115" s="144" t="n">
        <f aca="false">IFERROR('Price History'!I3+(INDEX('Price History'!I:I,MATCH(9.99E+307,'Price History'!$A:$A))-'Price History'!I3)*(ROW()-3)/(MATCH(9.99E+307,'Returns (Calc)'!$A:$A)-3),"")</f>
        <v>12.9120253164557</v>
      </c>
      <c r="AE115" s="144" t="n">
        <f aca="false">IFERROR('Price History'!J3+(INDEX('Price History'!J:J,MATCH(9.99E+307,'Price History'!$A:$A))-'Price History'!J3)*(ROW()-3)/(MATCH(9.99E+307,'Returns (Calc)'!$A:$A)-3),"")</f>
        <v>20.1206329113924</v>
      </c>
      <c r="AF115" s="144" t="n">
        <f aca="false">IFERROR('Price History'!K3+(INDEX('Price History'!K:K,MATCH(9.99E+307,'Price History'!$A:$A))-'Price History'!K3)*(ROW()-3)/(MATCH(9.99E+307,'Returns (Calc)'!$A:$A)-3),"")</f>
        <v>12.743164556962</v>
      </c>
      <c r="AG115" s="144" t="n">
        <f aca="false">IFERROR('Price History'!L3+(INDEX('Price History'!L:L,MATCH(9.99E+307,'Price History'!$A:$A))-'Price History'!L3)*(ROW()-3)/(MATCH(9.99E+307,'Returns (Calc)'!$A:$A)-3),"")</f>
        <v>32.5610126582279</v>
      </c>
      <c r="AH115" s="144" t="n">
        <f aca="false">IFERROR('Price History'!M3+(INDEX('Price History'!M:M,MATCH(9.99E+307,'Price History'!$A:$A))-'Price History'!M3)*(ROW()-3)/(MATCH(9.99E+307,'Returns (Calc)'!$A:$A)-3),"")</f>
        <v>4.46316455696203</v>
      </c>
      <c r="AI115" s="144" t="n">
        <f aca="false">IFERROR('Price History'!N3+(INDEX('Price History'!N:N,MATCH(9.99E+307,'Price History'!$A:$A))-'Price History'!N3)*(ROW()-3)/(MATCH(9.99E+307,'Returns (Calc)'!$A:$A)-3),"")</f>
        <v>6.34683544303798</v>
      </c>
      <c r="AJ115" s="144" t="n">
        <f aca="false">IFERROR('Price History'!O3+(INDEX('Price History'!O:O,MATCH(9.99E+307,'Price History'!$A:$A))-'Price History'!O3)*(ROW()-3)/(MATCH(9.99E+307,'Returns (Calc)'!$A:$A)-3),"")</f>
        <v>16.7783544303798</v>
      </c>
      <c r="AK115" s="144" t="n">
        <f aca="false">IFERROR('Price History'!Q3+(INDEX('Price History'!Q:Q,MATCH(9.99E+307,'Price History'!$A:$A))-'Price History'!Q3)*(ROW()-3)/(MATCH(9.99E+307,'Returns (Calc)'!$A:$A)-3),"")</f>
        <v>68.6011392405063</v>
      </c>
      <c r="AL115" s="144" t="n">
        <f aca="false">IFERROR('Price History'!R3+(INDEX('Price History'!R:R,MATCH(9.99E+307,'Price History'!$A:$A))-'Price History'!R3)*(ROW()-3)/(MATCH(9.99E+307,'Returns (Calc)'!$A:$A)-3),"")</f>
        <v>13.9222784810127</v>
      </c>
      <c r="AM115" s="144" t="n">
        <f aca="false">IFERROR('Price History'!S3+(INDEX('Price History'!S:S,MATCH(9.99E+307,'Price History'!$A:$A))-'Price History'!S3)*(ROW()-3)/(MATCH(9.99E+307,'Returns (Calc)'!$A:$A)-3),"")</f>
        <v>17.0432911392405</v>
      </c>
      <c r="AN115" s="144" t="n">
        <f aca="false">IFERROR('Price History'!T3+(INDEX('Price History'!T:T,MATCH(9.99E+307,'Price History'!$A:$A))-'Price History'!T3)*(ROW()-3)/(MATCH(9.99E+307,'Returns (Calc)'!$A:$A)-3),"")</f>
        <v>7.83455696202532</v>
      </c>
      <c r="AO115" s="145" t="n">
        <f aca="false">IFERROR('Price History'!V3+(INDEX('Price History'!V:V,MATCH(9.99E+307,'Price History'!$A:$A))-'Price History'!V3)*(ROW()-3)/(MATCH(9.99E+307,'Returns (Calc)'!$A:$A)-3),"")</f>
        <v>0</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-0.00778654485049835</v>
      </c>
      <c r="G116" s="142" t="n">
        <f aca="false">IFERROR(IF(OR(NOT(ISNUMBER('Price History'!G117)),NOT(ISNUMBER('Price History'!G116)),'Price History'!G116=0),"",'Price History'!G117/'Price History'!G116-1),"")</f>
        <v>-0.0872088697075675</v>
      </c>
      <c r="H116" s="142" t="n">
        <f aca="false">IFERROR(IF(OR(NOT(ISNUMBER('Price History'!H117)),NOT(ISNUMBER('Price History'!H116)),'Price History'!H116=0),"",'Price History'!H117/'Price History'!H116-1),"")</f>
        <v>-0.00493336278624557</v>
      </c>
      <c r="I116" s="142" t="n">
        <f aca="false">IFERROR(IF(OR(NOT(ISNUMBER('Price History'!I117)),NOT(ISNUMBER('Price History'!I116)),'Price History'!I116=0),"",'Price History'!I117/'Price History'!I116-1),"")</f>
        <v>-0.0311115050522957</v>
      </c>
      <c r="J116" s="142" t="n">
        <f aca="false">IFERROR(IF(OR(NOT(ISNUMBER('Price History'!J117)),NOT(ISNUMBER('Price History'!J116)),'Price History'!J116=0),"",'Price History'!J117/'Price History'!J116-1),"")</f>
        <v>-0.159860497181556</v>
      </c>
      <c r="K116" s="142" t="n">
        <f aca="false">IFERROR(IF(OR(NOT(ISNUMBER('Price History'!K117)),NOT(ISNUMBER('Price History'!K116)),'Price History'!K116=0),"",'Price History'!K117/'Price History'!K116-1),"")</f>
        <v>-0.0594033312249631</v>
      </c>
      <c r="L116" s="142" t="n">
        <f aca="false">IFERROR(IF(OR(NOT(ISNUMBER('Price History'!L117)),NOT(ISNUMBER('Price History'!L116)),'Price History'!L116=0),"",'Price History'!L117/'Price History'!L116-1),"")</f>
        <v>0.0240994206062641</v>
      </c>
      <c r="M116" s="142" t="n">
        <f aca="false">IFERROR(IF(OR(NOT(ISNUMBER('Price History'!M117)),NOT(ISNUMBER('Price History'!M116)),'Price History'!M116=0),"",'Price History'!M117/'Price History'!M116-1),"")</f>
        <v>-0.110108614447446</v>
      </c>
      <c r="N116" s="142" t="n">
        <f aca="false">IFERROR(IF(OR(NOT(ISNUMBER('Price History'!N117)),NOT(ISNUMBER('Price History'!N116)),'Price History'!N116=0),"",'Price History'!N117/'Price History'!N116-1),"")</f>
        <v>-0.00531914893617025</v>
      </c>
      <c r="O116" s="142" t="n">
        <f aca="false">IFERROR(IF(OR(NOT(ISNUMBER('Price History'!O117)),NOT(ISNUMBER('Price History'!O116)),'Price History'!O116=0),"",'Price History'!O117/'Price History'!O116-1),"")</f>
        <v>-0.029955494693598</v>
      </c>
      <c r="P116" s="142" t="n">
        <f aca="false">IFERROR(IF(OR(NOT(ISNUMBER('Price History'!P117)),NOT(ISNUMBER('Price History'!P116)),'Price History'!P116=0),"",'Price History'!P117/'Price History'!P116-1),"")</f>
        <v>-0.0342747658245812</v>
      </c>
      <c r="Q116" s="142" t="n">
        <f aca="false">IFERROR(IF(OR(NOT(ISNUMBER('Price History'!Q117)),NOT(ISNUMBER('Price History'!Q116)),'Price History'!Q116=0),"",'Price History'!Q117/'Price History'!Q116-1),"")</f>
        <v>-0.00618808108520053</v>
      </c>
      <c r="R116" s="142" t="n">
        <f aca="false">IFERROR(IF(OR(NOT(ISNUMBER('Price History'!R117)),NOT(ISNUMBER('Price History'!R116)),'Price History'!R116=0),"",'Price History'!R117/'Price History'!R116-1),"")</f>
        <v>0.0204154091958104</v>
      </c>
      <c r="S116" s="142" t="n">
        <f aca="false">IFERROR(IF(OR(NOT(ISNUMBER('Price History'!S117)),NOT(ISNUMBER('Price History'!S116)),'Price History'!S116=0),"",'Price History'!S117/'Price History'!S116-1),"")</f>
        <v>0.0162025316455696</v>
      </c>
      <c r="T116" s="142" t="n">
        <f aca="false">IFERROR(IF(OR(NOT(ISNUMBER('Price History'!T117)),NOT(ISNUMBER('Price History'!T116)),'Price History'!T116=0),"",'Price History'!T117/'Price History'!T116-1),"")</f>
        <v>0.0139420448332424</v>
      </c>
      <c r="U116" s="142" t="str">
        <f aca="false">IFERROR(IF(OR(NOT(ISNUMBER('Price History'!U117)),NOT(ISNUMBER('Price History'!U116)),'Price History'!U116=0),"",'Price History'!U117/'Price History'!U116-1),"")</f>
        <v/>
      </c>
      <c r="V116" s="143" t="n">
        <f aca="false">IFERROR(IF(OR(NOT(ISNUMBER('Price History'!V117)),NOT(ISNUMBER('Price History'!V116)),'Price History'!V116=0),"",'Price History'!V117/'Price History'!V116-1),"")</f>
        <v>-0.00510383667722636</v>
      </c>
      <c r="W116" s="144" t="str">
        <f aca="false">IFERROR('Price History'!B3+(INDEX('Price History'!B:B,MATCH(9.99E+307,'Price History'!$A:$A))-'Price History'!B3)*(ROW()-3)/(MATCH(9.99E+307,'Returns (Calc)'!$A:$A)-3),"")</f>
        <v/>
      </c>
      <c r="X116" s="144" t="n">
        <f aca="false">IFERROR('Price History'!C3+(INDEX('Price History'!C:C,MATCH(9.99E+307,'Price History'!$A:$A))-'Price History'!C3)*(ROW()-3)/(MATCH(9.99E+307,'Returns (Calc)'!$A:$A)-3),"")</f>
        <v>13.1525316455696</v>
      </c>
      <c r="Y116" s="144" t="n">
        <f aca="false">IFERROR('Price History'!D3+(INDEX('Price History'!D:D,MATCH(9.99E+307,'Price History'!$A:$A))-'Price History'!D3)*(ROW()-3)/(MATCH(9.99E+307,'Returns (Calc)'!$A:$A)-3),"")</f>
        <v>165.762341772152</v>
      </c>
      <c r="Z116" s="144" t="n">
        <f aca="false">IFERROR('Price History'!E3+(INDEX('Price History'!E:E,MATCH(9.99E+307,'Price History'!$A:$A))-'Price History'!E3)*(ROW()-3)/(MATCH(9.99E+307,'Returns (Calc)'!$A:$A)-3),"")</f>
        <v>23.3544303797468</v>
      </c>
      <c r="AA116" s="144" t="n">
        <f aca="false">IFERROR('Price History'!F3+(INDEX('Price History'!F:F,MATCH(9.99E+307,'Price History'!$A:$A))-'Price History'!F3)*(ROW()-3)/(MATCH(9.99E+307,'Returns (Calc)'!$A:$A)-3),"")</f>
        <v>21.4490506329114</v>
      </c>
      <c r="AB116" s="144" t="n">
        <f aca="false">IFERROR('Price History'!G3+(INDEX('Price History'!G:G,MATCH(9.99E+307,'Price History'!$A:$A))-'Price History'!G3)*(ROW()-3)/(MATCH(9.99E+307,'Returns (Calc)'!$A:$A)-3),"")</f>
        <v>11.779746835443</v>
      </c>
      <c r="AC116" s="144" t="n">
        <f aca="false">IFERROR('Price History'!H3+(INDEX('Price History'!H:H,MATCH(9.99E+307,'Price History'!$A:$A))-'Price History'!H3)*(ROW()-3)/(MATCH(9.99E+307,'Returns (Calc)'!$A:$A)-3),"")</f>
        <v>28.6490506329114</v>
      </c>
      <c r="AD116" s="144" t="n">
        <f aca="false">IFERROR('Price History'!I3+(INDEX('Price History'!I:I,MATCH(9.99E+307,'Price History'!$A:$A))-'Price History'!I3)*(ROW()-3)/(MATCH(9.99E+307,'Returns (Calc)'!$A:$A)-3),"")</f>
        <v>12.6313291139241</v>
      </c>
      <c r="AE116" s="144" t="n">
        <f aca="false">IFERROR('Price History'!J3+(INDEX('Price History'!J:J,MATCH(9.99E+307,'Price History'!$A:$A))-'Price History'!J3)*(ROW()-3)/(MATCH(9.99E+307,'Returns (Calc)'!$A:$A)-3),"")</f>
        <v>19.6832278481013</v>
      </c>
      <c r="AF116" s="144" t="n">
        <f aca="false">IFERROR('Price History'!K3+(INDEX('Price History'!K:K,MATCH(9.99E+307,'Price History'!$A:$A))-'Price History'!K3)*(ROW()-3)/(MATCH(9.99E+307,'Returns (Calc)'!$A:$A)-3),"")</f>
        <v>12.4661392405063</v>
      </c>
      <c r="AG116" s="144" t="n">
        <f aca="false">IFERROR('Price History'!L3+(INDEX('Price History'!L:L,MATCH(9.99E+307,'Price History'!$A:$A))-'Price History'!L3)*(ROW()-3)/(MATCH(9.99E+307,'Returns (Calc)'!$A:$A)-3),"")</f>
        <v>31.853164556962</v>
      </c>
      <c r="AH116" s="144" t="n">
        <f aca="false">IFERROR('Price History'!M3+(INDEX('Price History'!M:M,MATCH(9.99E+307,'Price History'!$A:$A))-'Price History'!M3)*(ROW()-3)/(MATCH(9.99E+307,'Returns (Calc)'!$A:$A)-3),"")</f>
        <v>4.36613924050633</v>
      </c>
      <c r="AI116" s="144" t="n">
        <f aca="false">IFERROR('Price History'!N3+(INDEX('Price History'!N:N,MATCH(9.99E+307,'Price History'!$A:$A))-'Price History'!N3)*(ROW()-3)/(MATCH(9.99E+307,'Returns (Calc)'!$A:$A)-3),"")</f>
        <v>6.20886075949367</v>
      </c>
      <c r="AJ116" s="144" t="n">
        <f aca="false">IFERROR('Price History'!O3+(INDEX('Price History'!O:O,MATCH(9.99E+307,'Price History'!$A:$A))-'Price History'!O3)*(ROW()-3)/(MATCH(9.99E+307,'Returns (Calc)'!$A:$A)-3),"")</f>
        <v>16.4136075949367</v>
      </c>
      <c r="AK116" s="144" t="n">
        <f aca="false">IFERROR('Price History'!Q3+(INDEX('Price History'!Q:Q,MATCH(9.99E+307,'Price History'!$A:$A))-'Price History'!Q3)*(ROW()-3)/(MATCH(9.99E+307,'Returns (Calc)'!$A:$A)-3),"")</f>
        <v>67.1098101265823</v>
      </c>
      <c r="AL116" s="144" t="n">
        <f aca="false">IFERROR('Price History'!R3+(INDEX('Price History'!R:R,MATCH(9.99E+307,'Price History'!$A:$A))-'Price History'!R3)*(ROW()-3)/(MATCH(9.99E+307,'Returns (Calc)'!$A:$A)-3),"")</f>
        <v>13.6196202531646</v>
      </c>
      <c r="AM116" s="144" t="n">
        <f aca="false">IFERROR('Price History'!S3+(INDEX('Price History'!S:S,MATCH(9.99E+307,'Price History'!$A:$A))-'Price History'!S3)*(ROW()-3)/(MATCH(9.99E+307,'Returns (Calc)'!$A:$A)-3),"")</f>
        <v>16.6727848101266</v>
      </c>
      <c r="AN116" s="144" t="n">
        <f aca="false">IFERROR('Price History'!T3+(INDEX('Price History'!T:T,MATCH(9.99E+307,'Price History'!$A:$A))-'Price History'!T3)*(ROW()-3)/(MATCH(9.99E+307,'Returns (Calc)'!$A:$A)-3),"")</f>
        <v>7.66424050632912</v>
      </c>
      <c r="AO116" s="145" t="n">
        <f aca="false">IFERROR('Price History'!V3+(INDEX('Price History'!V:V,MATCH(9.99E+307,'Price History'!$A:$A))-'Price History'!V3)*(ROW()-3)/(MATCH(9.99E+307,'Returns (Calc)'!$A:$A)-3),"")</f>
        <v>0</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0.0443653866276028</v>
      </c>
      <c r="G117" s="142" t="n">
        <f aca="false">IFERROR(IF(OR(NOT(ISNUMBER('Price History'!G118)),NOT(ISNUMBER('Price History'!G117)),'Price History'!G117=0),"",'Price History'!G118/'Price History'!G117-1),"")</f>
        <v>0.0376620200538029</v>
      </c>
      <c r="H117" s="142" t="n">
        <f aca="false">IFERROR(IF(OR(NOT(ISNUMBER('Price History'!H118)),NOT(ISNUMBER('Price History'!H117)),'Price History'!H117=0),"",'Price History'!H118/'Price History'!H117-1),"")</f>
        <v>0.0257510729613735</v>
      </c>
      <c r="I117" s="142" t="n">
        <f aca="false">IFERROR(IF(OR(NOT(ISNUMBER('Price History'!I118)),NOT(ISNUMBER('Price History'!I117)),'Price History'!I117=0),"",'Price History'!I118/'Price History'!I117-1),"")</f>
        <v>0.0713566919769462</v>
      </c>
      <c r="J117" s="142" t="n">
        <f aca="false">IFERROR(IF(OR(NOT(ISNUMBER('Price History'!J118)),NOT(ISNUMBER('Price History'!J117)),'Price History'!J117=0),"",'Price History'!J118/'Price History'!J117-1),"")</f>
        <v>0.140367813872665</v>
      </c>
      <c r="K117" s="142" t="n">
        <f aca="false">IFERROR(IF(OR(NOT(ISNUMBER('Price History'!K118)),NOT(ISNUMBER('Price History'!K117)),'Price History'!K117=0),"",'Price History'!K118/'Price History'!K117-1),"")</f>
        <v>-0.0104791258055477</v>
      </c>
      <c r="L117" s="142" t="n">
        <f aca="false">IFERROR(IF(OR(NOT(ISNUMBER('Price History'!L118)),NOT(ISNUMBER('Price History'!L117)),'Price History'!L117=0),"",'Price History'!L118/'Price History'!L117-1),"")</f>
        <v>0.0218104296490653</v>
      </c>
      <c r="M117" s="142" t="n">
        <f aca="false">IFERROR(IF(OR(NOT(ISNUMBER('Price History'!M118)),NOT(ISNUMBER('Price History'!M117)),'Price History'!M117=0),"",'Price History'!M118/'Price History'!M117-1),"")</f>
        <v>0.0878269292864062</v>
      </c>
      <c r="N117" s="142" t="n">
        <f aca="false">IFERROR(IF(OR(NOT(ISNUMBER('Price History'!N118)),NOT(ISNUMBER('Price History'!N117)),'Price History'!N117=0),"",'Price History'!N118/'Price History'!N117-1),"")</f>
        <v>0.0183346065699006</v>
      </c>
      <c r="O117" s="142" t="n">
        <f aca="false">IFERROR(IF(OR(NOT(ISNUMBER('Price History'!O118)),NOT(ISNUMBER('Price History'!O117)),'Price History'!O117=0),"",'Price History'!O118/'Price History'!O117-1),"")</f>
        <v>0.0509087700723487</v>
      </c>
      <c r="P117" s="142" t="n">
        <f aca="false">IFERROR(IF(OR(NOT(ISNUMBER('Price History'!P118)),NOT(ISNUMBER('Price History'!P117)),'Price History'!P117=0),"",'Price History'!P118/'Price History'!P117-1),"")</f>
        <v>0.059813358806672</v>
      </c>
      <c r="Q117" s="142" t="n">
        <f aca="false">IFERROR(IF(OR(NOT(ISNUMBER('Price History'!Q118)),NOT(ISNUMBER('Price History'!Q117)),'Price History'!Q117=0),"",'Price History'!Q118/'Price History'!Q117-1),"")</f>
        <v>0.0196920434329182</v>
      </c>
      <c r="R117" s="142" t="n">
        <f aca="false">IFERROR(IF(OR(NOT(ISNUMBER('Price History'!R118)),NOT(ISNUMBER('Price History'!R117)),'Price History'!R117=0),"",'Price History'!R118/'Price History'!R117-1),"")</f>
        <v>0.0186151704940849</v>
      </c>
      <c r="S117" s="142" t="n">
        <f aca="false">IFERROR(IF(OR(NOT(ISNUMBER('Price History'!S118)),NOT(ISNUMBER('Price History'!S117)),'Price History'!S117=0),"",'Price History'!S118/'Price History'!S117-1),"")</f>
        <v>0.0107125062282012</v>
      </c>
      <c r="T117" s="142" t="n">
        <f aca="false">IFERROR(IF(OR(NOT(ISNUMBER('Price History'!T118)),NOT(ISNUMBER('Price History'!T117)),'Price History'!T117=0),"",'Price History'!T118/'Price History'!T117-1),"")</f>
        <v>0.0261526017794553</v>
      </c>
      <c r="U117" s="142" t="str">
        <f aca="false">IFERROR(IF(OR(NOT(ISNUMBER('Price History'!U118)),NOT(ISNUMBER('Price History'!U117)),'Price History'!U117=0),"",'Price History'!U118/'Price History'!U117-1),"")</f>
        <v/>
      </c>
      <c r="V117" s="143" t="n">
        <f aca="false">IFERROR(IF(OR(NOT(ISNUMBER('Price History'!V118)),NOT(ISNUMBER('Price History'!V117)),'Price History'!V117=0),"",'Price History'!V118/'Price History'!V117-1),"")</f>
        <v>0.0160386815260334</v>
      </c>
      <c r="W117" s="144" t="str">
        <f aca="false">IFERROR('Price History'!B3+(INDEX('Price History'!B:B,MATCH(9.99E+307,'Price History'!$A:$A))-'Price History'!B3)*(ROW()-3)/(MATCH(9.99E+307,'Returns (Calc)'!$A:$A)-3),"")</f>
        <v/>
      </c>
      <c r="X117" s="144" t="n">
        <f aca="false">IFERROR('Price History'!C3+(INDEX('Price History'!C:C,MATCH(9.99E+307,'Price History'!$A:$A))-'Price History'!C3)*(ROW()-3)/(MATCH(9.99E+307,'Returns (Calc)'!$A:$A)-3),"")</f>
        <v>12.860253164557</v>
      </c>
      <c r="Y117" s="144" t="n">
        <f aca="false">IFERROR('Price History'!D3+(INDEX('Price History'!D:D,MATCH(9.99E+307,'Price History'!$A:$A))-'Price History'!D3)*(ROW()-3)/(MATCH(9.99E+307,'Returns (Calc)'!$A:$A)-3),"")</f>
        <v>162.078734177215</v>
      </c>
      <c r="Z117" s="144" t="n">
        <f aca="false">IFERROR('Price History'!E3+(INDEX('Price History'!E:E,MATCH(9.99E+307,'Price History'!$A:$A))-'Price History'!E3)*(ROW()-3)/(MATCH(9.99E+307,'Returns (Calc)'!$A:$A)-3),"")</f>
        <v>22.8354430379747</v>
      </c>
      <c r="AA117" s="144" t="n">
        <f aca="false">IFERROR('Price History'!F3+(INDEX('Price History'!F:F,MATCH(9.99E+307,'Price History'!$A:$A))-'Price History'!F3)*(ROW()-3)/(MATCH(9.99E+307,'Returns (Calc)'!$A:$A)-3),"")</f>
        <v>20.9724050632911</v>
      </c>
      <c r="AB117" s="144" t="n">
        <f aca="false">IFERROR('Price History'!G3+(INDEX('Price History'!G:G,MATCH(9.99E+307,'Price History'!$A:$A))-'Price History'!G3)*(ROW()-3)/(MATCH(9.99E+307,'Returns (Calc)'!$A:$A)-3),"")</f>
        <v>11.5179746835443</v>
      </c>
      <c r="AC117" s="144" t="n">
        <f aca="false">IFERROR('Price History'!H3+(INDEX('Price History'!H:H,MATCH(9.99E+307,'Price History'!$A:$A))-'Price History'!H3)*(ROW()-3)/(MATCH(9.99E+307,'Returns (Calc)'!$A:$A)-3),"")</f>
        <v>28.0124050632911</v>
      </c>
      <c r="AD117" s="144" t="n">
        <f aca="false">IFERROR('Price History'!I3+(INDEX('Price History'!I:I,MATCH(9.99E+307,'Price History'!$A:$A))-'Price History'!I3)*(ROW()-3)/(MATCH(9.99E+307,'Returns (Calc)'!$A:$A)-3),"")</f>
        <v>12.3506329113924</v>
      </c>
      <c r="AE117" s="144" t="n">
        <f aca="false">IFERROR('Price History'!J3+(INDEX('Price History'!J:J,MATCH(9.99E+307,'Price History'!$A:$A))-'Price History'!J3)*(ROW()-3)/(MATCH(9.99E+307,'Returns (Calc)'!$A:$A)-3),"")</f>
        <v>19.2458227848101</v>
      </c>
      <c r="AF117" s="144" t="n">
        <f aca="false">IFERROR('Price History'!K3+(INDEX('Price History'!K:K,MATCH(9.99E+307,'Price History'!$A:$A))-'Price History'!K3)*(ROW()-3)/(MATCH(9.99E+307,'Returns (Calc)'!$A:$A)-3),"")</f>
        <v>12.1891139240506</v>
      </c>
      <c r="AG117" s="144" t="n">
        <f aca="false">IFERROR('Price History'!L3+(INDEX('Price History'!L:L,MATCH(9.99E+307,'Price History'!$A:$A))-'Price History'!L3)*(ROW()-3)/(MATCH(9.99E+307,'Returns (Calc)'!$A:$A)-3),"")</f>
        <v>31.1453164556962</v>
      </c>
      <c r="AH117" s="144" t="n">
        <f aca="false">IFERROR('Price History'!M3+(INDEX('Price History'!M:M,MATCH(9.99E+307,'Price History'!$A:$A))-'Price History'!M3)*(ROW()-3)/(MATCH(9.99E+307,'Returns (Calc)'!$A:$A)-3),"")</f>
        <v>4.26911392405063</v>
      </c>
      <c r="AI117" s="144" t="n">
        <f aca="false">IFERROR('Price History'!N3+(INDEX('Price History'!N:N,MATCH(9.99E+307,'Price History'!$A:$A))-'Price History'!N3)*(ROW()-3)/(MATCH(9.99E+307,'Returns (Calc)'!$A:$A)-3),"")</f>
        <v>6.07088607594937</v>
      </c>
      <c r="AJ117" s="144" t="n">
        <f aca="false">IFERROR('Price History'!O3+(INDEX('Price History'!O:O,MATCH(9.99E+307,'Price History'!$A:$A))-'Price History'!O3)*(ROW()-3)/(MATCH(9.99E+307,'Returns (Calc)'!$A:$A)-3),"")</f>
        <v>16.0488607594937</v>
      </c>
      <c r="AK117" s="144" t="n">
        <f aca="false">IFERROR('Price History'!Q3+(INDEX('Price History'!Q:Q,MATCH(9.99E+307,'Price History'!$A:$A))-'Price History'!Q3)*(ROW()-3)/(MATCH(9.99E+307,'Returns (Calc)'!$A:$A)-3),"")</f>
        <v>65.6184810126582</v>
      </c>
      <c r="AL117" s="144" t="n">
        <f aca="false">IFERROR('Price History'!R3+(INDEX('Price History'!R:R,MATCH(9.99E+307,'Price History'!$A:$A))-'Price History'!R3)*(ROW()-3)/(MATCH(9.99E+307,'Returns (Calc)'!$A:$A)-3),"")</f>
        <v>13.3169620253165</v>
      </c>
      <c r="AM117" s="144" t="n">
        <f aca="false">IFERROR('Price History'!S3+(INDEX('Price History'!S:S,MATCH(9.99E+307,'Price History'!$A:$A))-'Price History'!S3)*(ROW()-3)/(MATCH(9.99E+307,'Returns (Calc)'!$A:$A)-3),"")</f>
        <v>16.3022784810127</v>
      </c>
      <c r="AN117" s="144" t="n">
        <f aca="false">IFERROR('Price History'!T3+(INDEX('Price History'!T:T,MATCH(9.99E+307,'Price History'!$A:$A))-'Price History'!T3)*(ROW()-3)/(MATCH(9.99E+307,'Returns (Calc)'!$A:$A)-3),"")</f>
        <v>7.49392405063291</v>
      </c>
      <c r="AO117" s="145" t="n">
        <f aca="false">IFERROR('Price History'!V3+(INDEX('Price History'!V:V,MATCH(9.99E+307,'Price History'!$A:$A))-'Price History'!V3)*(ROW()-3)/(MATCH(9.99E+307,'Returns (Calc)'!$A:$A)-3),"")</f>
        <v>0</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0.0175333132952611</v>
      </c>
      <c r="G118" s="142" t="n">
        <f aca="false">IFERROR(IF(OR(NOT(ISNUMBER('Price History'!G119)),NOT(ISNUMBER('Price History'!G118)),'Price History'!G118=0),"",'Price History'!G119/'Price History'!G118-1),"")</f>
        <v>0.00565637520622198</v>
      </c>
      <c r="H118" s="142" t="n">
        <f aca="false">IFERROR(IF(OR(NOT(ISNUMBER('Price History'!H119)),NOT(ISNUMBER('Price History'!H118)),'Price History'!H118=0),"",'Price History'!H119/'Price History'!H118-1),"")</f>
        <v>-0.0119030442937528</v>
      </c>
      <c r="I118" s="142" t="n">
        <f aca="false">IFERROR(IF(OR(NOT(ISNUMBER('Price History'!I119)),NOT(ISNUMBER('Price History'!I118)),'Price History'!I118=0),"",'Price History'!I119/'Price History'!I118-1),"")</f>
        <v>0.0332166339339084</v>
      </c>
      <c r="J118" s="142" t="n">
        <f aca="false">IFERROR(IF(OR(NOT(ISNUMBER('Price History'!J119)),NOT(ISNUMBER('Price History'!J118)),'Price History'!J118=0),"",'Price History'!J119/'Price History'!J118-1),"")</f>
        <v>0.0031322751322751</v>
      </c>
      <c r="K118" s="142" t="n">
        <f aca="false">IFERROR(IF(OR(NOT(ISNUMBER('Price History'!K119)),NOT(ISNUMBER('Price History'!K118)),'Price History'!K118=0),"",'Price History'!K119/'Price History'!K118-1),"")</f>
        <v>0.0305810397553516</v>
      </c>
      <c r="L118" s="142" t="n">
        <f aca="false">IFERROR(IF(OR(NOT(ISNUMBER('Price History'!L119)),NOT(ISNUMBER('Price History'!L118)),'Price History'!L118=0),"",'Price History'!L119/'Price History'!L118-1),"")</f>
        <v>-0.00433317284545021</v>
      </c>
      <c r="M118" s="142" t="n">
        <f aca="false">IFERROR(IF(OR(NOT(ISNUMBER('Price History'!M119)),NOT(ISNUMBER('Price History'!M118)),'Price History'!M118=0),"",'Price History'!M119/'Price History'!M118-1),"")</f>
        <v>0.0790145443751855</v>
      </c>
      <c r="N118" s="142" t="n">
        <f aca="false">IFERROR(IF(OR(NOT(ISNUMBER('Price History'!N119)),NOT(ISNUMBER('Price History'!N118)),'Price History'!N118=0),"",'Price History'!N119/'Price History'!N118-1),"")</f>
        <v>0.00412603150787705</v>
      </c>
      <c r="O118" s="142" t="n">
        <f aca="false">IFERROR(IF(OR(NOT(ISNUMBER('Price History'!O119)),NOT(ISNUMBER('Price History'!O118)),'Price History'!O118=0),"",'Price History'!O119/'Price History'!O118-1),"")</f>
        <v>0.00612878851481824</v>
      </c>
      <c r="P118" s="142" t="n">
        <f aca="false">IFERROR(IF(OR(NOT(ISNUMBER('Price History'!P119)),NOT(ISNUMBER('Price History'!P118)),'Price History'!P118=0),"",'Price History'!P119/'Price History'!P118-1),"")</f>
        <v>0.0109893919434239</v>
      </c>
      <c r="Q118" s="142" t="n">
        <f aca="false">IFERROR(IF(OR(NOT(ISNUMBER('Price History'!Q119)),NOT(ISNUMBER('Price History'!Q118)),'Price History'!Q118=0),"",'Price History'!Q119/'Price History'!Q118-1),"")</f>
        <v>-0.00956563590422332</v>
      </c>
      <c r="R118" s="142" t="n">
        <f aca="false">IFERROR(IF(OR(NOT(ISNUMBER('Price History'!R119)),NOT(ISNUMBER('Price History'!R118)),'Price History'!R118=0),"",'Price History'!R119/'Price History'!R118-1),"")</f>
        <v>0.00939368061485912</v>
      </c>
      <c r="S118" s="142" t="n">
        <f aca="false">IFERROR(IF(OR(NOT(ISNUMBER('Price History'!S119)),NOT(ISNUMBER('Price History'!S118)),'Price History'!S118=0),"",'Price History'!S119/'Price History'!S118-1),"")</f>
        <v>-8.21625174594054E-005</v>
      </c>
      <c r="T118" s="142" t="n">
        <f aca="false">IFERROR(IF(OR(NOT(ISNUMBER('Price History'!T119)),NOT(ISNUMBER('Price History'!T118)),'Price History'!T118=0),"",'Price History'!T119/'Price History'!T118-1),"")</f>
        <v>-0.0063058328954283</v>
      </c>
      <c r="U118" s="142" t="str">
        <f aca="false">IFERROR(IF(OR(NOT(ISNUMBER('Price History'!U119)),NOT(ISNUMBER('Price History'!U118)),'Price History'!U118=0),"",'Price History'!U119/'Price History'!U118-1),"")</f>
        <v/>
      </c>
      <c r="V118" s="143" t="n">
        <f aca="false">IFERROR(IF(OR(NOT(ISNUMBER('Price History'!V119)),NOT(ISNUMBER('Price History'!V118)),'Price History'!V118=0),"",'Price History'!V119/'Price History'!V118-1),"")</f>
        <v>-0.0190934942835587</v>
      </c>
      <c r="W118" s="144" t="str">
        <f aca="false">IFERROR('Price History'!B3+(INDEX('Price History'!B:B,MATCH(9.99E+307,'Price History'!$A:$A))-'Price History'!B3)*(ROW()-3)/(MATCH(9.99E+307,'Returns (Calc)'!$A:$A)-3),"")</f>
        <v/>
      </c>
      <c r="X118" s="144" t="n">
        <f aca="false">IFERROR('Price History'!C3+(INDEX('Price History'!C:C,MATCH(9.99E+307,'Price History'!$A:$A))-'Price History'!C3)*(ROW()-3)/(MATCH(9.99E+307,'Returns (Calc)'!$A:$A)-3),"")</f>
        <v>12.5679746835443</v>
      </c>
      <c r="Y118" s="144" t="n">
        <f aca="false">IFERROR('Price History'!D3+(INDEX('Price History'!D:D,MATCH(9.99E+307,'Price History'!$A:$A))-'Price History'!D3)*(ROW()-3)/(MATCH(9.99E+307,'Returns (Calc)'!$A:$A)-3),"")</f>
        <v>158.395126582279</v>
      </c>
      <c r="Z118" s="144" t="n">
        <f aca="false">IFERROR('Price History'!E3+(INDEX('Price History'!E:E,MATCH(9.99E+307,'Price History'!$A:$A))-'Price History'!E3)*(ROW()-3)/(MATCH(9.99E+307,'Returns (Calc)'!$A:$A)-3),"")</f>
        <v>22.3164556962025</v>
      </c>
      <c r="AA118" s="144" t="n">
        <f aca="false">IFERROR('Price History'!F3+(INDEX('Price History'!F:F,MATCH(9.99E+307,'Price History'!$A:$A))-'Price History'!F3)*(ROW()-3)/(MATCH(9.99E+307,'Returns (Calc)'!$A:$A)-3),"")</f>
        <v>20.4957594936709</v>
      </c>
      <c r="AB118" s="144" t="n">
        <f aca="false">IFERROR('Price History'!G3+(INDEX('Price History'!G:G,MATCH(9.99E+307,'Price History'!$A:$A))-'Price History'!G3)*(ROW()-3)/(MATCH(9.99E+307,'Returns (Calc)'!$A:$A)-3),"")</f>
        <v>11.2562025316456</v>
      </c>
      <c r="AC118" s="144" t="n">
        <f aca="false">IFERROR('Price History'!H3+(INDEX('Price History'!H:H,MATCH(9.99E+307,'Price History'!$A:$A))-'Price History'!H3)*(ROW()-3)/(MATCH(9.99E+307,'Returns (Calc)'!$A:$A)-3),"")</f>
        <v>27.3757594936709</v>
      </c>
      <c r="AD118" s="144" t="n">
        <f aca="false">IFERROR('Price History'!I3+(INDEX('Price History'!I:I,MATCH(9.99E+307,'Price History'!$A:$A))-'Price History'!I3)*(ROW()-3)/(MATCH(9.99E+307,'Returns (Calc)'!$A:$A)-3),"")</f>
        <v>12.0699367088608</v>
      </c>
      <c r="AE118" s="144" t="n">
        <f aca="false">IFERROR('Price History'!J3+(INDEX('Price History'!J:J,MATCH(9.99E+307,'Price History'!$A:$A))-'Price History'!J3)*(ROW()-3)/(MATCH(9.99E+307,'Returns (Calc)'!$A:$A)-3),"")</f>
        <v>18.808417721519</v>
      </c>
      <c r="AF118" s="144" t="n">
        <f aca="false">IFERROR('Price History'!K3+(INDEX('Price History'!K:K,MATCH(9.99E+307,'Price History'!$A:$A))-'Price History'!K3)*(ROW()-3)/(MATCH(9.99E+307,'Returns (Calc)'!$A:$A)-3),"")</f>
        <v>11.9120886075949</v>
      </c>
      <c r="AG118" s="144" t="n">
        <f aca="false">IFERROR('Price History'!L3+(INDEX('Price History'!L:L,MATCH(9.99E+307,'Price History'!$A:$A))-'Price History'!L3)*(ROW()-3)/(MATCH(9.99E+307,'Returns (Calc)'!$A:$A)-3),"")</f>
        <v>30.4374683544304</v>
      </c>
      <c r="AH118" s="144" t="n">
        <f aca="false">IFERROR('Price History'!M3+(INDEX('Price History'!M:M,MATCH(9.99E+307,'Price History'!$A:$A))-'Price History'!M3)*(ROW()-3)/(MATCH(9.99E+307,'Returns (Calc)'!$A:$A)-3),"")</f>
        <v>4.17208860759494</v>
      </c>
      <c r="AI118" s="144" t="n">
        <f aca="false">IFERROR('Price History'!N3+(INDEX('Price History'!N:N,MATCH(9.99E+307,'Price History'!$A:$A))-'Price History'!N3)*(ROW()-3)/(MATCH(9.99E+307,'Returns (Calc)'!$A:$A)-3),"")</f>
        <v>5.93291139240506</v>
      </c>
      <c r="AJ118" s="144" t="n">
        <f aca="false">IFERROR('Price History'!O3+(INDEX('Price History'!O:O,MATCH(9.99E+307,'Price History'!$A:$A))-'Price History'!O3)*(ROW()-3)/(MATCH(9.99E+307,'Returns (Calc)'!$A:$A)-3),"")</f>
        <v>15.6841139240506</v>
      </c>
      <c r="AK118" s="144" t="n">
        <f aca="false">IFERROR('Price History'!Q3+(INDEX('Price History'!Q:Q,MATCH(9.99E+307,'Price History'!$A:$A))-'Price History'!Q3)*(ROW()-3)/(MATCH(9.99E+307,'Returns (Calc)'!$A:$A)-3),"")</f>
        <v>64.1271518987342</v>
      </c>
      <c r="AL118" s="144" t="n">
        <f aca="false">IFERROR('Price History'!R3+(INDEX('Price History'!R:R,MATCH(9.99E+307,'Price History'!$A:$A))-'Price History'!R3)*(ROW()-3)/(MATCH(9.99E+307,'Returns (Calc)'!$A:$A)-3),"")</f>
        <v>13.0143037974684</v>
      </c>
      <c r="AM118" s="144" t="n">
        <f aca="false">IFERROR('Price History'!S3+(INDEX('Price History'!S:S,MATCH(9.99E+307,'Price History'!$A:$A))-'Price History'!S3)*(ROW()-3)/(MATCH(9.99E+307,'Returns (Calc)'!$A:$A)-3),"")</f>
        <v>15.9317721518987</v>
      </c>
      <c r="AN118" s="144" t="n">
        <f aca="false">IFERROR('Price History'!T3+(INDEX('Price History'!T:T,MATCH(9.99E+307,'Price History'!$A:$A))-'Price History'!T3)*(ROW()-3)/(MATCH(9.99E+307,'Returns (Calc)'!$A:$A)-3),"")</f>
        <v>7.32360759493671</v>
      </c>
      <c r="AO118" s="145" t="n">
        <f aca="false">IFERROR('Price History'!V3+(INDEX('Price History'!V:V,MATCH(9.99E+307,'Price History'!$A:$A))-'Price History'!V3)*(ROW()-3)/(MATCH(9.99E+307,'Returns (Calc)'!$A:$A)-3),"")</f>
        <v>0</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0.0214651437573847</v>
      </c>
      <c r="G119" s="142" t="n">
        <f aca="false">IFERROR(IF(OR(NOT(ISNUMBER('Price History'!G120)),NOT(ISNUMBER('Price History'!G119)),'Price History'!G119=0),"",'Price History'!G120/'Price History'!G119-1),"")</f>
        <v>-0.0142176392469338</v>
      </c>
      <c r="H119" s="142" t="n">
        <f aca="false">IFERROR(IF(OR(NOT(ISNUMBER('Price History'!H120)),NOT(ISNUMBER('Price History'!H119)),'Price History'!H119=0),"",'Price History'!H120/'Price History'!H119-1),"")</f>
        <v>0.0162079287435204</v>
      </c>
      <c r="I119" s="142" t="n">
        <f aca="false">IFERROR(IF(OR(NOT(ISNUMBER('Price History'!I120)),NOT(ISNUMBER('Price History'!I119)),'Price History'!I119=0),"",'Price History'!I120/'Price History'!I119-1),"")</f>
        <v>-0.0169421487603305</v>
      </c>
      <c r="J119" s="142" t="n">
        <f aca="false">IFERROR(IF(OR(NOT(ISNUMBER('Price History'!J120)),NOT(ISNUMBER('Price History'!J119)),'Price History'!J119=0),"",'Price History'!J120/'Price History'!J119-1),"")</f>
        <v>0.0164985864382463</v>
      </c>
      <c r="K119" s="142" t="n">
        <f aca="false">IFERROR(IF(OR(NOT(ISNUMBER('Price History'!K120)),NOT(ISNUMBER('Price History'!K119)),'Price History'!K119=0),"",'Price History'!K120/'Price History'!K119-1),"")</f>
        <v>-0.0404989559292228</v>
      </c>
      <c r="L119" s="142" t="n">
        <f aca="false">IFERROR(IF(OR(NOT(ISNUMBER('Price History'!L120)),NOT(ISNUMBER('Price History'!L119)),'Price History'!L119=0),"",'Price History'!L120/'Price History'!L119-1),"")</f>
        <v>0.0172469374597035</v>
      </c>
      <c r="M119" s="142" t="n">
        <f aca="false">IFERROR(IF(OR(NOT(ISNUMBER('Price History'!M120)),NOT(ISNUMBER('Price History'!M119)),'Price History'!M119=0),"",'Price History'!M120/'Price History'!M119-1),"")</f>
        <v>0.00995818661971826</v>
      </c>
      <c r="N119" s="142" t="n">
        <f aca="false">IFERROR(IF(OR(NOT(ISNUMBER('Price History'!N120)),NOT(ISNUMBER('Price History'!N119)),'Price History'!N119=0),"",'Price History'!N120/'Price History'!N119-1),"")</f>
        <v>0.00933881210310039</v>
      </c>
      <c r="O119" s="142" t="n">
        <f aca="false">IFERROR(IF(OR(NOT(ISNUMBER('Price History'!O120)),NOT(ISNUMBER('Price History'!O119)),'Price History'!O119=0),"",'Price History'!O120/'Price History'!O119-1),"")</f>
        <v>-0.0145193591455275</v>
      </c>
      <c r="P119" s="142" t="n">
        <f aca="false">IFERROR(IF(OR(NOT(ISNUMBER('Price History'!P120)),NOT(ISNUMBER('Price History'!P119)),'Price History'!P119=0),"",'Price History'!P120/'Price History'!P119-1),"")</f>
        <v>-0.00641223468093133</v>
      </c>
      <c r="Q119" s="142" t="n">
        <f aca="false">IFERROR(IF(OR(NOT(ISNUMBER('Price History'!Q120)),NOT(ISNUMBER('Price History'!Q119)),'Price History'!Q119=0),"",'Price History'!Q120/'Price History'!Q119-1),"")</f>
        <v>0.0500820020652373</v>
      </c>
      <c r="R119" s="142" t="n">
        <f aca="false">IFERROR(IF(OR(NOT(ISNUMBER('Price History'!R120)),NOT(ISNUMBER('Price History'!R119)),'Price History'!R119=0),"",'Price History'!R120/'Price History'!R119-1),"")</f>
        <v>-0.0235194585448393</v>
      </c>
      <c r="S119" s="142" t="n">
        <f aca="false">IFERROR(IF(OR(NOT(ISNUMBER('Price History'!S120)),NOT(ISNUMBER('Price History'!S119)),'Price History'!S119=0),"",'Price History'!S120/'Price History'!S119-1),"")</f>
        <v>-0.0260476581758422</v>
      </c>
      <c r="T119" s="142" t="n">
        <f aca="false">IFERROR(IF(OR(NOT(ISNUMBER('Price History'!T120)),NOT(ISNUMBER('Price History'!T119)),'Price History'!T119=0),"",'Price History'!T120/'Price History'!T119-1),"")</f>
        <v>0.00158646218931779</v>
      </c>
      <c r="U119" s="142" t="str">
        <f aca="false">IFERROR(IF(OR(NOT(ISNUMBER('Price History'!U120)),NOT(ISNUMBER('Price History'!U119)),'Price History'!U119=0),"",'Price History'!U120/'Price History'!U119-1),"")</f>
        <v/>
      </c>
      <c r="V119" s="143" t="n">
        <f aca="false">IFERROR(IF(OR(NOT(ISNUMBER('Price History'!V120)),NOT(ISNUMBER('Price History'!V119)),'Price History'!V119=0),"",'Price History'!V120/'Price History'!V119-1),"")</f>
        <v>-0.0138740977399124</v>
      </c>
      <c r="W119" s="144" t="str">
        <f aca="false">IFERROR('Price History'!B3+(INDEX('Price History'!B:B,MATCH(9.99E+307,'Price History'!$A:$A))-'Price History'!B3)*(ROW()-3)/(MATCH(9.99E+307,'Returns (Calc)'!$A:$A)-3),"")</f>
        <v/>
      </c>
      <c r="X119" s="144" t="n">
        <f aca="false">IFERROR('Price History'!C3+(INDEX('Price History'!C:C,MATCH(9.99E+307,'Price History'!$A:$A))-'Price History'!C3)*(ROW()-3)/(MATCH(9.99E+307,'Returns (Calc)'!$A:$A)-3),"")</f>
        <v>12.2756962025316</v>
      </c>
      <c r="Y119" s="144" t="n">
        <f aca="false">IFERROR('Price History'!D3+(INDEX('Price History'!D:D,MATCH(9.99E+307,'Price History'!$A:$A))-'Price History'!D3)*(ROW()-3)/(MATCH(9.99E+307,'Returns (Calc)'!$A:$A)-3),"")</f>
        <v>154.711518987342</v>
      </c>
      <c r="Z119" s="144" t="n">
        <f aca="false">IFERROR('Price History'!E3+(INDEX('Price History'!E:E,MATCH(9.99E+307,'Price History'!$A:$A))-'Price History'!E3)*(ROW()-3)/(MATCH(9.99E+307,'Returns (Calc)'!$A:$A)-3),"")</f>
        <v>21.7974683544304</v>
      </c>
      <c r="AA119" s="144" t="n">
        <f aca="false">IFERROR('Price History'!F3+(INDEX('Price History'!F:F,MATCH(9.99E+307,'Price History'!$A:$A))-'Price History'!F3)*(ROW()-3)/(MATCH(9.99E+307,'Returns (Calc)'!$A:$A)-3),"")</f>
        <v>20.0191139240506</v>
      </c>
      <c r="AB119" s="144" t="n">
        <f aca="false">IFERROR('Price History'!G3+(INDEX('Price History'!G:G,MATCH(9.99E+307,'Price History'!$A:$A))-'Price History'!G3)*(ROW()-3)/(MATCH(9.99E+307,'Returns (Calc)'!$A:$A)-3),"")</f>
        <v>10.9944303797468</v>
      </c>
      <c r="AC119" s="144" t="n">
        <f aca="false">IFERROR('Price History'!H3+(INDEX('Price History'!H:H,MATCH(9.99E+307,'Price History'!$A:$A))-'Price History'!H3)*(ROW()-3)/(MATCH(9.99E+307,'Returns (Calc)'!$A:$A)-3),"")</f>
        <v>26.7391139240506</v>
      </c>
      <c r="AD119" s="144" t="n">
        <f aca="false">IFERROR('Price History'!I3+(INDEX('Price History'!I:I,MATCH(9.99E+307,'Price History'!$A:$A))-'Price History'!I3)*(ROW()-3)/(MATCH(9.99E+307,'Returns (Calc)'!$A:$A)-3),"")</f>
        <v>11.7892405063291</v>
      </c>
      <c r="AE119" s="144" t="n">
        <f aca="false">IFERROR('Price History'!J3+(INDEX('Price History'!J:J,MATCH(9.99E+307,'Price History'!$A:$A))-'Price History'!J3)*(ROW()-3)/(MATCH(9.99E+307,'Returns (Calc)'!$A:$A)-3),"")</f>
        <v>18.3710126582278</v>
      </c>
      <c r="AF119" s="144" t="n">
        <f aca="false">IFERROR('Price History'!K3+(INDEX('Price History'!K:K,MATCH(9.99E+307,'Price History'!$A:$A))-'Price History'!K3)*(ROW()-3)/(MATCH(9.99E+307,'Returns (Calc)'!$A:$A)-3),"")</f>
        <v>11.6350632911392</v>
      </c>
      <c r="AG119" s="144" t="n">
        <f aca="false">IFERROR('Price History'!L3+(INDEX('Price History'!L:L,MATCH(9.99E+307,'Price History'!$A:$A))-'Price History'!L3)*(ROW()-3)/(MATCH(9.99E+307,'Returns (Calc)'!$A:$A)-3),"")</f>
        <v>29.7296202531646</v>
      </c>
      <c r="AH119" s="144" t="n">
        <f aca="false">IFERROR('Price History'!M3+(INDEX('Price History'!M:M,MATCH(9.99E+307,'Price History'!$A:$A))-'Price History'!M3)*(ROW()-3)/(MATCH(9.99E+307,'Returns (Calc)'!$A:$A)-3),"")</f>
        <v>4.07506329113924</v>
      </c>
      <c r="AI119" s="144" t="n">
        <f aca="false">IFERROR('Price History'!N3+(INDEX('Price History'!N:N,MATCH(9.99E+307,'Price History'!$A:$A))-'Price History'!N3)*(ROW()-3)/(MATCH(9.99E+307,'Returns (Calc)'!$A:$A)-3),"")</f>
        <v>5.79493670886076</v>
      </c>
      <c r="AJ119" s="144" t="n">
        <f aca="false">IFERROR('Price History'!O3+(INDEX('Price History'!O:O,MATCH(9.99E+307,'Price History'!$A:$A))-'Price History'!O3)*(ROW()-3)/(MATCH(9.99E+307,'Returns (Calc)'!$A:$A)-3),"")</f>
        <v>15.3193670886076</v>
      </c>
      <c r="AK119" s="144" t="n">
        <f aca="false">IFERROR('Price History'!Q3+(INDEX('Price History'!Q:Q,MATCH(9.99E+307,'Price History'!$A:$A))-'Price History'!Q3)*(ROW()-3)/(MATCH(9.99E+307,'Returns (Calc)'!$A:$A)-3),"")</f>
        <v>62.6358227848101</v>
      </c>
      <c r="AL119" s="144" t="n">
        <f aca="false">IFERROR('Price History'!R3+(INDEX('Price History'!R:R,MATCH(9.99E+307,'Price History'!$A:$A))-'Price History'!R3)*(ROW()-3)/(MATCH(9.99E+307,'Returns (Calc)'!$A:$A)-3),"")</f>
        <v>12.7116455696203</v>
      </c>
      <c r="AM119" s="144" t="n">
        <f aca="false">IFERROR('Price History'!S3+(INDEX('Price History'!S:S,MATCH(9.99E+307,'Price History'!$A:$A))-'Price History'!S3)*(ROW()-3)/(MATCH(9.99E+307,'Returns (Calc)'!$A:$A)-3),"")</f>
        <v>15.5612658227848</v>
      </c>
      <c r="AN119" s="144" t="n">
        <f aca="false">IFERROR('Price History'!T3+(INDEX('Price History'!T:T,MATCH(9.99E+307,'Price History'!$A:$A))-'Price History'!T3)*(ROW()-3)/(MATCH(9.99E+307,'Returns (Calc)'!$A:$A)-3),"")</f>
        <v>7.15329113924051</v>
      </c>
      <c r="AO119" s="145" t="n">
        <f aca="false">IFERROR('Price History'!V3+(INDEX('Price History'!V:V,MATCH(9.99E+307,'Price History'!$A:$A))-'Price History'!V3)*(ROW()-3)/(MATCH(9.99E+307,'Returns (Calc)'!$A:$A)-3),"")</f>
        <v>0</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-0.00906111432427215</v>
      </c>
      <c r="G120" s="142" t="n">
        <f aca="false">IFERROR(IF(OR(NOT(ISNUMBER('Price History'!G121)),NOT(ISNUMBER('Price History'!G120)),'Price History'!G120=0),"",'Price History'!G121/'Price History'!G120-1),"")</f>
        <v>-0.0465171566685158</v>
      </c>
      <c r="H120" s="142" t="n">
        <f aca="false">IFERROR(IF(OR(NOT(ISNUMBER('Price History'!H121)),NOT(ISNUMBER('Price History'!H120)),'Price History'!H120=0),"",'Price History'!H121/'Price History'!H120-1),"")</f>
        <v>-0.00459803146777771</v>
      </c>
      <c r="I120" s="142" t="n">
        <f aca="false">IFERROR(IF(OR(NOT(ISNUMBER('Price History'!I121)),NOT(ISNUMBER('Price History'!I120)),'Price History'!I120=0),"",'Price History'!I121/'Price History'!I120-1),"")</f>
        <v>0.0433795712484237</v>
      </c>
      <c r="J120" s="142" t="n">
        <f aca="false">IFERROR(IF(OR(NOT(ISNUMBER('Price History'!J121)),NOT(ISNUMBER('Price History'!J120)),'Price History'!J120=0),"",'Price History'!J121/'Price History'!J120-1),"")</f>
        <v>0.102781237027813</v>
      </c>
      <c r="K120" s="142" t="n">
        <f aca="false">IFERROR(IF(OR(NOT(ISNUMBER('Price History'!K121)),NOT(ISNUMBER('Price History'!K120)),'Price History'!K120=0),"",'Price History'!K121/'Price History'!K120-1),"")</f>
        <v>0.0341332111562911</v>
      </c>
      <c r="L120" s="142" t="n">
        <f aca="false">IFERROR(IF(OR(NOT(ISNUMBER('Price History'!L121)),NOT(ISNUMBER('Price History'!L120)),'Price History'!L120=0),"",'Price History'!L121/'Price History'!L120-1),"")</f>
        <v>-0.0150530819204564</v>
      </c>
      <c r="M120" s="142" t="n">
        <f aca="false">IFERROR(IF(OR(NOT(ISNUMBER('Price History'!M121)),NOT(ISNUMBER('Price History'!M120)),'Price History'!M120=0),"",'Price History'!M121/'Price History'!M120-1),"")</f>
        <v>0.0534401045922537</v>
      </c>
      <c r="N120" s="142" t="n">
        <f aca="false">IFERROR(IF(OR(NOT(ISNUMBER('Price History'!N121)),NOT(ISNUMBER('Price History'!N120)),'Price History'!N120=0),"",'Price History'!N121/'Price History'!N120-1),"")</f>
        <v>-0.00814211695040712</v>
      </c>
      <c r="O120" s="142" t="n">
        <f aca="false">IFERROR(IF(OR(NOT(ISNUMBER('Price History'!O121)),NOT(ISNUMBER('Price History'!O120)),'Price History'!O120=0),"",'Price History'!O121/'Price History'!O120-1),"")</f>
        <v>0.0036409822184591</v>
      </c>
      <c r="P120" s="142" t="n">
        <f aca="false">IFERROR(IF(OR(NOT(ISNUMBER('Price History'!P121)),NOT(ISNUMBER('Price History'!P120)),'Price History'!P120=0),"",'Price History'!P121/'Price History'!P120-1),"")</f>
        <v>-0.0105604638321369</v>
      </c>
      <c r="Q120" s="142" t="n">
        <f aca="false">IFERROR(IF(OR(NOT(ISNUMBER('Price History'!Q121)),NOT(ISNUMBER('Price History'!Q120)),'Price History'!Q120=0),"",'Price History'!Q121/'Price History'!Q120-1),"")</f>
        <v>0.00410701373825018</v>
      </c>
      <c r="R120" s="142" t="n">
        <f aca="false">IFERROR(IF(OR(NOT(ISNUMBER('Price History'!R121)),NOT(ISNUMBER('Price History'!R120)),'Price History'!R120=0),"",'Price History'!R121/'Price History'!R120-1),"")</f>
        <v>0.00190608213481203</v>
      </c>
      <c r="S120" s="142" t="n">
        <f aca="false">IFERROR(IF(OR(NOT(ISNUMBER('Price History'!S121)),NOT(ISNUMBER('Price History'!S120)),'Price History'!S120=0),"",'Price History'!S121/'Price History'!S120-1),"")</f>
        <v>-0.00590567788745466</v>
      </c>
      <c r="T120" s="142" t="n">
        <f aca="false">IFERROR(IF(OR(NOT(ISNUMBER('Price History'!T121)),NOT(ISNUMBER('Price History'!T120)),'Price History'!T120=0),"",'Price History'!T121/'Price History'!T120-1),"")</f>
        <v>0.0110876451953537</v>
      </c>
      <c r="U120" s="142" t="str">
        <f aca="false">IFERROR(IF(OR(NOT(ISNUMBER('Price History'!U121)),NOT(ISNUMBER('Price History'!U120)),'Price History'!U120=0),"",'Price History'!U121/'Price History'!U120-1),"")</f>
        <v/>
      </c>
      <c r="V120" s="143" t="n">
        <f aca="false">IFERROR(IF(OR(NOT(ISNUMBER('Price History'!V121)),NOT(ISNUMBER('Price History'!V120)),'Price History'!V120=0),"",'Price History'!V121/'Price History'!V120-1),"")</f>
        <v>-0.0158992050397481</v>
      </c>
      <c r="W120" s="144" t="str">
        <f aca="false">IFERROR('Price History'!B3+(INDEX('Price History'!B:B,MATCH(9.99E+307,'Price History'!$A:$A))-'Price History'!B3)*(ROW()-3)/(MATCH(9.99E+307,'Returns (Calc)'!$A:$A)-3),"")</f>
        <v/>
      </c>
      <c r="X120" s="144" t="n">
        <f aca="false">IFERROR('Price History'!C3+(INDEX('Price History'!C:C,MATCH(9.99E+307,'Price History'!$A:$A))-'Price History'!C3)*(ROW()-3)/(MATCH(9.99E+307,'Returns (Calc)'!$A:$A)-3),"")</f>
        <v>11.983417721519</v>
      </c>
      <c r="Y120" s="144" t="n">
        <f aca="false">IFERROR('Price History'!D3+(INDEX('Price History'!D:D,MATCH(9.99E+307,'Price History'!$A:$A))-'Price History'!D3)*(ROW()-3)/(MATCH(9.99E+307,'Returns (Calc)'!$A:$A)-3),"")</f>
        <v>151.027911392405</v>
      </c>
      <c r="Z120" s="144" t="n">
        <f aca="false">IFERROR('Price History'!E3+(INDEX('Price History'!E:E,MATCH(9.99E+307,'Price History'!$A:$A))-'Price History'!E3)*(ROW()-3)/(MATCH(9.99E+307,'Returns (Calc)'!$A:$A)-3),"")</f>
        <v>21.2784810126582</v>
      </c>
      <c r="AA120" s="144" t="n">
        <f aca="false">IFERROR('Price History'!F3+(INDEX('Price History'!F:F,MATCH(9.99E+307,'Price History'!$A:$A))-'Price History'!F3)*(ROW()-3)/(MATCH(9.99E+307,'Returns (Calc)'!$A:$A)-3),"")</f>
        <v>19.5424683544304</v>
      </c>
      <c r="AB120" s="144" t="n">
        <f aca="false">IFERROR('Price History'!G3+(INDEX('Price History'!G:G,MATCH(9.99E+307,'Price History'!$A:$A))-'Price History'!G3)*(ROW()-3)/(MATCH(9.99E+307,'Returns (Calc)'!$A:$A)-3),"")</f>
        <v>10.7326582278481</v>
      </c>
      <c r="AC120" s="144" t="n">
        <f aca="false">IFERROR('Price History'!H3+(INDEX('Price History'!H:H,MATCH(9.99E+307,'Price History'!$A:$A))-'Price History'!H3)*(ROW()-3)/(MATCH(9.99E+307,'Returns (Calc)'!$A:$A)-3),"")</f>
        <v>26.1024683544304</v>
      </c>
      <c r="AD120" s="144" t="n">
        <f aca="false">IFERROR('Price History'!I3+(INDEX('Price History'!I:I,MATCH(9.99E+307,'Price History'!$A:$A))-'Price History'!I3)*(ROW()-3)/(MATCH(9.99E+307,'Returns (Calc)'!$A:$A)-3),"")</f>
        <v>11.5085443037975</v>
      </c>
      <c r="AE120" s="144" t="n">
        <f aca="false">IFERROR('Price History'!J3+(INDEX('Price History'!J:J,MATCH(9.99E+307,'Price History'!$A:$A))-'Price History'!J3)*(ROW()-3)/(MATCH(9.99E+307,'Returns (Calc)'!$A:$A)-3),"")</f>
        <v>17.9336075949367</v>
      </c>
      <c r="AF120" s="144" t="n">
        <f aca="false">IFERROR('Price History'!K3+(INDEX('Price History'!K:K,MATCH(9.99E+307,'Price History'!$A:$A))-'Price History'!K3)*(ROW()-3)/(MATCH(9.99E+307,'Returns (Calc)'!$A:$A)-3),"")</f>
        <v>11.3580379746835</v>
      </c>
      <c r="AG120" s="144" t="n">
        <f aca="false">IFERROR('Price History'!L3+(INDEX('Price History'!L:L,MATCH(9.99E+307,'Price History'!$A:$A))-'Price History'!L3)*(ROW()-3)/(MATCH(9.99E+307,'Returns (Calc)'!$A:$A)-3),"")</f>
        <v>29.0217721518987</v>
      </c>
      <c r="AH120" s="144" t="n">
        <f aca="false">IFERROR('Price History'!M3+(INDEX('Price History'!M:M,MATCH(9.99E+307,'Price History'!$A:$A))-'Price History'!M3)*(ROW()-3)/(MATCH(9.99E+307,'Returns (Calc)'!$A:$A)-3),"")</f>
        <v>3.97803797468355</v>
      </c>
      <c r="AI120" s="144" t="n">
        <f aca="false">IFERROR('Price History'!N3+(INDEX('Price History'!N:N,MATCH(9.99E+307,'Price History'!$A:$A))-'Price History'!N3)*(ROW()-3)/(MATCH(9.99E+307,'Returns (Calc)'!$A:$A)-3),"")</f>
        <v>5.65696202531646</v>
      </c>
      <c r="AJ120" s="144" t="n">
        <f aca="false">IFERROR('Price History'!O3+(INDEX('Price History'!O:O,MATCH(9.99E+307,'Price History'!$A:$A))-'Price History'!O3)*(ROW()-3)/(MATCH(9.99E+307,'Returns (Calc)'!$A:$A)-3),"")</f>
        <v>14.9546202531646</v>
      </c>
      <c r="AK120" s="144" t="n">
        <f aca="false">IFERROR('Price History'!Q3+(INDEX('Price History'!Q:Q,MATCH(9.99E+307,'Price History'!$A:$A))-'Price History'!Q3)*(ROW()-3)/(MATCH(9.99E+307,'Returns (Calc)'!$A:$A)-3),"")</f>
        <v>61.1444936708861</v>
      </c>
      <c r="AL120" s="144" t="n">
        <f aca="false">IFERROR('Price History'!R3+(INDEX('Price History'!R:R,MATCH(9.99E+307,'Price History'!$A:$A))-'Price History'!R3)*(ROW()-3)/(MATCH(9.99E+307,'Returns (Calc)'!$A:$A)-3),"")</f>
        <v>12.4089873417722</v>
      </c>
      <c r="AM120" s="144" t="n">
        <f aca="false">IFERROR('Price History'!S3+(INDEX('Price History'!S:S,MATCH(9.99E+307,'Price History'!$A:$A))-'Price History'!S3)*(ROW()-3)/(MATCH(9.99E+307,'Returns (Calc)'!$A:$A)-3),"")</f>
        <v>15.1907594936709</v>
      </c>
      <c r="AN120" s="144" t="n">
        <f aca="false">IFERROR('Price History'!T3+(INDEX('Price History'!T:T,MATCH(9.99E+307,'Price History'!$A:$A))-'Price History'!T3)*(ROW()-3)/(MATCH(9.99E+307,'Returns (Calc)'!$A:$A)-3),"")</f>
        <v>6.98297468354431</v>
      </c>
      <c r="AO120" s="145" t="n">
        <f aca="false">IFERROR('Price History'!V3+(INDEX('Price History'!V:V,MATCH(9.99E+307,'Price History'!$A:$A))-'Price History'!V3)*(ROW()-3)/(MATCH(9.99E+307,'Returns (Calc)'!$A:$A)-3),"")</f>
        <v>0</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-0.000875486381322954</v>
      </c>
      <c r="G121" s="142" t="n">
        <f aca="false">IFERROR(IF(OR(NOT(ISNUMBER('Price History'!G122)),NOT(ISNUMBER('Price History'!G121)),'Price History'!G121=0),"",'Price History'!G122/'Price History'!G121-1),"")</f>
        <v>-0.000166223404255317</v>
      </c>
      <c r="H121" s="142" t="n">
        <f aca="false">IFERROR(IF(OR(NOT(ISNUMBER('Price History'!H122)),NOT(ISNUMBER('Price History'!H121)),'Price History'!H121=0),"",'Price History'!H122/'Price History'!H121-1),"")</f>
        <v>0.00526885600866112</v>
      </c>
      <c r="I121" s="142" t="n">
        <f aca="false">IFERROR(IF(OR(NOT(ISNUMBER('Price History'!I122)),NOT(ISNUMBER('Price History'!I121)),'Price History'!I121=0),"",'Price History'!I122/'Price History'!I121-1),"")</f>
        <v>0.0272339054064943</v>
      </c>
      <c r="J121" s="142" t="n">
        <f aca="false">IFERROR(IF(OR(NOT(ISNUMBER('Price History'!J122)),NOT(ISNUMBER('Price History'!J121)),'Price History'!J121=0),"",'Price History'!J122/'Price History'!J121-1),"")</f>
        <v>0.0709553564706766</v>
      </c>
      <c r="K121" s="142" t="n">
        <f aca="false">IFERROR(IF(OR(NOT(ISNUMBER('Price History'!K122)),NOT(ISNUMBER('Price History'!K121)),'Price History'!K121=0),"",'Price History'!K122/'Price History'!K121-1),"")</f>
        <v>0.0527219360912665</v>
      </c>
      <c r="L121" s="142" t="n">
        <f aca="false">IFERROR(IF(OR(NOT(ISNUMBER('Price History'!L122)),NOT(ISNUMBER('Price History'!L121)),'Price History'!L121=0),"",'Price History'!L122/'Price History'!L121-1),"")</f>
        <v>0.0115830115830118</v>
      </c>
      <c r="M121" s="142" t="n">
        <f aca="false">IFERROR(IF(OR(NOT(ISNUMBER('Price History'!M122)),NOT(ISNUMBER('Price History'!M121)),'Price History'!M121=0),"",'Price History'!M122/'Price History'!M121-1),"")</f>
        <v>-0.0241493432619712</v>
      </c>
      <c r="N121" s="142" t="n">
        <f aca="false">IFERROR(IF(OR(NOT(ISNUMBER('Price History'!N122)),NOT(ISNUMBER('Price History'!N121)),'Price History'!N121=0),"",'Price History'!N122/'Price History'!N121-1),"")</f>
        <v>0.00671641791044775</v>
      </c>
      <c r="O121" s="142" t="n">
        <f aca="false">IFERROR(IF(OR(NOT(ISNUMBER('Price History'!O122)),NOT(ISNUMBER('Price History'!O121)),'Price History'!O121=0),"",'Price History'!O122/'Price History'!O121-1),"")</f>
        <v>0.0179701341432548</v>
      </c>
      <c r="P121" s="142" t="n">
        <f aca="false">IFERROR(IF(OR(NOT(ISNUMBER('Price History'!P122)),NOT(ISNUMBER('Price History'!P121)),'Price History'!P121=0),"",'Price History'!P122/'Price History'!P121-1),"")</f>
        <v>0.0480641785838858</v>
      </c>
      <c r="Q121" s="142" t="n">
        <f aca="false">IFERROR(IF(OR(NOT(ISNUMBER('Price History'!Q122)),NOT(ISNUMBER('Price History'!Q121)),'Price History'!Q121=0),"",'Price History'!Q122/'Price History'!Q121-1),"")</f>
        <v>0.0164472736699599</v>
      </c>
      <c r="R121" s="142" t="n">
        <f aca="false">IFERROR(IF(OR(NOT(ISNUMBER('Price History'!R122)),NOT(ISNUMBER('Price History'!R121)),'Price History'!R121=0),"",'Price History'!R122/'Price History'!R121-1),"")</f>
        <v>-0.0273261847111725</v>
      </c>
      <c r="S121" s="142" t="n">
        <f aca="false">IFERROR(IF(OR(NOT(ISNUMBER('Price History'!S122)),NOT(ISNUMBER('Price History'!S121)),'Price History'!S121=0),"",'Price History'!S122/'Price History'!S121-1),"")</f>
        <v>-0.0299584146651957</v>
      </c>
      <c r="T121" s="142" t="n">
        <f aca="false">IFERROR(IF(OR(NOT(ISNUMBER('Price History'!T122)),NOT(ISNUMBER('Price History'!T121)),'Price History'!T121=0),"",'Price History'!T122/'Price History'!T121-1),"")</f>
        <v>-0.0201044386422975</v>
      </c>
      <c r="U121" s="142" t="str">
        <f aca="false">IFERROR(IF(OR(NOT(ISNUMBER('Price History'!U122)),NOT(ISNUMBER('Price History'!U121)),'Price History'!U121=0),"",'Price History'!U122/'Price History'!U121-1),"")</f>
        <v/>
      </c>
      <c r="V121" s="143" t="n">
        <f aca="false">IFERROR(IF(OR(NOT(ISNUMBER('Price History'!V122)),NOT(ISNUMBER('Price History'!V121)),'Price History'!V121=0),"",'Price History'!V122/'Price History'!V121-1),"")</f>
        <v>-0.00618808108520053</v>
      </c>
      <c r="W121" s="144" t="str">
        <f aca="false">IFERROR('Price History'!B3+(INDEX('Price History'!B:B,MATCH(9.99E+307,'Price History'!$A:$A))-'Price History'!B3)*(ROW()-3)/(MATCH(9.99E+307,'Returns (Calc)'!$A:$A)-3),"")</f>
        <v/>
      </c>
      <c r="X121" s="144" t="n">
        <f aca="false">IFERROR('Price History'!C3+(INDEX('Price History'!C:C,MATCH(9.99E+307,'Price History'!$A:$A))-'Price History'!C3)*(ROW()-3)/(MATCH(9.99E+307,'Returns (Calc)'!$A:$A)-3),"")</f>
        <v>11.6911392405063</v>
      </c>
      <c r="Y121" s="144" t="n">
        <f aca="false">IFERROR('Price History'!D3+(INDEX('Price History'!D:D,MATCH(9.99E+307,'Price History'!$A:$A))-'Price History'!D3)*(ROW()-3)/(MATCH(9.99E+307,'Returns (Calc)'!$A:$A)-3),"")</f>
        <v>147.344303797468</v>
      </c>
      <c r="Z121" s="144" t="n">
        <f aca="false">IFERROR('Price History'!E3+(INDEX('Price History'!E:E,MATCH(9.99E+307,'Price History'!$A:$A))-'Price History'!E3)*(ROW()-3)/(MATCH(9.99E+307,'Returns (Calc)'!$A:$A)-3),"")</f>
        <v>20.7594936708861</v>
      </c>
      <c r="AA121" s="144" t="n">
        <f aca="false">IFERROR('Price History'!F3+(INDEX('Price History'!F:F,MATCH(9.99E+307,'Price History'!$A:$A))-'Price History'!F3)*(ROW()-3)/(MATCH(9.99E+307,'Returns (Calc)'!$A:$A)-3),"")</f>
        <v>19.0658227848101</v>
      </c>
      <c r="AB121" s="144" t="n">
        <f aca="false">IFERROR('Price History'!G3+(INDEX('Price History'!G:G,MATCH(9.99E+307,'Price History'!$A:$A))-'Price History'!G3)*(ROW()-3)/(MATCH(9.99E+307,'Returns (Calc)'!$A:$A)-3),"")</f>
        <v>10.4708860759494</v>
      </c>
      <c r="AC121" s="144" t="n">
        <f aca="false">IFERROR('Price History'!H3+(INDEX('Price History'!H:H,MATCH(9.99E+307,'Price History'!$A:$A))-'Price History'!H3)*(ROW()-3)/(MATCH(9.99E+307,'Returns (Calc)'!$A:$A)-3),"")</f>
        <v>25.4658227848101</v>
      </c>
      <c r="AD121" s="144" t="n">
        <f aca="false">IFERROR('Price History'!I3+(INDEX('Price History'!I:I,MATCH(9.99E+307,'Price History'!$A:$A))-'Price History'!I3)*(ROW()-3)/(MATCH(9.99E+307,'Returns (Calc)'!$A:$A)-3),"")</f>
        <v>11.2278481012658</v>
      </c>
      <c r="AE121" s="144" t="n">
        <f aca="false">IFERROR('Price History'!J3+(INDEX('Price History'!J:J,MATCH(9.99E+307,'Price History'!$A:$A))-'Price History'!J3)*(ROW()-3)/(MATCH(9.99E+307,'Returns (Calc)'!$A:$A)-3),"")</f>
        <v>17.4962025316456</v>
      </c>
      <c r="AF121" s="144" t="n">
        <f aca="false">IFERROR('Price History'!K3+(INDEX('Price History'!K:K,MATCH(9.99E+307,'Price History'!$A:$A))-'Price History'!K3)*(ROW()-3)/(MATCH(9.99E+307,'Returns (Calc)'!$A:$A)-3),"")</f>
        <v>11.0810126582278</v>
      </c>
      <c r="AG121" s="144" t="n">
        <f aca="false">IFERROR('Price History'!L3+(INDEX('Price History'!L:L,MATCH(9.99E+307,'Price History'!$A:$A))-'Price History'!L3)*(ROW()-3)/(MATCH(9.99E+307,'Returns (Calc)'!$A:$A)-3),"")</f>
        <v>28.3139240506329</v>
      </c>
      <c r="AH121" s="144" t="n">
        <f aca="false">IFERROR('Price History'!M3+(INDEX('Price History'!M:M,MATCH(9.99E+307,'Price History'!$A:$A))-'Price History'!M3)*(ROW()-3)/(MATCH(9.99E+307,'Returns (Calc)'!$A:$A)-3),"")</f>
        <v>3.88101265822785</v>
      </c>
      <c r="AI121" s="144" t="n">
        <f aca="false">IFERROR('Price History'!N3+(INDEX('Price History'!N:N,MATCH(9.99E+307,'Price History'!$A:$A))-'Price History'!N3)*(ROW()-3)/(MATCH(9.99E+307,'Returns (Calc)'!$A:$A)-3),"")</f>
        <v>5.51898734177215</v>
      </c>
      <c r="AJ121" s="144" t="n">
        <f aca="false">IFERROR('Price History'!O3+(INDEX('Price History'!O:O,MATCH(9.99E+307,'Price History'!$A:$A))-'Price History'!O3)*(ROW()-3)/(MATCH(9.99E+307,'Returns (Calc)'!$A:$A)-3),"")</f>
        <v>14.5898734177215</v>
      </c>
      <c r="AK121" s="144" t="n">
        <f aca="false">IFERROR('Price History'!Q3+(INDEX('Price History'!Q:Q,MATCH(9.99E+307,'Price History'!$A:$A))-'Price History'!Q3)*(ROW()-3)/(MATCH(9.99E+307,'Returns (Calc)'!$A:$A)-3),"")</f>
        <v>59.653164556962</v>
      </c>
      <c r="AL121" s="144" t="n">
        <f aca="false">IFERROR('Price History'!R3+(INDEX('Price History'!R:R,MATCH(9.99E+307,'Price History'!$A:$A))-'Price History'!R3)*(ROW()-3)/(MATCH(9.99E+307,'Returns (Calc)'!$A:$A)-3),"")</f>
        <v>12.106329113924</v>
      </c>
      <c r="AM121" s="144" t="n">
        <f aca="false">IFERROR('Price History'!S3+(INDEX('Price History'!S:S,MATCH(9.99E+307,'Price History'!$A:$A))-'Price History'!S3)*(ROW()-3)/(MATCH(9.99E+307,'Returns (Calc)'!$A:$A)-3),"")</f>
        <v>14.820253164557</v>
      </c>
      <c r="AN121" s="144" t="n">
        <f aca="false">IFERROR('Price History'!T3+(INDEX('Price History'!T:T,MATCH(9.99E+307,'Price History'!$A:$A))-'Price History'!T3)*(ROW()-3)/(MATCH(9.99E+307,'Returns (Calc)'!$A:$A)-3),"")</f>
        <v>6.8126582278481</v>
      </c>
      <c r="AO121" s="145" t="n">
        <f aca="false">IFERROR('Price History'!V3+(INDEX('Price History'!V:V,MATCH(9.99E+307,'Price History'!$A:$A))-'Price History'!V3)*(ROW()-3)/(MATCH(9.99E+307,'Returns (Calc)'!$A:$A)-3),"")</f>
        <v>0</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-0.00554960568591167</v>
      </c>
      <c r="G122" s="142" t="n">
        <f aca="false">IFERROR(IF(OR(NOT(ISNUMBER('Price History'!G123)),NOT(ISNUMBER('Price History'!G122)),'Price History'!G122=0),"",'Price History'!G123/'Price History'!G122-1),"")</f>
        <v>-0.0574397339983375</v>
      </c>
      <c r="H122" s="142" t="n">
        <f aca="false">IFERROR(IF(OR(NOT(ISNUMBER('Price History'!H123)),NOT(ISNUMBER('Price History'!H122)),'Price History'!H122=0),"",'Price History'!H123/'Price History'!H122-1),"")</f>
        <v>7.17978173463418E-005</v>
      </c>
      <c r="I122" s="142" t="n">
        <f aca="false">IFERROR(IF(OR(NOT(ISNUMBER('Price History'!I123)),NOT(ISNUMBER('Price History'!I122)),'Price History'!I122=0),"",'Price History'!I123/'Price History'!I122-1),"")</f>
        <v>-0.00400031375009802</v>
      </c>
      <c r="J122" s="142" t="n">
        <f aca="false">IFERROR(IF(OR(NOT(ISNUMBER('Price History'!J123)),NOT(ISNUMBER('Price History'!J122)),'Price History'!J122=0),"",'Price History'!J123/'Price History'!J122-1),"")</f>
        <v>0.108010263259639</v>
      </c>
      <c r="K122" s="142" t="n">
        <f aca="false">IFERROR(IF(OR(NOT(ISNUMBER('Price History'!K123)),NOT(ISNUMBER('Price History'!K122)),'Price History'!K122=0),"",'Price History'!K123/'Price History'!K122-1),"")</f>
        <v>-0.00883791888053032</v>
      </c>
      <c r="L122" s="142" t="n">
        <f aca="false">IFERROR(IF(OR(NOT(ISNUMBER('Price History'!L123)),NOT(ISNUMBER('Price History'!L122)),'Price History'!L122=0),"",'Price History'!L123/'Price History'!L122-1),"")</f>
        <v>0.0027035623409668</v>
      </c>
      <c r="M122" s="142" t="n">
        <f aca="false">IFERROR(IF(OR(NOT(ISNUMBER('Price History'!M123)),NOT(ISNUMBER('Price History'!M122)),'Price History'!M122=0),"",'Price History'!M123/'Price History'!M122-1),"")</f>
        <v>-0.110486990620529</v>
      </c>
      <c r="N122" s="142" t="n">
        <f aca="false">IFERROR(IF(OR(NOT(ISNUMBER('Price History'!N123)),NOT(ISNUMBER('Price History'!N122)),'Price History'!N122=0),"",'Price History'!N123/'Price History'!N122-1),"")</f>
        <v>0.00296515937731656</v>
      </c>
      <c r="O122" s="142" t="n">
        <f aca="false">IFERROR(IF(OR(NOT(ISNUMBER('Price History'!O123)),NOT(ISNUMBER('Price History'!O122)),'Price History'!O122=0),"",'Price History'!O123/'Price History'!O122-1),"")</f>
        <v>-0.01408917619758</v>
      </c>
      <c r="P122" s="142" t="n">
        <f aca="false">IFERROR(IF(OR(NOT(ISNUMBER('Price History'!P123)),NOT(ISNUMBER('Price History'!P122)),'Price History'!P122=0),"",'Price History'!P123/'Price History'!P122-1),"")</f>
        <v>0.0553780617678381</v>
      </c>
      <c r="Q122" s="142" t="n">
        <f aca="false">IFERROR(IF(OR(NOT(ISNUMBER('Price History'!Q123)),NOT(ISNUMBER('Price History'!Q122)),'Price History'!Q122=0),"",'Price History'!Q123/'Price History'!Q122-1),"")</f>
        <v>-0.0240024937655859</v>
      </c>
      <c r="R122" s="142" t="n">
        <f aca="false">IFERROR(IF(OR(NOT(ISNUMBER('Price History'!R123)),NOT(ISNUMBER('Price History'!R122)),'Price History'!R122=0),"",'Price History'!R123/'Price History'!R122-1),"")</f>
        <v>0.045697012802276</v>
      </c>
      <c r="S122" s="142" t="n">
        <f aca="false">IFERROR(IF(OR(NOT(ISNUMBER('Price History'!S123)),NOT(ISNUMBER('Price History'!S122)),'Price History'!S122=0),"",'Price History'!S123/'Price History'!S122-1),"")</f>
        <v>0.0509186351706037</v>
      </c>
      <c r="T122" s="142" t="n">
        <f aca="false">IFERROR(IF(OR(NOT(ISNUMBER('Price History'!T123)),NOT(ISNUMBER('Price History'!T122)),'Price History'!T122=0),"",'Price History'!T123/'Price History'!T122-1),"")</f>
        <v>0.0343725019984014</v>
      </c>
      <c r="U122" s="142" t="str">
        <f aca="false">IFERROR(IF(OR(NOT(ISNUMBER('Price History'!U123)),NOT(ISNUMBER('Price History'!U122)),'Price History'!U122=0),"",'Price History'!U123/'Price History'!U122-1),"")</f>
        <v/>
      </c>
      <c r="V122" s="143" t="n">
        <f aca="false">IFERROR(IF(OR(NOT(ISNUMBER('Price History'!V123)),NOT(ISNUMBER('Price History'!V122)),'Price History'!V122=0),"",'Price History'!V123/'Price History'!V122-1),"")</f>
        <v>0.0196920434329182</v>
      </c>
      <c r="W122" s="144" t="str">
        <f aca="false">IFERROR('Price History'!B3+(INDEX('Price History'!B:B,MATCH(9.99E+307,'Price History'!$A:$A))-'Price History'!B3)*(ROW()-3)/(MATCH(9.99E+307,'Returns (Calc)'!$A:$A)-3),"")</f>
        <v/>
      </c>
      <c r="X122" s="144" t="n">
        <f aca="false">IFERROR('Price History'!C3+(INDEX('Price History'!C:C,MATCH(9.99E+307,'Price History'!$A:$A))-'Price History'!C3)*(ROW()-3)/(MATCH(9.99E+307,'Returns (Calc)'!$A:$A)-3),"")</f>
        <v>11.3988607594937</v>
      </c>
      <c r="Y122" s="144" t="n">
        <f aca="false">IFERROR('Price History'!D3+(INDEX('Price History'!D:D,MATCH(9.99E+307,'Price History'!$A:$A))-'Price History'!D3)*(ROW()-3)/(MATCH(9.99E+307,'Returns (Calc)'!$A:$A)-3),"")</f>
        <v>143.660696202532</v>
      </c>
      <c r="Z122" s="144" t="n">
        <f aca="false">IFERROR('Price History'!E3+(INDEX('Price History'!E:E,MATCH(9.99E+307,'Price History'!$A:$A))-'Price History'!E3)*(ROW()-3)/(MATCH(9.99E+307,'Returns (Calc)'!$A:$A)-3),"")</f>
        <v>20.2405063291139</v>
      </c>
      <c r="AA122" s="144" t="n">
        <f aca="false">IFERROR('Price History'!F3+(INDEX('Price History'!F:F,MATCH(9.99E+307,'Price History'!$A:$A))-'Price History'!F3)*(ROW()-3)/(MATCH(9.99E+307,'Returns (Calc)'!$A:$A)-3),"")</f>
        <v>18.5891772151899</v>
      </c>
      <c r="AB122" s="144" t="n">
        <f aca="false">IFERROR('Price History'!G3+(INDEX('Price History'!G:G,MATCH(9.99E+307,'Price History'!$A:$A))-'Price History'!G3)*(ROW()-3)/(MATCH(9.99E+307,'Returns (Calc)'!$A:$A)-3),"")</f>
        <v>10.2091139240506</v>
      </c>
      <c r="AC122" s="144" t="n">
        <f aca="false">IFERROR('Price History'!H3+(INDEX('Price History'!H:H,MATCH(9.99E+307,'Price History'!$A:$A))-'Price History'!H3)*(ROW()-3)/(MATCH(9.99E+307,'Returns (Calc)'!$A:$A)-3),"")</f>
        <v>24.8291772151899</v>
      </c>
      <c r="AD122" s="144" t="n">
        <f aca="false">IFERROR('Price History'!I3+(INDEX('Price History'!I:I,MATCH(9.99E+307,'Price History'!$A:$A))-'Price History'!I3)*(ROW()-3)/(MATCH(9.99E+307,'Returns (Calc)'!$A:$A)-3),"")</f>
        <v>10.9471518987342</v>
      </c>
      <c r="AE122" s="144" t="n">
        <f aca="false">IFERROR('Price History'!J3+(INDEX('Price History'!J:J,MATCH(9.99E+307,'Price History'!$A:$A))-'Price History'!J3)*(ROW()-3)/(MATCH(9.99E+307,'Returns (Calc)'!$A:$A)-3),"")</f>
        <v>17.0587974683544</v>
      </c>
      <c r="AF122" s="144" t="n">
        <f aca="false">IFERROR('Price History'!K3+(INDEX('Price History'!K:K,MATCH(9.99E+307,'Price History'!$A:$A))-'Price History'!K3)*(ROW()-3)/(MATCH(9.99E+307,'Returns (Calc)'!$A:$A)-3),"")</f>
        <v>10.8039873417722</v>
      </c>
      <c r="AG122" s="144" t="n">
        <f aca="false">IFERROR('Price History'!L3+(INDEX('Price History'!L:L,MATCH(9.99E+307,'Price History'!$A:$A))-'Price History'!L3)*(ROW()-3)/(MATCH(9.99E+307,'Returns (Calc)'!$A:$A)-3),"")</f>
        <v>27.6060759493671</v>
      </c>
      <c r="AH122" s="144" t="n">
        <f aca="false">IFERROR('Price History'!M3+(INDEX('Price History'!M:M,MATCH(9.99E+307,'Price History'!$A:$A))-'Price History'!M3)*(ROW()-3)/(MATCH(9.99E+307,'Returns (Calc)'!$A:$A)-3),"")</f>
        <v>3.78398734177215</v>
      </c>
      <c r="AI122" s="144" t="n">
        <f aca="false">IFERROR('Price History'!N3+(INDEX('Price History'!N:N,MATCH(9.99E+307,'Price History'!$A:$A))-'Price History'!N3)*(ROW()-3)/(MATCH(9.99E+307,'Returns (Calc)'!$A:$A)-3),"")</f>
        <v>5.38101265822785</v>
      </c>
      <c r="AJ122" s="144" t="n">
        <f aca="false">IFERROR('Price History'!O3+(INDEX('Price History'!O:O,MATCH(9.99E+307,'Price History'!$A:$A))-'Price History'!O3)*(ROW()-3)/(MATCH(9.99E+307,'Returns (Calc)'!$A:$A)-3),"")</f>
        <v>14.2251265822785</v>
      </c>
      <c r="AK122" s="144" t="n">
        <f aca="false">IFERROR('Price History'!Q3+(INDEX('Price History'!Q:Q,MATCH(9.99E+307,'Price History'!$A:$A))-'Price History'!Q3)*(ROW()-3)/(MATCH(9.99E+307,'Returns (Calc)'!$A:$A)-3),"")</f>
        <v>58.161835443038</v>
      </c>
      <c r="AL122" s="144" t="n">
        <f aca="false">IFERROR('Price History'!R3+(INDEX('Price History'!R:R,MATCH(9.99E+307,'Price History'!$A:$A))-'Price History'!R3)*(ROW()-3)/(MATCH(9.99E+307,'Returns (Calc)'!$A:$A)-3),"")</f>
        <v>11.8036708860759</v>
      </c>
      <c r="AM122" s="144" t="n">
        <f aca="false">IFERROR('Price History'!S3+(INDEX('Price History'!S:S,MATCH(9.99E+307,'Price History'!$A:$A))-'Price History'!S3)*(ROW()-3)/(MATCH(9.99E+307,'Returns (Calc)'!$A:$A)-3),"")</f>
        <v>14.449746835443</v>
      </c>
      <c r="AN122" s="144" t="n">
        <f aca="false">IFERROR('Price History'!T3+(INDEX('Price History'!T:T,MATCH(9.99E+307,'Price History'!$A:$A))-'Price History'!T3)*(ROW()-3)/(MATCH(9.99E+307,'Returns (Calc)'!$A:$A)-3),"")</f>
        <v>6.6423417721519</v>
      </c>
      <c r="AO122" s="145" t="n">
        <f aca="false">IFERROR('Price History'!V3+(INDEX('Price History'!V:V,MATCH(9.99E+307,'Price History'!$A:$A))-'Price History'!V3)*(ROW()-3)/(MATCH(9.99E+307,'Returns (Calc)'!$A:$A)-3),"")</f>
        <v>0</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0.0408263168200509</v>
      </c>
      <c r="G123" s="142" t="n">
        <f aca="false">IFERROR(IF(OR(NOT(ISNUMBER('Price History'!G124)),NOT(ISNUMBER('Price History'!G123)),'Price History'!G123=0),"",'Price History'!G124/'Price History'!G123-1),"")</f>
        <v>0.0375694505688333</v>
      </c>
      <c r="H123" s="142" t="n">
        <f aca="false">IFERROR(IF(OR(NOT(ISNUMBER('Price History'!H124)),NOT(ISNUMBER('Price History'!H123)),'Price History'!H123=0),"",'Price History'!H124/'Price History'!H123-1),"")</f>
        <v>0.02096345753464</v>
      </c>
      <c r="I123" s="142" t="n">
        <f aca="false">IFERROR(IF(OR(NOT(ISNUMBER('Price History'!I124)),NOT(ISNUMBER('Price History'!I123)),'Price History'!I123=0),"",'Price History'!I124/'Price History'!I123-1),"")</f>
        <v>0.0984406993227278</v>
      </c>
      <c r="J123" s="142" t="n">
        <f aca="false">IFERROR(IF(OR(NOT(ISNUMBER('Price History'!J124)),NOT(ISNUMBER('Price History'!J123)),'Price History'!J123=0),"",'Price History'!J124/'Price History'!J123-1),"")</f>
        <v>0.0940553229285623</v>
      </c>
      <c r="K123" s="142" t="n">
        <f aca="false">IFERROR(IF(OR(NOT(ISNUMBER('Price History'!K124)),NOT(ISNUMBER('Price History'!K123)),'Price History'!K123=0),"",'Price History'!K124/'Price History'!K123-1),"")</f>
        <v>-0.0211241441537073</v>
      </c>
      <c r="L123" s="142" t="n">
        <f aca="false">IFERROR(IF(OR(NOT(ISNUMBER('Price History'!L124)),NOT(ISNUMBER('Price History'!L123)),'Price History'!L123=0),"",'Price History'!L124/'Price History'!L123-1),"")</f>
        <v>0.00269627279936557</v>
      </c>
      <c r="M123" s="142" t="n">
        <f aca="false">IFERROR(IF(OR(NOT(ISNUMBER('Price History'!M124)),NOT(ISNUMBER('Price History'!M123)),'Price History'!M123=0),"",'Price History'!M124/'Price History'!M123-1),"")</f>
        <v>0.0573692362683189</v>
      </c>
      <c r="N123" s="142" t="n">
        <f aca="false">IFERROR(IF(OR(NOT(ISNUMBER('Price History'!N124)),NOT(ISNUMBER('Price History'!N123)),'Price History'!N123=0),"",'Price History'!N124/'Price History'!N123-1),"")</f>
        <v>0.0295639320029564</v>
      </c>
      <c r="O123" s="142" t="n">
        <f aca="false">IFERROR(IF(OR(NOT(ISNUMBER('Price History'!O124)),NOT(ISNUMBER('Price History'!O123)),'Price History'!O123=0),"",'Price History'!O124/'Price History'!O123-1),"")</f>
        <v>0.00294216543375936</v>
      </c>
      <c r="P123" s="142" t="n">
        <f aca="false">IFERROR(IF(OR(NOT(ISNUMBER('Price History'!P124)),NOT(ISNUMBER('Price History'!P123)),'Price History'!P123=0),"",'Price History'!P124/'Price History'!P123-1),"")</f>
        <v>0.0125819878910192</v>
      </c>
      <c r="Q123" s="142" t="n">
        <f aca="false">IFERROR(IF(OR(NOT(ISNUMBER('Price History'!Q124)),NOT(ISNUMBER('Price History'!Q123)),'Price History'!Q123=0),"",'Price History'!Q124/'Price History'!Q123-1),"")</f>
        <v>0.0094944978368805</v>
      </c>
      <c r="R123" s="142" t="n">
        <f aca="false">IFERROR(IF(OR(NOT(ISNUMBER('Price History'!R124)),NOT(ISNUMBER('Price History'!R123)),'Price History'!R123=0),"",'Price History'!R124/'Price History'!R123-1),"")</f>
        <v>0.000170039108994935</v>
      </c>
      <c r="S123" s="142" t="n">
        <f aca="false">IFERROR(IF(OR(NOT(ISNUMBER('Price History'!S124)),NOT(ISNUMBER('Price History'!S123)),'Price History'!S123=0),"",'Price History'!S124/'Price History'!S123-1),"")</f>
        <v>0.00607725607725596</v>
      </c>
      <c r="T123" s="142" t="n">
        <f aca="false">IFERROR(IF(OR(NOT(ISNUMBER('Price History'!T124)),NOT(ISNUMBER('Price History'!T123)),'Price History'!T123=0),"",'Price History'!T124/'Price History'!T123-1),"")</f>
        <v>0.0154559505409584</v>
      </c>
      <c r="U123" s="142" t="str">
        <f aca="false">IFERROR(IF(OR(NOT(ISNUMBER('Price History'!U124)),NOT(ISNUMBER('Price History'!U123)),'Price History'!U123=0),"",'Price History'!U124/'Price History'!U123-1),"")</f>
        <v/>
      </c>
      <c r="V123" s="143" t="n">
        <f aca="false">IFERROR(IF(OR(NOT(ISNUMBER('Price History'!V124)),NOT(ISNUMBER('Price History'!V123)),'Price History'!V123=0),"",'Price History'!V124/'Price History'!V123-1),"")</f>
        <v>-0.00956563590422332</v>
      </c>
      <c r="W123" s="144" t="str">
        <f aca="false">IFERROR('Price History'!B3+(INDEX('Price History'!B:B,MATCH(9.99E+307,'Price History'!$A:$A))-'Price History'!B3)*(ROW()-3)/(MATCH(9.99E+307,'Returns (Calc)'!$A:$A)-3),"")</f>
        <v/>
      </c>
      <c r="X123" s="144" t="n">
        <f aca="false">IFERROR('Price History'!C3+(INDEX('Price History'!C:C,MATCH(9.99E+307,'Price History'!$A:$A))-'Price History'!C3)*(ROW()-3)/(MATCH(9.99E+307,'Returns (Calc)'!$A:$A)-3),"")</f>
        <v>11.106582278481</v>
      </c>
      <c r="Y123" s="144" t="n">
        <f aca="false">IFERROR('Price History'!D3+(INDEX('Price History'!D:D,MATCH(9.99E+307,'Price History'!$A:$A))-'Price History'!D3)*(ROW()-3)/(MATCH(9.99E+307,'Returns (Calc)'!$A:$A)-3),"")</f>
        <v>139.977088607595</v>
      </c>
      <c r="Z123" s="144" t="n">
        <f aca="false">IFERROR('Price History'!E3+(INDEX('Price History'!E:E,MATCH(9.99E+307,'Price History'!$A:$A))-'Price History'!E3)*(ROW()-3)/(MATCH(9.99E+307,'Returns (Calc)'!$A:$A)-3),"")</f>
        <v>19.7215189873418</v>
      </c>
      <c r="AA123" s="144" t="n">
        <f aca="false">IFERROR('Price History'!F3+(INDEX('Price History'!F:F,MATCH(9.99E+307,'Price History'!$A:$A))-'Price History'!F3)*(ROW()-3)/(MATCH(9.99E+307,'Returns (Calc)'!$A:$A)-3),"")</f>
        <v>18.1125316455696</v>
      </c>
      <c r="AB123" s="144" t="n">
        <f aca="false">IFERROR('Price History'!G3+(INDEX('Price History'!G:G,MATCH(9.99E+307,'Price History'!$A:$A))-'Price History'!G3)*(ROW()-3)/(MATCH(9.99E+307,'Returns (Calc)'!$A:$A)-3),"")</f>
        <v>9.9473417721519</v>
      </c>
      <c r="AC123" s="144" t="n">
        <f aca="false">IFERROR('Price History'!H3+(INDEX('Price History'!H:H,MATCH(9.99E+307,'Price History'!$A:$A))-'Price History'!H3)*(ROW()-3)/(MATCH(9.99E+307,'Returns (Calc)'!$A:$A)-3),"")</f>
        <v>24.1925316455696</v>
      </c>
      <c r="AD123" s="144" t="n">
        <f aca="false">IFERROR('Price History'!I3+(INDEX('Price History'!I:I,MATCH(9.99E+307,'Price History'!$A:$A))-'Price History'!I3)*(ROW()-3)/(MATCH(9.99E+307,'Returns (Calc)'!$A:$A)-3),"")</f>
        <v>10.6664556962025</v>
      </c>
      <c r="AE123" s="144" t="n">
        <f aca="false">IFERROR('Price History'!J3+(INDEX('Price History'!J:J,MATCH(9.99E+307,'Price History'!$A:$A))-'Price History'!J3)*(ROW()-3)/(MATCH(9.99E+307,'Returns (Calc)'!$A:$A)-3),"")</f>
        <v>16.6213924050633</v>
      </c>
      <c r="AF123" s="144" t="n">
        <f aca="false">IFERROR('Price History'!K3+(INDEX('Price History'!K:K,MATCH(9.99E+307,'Price History'!$A:$A))-'Price History'!K3)*(ROW()-3)/(MATCH(9.99E+307,'Returns (Calc)'!$A:$A)-3),"")</f>
        <v>10.5269620253165</v>
      </c>
      <c r="AG123" s="144" t="n">
        <f aca="false">IFERROR('Price History'!L3+(INDEX('Price History'!L:L,MATCH(9.99E+307,'Price History'!$A:$A))-'Price History'!L3)*(ROW()-3)/(MATCH(9.99E+307,'Returns (Calc)'!$A:$A)-3),"")</f>
        <v>26.8982278481013</v>
      </c>
      <c r="AH123" s="144" t="n">
        <f aca="false">IFERROR('Price History'!M3+(INDEX('Price History'!M:M,MATCH(9.99E+307,'Price History'!$A:$A))-'Price History'!M3)*(ROW()-3)/(MATCH(9.99E+307,'Returns (Calc)'!$A:$A)-3),"")</f>
        <v>3.68696202531646</v>
      </c>
      <c r="AI123" s="144" t="n">
        <f aca="false">IFERROR('Price History'!N3+(INDEX('Price History'!N:N,MATCH(9.99E+307,'Price History'!$A:$A))-'Price History'!N3)*(ROW()-3)/(MATCH(9.99E+307,'Returns (Calc)'!$A:$A)-3),"")</f>
        <v>5.24303797468355</v>
      </c>
      <c r="AJ123" s="144" t="n">
        <f aca="false">IFERROR('Price History'!O3+(INDEX('Price History'!O:O,MATCH(9.99E+307,'Price History'!$A:$A))-'Price History'!O3)*(ROW()-3)/(MATCH(9.99E+307,'Returns (Calc)'!$A:$A)-3),"")</f>
        <v>13.8603797468354</v>
      </c>
      <c r="AK123" s="144" t="n">
        <f aca="false">IFERROR('Price History'!Q3+(INDEX('Price History'!Q:Q,MATCH(9.99E+307,'Price History'!$A:$A))-'Price History'!Q3)*(ROW()-3)/(MATCH(9.99E+307,'Returns (Calc)'!$A:$A)-3),"")</f>
        <v>56.6705063291139</v>
      </c>
      <c r="AL123" s="144" t="n">
        <f aca="false">IFERROR('Price History'!R3+(INDEX('Price History'!R:R,MATCH(9.99E+307,'Price History'!$A:$A))-'Price History'!R3)*(ROW()-3)/(MATCH(9.99E+307,'Returns (Calc)'!$A:$A)-3),"")</f>
        <v>11.5010126582279</v>
      </c>
      <c r="AM123" s="144" t="n">
        <f aca="false">IFERROR('Price History'!S3+(INDEX('Price History'!S:S,MATCH(9.99E+307,'Price History'!$A:$A))-'Price History'!S3)*(ROW()-3)/(MATCH(9.99E+307,'Returns (Calc)'!$A:$A)-3),"")</f>
        <v>14.0792405063291</v>
      </c>
      <c r="AN123" s="144" t="n">
        <f aca="false">IFERROR('Price History'!T3+(INDEX('Price History'!T:T,MATCH(9.99E+307,'Price History'!$A:$A))-'Price History'!T3)*(ROW()-3)/(MATCH(9.99E+307,'Returns (Calc)'!$A:$A)-3),"")</f>
        <v>6.4720253164557</v>
      </c>
      <c r="AO123" s="145" t="n">
        <f aca="false">IFERROR('Price History'!V3+(INDEX('Price History'!V:V,MATCH(9.99E+307,'Price History'!$A:$A))-'Price History'!V3)*(ROW()-3)/(MATCH(9.99E+307,'Returns (Calc)'!$A:$A)-3),"")</f>
        <v>0</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0.0110055498071677</v>
      </c>
      <c r="G124" s="142" t="n">
        <f aca="false">IFERROR(IF(OR(NOT(ISNUMBER('Price History'!G125)),NOT(ISNUMBER('Price History'!G124)),'Price History'!G124=0),"",'Price History'!G125/'Price History'!G124-1),"")</f>
        <v>-0.0355291117722057</v>
      </c>
      <c r="H124" s="142" t="n">
        <f aca="false">IFERROR(IF(OR(NOT(ISNUMBER('Price History'!H125)),NOT(ISNUMBER('Price History'!H124)),'Price History'!H124=0),"",'Price History'!H125/'Price History'!H124-1),"")</f>
        <v>0.013008930454961</v>
      </c>
      <c r="I124" s="142" t="n">
        <f aca="false">IFERROR(IF(OR(NOT(ISNUMBER('Price History'!I125)),NOT(ISNUMBER('Price History'!I124)),'Price History'!I124=0),"",'Price History'!I125/'Price History'!I124-1),"")</f>
        <v>0.1198738170347</v>
      </c>
      <c r="J124" s="142" t="n">
        <f aca="false">IFERROR(IF(OR(NOT(ISNUMBER('Price History'!J125)),NOT(ISNUMBER('Price History'!J124)),'Price History'!J124=0),"",'Price History'!J125/'Price History'!J124-1),"")</f>
        <v>0.0511757371915684</v>
      </c>
      <c r="K124" s="142" t="n">
        <f aca="false">IFERROR(IF(OR(NOT(ISNUMBER('Price History'!K125)),NOT(ISNUMBER('Price History'!K124)),'Price History'!K124=0),"",'Price History'!K125/'Price History'!K124-1),"")</f>
        <v>0.00742829257712963</v>
      </c>
      <c r="L124" s="142" t="n">
        <f aca="false">IFERROR(IF(OR(NOT(ISNUMBER('Price History'!L125)),NOT(ISNUMBER('Price History'!L124)),'Price History'!L124=0),"",'Price History'!L125/'Price History'!L124-1),"")</f>
        <v>0.0294210692818728</v>
      </c>
      <c r="M124" s="142" t="n">
        <f aca="false">IFERROR(IF(OR(NOT(ISNUMBER('Price History'!M125)),NOT(ISNUMBER('Price History'!M124)),'Price History'!M124=0),"",'Price History'!M125/'Price History'!M124-1),"")</f>
        <v>-0.0367908051157811</v>
      </c>
      <c r="N124" s="142" t="n">
        <f aca="false">IFERROR(IF(OR(NOT(ISNUMBER('Price History'!N125)),NOT(ISNUMBER('Price History'!N124)),'Price History'!N124=0),"",'Price History'!N125/'Price History'!N124-1),"")</f>
        <v>0.0125628140703518</v>
      </c>
      <c r="O124" s="142" t="n">
        <f aca="false">IFERROR(IF(OR(NOT(ISNUMBER('Price History'!O125)),NOT(ISNUMBER('Price History'!O124)),'Price History'!O124=0),"",'Price History'!O125/'Price History'!O124-1),"")</f>
        <v>-0.000251445813427176</v>
      </c>
      <c r="P124" s="142" t="n">
        <f aca="false">IFERROR(IF(OR(NOT(ISNUMBER('Price History'!P125)),NOT(ISNUMBER('Price History'!P124)),'Price History'!P124=0),"",'Price History'!P125/'Price History'!P124-1),"")</f>
        <v>0.0579863598143939</v>
      </c>
      <c r="Q124" s="142" t="n">
        <f aca="false">IFERROR(IF(OR(NOT(ISNUMBER('Price History'!Q125)),NOT(ISNUMBER('Price History'!Q124)),'Price History'!Q124=0),"",'Price History'!Q125/'Price History'!Q124-1),"")</f>
        <v>-0.0613782788771284</v>
      </c>
      <c r="R124" s="142" t="n">
        <f aca="false">IFERROR(IF(OR(NOT(ISNUMBER('Price History'!R125)),NOT(ISNUMBER('Price History'!R124)),'Price History'!R124=0),"",'Price History'!R125/'Price History'!R124-1),"")</f>
        <v>-0.0108806528391704</v>
      </c>
      <c r="S124" s="142" t="n">
        <f aca="false">IFERROR(IF(OR(NOT(ISNUMBER('Price History'!S125)),NOT(ISNUMBER('Price History'!S124)),'Price History'!S124=0),"",'Price History'!S125/'Price History'!S124-1),"")</f>
        <v>-0.014480761274307</v>
      </c>
      <c r="T124" s="142" t="n">
        <f aca="false">IFERROR(IF(OR(NOT(ISNUMBER('Price History'!T125)),NOT(ISNUMBER('Price History'!T124)),'Price History'!T124=0),"",'Price History'!T125/'Price History'!T124-1),"")</f>
        <v>0.00710299340436338</v>
      </c>
      <c r="U124" s="142" t="str">
        <f aca="false">IFERROR(IF(OR(NOT(ISNUMBER('Price History'!U125)),NOT(ISNUMBER('Price History'!U124)),'Price History'!U124=0),"",'Price History'!U125/'Price History'!U124-1),"")</f>
        <v/>
      </c>
      <c r="V124" s="143" t="n">
        <f aca="false">IFERROR(IF(OR(NOT(ISNUMBER('Price History'!V125)),NOT(ISNUMBER('Price History'!V124)),'Price History'!V124=0),"",'Price History'!V125/'Price History'!V124-1),"")</f>
        <v>0.0500820020652373</v>
      </c>
      <c r="W124" s="144" t="str">
        <f aca="false">IFERROR('Price History'!B3+(INDEX('Price History'!B:B,MATCH(9.99E+307,'Price History'!$A:$A))-'Price History'!B3)*(ROW()-3)/(MATCH(9.99E+307,'Returns (Calc)'!$A:$A)-3),"")</f>
        <v/>
      </c>
      <c r="X124" s="144" t="n">
        <f aca="false">IFERROR('Price History'!C3+(INDEX('Price History'!C:C,MATCH(9.99E+307,'Price History'!$A:$A))-'Price History'!C3)*(ROW()-3)/(MATCH(9.99E+307,'Returns (Calc)'!$A:$A)-3),"")</f>
        <v>10.8143037974684</v>
      </c>
      <c r="Y124" s="144" t="n">
        <f aca="false">IFERROR('Price History'!D3+(INDEX('Price History'!D:D,MATCH(9.99E+307,'Price History'!$A:$A))-'Price History'!D3)*(ROW()-3)/(MATCH(9.99E+307,'Returns (Calc)'!$A:$A)-3),"")</f>
        <v>136.293481012658</v>
      </c>
      <c r="Z124" s="144" t="n">
        <f aca="false">IFERROR('Price History'!E3+(INDEX('Price History'!E:E,MATCH(9.99E+307,'Price History'!$A:$A))-'Price History'!E3)*(ROW()-3)/(MATCH(9.99E+307,'Returns (Calc)'!$A:$A)-3),"")</f>
        <v>19.2025316455696</v>
      </c>
      <c r="AA124" s="144" t="n">
        <f aca="false">IFERROR('Price History'!F3+(INDEX('Price History'!F:F,MATCH(9.99E+307,'Price History'!$A:$A))-'Price History'!F3)*(ROW()-3)/(MATCH(9.99E+307,'Returns (Calc)'!$A:$A)-3),"")</f>
        <v>17.6358860759494</v>
      </c>
      <c r="AB124" s="144" t="n">
        <f aca="false">IFERROR('Price History'!G3+(INDEX('Price History'!G:G,MATCH(9.99E+307,'Price History'!$A:$A))-'Price History'!G3)*(ROW()-3)/(MATCH(9.99E+307,'Returns (Calc)'!$A:$A)-3),"")</f>
        <v>9.68556962025317</v>
      </c>
      <c r="AC124" s="144" t="n">
        <f aca="false">IFERROR('Price History'!H3+(INDEX('Price History'!H:H,MATCH(9.99E+307,'Price History'!$A:$A))-'Price History'!H3)*(ROW()-3)/(MATCH(9.99E+307,'Returns (Calc)'!$A:$A)-3),"")</f>
        <v>23.5558860759494</v>
      </c>
      <c r="AD124" s="144" t="n">
        <f aca="false">IFERROR('Price History'!I3+(INDEX('Price History'!I:I,MATCH(9.99E+307,'Price History'!$A:$A))-'Price History'!I3)*(ROW()-3)/(MATCH(9.99E+307,'Returns (Calc)'!$A:$A)-3),"")</f>
        <v>10.3857594936709</v>
      </c>
      <c r="AE124" s="144" t="n">
        <f aca="false">IFERROR('Price History'!J3+(INDEX('Price History'!J:J,MATCH(9.99E+307,'Price History'!$A:$A))-'Price History'!J3)*(ROW()-3)/(MATCH(9.99E+307,'Returns (Calc)'!$A:$A)-3),"")</f>
        <v>16.1839873417722</v>
      </c>
      <c r="AF124" s="144" t="n">
        <f aca="false">IFERROR('Price History'!K3+(INDEX('Price History'!K:K,MATCH(9.99E+307,'Price History'!$A:$A))-'Price History'!K3)*(ROW()-3)/(MATCH(9.99E+307,'Returns (Calc)'!$A:$A)-3),"")</f>
        <v>10.2499367088608</v>
      </c>
      <c r="AG124" s="144" t="n">
        <f aca="false">IFERROR('Price History'!L3+(INDEX('Price History'!L:L,MATCH(9.99E+307,'Price History'!$A:$A))-'Price History'!L3)*(ROW()-3)/(MATCH(9.99E+307,'Returns (Calc)'!$A:$A)-3),"")</f>
        <v>26.1903797468354</v>
      </c>
      <c r="AH124" s="144" t="n">
        <f aca="false">IFERROR('Price History'!M3+(INDEX('Price History'!M:M,MATCH(9.99E+307,'Price History'!$A:$A))-'Price History'!M3)*(ROW()-3)/(MATCH(9.99E+307,'Returns (Calc)'!$A:$A)-3),"")</f>
        <v>3.58993670886076</v>
      </c>
      <c r="AI124" s="144" t="n">
        <f aca="false">IFERROR('Price History'!N3+(INDEX('Price History'!N:N,MATCH(9.99E+307,'Price History'!$A:$A))-'Price History'!N3)*(ROW()-3)/(MATCH(9.99E+307,'Returns (Calc)'!$A:$A)-3),"")</f>
        <v>5.10506329113924</v>
      </c>
      <c r="AJ124" s="144" t="n">
        <f aca="false">IFERROR('Price History'!O3+(INDEX('Price History'!O:O,MATCH(9.99E+307,'Price History'!$A:$A))-'Price History'!O3)*(ROW()-3)/(MATCH(9.99E+307,'Returns (Calc)'!$A:$A)-3),"")</f>
        <v>13.4956329113924</v>
      </c>
      <c r="AK124" s="144" t="n">
        <f aca="false">IFERROR('Price History'!Q3+(INDEX('Price History'!Q:Q,MATCH(9.99E+307,'Price History'!$A:$A))-'Price History'!Q3)*(ROW()-3)/(MATCH(9.99E+307,'Returns (Calc)'!$A:$A)-3),"")</f>
        <v>55.1791772151899</v>
      </c>
      <c r="AL124" s="144" t="n">
        <f aca="false">IFERROR('Price History'!R3+(INDEX('Price History'!R:R,MATCH(9.99E+307,'Price History'!$A:$A))-'Price History'!R3)*(ROW()-3)/(MATCH(9.99E+307,'Returns (Calc)'!$A:$A)-3),"")</f>
        <v>11.1983544303797</v>
      </c>
      <c r="AM124" s="144" t="n">
        <f aca="false">IFERROR('Price History'!S3+(INDEX('Price History'!S:S,MATCH(9.99E+307,'Price History'!$A:$A))-'Price History'!S3)*(ROW()-3)/(MATCH(9.99E+307,'Returns (Calc)'!$A:$A)-3),"")</f>
        <v>13.7087341772152</v>
      </c>
      <c r="AN124" s="144" t="n">
        <f aca="false">IFERROR('Price History'!T3+(INDEX('Price History'!T:T,MATCH(9.99E+307,'Price History'!$A:$A))-'Price History'!T3)*(ROW()-3)/(MATCH(9.99E+307,'Returns (Calc)'!$A:$A)-3),"")</f>
        <v>6.30170886075949</v>
      </c>
      <c r="AO124" s="145" t="n">
        <f aca="false">IFERROR('Price History'!V3+(INDEX('Price History'!V:V,MATCH(9.99E+307,'Price History'!$A:$A))-'Price History'!V3)*(ROW()-3)/(MATCH(9.99E+307,'Returns (Calc)'!$A:$A)-3),"")</f>
        <v>0</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-0.000186081131373417</v>
      </c>
      <c r="G125" s="142" t="n">
        <f aca="false">IFERROR(IF(OR(NOT(ISNUMBER('Price History'!G126)),NOT(ISNUMBER('Price History'!G125)),'Price History'!G125=0),"",'Price History'!G126/'Price History'!G125-1),"")</f>
        <v>-0.00308451573103019</v>
      </c>
      <c r="H125" s="142" t="n">
        <f aca="false">IFERROR(IF(OR(NOT(ISNUMBER('Price History'!H126)),NOT(ISNUMBER('Price History'!H125)),'Price History'!H125=0),"",'Price History'!H126/'Price History'!H125-1),"")</f>
        <v>0.0024989587671802</v>
      </c>
      <c r="I125" s="142" t="n">
        <f aca="false">IFERROR(IF(OR(NOT(ISNUMBER('Price History'!I126)),NOT(ISNUMBER('Price History'!I125)),'Price History'!I125=0),"",'Price History'!I126/'Price History'!I125-1),"")</f>
        <v>-0.0350832266325224</v>
      </c>
      <c r="J125" s="142" t="n">
        <f aca="false">IFERROR(IF(OR(NOT(ISNUMBER('Price History'!J126)),NOT(ISNUMBER('Price History'!J125)),'Price History'!J125=0),"",'Price History'!J126/'Price History'!J125-1),"")</f>
        <v>0.101726706018646</v>
      </c>
      <c r="K125" s="142" t="n">
        <f aca="false">IFERROR(IF(OR(NOT(ISNUMBER('Price History'!K126)),NOT(ISNUMBER('Price History'!K125)),'Price History'!K125=0),"",'Price History'!K126/'Price History'!K125-1),"")</f>
        <v>0.00769644779332612</v>
      </c>
      <c r="L125" s="142" t="n">
        <f aca="false">IFERROR(IF(OR(NOT(ISNUMBER('Price History'!L126)),NOT(ISNUMBER('Price History'!L125)),'Price History'!L125=0),"",'Price History'!L126/'Price History'!L125-1),"")</f>
        <v>-0.0454824830977258</v>
      </c>
      <c r="M125" s="142" t="n">
        <f aca="false">IFERROR(IF(OR(NOT(ISNUMBER('Price History'!M126)),NOT(ISNUMBER('Price History'!M125)),'Price History'!M125=0),"",'Price History'!M126/'Price History'!M125-1),"")</f>
        <v>-0.0079550772110436</v>
      </c>
      <c r="N125" s="142" t="n">
        <f aca="false">IFERROR(IF(OR(NOT(ISNUMBER('Price History'!N126)),NOT(ISNUMBER('Price History'!N125)),'Price History'!N125=0),"",'Price History'!N126/'Price History'!N125-1),"")</f>
        <v>0.00815313718539534</v>
      </c>
      <c r="O125" s="142" t="n">
        <f aca="false">IFERROR(IF(OR(NOT(ISNUMBER('Price History'!O126)),NOT(ISNUMBER('Price History'!O125)),'Price History'!O125=0),"",'Price History'!O126/'Price History'!O125-1),"")</f>
        <v>-0.017270288397049</v>
      </c>
      <c r="P125" s="142" t="n">
        <f aca="false">IFERROR(IF(OR(NOT(ISNUMBER('Price History'!P126)),NOT(ISNUMBER('Price History'!P125)),'Price History'!P125=0),"",'Price History'!P126/'Price History'!P125-1),"")</f>
        <v>-0.0219880493332941</v>
      </c>
      <c r="Q125" s="142" t="n">
        <f aca="false">IFERROR(IF(OR(NOT(ISNUMBER('Price History'!Q126)),NOT(ISNUMBER('Price History'!Q125)),'Price History'!Q125=0),"",'Price History'!Q126/'Price History'!Q125-1),"")</f>
        <v>-0.00646564932279203</v>
      </c>
      <c r="R125" s="142" t="n">
        <f aca="false">IFERROR(IF(OR(NOT(ISNUMBER('Price History'!R126)),NOT(ISNUMBER('Price History'!R125)),'Price History'!R125=0),"",'Price History'!R126/'Price History'!R125-1),"")</f>
        <v>0.00756273633551041</v>
      </c>
      <c r="S125" s="142" t="n">
        <f aca="false">IFERROR(IF(OR(NOT(ISNUMBER('Price History'!S126)),NOT(ISNUMBER('Price History'!S125)),'Price History'!S125=0),"",'Price History'!S126/'Price History'!S125-1),"")</f>
        <v>0.00361041141897567</v>
      </c>
      <c r="T125" s="142" t="n">
        <f aca="false">IFERROR(IF(OR(NOT(ISNUMBER('Price History'!T126)),NOT(ISNUMBER('Price History'!T125)),'Price History'!T125=0),"",'Price History'!T126/'Price History'!T125-1),"")</f>
        <v>-0.00428211586901772</v>
      </c>
      <c r="U125" s="142" t="str">
        <f aca="false">IFERROR(IF(OR(NOT(ISNUMBER('Price History'!U126)),NOT(ISNUMBER('Price History'!U125)),'Price History'!U125=0),"",'Price History'!U126/'Price History'!U125-1),"")</f>
        <v/>
      </c>
      <c r="V125" s="143" t="n">
        <f aca="false">IFERROR(IF(OR(NOT(ISNUMBER('Price History'!V126)),NOT(ISNUMBER('Price History'!V125)),'Price History'!V125=0),"",'Price History'!V126/'Price History'!V125-1),"")</f>
        <v>0.00410701373825018</v>
      </c>
      <c r="W125" s="144" t="str">
        <f aca="false">IFERROR('Price History'!B3+(INDEX('Price History'!B:B,MATCH(9.99E+307,'Price History'!$A:$A))-'Price History'!B3)*(ROW()-3)/(MATCH(9.99E+307,'Returns (Calc)'!$A:$A)-3),"")</f>
        <v/>
      </c>
      <c r="X125" s="144" t="n">
        <f aca="false">IFERROR('Price History'!C3+(INDEX('Price History'!C:C,MATCH(9.99E+307,'Price History'!$A:$A))-'Price History'!C3)*(ROW()-3)/(MATCH(9.99E+307,'Returns (Calc)'!$A:$A)-3),"")</f>
        <v>10.5220253164557</v>
      </c>
      <c r="Y125" s="144" t="n">
        <f aca="false">IFERROR('Price History'!D3+(INDEX('Price History'!D:D,MATCH(9.99E+307,'Price History'!$A:$A))-'Price History'!D3)*(ROW()-3)/(MATCH(9.99E+307,'Returns (Calc)'!$A:$A)-3),"")</f>
        <v>132.609873417722</v>
      </c>
      <c r="Z125" s="144" t="n">
        <f aca="false">IFERROR('Price History'!E3+(INDEX('Price History'!E:E,MATCH(9.99E+307,'Price History'!$A:$A))-'Price History'!E3)*(ROW()-3)/(MATCH(9.99E+307,'Returns (Calc)'!$A:$A)-3),"")</f>
        <v>18.6835443037975</v>
      </c>
      <c r="AA125" s="144" t="n">
        <f aca="false">IFERROR('Price History'!F3+(INDEX('Price History'!F:F,MATCH(9.99E+307,'Price History'!$A:$A))-'Price History'!F3)*(ROW()-3)/(MATCH(9.99E+307,'Returns (Calc)'!$A:$A)-3),"")</f>
        <v>17.1592405063291</v>
      </c>
      <c r="AB125" s="144" t="n">
        <f aca="false">IFERROR('Price History'!G3+(INDEX('Price History'!G:G,MATCH(9.99E+307,'Price History'!$A:$A))-'Price History'!G3)*(ROW()-3)/(MATCH(9.99E+307,'Returns (Calc)'!$A:$A)-3),"")</f>
        <v>9.42379746835443</v>
      </c>
      <c r="AC125" s="144" t="n">
        <f aca="false">IFERROR('Price History'!H3+(INDEX('Price History'!H:H,MATCH(9.99E+307,'Price History'!$A:$A))-'Price History'!H3)*(ROW()-3)/(MATCH(9.99E+307,'Returns (Calc)'!$A:$A)-3),"")</f>
        <v>22.9192405063291</v>
      </c>
      <c r="AD125" s="144" t="n">
        <f aca="false">IFERROR('Price History'!I3+(INDEX('Price History'!I:I,MATCH(9.99E+307,'Price History'!$A:$A))-'Price History'!I3)*(ROW()-3)/(MATCH(9.99E+307,'Returns (Calc)'!$A:$A)-3),"")</f>
        <v>10.1050632911392</v>
      </c>
      <c r="AE125" s="144" t="n">
        <f aca="false">IFERROR('Price History'!J3+(INDEX('Price History'!J:J,MATCH(9.99E+307,'Price History'!$A:$A))-'Price History'!J3)*(ROW()-3)/(MATCH(9.99E+307,'Returns (Calc)'!$A:$A)-3),"")</f>
        <v>15.746582278481</v>
      </c>
      <c r="AF125" s="144" t="n">
        <f aca="false">IFERROR('Price History'!K3+(INDEX('Price History'!K:K,MATCH(9.99E+307,'Price History'!$A:$A))-'Price History'!K3)*(ROW()-3)/(MATCH(9.99E+307,'Returns (Calc)'!$A:$A)-3),"")</f>
        <v>9.97291139240507</v>
      </c>
      <c r="AG125" s="144" t="n">
        <f aca="false">IFERROR('Price History'!L3+(INDEX('Price History'!L:L,MATCH(9.99E+307,'Price History'!$A:$A))-'Price History'!L3)*(ROW()-3)/(MATCH(9.99E+307,'Returns (Calc)'!$A:$A)-3),"")</f>
        <v>25.4825316455696</v>
      </c>
      <c r="AH125" s="144" t="n">
        <f aca="false">IFERROR('Price History'!M3+(INDEX('Price History'!M:M,MATCH(9.99E+307,'Price History'!$A:$A))-'Price History'!M3)*(ROW()-3)/(MATCH(9.99E+307,'Returns (Calc)'!$A:$A)-3),"")</f>
        <v>3.49291139240506</v>
      </c>
      <c r="AI125" s="144" t="n">
        <f aca="false">IFERROR('Price History'!N3+(INDEX('Price History'!N:N,MATCH(9.99E+307,'Price History'!$A:$A))-'Price History'!N3)*(ROW()-3)/(MATCH(9.99E+307,'Returns (Calc)'!$A:$A)-3),"")</f>
        <v>4.96708860759494</v>
      </c>
      <c r="AJ125" s="144" t="n">
        <f aca="false">IFERROR('Price History'!O3+(INDEX('Price History'!O:O,MATCH(9.99E+307,'Price History'!$A:$A))-'Price History'!O3)*(ROW()-3)/(MATCH(9.99E+307,'Returns (Calc)'!$A:$A)-3),"")</f>
        <v>13.1308860759494</v>
      </c>
      <c r="AK125" s="144" t="n">
        <f aca="false">IFERROR('Price History'!Q3+(INDEX('Price History'!Q:Q,MATCH(9.99E+307,'Price History'!$A:$A))-'Price History'!Q3)*(ROW()-3)/(MATCH(9.99E+307,'Returns (Calc)'!$A:$A)-3),"")</f>
        <v>53.6878481012658</v>
      </c>
      <c r="AL125" s="144" t="n">
        <f aca="false">IFERROR('Price History'!R3+(INDEX('Price History'!R:R,MATCH(9.99E+307,'Price History'!$A:$A))-'Price History'!R3)*(ROW()-3)/(MATCH(9.99E+307,'Returns (Calc)'!$A:$A)-3),"")</f>
        <v>10.8956962025316</v>
      </c>
      <c r="AM125" s="144" t="n">
        <f aca="false">IFERROR('Price History'!S3+(INDEX('Price History'!S:S,MATCH(9.99E+307,'Price History'!$A:$A))-'Price History'!S3)*(ROW()-3)/(MATCH(9.99E+307,'Returns (Calc)'!$A:$A)-3),"")</f>
        <v>13.3382278481013</v>
      </c>
      <c r="AN125" s="144" t="n">
        <f aca="false">IFERROR('Price History'!T3+(INDEX('Price History'!T:T,MATCH(9.99E+307,'Price History'!$A:$A))-'Price History'!T3)*(ROW()-3)/(MATCH(9.99E+307,'Returns (Calc)'!$A:$A)-3),"")</f>
        <v>6.13139240506329</v>
      </c>
      <c r="AO125" s="145" t="n">
        <f aca="false">IFERROR('Price History'!V3+(INDEX('Price History'!V:V,MATCH(9.99E+307,'Price History'!$A:$A))-'Price History'!V3)*(ROW()-3)/(MATCH(9.99E+307,'Returns (Calc)'!$A:$A)-3),"")</f>
        <v>0</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0.00725851479620321</v>
      </c>
      <c r="G126" s="142" t="n">
        <f aca="false">IFERROR(IF(OR(NOT(ISNUMBER('Price History'!G127)),NOT(ISNUMBER('Price History'!G126)),'Price History'!G126=0),"",'Price History'!G127/'Price History'!G126-1),"")</f>
        <v>-0.0244872701555871</v>
      </c>
      <c r="H126" s="142" t="n">
        <f aca="false">IFERROR(IF(OR(NOT(ISNUMBER('Price History'!H127)),NOT(ISNUMBER('Price History'!H126)),'Price History'!H126=0),"",'Price History'!H127/'Price History'!H126-1),"")</f>
        <v>0.0173798642847252</v>
      </c>
      <c r="I126" s="142" t="n">
        <f aca="false">IFERROR(IF(OR(NOT(ISNUMBER('Price History'!I127)),NOT(ISNUMBER('Price History'!I126)),'Price History'!I126=0),"",'Price History'!I127/'Price History'!I126-1),"")</f>
        <v>-0.0560642250530785</v>
      </c>
      <c r="J126" s="142" t="n">
        <f aca="false">IFERROR(IF(OR(NOT(ISNUMBER('Price History'!J127)),NOT(ISNUMBER('Price History'!J126)),'Price History'!J126=0),"",'Price History'!J127/'Price History'!J126-1),"")</f>
        <v>0.0381052526162935</v>
      </c>
      <c r="K126" s="142" t="n">
        <f aca="false">IFERROR(IF(OR(NOT(ISNUMBER('Price History'!K127)),NOT(ISNUMBER('Price History'!K126)),'Price History'!K126=0),"",'Price History'!K127/'Price History'!K126-1),"")</f>
        <v>0.0184265342092613</v>
      </c>
      <c r="L126" s="142" t="n">
        <f aca="false">IFERROR(IF(OR(NOT(ISNUMBER('Price History'!L127)),NOT(ISNUMBER('Price History'!L126)),'Price History'!L126=0),"",'Price History'!L127/'Price History'!L126-1),"")</f>
        <v>0.0268029620090149</v>
      </c>
      <c r="M126" s="142" t="n">
        <f aca="false">IFERROR(IF(OR(NOT(ISNUMBER('Price History'!M127)),NOT(ISNUMBER('Price History'!M126)),'Price History'!M126=0),"",'Price History'!M127/'Price History'!M126-1),"")</f>
        <v>-0.135672169811321</v>
      </c>
      <c r="N126" s="142" t="n">
        <f aca="false">IFERROR(IF(OR(NOT(ISNUMBER('Price History'!N127)),NOT(ISNUMBER('Price History'!N126)),'Price History'!N126=0),"",'Price History'!N127/'Price History'!N126-1),"")</f>
        <v>0.0232067510548524</v>
      </c>
      <c r="O126" s="142" t="n">
        <f aca="false">IFERROR(IF(OR(NOT(ISNUMBER('Price History'!O127)),NOT(ISNUMBER('Price History'!O126)),'Price History'!O126=0),"",'Price History'!O127/'Price History'!O126-1),"")</f>
        <v>0.0164647671045897</v>
      </c>
      <c r="P126" s="142" t="n">
        <f aca="false">IFERROR(IF(OR(NOT(ISNUMBER('Price History'!P127)),NOT(ISNUMBER('Price History'!P126)),'Price History'!P126=0),"",'Price History'!P127/'Price History'!P126-1),"")</f>
        <v>-0.0128814783603202</v>
      </c>
      <c r="Q126" s="142" t="n">
        <f aca="false">IFERROR(IF(OR(NOT(ISNUMBER('Price History'!Q127)),NOT(ISNUMBER('Price History'!Q126)),'Price History'!Q126=0),"",'Price History'!Q127/'Price History'!Q126-1),"")</f>
        <v>-0.013323875026987</v>
      </c>
      <c r="R126" s="142" t="n">
        <f aca="false">IFERROR(IF(OR(NOT(ISNUMBER('Price History'!R127)),NOT(ISNUMBER('Price History'!R126)),'Price History'!R126=0),"",'Price History'!R127/'Price History'!R126-1),"")</f>
        <v>0.0122824974411464</v>
      </c>
      <c r="S126" s="142" t="n">
        <f aca="false">IFERROR(IF(OR(NOT(ISNUMBER('Price History'!S127)),NOT(ISNUMBER('Price History'!S126)),'Price History'!S126=0),"",'Price History'!S127/'Price History'!S126-1),"")</f>
        <v>0.0154772860369781</v>
      </c>
      <c r="T126" s="142" t="n">
        <f aca="false">IFERROR(IF(OR(NOT(ISNUMBER('Price History'!T127)),NOT(ISNUMBER('Price History'!T126)),'Price History'!T126=0),"",'Price History'!T127/'Price History'!T126-1),"")</f>
        <v>0.00657728307614458</v>
      </c>
      <c r="U126" s="142" t="str">
        <f aca="false">IFERROR(IF(OR(NOT(ISNUMBER('Price History'!U127)),NOT(ISNUMBER('Price History'!U126)),'Price History'!U126=0),"",'Price History'!U127/'Price History'!U126-1),"")</f>
        <v/>
      </c>
      <c r="V126" s="143" t="n">
        <f aca="false">IFERROR(IF(OR(NOT(ISNUMBER('Price History'!V127)),NOT(ISNUMBER('Price History'!V126)),'Price History'!V126=0),"",'Price History'!V127/'Price History'!V126-1),"")</f>
        <v>0.0164472736699599</v>
      </c>
      <c r="W126" s="144" t="str">
        <f aca="false">IFERROR('Price History'!B3+(INDEX('Price History'!B:B,MATCH(9.99E+307,'Price History'!$A:$A))-'Price History'!B3)*(ROW()-3)/(MATCH(9.99E+307,'Returns (Calc)'!$A:$A)-3),"")</f>
        <v/>
      </c>
      <c r="X126" s="144" t="n">
        <f aca="false">IFERROR('Price History'!C3+(INDEX('Price History'!C:C,MATCH(9.99E+307,'Price History'!$A:$A))-'Price History'!C3)*(ROW()-3)/(MATCH(9.99E+307,'Returns (Calc)'!$A:$A)-3),"")</f>
        <v>10.229746835443</v>
      </c>
      <c r="Y126" s="144" t="n">
        <f aca="false">IFERROR('Price History'!D3+(INDEX('Price History'!D:D,MATCH(9.99E+307,'Price History'!$A:$A))-'Price History'!D3)*(ROW()-3)/(MATCH(9.99E+307,'Returns (Calc)'!$A:$A)-3),"")</f>
        <v>128.926265822785</v>
      </c>
      <c r="Z126" s="144" t="n">
        <f aca="false">IFERROR('Price History'!E3+(INDEX('Price History'!E:E,MATCH(9.99E+307,'Price History'!$A:$A))-'Price History'!E3)*(ROW()-3)/(MATCH(9.99E+307,'Returns (Calc)'!$A:$A)-3),"")</f>
        <v>18.1645569620253</v>
      </c>
      <c r="AA126" s="144" t="n">
        <f aca="false">IFERROR('Price History'!F3+(INDEX('Price History'!F:F,MATCH(9.99E+307,'Price History'!$A:$A))-'Price History'!F3)*(ROW()-3)/(MATCH(9.99E+307,'Returns (Calc)'!$A:$A)-3),"")</f>
        <v>16.6825949367089</v>
      </c>
      <c r="AB126" s="144" t="n">
        <f aca="false">IFERROR('Price History'!G3+(INDEX('Price History'!G:G,MATCH(9.99E+307,'Price History'!$A:$A))-'Price History'!G3)*(ROW()-3)/(MATCH(9.99E+307,'Returns (Calc)'!$A:$A)-3),"")</f>
        <v>9.1620253164557</v>
      </c>
      <c r="AC126" s="144" t="n">
        <f aca="false">IFERROR('Price History'!H3+(INDEX('Price History'!H:H,MATCH(9.99E+307,'Price History'!$A:$A))-'Price History'!H3)*(ROW()-3)/(MATCH(9.99E+307,'Returns (Calc)'!$A:$A)-3),"")</f>
        <v>22.2825949367089</v>
      </c>
      <c r="AD126" s="144" t="n">
        <f aca="false">IFERROR('Price History'!I3+(INDEX('Price History'!I:I,MATCH(9.99E+307,'Price History'!$A:$A))-'Price History'!I3)*(ROW()-3)/(MATCH(9.99E+307,'Returns (Calc)'!$A:$A)-3),"")</f>
        <v>9.8243670886076</v>
      </c>
      <c r="AE126" s="144" t="n">
        <f aca="false">IFERROR('Price History'!J3+(INDEX('Price History'!J:J,MATCH(9.99E+307,'Price History'!$A:$A))-'Price History'!J3)*(ROW()-3)/(MATCH(9.99E+307,'Returns (Calc)'!$A:$A)-3),"")</f>
        <v>15.3091772151899</v>
      </c>
      <c r="AF126" s="144" t="n">
        <f aca="false">IFERROR('Price History'!K3+(INDEX('Price History'!K:K,MATCH(9.99E+307,'Price History'!$A:$A))-'Price History'!K3)*(ROW()-3)/(MATCH(9.99E+307,'Returns (Calc)'!$A:$A)-3),"")</f>
        <v>9.69588607594937</v>
      </c>
      <c r="AG126" s="144" t="n">
        <f aca="false">IFERROR('Price History'!L3+(INDEX('Price History'!L:L,MATCH(9.99E+307,'Price History'!$A:$A))-'Price History'!L3)*(ROW()-3)/(MATCH(9.99E+307,'Returns (Calc)'!$A:$A)-3),"")</f>
        <v>24.7746835443038</v>
      </c>
      <c r="AH126" s="144" t="n">
        <f aca="false">IFERROR('Price History'!M3+(INDEX('Price History'!M:M,MATCH(9.99E+307,'Price History'!$A:$A))-'Price History'!M3)*(ROW()-3)/(MATCH(9.99E+307,'Returns (Calc)'!$A:$A)-3),"")</f>
        <v>3.39588607594937</v>
      </c>
      <c r="AI126" s="144" t="n">
        <f aca="false">IFERROR('Price History'!N3+(INDEX('Price History'!N:N,MATCH(9.99E+307,'Price History'!$A:$A))-'Price History'!N3)*(ROW()-3)/(MATCH(9.99E+307,'Returns (Calc)'!$A:$A)-3),"")</f>
        <v>4.82911392405064</v>
      </c>
      <c r="AJ126" s="144" t="n">
        <f aca="false">IFERROR('Price History'!O3+(INDEX('Price History'!O:O,MATCH(9.99E+307,'Price History'!$A:$A))-'Price History'!O3)*(ROW()-3)/(MATCH(9.99E+307,'Returns (Calc)'!$A:$A)-3),"")</f>
        <v>12.7661392405063</v>
      </c>
      <c r="AK126" s="144" t="n">
        <f aca="false">IFERROR('Price History'!Q3+(INDEX('Price History'!Q:Q,MATCH(9.99E+307,'Price History'!$A:$A))-'Price History'!Q3)*(ROW()-3)/(MATCH(9.99E+307,'Returns (Calc)'!$A:$A)-3),"")</f>
        <v>52.1965189873418</v>
      </c>
      <c r="AL126" s="144" t="n">
        <f aca="false">IFERROR('Price History'!R3+(INDEX('Price History'!R:R,MATCH(9.99E+307,'Price History'!$A:$A))-'Price History'!R3)*(ROW()-3)/(MATCH(9.99E+307,'Returns (Calc)'!$A:$A)-3),"")</f>
        <v>10.5930379746835</v>
      </c>
      <c r="AM126" s="144" t="n">
        <f aca="false">IFERROR('Price History'!S3+(INDEX('Price History'!S:S,MATCH(9.99E+307,'Price History'!$A:$A))-'Price History'!S3)*(ROW()-3)/(MATCH(9.99E+307,'Returns (Calc)'!$A:$A)-3),"")</f>
        <v>12.9677215189873</v>
      </c>
      <c r="AN126" s="144" t="n">
        <f aca="false">IFERROR('Price History'!T3+(INDEX('Price History'!T:T,MATCH(9.99E+307,'Price History'!$A:$A))-'Price History'!T3)*(ROW()-3)/(MATCH(9.99E+307,'Returns (Calc)'!$A:$A)-3),"")</f>
        <v>5.96107594936709</v>
      </c>
      <c r="AO126" s="145" t="n">
        <f aca="false">IFERROR('Price History'!V3+(INDEX('Price History'!V:V,MATCH(9.99E+307,'Price History'!$A:$A))-'Price History'!V3)*(ROW()-3)/(MATCH(9.99E+307,'Returns (Calc)'!$A:$A)-3),"")</f>
        <v>0</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0.054138950480414</v>
      </c>
      <c r="G127" s="142" t="n">
        <f aca="false">IFERROR(IF(OR(NOT(ISNUMBER('Price History'!G128)),NOT(ISNUMBER('Price History'!G127)),'Price History'!G127=0),"",'Price History'!G128/'Price History'!G127-1),"")</f>
        <v>-0.103942002718623</v>
      </c>
      <c r="H127" s="142" t="n">
        <f aca="false">IFERROR(IF(OR(NOT(ISNUMBER('Price History'!H128)),NOT(ISNUMBER('Price History'!H127)),'Price History'!H127=0),"",'Price History'!H128/'Price History'!H127-1),"")</f>
        <v>0.0330769754304769</v>
      </c>
      <c r="I127" s="142" t="n">
        <f aca="false">IFERROR(IF(OR(NOT(ISNUMBER('Price History'!I128)),NOT(ISNUMBER('Price History'!I127)),'Price History'!I127=0),"",'Price History'!I128/'Price History'!I127-1),"")</f>
        <v>0.01047304421171</v>
      </c>
      <c r="J127" s="142" t="n">
        <f aca="false">IFERROR(IF(OR(NOT(ISNUMBER('Price History'!J128)),NOT(ISNUMBER('Price History'!J127)),'Price History'!J127=0),"",'Price History'!J128/'Price History'!J127-1),"")</f>
        <v>-0.0486687246768281</v>
      </c>
      <c r="K127" s="142" t="n">
        <f aca="false">IFERROR(IF(OR(NOT(ISNUMBER('Price History'!K128)),NOT(ISNUMBER('Price History'!K127)),'Price History'!K127=0),"",'Price History'!K128/'Price History'!K127-1),"")</f>
        <v>-0.0298930144745123</v>
      </c>
      <c r="L127" s="142" t="n">
        <f aca="false">IFERROR(IF(OR(NOT(ISNUMBER('Price History'!L128)),NOT(ISNUMBER('Price History'!L127)),'Price History'!L127=0),"",'Price History'!L128/'Price History'!L127-1),"")</f>
        <v>0.0489927098847691</v>
      </c>
      <c r="M127" s="142" t="n">
        <f aca="false">IFERROR(IF(OR(NOT(ISNUMBER('Price History'!M128)),NOT(ISNUMBER('Price History'!M127)),'Price History'!M127=0),"",'Price History'!M128/'Price History'!M127-1),"")</f>
        <v>-0.0729244832526093</v>
      </c>
      <c r="N127" s="142" t="n">
        <f aca="false">IFERROR(IF(OR(NOT(ISNUMBER('Price History'!N128)),NOT(ISNUMBER('Price History'!N127)),'Price History'!N127=0),"",'Price History'!N128/'Price History'!N127-1),"")</f>
        <v>0.0553264604810997</v>
      </c>
      <c r="O127" s="142" t="n">
        <f aca="false">IFERROR(IF(OR(NOT(ISNUMBER('Price History'!O128)),NOT(ISNUMBER('Price History'!O127)),'Price History'!O127=0),"",'Price History'!O128/'Price History'!O127-1),"")</f>
        <v>-0.000251783466219013</v>
      </c>
      <c r="P127" s="142" t="n">
        <f aca="false">IFERROR(IF(OR(NOT(ISNUMBER('Price History'!P128)),NOT(ISNUMBER('Price History'!P127)),'Price History'!P127=0),"",'Price History'!P128/'Price History'!P127-1),"")</f>
        <v>0.0553387401670833</v>
      </c>
      <c r="Q127" s="142" t="n">
        <f aca="false">IFERROR(IF(OR(NOT(ISNUMBER('Price History'!Q128)),NOT(ISNUMBER('Price History'!Q127)),'Price History'!Q127=0),"",'Price History'!Q128/'Price History'!Q127-1),"")</f>
        <v>0.0302897689975306</v>
      </c>
      <c r="R127" s="142" t="n">
        <f aca="false">IFERROR(IF(OR(NOT(ISNUMBER('Price History'!R128)),NOT(ISNUMBER('Price History'!R127)),'Price History'!R127=0),"",'Price History'!R128/'Price History'!R127-1),"")</f>
        <v>-0.0210650488709134</v>
      </c>
      <c r="S127" s="142" t="n">
        <f aca="false">IFERROR(IF(OR(NOT(ISNUMBER('Price History'!S128)),NOT(ISNUMBER('Price History'!S127)),'Price History'!S127=0),"",'Price History'!S128/'Price History'!S127-1),"")</f>
        <v>-0.014087988136431</v>
      </c>
      <c r="T127" s="142" t="n">
        <f aca="false">IFERROR(IF(OR(NOT(ISNUMBER('Price History'!T128)),NOT(ISNUMBER('Price History'!T127)),'Price History'!T127=0),"",'Price History'!T128/'Price History'!T127-1),"")</f>
        <v>-0.0092988187986931</v>
      </c>
      <c r="U127" s="142" t="str">
        <f aca="false">IFERROR(IF(OR(NOT(ISNUMBER('Price History'!U128)),NOT(ISNUMBER('Price History'!U127)),'Price History'!U127=0),"",'Price History'!U128/'Price History'!U127-1),"")</f>
        <v/>
      </c>
      <c r="V127" s="143" t="n">
        <f aca="false">IFERROR(IF(OR(NOT(ISNUMBER('Price History'!V128)),NOT(ISNUMBER('Price History'!V127)),'Price History'!V127=0),"",'Price History'!V128/'Price History'!V127-1),"")</f>
        <v>-0.0240024937655859</v>
      </c>
      <c r="W127" s="144" t="str">
        <f aca="false">IFERROR('Price History'!B3+(INDEX('Price History'!B:B,MATCH(9.99E+307,'Price History'!$A:$A))-'Price History'!B3)*(ROW()-3)/(MATCH(9.99E+307,'Returns (Calc)'!$A:$A)-3),"")</f>
        <v/>
      </c>
      <c r="X127" s="144" t="n">
        <f aca="false">IFERROR('Price History'!C3+(INDEX('Price History'!C:C,MATCH(9.99E+307,'Price History'!$A:$A))-'Price History'!C3)*(ROW()-3)/(MATCH(9.99E+307,'Returns (Calc)'!$A:$A)-3),"")</f>
        <v>9.93746835443038</v>
      </c>
      <c r="Y127" s="144" t="n">
        <f aca="false">IFERROR('Price History'!D3+(INDEX('Price History'!D:D,MATCH(9.99E+307,'Price History'!$A:$A))-'Price History'!D3)*(ROW()-3)/(MATCH(9.99E+307,'Returns (Calc)'!$A:$A)-3),"")</f>
        <v>125.242658227848</v>
      </c>
      <c r="Z127" s="144" t="n">
        <f aca="false">IFERROR('Price History'!E3+(INDEX('Price History'!E:E,MATCH(9.99E+307,'Price History'!$A:$A))-'Price History'!E3)*(ROW()-3)/(MATCH(9.99E+307,'Returns (Calc)'!$A:$A)-3),"")</f>
        <v>17.6455696202532</v>
      </c>
      <c r="AA127" s="144" t="n">
        <f aca="false">IFERROR('Price History'!F3+(INDEX('Price History'!F:F,MATCH(9.99E+307,'Price History'!$A:$A))-'Price History'!F3)*(ROW()-3)/(MATCH(9.99E+307,'Returns (Calc)'!$A:$A)-3),"")</f>
        <v>16.2059493670886</v>
      </c>
      <c r="AB127" s="144" t="n">
        <f aca="false">IFERROR('Price History'!G3+(INDEX('Price History'!G:G,MATCH(9.99E+307,'Price History'!$A:$A))-'Price History'!G3)*(ROW()-3)/(MATCH(9.99E+307,'Returns (Calc)'!$A:$A)-3),"")</f>
        <v>8.90025316455696</v>
      </c>
      <c r="AC127" s="144" t="n">
        <f aca="false">IFERROR('Price History'!H3+(INDEX('Price History'!H:H,MATCH(9.99E+307,'Price History'!$A:$A))-'Price History'!H3)*(ROW()-3)/(MATCH(9.99E+307,'Returns (Calc)'!$A:$A)-3),"")</f>
        <v>21.6459493670886</v>
      </c>
      <c r="AD127" s="144" t="n">
        <f aca="false">IFERROR('Price History'!I3+(INDEX('Price History'!I:I,MATCH(9.99E+307,'Price History'!$A:$A))-'Price History'!I3)*(ROW()-3)/(MATCH(9.99E+307,'Returns (Calc)'!$A:$A)-3),"")</f>
        <v>9.54367088607594</v>
      </c>
      <c r="AE127" s="144" t="n">
        <f aca="false">IFERROR('Price History'!J3+(INDEX('Price History'!J:J,MATCH(9.99E+307,'Price History'!$A:$A))-'Price History'!J3)*(ROW()-3)/(MATCH(9.99E+307,'Returns (Calc)'!$A:$A)-3),"")</f>
        <v>14.8717721518987</v>
      </c>
      <c r="AF127" s="144" t="n">
        <f aca="false">IFERROR('Price History'!K3+(INDEX('Price History'!K:K,MATCH(9.99E+307,'Price History'!$A:$A))-'Price History'!K3)*(ROW()-3)/(MATCH(9.99E+307,'Returns (Calc)'!$A:$A)-3),"")</f>
        <v>9.41886075949367</v>
      </c>
      <c r="AG127" s="144" t="n">
        <f aca="false">IFERROR('Price History'!L3+(INDEX('Price History'!L:L,MATCH(9.99E+307,'Price History'!$A:$A))-'Price History'!L3)*(ROW()-3)/(MATCH(9.99E+307,'Returns (Calc)'!$A:$A)-3),"")</f>
        <v>24.066835443038</v>
      </c>
      <c r="AH127" s="144" t="n">
        <f aca="false">IFERROR('Price History'!M3+(INDEX('Price History'!M:M,MATCH(9.99E+307,'Price History'!$A:$A))-'Price History'!M3)*(ROW()-3)/(MATCH(9.99E+307,'Returns (Calc)'!$A:$A)-3),"")</f>
        <v>3.29886075949367</v>
      </c>
      <c r="AI127" s="144" t="n">
        <f aca="false">IFERROR('Price History'!N3+(INDEX('Price History'!N:N,MATCH(9.99E+307,'Price History'!$A:$A))-'Price History'!N3)*(ROW()-3)/(MATCH(9.99E+307,'Returns (Calc)'!$A:$A)-3),"")</f>
        <v>4.69113924050633</v>
      </c>
      <c r="AJ127" s="144" t="n">
        <f aca="false">IFERROR('Price History'!O3+(INDEX('Price History'!O:O,MATCH(9.99E+307,'Price History'!$A:$A))-'Price History'!O3)*(ROW()-3)/(MATCH(9.99E+307,'Returns (Calc)'!$A:$A)-3),"")</f>
        <v>12.4013924050633</v>
      </c>
      <c r="AK127" s="144" t="n">
        <f aca="false">IFERROR('Price History'!Q3+(INDEX('Price History'!Q:Q,MATCH(9.99E+307,'Price History'!$A:$A))-'Price History'!Q3)*(ROW()-3)/(MATCH(9.99E+307,'Returns (Calc)'!$A:$A)-3),"")</f>
        <v>50.7051898734177</v>
      </c>
      <c r="AL127" s="144" t="n">
        <f aca="false">IFERROR('Price History'!R3+(INDEX('Price History'!R:R,MATCH(9.99E+307,'Price History'!$A:$A))-'Price History'!R3)*(ROW()-3)/(MATCH(9.99E+307,'Returns (Calc)'!$A:$A)-3),"")</f>
        <v>10.2903797468354</v>
      </c>
      <c r="AM127" s="144" t="n">
        <f aca="false">IFERROR('Price History'!S3+(INDEX('Price History'!S:S,MATCH(9.99E+307,'Price History'!$A:$A))-'Price History'!S3)*(ROW()-3)/(MATCH(9.99E+307,'Returns (Calc)'!$A:$A)-3),"")</f>
        <v>12.5972151898734</v>
      </c>
      <c r="AN127" s="144" t="n">
        <f aca="false">IFERROR('Price History'!T3+(INDEX('Price History'!T:T,MATCH(9.99E+307,'Price History'!$A:$A))-'Price History'!T3)*(ROW()-3)/(MATCH(9.99E+307,'Returns (Calc)'!$A:$A)-3),"")</f>
        <v>5.79075949367089</v>
      </c>
      <c r="AO127" s="145" t="n">
        <f aca="false">IFERROR('Price History'!V3+(INDEX('Price History'!V:V,MATCH(9.99E+307,'Price History'!$A:$A))-'Price History'!V3)*(ROW()-3)/(MATCH(9.99E+307,'Returns (Calc)'!$A:$A)-3),"")</f>
        <v>0</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-0.002541630148992</v>
      </c>
      <c r="G128" s="142" t="n">
        <f aca="false">IFERROR(IF(OR(NOT(ISNUMBER('Price History'!G129)),NOT(ISNUMBER('Price History'!G128)),'Price History'!G128=0),"",'Price History'!G129/'Price History'!G128-1),"")</f>
        <v>0.0862661812297736</v>
      </c>
      <c r="H128" s="142" t="n">
        <f aca="false">IFERROR(IF(OR(NOT(ISNUMBER('Price History'!H129)),NOT(ISNUMBER('Price History'!H128)),'Price History'!H128=0),"",'Price History'!H129/'Price History'!H128-1),"")</f>
        <v>0.016074840239805</v>
      </c>
      <c r="I128" s="142" t="n">
        <f aca="false">IFERROR(IF(OR(NOT(ISNUMBER('Price History'!I129)),NOT(ISNUMBER('Price History'!I128)),'Price History'!I128=0),"",'Price History'!I129/'Price History'!I128-1),"")</f>
        <v>0.0146772398441848</v>
      </c>
      <c r="J128" s="142" t="n">
        <f aca="false">IFERROR(IF(OR(NOT(ISNUMBER('Price History'!J129)),NOT(ISNUMBER('Price History'!J128)),'Price History'!J128=0),"",'Price History'!J129/'Price History'!J128-1),"")</f>
        <v>0.0429954875019014</v>
      </c>
      <c r="K128" s="142" t="n">
        <f aca="false">IFERROR(IF(OR(NOT(ISNUMBER('Price History'!K129)),NOT(ISNUMBER('Price History'!K128)),'Price History'!K128=0),"",'Price History'!K129/'Price History'!K128-1),"")</f>
        <v>-0.0140555735755217</v>
      </c>
      <c r="L128" s="142" t="n">
        <f aca="false">IFERROR(IF(OR(NOT(ISNUMBER('Price History'!L129)),NOT(ISNUMBER('Price History'!L128)),'Price History'!L128=0),"",'Price History'!L129/'Price History'!L128-1),"")</f>
        <v>0.0147212673740846</v>
      </c>
      <c r="M128" s="142" t="n">
        <f aca="false">IFERROR(IF(OR(NOT(ISNUMBER('Price History'!M129)),NOT(ISNUMBER('Price History'!M128)),'Price History'!M128=0),"",'Price History'!M129/'Price History'!M128-1),"")</f>
        <v>-0.0330389992641649</v>
      </c>
      <c r="N128" s="142" t="n">
        <f aca="false">IFERROR(IF(OR(NOT(ISNUMBER('Price History'!N129)),NOT(ISNUMBER('Price History'!N128)),'Price History'!N128=0),"",'Price History'!N129/'Price History'!N128-1),"")</f>
        <v>0.00455877564311291</v>
      </c>
      <c r="O128" s="142" t="n">
        <f aca="false">IFERROR(IF(OR(NOT(ISNUMBER('Price History'!O129)),NOT(ISNUMBER('Price History'!O128)),'Price History'!O128=0),"",'Price History'!O129/'Price History'!O128-1),"")</f>
        <v>-0.0132639355271994</v>
      </c>
      <c r="P128" s="142" t="n">
        <f aca="false">IFERROR(IF(OR(NOT(ISNUMBER('Price History'!P129)),NOT(ISNUMBER('Price History'!P128)),'Price History'!P128=0),"",'Price History'!P129/'Price History'!P128-1),"")</f>
        <v>0.050183457082599</v>
      </c>
      <c r="Q128" s="142" t="n">
        <f aca="false">IFERROR(IF(OR(NOT(ISNUMBER('Price History'!Q129)),NOT(ISNUMBER('Price History'!Q128)),'Price History'!Q128=0),"",'Price History'!Q129/'Price History'!Q128-1),"")</f>
        <v>-0.0508191747572816</v>
      </c>
      <c r="R128" s="142" t="n">
        <f aca="false">IFERROR(IF(OR(NOT(ISNUMBER('Price History'!R129)),NOT(ISNUMBER('Price History'!R128)),'Price History'!R128=0),"",'Price History'!R129/'Price History'!R128-1),"")</f>
        <v>0.0184196935789291</v>
      </c>
      <c r="S128" s="142" t="n">
        <f aca="false">IFERROR(IF(OR(NOT(ISNUMBER('Price History'!S129)),NOT(ISNUMBER('Price History'!S128)),'Price History'!S128=0),"",'Price History'!S129/'Price History'!S128-1),"")</f>
        <v>0.00300827275006266</v>
      </c>
      <c r="T128" s="142" t="n">
        <f aca="false">IFERROR(IF(OR(NOT(ISNUMBER('Price History'!T129)),NOT(ISNUMBER('Price History'!T128)),'Price History'!T128=0),"",'Price History'!T129/'Price History'!T128-1),"")</f>
        <v>0.0256215119228818</v>
      </c>
      <c r="U128" s="142" t="str">
        <f aca="false">IFERROR(IF(OR(NOT(ISNUMBER('Price History'!U129)),NOT(ISNUMBER('Price History'!U128)),'Price History'!U128=0),"",'Price History'!U129/'Price History'!U128-1),"")</f>
        <v/>
      </c>
      <c r="V128" s="143" t="n">
        <f aca="false">IFERROR(IF(OR(NOT(ISNUMBER('Price History'!V129)),NOT(ISNUMBER('Price History'!V128)),'Price History'!V128=0),"",'Price History'!V129/'Price History'!V128-1),"")</f>
        <v>0.0094944978368805</v>
      </c>
      <c r="W128" s="144" t="str">
        <f aca="false">IFERROR('Price History'!B3+(INDEX('Price History'!B:B,MATCH(9.99E+307,'Price History'!$A:$A))-'Price History'!B3)*(ROW()-3)/(MATCH(9.99E+307,'Returns (Calc)'!$A:$A)-3),"")</f>
        <v/>
      </c>
      <c r="X128" s="144" t="n">
        <f aca="false">IFERROR('Price History'!C3+(INDEX('Price History'!C:C,MATCH(9.99E+307,'Price History'!$A:$A))-'Price History'!C3)*(ROW()-3)/(MATCH(9.99E+307,'Returns (Calc)'!$A:$A)-3),"")</f>
        <v>9.64518987341772</v>
      </c>
      <c r="Y128" s="144" t="n">
        <f aca="false">IFERROR('Price History'!D3+(INDEX('Price History'!D:D,MATCH(9.99E+307,'Price History'!$A:$A))-'Price History'!D3)*(ROW()-3)/(MATCH(9.99E+307,'Returns (Calc)'!$A:$A)-3),"")</f>
        <v>121.559050632911</v>
      </c>
      <c r="Z128" s="144" t="n">
        <f aca="false">IFERROR('Price History'!E3+(INDEX('Price History'!E:E,MATCH(9.99E+307,'Price History'!$A:$A))-'Price History'!E3)*(ROW()-3)/(MATCH(9.99E+307,'Returns (Calc)'!$A:$A)-3),"")</f>
        <v>17.126582278481</v>
      </c>
      <c r="AA128" s="144" t="n">
        <f aca="false">IFERROR('Price History'!F3+(INDEX('Price History'!F:F,MATCH(9.99E+307,'Price History'!$A:$A))-'Price History'!F3)*(ROW()-3)/(MATCH(9.99E+307,'Returns (Calc)'!$A:$A)-3),"")</f>
        <v>15.7293037974684</v>
      </c>
      <c r="AB128" s="144" t="n">
        <f aca="false">IFERROR('Price History'!G3+(INDEX('Price History'!G:G,MATCH(9.99E+307,'Price History'!$A:$A))-'Price History'!G3)*(ROW()-3)/(MATCH(9.99E+307,'Returns (Calc)'!$A:$A)-3),"")</f>
        <v>8.63848101265823</v>
      </c>
      <c r="AC128" s="144" t="n">
        <f aca="false">IFERROR('Price History'!H3+(INDEX('Price History'!H:H,MATCH(9.99E+307,'Price History'!$A:$A))-'Price History'!H3)*(ROW()-3)/(MATCH(9.99E+307,'Returns (Calc)'!$A:$A)-3),"")</f>
        <v>21.0093037974684</v>
      </c>
      <c r="AD128" s="144" t="n">
        <f aca="false">IFERROR('Price History'!I3+(INDEX('Price History'!I:I,MATCH(9.99E+307,'Price History'!$A:$A))-'Price History'!I3)*(ROW()-3)/(MATCH(9.99E+307,'Returns (Calc)'!$A:$A)-3),"")</f>
        <v>9.26297468354431</v>
      </c>
      <c r="AE128" s="144" t="n">
        <f aca="false">IFERROR('Price History'!J3+(INDEX('Price History'!J:J,MATCH(9.99E+307,'Price History'!$A:$A))-'Price History'!J3)*(ROW()-3)/(MATCH(9.99E+307,'Returns (Calc)'!$A:$A)-3),"")</f>
        <v>14.4343670886076</v>
      </c>
      <c r="AF128" s="144" t="n">
        <f aca="false">IFERROR('Price History'!K3+(INDEX('Price History'!K:K,MATCH(9.99E+307,'Price History'!$A:$A))-'Price History'!K3)*(ROW()-3)/(MATCH(9.99E+307,'Returns (Calc)'!$A:$A)-3),"")</f>
        <v>9.14183544303798</v>
      </c>
      <c r="AG128" s="144" t="n">
        <f aca="false">IFERROR('Price History'!L3+(INDEX('Price History'!L:L,MATCH(9.99E+307,'Price History'!$A:$A))-'Price History'!L3)*(ROW()-3)/(MATCH(9.99E+307,'Returns (Calc)'!$A:$A)-3),"")</f>
        <v>23.3589873417722</v>
      </c>
      <c r="AH128" s="144" t="n">
        <f aca="false">IFERROR('Price History'!M3+(INDEX('Price History'!M:M,MATCH(9.99E+307,'Price History'!$A:$A))-'Price History'!M3)*(ROW()-3)/(MATCH(9.99E+307,'Returns (Calc)'!$A:$A)-3),"")</f>
        <v>3.20183544303798</v>
      </c>
      <c r="AI128" s="144" t="n">
        <f aca="false">IFERROR('Price History'!N3+(INDEX('Price History'!N:N,MATCH(9.99E+307,'Price History'!$A:$A))-'Price History'!N3)*(ROW()-3)/(MATCH(9.99E+307,'Returns (Calc)'!$A:$A)-3),"")</f>
        <v>4.55316455696203</v>
      </c>
      <c r="AJ128" s="144" t="n">
        <f aca="false">IFERROR('Price History'!O3+(INDEX('Price History'!O:O,MATCH(9.99E+307,'Price History'!$A:$A))-'Price History'!O3)*(ROW()-3)/(MATCH(9.99E+307,'Returns (Calc)'!$A:$A)-3),"")</f>
        <v>12.0366455696203</v>
      </c>
      <c r="AK128" s="144" t="n">
        <f aca="false">IFERROR('Price History'!Q3+(INDEX('Price History'!Q:Q,MATCH(9.99E+307,'Price History'!$A:$A))-'Price History'!Q3)*(ROW()-3)/(MATCH(9.99E+307,'Returns (Calc)'!$A:$A)-3),"")</f>
        <v>49.2138607594937</v>
      </c>
      <c r="AL128" s="144" t="n">
        <f aca="false">IFERROR('Price History'!R3+(INDEX('Price History'!R:R,MATCH(9.99E+307,'Price History'!$A:$A))-'Price History'!R3)*(ROW()-3)/(MATCH(9.99E+307,'Returns (Calc)'!$A:$A)-3),"")</f>
        <v>9.98772151898734</v>
      </c>
      <c r="AM128" s="144" t="n">
        <f aca="false">IFERROR('Price History'!S3+(INDEX('Price History'!S:S,MATCH(9.99E+307,'Price History'!$A:$A))-'Price History'!S3)*(ROW()-3)/(MATCH(9.99E+307,'Returns (Calc)'!$A:$A)-3),"")</f>
        <v>12.2267088607595</v>
      </c>
      <c r="AN128" s="144" t="n">
        <f aca="false">IFERROR('Price History'!T3+(INDEX('Price History'!T:T,MATCH(9.99E+307,'Price History'!$A:$A))-'Price History'!T3)*(ROW()-3)/(MATCH(9.99E+307,'Returns (Calc)'!$A:$A)-3),"")</f>
        <v>5.62044303797469</v>
      </c>
      <c r="AO128" s="145" t="n">
        <f aca="false">IFERROR('Price History'!V3+(INDEX('Price History'!V:V,MATCH(9.99E+307,'Price History'!$A:$A))-'Price History'!V3)*(ROW()-3)/(MATCH(9.99E+307,'Returns (Calc)'!$A:$A)-3),"")</f>
        <v>0</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0.00562340743344181</v>
      </c>
      <c r="G129" s="142" t="n">
        <f aca="false">IFERROR(IF(OR(NOT(ISNUMBER('Price History'!G130)),NOT(ISNUMBER('Price History'!G129)),'Price History'!G129=0),"",'Price History'!G130/'Price History'!G129-1),"")</f>
        <v>-0.0955218322316357</v>
      </c>
      <c r="H129" s="142" t="n">
        <f aca="false">IFERROR(IF(OR(NOT(ISNUMBER('Price History'!H130)),NOT(ISNUMBER('Price History'!H129)),'Price History'!H129=0),"",'Price History'!H130/'Price History'!H129-1),"")</f>
        <v>-0.00713220514815527</v>
      </c>
      <c r="I129" s="142" t="n">
        <f aca="false">IFERROR(IF(OR(NOT(ISNUMBER('Price History'!I130)),NOT(ISNUMBER('Price History'!I129)),'Price History'!I129=0),"",'Price History'!I130/'Price History'!I129-1),"")</f>
        <v>0.0231027627339413</v>
      </c>
      <c r="J129" s="142" t="n">
        <f aca="false">IFERROR(IF(OR(NOT(ISNUMBER('Price History'!J130)),NOT(ISNUMBER('Price History'!J129)),'Price History'!J129=0),"",'Price History'!J130/'Price History'!J129-1),"")</f>
        <v>0.0401050021875455</v>
      </c>
      <c r="K129" s="142" t="n">
        <f aca="false">IFERROR(IF(OR(NOT(ISNUMBER('Price History'!K130)),NOT(ISNUMBER('Price History'!K129)),'Price History'!K129=0),"",'Price History'!K130/'Price History'!K129-1),"")</f>
        <v>0.0383814014694595</v>
      </c>
      <c r="L129" s="142" t="n">
        <f aca="false">IFERROR(IF(OR(NOT(ISNUMBER('Price History'!L130)),NOT(ISNUMBER('Price History'!L129)),'Price History'!L129=0),"",'Price History'!L130/'Price History'!L129-1),"")</f>
        <v>0.0182634951027323</v>
      </c>
      <c r="M129" s="142" t="n">
        <f aca="false">IFERROR(IF(OR(NOT(ISNUMBER('Price History'!M130)),NOT(ISNUMBER('Price History'!M129)),'Price History'!M129=0),"",'Price History'!M130/'Price History'!M129-1),"")</f>
        <v>0.0291454227227761</v>
      </c>
      <c r="N129" s="142" t="n">
        <f aca="false">IFERROR(IF(OR(NOT(ISNUMBER('Price History'!N130)),NOT(ISNUMBER('Price History'!N129)),'Price History'!N129=0),"",'Price History'!N130/'Price History'!N129-1),"")</f>
        <v>0</v>
      </c>
      <c r="O129" s="142" t="n">
        <f aca="false">IFERROR(IF(OR(NOT(ISNUMBER('Price History'!O130)),NOT(ISNUMBER('Price History'!O129)),'Price History'!O129=0),"",'Price History'!O130/'Price History'!O129-1),"")</f>
        <v>0.0144631614769439</v>
      </c>
      <c r="P129" s="142" t="n">
        <f aca="false">IFERROR(IF(OR(NOT(ISNUMBER('Price History'!P130)),NOT(ISNUMBER('Price History'!P129)),'Price History'!P129=0),"",'Price History'!P130/'Price History'!P129-1),"")</f>
        <v>0.0114167812929848</v>
      </c>
      <c r="Q129" s="142" t="n">
        <f aca="false">IFERROR(IF(OR(NOT(ISNUMBER('Price History'!Q130)),NOT(ISNUMBER('Price History'!Q129)),'Price History'!Q129=0),"",'Price History'!Q130/'Price History'!Q129-1),"")</f>
        <v>0.0218635128655904</v>
      </c>
      <c r="R129" s="142" t="n">
        <f aca="false">IFERROR(IF(OR(NOT(ISNUMBER('Price History'!R130)),NOT(ISNUMBER('Price History'!R129)),'Price History'!R129=0),"",'Price History'!R130/'Price History'!R129-1),"")</f>
        <v>-0.00405679513184576</v>
      </c>
      <c r="S129" s="142" t="n">
        <f aca="false">IFERROR(IF(OR(NOT(ISNUMBER('Price History'!S130)),NOT(ISNUMBER('Price History'!S129)),'Price History'!S129=0),"",'Price History'!S130/'Price History'!S129-1),"")</f>
        <v>-0.000249937515621079</v>
      </c>
      <c r="T129" s="142" t="n">
        <f aca="false">IFERROR(IF(OR(NOT(ISNUMBER('Price History'!T130)),NOT(ISNUMBER('Price History'!T129)),'Price History'!T129=0),"",'Price History'!T130/'Price History'!T129-1),"")</f>
        <v>-0.0202819688350235</v>
      </c>
      <c r="U129" s="142" t="str">
        <f aca="false">IFERROR(IF(OR(NOT(ISNUMBER('Price History'!U130)),NOT(ISNUMBER('Price History'!U129)),'Price History'!U129=0),"",'Price History'!U130/'Price History'!U129-1),"")</f>
        <v/>
      </c>
      <c r="V129" s="143" t="n">
        <f aca="false">IFERROR(IF(OR(NOT(ISNUMBER('Price History'!V130)),NOT(ISNUMBER('Price History'!V129)),'Price History'!V129=0),"",'Price History'!V130/'Price History'!V129-1),"")</f>
        <v>-0.0613782788771284</v>
      </c>
      <c r="W129" s="144" t="str">
        <f aca="false">IFERROR('Price History'!B3+(INDEX('Price History'!B:B,MATCH(9.99E+307,'Price History'!$A:$A))-'Price History'!B3)*(ROW()-3)/(MATCH(9.99E+307,'Returns (Calc)'!$A:$A)-3),"")</f>
        <v/>
      </c>
      <c r="X129" s="144" t="n">
        <f aca="false">IFERROR('Price History'!C3+(INDEX('Price History'!C:C,MATCH(9.99E+307,'Price History'!$A:$A))-'Price History'!C3)*(ROW()-3)/(MATCH(9.99E+307,'Returns (Calc)'!$A:$A)-3),"")</f>
        <v>9.35291139240506</v>
      </c>
      <c r="Y129" s="144" t="n">
        <f aca="false">IFERROR('Price History'!D3+(INDEX('Price History'!D:D,MATCH(9.99E+307,'Price History'!$A:$A))-'Price History'!D3)*(ROW()-3)/(MATCH(9.99E+307,'Returns (Calc)'!$A:$A)-3),"")</f>
        <v>117.875443037975</v>
      </c>
      <c r="Z129" s="144" t="n">
        <f aca="false">IFERROR('Price History'!E3+(INDEX('Price History'!E:E,MATCH(9.99E+307,'Price History'!$A:$A))-'Price History'!E3)*(ROW()-3)/(MATCH(9.99E+307,'Returns (Calc)'!$A:$A)-3),"")</f>
        <v>16.6075949367089</v>
      </c>
      <c r="AA129" s="144" t="n">
        <f aca="false">IFERROR('Price History'!F3+(INDEX('Price History'!F:F,MATCH(9.99E+307,'Price History'!$A:$A))-'Price History'!F3)*(ROW()-3)/(MATCH(9.99E+307,'Returns (Calc)'!$A:$A)-3),"")</f>
        <v>15.2526582278481</v>
      </c>
      <c r="AB129" s="144" t="n">
        <f aca="false">IFERROR('Price History'!G3+(INDEX('Price History'!G:G,MATCH(9.99E+307,'Price History'!$A:$A))-'Price History'!G3)*(ROW()-3)/(MATCH(9.99E+307,'Returns (Calc)'!$A:$A)-3),"")</f>
        <v>8.37670886075949</v>
      </c>
      <c r="AC129" s="144" t="n">
        <f aca="false">IFERROR('Price History'!H3+(INDEX('Price History'!H:H,MATCH(9.99E+307,'Price History'!$A:$A))-'Price History'!H3)*(ROW()-3)/(MATCH(9.99E+307,'Returns (Calc)'!$A:$A)-3),"")</f>
        <v>20.3726582278481</v>
      </c>
      <c r="AD129" s="144" t="n">
        <f aca="false">IFERROR('Price History'!I3+(INDEX('Price History'!I:I,MATCH(9.99E+307,'Price History'!$A:$A))-'Price History'!I3)*(ROW()-3)/(MATCH(9.99E+307,'Returns (Calc)'!$A:$A)-3),"")</f>
        <v>8.98227848101266</v>
      </c>
      <c r="AE129" s="144" t="n">
        <f aca="false">IFERROR('Price History'!J3+(INDEX('Price History'!J:J,MATCH(9.99E+307,'Price History'!$A:$A))-'Price History'!J3)*(ROW()-3)/(MATCH(9.99E+307,'Returns (Calc)'!$A:$A)-3),"")</f>
        <v>13.9969620253165</v>
      </c>
      <c r="AF129" s="144" t="n">
        <f aca="false">IFERROR('Price History'!K3+(INDEX('Price History'!K:K,MATCH(9.99E+307,'Price History'!$A:$A))-'Price History'!K3)*(ROW()-3)/(MATCH(9.99E+307,'Returns (Calc)'!$A:$A)-3),"")</f>
        <v>8.86481012658228</v>
      </c>
      <c r="AG129" s="144" t="n">
        <f aca="false">IFERROR('Price History'!L3+(INDEX('Price History'!L:L,MATCH(9.99E+307,'Price History'!$A:$A))-'Price History'!L3)*(ROW()-3)/(MATCH(9.99E+307,'Returns (Calc)'!$A:$A)-3),"")</f>
        <v>22.6511392405063</v>
      </c>
      <c r="AH129" s="144" t="n">
        <f aca="false">IFERROR('Price History'!M3+(INDEX('Price History'!M:M,MATCH(9.99E+307,'Price History'!$A:$A))-'Price History'!M3)*(ROW()-3)/(MATCH(9.99E+307,'Returns (Calc)'!$A:$A)-3),"")</f>
        <v>3.10481012658228</v>
      </c>
      <c r="AI129" s="144" t="n">
        <f aca="false">IFERROR('Price History'!N3+(INDEX('Price History'!N:N,MATCH(9.99E+307,'Price History'!$A:$A))-'Price History'!N3)*(ROW()-3)/(MATCH(9.99E+307,'Returns (Calc)'!$A:$A)-3),"")</f>
        <v>4.41518987341772</v>
      </c>
      <c r="AJ129" s="144" t="n">
        <f aca="false">IFERROR('Price History'!O3+(INDEX('Price History'!O:O,MATCH(9.99E+307,'Price History'!$A:$A))-'Price History'!O3)*(ROW()-3)/(MATCH(9.99E+307,'Returns (Calc)'!$A:$A)-3),"")</f>
        <v>11.6718987341772</v>
      </c>
      <c r="AK129" s="144" t="n">
        <f aca="false">IFERROR('Price History'!Q3+(INDEX('Price History'!Q:Q,MATCH(9.99E+307,'Price History'!$A:$A))-'Price History'!Q3)*(ROW()-3)/(MATCH(9.99E+307,'Returns (Calc)'!$A:$A)-3),"")</f>
        <v>47.7225316455696</v>
      </c>
      <c r="AL129" s="144" t="n">
        <f aca="false">IFERROR('Price History'!R3+(INDEX('Price History'!R:R,MATCH(9.99E+307,'Price History'!$A:$A))-'Price History'!R3)*(ROW()-3)/(MATCH(9.99E+307,'Returns (Calc)'!$A:$A)-3),"")</f>
        <v>9.68506329113924</v>
      </c>
      <c r="AM129" s="144" t="n">
        <f aca="false">IFERROR('Price History'!S3+(INDEX('Price History'!S:S,MATCH(9.99E+307,'Price History'!$A:$A))-'Price History'!S3)*(ROW()-3)/(MATCH(9.99E+307,'Returns (Calc)'!$A:$A)-3),"")</f>
        <v>11.8562025316456</v>
      </c>
      <c r="AN129" s="144" t="n">
        <f aca="false">IFERROR('Price History'!T3+(INDEX('Price History'!T:T,MATCH(9.99E+307,'Price History'!$A:$A))-'Price History'!T3)*(ROW()-3)/(MATCH(9.99E+307,'Returns (Calc)'!$A:$A)-3),"")</f>
        <v>5.45012658227848</v>
      </c>
      <c r="AO129" s="145" t="n">
        <f aca="false">IFERROR('Price History'!V3+(INDEX('Price History'!V:V,MATCH(9.99E+307,'Price History'!$A:$A))-'Price History'!V3)*(ROW()-3)/(MATCH(9.99E+307,'Returns (Calc)'!$A:$A)-3),"")</f>
        <v>0</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-0.0221930974224552</v>
      </c>
      <c r="G130" s="142" t="n">
        <f aca="false">IFERROR(IF(OR(NOT(ISNUMBER('Price History'!G131)),NOT(ISNUMBER('Price History'!G130)),'Price History'!G130=0),"",'Price History'!G131/'Price History'!G130-1),"")</f>
        <v>-0.042717447246526</v>
      </c>
      <c r="H130" s="142" t="n">
        <f aca="false">IFERROR(IF(OR(NOT(ISNUMBER('Price History'!H131)),NOT(ISNUMBER('Price History'!H130)),'Price History'!H130=0),"",'Price History'!H131/'Price History'!H130-1),"")</f>
        <v>-0.0033305034937634</v>
      </c>
      <c r="I130" s="142" t="n">
        <f aca="false">IFERROR(IF(OR(NOT(ISNUMBER('Price History'!I131)),NOT(ISNUMBER('Price History'!I130)),'Price History'!I130=0),"",'Price History'!I131/'Price History'!I130-1),"")</f>
        <v>0.0190967569016349</v>
      </c>
      <c r="J130" s="142" t="n">
        <f aca="false">IFERROR(IF(OR(NOT(ISNUMBER('Price History'!J131)),NOT(ISNUMBER('Price History'!J130)),'Price History'!J130=0),"",'Price History'!J131/'Price History'!J130-1),"")</f>
        <v>-0.036899420452421</v>
      </c>
      <c r="K130" s="142" t="n">
        <f aca="false">IFERROR(IF(OR(NOT(ISNUMBER('Price History'!K131)),NOT(ISNUMBER('Price History'!K130)),'Price History'!K130=0),"",'Price History'!K131/'Price History'!K130-1),"")</f>
        <v>-0.066532896821206</v>
      </c>
      <c r="L130" s="142" t="n">
        <f aca="false">IFERROR(IF(OR(NOT(ISNUMBER('Price History'!L131)),NOT(ISNUMBER('Price History'!L130)),'Price History'!L130=0),"",'Price History'!L131/'Price History'!L130-1),"")</f>
        <v>0.00752151587473771</v>
      </c>
      <c r="M130" s="142" t="n">
        <f aca="false">IFERROR(IF(OR(NOT(ISNUMBER('Price History'!M131)),NOT(ISNUMBER('Price History'!M130)),'Price History'!M130=0),"",'Price History'!M131/'Price History'!M130-1),"")</f>
        <v>0.014418811002662</v>
      </c>
      <c r="N130" s="142" t="n">
        <f aca="false">IFERROR(IF(OR(NOT(ISNUMBER('Price History'!N131)),NOT(ISNUMBER('Price History'!N130)),'Price History'!N130=0),"",'Price History'!N131/'Price History'!N130-1),"")</f>
        <v>0.00518638573743924</v>
      </c>
      <c r="O130" s="142" t="n">
        <f aca="false">IFERROR(IF(OR(NOT(ISNUMBER('Price History'!O131)),NOT(ISNUMBER('Price History'!O130)),'Price History'!O130=0),"",'Price History'!O131/'Price History'!O130-1),"")</f>
        <v>-0.00402549480040249</v>
      </c>
      <c r="P130" s="142" t="n">
        <f aca="false">IFERROR(IF(OR(NOT(ISNUMBER('Price History'!P131)),NOT(ISNUMBER('Price History'!P130)),'Price History'!P130=0),"",'Price History'!P131/'Price History'!P130-1),"")</f>
        <v>0.0109071127430982</v>
      </c>
      <c r="Q130" s="142" t="n">
        <f aca="false">IFERROR(IF(OR(NOT(ISNUMBER('Price History'!Q131)),NOT(ISNUMBER('Price History'!Q130)),'Price History'!Q130=0),"",'Price History'!Q131/'Price History'!Q130-1),"")</f>
        <v>-0.00250242422346647</v>
      </c>
      <c r="R130" s="142" t="n">
        <f aca="false">IFERROR(IF(OR(NOT(ISNUMBER('Price History'!R131)),NOT(ISNUMBER('Price History'!R130)),'Price History'!R130=0),"",'Price History'!R131/'Price History'!R130-1),"")</f>
        <v>0.00509164969450104</v>
      </c>
      <c r="S130" s="142" t="n">
        <f aca="false">IFERROR(IF(OR(NOT(ISNUMBER('Price History'!S131)),NOT(ISNUMBER('Price History'!S130)),'Price History'!S130=0),"",'Price History'!S131/'Price History'!S130-1),"")</f>
        <v>-0.0173333333333333</v>
      </c>
      <c r="T130" s="142" t="n">
        <f aca="false">IFERROR(IF(OR(NOT(ISNUMBER('Price History'!T131)),NOT(ISNUMBER('Price History'!T130)),'Price History'!T130=0),"",'Price History'!T131/'Price History'!T130-1),"")</f>
        <v>0.0063115374905327</v>
      </c>
      <c r="U130" s="142" t="str">
        <f aca="false">IFERROR(IF(OR(NOT(ISNUMBER('Price History'!U131)),NOT(ISNUMBER('Price History'!U130)),'Price History'!U130=0),"",'Price History'!U131/'Price History'!U130-1),"")</f>
        <v/>
      </c>
      <c r="V130" s="143" t="n">
        <f aca="false">IFERROR(IF(OR(NOT(ISNUMBER('Price History'!V131)),NOT(ISNUMBER('Price History'!V130)),'Price History'!V130=0),"",'Price History'!V131/'Price History'!V130-1),"")</f>
        <v>-0.00646564932279203</v>
      </c>
      <c r="W130" s="144" t="str">
        <f aca="false">IFERROR('Price History'!B3+(INDEX('Price History'!B:B,MATCH(9.99E+307,'Price History'!$A:$A))-'Price History'!B3)*(ROW()-3)/(MATCH(9.99E+307,'Returns (Calc)'!$A:$A)-3),"")</f>
        <v/>
      </c>
      <c r="X130" s="144" t="n">
        <f aca="false">IFERROR('Price History'!C3+(INDEX('Price History'!C:C,MATCH(9.99E+307,'Price History'!$A:$A))-'Price History'!C3)*(ROW()-3)/(MATCH(9.99E+307,'Returns (Calc)'!$A:$A)-3),"")</f>
        <v>9.0606329113924</v>
      </c>
      <c r="Y130" s="144" t="n">
        <f aca="false">IFERROR('Price History'!D3+(INDEX('Price History'!D:D,MATCH(9.99E+307,'Price History'!$A:$A))-'Price History'!D3)*(ROW()-3)/(MATCH(9.99E+307,'Returns (Calc)'!$A:$A)-3),"")</f>
        <v>114.191835443038</v>
      </c>
      <c r="Z130" s="144" t="n">
        <f aca="false">IFERROR('Price History'!E3+(INDEX('Price History'!E:E,MATCH(9.99E+307,'Price History'!$A:$A))-'Price History'!E3)*(ROW()-3)/(MATCH(9.99E+307,'Returns (Calc)'!$A:$A)-3),"")</f>
        <v>16.0886075949367</v>
      </c>
      <c r="AA130" s="144" t="n">
        <f aca="false">IFERROR('Price History'!F3+(INDEX('Price History'!F:F,MATCH(9.99E+307,'Price History'!$A:$A))-'Price History'!F3)*(ROW()-3)/(MATCH(9.99E+307,'Returns (Calc)'!$A:$A)-3),"")</f>
        <v>14.7760126582278</v>
      </c>
      <c r="AB130" s="144" t="n">
        <f aca="false">IFERROR('Price History'!G3+(INDEX('Price History'!G:G,MATCH(9.99E+307,'Price History'!$A:$A))-'Price History'!G3)*(ROW()-3)/(MATCH(9.99E+307,'Returns (Calc)'!$A:$A)-3),"")</f>
        <v>8.11493670886076</v>
      </c>
      <c r="AC130" s="144" t="n">
        <f aca="false">IFERROR('Price History'!H3+(INDEX('Price History'!H:H,MATCH(9.99E+307,'Price History'!$A:$A))-'Price History'!H3)*(ROW()-3)/(MATCH(9.99E+307,'Returns (Calc)'!$A:$A)-3),"")</f>
        <v>19.7360126582279</v>
      </c>
      <c r="AD130" s="144" t="n">
        <f aca="false">IFERROR('Price History'!I3+(INDEX('Price History'!I:I,MATCH(9.99E+307,'Price History'!$A:$A))-'Price History'!I3)*(ROW()-3)/(MATCH(9.99E+307,'Returns (Calc)'!$A:$A)-3),"")</f>
        <v>8.70158227848101</v>
      </c>
      <c r="AE130" s="144" t="n">
        <f aca="false">IFERROR('Price History'!J3+(INDEX('Price History'!J:J,MATCH(9.99E+307,'Price History'!$A:$A))-'Price History'!J3)*(ROW()-3)/(MATCH(9.99E+307,'Returns (Calc)'!$A:$A)-3),"")</f>
        <v>13.5595569620253</v>
      </c>
      <c r="AF130" s="144" t="n">
        <f aca="false">IFERROR('Price History'!K3+(INDEX('Price History'!K:K,MATCH(9.99E+307,'Price History'!$A:$A))-'Price History'!K3)*(ROW()-3)/(MATCH(9.99E+307,'Returns (Calc)'!$A:$A)-3),"")</f>
        <v>8.58778481012659</v>
      </c>
      <c r="AG130" s="144" t="n">
        <f aca="false">IFERROR('Price History'!L3+(INDEX('Price History'!L:L,MATCH(9.99E+307,'Price History'!$A:$A))-'Price History'!L3)*(ROW()-3)/(MATCH(9.99E+307,'Returns (Calc)'!$A:$A)-3),"")</f>
        <v>21.9432911392405</v>
      </c>
      <c r="AH130" s="144" t="n">
        <f aca="false">IFERROR('Price History'!M3+(INDEX('Price History'!M:M,MATCH(9.99E+307,'Price History'!$A:$A))-'Price History'!M3)*(ROW()-3)/(MATCH(9.99E+307,'Returns (Calc)'!$A:$A)-3),"")</f>
        <v>3.00778481012658</v>
      </c>
      <c r="AI130" s="144" t="n">
        <f aca="false">IFERROR('Price History'!N3+(INDEX('Price History'!N:N,MATCH(9.99E+307,'Price History'!$A:$A))-'Price History'!N3)*(ROW()-3)/(MATCH(9.99E+307,'Returns (Calc)'!$A:$A)-3),"")</f>
        <v>4.27721518987342</v>
      </c>
      <c r="AJ130" s="144" t="n">
        <f aca="false">IFERROR('Price History'!O3+(INDEX('Price History'!O:O,MATCH(9.99E+307,'Price History'!$A:$A))-'Price History'!O3)*(ROW()-3)/(MATCH(9.99E+307,'Returns (Calc)'!$A:$A)-3),"")</f>
        <v>11.3071518987342</v>
      </c>
      <c r="AK130" s="144" t="n">
        <f aca="false">IFERROR('Price History'!Q3+(INDEX('Price History'!Q:Q,MATCH(9.99E+307,'Price History'!$A:$A))-'Price History'!Q3)*(ROW()-3)/(MATCH(9.99E+307,'Returns (Calc)'!$A:$A)-3),"")</f>
        <v>46.2312025316456</v>
      </c>
      <c r="AL130" s="144" t="n">
        <f aca="false">IFERROR('Price History'!R3+(INDEX('Price History'!R:R,MATCH(9.99E+307,'Price History'!$A:$A))-'Price History'!R3)*(ROW()-3)/(MATCH(9.99E+307,'Returns (Calc)'!$A:$A)-3),"")</f>
        <v>9.38240506329114</v>
      </c>
      <c r="AM130" s="144" t="n">
        <f aca="false">IFERROR('Price History'!S3+(INDEX('Price History'!S:S,MATCH(9.99E+307,'Price History'!$A:$A))-'Price History'!S3)*(ROW()-3)/(MATCH(9.99E+307,'Returns (Calc)'!$A:$A)-3),"")</f>
        <v>11.4856962025316</v>
      </c>
      <c r="AN130" s="144" t="n">
        <f aca="false">IFERROR('Price History'!T3+(INDEX('Price History'!T:T,MATCH(9.99E+307,'Price History'!$A:$A))-'Price History'!T3)*(ROW()-3)/(MATCH(9.99E+307,'Returns (Calc)'!$A:$A)-3),"")</f>
        <v>5.27981012658228</v>
      </c>
      <c r="AO130" s="145" t="n">
        <f aca="false">IFERROR('Price History'!V3+(INDEX('Price History'!V:V,MATCH(9.99E+307,'Price History'!$A:$A))-'Price History'!V3)*(ROW()-3)/(MATCH(9.99E+307,'Returns (Calc)'!$A:$A)-3),"")</f>
        <v>0</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-0.0383343758377267</v>
      </c>
      <c r="G131" s="142" t="n">
        <f aca="false">IFERROR(IF(OR(NOT(ISNUMBER('Price History'!G132)),NOT(ISNUMBER('Price History'!G131)),'Price History'!G131=0),"",'Price History'!G132/'Price History'!G131-1),"")</f>
        <v>0.153225806451613</v>
      </c>
      <c r="H131" s="142" t="n">
        <f aca="false">IFERROR(IF(OR(NOT(ISNUMBER('Price History'!H132)),NOT(ISNUMBER('Price History'!H131)),'Price History'!H131=0),"",'Price History'!H132/'Price History'!H131-1),"")</f>
        <v>-0.0247018739352641</v>
      </c>
      <c r="I131" s="142" t="n">
        <f aca="false">IFERROR(IF(OR(NOT(ISNUMBER('Price History'!I132)),NOT(ISNUMBER('Price History'!I131)),'Price History'!I131=0),"",'Price History'!I132/'Price History'!I131-1),"")</f>
        <v>-0.118087974225787</v>
      </c>
      <c r="J131" s="142" t="n">
        <f aca="false">IFERROR(IF(OR(NOT(ISNUMBER('Price History'!J132)),NOT(ISNUMBER('Price History'!J131)),'Price History'!J131=0),"",'Price History'!J132/'Price History'!J131-1),"")</f>
        <v>-0.102006648387645</v>
      </c>
      <c r="K131" s="142" t="n">
        <f aca="false">IFERROR(IF(OR(NOT(ISNUMBER('Price History'!K132)),NOT(ISNUMBER('Price History'!K131)),'Price History'!K131=0),"",'Price History'!K132/'Price History'!K131-1),"")</f>
        <v>0.00350718407059625</v>
      </c>
      <c r="L131" s="142" t="n">
        <f aca="false">IFERROR(IF(OR(NOT(ISNUMBER('Price History'!L132)),NOT(ISNUMBER('Price History'!L131)),'Price History'!L131=0),"",'Price History'!L132/'Price History'!L131-1),"")</f>
        <v>-0.0563491493790825</v>
      </c>
      <c r="M131" s="142" t="n">
        <f aca="false">IFERROR(IF(OR(NOT(ISNUMBER('Price History'!M132)),NOT(ISNUMBER('Price History'!M131)),'Price History'!M131=0),"",'Price History'!M132/'Price History'!M131-1),"")</f>
        <v>0.145564545520811</v>
      </c>
      <c r="N131" s="142" t="n">
        <f aca="false">IFERROR(IF(OR(NOT(ISNUMBER('Price History'!N132)),NOT(ISNUMBER('Price History'!N131)),'Price History'!N131=0),"",'Price History'!N132/'Price History'!N131-1),"")</f>
        <v>-0.0203160270880361</v>
      </c>
      <c r="O131" s="142" t="n">
        <f aca="false">IFERROR(IF(OR(NOT(ISNUMBER('Price History'!O132)),NOT(ISNUMBER('Price History'!O131)),'Price History'!O131=0),"",'Price History'!O132/'Price History'!O131-1),"")</f>
        <v>-0.0103570225665207</v>
      </c>
      <c r="P131" s="142" t="n">
        <f aca="false">IFERROR(IF(OR(NOT(ISNUMBER('Price History'!P132)),NOT(ISNUMBER('Price History'!P131)),'Price History'!P131=0),"",'Price History'!P132/'Price History'!P131-1),"")</f>
        <v>-0.0952752515740193</v>
      </c>
      <c r="Q131" s="142" t="n">
        <f aca="false">IFERROR(IF(OR(NOT(ISNUMBER('Price History'!Q132)),NOT(ISNUMBER('Price History'!Q131)),'Price History'!Q131=0),"",'Price History'!Q132/'Price History'!Q131-1),"")</f>
        <v>-0.00868638088369023</v>
      </c>
      <c r="R131" s="142" t="n">
        <f aca="false">IFERROR(IF(OR(NOT(ISNUMBER('Price History'!R132)),NOT(ISNUMBER('Price History'!R131)),'Price History'!R131=0),"",'Price History'!R132/'Price History'!R131-1),"")</f>
        <v>0.00354609929078009</v>
      </c>
      <c r="S131" s="142" t="n">
        <f aca="false">IFERROR(IF(OR(NOT(ISNUMBER('Price History'!S132)),NOT(ISNUMBER('Price History'!S131)),'Price History'!S131=0),"",'Price History'!S132/'Price History'!S131-1),"")</f>
        <v>0.0165366350067844</v>
      </c>
      <c r="T131" s="142" t="n">
        <f aca="false">IFERROR(IF(OR(NOT(ISNUMBER('Price History'!T132)),NOT(ISNUMBER('Price History'!T131)),'Price History'!T131=0),"",'Price History'!T132/'Price History'!T131-1),"")</f>
        <v>-0.00978424485699947</v>
      </c>
      <c r="U131" s="142" t="str">
        <f aca="false">IFERROR(IF(OR(NOT(ISNUMBER('Price History'!U132)),NOT(ISNUMBER('Price History'!U131)),'Price History'!U131=0),"",'Price History'!U132/'Price History'!U131-1),"")</f>
        <v/>
      </c>
      <c r="V131" s="143" t="n">
        <f aca="false">IFERROR(IF(OR(NOT(ISNUMBER('Price History'!V132)),NOT(ISNUMBER('Price History'!V131)),'Price History'!V131=0),"",'Price History'!V132/'Price History'!V131-1),"")</f>
        <v>-0.013323875026987</v>
      </c>
      <c r="W131" s="144" t="str">
        <f aca="false">IFERROR('Price History'!B3+(INDEX('Price History'!B:B,MATCH(9.99E+307,'Price History'!$A:$A))-'Price History'!B3)*(ROW()-3)/(MATCH(9.99E+307,'Returns (Calc)'!$A:$A)-3),"")</f>
        <v/>
      </c>
      <c r="X131" s="144" t="n">
        <f aca="false">IFERROR('Price History'!C3+(INDEX('Price History'!C:C,MATCH(9.99E+307,'Price History'!$A:$A))-'Price History'!C3)*(ROW()-3)/(MATCH(9.99E+307,'Returns (Calc)'!$A:$A)-3),"")</f>
        <v>8.76835443037975</v>
      </c>
      <c r="Y131" s="144" t="n">
        <f aca="false">IFERROR('Price History'!D3+(INDEX('Price History'!D:D,MATCH(9.99E+307,'Price History'!$A:$A))-'Price History'!D3)*(ROW()-3)/(MATCH(9.99E+307,'Returns (Calc)'!$A:$A)-3),"")</f>
        <v>110.508227848101</v>
      </c>
      <c r="Z131" s="144" t="n">
        <f aca="false">IFERROR('Price History'!E3+(INDEX('Price History'!E:E,MATCH(9.99E+307,'Price History'!$A:$A))-'Price History'!E3)*(ROW()-3)/(MATCH(9.99E+307,'Returns (Calc)'!$A:$A)-3),"")</f>
        <v>15.5696202531646</v>
      </c>
      <c r="AA131" s="144" t="n">
        <f aca="false">IFERROR('Price History'!F3+(INDEX('Price History'!F:F,MATCH(9.99E+307,'Price History'!$A:$A))-'Price History'!F3)*(ROW()-3)/(MATCH(9.99E+307,'Returns (Calc)'!$A:$A)-3),"")</f>
        <v>14.2993670886076</v>
      </c>
      <c r="AB131" s="144" t="n">
        <f aca="false">IFERROR('Price History'!G3+(INDEX('Price History'!G:G,MATCH(9.99E+307,'Price History'!$A:$A))-'Price History'!G3)*(ROW()-3)/(MATCH(9.99E+307,'Returns (Calc)'!$A:$A)-3),"")</f>
        <v>7.85316455696203</v>
      </c>
      <c r="AC131" s="144" t="n">
        <f aca="false">IFERROR('Price History'!H3+(INDEX('Price History'!H:H,MATCH(9.99E+307,'Price History'!$A:$A))-'Price History'!H3)*(ROW()-3)/(MATCH(9.99E+307,'Returns (Calc)'!$A:$A)-3),"")</f>
        <v>19.0993670886076</v>
      </c>
      <c r="AD131" s="144" t="n">
        <f aca="false">IFERROR('Price History'!I3+(INDEX('Price History'!I:I,MATCH(9.99E+307,'Price History'!$A:$A))-'Price History'!I3)*(ROW()-3)/(MATCH(9.99E+307,'Returns (Calc)'!$A:$A)-3),"")</f>
        <v>8.42088607594937</v>
      </c>
      <c r="AE131" s="144" t="n">
        <f aca="false">IFERROR('Price History'!J3+(INDEX('Price History'!J:J,MATCH(9.99E+307,'Price History'!$A:$A))-'Price History'!J3)*(ROW()-3)/(MATCH(9.99E+307,'Returns (Calc)'!$A:$A)-3),"")</f>
        <v>13.1221518987342</v>
      </c>
      <c r="AF131" s="144" t="n">
        <f aca="false">IFERROR('Price History'!K3+(INDEX('Price History'!K:K,MATCH(9.99E+307,'Price History'!$A:$A))-'Price History'!K3)*(ROW()-3)/(MATCH(9.99E+307,'Returns (Calc)'!$A:$A)-3),"")</f>
        <v>8.31075949367089</v>
      </c>
      <c r="AG131" s="144" t="n">
        <f aca="false">IFERROR('Price History'!L3+(INDEX('Price History'!L:L,MATCH(9.99E+307,'Price History'!$A:$A))-'Price History'!L3)*(ROW()-3)/(MATCH(9.99E+307,'Returns (Calc)'!$A:$A)-3),"")</f>
        <v>21.2354430379747</v>
      </c>
      <c r="AH131" s="144" t="n">
        <f aca="false">IFERROR('Price History'!M3+(INDEX('Price History'!M:M,MATCH(9.99E+307,'Price History'!$A:$A))-'Price History'!M3)*(ROW()-3)/(MATCH(9.99E+307,'Returns (Calc)'!$A:$A)-3),"")</f>
        <v>2.91075949367089</v>
      </c>
      <c r="AI131" s="144" t="n">
        <f aca="false">IFERROR('Price History'!N3+(INDEX('Price History'!N:N,MATCH(9.99E+307,'Price History'!$A:$A))-'Price History'!N3)*(ROW()-3)/(MATCH(9.99E+307,'Returns (Calc)'!$A:$A)-3),"")</f>
        <v>4.13924050632911</v>
      </c>
      <c r="AJ131" s="144" t="n">
        <f aca="false">IFERROR('Price History'!O3+(INDEX('Price History'!O:O,MATCH(9.99E+307,'Price History'!$A:$A))-'Price History'!O3)*(ROW()-3)/(MATCH(9.99E+307,'Returns (Calc)'!$A:$A)-3),"")</f>
        <v>10.9424050632911</v>
      </c>
      <c r="AK131" s="144" t="n">
        <f aca="false">IFERROR('Price History'!Q3+(INDEX('Price History'!Q:Q,MATCH(9.99E+307,'Price History'!$A:$A))-'Price History'!Q3)*(ROW()-3)/(MATCH(9.99E+307,'Returns (Calc)'!$A:$A)-3),"")</f>
        <v>44.7398734177215</v>
      </c>
      <c r="AL131" s="144" t="n">
        <f aca="false">IFERROR('Price History'!R3+(INDEX('Price History'!R:R,MATCH(9.99E+307,'Price History'!$A:$A))-'Price History'!R3)*(ROW()-3)/(MATCH(9.99E+307,'Returns (Calc)'!$A:$A)-3),"")</f>
        <v>9.07974683544304</v>
      </c>
      <c r="AM131" s="144" t="n">
        <f aca="false">IFERROR('Price History'!S3+(INDEX('Price History'!S:S,MATCH(9.99E+307,'Price History'!$A:$A))-'Price History'!S3)*(ROW()-3)/(MATCH(9.99E+307,'Returns (Calc)'!$A:$A)-3),"")</f>
        <v>11.1151898734177</v>
      </c>
      <c r="AN131" s="144" t="n">
        <f aca="false">IFERROR('Price History'!T3+(INDEX('Price History'!T:T,MATCH(9.99E+307,'Price History'!$A:$A))-'Price History'!T3)*(ROW()-3)/(MATCH(9.99E+307,'Returns (Calc)'!$A:$A)-3),"")</f>
        <v>5.10949367088607</v>
      </c>
      <c r="AO131" s="145" t="n">
        <f aca="false">IFERROR('Price History'!V3+(INDEX('Price History'!V:V,MATCH(9.99E+307,'Price History'!$A:$A))-'Price History'!V3)*(ROW()-3)/(MATCH(9.99E+307,'Returns (Calc)'!$A:$A)-3),"")</f>
        <v>0</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-0.0191414235272255</v>
      </c>
      <c r="G132" s="142" t="n">
        <f aca="false">IFERROR(IF(OR(NOT(ISNUMBER('Price History'!G133)),NOT(ISNUMBER('Price History'!G132)),'Price History'!G132=0),"",'Price History'!G133/'Price History'!G132-1),"")</f>
        <v>0.0297435897435898</v>
      </c>
      <c r="H132" s="142" t="n">
        <f aca="false">IFERROR(IF(OR(NOT(ISNUMBER('Price History'!H133)),NOT(ISNUMBER('Price History'!H132)),'Price History'!H132=0),"",'Price History'!H133/'Price History'!H132-1),"")</f>
        <v>-0.0121598925092375</v>
      </c>
      <c r="I132" s="142" t="n">
        <f aca="false">IFERROR(IF(OR(NOT(ISNUMBER('Price History'!I133)),NOT(ISNUMBER('Price History'!I132)),'Price History'!I132=0),"",'Price History'!I133/'Price History'!I132-1),"")</f>
        <v>0.0550958025795871</v>
      </c>
      <c r="J132" s="142" t="n">
        <f aca="false">IFERROR(IF(OR(NOT(ISNUMBER('Price History'!J133)),NOT(ISNUMBER('Price History'!J132)),'Price History'!J132=0),"",'Price History'!J133/'Price History'!J132-1),"")</f>
        <v>0.150774136020968</v>
      </c>
      <c r="K132" s="142" t="n">
        <f aca="false">IFERROR(IF(OR(NOT(ISNUMBER('Price History'!K133)),NOT(ISNUMBER('Price History'!K132)),'Price History'!K132=0),"",'Price History'!K133/'Price History'!K132-1),"")</f>
        <v>0.0137542277339346</v>
      </c>
      <c r="L132" s="142" t="n">
        <f aca="false">IFERROR(IF(OR(NOT(ISNUMBER('Price History'!L133)),NOT(ISNUMBER('Price History'!L132)),'Price History'!L132=0),"",'Price History'!L133/'Price History'!L132-1),"")</f>
        <v>-0.0207667731629394</v>
      </c>
      <c r="M132" s="142" t="n">
        <f aca="false">IFERROR(IF(OR(NOT(ISNUMBER('Price History'!M133)),NOT(ISNUMBER('Price History'!M132)),'Price History'!M132=0),"",'Price History'!M133/'Price History'!M132-1),"")</f>
        <v>-0.0395138712140495</v>
      </c>
      <c r="N132" s="142" t="n">
        <f aca="false">IFERROR(IF(OR(NOT(ISNUMBER('Price History'!N133)),NOT(ISNUMBER('Price History'!N132)),'Price History'!N132=0),"",'Price History'!N133/'Price History'!N132-1),"")</f>
        <v>-0.010533245556287</v>
      </c>
      <c r="O132" s="142" t="n">
        <f aca="false">IFERROR(IF(OR(NOT(ISNUMBER('Price History'!O133)),NOT(ISNUMBER('Price History'!O132)),'Price History'!O132=0),"",'Price History'!O133/'Price History'!O132-1),"")</f>
        <v>-0.0173572704841317</v>
      </c>
      <c r="P132" s="142" t="n">
        <f aca="false">IFERROR(IF(OR(NOT(ISNUMBER('Price History'!P133)),NOT(ISNUMBER('Price History'!P132)),'Price History'!P132=0),"",'Price History'!P133/'Price History'!P132-1),"")</f>
        <v>-0.00172490706319695</v>
      </c>
      <c r="Q132" s="142" t="n">
        <f aca="false">IFERROR(IF(OR(NOT(ISNUMBER('Price History'!Q133)),NOT(ISNUMBER('Price History'!Q132)),'Price History'!Q132=0),"",'Price History'!Q133/'Price History'!Q132-1),"")</f>
        <v>-0.0322029609009237</v>
      </c>
      <c r="R132" s="142" t="n">
        <f aca="false">IFERROR(IF(OR(NOT(ISNUMBER('Price History'!R133)),NOT(ISNUMBER('Price History'!R132)),'Price History'!R132=0),"",'Price History'!R133/'Price History'!R132-1),"")</f>
        <v>-0.0232205956587582</v>
      </c>
      <c r="S132" s="142" t="n">
        <f aca="false">IFERROR(IF(OR(NOT(ISNUMBER('Price History'!S133)),NOT(ISNUMBER('Price History'!S132)),'Price History'!S132=0),"",'Price History'!S133/'Price History'!S132-1),"")</f>
        <v>-0.000250271127054336</v>
      </c>
      <c r="T132" s="142" t="n">
        <f aca="false">IFERROR(IF(OR(NOT(ISNUMBER('Price History'!T133)),NOT(ISNUMBER('Price History'!T132)),'Price History'!T132=0),"",'Price History'!T133/'Price History'!T132-1),"")</f>
        <v>0.0243222700785406</v>
      </c>
      <c r="U132" s="142" t="str">
        <f aca="false">IFERROR(IF(OR(NOT(ISNUMBER('Price History'!U133)),NOT(ISNUMBER('Price History'!U132)),'Price History'!U132=0),"",'Price History'!U133/'Price History'!U132-1),"")</f>
        <v/>
      </c>
      <c r="V132" s="143" t="n">
        <f aca="false">IFERROR(IF(OR(NOT(ISNUMBER('Price History'!V133)),NOT(ISNUMBER('Price History'!V132)),'Price History'!V132=0),"",'Price History'!V133/'Price History'!V132-1),"")</f>
        <v>0.0302897689975306</v>
      </c>
      <c r="W132" s="144" t="str">
        <f aca="false">IFERROR('Price History'!B3+(INDEX('Price History'!B:B,MATCH(9.99E+307,'Price History'!$A:$A))-'Price History'!B3)*(ROW()-3)/(MATCH(9.99E+307,'Returns (Calc)'!$A:$A)-3),"")</f>
        <v/>
      </c>
      <c r="X132" s="144" t="n">
        <f aca="false">IFERROR('Price History'!C3+(INDEX('Price History'!C:C,MATCH(9.99E+307,'Price History'!$A:$A))-'Price History'!C3)*(ROW()-3)/(MATCH(9.99E+307,'Returns (Calc)'!$A:$A)-3),"")</f>
        <v>8.47607594936709</v>
      </c>
      <c r="Y132" s="144" t="n">
        <f aca="false">IFERROR('Price History'!D3+(INDEX('Price History'!D:D,MATCH(9.99E+307,'Price History'!$A:$A))-'Price History'!D3)*(ROW()-3)/(MATCH(9.99E+307,'Returns (Calc)'!$A:$A)-3),"")</f>
        <v>106.824620253165</v>
      </c>
      <c r="Z132" s="144" t="n">
        <f aca="false">IFERROR('Price History'!E3+(INDEX('Price History'!E:E,MATCH(9.99E+307,'Price History'!$A:$A))-'Price History'!E3)*(ROW()-3)/(MATCH(9.99E+307,'Returns (Calc)'!$A:$A)-3),"")</f>
        <v>15.0506329113924</v>
      </c>
      <c r="AA132" s="144" t="n">
        <f aca="false">IFERROR('Price History'!F3+(INDEX('Price History'!F:F,MATCH(9.99E+307,'Price History'!$A:$A))-'Price History'!F3)*(ROW()-3)/(MATCH(9.99E+307,'Returns (Calc)'!$A:$A)-3),"")</f>
        <v>13.8227215189873</v>
      </c>
      <c r="AB132" s="144" t="n">
        <f aca="false">IFERROR('Price History'!G3+(INDEX('Price History'!G:G,MATCH(9.99E+307,'Price History'!$A:$A))-'Price History'!G3)*(ROW()-3)/(MATCH(9.99E+307,'Returns (Calc)'!$A:$A)-3),"")</f>
        <v>7.5913924050633</v>
      </c>
      <c r="AC132" s="144" t="n">
        <f aca="false">IFERROR('Price History'!H3+(INDEX('Price History'!H:H,MATCH(9.99E+307,'Price History'!$A:$A))-'Price History'!H3)*(ROW()-3)/(MATCH(9.99E+307,'Returns (Calc)'!$A:$A)-3),"")</f>
        <v>18.4627215189873</v>
      </c>
      <c r="AD132" s="144" t="n">
        <f aca="false">IFERROR('Price History'!I3+(INDEX('Price History'!I:I,MATCH(9.99E+307,'Price History'!$A:$A))-'Price History'!I3)*(ROW()-3)/(MATCH(9.99E+307,'Returns (Calc)'!$A:$A)-3),"")</f>
        <v>8.14018987341772</v>
      </c>
      <c r="AE132" s="144" t="n">
        <f aca="false">IFERROR('Price History'!J3+(INDEX('Price History'!J:J,MATCH(9.99E+307,'Price History'!$A:$A))-'Price History'!J3)*(ROW()-3)/(MATCH(9.99E+307,'Returns (Calc)'!$A:$A)-3),"")</f>
        <v>12.684746835443</v>
      </c>
      <c r="AF132" s="144" t="n">
        <f aca="false">IFERROR('Price History'!K3+(INDEX('Price History'!K:K,MATCH(9.99E+307,'Price History'!$A:$A))-'Price History'!K3)*(ROW()-3)/(MATCH(9.99E+307,'Returns (Calc)'!$A:$A)-3),"")</f>
        <v>8.03373417721519</v>
      </c>
      <c r="AG132" s="144" t="n">
        <f aca="false">IFERROR('Price History'!L3+(INDEX('Price History'!L:L,MATCH(9.99E+307,'Price History'!$A:$A))-'Price History'!L3)*(ROW()-3)/(MATCH(9.99E+307,'Returns (Calc)'!$A:$A)-3),"")</f>
        <v>20.5275949367089</v>
      </c>
      <c r="AH132" s="144" t="n">
        <f aca="false">IFERROR('Price History'!M3+(INDEX('Price History'!M:M,MATCH(9.99E+307,'Price History'!$A:$A))-'Price History'!M3)*(ROW()-3)/(MATCH(9.99E+307,'Returns (Calc)'!$A:$A)-3),"")</f>
        <v>2.81373417721519</v>
      </c>
      <c r="AI132" s="144" t="n">
        <f aca="false">IFERROR('Price History'!N3+(INDEX('Price History'!N:N,MATCH(9.99E+307,'Price History'!$A:$A))-'Price History'!N3)*(ROW()-3)/(MATCH(9.99E+307,'Returns (Calc)'!$A:$A)-3),"")</f>
        <v>4.00126582278481</v>
      </c>
      <c r="AJ132" s="144" t="n">
        <f aca="false">IFERROR('Price History'!O3+(INDEX('Price History'!O:O,MATCH(9.99E+307,'Price History'!$A:$A))-'Price History'!O3)*(ROW()-3)/(MATCH(9.99E+307,'Returns (Calc)'!$A:$A)-3),"")</f>
        <v>10.5776582278481</v>
      </c>
      <c r="AK132" s="144" t="n">
        <f aca="false">IFERROR('Price History'!Q3+(INDEX('Price History'!Q:Q,MATCH(9.99E+307,'Price History'!$A:$A))-'Price History'!Q3)*(ROW()-3)/(MATCH(9.99E+307,'Returns (Calc)'!$A:$A)-3),"")</f>
        <v>43.2485443037975</v>
      </c>
      <c r="AL132" s="144" t="n">
        <f aca="false">IFERROR('Price History'!R3+(INDEX('Price History'!R:R,MATCH(9.99E+307,'Price History'!$A:$A))-'Price History'!R3)*(ROW()-3)/(MATCH(9.99E+307,'Returns (Calc)'!$A:$A)-3),"")</f>
        <v>8.77708860759494</v>
      </c>
      <c r="AM132" s="144" t="n">
        <f aca="false">IFERROR('Price History'!S3+(INDEX('Price History'!S:S,MATCH(9.99E+307,'Price History'!$A:$A))-'Price History'!S3)*(ROW()-3)/(MATCH(9.99E+307,'Returns (Calc)'!$A:$A)-3),"")</f>
        <v>10.7446835443038</v>
      </c>
      <c r="AN132" s="144" t="n">
        <f aca="false">IFERROR('Price History'!T3+(INDEX('Price History'!T:T,MATCH(9.99E+307,'Price History'!$A:$A))-'Price History'!T3)*(ROW()-3)/(MATCH(9.99E+307,'Returns (Calc)'!$A:$A)-3),"")</f>
        <v>4.93917721518988</v>
      </c>
      <c r="AO132" s="145" t="n">
        <f aca="false">IFERROR('Price History'!V3+(INDEX('Price History'!V:V,MATCH(9.99E+307,'Price History'!$A:$A))-'Price History'!V3)*(ROW()-3)/(MATCH(9.99E+307,'Returns (Calc)'!$A:$A)-3),"")</f>
        <v>0</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-0.00198938992042452</v>
      </c>
      <c r="G133" s="142" t="n">
        <f aca="false">IFERROR(IF(OR(NOT(ISNUMBER('Price History'!G134)),NOT(ISNUMBER('Price History'!G133)),'Price History'!G133=0),"",'Price History'!G134/'Price History'!G133-1),"")</f>
        <v>-0.074157913799348</v>
      </c>
      <c r="H133" s="142" t="n">
        <f aca="false">IFERROR(IF(OR(NOT(ISNUMBER('Price History'!H134)),NOT(ISNUMBER('Price History'!H133)),'Price History'!H133=0),"",'Price History'!H134/'Price History'!H133-1),"")</f>
        <v>-0.0233949945593036</v>
      </c>
      <c r="I133" s="142" t="n">
        <f aca="false">IFERROR(IF(OR(NOT(ISNUMBER('Price History'!I134)),NOT(ISNUMBER('Price History'!I133)),'Price History'!I133=0),"",'Price History'!I134/'Price History'!I133-1),"")</f>
        <v>0.0564584511023176</v>
      </c>
      <c r="J133" s="142" t="n">
        <f aca="false">IFERROR(IF(OR(NOT(ISNUMBER('Price History'!J134)),NOT(ISNUMBER('Price History'!J133)),'Price History'!J133=0),"",'Price History'!J134/'Price History'!J133-1),"")</f>
        <v>-0.00758411796473257</v>
      </c>
      <c r="K133" s="142" t="n">
        <f aca="false">IFERROR(IF(OR(NOT(ISNUMBER('Price History'!K134)),NOT(ISNUMBER('Price History'!K133)),'Price History'!K133=0),"",'Price History'!K134/'Price History'!K133-1),"")</f>
        <v>-0.0418705516014235</v>
      </c>
      <c r="L133" s="142" t="n">
        <f aca="false">IFERROR(IF(OR(NOT(ISNUMBER('Price History'!L134)),NOT(ISNUMBER('Price History'!L133)),'Price History'!L133=0),"",'Price History'!L134/'Price History'!L133-1),"")</f>
        <v>-0.0205080400838964</v>
      </c>
      <c r="M133" s="142" t="n">
        <f aca="false">IFERROR(IF(OR(NOT(ISNUMBER('Price History'!M134)),NOT(ISNUMBER('Price History'!M133)),'Price History'!M133=0),"",'Price History'!M134/'Price History'!M133-1),"")</f>
        <v>-0.00178867174561104</v>
      </c>
      <c r="N133" s="142" t="n">
        <f aca="false">IFERROR(IF(OR(NOT(ISNUMBER('Price History'!N134)),NOT(ISNUMBER('Price History'!N133)),'Price History'!N133=0),"",'Price History'!N134/'Price History'!N133-1),"")</f>
        <v>-0.0133067198935461</v>
      </c>
      <c r="O133" s="142" t="n">
        <f aca="false">IFERROR(IF(OR(NOT(ISNUMBER('Price History'!O134)),NOT(ISNUMBER('Price History'!O133)),'Price History'!O133=0),"",'Price History'!O134/'Price History'!O133-1),"")</f>
        <v>-0.0206944324183912</v>
      </c>
      <c r="P133" s="142" t="n">
        <f aca="false">IFERROR(IF(OR(NOT(ISNUMBER('Price History'!P134)),NOT(ISNUMBER('Price History'!P133)),'Price History'!P133=0),"",'Price History'!P134/'Price History'!P133-1),"")</f>
        <v>-0.0240712604641464</v>
      </c>
      <c r="Q133" s="142" t="n">
        <f aca="false">IFERROR(IF(OR(NOT(ISNUMBER('Price History'!Q134)),NOT(ISNUMBER('Price History'!Q133)),'Price History'!Q133=0),"",'Price History'!Q134/'Price History'!Q133-1),"")</f>
        <v>-0.0179773811858535</v>
      </c>
      <c r="R133" s="142" t="n">
        <f aca="false">IFERROR(IF(OR(NOT(ISNUMBER('Price History'!R134)),NOT(ISNUMBER('Price History'!R133)),'Price History'!R133=0),"",'Price History'!R134/'Price History'!R133-1),"")</f>
        <v>-0.00930232558139532</v>
      </c>
      <c r="S133" s="142" t="n">
        <f aca="false">IFERROR(IF(OR(NOT(ISNUMBER('Price History'!S134)),NOT(ISNUMBER('Price History'!S133)),'Price History'!S133=0),"",'Price History'!S134/'Price History'!S133-1),"")</f>
        <v>-0.0132676902536716</v>
      </c>
      <c r="T133" s="142" t="n">
        <f aca="false">IFERROR(IF(OR(NOT(ISNUMBER('Price History'!T134)),NOT(ISNUMBER('Price History'!T133)),'Price History'!T133=0),"",'Price History'!T134/'Price History'!T133-1),"")</f>
        <v>-0.00420479841701715</v>
      </c>
      <c r="U133" s="142" t="str">
        <f aca="false">IFERROR(IF(OR(NOT(ISNUMBER('Price History'!U134)),NOT(ISNUMBER('Price History'!U133)),'Price History'!U133=0),"",'Price History'!U134/'Price History'!U133-1),"")</f>
        <v/>
      </c>
      <c r="V133" s="143" t="n">
        <f aca="false">IFERROR(IF(OR(NOT(ISNUMBER('Price History'!V134)),NOT(ISNUMBER('Price History'!V133)),'Price History'!V133=0),"",'Price History'!V134/'Price History'!V133-1),"")</f>
        <v>-0.0508191747572816</v>
      </c>
      <c r="W133" s="144" t="str">
        <f aca="false">IFERROR('Price History'!B3+(INDEX('Price History'!B:B,MATCH(9.99E+307,'Price History'!$A:$A))-'Price History'!B3)*(ROW()-3)/(MATCH(9.99E+307,'Returns (Calc)'!$A:$A)-3),"")</f>
        <v/>
      </c>
      <c r="X133" s="144" t="n">
        <f aca="false">IFERROR('Price History'!C3+(INDEX('Price History'!C:C,MATCH(9.99E+307,'Price History'!$A:$A))-'Price History'!C3)*(ROW()-3)/(MATCH(9.99E+307,'Returns (Calc)'!$A:$A)-3),"")</f>
        <v>8.18379746835444</v>
      </c>
      <c r="Y133" s="144" t="n">
        <f aca="false">IFERROR('Price History'!D3+(INDEX('Price History'!D:D,MATCH(9.99E+307,'Price History'!$A:$A))-'Price History'!D3)*(ROW()-3)/(MATCH(9.99E+307,'Returns (Calc)'!$A:$A)-3),"")</f>
        <v>103.141012658228</v>
      </c>
      <c r="Z133" s="144" t="n">
        <f aca="false">IFERROR('Price History'!E3+(INDEX('Price History'!E:E,MATCH(9.99E+307,'Price History'!$A:$A))-'Price History'!E3)*(ROW()-3)/(MATCH(9.99E+307,'Returns (Calc)'!$A:$A)-3),"")</f>
        <v>14.5316455696203</v>
      </c>
      <c r="AA133" s="144" t="n">
        <f aca="false">IFERROR('Price History'!F3+(INDEX('Price History'!F:F,MATCH(9.99E+307,'Price History'!$A:$A))-'Price History'!F3)*(ROW()-3)/(MATCH(9.99E+307,'Returns (Calc)'!$A:$A)-3),"")</f>
        <v>13.3460759493671</v>
      </c>
      <c r="AB133" s="144" t="n">
        <f aca="false">IFERROR('Price History'!G3+(INDEX('Price History'!G:G,MATCH(9.99E+307,'Price History'!$A:$A))-'Price History'!G3)*(ROW()-3)/(MATCH(9.99E+307,'Returns (Calc)'!$A:$A)-3),"")</f>
        <v>7.32962025316456</v>
      </c>
      <c r="AC133" s="144" t="n">
        <f aca="false">IFERROR('Price History'!H3+(INDEX('Price History'!H:H,MATCH(9.99E+307,'Price History'!$A:$A))-'Price History'!H3)*(ROW()-3)/(MATCH(9.99E+307,'Returns (Calc)'!$A:$A)-3),"")</f>
        <v>17.8260759493671</v>
      </c>
      <c r="AD133" s="144" t="n">
        <f aca="false">IFERROR('Price History'!I3+(INDEX('Price History'!I:I,MATCH(9.99E+307,'Price History'!$A:$A))-'Price History'!I3)*(ROW()-3)/(MATCH(9.99E+307,'Returns (Calc)'!$A:$A)-3),"")</f>
        <v>7.85949367088607</v>
      </c>
      <c r="AE133" s="144" t="n">
        <f aca="false">IFERROR('Price History'!J3+(INDEX('Price History'!J:J,MATCH(9.99E+307,'Price History'!$A:$A))-'Price History'!J3)*(ROW()-3)/(MATCH(9.99E+307,'Returns (Calc)'!$A:$A)-3),"")</f>
        <v>12.2473417721519</v>
      </c>
      <c r="AF133" s="144" t="n">
        <f aca="false">IFERROR('Price History'!K3+(INDEX('Price History'!K:K,MATCH(9.99E+307,'Price History'!$A:$A))-'Price History'!K3)*(ROW()-3)/(MATCH(9.99E+307,'Returns (Calc)'!$A:$A)-3),"")</f>
        <v>7.7567088607595</v>
      </c>
      <c r="AG133" s="144" t="n">
        <f aca="false">IFERROR('Price History'!L3+(INDEX('Price History'!L:L,MATCH(9.99E+307,'Price History'!$A:$A))-'Price History'!L3)*(ROW()-3)/(MATCH(9.99E+307,'Returns (Calc)'!$A:$A)-3),"")</f>
        <v>19.819746835443</v>
      </c>
      <c r="AH133" s="144" t="n">
        <f aca="false">IFERROR('Price History'!M3+(INDEX('Price History'!M:M,MATCH(9.99E+307,'Price History'!$A:$A))-'Price History'!M3)*(ROW()-3)/(MATCH(9.99E+307,'Returns (Calc)'!$A:$A)-3),"")</f>
        <v>2.71670886075949</v>
      </c>
      <c r="AI133" s="144" t="n">
        <f aca="false">IFERROR('Price History'!N3+(INDEX('Price History'!N:N,MATCH(9.99E+307,'Price History'!$A:$A))-'Price History'!N3)*(ROW()-3)/(MATCH(9.99E+307,'Returns (Calc)'!$A:$A)-3),"")</f>
        <v>3.86329113924051</v>
      </c>
      <c r="AJ133" s="144" t="n">
        <f aca="false">IFERROR('Price History'!O3+(INDEX('Price History'!O:O,MATCH(9.99E+307,'Price History'!$A:$A))-'Price History'!O3)*(ROW()-3)/(MATCH(9.99E+307,'Returns (Calc)'!$A:$A)-3),"")</f>
        <v>10.2129113924051</v>
      </c>
      <c r="AK133" s="144" t="n">
        <f aca="false">IFERROR('Price History'!Q3+(INDEX('Price History'!Q:Q,MATCH(9.99E+307,'Price History'!$A:$A))-'Price History'!Q3)*(ROW()-3)/(MATCH(9.99E+307,'Returns (Calc)'!$A:$A)-3),"")</f>
        <v>41.7572151898734</v>
      </c>
      <c r="AL133" s="144" t="n">
        <f aca="false">IFERROR('Price History'!R3+(INDEX('Price History'!R:R,MATCH(9.99E+307,'Price History'!$A:$A))-'Price History'!R3)*(ROW()-3)/(MATCH(9.99E+307,'Returns (Calc)'!$A:$A)-3),"")</f>
        <v>8.47443037974684</v>
      </c>
      <c r="AM133" s="144" t="n">
        <f aca="false">IFERROR('Price History'!S3+(INDEX('Price History'!S:S,MATCH(9.99E+307,'Price History'!$A:$A))-'Price History'!S3)*(ROW()-3)/(MATCH(9.99E+307,'Returns (Calc)'!$A:$A)-3),"")</f>
        <v>10.3741772151899</v>
      </c>
      <c r="AN133" s="144" t="n">
        <f aca="false">IFERROR('Price History'!T3+(INDEX('Price History'!T:T,MATCH(9.99E+307,'Price History'!$A:$A))-'Price History'!T3)*(ROW()-3)/(MATCH(9.99E+307,'Returns (Calc)'!$A:$A)-3),"")</f>
        <v>4.76886075949367</v>
      </c>
      <c r="AO133" s="145" t="n">
        <f aca="false">IFERROR('Price History'!V3+(INDEX('Price History'!V:V,MATCH(9.99E+307,'Price History'!$A:$A))-'Price History'!V3)*(ROW()-3)/(MATCH(9.99E+307,'Returns (Calc)'!$A:$A)-3),"")</f>
        <v>0</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0.0296155671570955</v>
      </c>
      <c r="G134" s="142" t="n">
        <f aca="false">IFERROR(IF(OR(NOT(ISNUMBER('Price History'!G135)),NOT(ISNUMBER('Price History'!G134)),'Price History'!G134=0),"",'Price History'!G135/'Price History'!G134-1),"")</f>
        <v>-0.0964303178484107</v>
      </c>
      <c r="H134" s="142" t="n">
        <f aca="false">IFERROR(IF(OR(NOT(ISNUMBER('Price History'!H135)),NOT(ISNUMBER('Price History'!H134)),'Price History'!H134=0),"",'Price History'!H135/'Price History'!H134-1),"")</f>
        <v>0.0244428969359334</v>
      </c>
      <c r="I134" s="142" t="n">
        <f aca="false">IFERROR(IF(OR(NOT(ISNUMBER('Price History'!I135)),NOT(ISNUMBER('Price History'!I134)),'Price History'!I134=0),"",'Price History'!I135/'Price History'!I134-1),"")</f>
        <v>-0.0370543776336031</v>
      </c>
      <c r="J134" s="142" t="n">
        <f aca="false">IFERROR(IF(OR(NOT(ISNUMBER('Price History'!J135)),NOT(ISNUMBER('Price History'!J134)),'Price History'!J134=0),"",'Price History'!J135/'Price History'!J134-1),"")</f>
        <v>-0.155302134103062</v>
      </c>
      <c r="K134" s="142" t="n">
        <f aca="false">IFERROR(IF(OR(NOT(ISNUMBER('Price History'!K135)),NOT(ISNUMBER('Price History'!K134)),'Price History'!K134=0),"",'Price History'!K135/'Price History'!K134-1),"")</f>
        <v>-0.0300040624455923</v>
      </c>
      <c r="L134" s="142" t="n">
        <f aca="false">IFERROR(IF(OR(NOT(ISNUMBER('Price History'!L135)),NOT(ISNUMBER('Price History'!L134)),'Price History'!L134=0),"",'Price History'!L135/'Price History'!L134-1),"")</f>
        <v>0.00689983345229583</v>
      </c>
      <c r="M134" s="142" t="n">
        <f aca="false">IFERROR(IF(OR(NOT(ISNUMBER('Price History'!M135)),NOT(ISNUMBER('Price History'!M134)),'Price History'!M134=0),"",'Price History'!M135/'Price History'!M134-1),"")</f>
        <v>-0.0505707459516858</v>
      </c>
      <c r="N134" s="142" t="n">
        <f aca="false">IFERROR(IF(OR(NOT(ISNUMBER('Price History'!N135)),NOT(ISNUMBER('Price History'!N134)),'Price History'!N134=0),"",'Price History'!N135/'Price History'!N134-1),"")</f>
        <v>0.0101146325016859</v>
      </c>
      <c r="O134" s="142" t="n">
        <f aca="false">IFERROR(IF(OR(NOT(ISNUMBER('Price History'!O135)),NOT(ISNUMBER('Price History'!O134)),'Price History'!O134=0),"",'Price History'!O135/'Price History'!O134-1),"")</f>
        <v>-0.0277630415561451</v>
      </c>
      <c r="P134" s="142" t="n">
        <f aca="false">IFERROR(IF(OR(NOT(ISNUMBER('Price History'!P135)),NOT(ISNUMBER('Price History'!P134)),'Price History'!P134=0),"",'Price History'!P135/'Price History'!P134-1),"")</f>
        <v>-0.00760096462040949</v>
      </c>
      <c r="Q134" s="142" t="n">
        <f aca="false">IFERROR(IF(OR(NOT(ISNUMBER('Price History'!Q135)),NOT(ISNUMBER('Price History'!Q134)),'Price History'!Q134=0),"",'Price History'!Q135/'Price History'!Q134-1),"")</f>
        <v>-0.0202369857542271</v>
      </c>
      <c r="R134" s="142" t="n">
        <f aca="false">IFERROR(IF(OR(NOT(ISNUMBER('Price History'!R135)),NOT(ISNUMBER('Price History'!R134)),'Price History'!R134=0),"",'Price History'!R135/'Price History'!R134-1),"")</f>
        <v>0.0111284993914103</v>
      </c>
      <c r="S134" s="142" t="n">
        <f aca="false">IFERROR(IF(OR(NOT(ISNUMBER('Price History'!S135)),NOT(ISNUMBER('Price History'!S134)),'Price History'!S134=0),"",'Price History'!S135/'Price History'!S134-1),"")</f>
        <v>0.01446088794926</v>
      </c>
      <c r="T134" s="142" t="n">
        <f aca="false">IFERROR(IF(OR(NOT(ISNUMBER('Price History'!T135)),NOT(ISNUMBER('Price History'!T134)),'Price History'!T134=0),"",'Price History'!T135/'Price History'!T134-1),"")</f>
        <v>0.00198708395429725</v>
      </c>
      <c r="U134" s="142" t="str">
        <f aca="false">IFERROR(IF(OR(NOT(ISNUMBER('Price History'!U135)),NOT(ISNUMBER('Price History'!U134)),'Price History'!U134=0),"",'Price History'!U135/'Price History'!U134-1),"")</f>
        <v/>
      </c>
      <c r="V134" s="143" t="n">
        <f aca="false">IFERROR(IF(OR(NOT(ISNUMBER('Price History'!V135)),NOT(ISNUMBER('Price History'!V134)),'Price History'!V134=0),"",'Price History'!V135/'Price History'!V134-1),"")</f>
        <v>0.0218635128655904</v>
      </c>
      <c r="W134" s="144" t="str">
        <f aca="false">IFERROR('Price History'!B3+(INDEX('Price History'!B:B,MATCH(9.99E+307,'Price History'!$A:$A))-'Price History'!B3)*(ROW()-3)/(MATCH(9.99E+307,'Returns (Calc)'!$A:$A)-3),"")</f>
        <v/>
      </c>
      <c r="X134" s="144" t="n">
        <f aca="false">IFERROR('Price History'!C3+(INDEX('Price History'!C:C,MATCH(9.99E+307,'Price History'!$A:$A))-'Price History'!C3)*(ROW()-3)/(MATCH(9.99E+307,'Returns (Calc)'!$A:$A)-3),"")</f>
        <v>7.89151898734177</v>
      </c>
      <c r="Y134" s="144" t="n">
        <f aca="false">IFERROR('Price History'!D3+(INDEX('Price History'!D:D,MATCH(9.99E+307,'Price History'!$A:$A))-'Price History'!D3)*(ROW()-3)/(MATCH(9.99E+307,'Returns (Calc)'!$A:$A)-3),"")</f>
        <v>99.4574050632912</v>
      </c>
      <c r="Z134" s="144" t="n">
        <f aca="false">IFERROR('Price History'!E3+(INDEX('Price History'!E:E,MATCH(9.99E+307,'Price History'!$A:$A))-'Price History'!E3)*(ROW()-3)/(MATCH(9.99E+307,'Returns (Calc)'!$A:$A)-3),"")</f>
        <v>14.0126582278481</v>
      </c>
      <c r="AA134" s="144" t="n">
        <f aca="false">IFERROR('Price History'!F3+(INDEX('Price History'!F:F,MATCH(9.99E+307,'Price History'!$A:$A))-'Price History'!F3)*(ROW()-3)/(MATCH(9.99E+307,'Returns (Calc)'!$A:$A)-3),"")</f>
        <v>12.8694303797468</v>
      </c>
      <c r="AB134" s="144" t="n">
        <f aca="false">IFERROR('Price History'!G3+(INDEX('Price History'!G:G,MATCH(9.99E+307,'Price History'!$A:$A))-'Price History'!G3)*(ROW()-3)/(MATCH(9.99E+307,'Returns (Calc)'!$A:$A)-3),"")</f>
        <v>7.06784810126582</v>
      </c>
      <c r="AC134" s="144" t="n">
        <f aca="false">IFERROR('Price History'!H3+(INDEX('Price History'!H:H,MATCH(9.99E+307,'Price History'!$A:$A))-'Price History'!H3)*(ROW()-3)/(MATCH(9.99E+307,'Returns (Calc)'!$A:$A)-3),"")</f>
        <v>17.1894303797468</v>
      </c>
      <c r="AD134" s="144" t="n">
        <f aca="false">IFERROR('Price History'!I3+(INDEX('Price History'!I:I,MATCH(9.99E+307,'Price History'!$A:$A))-'Price History'!I3)*(ROW()-3)/(MATCH(9.99E+307,'Returns (Calc)'!$A:$A)-3),"")</f>
        <v>7.57879746835443</v>
      </c>
      <c r="AE134" s="144" t="n">
        <f aca="false">IFERROR('Price History'!J3+(INDEX('Price History'!J:J,MATCH(9.99E+307,'Price History'!$A:$A))-'Price History'!J3)*(ROW()-3)/(MATCH(9.99E+307,'Returns (Calc)'!$A:$A)-3),"")</f>
        <v>11.8099367088608</v>
      </c>
      <c r="AF134" s="144" t="n">
        <f aca="false">IFERROR('Price History'!K3+(INDEX('Price History'!K:K,MATCH(9.99E+307,'Price History'!$A:$A))-'Price History'!K3)*(ROW()-3)/(MATCH(9.99E+307,'Returns (Calc)'!$A:$A)-3),"")</f>
        <v>7.4796835443038</v>
      </c>
      <c r="AG134" s="144" t="n">
        <f aca="false">IFERROR('Price History'!L3+(INDEX('Price History'!L:L,MATCH(9.99E+307,'Price History'!$A:$A))-'Price History'!L3)*(ROW()-3)/(MATCH(9.99E+307,'Returns (Calc)'!$A:$A)-3),"")</f>
        <v>19.1118987341772</v>
      </c>
      <c r="AH134" s="144" t="n">
        <f aca="false">IFERROR('Price History'!M3+(INDEX('Price History'!M:M,MATCH(9.99E+307,'Price History'!$A:$A))-'Price History'!M3)*(ROW()-3)/(MATCH(9.99E+307,'Returns (Calc)'!$A:$A)-3),"")</f>
        <v>2.6196835443038</v>
      </c>
      <c r="AI134" s="144" t="n">
        <f aca="false">IFERROR('Price History'!N3+(INDEX('Price History'!N:N,MATCH(9.99E+307,'Price History'!$A:$A))-'Price History'!N3)*(ROW()-3)/(MATCH(9.99E+307,'Returns (Calc)'!$A:$A)-3),"")</f>
        <v>3.7253164556962</v>
      </c>
      <c r="AJ134" s="144" t="n">
        <f aca="false">IFERROR('Price History'!O3+(INDEX('Price History'!O:O,MATCH(9.99E+307,'Price History'!$A:$A))-'Price History'!O3)*(ROW()-3)/(MATCH(9.99E+307,'Returns (Calc)'!$A:$A)-3),"")</f>
        <v>9.84816455696203</v>
      </c>
      <c r="AK134" s="144" t="n">
        <f aca="false">IFERROR('Price History'!Q3+(INDEX('Price History'!Q:Q,MATCH(9.99E+307,'Price History'!$A:$A))-'Price History'!Q3)*(ROW()-3)/(MATCH(9.99E+307,'Returns (Calc)'!$A:$A)-3),"")</f>
        <v>40.2658860759494</v>
      </c>
      <c r="AL134" s="144" t="n">
        <f aca="false">IFERROR('Price History'!R3+(INDEX('Price History'!R:R,MATCH(9.99E+307,'Price History'!$A:$A))-'Price History'!R3)*(ROW()-3)/(MATCH(9.99E+307,'Returns (Calc)'!$A:$A)-3),"")</f>
        <v>8.17177215189874</v>
      </c>
      <c r="AM134" s="144" t="n">
        <f aca="false">IFERROR('Price History'!S3+(INDEX('Price History'!S:S,MATCH(9.99E+307,'Price History'!$A:$A))-'Price History'!S3)*(ROW()-3)/(MATCH(9.99E+307,'Returns (Calc)'!$A:$A)-3),"")</f>
        <v>10.003670886076</v>
      </c>
      <c r="AN134" s="144" t="n">
        <f aca="false">IFERROR('Price History'!T3+(INDEX('Price History'!T:T,MATCH(9.99E+307,'Price History'!$A:$A))-'Price History'!T3)*(ROW()-3)/(MATCH(9.99E+307,'Returns (Calc)'!$A:$A)-3),"")</f>
        <v>4.59854430379747</v>
      </c>
      <c r="AO134" s="145" t="n">
        <f aca="false">IFERROR('Price History'!V3+(INDEX('Price History'!V:V,MATCH(9.99E+307,'Price History'!$A:$A))-'Price History'!V3)*(ROW()-3)/(MATCH(9.99E+307,'Returns (Calc)'!$A:$A)-3),"")</f>
        <v>0</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0.0200977228726837</v>
      </c>
      <c r="G135" s="142" t="n">
        <f aca="false">IFERROR(IF(OR(NOT(ISNUMBER('Price History'!G136)),NOT(ISNUMBER('Price History'!G135)),'Price History'!G135=0),"",'Price History'!G136/'Price History'!G135-1),"")</f>
        <v>0.0799870115813399</v>
      </c>
      <c r="H135" s="142" t="n">
        <f aca="false">IFERROR(IF(OR(NOT(ISNUMBER('Price History'!H136)),NOT(ISNUMBER('Price History'!H135)),'Price History'!H135=0),"",'Price History'!H136/'Price History'!H135-1),"")</f>
        <v>0.0144789613214602</v>
      </c>
      <c r="I135" s="142" t="n">
        <f aca="false">IFERROR(IF(OR(NOT(ISNUMBER('Price History'!I136)),NOT(ISNUMBER('Price History'!I135)),'Price History'!I135=0),"",'Price History'!I136/'Price History'!I135-1),"")</f>
        <v>0.0510523025630338</v>
      </c>
      <c r="J135" s="142" t="n">
        <f aca="false">IFERROR(IF(OR(NOT(ISNUMBER('Price History'!J136)),NOT(ISNUMBER('Price History'!J135)),'Price History'!J135=0),"",'Price History'!J136/'Price History'!J135-1),"")</f>
        <v>0.0256568259481262</v>
      </c>
      <c r="K135" s="142" t="n">
        <f aca="false">IFERROR(IF(OR(NOT(ISNUMBER('Price History'!K136)),NOT(ISNUMBER('Price History'!K135)),'Price History'!K135=0),"",'Price History'!K136/'Price History'!K135-1),"")</f>
        <v>0.0589326313270313</v>
      </c>
      <c r="L135" s="142" t="n">
        <f aca="false">IFERROR(IF(OR(NOT(ISNUMBER('Price History'!L136)),NOT(ISNUMBER('Price History'!L135)),'Price History'!L135=0),"",'Price History'!L136/'Price History'!L135-1),"")</f>
        <v>0.0378071833648392</v>
      </c>
      <c r="M135" s="142" t="n">
        <f aca="false">IFERROR(IF(OR(NOT(ISNUMBER('Price History'!M136)),NOT(ISNUMBER('Price History'!M135)),'Price History'!M135=0),"",'Price History'!M136/'Price History'!M135-1),"")</f>
        <v>0.0377464001118413</v>
      </c>
      <c r="N135" s="142" t="n">
        <f aca="false">IFERROR(IF(OR(NOT(ISNUMBER('Price History'!N136)),NOT(ISNUMBER('Price History'!N135)),'Price History'!N135=0),"",'Price History'!N136/'Price History'!N135-1),"")</f>
        <v>0.00400534045393841</v>
      </c>
      <c r="O135" s="142" t="n">
        <f aca="false">IFERROR(IF(OR(NOT(ISNUMBER('Price History'!O136)),NOT(ISNUMBER('Price History'!O135)),'Price History'!O135=0),"",'Price History'!O136/'Price History'!O135-1),"")</f>
        <v>0.0401964350672972</v>
      </c>
      <c r="P135" s="142" t="n">
        <f aca="false">IFERROR(IF(OR(NOT(ISNUMBER('Price History'!P136)),NOT(ISNUMBER('Price History'!P135)),'Price History'!P135=0),"",'Price History'!P136/'Price History'!P135-1),"")</f>
        <v>0.0376499538603505</v>
      </c>
      <c r="Q135" s="142" t="n">
        <f aca="false">IFERROR(IF(OR(NOT(ISNUMBER('Price History'!Q136)),NOT(ISNUMBER('Price History'!Q135)),'Price History'!Q135=0),"",'Price History'!Q136/'Price History'!Q135-1),"")</f>
        <v>0.0178692757168093</v>
      </c>
      <c r="R135" s="142" t="n">
        <f aca="false">IFERROR(IF(OR(NOT(ISNUMBER('Price History'!R136)),NOT(ISNUMBER('Price History'!R135)),'Price History'!R135=0),"",'Price History'!R136/'Price History'!R135-1),"")</f>
        <v>-0.00189165950128978</v>
      </c>
      <c r="S135" s="142" t="n">
        <f aca="false">IFERROR(IF(OR(NOT(ISNUMBER('Price History'!S136)),NOT(ISNUMBER('Price History'!S135)),'Price History'!S135=0),"",'Price History'!S136/'Price History'!S135-1),"")</f>
        <v>-0.00408469489829944</v>
      </c>
      <c r="T135" s="142" t="n">
        <f aca="false">IFERROR(IF(OR(NOT(ISNUMBER('Price History'!T136)),NOT(ISNUMBER('Price History'!T135)),'Price History'!T135=0),"",'Price History'!T136/'Price History'!T135-1),"")</f>
        <v>0.00347050074367861</v>
      </c>
      <c r="U135" s="142" t="str">
        <f aca="false">IFERROR(IF(OR(NOT(ISNUMBER('Price History'!U136)),NOT(ISNUMBER('Price History'!U135)),'Price History'!U135=0),"",'Price History'!U136/'Price History'!U135-1),"")</f>
        <v/>
      </c>
      <c r="V135" s="143" t="n">
        <f aca="false">IFERROR(IF(OR(NOT(ISNUMBER('Price History'!V136)),NOT(ISNUMBER('Price History'!V135)),'Price History'!V135=0),"",'Price History'!V136/'Price History'!V135-1),"")</f>
        <v>-0.00250242422346647</v>
      </c>
      <c r="W135" s="144" t="str">
        <f aca="false">IFERROR('Price History'!B3+(INDEX('Price History'!B:B,MATCH(9.99E+307,'Price History'!$A:$A))-'Price History'!B3)*(ROW()-3)/(MATCH(9.99E+307,'Returns (Calc)'!$A:$A)-3),"")</f>
        <v/>
      </c>
      <c r="X135" s="144" t="n">
        <f aca="false">IFERROR('Price History'!C3+(INDEX('Price History'!C:C,MATCH(9.99E+307,'Price History'!$A:$A))-'Price History'!C3)*(ROW()-3)/(MATCH(9.99E+307,'Returns (Calc)'!$A:$A)-3),"")</f>
        <v>7.59924050632911</v>
      </c>
      <c r="Y135" s="144" t="n">
        <f aca="false">IFERROR('Price History'!D3+(INDEX('Price History'!D:D,MATCH(9.99E+307,'Price History'!$A:$A))-'Price History'!D3)*(ROW()-3)/(MATCH(9.99E+307,'Returns (Calc)'!$A:$A)-3),"")</f>
        <v>95.7737974683545</v>
      </c>
      <c r="Z135" s="144" t="n">
        <f aca="false">IFERROR('Price History'!E3+(INDEX('Price History'!E:E,MATCH(9.99E+307,'Price History'!$A:$A))-'Price History'!E3)*(ROW()-3)/(MATCH(9.99E+307,'Returns (Calc)'!$A:$A)-3),"")</f>
        <v>13.4936708860759</v>
      </c>
      <c r="AA135" s="144" t="n">
        <f aca="false">IFERROR('Price History'!F3+(INDEX('Price History'!F:F,MATCH(9.99E+307,'Price History'!$A:$A))-'Price History'!F3)*(ROW()-3)/(MATCH(9.99E+307,'Returns (Calc)'!$A:$A)-3),"")</f>
        <v>12.3927848101266</v>
      </c>
      <c r="AB135" s="144" t="n">
        <f aca="false">IFERROR('Price History'!G3+(INDEX('Price History'!G:G,MATCH(9.99E+307,'Price History'!$A:$A))-'Price History'!G3)*(ROW()-3)/(MATCH(9.99E+307,'Returns (Calc)'!$A:$A)-3),"")</f>
        <v>6.80607594936709</v>
      </c>
      <c r="AC135" s="144" t="n">
        <f aca="false">IFERROR('Price History'!H3+(INDEX('Price History'!H:H,MATCH(9.99E+307,'Price History'!$A:$A))-'Price History'!H3)*(ROW()-3)/(MATCH(9.99E+307,'Returns (Calc)'!$A:$A)-3),"")</f>
        <v>16.5527848101266</v>
      </c>
      <c r="AD135" s="144" t="n">
        <f aca="false">IFERROR('Price History'!I3+(INDEX('Price History'!I:I,MATCH(9.99E+307,'Price History'!$A:$A))-'Price History'!I3)*(ROW()-3)/(MATCH(9.99E+307,'Returns (Calc)'!$A:$A)-3),"")</f>
        <v>7.29810126582279</v>
      </c>
      <c r="AE135" s="144" t="n">
        <f aca="false">IFERROR('Price History'!J3+(INDEX('Price History'!J:J,MATCH(9.99E+307,'Price History'!$A:$A))-'Price History'!J3)*(ROW()-3)/(MATCH(9.99E+307,'Returns (Calc)'!$A:$A)-3),"")</f>
        <v>11.3725316455696</v>
      </c>
      <c r="AF135" s="144" t="n">
        <f aca="false">IFERROR('Price History'!K3+(INDEX('Price History'!K:K,MATCH(9.99E+307,'Price History'!$A:$A))-'Price History'!K3)*(ROW()-3)/(MATCH(9.99E+307,'Returns (Calc)'!$A:$A)-3),"")</f>
        <v>7.2026582278481</v>
      </c>
      <c r="AG135" s="144" t="n">
        <f aca="false">IFERROR('Price History'!L3+(INDEX('Price History'!L:L,MATCH(9.99E+307,'Price History'!$A:$A))-'Price History'!L3)*(ROW()-3)/(MATCH(9.99E+307,'Returns (Calc)'!$A:$A)-3),"")</f>
        <v>18.4040506329114</v>
      </c>
      <c r="AH135" s="144" t="n">
        <f aca="false">IFERROR('Price History'!M3+(INDEX('Price History'!M:M,MATCH(9.99E+307,'Price History'!$A:$A))-'Price History'!M3)*(ROW()-3)/(MATCH(9.99E+307,'Returns (Calc)'!$A:$A)-3),"")</f>
        <v>2.5226582278481</v>
      </c>
      <c r="AI135" s="144" t="n">
        <f aca="false">IFERROR('Price History'!N3+(INDEX('Price History'!N:N,MATCH(9.99E+307,'Price History'!$A:$A))-'Price History'!N3)*(ROW()-3)/(MATCH(9.99E+307,'Returns (Calc)'!$A:$A)-3),"")</f>
        <v>3.5873417721519</v>
      </c>
      <c r="AJ135" s="144" t="n">
        <f aca="false">IFERROR('Price History'!O3+(INDEX('Price History'!O:O,MATCH(9.99E+307,'Price History'!$A:$A))-'Price History'!O3)*(ROW()-3)/(MATCH(9.99E+307,'Returns (Calc)'!$A:$A)-3),"")</f>
        <v>9.48341772151898</v>
      </c>
      <c r="AK135" s="144" t="n">
        <f aca="false">IFERROR('Price History'!Q3+(INDEX('Price History'!Q:Q,MATCH(9.99E+307,'Price History'!$A:$A))-'Price History'!Q3)*(ROW()-3)/(MATCH(9.99E+307,'Returns (Calc)'!$A:$A)-3),"")</f>
        <v>38.7745569620253</v>
      </c>
      <c r="AL135" s="144" t="n">
        <f aca="false">IFERROR('Price History'!R3+(INDEX('Price History'!R:R,MATCH(9.99E+307,'Price History'!$A:$A))-'Price History'!R3)*(ROW()-3)/(MATCH(9.99E+307,'Returns (Calc)'!$A:$A)-3),"")</f>
        <v>7.86911392405064</v>
      </c>
      <c r="AM135" s="144" t="n">
        <f aca="false">IFERROR('Price History'!S3+(INDEX('Price History'!S:S,MATCH(9.99E+307,'Price History'!$A:$A))-'Price History'!S3)*(ROW()-3)/(MATCH(9.99E+307,'Returns (Calc)'!$A:$A)-3),"")</f>
        <v>9.63316455696203</v>
      </c>
      <c r="AN135" s="144" t="n">
        <f aca="false">IFERROR('Price History'!T3+(INDEX('Price History'!T:T,MATCH(9.99E+307,'Price History'!$A:$A))-'Price History'!T3)*(ROW()-3)/(MATCH(9.99E+307,'Returns (Calc)'!$A:$A)-3),"")</f>
        <v>4.42822784810127</v>
      </c>
      <c r="AO135" s="145" t="n">
        <f aca="false">IFERROR('Price History'!V3+(INDEX('Price History'!V:V,MATCH(9.99E+307,'Price History'!$A:$A))-'Price History'!V3)*(ROW()-3)/(MATCH(9.99E+307,'Returns (Calc)'!$A:$A)-3),"")</f>
        <v>0</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0.029733393583371</v>
      </c>
      <c r="G136" s="142" t="n">
        <f aca="false">IFERROR(IF(OR(NOT(ISNUMBER('Price History'!G137)),NOT(ISNUMBER('Price History'!G136)),'Price History'!G136=0),"",'Price History'!G137/'Price History'!G136-1),"")</f>
        <v>-0.0504109039887753</v>
      </c>
      <c r="H136" s="142" t="n">
        <f aca="false">IFERROR(IF(OR(NOT(ISNUMBER('Price History'!H137)),NOT(ISNUMBER('Price History'!H136)),'Price History'!H136=0),"",'Price History'!H137/'Price History'!H136-1),"")</f>
        <v>0.00515947467166966</v>
      </c>
      <c r="I136" s="142" t="n">
        <f aca="false">IFERROR(IF(OR(NOT(ISNUMBER('Price History'!I137)),NOT(ISNUMBER('Price History'!I136)),'Price History'!I136=0),"",'Price History'!I137/'Price History'!I136-1),"")</f>
        <v>0.145321173671689</v>
      </c>
      <c r="J136" s="142" t="n">
        <f aca="false">IFERROR(IF(OR(NOT(ISNUMBER('Price History'!J137)),NOT(ISNUMBER('Price History'!J136)),'Price History'!J136=0),"",'Price History'!J137/'Price History'!J136-1),"")</f>
        <v>0.14842427221585</v>
      </c>
      <c r="K136" s="142" t="n">
        <f aca="false">IFERROR(IF(OR(NOT(ISNUMBER('Price History'!K137)),NOT(ISNUMBER('Price History'!K136)),'Price History'!K136=0),"",'Price History'!K137/'Price History'!K136-1),"")</f>
        <v>0.0633369116899258</v>
      </c>
      <c r="L136" s="142" t="n">
        <f aca="false">IFERROR(IF(OR(NOT(ISNUMBER('Price History'!L137)),NOT(ISNUMBER('Price History'!L136)),'Price History'!L136=0),"",'Price History'!L137/'Price History'!L136-1),"")</f>
        <v>0.0255768063145112</v>
      </c>
      <c r="M136" s="142" t="n">
        <f aca="false">IFERROR(IF(OR(NOT(ISNUMBER('Price History'!M137)),NOT(ISNUMBER('Price History'!M136)),'Price History'!M136=0),"",'Price History'!M137/'Price History'!M136-1),"")</f>
        <v>-0.13741075037047</v>
      </c>
      <c r="N136" s="142" t="n">
        <f aca="false">IFERROR(IF(OR(NOT(ISNUMBER('Price History'!N137)),NOT(ISNUMBER('Price History'!N136)),'Price History'!N136=0),"",'Price History'!N137/'Price History'!N136-1),"")</f>
        <v>0</v>
      </c>
      <c r="O136" s="142" t="n">
        <f aca="false">IFERROR(IF(OR(NOT(ISNUMBER('Price History'!O137)),NOT(ISNUMBER('Price History'!O136)),'Price History'!O136=0),"",'Price History'!O137/'Price History'!O136-1),"")</f>
        <v>0.0749256863087953</v>
      </c>
      <c r="P136" s="142" t="n">
        <f aca="false">IFERROR(IF(OR(NOT(ISNUMBER('Price History'!P137)),NOT(ISNUMBER('Price History'!P136)),'Price History'!P136=0),"",'Price History'!P137/'Price History'!P136-1),"")</f>
        <v>0.0930811644038656</v>
      </c>
      <c r="Q136" s="142" t="n">
        <f aca="false">IFERROR(IF(OR(NOT(ISNUMBER('Price History'!Q137)),NOT(ISNUMBER('Price History'!Q136)),'Price History'!Q136=0),"",'Price History'!Q137/'Price History'!Q136-1),"")</f>
        <v>0.0118483412322274</v>
      </c>
      <c r="R136" s="142" t="n">
        <f aca="false">IFERROR(IF(OR(NOT(ISNUMBER('Price History'!R137)),NOT(ISNUMBER('Price History'!R136)),'Price History'!R136=0),"",'Price History'!R137/'Price History'!R136-1),"")</f>
        <v>-0.0205031013094418</v>
      </c>
      <c r="S136" s="142" t="n">
        <f aca="false">IFERROR(IF(OR(NOT(ISNUMBER('Price History'!S137)),NOT(ISNUMBER('Price History'!S136)),'Price History'!S136=0),"",'Price History'!S137/'Price History'!S136-1),"")</f>
        <v>-0.0102954716665272</v>
      </c>
      <c r="T136" s="142" t="n">
        <f aca="false">IFERROR(IF(OR(NOT(ISNUMBER('Price History'!T137)),NOT(ISNUMBER('Price History'!T136)),'Price History'!T136=0),"",'Price History'!T137/'Price History'!T136-1),"")</f>
        <v>-0.00914031620553357</v>
      </c>
      <c r="U136" s="142" t="str">
        <f aca="false">IFERROR(IF(OR(NOT(ISNUMBER('Price History'!U137)),NOT(ISNUMBER('Price History'!U136)),'Price History'!U136=0),"",'Price History'!U137/'Price History'!U136-1),"")</f>
        <v/>
      </c>
      <c r="V136" s="143" t="n">
        <f aca="false">IFERROR(IF(OR(NOT(ISNUMBER('Price History'!V137)),NOT(ISNUMBER('Price History'!V136)),'Price History'!V136=0),"",'Price History'!V137/'Price History'!V136-1),"")</f>
        <v>-0.00868638088369023</v>
      </c>
      <c r="W136" s="144" t="str">
        <f aca="false">IFERROR('Price History'!B3+(INDEX('Price History'!B:B,MATCH(9.99E+307,'Price History'!$A:$A))-'Price History'!B3)*(ROW()-3)/(MATCH(9.99E+307,'Returns (Calc)'!$A:$A)-3),"")</f>
        <v/>
      </c>
      <c r="X136" s="144" t="n">
        <f aca="false">IFERROR('Price History'!C3+(INDEX('Price History'!C:C,MATCH(9.99E+307,'Price History'!$A:$A))-'Price History'!C3)*(ROW()-3)/(MATCH(9.99E+307,'Returns (Calc)'!$A:$A)-3),"")</f>
        <v>7.30696202531646</v>
      </c>
      <c r="Y136" s="144" t="n">
        <f aca="false">IFERROR('Price History'!D3+(INDEX('Price History'!D:D,MATCH(9.99E+307,'Price History'!$A:$A))-'Price History'!D3)*(ROW()-3)/(MATCH(9.99E+307,'Returns (Calc)'!$A:$A)-3),"")</f>
        <v>92.0901898734177</v>
      </c>
      <c r="Z136" s="144" t="n">
        <f aca="false">IFERROR('Price History'!E3+(INDEX('Price History'!E:E,MATCH(9.99E+307,'Price History'!$A:$A))-'Price History'!E3)*(ROW()-3)/(MATCH(9.99E+307,'Returns (Calc)'!$A:$A)-3),"")</f>
        <v>12.9746835443038</v>
      </c>
      <c r="AA136" s="144" t="n">
        <f aca="false">IFERROR('Price History'!F3+(INDEX('Price History'!F:F,MATCH(9.99E+307,'Price History'!$A:$A))-'Price History'!F3)*(ROW()-3)/(MATCH(9.99E+307,'Returns (Calc)'!$A:$A)-3),"")</f>
        <v>11.9161392405063</v>
      </c>
      <c r="AB136" s="144" t="n">
        <f aca="false">IFERROR('Price History'!G3+(INDEX('Price History'!G:G,MATCH(9.99E+307,'Price History'!$A:$A))-'Price History'!G3)*(ROW()-3)/(MATCH(9.99E+307,'Returns (Calc)'!$A:$A)-3),"")</f>
        <v>6.54430379746835</v>
      </c>
      <c r="AC136" s="144" t="n">
        <f aca="false">IFERROR('Price History'!H3+(INDEX('Price History'!H:H,MATCH(9.99E+307,'Price History'!$A:$A))-'Price History'!H3)*(ROW()-3)/(MATCH(9.99E+307,'Returns (Calc)'!$A:$A)-3),"")</f>
        <v>15.9161392405063</v>
      </c>
      <c r="AD136" s="144" t="n">
        <f aca="false">IFERROR('Price History'!I3+(INDEX('Price History'!I:I,MATCH(9.99E+307,'Price History'!$A:$A))-'Price History'!I3)*(ROW()-3)/(MATCH(9.99E+307,'Returns (Calc)'!$A:$A)-3),"")</f>
        <v>7.01740506329114</v>
      </c>
      <c r="AE136" s="144" t="n">
        <f aca="false">IFERROR('Price History'!J3+(INDEX('Price History'!J:J,MATCH(9.99E+307,'Price History'!$A:$A))-'Price History'!J3)*(ROW()-3)/(MATCH(9.99E+307,'Returns (Calc)'!$A:$A)-3),"")</f>
        <v>10.9351265822785</v>
      </c>
      <c r="AF136" s="144" t="n">
        <f aca="false">IFERROR('Price History'!K3+(INDEX('Price History'!K:K,MATCH(9.99E+307,'Price History'!$A:$A))-'Price History'!K3)*(ROW()-3)/(MATCH(9.99E+307,'Returns (Calc)'!$A:$A)-3),"")</f>
        <v>6.92563291139241</v>
      </c>
      <c r="AG136" s="144" t="n">
        <f aca="false">IFERROR('Price History'!L3+(INDEX('Price History'!L:L,MATCH(9.99E+307,'Price History'!$A:$A))-'Price History'!L3)*(ROW()-3)/(MATCH(9.99E+307,'Returns (Calc)'!$A:$A)-3),"")</f>
        <v>17.6962025316456</v>
      </c>
      <c r="AH136" s="144" t="n">
        <f aca="false">IFERROR('Price History'!M3+(INDEX('Price History'!M:M,MATCH(9.99E+307,'Price History'!$A:$A))-'Price History'!M3)*(ROW()-3)/(MATCH(9.99E+307,'Returns (Calc)'!$A:$A)-3),"")</f>
        <v>2.42563291139241</v>
      </c>
      <c r="AI136" s="144" t="n">
        <f aca="false">IFERROR('Price History'!N3+(INDEX('Price History'!N:N,MATCH(9.99E+307,'Price History'!$A:$A))-'Price History'!N3)*(ROW()-3)/(MATCH(9.99E+307,'Returns (Calc)'!$A:$A)-3),"")</f>
        <v>3.44936708860759</v>
      </c>
      <c r="AJ136" s="144" t="n">
        <f aca="false">IFERROR('Price History'!O3+(INDEX('Price History'!O:O,MATCH(9.99E+307,'Price History'!$A:$A))-'Price History'!O3)*(ROW()-3)/(MATCH(9.99E+307,'Returns (Calc)'!$A:$A)-3),"")</f>
        <v>9.11867088607595</v>
      </c>
      <c r="AK136" s="144" t="n">
        <f aca="false">IFERROR('Price History'!Q3+(INDEX('Price History'!Q:Q,MATCH(9.99E+307,'Price History'!$A:$A))-'Price History'!Q3)*(ROW()-3)/(MATCH(9.99E+307,'Returns (Calc)'!$A:$A)-3),"")</f>
        <v>37.2832278481013</v>
      </c>
      <c r="AL136" s="144" t="n">
        <f aca="false">IFERROR('Price History'!R3+(INDEX('Price History'!R:R,MATCH(9.99E+307,'Price History'!$A:$A))-'Price History'!R3)*(ROW()-3)/(MATCH(9.99E+307,'Returns (Calc)'!$A:$A)-3),"")</f>
        <v>7.56645569620253</v>
      </c>
      <c r="AM136" s="144" t="n">
        <f aca="false">IFERROR('Price History'!S3+(INDEX('Price History'!S:S,MATCH(9.99E+307,'Price History'!$A:$A))-'Price History'!S3)*(ROW()-3)/(MATCH(9.99E+307,'Returns (Calc)'!$A:$A)-3),"")</f>
        <v>9.2626582278481</v>
      </c>
      <c r="AN136" s="144" t="n">
        <f aca="false">IFERROR('Price History'!T3+(INDEX('Price History'!T:T,MATCH(9.99E+307,'Price History'!$A:$A))-'Price History'!T3)*(ROW()-3)/(MATCH(9.99E+307,'Returns (Calc)'!$A:$A)-3),"")</f>
        <v>4.25791139240506</v>
      </c>
      <c r="AO136" s="145" t="n">
        <f aca="false">IFERROR('Price History'!V3+(INDEX('Price History'!V:V,MATCH(9.99E+307,'Price History'!$A:$A))-'Price History'!V3)*(ROW()-3)/(MATCH(9.99E+307,'Returns (Calc)'!$A:$A)-3),"")</f>
        <v>0</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0.0243110408987186</v>
      </c>
      <c r="G137" s="142" t="n">
        <f aca="false">IFERROR(IF(OR(NOT(ISNUMBER('Price History'!G138)),NOT(ISNUMBER('Price History'!G137)),'Price History'!G137=0),"",'Price History'!G138/'Price History'!G137-1),"")</f>
        <v>0.118627968337731</v>
      </c>
      <c r="H137" s="142" t="n">
        <f aca="false">IFERROR(IF(OR(NOT(ISNUMBER('Price History'!H138)),NOT(ISNUMBER('Price History'!H137)),'Price History'!H137=0),"",'Price History'!H138/'Price History'!H137-1),"")</f>
        <v>0.00459969335377641</v>
      </c>
      <c r="I137" s="142" t="n">
        <f aca="false">IFERROR(IF(OR(NOT(ISNUMBER('Price History'!I138)),NOT(ISNUMBER('Price History'!I137)),'Price History'!I137=0),"",'Price History'!I138/'Price History'!I137-1),"")</f>
        <v>0.0311580405054528</v>
      </c>
      <c r="J137" s="142" t="n">
        <f aca="false">IFERROR(IF(OR(NOT(ISNUMBER('Price History'!J138)),NOT(ISNUMBER('Price History'!J137)),'Price History'!J137=0),"",'Price History'!J138/'Price History'!J137-1),"")</f>
        <v>0.0819679927710271</v>
      </c>
      <c r="K137" s="142" t="n">
        <f aca="false">IFERROR(IF(OR(NOT(ISNUMBER('Price History'!K138)),NOT(ISNUMBER('Price History'!K137)),'Price History'!K137=0),"",'Price History'!K138/'Price History'!K137-1),"")</f>
        <v>0.069181721572795</v>
      </c>
      <c r="L137" s="142" t="n">
        <f aca="false">IFERROR(IF(OR(NOT(ISNUMBER('Price History'!L138)),NOT(ISNUMBER('Price History'!L137)),'Price History'!L137=0),"",'Price History'!L138/'Price History'!L137-1),"")</f>
        <v>0.0576481906312438</v>
      </c>
      <c r="M137" s="142" t="n">
        <f aca="false">IFERROR(IF(OR(NOT(ISNUMBER('Price History'!M138)),NOT(ISNUMBER('Price History'!M137)),'Price History'!M137=0),"",'Price History'!M138/'Price History'!M137-1),"")</f>
        <v>0.143136029985944</v>
      </c>
      <c r="N137" s="142" t="n">
        <f aca="false">IFERROR(IF(OR(NOT(ISNUMBER('Price History'!N138)),NOT(ISNUMBER('Price History'!N137)),'Price History'!N137=0),"",'Price History'!N138/'Price History'!N137-1),"")</f>
        <v>0.0159574468085106</v>
      </c>
      <c r="O137" s="142" t="n">
        <f aca="false">IFERROR(IF(OR(NOT(ISNUMBER('Price History'!O138)),NOT(ISNUMBER('Price History'!O137)),'Price History'!O137=0),"",'Price History'!O138/'Price History'!O137-1),"")</f>
        <v>0.0401789345262302</v>
      </c>
      <c r="P137" s="142" t="n">
        <f aca="false">IFERROR(IF(OR(NOT(ISNUMBER('Price History'!P138)),NOT(ISNUMBER('Price History'!P137)),'Price History'!P137=0),"",'Price History'!P138/'Price History'!P137-1),"")</f>
        <v>-0.0002440744155775</v>
      </c>
      <c r="Q137" s="142" t="n">
        <f aca="false">IFERROR(IF(OR(NOT(ISNUMBER('Price History'!Q138)),NOT(ISNUMBER('Price History'!Q137)),'Price History'!Q137=0),"",'Price History'!Q138/'Price History'!Q137-1),"")</f>
        <v>0.0415938252465613</v>
      </c>
      <c r="R137" s="142" t="n">
        <f aca="false">IFERROR(IF(OR(NOT(ISNUMBER('Price History'!R138)),NOT(ISNUMBER('Price History'!R137)),'Price History'!R137=0),"",'Price History'!R138/'Price History'!R137-1),"")</f>
        <v>-0.00510114335971856</v>
      </c>
      <c r="S137" s="142" t="n">
        <f aca="false">IFERROR(IF(OR(NOT(ISNUMBER('Price History'!S138)),NOT(ISNUMBER('Price History'!S137)),'Price History'!S137=0),"",'Price History'!S138/'Price History'!S137-1),"")</f>
        <v>-0.0174221921515561</v>
      </c>
      <c r="T137" s="142" t="n">
        <f aca="false">IFERROR(IF(OR(NOT(ISNUMBER('Price History'!T138)),NOT(ISNUMBER('Price History'!T137)),'Price History'!T137=0),"",'Price History'!T138/'Price History'!T137-1),"")</f>
        <v>-0.0226876090750435</v>
      </c>
      <c r="U137" s="142" t="str">
        <f aca="false">IFERROR(IF(OR(NOT(ISNUMBER('Price History'!U138)),NOT(ISNUMBER('Price History'!U137)),'Price History'!U137=0),"",'Price History'!U138/'Price History'!U137-1),"")</f>
        <v/>
      </c>
      <c r="V137" s="143" t="n">
        <f aca="false">IFERROR(IF(OR(NOT(ISNUMBER('Price History'!V138)),NOT(ISNUMBER('Price History'!V137)),'Price History'!V137=0),"",'Price History'!V138/'Price History'!V137-1),"")</f>
        <v>-0.0322029609009237</v>
      </c>
      <c r="W137" s="144" t="str">
        <f aca="false">IFERROR('Price History'!B3+(INDEX('Price History'!B:B,MATCH(9.99E+307,'Price History'!$A:$A))-'Price History'!B3)*(ROW()-3)/(MATCH(9.99E+307,'Returns (Calc)'!$A:$A)-3),"")</f>
        <v/>
      </c>
      <c r="X137" s="144" t="n">
        <f aca="false">IFERROR('Price History'!C3+(INDEX('Price History'!C:C,MATCH(9.99E+307,'Price History'!$A:$A))-'Price History'!C3)*(ROW()-3)/(MATCH(9.99E+307,'Returns (Calc)'!$A:$A)-3),"")</f>
        <v>7.0146835443038</v>
      </c>
      <c r="Y137" s="144" t="n">
        <f aca="false">IFERROR('Price History'!D3+(INDEX('Price History'!D:D,MATCH(9.99E+307,'Price History'!$A:$A))-'Price History'!D3)*(ROW()-3)/(MATCH(9.99E+307,'Returns (Calc)'!$A:$A)-3),"")</f>
        <v>88.406582278481</v>
      </c>
      <c r="Z137" s="144" t="n">
        <f aca="false">IFERROR('Price History'!E3+(INDEX('Price History'!E:E,MATCH(9.99E+307,'Price History'!$A:$A))-'Price History'!E3)*(ROW()-3)/(MATCH(9.99E+307,'Returns (Calc)'!$A:$A)-3),"")</f>
        <v>12.4556962025316</v>
      </c>
      <c r="AA137" s="144" t="n">
        <f aca="false">IFERROR('Price History'!F3+(INDEX('Price History'!F:F,MATCH(9.99E+307,'Price History'!$A:$A))-'Price History'!F3)*(ROW()-3)/(MATCH(9.99E+307,'Returns (Calc)'!$A:$A)-3),"")</f>
        <v>11.4394936708861</v>
      </c>
      <c r="AB137" s="144" t="n">
        <f aca="false">IFERROR('Price History'!G3+(INDEX('Price History'!G:G,MATCH(9.99E+307,'Price History'!$A:$A))-'Price History'!G3)*(ROW()-3)/(MATCH(9.99E+307,'Returns (Calc)'!$A:$A)-3),"")</f>
        <v>6.28253164556962</v>
      </c>
      <c r="AC137" s="144" t="n">
        <f aca="false">IFERROR('Price History'!H3+(INDEX('Price History'!H:H,MATCH(9.99E+307,'Price History'!$A:$A))-'Price History'!H3)*(ROW()-3)/(MATCH(9.99E+307,'Returns (Calc)'!$A:$A)-3),"")</f>
        <v>15.2794936708861</v>
      </c>
      <c r="AD137" s="144" t="n">
        <f aca="false">IFERROR('Price History'!I3+(INDEX('Price History'!I:I,MATCH(9.99E+307,'Price History'!$A:$A))-'Price History'!I3)*(ROW()-3)/(MATCH(9.99E+307,'Returns (Calc)'!$A:$A)-3),"")</f>
        <v>6.73670886075949</v>
      </c>
      <c r="AE137" s="144" t="n">
        <f aca="false">IFERROR('Price History'!J3+(INDEX('Price History'!J:J,MATCH(9.99E+307,'Price History'!$A:$A))-'Price History'!J3)*(ROW()-3)/(MATCH(9.99E+307,'Returns (Calc)'!$A:$A)-3),"")</f>
        <v>10.4977215189873</v>
      </c>
      <c r="AF137" s="144" t="n">
        <f aca="false">IFERROR('Price History'!K3+(INDEX('Price History'!K:K,MATCH(9.99E+307,'Price History'!$A:$A))-'Price History'!K3)*(ROW()-3)/(MATCH(9.99E+307,'Returns (Calc)'!$A:$A)-3),"")</f>
        <v>6.64860759493671</v>
      </c>
      <c r="AG137" s="144" t="n">
        <f aca="false">IFERROR('Price History'!L3+(INDEX('Price History'!L:L,MATCH(9.99E+307,'Price History'!$A:$A))-'Price History'!L3)*(ROW()-3)/(MATCH(9.99E+307,'Returns (Calc)'!$A:$A)-3),"")</f>
        <v>16.9883544303797</v>
      </c>
      <c r="AH137" s="144" t="n">
        <f aca="false">IFERROR('Price History'!M3+(INDEX('Price History'!M:M,MATCH(9.99E+307,'Price History'!$A:$A))-'Price History'!M3)*(ROW()-3)/(MATCH(9.99E+307,'Returns (Calc)'!$A:$A)-3),"")</f>
        <v>2.32860759493671</v>
      </c>
      <c r="AI137" s="144" t="n">
        <f aca="false">IFERROR('Price History'!N3+(INDEX('Price History'!N:N,MATCH(9.99E+307,'Price History'!$A:$A))-'Price History'!N3)*(ROW()-3)/(MATCH(9.99E+307,'Returns (Calc)'!$A:$A)-3),"")</f>
        <v>3.31139240506329</v>
      </c>
      <c r="AJ137" s="144" t="n">
        <f aca="false">IFERROR('Price History'!O3+(INDEX('Price History'!O:O,MATCH(9.99E+307,'Price History'!$A:$A))-'Price History'!O3)*(ROW()-3)/(MATCH(9.99E+307,'Returns (Calc)'!$A:$A)-3),"")</f>
        <v>8.75392405063291</v>
      </c>
      <c r="AK137" s="144" t="n">
        <f aca="false">IFERROR('Price History'!Q3+(INDEX('Price History'!Q:Q,MATCH(9.99E+307,'Price History'!$A:$A))-'Price History'!Q3)*(ROW()-3)/(MATCH(9.99E+307,'Returns (Calc)'!$A:$A)-3),"")</f>
        <v>35.7918987341772</v>
      </c>
      <c r="AL137" s="144" t="n">
        <f aca="false">IFERROR('Price History'!R3+(INDEX('Price History'!R:R,MATCH(9.99E+307,'Price History'!$A:$A))-'Price History'!R3)*(ROW()-3)/(MATCH(9.99E+307,'Returns (Calc)'!$A:$A)-3),"")</f>
        <v>7.26379746835443</v>
      </c>
      <c r="AM137" s="144" t="n">
        <f aca="false">IFERROR('Price History'!S3+(INDEX('Price History'!S:S,MATCH(9.99E+307,'Price History'!$A:$A))-'Price History'!S3)*(ROW()-3)/(MATCH(9.99E+307,'Returns (Calc)'!$A:$A)-3),"")</f>
        <v>8.89215189873418</v>
      </c>
      <c r="AN137" s="144" t="n">
        <f aca="false">IFERROR('Price History'!T3+(INDEX('Price History'!T:T,MATCH(9.99E+307,'Price History'!$A:$A))-'Price History'!T3)*(ROW()-3)/(MATCH(9.99E+307,'Returns (Calc)'!$A:$A)-3),"")</f>
        <v>4.08759493670886</v>
      </c>
      <c r="AO137" s="145" t="n">
        <f aca="false">IFERROR('Price History'!V3+(INDEX('Price History'!V:V,MATCH(9.99E+307,'Price History'!$A:$A))-'Price History'!V3)*(ROW()-3)/(MATCH(9.99E+307,'Returns (Calc)'!$A:$A)-3),"")</f>
        <v>0</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0.0122525918944392</v>
      </c>
      <c r="G138" s="142" t="n">
        <f aca="false">IFERROR(IF(OR(NOT(ISNUMBER('Price History'!G139)),NOT(ISNUMBER('Price History'!G138)),'Price History'!G138=0),"",'Price History'!G139/'Price History'!G138-1),"")</f>
        <v>0.0569865081611474</v>
      </c>
      <c r="H138" s="142" t="n">
        <f aca="false">IFERROR(IF(OR(NOT(ISNUMBER('Price History'!H139)),NOT(ISNUMBER('Price History'!H138)),'Price History'!H138=0),"",'Price History'!H139/'Price History'!H138-1),"")</f>
        <v>-0.00809555408095553</v>
      </c>
      <c r="I138" s="142" t="n">
        <f aca="false">IFERROR(IF(OR(NOT(ISNUMBER('Price History'!I139)),NOT(ISNUMBER('Price History'!I138)),'Price History'!I138=0),"",'Price History'!I139/'Price History'!I138-1),"")</f>
        <v>0.0801857758379496</v>
      </c>
      <c r="J138" s="142" t="n">
        <f aca="false">IFERROR(IF(OR(NOT(ISNUMBER('Price History'!J139)),NOT(ISNUMBER('Price History'!J138)),'Price History'!J138=0),"",'Price History'!J139/'Price History'!J138-1),"")</f>
        <v>0.0915164835164835</v>
      </c>
      <c r="K138" s="142" t="n">
        <f aca="false">IFERROR(IF(OR(NOT(ISNUMBER('Price History'!K139)),NOT(ISNUMBER('Price History'!K138)),'Price History'!K138=0),"",'Price History'!K139/'Price History'!K138-1),"")</f>
        <v>0.0327005267866019</v>
      </c>
      <c r="L138" s="142" t="n">
        <f aca="false">IFERROR(IF(OR(NOT(ISNUMBER('Price History'!L139)),NOT(ISNUMBER('Price History'!L138)),'Price History'!L138=0),"",'Price History'!L139/'Price History'!L138-1),"")</f>
        <v>-0.0207108872096277</v>
      </c>
      <c r="M138" s="142" t="n">
        <f aca="false">IFERROR(IF(OR(NOT(ISNUMBER('Price History'!M139)),NOT(ISNUMBER('Price History'!M138)),'Price History'!M138=0),"",'Price History'!M139/'Price History'!M138-1),"")</f>
        <v>-0.0225425233964067</v>
      </c>
      <c r="N138" s="142" t="n">
        <f aca="false">IFERROR(IF(OR(NOT(ISNUMBER('Price History'!N139)),NOT(ISNUMBER('Price History'!N138)),'Price History'!N138=0),"",'Price History'!N139/'Price History'!N138-1),"")</f>
        <v>0.00490837696335089</v>
      </c>
      <c r="O138" s="142" t="n">
        <f aca="false">IFERROR(IF(OR(NOT(ISNUMBER('Price History'!O139)),NOT(ISNUMBER('Price History'!O138)),'Price History'!O138=0),"",'Price History'!O139/'Price History'!O138-1),"")</f>
        <v>0.0250996950504339</v>
      </c>
      <c r="P138" s="142" t="n">
        <f aca="false">IFERROR(IF(OR(NOT(ISNUMBER('Price History'!P139)),NOT(ISNUMBER('Price History'!P138)),'Price History'!P138=0),"",'Price History'!P139/'Price History'!P138-1),"")</f>
        <v>0.0862606808626067</v>
      </c>
      <c r="Q138" s="142" t="n">
        <f aca="false">IFERROR(IF(OR(NOT(ISNUMBER('Price History'!Q139)),NOT(ISNUMBER('Price History'!Q138)),'Price History'!Q138=0),"",'Price History'!Q139/'Price History'!Q138-1),"")</f>
        <v>-0.0239723858382418</v>
      </c>
      <c r="R138" s="142" t="n">
        <f aca="false">IFERROR(IF(OR(NOT(ISNUMBER('Price History'!R139)),NOT(ISNUMBER('Price History'!R138)),'Price History'!R138=0),"",'Price History'!R139/'Price History'!R138-1),"")</f>
        <v>-0.0141442715700142</v>
      </c>
      <c r="S138" s="142" t="n">
        <f aca="false">IFERROR(IF(OR(NOT(ISNUMBER('Price History'!S139)),NOT(ISNUMBER('Price History'!S138)),'Price History'!S138=0),"",'Price History'!S139/'Price History'!S138-1),"")</f>
        <v>-0.0206576002754347</v>
      </c>
      <c r="T138" s="142" t="n">
        <f aca="false">IFERROR(IF(OR(NOT(ISNUMBER('Price History'!T139)),NOT(ISNUMBER('Price History'!T138)),'Price History'!T138=0),"",'Price History'!T139/'Price History'!T138-1),"")</f>
        <v>0.00102040816326521</v>
      </c>
      <c r="U138" s="142" t="str">
        <f aca="false">IFERROR(IF(OR(NOT(ISNUMBER('Price History'!U139)),NOT(ISNUMBER('Price History'!U138)),'Price History'!U138=0),"",'Price History'!U139/'Price History'!U138-1),"")</f>
        <v/>
      </c>
      <c r="V138" s="143" t="n">
        <f aca="false">IFERROR(IF(OR(NOT(ISNUMBER('Price History'!V139)),NOT(ISNUMBER('Price History'!V138)),'Price History'!V138=0),"",'Price History'!V139/'Price History'!V138-1),"")</f>
        <v>-0.0179773811858535</v>
      </c>
      <c r="W138" s="144" t="str">
        <f aca="false">IFERROR('Price History'!B3+(INDEX('Price History'!B:B,MATCH(9.99E+307,'Price History'!$A:$A))-'Price History'!B3)*(ROW()-3)/(MATCH(9.99E+307,'Returns (Calc)'!$A:$A)-3),"")</f>
        <v/>
      </c>
      <c r="X138" s="144" t="n">
        <f aca="false">IFERROR('Price History'!C3+(INDEX('Price History'!C:C,MATCH(9.99E+307,'Price History'!$A:$A))-'Price History'!C3)*(ROW()-3)/(MATCH(9.99E+307,'Returns (Calc)'!$A:$A)-3),"")</f>
        <v>6.72240506329113</v>
      </c>
      <c r="Y138" s="144" t="n">
        <f aca="false">IFERROR('Price History'!D3+(INDEX('Price History'!D:D,MATCH(9.99E+307,'Price History'!$A:$A))-'Price History'!D3)*(ROW()-3)/(MATCH(9.99E+307,'Returns (Calc)'!$A:$A)-3),"")</f>
        <v>84.7229746835442</v>
      </c>
      <c r="Z138" s="144" t="n">
        <f aca="false">IFERROR('Price History'!E3+(INDEX('Price History'!E:E,MATCH(9.99E+307,'Price History'!$A:$A))-'Price History'!E3)*(ROW()-3)/(MATCH(9.99E+307,'Returns (Calc)'!$A:$A)-3),"")</f>
        <v>11.9367088607595</v>
      </c>
      <c r="AA138" s="144" t="n">
        <f aca="false">IFERROR('Price History'!F3+(INDEX('Price History'!F:F,MATCH(9.99E+307,'Price History'!$A:$A))-'Price History'!F3)*(ROW()-3)/(MATCH(9.99E+307,'Returns (Calc)'!$A:$A)-3),"")</f>
        <v>10.9628481012658</v>
      </c>
      <c r="AB138" s="144" t="n">
        <f aca="false">IFERROR('Price History'!G3+(INDEX('Price History'!G:G,MATCH(9.99E+307,'Price History'!$A:$A))-'Price History'!G3)*(ROW()-3)/(MATCH(9.99E+307,'Returns (Calc)'!$A:$A)-3),"")</f>
        <v>6.02075949367088</v>
      </c>
      <c r="AC138" s="144" t="n">
        <f aca="false">IFERROR('Price History'!H3+(INDEX('Price History'!H:H,MATCH(9.99E+307,'Price History'!$A:$A))-'Price History'!H3)*(ROW()-3)/(MATCH(9.99E+307,'Returns (Calc)'!$A:$A)-3),"")</f>
        <v>14.6428481012658</v>
      </c>
      <c r="AD138" s="144" t="n">
        <f aca="false">IFERROR('Price History'!I3+(INDEX('Price History'!I:I,MATCH(9.99E+307,'Price History'!$A:$A))-'Price History'!I3)*(ROW()-3)/(MATCH(9.99E+307,'Returns (Calc)'!$A:$A)-3),"")</f>
        <v>6.45601265822785</v>
      </c>
      <c r="AE138" s="144" t="n">
        <f aca="false">IFERROR('Price History'!J3+(INDEX('Price History'!J:J,MATCH(9.99E+307,'Price History'!$A:$A))-'Price History'!J3)*(ROW()-3)/(MATCH(9.99E+307,'Returns (Calc)'!$A:$A)-3),"")</f>
        <v>10.0603164556962</v>
      </c>
      <c r="AF138" s="144" t="n">
        <f aca="false">IFERROR('Price History'!K3+(INDEX('Price History'!K:K,MATCH(9.99E+307,'Price History'!$A:$A))-'Price History'!K3)*(ROW()-3)/(MATCH(9.99E+307,'Returns (Calc)'!$A:$A)-3),"")</f>
        <v>6.37158227848101</v>
      </c>
      <c r="AG138" s="144" t="n">
        <f aca="false">IFERROR('Price History'!L3+(INDEX('Price History'!L:L,MATCH(9.99E+307,'Price History'!$A:$A))-'Price History'!L3)*(ROW()-3)/(MATCH(9.99E+307,'Returns (Calc)'!$A:$A)-3),"")</f>
        <v>16.2805063291139</v>
      </c>
      <c r="AH138" s="144" t="n">
        <f aca="false">IFERROR('Price History'!M3+(INDEX('Price History'!M:M,MATCH(9.99E+307,'Price History'!$A:$A))-'Price History'!M3)*(ROW()-3)/(MATCH(9.99E+307,'Returns (Calc)'!$A:$A)-3),"")</f>
        <v>2.23158227848101</v>
      </c>
      <c r="AI138" s="144" t="n">
        <f aca="false">IFERROR('Price History'!N3+(INDEX('Price History'!N:N,MATCH(9.99E+307,'Price History'!$A:$A))-'Price History'!N3)*(ROW()-3)/(MATCH(9.99E+307,'Returns (Calc)'!$A:$A)-3),"")</f>
        <v>3.17341772151899</v>
      </c>
      <c r="AJ138" s="144" t="n">
        <f aca="false">IFERROR('Price History'!O3+(INDEX('Price History'!O:O,MATCH(9.99E+307,'Price History'!$A:$A))-'Price History'!O3)*(ROW()-3)/(MATCH(9.99E+307,'Returns (Calc)'!$A:$A)-3),"")</f>
        <v>8.38917721518988</v>
      </c>
      <c r="AK138" s="144" t="n">
        <f aca="false">IFERROR('Price History'!Q3+(INDEX('Price History'!Q:Q,MATCH(9.99E+307,'Price History'!$A:$A))-'Price History'!Q3)*(ROW()-3)/(MATCH(9.99E+307,'Returns (Calc)'!$A:$A)-3),"")</f>
        <v>34.3005696202532</v>
      </c>
      <c r="AL138" s="144" t="n">
        <f aca="false">IFERROR('Price History'!R3+(INDEX('Price History'!R:R,MATCH(9.99E+307,'Price History'!$A:$A))-'Price History'!R3)*(ROW()-3)/(MATCH(9.99E+307,'Returns (Calc)'!$A:$A)-3),"")</f>
        <v>6.96113924050633</v>
      </c>
      <c r="AM138" s="144" t="n">
        <f aca="false">IFERROR('Price History'!S3+(INDEX('Price History'!S:S,MATCH(9.99E+307,'Price History'!$A:$A))-'Price History'!S3)*(ROW()-3)/(MATCH(9.99E+307,'Returns (Calc)'!$A:$A)-3),"")</f>
        <v>8.52164556962025</v>
      </c>
      <c r="AN138" s="144" t="n">
        <f aca="false">IFERROR('Price History'!T3+(INDEX('Price History'!T:T,MATCH(9.99E+307,'Price History'!$A:$A))-'Price History'!T3)*(ROW()-3)/(MATCH(9.99E+307,'Returns (Calc)'!$A:$A)-3),"")</f>
        <v>3.91727848101266</v>
      </c>
      <c r="AO138" s="145" t="n">
        <f aca="false">IFERROR('Price History'!V3+(INDEX('Price History'!V:V,MATCH(9.99E+307,'Price History'!$A:$A))-'Price History'!V3)*(ROW()-3)/(MATCH(9.99E+307,'Returns (Calc)'!$A:$A)-3),"")</f>
        <v>0</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0.00837988826815628</v>
      </c>
      <c r="G139" s="142" t="n">
        <f aca="false">IFERROR(IF(OR(NOT(ISNUMBER('Price History'!G140)),NOT(ISNUMBER('Price History'!G139)),'Price History'!G139=0),"",'Price History'!G140/'Price History'!G139-1),"")</f>
        <v>0.0167812193162544</v>
      </c>
      <c r="H139" s="142" t="n">
        <f aca="false">IFERROR(IF(OR(NOT(ISNUMBER('Price History'!H140)),NOT(ISNUMBER('Price History'!H139)),'Price History'!H139=0),"",'Price History'!H140/'Price History'!H139-1),"")</f>
        <v>0.017928819909018</v>
      </c>
      <c r="I139" s="142" t="n">
        <f aca="false">IFERROR(IF(OR(NOT(ISNUMBER('Price History'!I140)),NOT(ISNUMBER('Price History'!I139)),'Price History'!I139=0),"",'Price History'!I140/'Price History'!I139-1),"")</f>
        <v>-0.107905097389142</v>
      </c>
      <c r="J139" s="142" t="n">
        <f aca="false">IFERROR(IF(OR(NOT(ISNUMBER('Price History'!J140)),NOT(ISNUMBER('Price History'!J139)),'Price History'!J139=0),"",'Price History'!J140/'Price History'!J139-1),"")</f>
        <v>0.0915955219072164</v>
      </c>
      <c r="K139" s="142" t="n">
        <f aca="false">IFERROR(IF(OR(NOT(ISNUMBER('Price History'!K140)),NOT(ISNUMBER('Price History'!K139)),'Price History'!K139=0),"",'Price History'!K140/'Price History'!K139-1),"")</f>
        <v>-0.0471607314725698</v>
      </c>
      <c r="L139" s="142" t="n">
        <f aca="false">IFERROR(IF(OR(NOT(ISNUMBER('Price History'!L140)),NOT(ISNUMBER('Price History'!L139)),'Price History'!L139=0),"",'Price History'!L140/'Price History'!L139-1),"")</f>
        <v>-0.00478708202343536</v>
      </c>
      <c r="M139" s="142" t="n">
        <f aca="false">IFERROR(IF(OR(NOT(ISNUMBER('Price History'!M140)),NOT(ISNUMBER('Price History'!M139)),'Price History'!M139=0),"",'Price History'!M140/'Price History'!M139-1),"")</f>
        <v>0.00684883639667344</v>
      </c>
      <c r="N139" s="142" t="n">
        <f aca="false">IFERROR(IF(OR(NOT(ISNUMBER('Price History'!N140)),NOT(ISNUMBER('Price History'!N139)),'Price History'!N139=0),"",'Price History'!N140/'Price History'!N139-1),"")</f>
        <v>0.0211657440573103</v>
      </c>
      <c r="O139" s="142" t="n">
        <f aca="false">IFERROR(IF(OR(NOT(ISNUMBER('Price History'!O140)),NOT(ISNUMBER('Price History'!O139)),'Price History'!O139=0),"",'Price History'!O140/'Price History'!O139-1),"")</f>
        <v>0.0221205186880245</v>
      </c>
      <c r="P139" s="142" t="n">
        <f aca="false">IFERROR(IF(OR(NOT(ISNUMBER('Price History'!P140)),NOT(ISNUMBER('Price History'!P139)),'Price History'!P139=0),"",'Price History'!P140/'Price History'!P139-1),"")</f>
        <v>-0.011911599450618</v>
      </c>
      <c r="Q139" s="142" t="n">
        <f aca="false">IFERROR(IF(OR(NOT(ISNUMBER('Price History'!Q140)),NOT(ISNUMBER('Price History'!Q139)),'Price History'!Q139=0),"",'Price History'!Q140/'Price History'!Q139-1),"")</f>
        <v>0.0601213458356316</v>
      </c>
      <c r="R139" s="142" t="n">
        <f aca="false">IFERROR(IF(OR(NOT(ISNUMBER('Price History'!R140)),NOT(ISNUMBER('Price History'!R139)),'Price History'!R139=0),"",'Price History'!R140/'Price History'!R139-1),"")</f>
        <v>-0.0292324246771879</v>
      </c>
      <c r="S139" s="142" t="n">
        <f aca="false">IFERROR(IF(OR(NOT(ISNUMBER('Price History'!S140)),NOT(ISNUMBER('Price History'!S139)),'Price History'!S139=0),"",'Price History'!S140/'Price History'!S139-1),"")</f>
        <v>-0.0304974512216558</v>
      </c>
      <c r="T139" s="142" t="n">
        <f aca="false">IFERROR(IF(OR(NOT(ISNUMBER('Price History'!T140)),NOT(ISNUMBER('Price History'!T139)),'Price History'!T139=0),"",'Price History'!T140/'Price History'!T139-1),"")</f>
        <v>-0.012487257900102</v>
      </c>
      <c r="U139" s="142" t="str">
        <f aca="false">IFERROR(IF(OR(NOT(ISNUMBER('Price History'!U140)),NOT(ISNUMBER('Price History'!U139)),'Price History'!U139=0),"",'Price History'!U140/'Price History'!U139-1),"")</f>
        <v/>
      </c>
      <c r="V139" s="143" t="n">
        <f aca="false">IFERROR(IF(OR(NOT(ISNUMBER('Price History'!V140)),NOT(ISNUMBER('Price History'!V139)),'Price History'!V139=0),"",'Price History'!V140/'Price History'!V139-1),"")</f>
        <v>-0.0202369857542271</v>
      </c>
      <c r="W139" s="144" t="str">
        <f aca="false">IFERROR('Price History'!B3+(INDEX('Price History'!B:B,MATCH(9.99E+307,'Price History'!$A:$A))-'Price History'!B3)*(ROW()-3)/(MATCH(9.99E+307,'Returns (Calc)'!$A:$A)-3),"")</f>
        <v/>
      </c>
      <c r="X139" s="144" t="n">
        <f aca="false">IFERROR('Price History'!C3+(INDEX('Price History'!C:C,MATCH(9.99E+307,'Price History'!$A:$A))-'Price History'!C3)*(ROW()-3)/(MATCH(9.99E+307,'Returns (Calc)'!$A:$A)-3),"")</f>
        <v>6.43012658227848</v>
      </c>
      <c r="Y139" s="144" t="n">
        <f aca="false">IFERROR('Price History'!D3+(INDEX('Price History'!D:D,MATCH(9.99E+307,'Price History'!$A:$A))-'Price History'!D3)*(ROW()-3)/(MATCH(9.99E+307,'Returns (Calc)'!$A:$A)-3),"")</f>
        <v>81.0393670886076</v>
      </c>
      <c r="Z139" s="144" t="n">
        <f aca="false">IFERROR('Price History'!E3+(INDEX('Price History'!E:E,MATCH(9.99E+307,'Price History'!$A:$A))-'Price History'!E3)*(ROW()-3)/(MATCH(9.99E+307,'Returns (Calc)'!$A:$A)-3),"")</f>
        <v>11.4177215189873</v>
      </c>
      <c r="AA139" s="144" t="n">
        <f aca="false">IFERROR('Price History'!F3+(INDEX('Price History'!F:F,MATCH(9.99E+307,'Price History'!$A:$A))-'Price History'!F3)*(ROW()-3)/(MATCH(9.99E+307,'Returns (Calc)'!$A:$A)-3),"")</f>
        <v>10.4862025316456</v>
      </c>
      <c r="AB139" s="144" t="n">
        <f aca="false">IFERROR('Price History'!G3+(INDEX('Price History'!G:G,MATCH(9.99E+307,'Price History'!$A:$A))-'Price History'!G3)*(ROW()-3)/(MATCH(9.99E+307,'Returns (Calc)'!$A:$A)-3),"")</f>
        <v>5.75898734177215</v>
      </c>
      <c r="AC139" s="144" t="n">
        <f aca="false">IFERROR('Price History'!H3+(INDEX('Price History'!H:H,MATCH(9.99E+307,'Price History'!$A:$A))-'Price History'!H3)*(ROW()-3)/(MATCH(9.99E+307,'Returns (Calc)'!$A:$A)-3),"")</f>
        <v>14.0062025316456</v>
      </c>
      <c r="AD139" s="144" t="n">
        <f aca="false">IFERROR('Price History'!I3+(INDEX('Price History'!I:I,MATCH(9.99E+307,'Price History'!$A:$A))-'Price History'!I3)*(ROW()-3)/(MATCH(9.99E+307,'Returns (Calc)'!$A:$A)-3),"")</f>
        <v>6.17531645569621</v>
      </c>
      <c r="AE139" s="144" t="n">
        <f aca="false">IFERROR('Price History'!J3+(INDEX('Price History'!J:J,MATCH(9.99E+307,'Price History'!$A:$A))-'Price History'!J3)*(ROW()-3)/(MATCH(9.99E+307,'Returns (Calc)'!$A:$A)-3),"")</f>
        <v>9.62291139240507</v>
      </c>
      <c r="AF139" s="144" t="n">
        <f aca="false">IFERROR('Price History'!K3+(INDEX('Price History'!K:K,MATCH(9.99E+307,'Price History'!$A:$A))-'Price History'!K3)*(ROW()-3)/(MATCH(9.99E+307,'Returns (Calc)'!$A:$A)-3),"")</f>
        <v>6.09455696202532</v>
      </c>
      <c r="AG139" s="144" t="n">
        <f aca="false">IFERROR('Price History'!L3+(INDEX('Price History'!L:L,MATCH(9.99E+307,'Price History'!$A:$A))-'Price History'!L3)*(ROW()-3)/(MATCH(9.99E+307,'Returns (Calc)'!$A:$A)-3),"")</f>
        <v>15.5726582278481</v>
      </c>
      <c r="AH139" s="144" t="n">
        <f aca="false">IFERROR('Price History'!M3+(INDEX('Price History'!M:M,MATCH(9.99E+307,'Price History'!$A:$A))-'Price History'!M3)*(ROW()-3)/(MATCH(9.99E+307,'Returns (Calc)'!$A:$A)-3),"")</f>
        <v>2.13455696202532</v>
      </c>
      <c r="AI139" s="144" t="n">
        <f aca="false">IFERROR('Price History'!N3+(INDEX('Price History'!N:N,MATCH(9.99E+307,'Price History'!$A:$A))-'Price History'!N3)*(ROW()-3)/(MATCH(9.99E+307,'Returns (Calc)'!$A:$A)-3),"")</f>
        <v>3.03544303797468</v>
      </c>
      <c r="AJ139" s="144" t="n">
        <f aca="false">IFERROR('Price History'!O3+(INDEX('Price History'!O:O,MATCH(9.99E+307,'Price History'!$A:$A))-'Price History'!O3)*(ROW()-3)/(MATCH(9.99E+307,'Returns (Calc)'!$A:$A)-3),"")</f>
        <v>8.02443037974684</v>
      </c>
      <c r="AK139" s="144" t="n">
        <f aca="false">IFERROR('Price History'!Q3+(INDEX('Price History'!Q:Q,MATCH(9.99E+307,'Price History'!$A:$A))-'Price History'!Q3)*(ROW()-3)/(MATCH(9.99E+307,'Returns (Calc)'!$A:$A)-3),"")</f>
        <v>32.8092405063291</v>
      </c>
      <c r="AL139" s="144" t="n">
        <f aca="false">IFERROR('Price History'!R3+(INDEX('Price History'!R:R,MATCH(9.99E+307,'Price History'!$A:$A))-'Price History'!R3)*(ROW()-3)/(MATCH(9.99E+307,'Returns (Calc)'!$A:$A)-3),"")</f>
        <v>6.65848101265823</v>
      </c>
      <c r="AM139" s="144" t="n">
        <f aca="false">IFERROR('Price History'!S3+(INDEX('Price History'!S:S,MATCH(9.99E+307,'Price History'!$A:$A))-'Price History'!S3)*(ROW()-3)/(MATCH(9.99E+307,'Returns (Calc)'!$A:$A)-3),"")</f>
        <v>8.15113924050633</v>
      </c>
      <c r="AN139" s="144" t="n">
        <f aca="false">IFERROR('Price History'!T3+(INDEX('Price History'!T:T,MATCH(9.99E+307,'Price History'!$A:$A))-'Price History'!T3)*(ROW()-3)/(MATCH(9.99E+307,'Returns (Calc)'!$A:$A)-3),"")</f>
        <v>3.74696202531645</v>
      </c>
      <c r="AO139" s="145" t="n">
        <f aca="false">IFERROR('Price History'!V3+(INDEX('Price History'!V:V,MATCH(9.99E+307,'Price History'!$A:$A))-'Price History'!V3)*(ROW()-3)/(MATCH(9.99E+307,'Returns (Calc)'!$A:$A)-3),"")</f>
        <v>0</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-0.00100730294636109</v>
      </c>
      <c r="G140" s="142" t="n">
        <f aca="false">IFERROR(IF(OR(NOT(ISNUMBER('Price History'!G141)),NOT(ISNUMBER('Price History'!G140)),'Price History'!G140=0),"",'Price History'!G141/'Price History'!G140-1),"")</f>
        <v>0.158282854885436</v>
      </c>
      <c r="H140" s="142" t="n">
        <f aca="false">IFERROR(IF(OR(NOT(ISNUMBER('Price History'!H141)),NOT(ISNUMBER('Price History'!H140)),'Price History'!H140=0),"",'Price History'!H141/'Price History'!H140-1),"")</f>
        <v>-0.0151813880126183</v>
      </c>
      <c r="I140" s="142" t="n">
        <f aca="false">IFERROR(IF(OR(NOT(ISNUMBER('Price History'!I141)),NOT(ISNUMBER('Price History'!I140)),'Price History'!I140=0),"",'Price History'!I141/'Price History'!I140-1),"")</f>
        <v>0.0828058765460775</v>
      </c>
      <c r="J140" s="142" t="n">
        <f aca="false">IFERROR(IF(OR(NOT(ISNUMBER('Price History'!J141)),NOT(ISNUMBER('Price History'!J140)),'Price History'!J140=0),"",'Price History'!J141/'Price History'!J140-1),"")</f>
        <v>0.377344917270765</v>
      </c>
      <c r="K140" s="142" t="n">
        <f aca="false">IFERROR(IF(OR(NOT(ISNUMBER('Price History'!K141)),NOT(ISNUMBER('Price History'!K140)),'Price History'!K140=0),"",'Price History'!K141/'Price History'!K140-1),"")</f>
        <v>0.0843939393939395</v>
      </c>
      <c r="L140" s="142" t="n">
        <f aca="false">IFERROR(IF(OR(NOT(ISNUMBER('Price History'!L141)),NOT(ISNUMBER('Price History'!L140)),'Price History'!L140=0),"",'Price History'!L141/'Price History'!L140-1),"")</f>
        <v>0.0188814703137339</v>
      </c>
      <c r="M140" s="142" t="n">
        <f aca="false">IFERROR(IF(OR(NOT(ISNUMBER('Price History'!M141)),NOT(ISNUMBER('Price History'!M140)),'Price History'!M140=0),"",'Price History'!M141/'Price History'!M140-1),"")</f>
        <v>-0.0435205108627749</v>
      </c>
      <c r="N140" s="142" t="n">
        <f aca="false">IFERROR(IF(OR(NOT(ISNUMBER('Price History'!N141)),NOT(ISNUMBER('Price History'!N140)),'Price History'!N140=0),"",'Price History'!N141/'Price History'!N140-1),"")</f>
        <v>-0.00765306122448972</v>
      </c>
      <c r="O140" s="142" t="n">
        <f aca="false">IFERROR(IF(OR(NOT(ISNUMBER('Price History'!O141)),NOT(ISNUMBER('Price History'!O140)),'Price History'!O140=0),"",'Price History'!O141/'Price History'!O140-1),"")</f>
        <v>0.0698507462686568</v>
      </c>
      <c r="P140" s="142" t="n">
        <f aca="false">IFERROR(IF(OR(NOT(ISNUMBER('Price History'!P141)),NOT(ISNUMBER('Price History'!P140)),'Price History'!P140=0),"",'Price History'!P141/'Price History'!P140-1),"")</f>
        <v>0.0352304892842701</v>
      </c>
      <c r="Q140" s="142" t="n">
        <f aca="false">IFERROR(IF(OR(NOT(ISNUMBER('Price History'!Q141)),NOT(ISNUMBER('Price History'!Q140)),'Price History'!Q140=0),"",'Price History'!Q141/'Price History'!Q140-1),"")</f>
        <v>-0.0281569443594295</v>
      </c>
      <c r="R140" s="142" t="n">
        <f aca="false">IFERROR(IF(OR(NOT(ISNUMBER('Price History'!R141)),NOT(ISNUMBER('Price History'!R140)),'Price History'!R140=0),"",'Price History'!R141/'Price History'!R140-1),"")</f>
        <v>0.026972104193608</v>
      </c>
      <c r="S140" s="142" t="n">
        <f aca="false">IFERROR(IF(OR(NOT(ISNUMBER('Price History'!S141)),NOT(ISNUMBER('Price History'!S140)),'Price History'!S140=0),"",'Price History'!S141/'Price History'!S140-1),"")</f>
        <v>0.0401595503580816</v>
      </c>
      <c r="T140" s="142" t="n">
        <f aca="false">IFERROR(IF(OR(NOT(ISNUMBER('Price History'!T141)),NOT(ISNUMBER('Price History'!T140)),'Price History'!T140=0),"",'Price History'!T141/'Price History'!T140-1),"")</f>
        <v>0.0281290322580645</v>
      </c>
      <c r="U140" s="142" t="str">
        <f aca="false">IFERROR(IF(OR(NOT(ISNUMBER('Price History'!U141)),NOT(ISNUMBER('Price History'!U140)),'Price History'!U140=0),"",'Price History'!U141/'Price History'!U140-1),"")</f>
        <v/>
      </c>
      <c r="V140" s="143" t="str">
        <f aca="false">IFERROR(IF(OR(NOT(ISNUMBER('Price History'!V141)),NOT(ISNUMBER('Price History'!V140)),'Price History'!V140=0),"",'Price History'!V141/'Price History'!V140-1),"")</f>
        <v/>
      </c>
      <c r="W140" s="144" t="str">
        <f aca="false">IFERROR('Price History'!B3+(INDEX('Price History'!B:B,MATCH(9.99E+307,'Price History'!$A:$A))-'Price History'!B3)*(ROW()-3)/(MATCH(9.99E+307,'Returns (Calc)'!$A:$A)-3),"")</f>
        <v/>
      </c>
      <c r="X140" s="144" t="n">
        <f aca="false">IFERROR('Price History'!C3+(INDEX('Price History'!C:C,MATCH(9.99E+307,'Price History'!$A:$A))-'Price History'!C3)*(ROW()-3)/(MATCH(9.99E+307,'Returns (Calc)'!$A:$A)-3),"")</f>
        <v>6.13784810126582</v>
      </c>
      <c r="Y140" s="144" t="n">
        <f aca="false">IFERROR('Price History'!D3+(INDEX('Price History'!D:D,MATCH(9.99E+307,'Price History'!$A:$A))-'Price History'!D3)*(ROW()-3)/(MATCH(9.99E+307,'Returns (Calc)'!$A:$A)-3),"")</f>
        <v>77.3557594936709</v>
      </c>
      <c r="Z140" s="144" t="n">
        <f aca="false">IFERROR('Price History'!E3+(INDEX('Price History'!E:E,MATCH(9.99E+307,'Price History'!$A:$A))-'Price History'!E3)*(ROW()-3)/(MATCH(9.99E+307,'Returns (Calc)'!$A:$A)-3),"")</f>
        <v>10.8987341772152</v>
      </c>
      <c r="AA140" s="144" t="n">
        <f aca="false">IFERROR('Price History'!F3+(INDEX('Price History'!F:F,MATCH(9.99E+307,'Price History'!$A:$A))-'Price History'!F3)*(ROW()-3)/(MATCH(9.99E+307,'Returns (Calc)'!$A:$A)-3),"")</f>
        <v>10.0095569620253</v>
      </c>
      <c r="AB140" s="144" t="n">
        <f aca="false">IFERROR('Price History'!G3+(INDEX('Price History'!G:G,MATCH(9.99E+307,'Price History'!$A:$A))-'Price History'!G3)*(ROW()-3)/(MATCH(9.99E+307,'Returns (Calc)'!$A:$A)-3),"")</f>
        <v>5.49721518987342</v>
      </c>
      <c r="AC140" s="144" t="n">
        <f aca="false">IFERROR('Price History'!H3+(INDEX('Price History'!H:H,MATCH(9.99E+307,'Price History'!$A:$A))-'Price History'!H3)*(ROW()-3)/(MATCH(9.99E+307,'Returns (Calc)'!$A:$A)-3),"")</f>
        <v>13.3695569620253</v>
      </c>
      <c r="AD140" s="144" t="n">
        <f aca="false">IFERROR('Price History'!I3+(INDEX('Price History'!I:I,MATCH(9.99E+307,'Price History'!$A:$A))-'Price History'!I3)*(ROW()-3)/(MATCH(9.99E+307,'Returns (Calc)'!$A:$A)-3),"")</f>
        <v>5.89462025316456</v>
      </c>
      <c r="AE140" s="144" t="n">
        <f aca="false">IFERROR('Price History'!J3+(INDEX('Price History'!J:J,MATCH(9.99E+307,'Price History'!$A:$A))-'Price History'!J3)*(ROW()-3)/(MATCH(9.99E+307,'Returns (Calc)'!$A:$A)-3),"")</f>
        <v>9.18550632911393</v>
      </c>
      <c r="AF140" s="144" t="n">
        <f aca="false">IFERROR('Price History'!K3+(INDEX('Price History'!K:K,MATCH(9.99E+307,'Price History'!$A:$A))-'Price History'!K3)*(ROW()-3)/(MATCH(9.99E+307,'Returns (Calc)'!$A:$A)-3),"")</f>
        <v>5.81753164556962</v>
      </c>
      <c r="AG140" s="144" t="n">
        <f aca="false">IFERROR('Price History'!L3+(INDEX('Price History'!L:L,MATCH(9.99E+307,'Price History'!$A:$A))-'Price History'!L3)*(ROW()-3)/(MATCH(9.99E+307,'Returns (Calc)'!$A:$A)-3),"")</f>
        <v>14.8648101265823</v>
      </c>
      <c r="AH140" s="144" t="n">
        <f aca="false">IFERROR('Price History'!M3+(INDEX('Price History'!M:M,MATCH(9.99E+307,'Price History'!$A:$A))-'Price History'!M3)*(ROW()-3)/(MATCH(9.99E+307,'Returns (Calc)'!$A:$A)-3),"")</f>
        <v>2.03753164556962</v>
      </c>
      <c r="AI140" s="144" t="n">
        <f aca="false">IFERROR('Price History'!N3+(INDEX('Price History'!N:N,MATCH(9.99E+307,'Price History'!$A:$A))-'Price History'!N3)*(ROW()-3)/(MATCH(9.99E+307,'Returns (Calc)'!$A:$A)-3),"")</f>
        <v>2.89746835443038</v>
      </c>
      <c r="AJ140" s="144" t="n">
        <f aca="false">IFERROR('Price History'!O3+(INDEX('Price History'!O:O,MATCH(9.99E+307,'Price History'!$A:$A))-'Price History'!O3)*(ROW()-3)/(MATCH(9.99E+307,'Returns (Calc)'!$A:$A)-3),"")</f>
        <v>7.6596835443038</v>
      </c>
      <c r="AK140" s="144" t="n">
        <f aca="false">IFERROR('Price History'!Q3+(INDEX('Price History'!Q:Q,MATCH(9.99E+307,'Price History'!$A:$A))-'Price History'!Q3)*(ROW()-3)/(MATCH(9.99E+307,'Returns (Calc)'!$A:$A)-3),"")</f>
        <v>31.3179113924051</v>
      </c>
      <c r="AL140" s="144" t="n">
        <f aca="false">IFERROR('Price History'!R3+(INDEX('Price History'!R:R,MATCH(9.99E+307,'Price History'!$A:$A))-'Price History'!R3)*(ROW()-3)/(MATCH(9.99E+307,'Returns (Calc)'!$A:$A)-3),"")</f>
        <v>6.35582278481012</v>
      </c>
      <c r="AM140" s="144" t="n">
        <f aca="false">IFERROR('Price History'!S3+(INDEX('Price History'!S:S,MATCH(9.99E+307,'Price History'!$A:$A))-'Price History'!S3)*(ROW()-3)/(MATCH(9.99E+307,'Returns (Calc)'!$A:$A)-3),"")</f>
        <v>7.78063291139241</v>
      </c>
      <c r="AN140" s="144" t="n">
        <f aca="false">IFERROR('Price History'!T3+(INDEX('Price History'!T:T,MATCH(9.99E+307,'Price History'!$A:$A))-'Price History'!T3)*(ROW()-3)/(MATCH(9.99E+307,'Returns (Calc)'!$A:$A)-3),"")</f>
        <v>3.57664556962025</v>
      </c>
      <c r="AO140" s="145" t="n">
        <f aca="false">IFERROR('Price History'!V3+(INDEX('Price History'!V:V,MATCH(9.99E+307,'Price History'!$A:$A))-'Price History'!V3)*(ROW()-3)/(MATCH(9.99E+307,'Returns (Calc)'!$A:$A)-3),"")</f>
        <v>0</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-0.0215948239643728</v>
      </c>
      <c r="G141" s="142" t="n">
        <f aca="false">IFERROR(IF(OR(NOT(ISNUMBER('Price History'!G142)),NOT(ISNUMBER('Price History'!G141)),'Price History'!G141=0),"",'Price History'!G142/'Price History'!G141-1),"")</f>
        <v>0.12566318023344</v>
      </c>
      <c r="H141" s="142" t="n">
        <f aca="false">IFERROR(IF(OR(NOT(ISNUMBER('Price History'!H142)),NOT(ISNUMBER('Price History'!H141)),'Price History'!H141=0),"",'Price History'!H142/'Price History'!H141-1),"")</f>
        <v>-0.00867534200867526</v>
      </c>
      <c r="I141" s="142" t="n">
        <f aca="false">IFERROR(IF(OR(NOT(ISNUMBER('Price History'!I142)),NOT(ISNUMBER('Price History'!I141)),'Price History'!I141=0),"",'Price History'!I142/'Price History'!I141-1),"")</f>
        <v>-0.0346972703383922</v>
      </c>
      <c r="J141" s="142" t="n">
        <f aca="false">IFERROR(IF(OR(NOT(ISNUMBER('Price History'!J142)),NOT(ISNUMBER('Price History'!J141)),'Price History'!J141=0),"",'Price History'!J142/'Price History'!J141-1),"")</f>
        <v>-0.0296638542922192</v>
      </c>
      <c r="K141" s="142" t="n">
        <f aca="false">IFERROR(IF(OR(NOT(ISNUMBER('Price History'!K142)),NOT(ISNUMBER('Price History'!K141)),'Price History'!K141=0),"",'Price History'!K142/'Price History'!K141-1),"")</f>
        <v>0.0470401937497089</v>
      </c>
      <c r="L141" s="142" t="n">
        <f aca="false">IFERROR(IF(OR(NOT(ISNUMBER('Price History'!L142)),NOT(ISNUMBER('Price History'!L141)),'Price History'!L141=0),"",'Price History'!L142/'Price History'!L141-1),"")</f>
        <v>-0.0246617812852311</v>
      </c>
      <c r="M141" s="142" t="n">
        <f aca="false">IFERROR(IF(OR(NOT(ISNUMBER('Price History'!M142)),NOT(ISNUMBER('Price History'!M141)),'Price History'!M141=0),"",'Price History'!M142/'Price History'!M141-1),"")</f>
        <v>-0.0276487663280116</v>
      </c>
      <c r="N141" s="142" t="n">
        <f aca="false">IFERROR(IF(OR(NOT(ISNUMBER('Price History'!N142)),NOT(ISNUMBER('Price History'!N141)),'Price History'!N141=0),"",'Price History'!N142/'Price History'!N141-1),"")</f>
        <v>0.0032133676092545</v>
      </c>
      <c r="O141" s="142" t="n">
        <f aca="false">IFERROR(IF(OR(NOT(ISNUMBER('Price History'!O142)),NOT(ISNUMBER('Price History'!O141)),'Price History'!O141=0),"",'Price History'!O142/'Price History'!O141-1),"")</f>
        <v>-0.0023018973214286</v>
      </c>
      <c r="P141" s="142" t="n">
        <f aca="false">IFERROR(IF(OR(NOT(ISNUMBER('Price History'!P142)),NOT(ISNUMBER('Price History'!P141)),'Price History'!P141=0),"",'Price History'!P142/'Price History'!P141-1),"")</f>
        <v>-0.0177969825692106</v>
      </c>
      <c r="Q141" s="142" t="n">
        <f aca="false">IFERROR(IF(OR(NOT(ISNUMBER('Price History'!Q142)),NOT(ISNUMBER('Price History'!Q141)),'Price History'!Q141=0),"",'Price History'!Q142/'Price History'!Q141-1),"")</f>
        <v>0.0239654846633495</v>
      </c>
      <c r="R141" s="142" t="n">
        <f aca="false">IFERROR(IF(OR(NOT(ISNUMBER('Price History'!R142)),NOT(ISNUMBER('Price History'!R141)),'Price History'!R141=0),"",'Price History'!R142/'Price History'!R141-1),"")</f>
        <v>0.0365173592372727</v>
      </c>
      <c r="S141" s="142" t="n">
        <f aca="false">IFERROR(IF(OR(NOT(ISNUMBER('Price History'!S142)),NOT(ISNUMBER('Price History'!S141)),'Price History'!S141=0),"",'Price History'!S142/'Price History'!S141-1),"")</f>
        <v>0.0749520655394806</v>
      </c>
      <c r="T141" s="142" t="n">
        <f aca="false">IFERROR(IF(OR(NOT(ISNUMBER('Price History'!T142)),NOT(ISNUMBER('Price History'!T141)),'Price History'!T141=0),"",'Price History'!T142/'Price History'!T141-1),"")</f>
        <v>-0.0050200803212852</v>
      </c>
      <c r="U141" s="142" t="str">
        <f aca="false">IFERROR(IF(OR(NOT(ISNUMBER('Price History'!U142)),NOT(ISNUMBER('Price History'!U141)),'Price History'!U141=0),"",'Price History'!U142/'Price History'!U141-1),"")</f>
        <v/>
      </c>
      <c r="V141" s="143" t="str">
        <f aca="false">IFERROR(IF(OR(NOT(ISNUMBER('Price History'!V142)),NOT(ISNUMBER('Price History'!V141)),'Price History'!V141=0),"",'Price History'!V142/'Price History'!V141-1),"")</f>
        <v/>
      </c>
      <c r="W141" s="144" t="str">
        <f aca="false">IFERROR('Price History'!B3+(INDEX('Price History'!B:B,MATCH(9.99E+307,'Price History'!$A:$A))-'Price History'!B3)*(ROW()-3)/(MATCH(9.99E+307,'Returns (Calc)'!$A:$A)-3),"")</f>
        <v/>
      </c>
      <c r="X141" s="144" t="n">
        <f aca="false">IFERROR('Price History'!C3+(INDEX('Price History'!C:C,MATCH(9.99E+307,'Price History'!$A:$A))-'Price History'!C3)*(ROW()-3)/(MATCH(9.99E+307,'Returns (Calc)'!$A:$A)-3),"")</f>
        <v>5.84556962025317</v>
      </c>
      <c r="Y141" s="144" t="n">
        <f aca="false">IFERROR('Price History'!D3+(INDEX('Price History'!D:D,MATCH(9.99E+307,'Price History'!$A:$A))-'Price History'!D3)*(ROW()-3)/(MATCH(9.99E+307,'Returns (Calc)'!$A:$A)-3),"")</f>
        <v>73.6721518987341</v>
      </c>
      <c r="Z141" s="144" t="n">
        <f aca="false">IFERROR('Price History'!E3+(INDEX('Price History'!E:E,MATCH(9.99E+307,'Price History'!$A:$A))-'Price History'!E3)*(ROW()-3)/(MATCH(9.99E+307,'Returns (Calc)'!$A:$A)-3),"")</f>
        <v>10.379746835443</v>
      </c>
      <c r="AA141" s="144" t="n">
        <f aca="false">IFERROR('Price History'!F3+(INDEX('Price History'!F:F,MATCH(9.99E+307,'Price History'!$A:$A))-'Price History'!F3)*(ROW()-3)/(MATCH(9.99E+307,'Returns (Calc)'!$A:$A)-3),"")</f>
        <v>9.53291139240506</v>
      </c>
      <c r="AB141" s="144" t="n">
        <f aca="false">IFERROR('Price History'!G3+(INDEX('Price History'!G:G,MATCH(9.99E+307,'Price History'!$A:$A))-'Price History'!G3)*(ROW()-3)/(MATCH(9.99E+307,'Returns (Calc)'!$A:$A)-3),"")</f>
        <v>5.23544303797468</v>
      </c>
      <c r="AC141" s="144" t="n">
        <f aca="false">IFERROR('Price History'!H3+(INDEX('Price History'!H:H,MATCH(9.99E+307,'Price History'!$A:$A))-'Price History'!H3)*(ROW()-3)/(MATCH(9.99E+307,'Returns (Calc)'!$A:$A)-3),"")</f>
        <v>12.7329113924051</v>
      </c>
      <c r="AD141" s="144" t="n">
        <f aca="false">IFERROR('Price History'!I3+(INDEX('Price History'!I:I,MATCH(9.99E+307,'Price History'!$A:$A))-'Price History'!I3)*(ROW()-3)/(MATCH(9.99E+307,'Returns (Calc)'!$A:$A)-3),"")</f>
        <v>5.61392405063291</v>
      </c>
      <c r="AE141" s="144" t="n">
        <f aca="false">IFERROR('Price History'!J3+(INDEX('Price History'!J:J,MATCH(9.99E+307,'Price History'!$A:$A))-'Price History'!J3)*(ROW()-3)/(MATCH(9.99E+307,'Returns (Calc)'!$A:$A)-3),"")</f>
        <v>8.74810126582278</v>
      </c>
      <c r="AF141" s="144" t="n">
        <f aca="false">IFERROR('Price History'!K3+(INDEX('Price History'!K:K,MATCH(9.99E+307,'Price History'!$A:$A))-'Price History'!K3)*(ROW()-3)/(MATCH(9.99E+307,'Returns (Calc)'!$A:$A)-3),"")</f>
        <v>5.54050632911392</v>
      </c>
      <c r="AG141" s="144" t="n">
        <f aca="false">IFERROR('Price History'!L3+(INDEX('Price History'!L:L,MATCH(9.99E+307,'Price History'!$A:$A))-'Price History'!L3)*(ROW()-3)/(MATCH(9.99E+307,'Returns (Calc)'!$A:$A)-3),"")</f>
        <v>14.1569620253165</v>
      </c>
      <c r="AH141" s="144" t="n">
        <f aca="false">IFERROR('Price History'!M3+(INDEX('Price History'!M:M,MATCH(9.99E+307,'Price History'!$A:$A))-'Price History'!M3)*(ROW()-3)/(MATCH(9.99E+307,'Returns (Calc)'!$A:$A)-3),"")</f>
        <v>1.94050632911392</v>
      </c>
      <c r="AI141" s="144" t="n">
        <f aca="false">IFERROR('Price History'!N3+(INDEX('Price History'!N:N,MATCH(9.99E+307,'Price History'!$A:$A))-'Price History'!N3)*(ROW()-3)/(MATCH(9.99E+307,'Returns (Calc)'!$A:$A)-3),"")</f>
        <v>2.75949367088608</v>
      </c>
      <c r="AJ141" s="144" t="n">
        <f aca="false">IFERROR('Price History'!O3+(INDEX('Price History'!O:O,MATCH(9.99E+307,'Price History'!$A:$A))-'Price History'!O3)*(ROW()-3)/(MATCH(9.99E+307,'Returns (Calc)'!$A:$A)-3),"")</f>
        <v>7.29493670886076</v>
      </c>
      <c r="AK141" s="144" t="n">
        <f aca="false">IFERROR('Price History'!Q3+(INDEX('Price History'!Q:Q,MATCH(9.99E+307,'Price History'!$A:$A))-'Price History'!Q3)*(ROW()-3)/(MATCH(9.99E+307,'Returns (Calc)'!$A:$A)-3),"")</f>
        <v>29.826582278481</v>
      </c>
      <c r="AL141" s="144" t="n">
        <f aca="false">IFERROR('Price History'!R3+(INDEX('Price History'!R:R,MATCH(9.99E+307,'Price History'!$A:$A))-'Price History'!R3)*(ROW()-3)/(MATCH(9.99E+307,'Returns (Calc)'!$A:$A)-3),"")</f>
        <v>6.05316455696202</v>
      </c>
      <c r="AM141" s="144" t="n">
        <f aca="false">IFERROR('Price History'!S3+(INDEX('Price History'!S:S,MATCH(9.99E+307,'Price History'!$A:$A))-'Price History'!S3)*(ROW()-3)/(MATCH(9.99E+307,'Returns (Calc)'!$A:$A)-3),"")</f>
        <v>7.41012658227848</v>
      </c>
      <c r="AN141" s="144" t="n">
        <f aca="false">IFERROR('Price History'!T3+(INDEX('Price History'!T:T,MATCH(9.99E+307,'Price History'!$A:$A))-'Price History'!T3)*(ROW()-3)/(MATCH(9.99E+307,'Returns (Calc)'!$A:$A)-3),"")</f>
        <v>3.40632911392405</v>
      </c>
      <c r="AO141" s="145" t="n">
        <f aca="false">IFERROR('Price History'!V3+(INDEX('Price History'!V:V,MATCH(9.99E+307,'Price History'!$A:$A))-'Price History'!V3)*(ROW()-3)/(MATCH(9.99E+307,'Returns (Calc)'!$A:$A)-3),"")</f>
        <v>0</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0.0237031947784268</v>
      </c>
      <c r="G142" s="142" t="n">
        <f aca="false">IFERROR(IF(OR(NOT(ISNUMBER('Price History'!G143)),NOT(ISNUMBER('Price History'!G142)),'Price History'!G142=0),"",'Price History'!G143/'Price History'!G142-1),"")</f>
        <v>0.116819283598169</v>
      </c>
      <c r="H142" s="142" t="n">
        <f aca="false">IFERROR(IF(OR(NOT(ISNUMBER('Price History'!H143)),NOT(ISNUMBER('Price History'!H142)),'Price History'!H142=0),"",'Price History'!H143/'Price History'!H142-1),"")</f>
        <v>0.0317738135307977</v>
      </c>
      <c r="I142" s="142" t="n">
        <f aca="false">IFERROR(IF(OR(NOT(ISNUMBER('Price History'!I143)),NOT(ISNUMBER('Price History'!I142)),'Price History'!I142=0),"",'Price History'!I143/'Price History'!I142-1),"")</f>
        <v>0.0478888888888889</v>
      </c>
      <c r="J142" s="142" t="n">
        <f aca="false">IFERROR(IF(OR(NOT(ISNUMBER('Price History'!J143)),NOT(ISNUMBER('Price History'!J142)),'Price History'!J142=0),"",'Price History'!J143/'Price History'!J142-1),"")</f>
        <v>0.0363397971154511</v>
      </c>
      <c r="K142" s="142" t="n">
        <f aca="false">IFERROR(IF(OR(NOT(ISNUMBER('Price History'!K143)),NOT(ISNUMBER('Price History'!K142)),'Price History'!K142=0),"",'Price History'!K143/'Price History'!K142-1),"")</f>
        <v>-0.0443485610070726</v>
      </c>
      <c r="L142" s="142" t="n">
        <f aca="false">IFERROR(IF(OR(NOT(ISNUMBER('Price History'!L143)),NOT(ISNUMBER('Price History'!L142)),'Price History'!L142=0),"",'Price History'!L143/'Price History'!L142-1),"")</f>
        <v>0.0382170206617543</v>
      </c>
      <c r="M142" s="142" t="n">
        <f aca="false">IFERROR(IF(OR(NOT(ISNUMBER('Price History'!M143)),NOT(ISNUMBER('Price History'!M142)),'Price History'!M142=0),"",'Price History'!M143/'Price History'!M142-1),"")</f>
        <v>0.0215687737890886</v>
      </c>
      <c r="N142" s="142" t="n">
        <f aca="false">IFERROR(IF(OR(NOT(ISNUMBER('Price History'!N143)),NOT(ISNUMBER('Price History'!N142)),'Price History'!N142=0),"",'Price History'!N143/'Price History'!N142-1),"")</f>
        <v>0.0349135169762973</v>
      </c>
      <c r="O142" s="142" t="n">
        <f aca="false">IFERROR(IF(OR(NOT(ISNUMBER('Price History'!O143)),NOT(ISNUMBER('Price History'!O142)),'Price History'!O142=0),"",'Price History'!O143/'Price History'!O142-1),"")</f>
        <v>0.0101377333426553</v>
      </c>
      <c r="P142" s="142" t="n">
        <f aca="false">IFERROR(IF(OR(NOT(ISNUMBER('Price History'!P143)),NOT(ISNUMBER('Price History'!P142)),'Price History'!P142=0),"",'Price History'!P143/'Price History'!P142-1),"")</f>
        <v>0.000422538712002707</v>
      </c>
      <c r="Q142" s="142" t="n">
        <f aca="false">IFERROR(IF(OR(NOT(ISNUMBER('Price History'!Q143)),NOT(ISNUMBER('Price History'!Q142)),'Price History'!Q142=0),"",'Price History'!Q143/'Price History'!Q142-1),"")</f>
        <v>0.00959557127479616</v>
      </c>
      <c r="R142" s="142" t="n">
        <f aca="false">IFERROR(IF(OR(NOT(ISNUMBER('Price History'!R143)),NOT(ISNUMBER('Price History'!R142)),'Price History'!R142=0),"",'Price History'!R143/'Price History'!R142-1),"")</f>
        <v>0.0180492884415133</v>
      </c>
      <c r="S142" s="142" t="n">
        <f aca="false">IFERROR(IF(OR(NOT(ISNUMBER('Price History'!S143)),NOT(ISNUMBER('Price History'!S142)),'Price History'!S142=0),"",'Price History'!S143/'Price History'!S142-1),"")</f>
        <v>0.0402140424841901</v>
      </c>
      <c r="T142" s="142" t="n">
        <f aca="false">IFERROR(IF(OR(NOT(ISNUMBER('Price History'!T143)),NOT(ISNUMBER('Price History'!T142)),'Price History'!T142=0),"",'Price History'!T143/'Price History'!T142-1),"")</f>
        <v>0.0534813319878908</v>
      </c>
      <c r="U142" s="142" t="str">
        <f aca="false">IFERROR(IF(OR(NOT(ISNUMBER('Price History'!U143)),NOT(ISNUMBER('Price History'!U142)),'Price History'!U142=0),"",'Price History'!U143/'Price History'!U142-1),"")</f>
        <v/>
      </c>
      <c r="V142" s="143" t="n">
        <f aca="false">IFERROR(IF(OR(NOT(ISNUMBER('Price History'!V143)),NOT(ISNUMBER('Price History'!V142)),'Price History'!V142=0),"",'Price History'!V143/'Price History'!V142-1),"")</f>
        <v>0.0415938252465613</v>
      </c>
      <c r="W142" s="144" t="str">
        <f aca="false">IFERROR('Price History'!B3+(INDEX('Price History'!B:B,MATCH(9.99E+307,'Price History'!$A:$A))-'Price History'!B3)*(ROW()-3)/(MATCH(9.99E+307,'Returns (Calc)'!$A:$A)-3),"")</f>
        <v/>
      </c>
      <c r="X142" s="144" t="n">
        <f aca="false">IFERROR('Price History'!C3+(INDEX('Price History'!C:C,MATCH(9.99E+307,'Price History'!$A:$A))-'Price History'!C3)*(ROW()-3)/(MATCH(9.99E+307,'Returns (Calc)'!$A:$A)-3),"")</f>
        <v>5.55329113924051</v>
      </c>
      <c r="Y142" s="144" t="n">
        <f aca="false">IFERROR('Price History'!D3+(INDEX('Price History'!D:D,MATCH(9.99E+307,'Price History'!$A:$A))-'Price History'!D3)*(ROW()-3)/(MATCH(9.99E+307,'Returns (Calc)'!$A:$A)-3),"")</f>
        <v>69.9885443037974</v>
      </c>
      <c r="Z142" s="144" t="n">
        <f aca="false">IFERROR('Price History'!E3+(INDEX('Price History'!E:E,MATCH(9.99E+307,'Price History'!$A:$A))-'Price History'!E3)*(ROW()-3)/(MATCH(9.99E+307,'Returns (Calc)'!$A:$A)-3),"")</f>
        <v>9.86075949367088</v>
      </c>
      <c r="AA142" s="144" t="n">
        <f aca="false">IFERROR('Price History'!F3+(INDEX('Price History'!F:F,MATCH(9.99E+307,'Price History'!$A:$A))-'Price History'!F3)*(ROW()-3)/(MATCH(9.99E+307,'Returns (Calc)'!$A:$A)-3),"")</f>
        <v>9.05626582278481</v>
      </c>
      <c r="AB142" s="144" t="n">
        <f aca="false">IFERROR('Price History'!G3+(INDEX('Price History'!G:G,MATCH(9.99E+307,'Price History'!$A:$A))-'Price History'!G3)*(ROW()-3)/(MATCH(9.99E+307,'Returns (Calc)'!$A:$A)-3),"")</f>
        <v>4.97367088607595</v>
      </c>
      <c r="AC142" s="144" t="n">
        <f aca="false">IFERROR('Price History'!H3+(INDEX('Price History'!H:H,MATCH(9.99E+307,'Price History'!$A:$A))-'Price History'!H3)*(ROW()-3)/(MATCH(9.99E+307,'Returns (Calc)'!$A:$A)-3),"")</f>
        <v>12.0962658227848</v>
      </c>
      <c r="AD142" s="144" t="n">
        <f aca="false">IFERROR('Price History'!I3+(INDEX('Price History'!I:I,MATCH(9.99E+307,'Price History'!$A:$A))-'Price History'!I3)*(ROW()-3)/(MATCH(9.99E+307,'Returns (Calc)'!$A:$A)-3),"")</f>
        <v>5.33322784810127</v>
      </c>
      <c r="AE142" s="144" t="n">
        <f aca="false">IFERROR('Price History'!J3+(INDEX('Price History'!J:J,MATCH(9.99E+307,'Price History'!$A:$A))-'Price History'!J3)*(ROW()-3)/(MATCH(9.99E+307,'Returns (Calc)'!$A:$A)-3),"")</f>
        <v>8.31069620253165</v>
      </c>
      <c r="AF142" s="144" t="n">
        <f aca="false">IFERROR('Price History'!K3+(INDEX('Price History'!K:K,MATCH(9.99E+307,'Price History'!$A:$A))-'Price History'!K3)*(ROW()-3)/(MATCH(9.99E+307,'Returns (Calc)'!$A:$A)-3),"")</f>
        <v>5.26348101265823</v>
      </c>
      <c r="AG142" s="144" t="n">
        <f aca="false">IFERROR('Price History'!L3+(INDEX('Price History'!L:L,MATCH(9.99E+307,'Price History'!$A:$A))-'Price History'!L3)*(ROW()-3)/(MATCH(9.99E+307,'Returns (Calc)'!$A:$A)-3),"")</f>
        <v>13.4491139240506</v>
      </c>
      <c r="AH142" s="144" t="n">
        <f aca="false">IFERROR('Price History'!M3+(INDEX('Price History'!M:M,MATCH(9.99E+307,'Price History'!$A:$A))-'Price History'!M3)*(ROW()-3)/(MATCH(9.99E+307,'Returns (Calc)'!$A:$A)-3),"")</f>
        <v>1.84348101265823</v>
      </c>
      <c r="AI142" s="144" t="n">
        <f aca="false">IFERROR('Price History'!N3+(INDEX('Price History'!N:N,MATCH(9.99E+307,'Price History'!$A:$A))-'Price History'!N3)*(ROW()-3)/(MATCH(9.99E+307,'Returns (Calc)'!$A:$A)-3),"")</f>
        <v>2.62151898734177</v>
      </c>
      <c r="AJ142" s="144" t="n">
        <f aca="false">IFERROR('Price History'!O3+(INDEX('Price History'!O:O,MATCH(9.99E+307,'Price History'!$A:$A))-'Price History'!O3)*(ROW()-3)/(MATCH(9.99E+307,'Returns (Calc)'!$A:$A)-3),"")</f>
        <v>6.93018987341772</v>
      </c>
      <c r="AK142" s="144" t="n">
        <f aca="false">IFERROR('Price History'!Q3+(INDEX('Price History'!Q:Q,MATCH(9.99E+307,'Price History'!$A:$A))-'Price History'!Q3)*(ROW()-3)/(MATCH(9.99E+307,'Returns (Calc)'!$A:$A)-3),"")</f>
        <v>28.3352531645569</v>
      </c>
      <c r="AL142" s="144" t="n">
        <f aca="false">IFERROR('Price History'!R3+(INDEX('Price History'!R:R,MATCH(9.99E+307,'Price History'!$A:$A))-'Price History'!R3)*(ROW()-3)/(MATCH(9.99E+307,'Returns (Calc)'!$A:$A)-3),"")</f>
        <v>5.75050632911392</v>
      </c>
      <c r="AM142" s="144" t="n">
        <f aca="false">IFERROR('Price History'!S3+(INDEX('Price History'!S:S,MATCH(9.99E+307,'Price History'!$A:$A))-'Price History'!S3)*(ROW()-3)/(MATCH(9.99E+307,'Returns (Calc)'!$A:$A)-3),"")</f>
        <v>7.03962025316456</v>
      </c>
      <c r="AN142" s="144" t="n">
        <f aca="false">IFERROR('Price History'!T3+(INDEX('Price History'!T:T,MATCH(9.99E+307,'Price History'!$A:$A))-'Price History'!T3)*(ROW()-3)/(MATCH(9.99E+307,'Returns (Calc)'!$A:$A)-3),"")</f>
        <v>3.23601265822785</v>
      </c>
      <c r="AO142" s="145" t="n">
        <f aca="false">IFERROR('Price History'!V3+(INDEX('Price History'!V:V,MATCH(9.99E+307,'Price History'!$A:$A))-'Price History'!V3)*(ROW()-3)/(MATCH(9.99E+307,'Returns (Calc)'!$A:$A)-3),"")</f>
        <v>0</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0.000167785234899354</v>
      </c>
      <c r="G143" s="142" t="n">
        <f aca="false">IFERROR(IF(OR(NOT(ISNUMBER('Price History'!G144)),NOT(ISNUMBER('Price History'!G143)),'Price History'!G143=0),"",'Price History'!G144/'Price History'!G143-1),"")</f>
        <v>0.10176644360041</v>
      </c>
      <c r="H143" s="142" t="n">
        <f aca="false">IFERROR(IF(OR(NOT(ISNUMBER('Price History'!H144)),NOT(ISNUMBER('Price History'!H143)),'Price History'!H143=0),"",'Price History'!H144/'Price History'!H143-1),"")</f>
        <v>-0.00508905852417307</v>
      </c>
      <c r="I143" s="142" t="n">
        <f aca="false">IFERROR(IF(OR(NOT(ISNUMBER('Price History'!I144)),NOT(ISNUMBER('Price History'!I143)),'Price History'!I143=0),"",'Price History'!I144/'Price History'!I143-1),"")</f>
        <v>0.0176545435266673</v>
      </c>
      <c r="J143" s="142" t="n">
        <f aca="false">IFERROR(IF(OR(NOT(ISNUMBER('Price History'!J144)),NOT(ISNUMBER('Price History'!J143)),'Price History'!J143=0),"",'Price History'!J144/'Price History'!J143-1),"")</f>
        <v>0.292949605795866</v>
      </c>
      <c r="K143" s="142" t="n">
        <f aca="false">IFERROR(IF(OR(NOT(ISNUMBER('Price History'!K144)),NOT(ISNUMBER('Price History'!K143)),'Price History'!K143=0),"",'Price History'!K144/'Price History'!K143-1),"")</f>
        <v>-0.019456339601564</v>
      </c>
      <c r="L143" s="142" t="n">
        <f aca="false">IFERROR(IF(OR(NOT(ISNUMBER('Price History'!L144)),NOT(ISNUMBER('Price History'!L143)),'Price History'!L143=0),"",'Price History'!L144/'Price History'!L143-1),"")</f>
        <v>-0.0167002992136943</v>
      </c>
      <c r="M143" s="142" t="n">
        <f aca="false">IFERROR(IF(OR(NOT(ISNUMBER('Price History'!M144)),NOT(ISNUMBER('Price History'!M143)),'Price History'!M143=0),"",'Price History'!M144/'Price History'!M143-1),"")</f>
        <v>0.143629456458211</v>
      </c>
      <c r="N143" s="142" t="n">
        <f aca="false">IFERROR(IF(OR(NOT(ISNUMBER('Price History'!N144)),NOT(ISNUMBER('Price History'!N143)),'Price History'!N143=0),"",'Price History'!N144/'Price History'!N143-1),"")</f>
        <v>-0.0099040544722997</v>
      </c>
      <c r="O143" s="142" t="n">
        <f aca="false">IFERROR(IF(OR(NOT(ISNUMBER('Price History'!O144)),NOT(ISNUMBER('Price History'!O143)),'Price History'!O143=0),"",'Price History'!O144/'Price History'!O143-1),"")</f>
        <v>0.0389673311184942</v>
      </c>
      <c r="P143" s="142" t="n">
        <f aca="false">IFERROR(IF(OR(NOT(ISNUMBER('Price History'!P144)),NOT(ISNUMBER('Price History'!P143)),'Price History'!P143=0),"",'Price History'!P144/'Price History'!P143-1),"")</f>
        <v>0.0344347826086957</v>
      </c>
      <c r="Q143" s="142" t="n">
        <f aca="false">IFERROR(IF(OR(NOT(ISNUMBER('Price History'!Q144)),NOT(ISNUMBER('Price History'!Q143)),'Price History'!Q143=0),"",'Price History'!Q144/'Price History'!Q143-1),"")</f>
        <v>-0.00767660767051503</v>
      </c>
      <c r="R143" s="142" t="n">
        <f aca="false">IFERROR(IF(OR(NOT(ISNUMBER('Price History'!R144)),NOT(ISNUMBER('Price History'!R143)),'Price History'!R143=0),"",'Price History'!R144/'Price History'!R143-1),"")</f>
        <v>0.00562563927719073</v>
      </c>
      <c r="S143" s="142" t="n">
        <f aca="false">IFERROR(IF(OR(NOT(ISNUMBER('Price History'!S144)),NOT(ISNUMBER('Price History'!S143)),'Price History'!S143=0),"",'Price History'!S144/'Price History'!S143-1),"")</f>
        <v>0.0250974279033516</v>
      </c>
      <c r="T143" s="142" t="n">
        <f aca="false">IFERROR(IF(OR(NOT(ISNUMBER('Price History'!T144)),NOT(ISNUMBER('Price History'!T143)),'Price History'!T143=0),"",'Price History'!T144/'Price History'!T143-1),"")</f>
        <v>-0.00574712643678144</v>
      </c>
      <c r="U143" s="142" t="str">
        <f aca="false">IFERROR(IF(OR(NOT(ISNUMBER('Price History'!U144)),NOT(ISNUMBER('Price History'!U143)),'Price History'!U143=0),"",'Price History'!U144/'Price History'!U143-1),"")</f>
        <v/>
      </c>
      <c r="V143" s="143" t="n">
        <f aca="false">IFERROR(IF(OR(NOT(ISNUMBER('Price History'!V144)),NOT(ISNUMBER('Price History'!V143)),'Price History'!V143=0),"",'Price History'!V144/'Price History'!V143-1),"")</f>
        <v>-0.0239723858382418</v>
      </c>
      <c r="W143" s="144" t="str">
        <f aca="false">IFERROR('Price History'!B3+(INDEX('Price History'!B:B,MATCH(9.99E+307,'Price History'!$A:$A))-'Price History'!B3)*(ROW()-3)/(MATCH(9.99E+307,'Returns (Calc)'!$A:$A)-3),"")</f>
        <v/>
      </c>
      <c r="X143" s="144" t="n">
        <f aca="false">IFERROR('Price History'!C3+(INDEX('Price History'!C:C,MATCH(9.99E+307,'Price History'!$A:$A))-'Price History'!C3)*(ROW()-3)/(MATCH(9.99E+307,'Returns (Calc)'!$A:$A)-3),"")</f>
        <v>5.26101265822785</v>
      </c>
      <c r="Y143" s="144" t="n">
        <f aca="false">IFERROR('Price History'!D3+(INDEX('Price History'!D:D,MATCH(9.99E+307,'Price History'!$A:$A))-'Price History'!D3)*(ROW()-3)/(MATCH(9.99E+307,'Returns (Calc)'!$A:$A)-3),"")</f>
        <v>66.3049367088607</v>
      </c>
      <c r="Z143" s="144" t="n">
        <f aca="false">IFERROR('Price History'!E3+(INDEX('Price History'!E:E,MATCH(9.99E+307,'Price History'!$A:$A))-'Price History'!E3)*(ROW()-3)/(MATCH(9.99E+307,'Returns (Calc)'!$A:$A)-3),"")</f>
        <v>9.34177215189874</v>
      </c>
      <c r="AA143" s="144" t="n">
        <f aca="false">IFERROR('Price History'!F3+(INDEX('Price History'!F:F,MATCH(9.99E+307,'Price History'!$A:$A))-'Price History'!F3)*(ROW()-3)/(MATCH(9.99E+307,'Returns (Calc)'!$A:$A)-3),"")</f>
        <v>8.57962025316456</v>
      </c>
      <c r="AB143" s="144" t="n">
        <f aca="false">IFERROR('Price History'!G3+(INDEX('Price History'!G:G,MATCH(9.99E+307,'Price History'!$A:$A))-'Price History'!G3)*(ROW()-3)/(MATCH(9.99E+307,'Returns (Calc)'!$A:$A)-3),"")</f>
        <v>4.71189873417722</v>
      </c>
      <c r="AC143" s="144" t="n">
        <f aca="false">IFERROR('Price History'!H3+(INDEX('Price History'!H:H,MATCH(9.99E+307,'Price History'!$A:$A))-'Price History'!H3)*(ROW()-3)/(MATCH(9.99E+307,'Returns (Calc)'!$A:$A)-3),"")</f>
        <v>11.4596202531646</v>
      </c>
      <c r="AD143" s="144" t="n">
        <f aca="false">IFERROR('Price History'!I3+(INDEX('Price History'!I:I,MATCH(9.99E+307,'Price History'!$A:$A))-'Price History'!I3)*(ROW()-3)/(MATCH(9.99E+307,'Returns (Calc)'!$A:$A)-3),"")</f>
        <v>5.05253164556962</v>
      </c>
      <c r="AE143" s="144" t="n">
        <f aca="false">IFERROR('Price History'!J3+(INDEX('Price History'!J:J,MATCH(9.99E+307,'Price History'!$A:$A))-'Price History'!J3)*(ROW()-3)/(MATCH(9.99E+307,'Returns (Calc)'!$A:$A)-3),"")</f>
        <v>7.87329113924051</v>
      </c>
      <c r="AF143" s="144" t="n">
        <f aca="false">IFERROR('Price History'!K3+(INDEX('Price History'!K:K,MATCH(9.99E+307,'Price History'!$A:$A))-'Price History'!K3)*(ROW()-3)/(MATCH(9.99E+307,'Returns (Calc)'!$A:$A)-3),"")</f>
        <v>4.98645569620253</v>
      </c>
      <c r="AG143" s="144" t="n">
        <f aca="false">IFERROR('Price History'!L3+(INDEX('Price History'!L:L,MATCH(9.99E+307,'Price History'!$A:$A))-'Price History'!L3)*(ROW()-3)/(MATCH(9.99E+307,'Returns (Calc)'!$A:$A)-3),"")</f>
        <v>12.7412658227848</v>
      </c>
      <c r="AH143" s="144" t="n">
        <f aca="false">IFERROR('Price History'!M3+(INDEX('Price History'!M:M,MATCH(9.99E+307,'Price History'!$A:$A))-'Price History'!M3)*(ROW()-3)/(MATCH(9.99E+307,'Returns (Calc)'!$A:$A)-3),"")</f>
        <v>1.74645569620253</v>
      </c>
      <c r="AI143" s="144" t="n">
        <f aca="false">IFERROR('Price History'!N3+(INDEX('Price History'!N:N,MATCH(9.99E+307,'Price History'!$A:$A))-'Price History'!N3)*(ROW()-3)/(MATCH(9.99E+307,'Returns (Calc)'!$A:$A)-3),"")</f>
        <v>2.48354430379747</v>
      </c>
      <c r="AJ143" s="144" t="n">
        <f aca="false">IFERROR('Price History'!O3+(INDEX('Price History'!O:O,MATCH(9.99E+307,'Price History'!$A:$A))-'Price History'!O3)*(ROW()-3)/(MATCH(9.99E+307,'Returns (Calc)'!$A:$A)-3),"")</f>
        <v>6.56544303797468</v>
      </c>
      <c r="AK143" s="144" t="n">
        <f aca="false">IFERROR('Price History'!Q3+(INDEX('Price History'!Q:Q,MATCH(9.99E+307,'Price History'!$A:$A))-'Price History'!Q3)*(ROW()-3)/(MATCH(9.99E+307,'Returns (Calc)'!$A:$A)-3),"")</f>
        <v>26.8439240506329</v>
      </c>
      <c r="AL143" s="144" t="n">
        <f aca="false">IFERROR('Price History'!R3+(INDEX('Price History'!R:R,MATCH(9.99E+307,'Price History'!$A:$A))-'Price History'!R3)*(ROW()-3)/(MATCH(9.99E+307,'Returns (Calc)'!$A:$A)-3),"")</f>
        <v>5.44784810126582</v>
      </c>
      <c r="AM143" s="144" t="n">
        <f aca="false">IFERROR('Price History'!S3+(INDEX('Price History'!S:S,MATCH(9.99E+307,'Price History'!$A:$A))-'Price History'!S3)*(ROW()-3)/(MATCH(9.99E+307,'Returns (Calc)'!$A:$A)-3),"")</f>
        <v>6.66911392405063</v>
      </c>
      <c r="AN143" s="144" t="n">
        <f aca="false">IFERROR('Price History'!T3+(INDEX('Price History'!T:T,MATCH(9.99E+307,'Price History'!$A:$A))-'Price History'!T3)*(ROW()-3)/(MATCH(9.99E+307,'Returns (Calc)'!$A:$A)-3),"")</f>
        <v>3.06569620253164</v>
      </c>
      <c r="AO143" s="145" t="n">
        <f aca="false">IFERROR('Price History'!V3+(INDEX('Price History'!V:V,MATCH(9.99E+307,'Price History'!$A:$A))-'Price History'!V3)*(ROW()-3)/(MATCH(9.99E+307,'Returns (Calc)'!$A:$A)-3),"")</f>
        <v>0</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-0.00293574903539673</v>
      </c>
      <c r="G144" s="142" t="n">
        <f aca="false">IFERROR(IF(OR(NOT(ISNUMBER('Price History'!G145)),NOT(ISNUMBER('Price History'!G144)),'Price History'!G144=0),"",'Price History'!G145/'Price History'!G144-1),"")</f>
        <v>-0.0820246238030097</v>
      </c>
      <c r="H144" s="142" t="n">
        <f aca="false">IFERROR(IF(OR(NOT(ISNUMBER('Price History'!H145)),NOT(ISNUMBER('Price History'!H144)),'Price History'!H144=0),"",'Price History'!H145/'Price History'!H144-1),"")</f>
        <v>0.0028198570398057</v>
      </c>
      <c r="I144" s="142" t="n">
        <f aca="false">IFERROR(IF(OR(NOT(ISNUMBER('Price History'!I145)),NOT(ISNUMBER('Price History'!I144)),'Price History'!I144=0),"",'Price History'!I145/'Price History'!I144-1),"")</f>
        <v>0.00390726751758264</v>
      </c>
      <c r="J144" s="142" t="n">
        <f aca="false">IFERROR(IF(OR(NOT(ISNUMBER('Price History'!J145)),NOT(ISNUMBER('Price History'!J144)),'Price History'!J144=0),"",'Price History'!J145/'Price History'!J144-1),"")</f>
        <v>-0.110181799454087</v>
      </c>
      <c r="K144" s="142" t="n">
        <f aca="false">IFERROR(IF(OR(NOT(ISNUMBER('Price History'!K145)),NOT(ISNUMBER('Price History'!K144)),'Price History'!K144=0),"",'Price History'!K145/'Price History'!K144-1),"")</f>
        <v>-0.0274850469951581</v>
      </c>
      <c r="L144" s="142" t="n">
        <f aca="false">IFERROR(IF(OR(NOT(ISNUMBER('Price History'!L145)),NOT(ISNUMBER('Price History'!L144)),'Price History'!L144=0),"",'Price History'!L145/'Price History'!L144-1),"")</f>
        <v>0.0075012384120019</v>
      </c>
      <c r="M144" s="142" t="n">
        <f aca="false">IFERROR(IF(OR(NOT(ISNUMBER('Price History'!M145)),NOT(ISNUMBER('Price History'!M144)),'Price History'!M144=0),"",'Price History'!M145/'Price History'!M144-1),"")</f>
        <v>-0.134214897150888</v>
      </c>
      <c r="N144" s="142" t="n">
        <f aca="false">IFERROR(IF(OR(NOT(ISNUMBER('Price History'!N145)),NOT(ISNUMBER('Price History'!N144)),'Price History'!N144=0),"",'Price History'!N145/'Price History'!N144-1),"")</f>
        <v>-0.00625195373554233</v>
      </c>
      <c r="O144" s="142" t="n">
        <f aca="false">IFERROR(IF(OR(NOT(ISNUMBER('Price History'!O145)),NOT(ISNUMBER('Price History'!O144)),'Price History'!O144=0),"",'Price History'!O145/'Price History'!O144-1),"")</f>
        <v>-0.041902604756512</v>
      </c>
      <c r="P144" s="142" t="n">
        <f aca="false">IFERROR(IF(OR(NOT(ISNUMBER('Price History'!P145)),NOT(ISNUMBER('Price History'!P144)),'Price History'!P144=0),"",'Price History'!P145/'Price History'!P144-1),"")</f>
        <v>-0.00785378038236151</v>
      </c>
      <c r="Q144" s="142" t="n">
        <f aca="false">IFERROR(IF(OR(NOT(ISNUMBER('Price History'!Q145)),NOT(ISNUMBER('Price History'!Q144)),'Price History'!Q144=0),"",'Price History'!Q145/'Price History'!Q144-1),"")</f>
        <v>-0.00853415195702212</v>
      </c>
      <c r="R144" s="142" t="n">
        <f aca="false">IFERROR(IF(OR(NOT(ISNUMBER('Price History'!R145)),NOT(ISNUMBER('Price History'!R144)),'Price History'!R144=0),"",'Price History'!R145/'Price History'!R144-1),"")</f>
        <v>-0.00220376334972039</v>
      </c>
      <c r="S144" s="142" t="n">
        <f aca="false">IFERROR(IF(OR(NOT(ISNUMBER('Price History'!S145)),NOT(ISNUMBER('Price History'!S144)),'Price History'!S144=0),"",'Price History'!S145/'Price History'!S144-1),"")</f>
        <v>0.0220498783454985</v>
      </c>
      <c r="T144" s="142" t="n">
        <f aca="false">IFERROR(IF(OR(NOT(ISNUMBER('Price History'!T145)),NOT(ISNUMBER('Price History'!T144)),'Price History'!T144=0),"",'Price History'!T145/'Price History'!T144-1),"")</f>
        <v>0.0257707129094413</v>
      </c>
      <c r="U144" s="142" t="str">
        <f aca="false">IFERROR(IF(OR(NOT(ISNUMBER('Price History'!U145)),NOT(ISNUMBER('Price History'!U144)),'Price History'!U144=0),"",'Price History'!U145/'Price History'!U144-1),"")</f>
        <v/>
      </c>
      <c r="V144" s="143" t="n">
        <f aca="false">IFERROR(IF(OR(NOT(ISNUMBER('Price History'!V145)),NOT(ISNUMBER('Price History'!V144)),'Price History'!V144=0),"",'Price History'!V145/'Price History'!V144-1),"")</f>
        <v>0.0601213458356316</v>
      </c>
      <c r="W144" s="144" t="str">
        <f aca="false">IFERROR('Price History'!B3+(INDEX('Price History'!B:B,MATCH(9.99E+307,'Price History'!$A:$A))-'Price History'!B3)*(ROW()-3)/(MATCH(9.99E+307,'Returns (Calc)'!$A:$A)-3),"")</f>
        <v/>
      </c>
      <c r="X144" s="144" t="n">
        <f aca="false">IFERROR('Price History'!C3+(INDEX('Price History'!C:C,MATCH(9.99E+307,'Price History'!$A:$A))-'Price History'!C3)*(ROW()-3)/(MATCH(9.99E+307,'Returns (Calc)'!$A:$A)-3),"")</f>
        <v>4.96873417721519</v>
      </c>
      <c r="Y144" s="144" t="n">
        <f aca="false">IFERROR('Price History'!D3+(INDEX('Price History'!D:D,MATCH(9.99E+307,'Price History'!$A:$A))-'Price History'!D3)*(ROW()-3)/(MATCH(9.99E+307,'Returns (Calc)'!$A:$A)-3),"")</f>
        <v>62.6213291139241</v>
      </c>
      <c r="Z144" s="144" t="n">
        <f aca="false">IFERROR('Price History'!E3+(INDEX('Price History'!E:E,MATCH(9.99E+307,'Price History'!$A:$A))-'Price History'!E3)*(ROW()-3)/(MATCH(9.99E+307,'Returns (Calc)'!$A:$A)-3),"")</f>
        <v>8.82278481012658</v>
      </c>
      <c r="AA144" s="144" t="n">
        <f aca="false">IFERROR('Price History'!F3+(INDEX('Price History'!F:F,MATCH(9.99E+307,'Price History'!$A:$A))-'Price History'!F3)*(ROW()-3)/(MATCH(9.99E+307,'Returns (Calc)'!$A:$A)-3),"")</f>
        <v>8.1029746835443</v>
      </c>
      <c r="AB144" s="144" t="n">
        <f aca="false">IFERROR('Price History'!G3+(INDEX('Price History'!G:G,MATCH(9.99E+307,'Price History'!$A:$A))-'Price History'!G3)*(ROW()-3)/(MATCH(9.99E+307,'Returns (Calc)'!$A:$A)-3),"")</f>
        <v>4.45012658227848</v>
      </c>
      <c r="AC144" s="144" t="n">
        <f aca="false">IFERROR('Price History'!H3+(INDEX('Price History'!H:H,MATCH(9.99E+307,'Price History'!$A:$A))-'Price History'!H3)*(ROW()-3)/(MATCH(9.99E+307,'Returns (Calc)'!$A:$A)-3),"")</f>
        <v>10.8229746835443</v>
      </c>
      <c r="AD144" s="144" t="n">
        <f aca="false">IFERROR('Price History'!I3+(INDEX('Price History'!I:I,MATCH(9.99E+307,'Price History'!$A:$A))-'Price History'!I3)*(ROW()-3)/(MATCH(9.99E+307,'Returns (Calc)'!$A:$A)-3),"")</f>
        <v>4.77183544303797</v>
      </c>
      <c r="AE144" s="144" t="n">
        <f aca="false">IFERROR('Price History'!J3+(INDEX('Price History'!J:J,MATCH(9.99E+307,'Price History'!$A:$A))-'Price History'!J3)*(ROW()-3)/(MATCH(9.99E+307,'Returns (Calc)'!$A:$A)-3),"")</f>
        <v>7.43588607594936</v>
      </c>
      <c r="AF144" s="144" t="n">
        <f aca="false">IFERROR('Price History'!K3+(INDEX('Price History'!K:K,MATCH(9.99E+307,'Price History'!$A:$A))-'Price History'!K3)*(ROW()-3)/(MATCH(9.99E+307,'Returns (Calc)'!$A:$A)-3),"")</f>
        <v>4.70943037974683</v>
      </c>
      <c r="AG144" s="144" t="n">
        <f aca="false">IFERROR('Price History'!L3+(INDEX('Price History'!L:L,MATCH(9.99E+307,'Price History'!$A:$A))-'Price History'!L3)*(ROW()-3)/(MATCH(9.99E+307,'Returns (Calc)'!$A:$A)-3),"")</f>
        <v>12.033417721519</v>
      </c>
      <c r="AH144" s="144" t="n">
        <f aca="false">IFERROR('Price History'!M3+(INDEX('Price History'!M:M,MATCH(9.99E+307,'Price History'!$A:$A))-'Price History'!M3)*(ROW()-3)/(MATCH(9.99E+307,'Returns (Calc)'!$A:$A)-3),"")</f>
        <v>1.64943037974683</v>
      </c>
      <c r="AI144" s="144" t="n">
        <f aca="false">IFERROR('Price History'!N3+(INDEX('Price History'!N:N,MATCH(9.99E+307,'Price History'!$A:$A))-'Price History'!N3)*(ROW()-3)/(MATCH(9.99E+307,'Returns (Calc)'!$A:$A)-3),"")</f>
        <v>2.34556962025317</v>
      </c>
      <c r="AJ144" s="144" t="n">
        <f aca="false">IFERROR('Price History'!O3+(INDEX('Price History'!O:O,MATCH(9.99E+307,'Price History'!$A:$A))-'Price History'!O3)*(ROW()-3)/(MATCH(9.99E+307,'Returns (Calc)'!$A:$A)-3),"")</f>
        <v>6.20069620253165</v>
      </c>
      <c r="AK144" s="144" t="n">
        <f aca="false">IFERROR('Price History'!Q3+(INDEX('Price History'!Q:Q,MATCH(9.99E+307,'Price History'!$A:$A))-'Price History'!Q3)*(ROW()-3)/(MATCH(9.99E+307,'Returns (Calc)'!$A:$A)-3),"")</f>
        <v>25.3525949367088</v>
      </c>
      <c r="AL144" s="144" t="n">
        <f aca="false">IFERROR('Price History'!R3+(INDEX('Price History'!R:R,MATCH(9.99E+307,'Price History'!$A:$A))-'Price History'!R3)*(ROW()-3)/(MATCH(9.99E+307,'Returns (Calc)'!$A:$A)-3),"")</f>
        <v>5.14518987341772</v>
      </c>
      <c r="AM144" s="144" t="n">
        <f aca="false">IFERROR('Price History'!S3+(INDEX('Price History'!S:S,MATCH(9.99E+307,'Price History'!$A:$A))-'Price History'!S3)*(ROW()-3)/(MATCH(9.99E+307,'Returns (Calc)'!$A:$A)-3),"")</f>
        <v>6.29860759493671</v>
      </c>
      <c r="AN144" s="144" t="n">
        <f aca="false">IFERROR('Price History'!T3+(INDEX('Price History'!T:T,MATCH(9.99E+307,'Price History'!$A:$A))-'Price History'!T3)*(ROW()-3)/(MATCH(9.99E+307,'Returns (Calc)'!$A:$A)-3),"")</f>
        <v>2.89537974683545</v>
      </c>
      <c r="AO144" s="145" t="n">
        <f aca="false">IFERROR('Price History'!V3+(INDEX('Price History'!V:V,MATCH(9.99E+307,'Price History'!$A:$A))-'Price History'!V3)*(ROW()-3)/(MATCH(9.99E+307,'Returns (Calc)'!$A:$A)-3),"")</f>
        <v>0</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0.0429040127870783</v>
      </c>
      <c r="G145" s="142" t="n">
        <f aca="false">IFERROR(IF(OR(NOT(ISNUMBER('Price History'!G146)),NOT(ISNUMBER('Price History'!G145)),'Price History'!G145=0),"",'Price History'!G146/'Price History'!G145-1),"")</f>
        <v>0.0175250357653791</v>
      </c>
      <c r="H145" s="142" t="n">
        <f aca="false">IFERROR(IF(OR(NOT(ISNUMBER('Price History'!H146)),NOT(ISNUMBER('Price History'!H145)),'Price History'!H145=0),"",'Price History'!H146/'Price History'!H145-1),"")</f>
        <v>0.0221030604237511</v>
      </c>
      <c r="I145" s="142" t="n">
        <f aca="false">IFERROR(IF(OR(NOT(ISNUMBER('Price History'!I146)),NOT(ISNUMBER('Price History'!I145)),'Price History'!I145=0),"",'Price History'!I146/'Price History'!I145-1),"")</f>
        <v>0.319408406850026</v>
      </c>
      <c r="J145" s="142" t="n">
        <f aca="false">IFERROR(IF(OR(NOT(ISNUMBER('Price History'!J146)),NOT(ISNUMBER('Price History'!J145)),'Price History'!J145=0),"",'Price History'!J146/'Price History'!J145-1),"")</f>
        <v>0.136106866694448</v>
      </c>
      <c r="K145" s="142" t="n">
        <f aca="false">IFERROR(IF(OR(NOT(ISNUMBER('Price History'!K146)),NOT(ISNUMBER('Price History'!K145)),'Price History'!K145=0),"",'Price History'!K146/'Price History'!K145-1),"")</f>
        <v>0.000439302972616851</v>
      </c>
      <c r="L145" s="142" t="n">
        <f aca="false">IFERROR(IF(OR(NOT(ISNUMBER('Price History'!L146)),NOT(ISNUMBER('Price History'!L145)),'Price History'!L145=0),"",'Price History'!L146/'Price History'!L145-1),"")</f>
        <v>0.0290791599353795</v>
      </c>
      <c r="M145" s="142" t="n">
        <f aca="false">IFERROR(IF(OR(NOT(ISNUMBER('Price History'!M146)),NOT(ISNUMBER('Price History'!M145)),'Price History'!M145=0),"",'Price History'!M146/'Price History'!M145-1),"")</f>
        <v>-0.0556334390909762</v>
      </c>
      <c r="N145" s="142" t="n">
        <f aca="false">IFERROR(IF(OR(NOT(ISNUMBER('Price History'!N146)),NOT(ISNUMBER('Price History'!N145)),'Price History'!N145=0),"",'Price History'!N146/'Price History'!N145-1),"")</f>
        <v>0.0160427807486629</v>
      </c>
      <c r="O145" s="142" t="n">
        <f aca="false">IFERROR(IF(OR(NOT(ISNUMBER('Price History'!O146)),NOT(ISNUMBER('Price History'!O145)),'Price History'!O145=0),"",'Price History'!O146/'Price History'!O145-1),"")</f>
        <v>0.0568766513697678</v>
      </c>
      <c r="P145" s="142" t="n">
        <f aca="false">IFERROR(IF(OR(NOT(ISNUMBER('Price History'!P146)),NOT(ISNUMBER('Price History'!P145)),'Price History'!P145=0),"",'Price History'!P146/'Price History'!P145-1),"")</f>
        <v>0.0235057735602413</v>
      </c>
      <c r="Q145" s="142" t="n">
        <f aca="false">IFERROR(IF(OR(NOT(ISNUMBER('Price History'!Q146)),NOT(ISNUMBER('Price History'!Q145)),'Price History'!Q145=0),"",'Price History'!Q146/'Price History'!Q145-1),"")</f>
        <v>-0.00365359011672917</v>
      </c>
      <c r="R145" s="142" t="n">
        <f aca="false">IFERROR(IF(OR(NOT(ISNUMBER('Price History'!R146)),NOT(ISNUMBER('Price History'!R145)),'Price History'!R145=0),"",'Price History'!R146/'Price History'!R145-1),"")</f>
        <v>0.0127420998980632</v>
      </c>
      <c r="S145" s="142" t="n">
        <f aca="false">IFERROR(IF(OR(NOT(ISNUMBER('Price History'!S146)),NOT(ISNUMBER('Price History'!S145)),'Price History'!S145=0),"",'Price History'!S146/'Price History'!S145-1),"")</f>
        <v>0.0698556762386551</v>
      </c>
      <c r="T145" s="142" t="n">
        <f aca="false">IFERROR(IF(OR(NOT(ISNUMBER('Price History'!T146)),NOT(ISNUMBER('Price History'!T145)),'Price History'!T145=0),"",'Price History'!T146/'Price History'!T145-1),"")</f>
        <v>0.0241840807701337</v>
      </c>
      <c r="U145" s="142" t="str">
        <f aca="false">IFERROR(IF(OR(NOT(ISNUMBER('Price History'!U146)),NOT(ISNUMBER('Price History'!U145)),'Price History'!U145=0),"",'Price History'!U146/'Price History'!U145-1),"")</f>
        <v/>
      </c>
      <c r="V145" s="143" t="n">
        <f aca="false">IFERROR(IF(OR(NOT(ISNUMBER('Price History'!V146)),NOT(ISNUMBER('Price History'!V145)),'Price History'!V145=0),"",'Price History'!V146/'Price History'!V145-1),"")</f>
        <v>-0.0281569443594295</v>
      </c>
      <c r="W145" s="144" t="str">
        <f aca="false">IFERROR('Price History'!B3+(INDEX('Price History'!B:B,MATCH(9.99E+307,'Price History'!$A:$A))-'Price History'!B3)*(ROW()-3)/(MATCH(9.99E+307,'Returns (Calc)'!$A:$A)-3),"")</f>
        <v/>
      </c>
      <c r="X145" s="144" t="n">
        <f aca="false">IFERROR('Price History'!C3+(INDEX('Price History'!C:C,MATCH(9.99E+307,'Price History'!$A:$A))-'Price History'!C3)*(ROW()-3)/(MATCH(9.99E+307,'Returns (Calc)'!$A:$A)-3),"")</f>
        <v>4.67645569620253</v>
      </c>
      <c r="Y145" s="144" t="n">
        <f aca="false">IFERROR('Price History'!D3+(INDEX('Price History'!D:D,MATCH(9.99E+307,'Price History'!$A:$A))-'Price History'!D3)*(ROW()-3)/(MATCH(9.99E+307,'Returns (Calc)'!$A:$A)-3),"")</f>
        <v>58.9377215189874</v>
      </c>
      <c r="Z145" s="144" t="n">
        <f aca="false">IFERROR('Price History'!E3+(INDEX('Price History'!E:E,MATCH(9.99E+307,'Price History'!$A:$A))-'Price History'!E3)*(ROW()-3)/(MATCH(9.99E+307,'Returns (Calc)'!$A:$A)-3),"")</f>
        <v>8.30379746835443</v>
      </c>
      <c r="AA145" s="144" t="n">
        <f aca="false">IFERROR('Price History'!F3+(INDEX('Price History'!F:F,MATCH(9.99E+307,'Price History'!$A:$A))-'Price History'!F3)*(ROW()-3)/(MATCH(9.99E+307,'Returns (Calc)'!$A:$A)-3),"")</f>
        <v>7.62632911392404</v>
      </c>
      <c r="AB145" s="144" t="n">
        <f aca="false">IFERROR('Price History'!G3+(INDEX('Price History'!G:G,MATCH(9.99E+307,'Price History'!$A:$A))-'Price History'!G3)*(ROW()-3)/(MATCH(9.99E+307,'Returns (Calc)'!$A:$A)-3),"")</f>
        <v>4.18835443037975</v>
      </c>
      <c r="AC145" s="144" t="n">
        <f aca="false">IFERROR('Price History'!H3+(INDEX('Price History'!H:H,MATCH(9.99E+307,'Price History'!$A:$A))-'Price History'!H3)*(ROW()-3)/(MATCH(9.99E+307,'Returns (Calc)'!$A:$A)-3),"")</f>
        <v>10.186329113924</v>
      </c>
      <c r="AD145" s="144" t="n">
        <f aca="false">IFERROR('Price History'!I3+(INDEX('Price History'!I:I,MATCH(9.99E+307,'Price History'!$A:$A))-'Price History'!I3)*(ROW()-3)/(MATCH(9.99E+307,'Returns (Calc)'!$A:$A)-3),"")</f>
        <v>4.49113924050633</v>
      </c>
      <c r="AE145" s="144" t="n">
        <f aca="false">IFERROR('Price History'!J3+(INDEX('Price History'!J:J,MATCH(9.99E+307,'Price History'!$A:$A))-'Price History'!J3)*(ROW()-3)/(MATCH(9.99E+307,'Returns (Calc)'!$A:$A)-3),"")</f>
        <v>6.99848101265823</v>
      </c>
      <c r="AF145" s="144" t="n">
        <f aca="false">IFERROR('Price History'!K3+(INDEX('Price History'!K:K,MATCH(9.99E+307,'Price History'!$A:$A))-'Price History'!K3)*(ROW()-3)/(MATCH(9.99E+307,'Returns (Calc)'!$A:$A)-3),"")</f>
        <v>4.43240506329114</v>
      </c>
      <c r="AG145" s="144" t="n">
        <f aca="false">IFERROR('Price History'!L3+(INDEX('Price History'!L:L,MATCH(9.99E+307,'Price History'!$A:$A))-'Price History'!L3)*(ROW()-3)/(MATCH(9.99E+307,'Returns (Calc)'!$A:$A)-3),"")</f>
        <v>11.3255696202532</v>
      </c>
      <c r="AH145" s="144" t="n">
        <f aca="false">IFERROR('Price History'!M3+(INDEX('Price History'!M:M,MATCH(9.99E+307,'Price History'!$A:$A))-'Price History'!M3)*(ROW()-3)/(MATCH(9.99E+307,'Returns (Calc)'!$A:$A)-3),"")</f>
        <v>1.55240506329114</v>
      </c>
      <c r="AI145" s="144" t="n">
        <f aca="false">IFERROR('Price History'!N3+(INDEX('Price History'!N:N,MATCH(9.99E+307,'Price History'!$A:$A))-'Price History'!N3)*(ROW()-3)/(MATCH(9.99E+307,'Returns (Calc)'!$A:$A)-3),"")</f>
        <v>2.20759493670886</v>
      </c>
      <c r="AJ145" s="144" t="n">
        <f aca="false">IFERROR('Price History'!O3+(INDEX('Price History'!O:O,MATCH(9.99E+307,'Price History'!$A:$A))-'Price History'!O3)*(ROW()-3)/(MATCH(9.99E+307,'Returns (Calc)'!$A:$A)-3),"")</f>
        <v>5.83594936708861</v>
      </c>
      <c r="AK145" s="144" t="n">
        <f aca="false">IFERROR('Price History'!Q3+(INDEX('Price History'!Q:Q,MATCH(9.99E+307,'Price History'!$A:$A))-'Price History'!Q3)*(ROW()-3)/(MATCH(9.99E+307,'Returns (Calc)'!$A:$A)-3),"")</f>
        <v>23.8612658227848</v>
      </c>
      <c r="AL145" s="144" t="n">
        <f aca="false">IFERROR('Price History'!R3+(INDEX('Price History'!R:R,MATCH(9.99E+307,'Price History'!$A:$A))-'Price History'!R3)*(ROW()-3)/(MATCH(9.99E+307,'Returns (Calc)'!$A:$A)-3),"")</f>
        <v>4.84253164556962</v>
      </c>
      <c r="AM145" s="144" t="n">
        <f aca="false">IFERROR('Price History'!S3+(INDEX('Price History'!S:S,MATCH(9.99E+307,'Price History'!$A:$A))-'Price History'!S3)*(ROW()-3)/(MATCH(9.99E+307,'Returns (Calc)'!$A:$A)-3),"")</f>
        <v>5.92810126582278</v>
      </c>
      <c r="AN145" s="144" t="n">
        <f aca="false">IFERROR('Price History'!T3+(INDEX('Price History'!T:T,MATCH(9.99E+307,'Price History'!$A:$A))-'Price History'!T3)*(ROW()-3)/(MATCH(9.99E+307,'Returns (Calc)'!$A:$A)-3),"")</f>
        <v>2.72506329113924</v>
      </c>
      <c r="AO145" s="145" t="n">
        <f aca="false">IFERROR('Price History'!V3+(INDEX('Price History'!V:V,MATCH(9.99E+307,'Price History'!$A:$A))-'Price History'!V3)*(ROW()-3)/(MATCH(9.99E+307,'Returns (Calc)'!$A:$A)-3),"")</f>
        <v>0</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-0.0191175284342987</v>
      </c>
      <c r="G146" s="142" t="n">
        <f aca="false">IFERROR(IF(OR(NOT(ISNUMBER('Price History'!G147)),NOT(ISNUMBER('Price History'!G146)),'Price History'!G146=0),"",'Price History'!G147/'Price History'!G146-1),"")</f>
        <v>0.00298769771529006</v>
      </c>
      <c r="H146" s="142" t="n">
        <f aca="false">IFERROR(IF(OR(NOT(ISNUMBER('Price History'!H147)),NOT(ISNUMBER('Price History'!H146)),'Price History'!H146=0),"",'Price History'!H147/'Price History'!H146-1),"")</f>
        <v>-0.027191298784389</v>
      </c>
      <c r="I146" s="142" t="n">
        <f aca="false">IFERROR(IF(OR(NOT(ISNUMBER('Price History'!I147)),NOT(ISNUMBER('Price History'!I146)),'Price History'!I146=0),"",'Price History'!I147/'Price History'!I146-1),"")</f>
        <v>0.0197443461160274</v>
      </c>
      <c r="J146" s="142" t="n">
        <f aca="false">IFERROR(IF(OR(NOT(ISNUMBER('Price History'!J147)),NOT(ISNUMBER('Price History'!J146)),'Price History'!J146=0),"",'Price History'!J147/'Price History'!J146-1),"")</f>
        <v>0.155238114645528</v>
      </c>
      <c r="K146" s="142" t="n">
        <f aca="false">IFERROR(IF(OR(NOT(ISNUMBER('Price History'!K147)),NOT(ISNUMBER('Price History'!K146)),'Price History'!K146=0),"",'Price History'!K147/'Price History'!K146-1),"")</f>
        <v>0.0267857142857142</v>
      </c>
      <c r="L146" s="142" t="n">
        <f aca="false">IFERROR(IF(OR(NOT(ISNUMBER('Price History'!L147)),NOT(ISNUMBER('Price History'!L146)),'Price History'!L146=0),"",'Price History'!L147/'Price History'!L146-1),"")</f>
        <v>-0.0483243464609924</v>
      </c>
      <c r="M146" s="142" t="n">
        <f aca="false">IFERROR(IF(OR(NOT(ISNUMBER('Price History'!M147)),NOT(ISNUMBER('Price History'!M146)),'Price History'!M146=0),"",'Price History'!M147/'Price History'!M146-1),"")</f>
        <v>0.00375029299163998</v>
      </c>
      <c r="N146" s="142" t="n">
        <f aca="false">IFERROR(IF(OR(NOT(ISNUMBER('Price History'!N147)),NOT(ISNUMBER('Price History'!N146)),'Price History'!N146=0),"",'Price History'!N147/'Price History'!N146-1),"")</f>
        <v>-0.0291021671826625</v>
      </c>
      <c r="O146" s="142" t="n">
        <f aca="false">IFERROR(IF(OR(NOT(ISNUMBER('Price History'!O147)),NOT(ISNUMBER('Price History'!O146)),'Price History'!O146=0),"",'Price History'!O147/'Price History'!O146-1),"")</f>
        <v>0.0486184210526315</v>
      </c>
      <c r="P146" s="142" t="n">
        <f aca="false">IFERROR(IF(OR(NOT(ISNUMBER('Price History'!P147)),NOT(ISNUMBER('Price History'!P146)),'Price History'!P146=0),"",'Price History'!P147/'Price History'!P146-1),"")</f>
        <v>0.0900662251655628</v>
      </c>
      <c r="Q146" s="142" t="n">
        <f aca="false">IFERROR(IF(OR(NOT(ISNUMBER('Price History'!Q147)),NOT(ISNUMBER('Price History'!Q146)),'Price History'!Q146=0),"",'Price History'!Q147/'Price History'!Q146-1),"")</f>
        <v>0.0150408651605083</v>
      </c>
      <c r="R146" s="142" t="n">
        <f aca="false">IFERROR(IF(OR(NOT(ISNUMBER('Price History'!R147)),NOT(ISNUMBER('Price History'!R146)),'Price History'!R146=0),"",'Price History'!R147/'Price History'!R146-1),"")</f>
        <v>0.00268411340379138</v>
      </c>
      <c r="S146" s="142" t="n">
        <f aca="false">IFERROR(IF(OR(NOT(ISNUMBER('Price History'!S147)),NOT(ISNUMBER('Price History'!S146)),'Price History'!S146=0),"",'Price History'!S147/'Price History'!S146-1),"")</f>
        <v>-0.00229469438842922</v>
      </c>
      <c r="T146" s="142" t="n">
        <f aca="false">IFERROR(IF(OR(NOT(ISNUMBER('Price History'!T147)),NOT(ISNUMBER('Price History'!T146)),'Price History'!T146=0),"",'Price History'!T147/'Price History'!T146-1),"")</f>
        <v>-0.0256762952773957</v>
      </c>
      <c r="U146" s="142" t="str">
        <f aca="false">IFERROR(IF(OR(NOT(ISNUMBER('Price History'!U147)),NOT(ISNUMBER('Price History'!U146)),'Price History'!U146=0),"",'Price History'!U147/'Price History'!U146-1),"")</f>
        <v/>
      </c>
      <c r="V146" s="143" t="n">
        <f aca="false">IFERROR(IF(OR(NOT(ISNUMBER('Price History'!V147)),NOT(ISNUMBER('Price History'!V146)),'Price History'!V146=0),"",'Price History'!V147/'Price History'!V146-1),"")</f>
        <v>0.0239654846633495</v>
      </c>
      <c r="W146" s="144" t="str">
        <f aca="false">IFERROR('Price History'!B3+(INDEX('Price History'!B:B,MATCH(9.99E+307,'Price History'!$A:$A))-'Price History'!B3)*(ROW()-3)/(MATCH(9.99E+307,'Returns (Calc)'!$A:$A)-3),"")</f>
        <v/>
      </c>
      <c r="X146" s="144" t="n">
        <f aca="false">IFERROR('Price History'!C3+(INDEX('Price History'!C:C,MATCH(9.99E+307,'Price History'!$A:$A))-'Price History'!C3)*(ROW()-3)/(MATCH(9.99E+307,'Returns (Calc)'!$A:$A)-3),"")</f>
        <v>4.38417721518987</v>
      </c>
      <c r="Y146" s="144" t="n">
        <f aca="false">IFERROR('Price History'!D3+(INDEX('Price History'!D:D,MATCH(9.99E+307,'Price History'!$A:$A))-'Price History'!D3)*(ROW()-3)/(MATCH(9.99E+307,'Returns (Calc)'!$A:$A)-3),"")</f>
        <v>55.2541139240507</v>
      </c>
      <c r="Z146" s="144" t="n">
        <f aca="false">IFERROR('Price History'!E3+(INDEX('Price History'!E:E,MATCH(9.99E+307,'Price History'!$A:$A))-'Price History'!E3)*(ROW()-3)/(MATCH(9.99E+307,'Returns (Calc)'!$A:$A)-3),"")</f>
        <v>7.78481012658227</v>
      </c>
      <c r="AA146" s="144" t="n">
        <f aca="false">IFERROR('Price History'!F3+(INDEX('Price History'!F:F,MATCH(9.99E+307,'Price History'!$A:$A))-'Price History'!F3)*(ROW()-3)/(MATCH(9.99E+307,'Returns (Calc)'!$A:$A)-3),"")</f>
        <v>7.1496835443038</v>
      </c>
      <c r="AB146" s="144" t="n">
        <f aca="false">IFERROR('Price History'!G3+(INDEX('Price History'!G:G,MATCH(9.99E+307,'Price History'!$A:$A))-'Price History'!G3)*(ROW()-3)/(MATCH(9.99E+307,'Returns (Calc)'!$A:$A)-3),"")</f>
        <v>3.92658227848101</v>
      </c>
      <c r="AC146" s="144" t="n">
        <f aca="false">IFERROR('Price History'!H3+(INDEX('Price History'!H:H,MATCH(9.99E+307,'Price History'!$A:$A))-'Price History'!H3)*(ROW()-3)/(MATCH(9.99E+307,'Returns (Calc)'!$A:$A)-3),"")</f>
        <v>9.54968354430379</v>
      </c>
      <c r="AD146" s="144" t="n">
        <f aca="false">IFERROR('Price History'!I3+(INDEX('Price History'!I:I,MATCH(9.99E+307,'Price History'!$A:$A))-'Price History'!I3)*(ROW()-3)/(MATCH(9.99E+307,'Returns (Calc)'!$A:$A)-3),"")</f>
        <v>4.21044303797468</v>
      </c>
      <c r="AE146" s="144" t="n">
        <f aca="false">IFERROR('Price History'!J3+(INDEX('Price History'!J:J,MATCH(9.99E+307,'Price History'!$A:$A))-'Price History'!J3)*(ROW()-3)/(MATCH(9.99E+307,'Returns (Calc)'!$A:$A)-3),"")</f>
        <v>6.56107594936709</v>
      </c>
      <c r="AF146" s="144" t="n">
        <f aca="false">IFERROR('Price History'!K3+(INDEX('Price History'!K:K,MATCH(9.99E+307,'Price History'!$A:$A))-'Price History'!K3)*(ROW()-3)/(MATCH(9.99E+307,'Returns (Calc)'!$A:$A)-3),"")</f>
        <v>4.15537974683544</v>
      </c>
      <c r="AG146" s="144" t="n">
        <f aca="false">IFERROR('Price History'!L3+(INDEX('Price History'!L:L,MATCH(9.99E+307,'Price History'!$A:$A))-'Price History'!L3)*(ROW()-3)/(MATCH(9.99E+307,'Returns (Calc)'!$A:$A)-3),"")</f>
        <v>10.6177215189873</v>
      </c>
      <c r="AH146" s="144" t="n">
        <f aca="false">IFERROR('Price History'!M3+(INDEX('Price History'!M:M,MATCH(9.99E+307,'Price History'!$A:$A))-'Price History'!M3)*(ROW()-3)/(MATCH(9.99E+307,'Returns (Calc)'!$A:$A)-3),"")</f>
        <v>1.45537974683544</v>
      </c>
      <c r="AI146" s="144" t="n">
        <f aca="false">IFERROR('Price History'!N3+(INDEX('Price History'!N:N,MATCH(9.99E+307,'Price History'!$A:$A))-'Price History'!N3)*(ROW()-3)/(MATCH(9.99E+307,'Returns (Calc)'!$A:$A)-3),"")</f>
        <v>2.06962025316456</v>
      </c>
      <c r="AJ146" s="144" t="n">
        <f aca="false">IFERROR('Price History'!O3+(INDEX('Price History'!O:O,MATCH(9.99E+307,'Price History'!$A:$A))-'Price History'!O3)*(ROW()-3)/(MATCH(9.99E+307,'Returns (Calc)'!$A:$A)-3),"")</f>
        <v>5.47120253164557</v>
      </c>
      <c r="AK146" s="144" t="n">
        <f aca="false">IFERROR('Price History'!Q3+(INDEX('Price History'!Q:Q,MATCH(9.99E+307,'Price History'!$A:$A))-'Price History'!Q3)*(ROW()-3)/(MATCH(9.99E+307,'Returns (Calc)'!$A:$A)-3),"")</f>
        <v>22.3699367088608</v>
      </c>
      <c r="AL146" s="144" t="n">
        <f aca="false">IFERROR('Price History'!R3+(INDEX('Price History'!R:R,MATCH(9.99E+307,'Price History'!$A:$A))-'Price History'!R3)*(ROW()-3)/(MATCH(9.99E+307,'Returns (Calc)'!$A:$A)-3),"")</f>
        <v>4.53987341772152</v>
      </c>
      <c r="AM146" s="144" t="n">
        <f aca="false">IFERROR('Price History'!S3+(INDEX('Price History'!S:S,MATCH(9.99E+307,'Price History'!$A:$A))-'Price History'!S3)*(ROW()-3)/(MATCH(9.99E+307,'Returns (Calc)'!$A:$A)-3),"")</f>
        <v>5.55759493670887</v>
      </c>
      <c r="AN146" s="144" t="n">
        <f aca="false">IFERROR('Price History'!T3+(INDEX('Price History'!T:T,MATCH(9.99E+307,'Price History'!$A:$A))-'Price History'!T3)*(ROW()-3)/(MATCH(9.99E+307,'Returns (Calc)'!$A:$A)-3),"")</f>
        <v>2.55474683544304</v>
      </c>
      <c r="AO146" s="145" t="n">
        <f aca="false">IFERROR('Price History'!V3+(INDEX('Price History'!V:V,MATCH(9.99E+307,'Price History'!$A:$A))-'Price History'!V3)*(ROW()-3)/(MATCH(9.99E+307,'Returns (Calc)'!$A:$A)-3),"")</f>
        <v>0</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0.0240953947368421</v>
      </c>
      <c r="G147" s="142" t="n">
        <f aca="false">IFERROR(IF(OR(NOT(ISNUMBER('Price History'!G148)),NOT(ISNUMBER('Price History'!G147)),'Price History'!G147=0),"",'Price History'!G148/'Price History'!G147-1),"")</f>
        <v>0.0237135681327025</v>
      </c>
      <c r="H147" s="142" t="n">
        <f aca="false">IFERROR(IF(OR(NOT(ISNUMBER('Price History'!H148)),NOT(ISNUMBER('Price History'!H147)),'Price History'!H147=0),"",'Price History'!H148/'Price History'!H147-1),"")</f>
        <v>0.0317000986517593</v>
      </c>
      <c r="I147" s="142" t="n">
        <f aca="false">IFERROR(IF(OR(NOT(ISNUMBER('Price History'!I148)),NOT(ISNUMBER('Price History'!I147)),'Price History'!I147=0),"",'Price History'!I148/'Price History'!I147-1),"")</f>
        <v>-0.0420796852701816</v>
      </c>
      <c r="J147" s="142" t="n">
        <f aca="false">IFERROR(IF(OR(NOT(ISNUMBER('Price History'!J148)),NOT(ISNUMBER('Price History'!J147)),'Price History'!J147=0),"",'Price History'!J148/'Price History'!J147-1),"")</f>
        <v>-0.00146407719038277</v>
      </c>
      <c r="K147" s="142" t="n">
        <f aca="false">IFERROR(IF(OR(NOT(ISNUMBER('Price History'!K148)),NOT(ISNUMBER('Price History'!K147)),'Price History'!K147=0),"",'Price History'!K148/'Price History'!K147-1),"")</f>
        <v>-0.0861962461392254</v>
      </c>
      <c r="L147" s="142" t="n">
        <f aca="false">IFERROR(IF(OR(NOT(ISNUMBER('Price History'!L148)),NOT(ISNUMBER('Price History'!L147)),'Price History'!L147=0),"",'Price History'!L148/'Price History'!L147-1),"")</f>
        <v>-0.00401635229147246</v>
      </c>
      <c r="M147" s="142" t="n">
        <f aca="false">IFERROR(IF(OR(NOT(ISNUMBER('Price History'!M148)),NOT(ISNUMBER('Price History'!M147)),'Price History'!M147=0),"",'Price History'!M148/'Price History'!M147-1),"")</f>
        <v>-0.120962092317273</v>
      </c>
      <c r="N147" s="142" t="n">
        <f aca="false">IFERROR(IF(OR(NOT(ISNUMBER('Price History'!N148)),NOT(ISNUMBER('Price History'!N147)),'Price History'!N147=0),"",'Price History'!N148/'Price History'!N147-1),"")</f>
        <v>0.0153061224489797</v>
      </c>
      <c r="O147" s="142" t="n">
        <f aca="false">IFERROR(IF(OR(NOT(ISNUMBER('Price History'!O148)),NOT(ISNUMBER('Price History'!O147)),'Price History'!O147=0),"",'Price History'!O148/'Price History'!O147-1),"")</f>
        <v>-0.0341301210866428</v>
      </c>
      <c r="P147" s="142" t="n">
        <f aca="false">IFERROR(IF(OR(NOT(ISNUMBER('Price History'!P148)),NOT(ISNUMBER('Price History'!P147)),'Price History'!P147=0),"",'Price History'!P148/'Price History'!P147-1),"")</f>
        <v>-0.0644202395417463</v>
      </c>
      <c r="Q147" s="142" t="n">
        <f aca="false">IFERROR(IF(OR(NOT(ISNUMBER('Price History'!Q148)),NOT(ISNUMBER('Price History'!Q147)),'Price History'!Q147=0),"",'Price History'!Q148/'Price History'!Q147-1),"")</f>
        <v>0.0274928818540858</v>
      </c>
      <c r="R147" s="142" t="n">
        <f aca="false">IFERROR(IF(OR(NOT(ISNUMBER('Price History'!R148)),NOT(ISNUMBER('Price History'!R147)),'Price History'!R147=0),"",'Price History'!R148/'Price History'!R147-1),"")</f>
        <v>0.00736155261837035</v>
      </c>
      <c r="S147" s="142" t="n">
        <f aca="false">IFERROR(IF(OR(NOT(ISNUMBER('Price History'!S148)),NOT(ISNUMBER('Price History'!S147)),'Price History'!S147=0),"",'Price History'!S148/'Price History'!S147-1),"")</f>
        <v>0.0101756342347366</v>
      </c>
      <c r="T147" s="142" t="n">
        <f aca="false">IFERROR(IF(OR(NOT(ISNUMBER('Price History'!T148)),NOT(ISNUMBER('Price History'!T147)),'Price History'!T147=0),"",'Price History'!T148/'Price History'!T147-1),"")</f>
        <v>0.0395294117647058</v>
      </c>
      <c r="U147" s="142" t="str">
        <f aca="false">IFERROR(IF(OR(NOT(ISNUMBER('Price History'!U148)),NOT(ISNUMBER('Price History'!U147)),'Price History'!U147=0),"",'Price History'!U148/'Price History'!U147-1),"")</f>
        <v/>
      </c>
      <c r="V147" s="143" t="n">
        <f aca="false">IFERROR(IF(OR(NOT(ISNUMBER('Price History'!V148)),NOT(ISNUMBER('Price History'!V147)),'Price History'!V147=0),"",'Price History'!V148/'Price History'!V147-1),"")</f>
        <v>0.00959557127479616</v>
      </c>
      <c r="W147" s="144" t="str">
        <f aca="false">IFERROR('Price History'!B3+(INDEX('Price History'!B:B,MATCH(9.99E+307,'Price History'!$A:$A))-'Price History'!B3)*(ROW()-3)/(MATCH(9.99E+307,'Returns (Calc)'!$A:$A)-3),"")</f>
        <v/>
      </c>
      <c r="X147" s="144" t="n">
        <f aca="false">IFERROR('Price History'!C3+(INDEX('Price History'!C:C,MATCH(9.99E+307,'Price History'!$A:$A))-'Price History'!C3)*(ROW()-3)/(MATCH(9.99E+307,'Returns (Calc)'!$A:$A)-3),"")</f>
        <v>4.09189873417721</v>
      </c>
      <c r="Y147" s="144" t="n">
        <f aca="false">IFERROR('Price History'!D3+(INDEX('Price History'!D:D,MATCH(9.99E+307,'Price History'!$A:$A))-'Price History'!D3)*(ROW()-3)/(MATCH(9.99E+307,'Returns (Calc)'!$A:$A)-3),"")</f>
        <v>51.5705063291139</v>
      </c>
      <c r="Z147" s="144" t="n">
        <f aca="false">IFERROR('Price History'!E3+(INDEX('Price History'!E:E,MATCH(9.99E+307,'Price History'!$A:$A))-'Price History'!E3)*(ROW()-3)/(MATCH(9.99E+307,'Returns (Calc)'!$A:$A)-3),"")</f>
        <v>7.26582278481013</v>
      </c>
      <c r="AA147" s="144" t="n">
        <f aca="false">IFERROR('Price History'!F3+(INDEX('Price History'!F:F,MATCH(9.99E+307,'Price History'!$A:$A))-'Price History'!F3)*(ROW()-3)/(MATCH(9.99E+307,'Returns (Calc)'!$A:$A)-3),"")</f>
        <v>6.67303797468355</v>
      </c>
      <c r="AB147" s="144" t="n">
        <f aca="false">IFERROR('Price History'!G3+(INDEX('Price History'!G:G,MATCH(9.99E+307,'Price History'!$A:$A))-'Price History'!G3)*(ROW()-3)/(MATCH(9.99E+307,'Returns (Calc)'!$A:$A)-3),"")</f>
        <v>3.66481012658227</v>
      </c>
      <c r="AC147" s="144" t="n">
        <f aca="false">IFERROR('Price History'!H3+(INDEX('Price History'!H:H,MATCH(9.99E+307,'Price History'!$A:$A))-'Price History'!H3)*(ROW()-3)/(MATCH(9.99E+307,'Returns (Calc)'!$A:$A)-3),"")</f>
        <v>8.91303797468355</v>
      </c>
      <c r="AD147" s="144" t="n">
        <f aca="false">IFERROR('Price History'!I3+(INDEX('Price History'!I:I,MATCH(9.99E+307,'Price History'!$A:$A))-'Price History'!I3)*(ROW()-3)/(MATCH(9.99E+307,'Returns (Calc)'!$A:$A)-3),"")</f>
        <v>3.92974683544303</v>
      </c>
      <c r="AE147" s="144" t="n">
        <f aca="false">IFERROR('Price History'!J3+(INDEX('Price History'!J:J,MATCH(9.99E+307,'Price History'!$A:$A))-'Price History'!J3)*(ROW()-3)/(MATCH(9.99E+307,'Returns (Calc)'!$A:$A)-3),"")</f>
        <v>6.12367088607595</v>
      </c>
      <c r="AF147" s="144" t="n">
        <f aca="false">IFERROR('Price History'!K3+(INDEX('Price History'!K:K,MATCH(9.99E+307,'Price History'!$A:$A))-'Price History'!K3)*(ROW()-3)/(MATCH(9.99E+307,'Returns (Calc)'!$A:$A)-3),"")</f>
        <v>3.87835443037975</v>
      </c>
      <c r="AG147" s="144" t="n">
        <f aca="false">IFERROR('Price History'!L3+(INDEX('Price History'!L:L,MATCH(9.99E+307,'Price History'!$A:$A))-'Price History'!L3)*(ROW()-3)/(MATCH(9.99E+307,'Returns (Calc)'!$A:$A)-3),"")</f>
        <v>9.90987341772151</v>
      </c>
      <c r="AH147" s="144" t="n">
        <f aca="false">IFERROR('Price History'!M3+(INDEX('Price History'!M:M,MATCH(9.99E+307,'Price History'!$A:$A))-'Price History'!M3)*(ROW()-3)/(MATCH(9.99E+307,'Returns (Calc)'!$A:$A)-3),"")</f>
        <v>1.35835443037975</v>
      </c>
      <c r="AI147" s="144" t="n">
        <f aca="false">IFERROR('Price History'!N3+(INDEX('Price History'!N:N,MATCH(9.99E+307,'Price History'!$A:$A))-'Price History'!N3)*(ROW()-3)/(MATCH(9.99E+307,'Returns (Calc)'!$A:$A)-3),"")</f>
        <v>1.93164556962025</v>
      </c>
      <c r="AJ147" s="144" t="n">
        <f aca="false">IFERROR('Price History'!O3+(INDEX('Price History'!O:O,MATCH(9.99E+307,'Price History'!$A:$A))-'Price History'!O3)*(ROW()-3)/(MATCH(9.99E+307,'Returns (Calc)'!$A:$A)-3),"")</f>
        <v>5.10645569620252</v>
      </c>
      <c r="AK147" s="144" t="n">
        <f aca="false">IFERROR('Price History'!Q3+(INDEX('Price History'!Q:Q,MATCH(9.99E+307,'Price History'!$A:$A))-'Price History'!Q3)*(ROW()-3)/(MATCH(9.99E+307,'Returns (Calc)'!$A:$A)-3),"")</f>
        <v>20.8786075949367</v>
      </c>
      <c r="AL147" s="144" t="n">
        <f aca="false">IFERROR('Price History'!R3+(INDEX('Price History'!R:R,MATCH(9.99E+307,'Price History'!$A:$A))-'Price History'!R3)*(ROW()-3)/(MATCH(9.99E+307,'Returns (Calc)'!$A:$A)-3),"")</f>
        <v>4.23721518987342</v>
      </c>
      <c r="AM147" s="144" t="n">
        <f aca="false">IFERROR('Price History'!S3+(INDEX('Price History'!S:S,MATCH(9.99E+307,'Price History'!$A:$A))-'Price History'!S3)*(ROW()-3)/(MATCH(9.99E+307,'Returns (Calc)'!$A:$A)-3),"")</f>
        <v>5.18708860759494</v>
      </c>
      <c r="AN147" s="144" t="n">
        <f aca="false">IFERROR('Price History'!T3+(INDEX('Price History'!T:T,MATCH(9.99E+307,'Price History'!$A:$A))-'Price History'!T3)*(ROW()-3)/(MATCH(9.99E+307,'Returns (Calc)'!$A:$A)-3),"")</f>
        <v>2.38443037974684</v>
      </c>
      <c r="AO147" s="145" t="n">
        <f aca="false">IFERROR('Price History'!V3+(INDEX('Price History'!V:V,MATCH(9.99E+307,'Price History'!$A:$A))-'Price History'!V3)*(ROW()-3)/(MATCH(9.99E+307,'Returns (Calc)'!$A:$A)-3),"")</f>
        <v>0</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-0.0114028748092829</v>
      </c>
      <c r="G148" s="142" t="n">
        <f aca="false">IFERROR(IF(OR(NOT(ISNUMBER('Price History'!G149)),NOT(ISNUMBER('Price History'!G148)),'Price History'!G148=0),"",'Price History'!G149/'Price History'!G148-1),"")</f>
        <v>0.106749586352485</v>
      </c>
      <c r="H148" s="142" t="n">
        <f aca="false">IFERROR(IF(OR(NOT(ISNUMBER('Price History'!H149)),NOT(ISNUMBER('Price History'!H148)),'Price History'!H148=0),"",'Price History'!H149/'Price History'!H148-1),"")</f>
        <v>0.00580098170459609</v>
      </c>
      <c r="I148" s="142" t="n">
        <f aca="false">IFERROR(IF(OR(NOT(ISNUMBER('Price History'!I149)),NOT(ISNUMBER('Price History'!I148)),'Price History'!I148=0),"",'Price History'!I149/'Price History'!I148-1),"")</f>
        <v>-0.0526654855854405</v>
      </c>
      <c r="J148" s="142" t="n">
        <f aca="false">IFERROR(IF(OR(NOT(ISNUMBER('Price History'!J149)),NOT(ISNUMBER('Price History'!J148)),'Price History'!J148=0),"",'Price History'!J149/'Price History'!J148-1),"")</f>
        <v>-0.138452162238553</v>
      </c>
      <c r="K148" s="142" t="n">
        <f aca="false">IFERROR(IF(OR(NOT(ISNUMBER('Price History'!K149)),NOT(ISNUMBER('Price History'!K148)),'Price History'!K148=0),"",'Price History'!K149/'Price History'!K148-1),"")</f>
        <v>0.0119598564817223</v>
      </c>
      <c r="L148" s="142" t="n">
        <f aca="false">IFERROR(IF(OR(NOT(ISNUMBER('Price History'!L149)),NOT(ISNUMBER('Price History'!L148)),'Price History'!L148=0),"",'Price History'!L149/'Price History'!L148-1),"")</f>
        <v>-0.00388852883992219</v>
      </c>
      <c r="M148" s="142" t="n">
        <f aca="false">IFERROR(IF(OR(NOT(ISNUMBER('Price History'!M149)),NOT(ISNUMBER('Price History'!M148)),'Price History'!M148=0),"",'Price History'!M149/'Price History'!M148-1),"")</f>
        <v>0.144957053041707</v>
      </c>
      <c r="N148" s="142" t="n">
        <f aca="false">IFERROR(IF(OR(NOT(ISNUMBER('Price History'!N149)),NOT(ISNUMBER('Price History'!N148)),'Price History'!N148=0),"",'Price History'!N149/'Price History'!N148-1),"")</f>
        <v>0.00910804020100509</v>
      </c>
      <c r="O148" s="142" t="n">
        <f aca="false">IFERROR(IF(OR(NOT(ISNUMBER('Price History'!O149)),NOT(ISNUMBER('Price History'!O148)),'Price History'!O148=0),"",'Price History'!O149/'Price History'!O148-1),"")</f>
        <v>-0.0218902240987332</v>
      </c>
      <c r="P148" s="142" t="n">
        <f aca="false">IFERROR(IF(OR(NOT(ISNUMBER('Price History'!P149)),NOT(ISNUMBER('Price History'!P148)),'Price History'!P148=0),"",'Price History'!P149/'Price History'!P148-1),"")</f>
        <v>0.0041976854750807</v>
      </c>
      <c r="Q148" s="142" t="n">
        <f aca="false">IFERROR(IF(OR(NOT(ISNUMBER('Price History'!Q149)),NOT(ISNUMBER('Price History'!Q148)),'Price History'!Q148=0),"",'Price History'!Q149/'Price History'!Q148-1),"")</f>
        <v>0.0770239265814485</v>
      </c>
      <c r="R148" s="142" t="n">
        <f aca="false">IFERROR(IF(OR(NOT(ISNUMBER('Price History'!R149)),NOT(ISNUMBER('Price History'!R148)),'Price History'!R148=0),"",'Price History'!R149/'Price History'!R148-1),"")</f>
        <v>0.0156120245806344</v>
      </c>
      <c r="S148" s="142" t="n">
        <f aca="false">IFERROR(IF(OR(NOT(ISNUMBER('Price History'!S149)),NOT(ISNUMBER('Price History'!S148)),'Price History'!S148=0),"",'Price History'!S149/'Price History'!S148-1),"")</f>
        <v>0.0389816475783082</v>
      </c>
      <c r="T148" s="142" t="n">
        <f aca="false">IFERROR(IF(OR(NOT(ISNUMBER('Price History'!T149)),NOT(ISNUMBER('Price History'!T148)),'Price History'!T148=0),"",'Price History'!T149/'Price History'!T148-1),"")</f>
        <v>0.0540968764146672</v>
      </c>
      <c r="U148" s="142" t="str">
        <f aca="false">IFERROR(IF(OR(NOT(ISNUMBER('Price History'!U149)),NOT(ISNUMBER('Price History'!U148)),'Price History'!U148=0),"",'Price History'!U149/'Price History'!U148-1),"")</f>
        <v/>
      </c>
      <c r="V148" s="143" t="n">
        <f aca="false">IFERROR(IF(OR(NOT(ISNUMBER('Price History'!V149)),NOT(ISNUMBER('Price History'!V148)),'Price History'!V148=0),"",'Price History'!V149/'Price History'!V148-1),"")</f>
        <v>-0.00767660767051503</v>
      </c>
      <c r="W148" s="144" t="str">
        <f aca="false">IFERROR('Price History'!B3+(INDEX('Price History'!B:B,MATCH(9.99E+307,'Price History'!$A:$A))-'Price History'!B3)*(ROW()-3)/(MATCH(9.99E+307,'Returns (Calc)'!$A:$A)-3),"")</f>
        <v/>
      </c>
      <c r="X148" s="144" t="n">
        <f aca="false">IFERROR('Price History'!C3+(INDEX('Price History'!C:C,MATCH(9.99E+307,'Price History'!$A:$A))-'Price History'!C3)*(ROW()-3)/(MATCH(9.99E+307,'Returns (Calc)'!$A:$A)-3),"")</f>
        <v>3.79962025316456</v>
      </c>
      <c r="Y148" s="144" t="n">
        <f aca="false">IFERROR('Price History'!D3+(INDEX('Price History'!D:D,MATCH(9.99E+307,'Price History'!$A:$A))-'Price History'!D3)*(ROW()-3)/(MATCH(9.99E+307,'Returns (Calc)'!$A:$A)-3),"")</f>
        <v>47.8868987341772</v>
      </c>
      <c r="Z148" s="144" t="n">
        <f aca="false">IFERROR('Price History'!E3+(INDEX('Price History'!E:E,MATCH(9.99E+307,'Price History'!$A:$A))-'Price History'!E3)*(ROW()-3)/(MATCH(9.99E+307,'Returns (Calc)'!$A:$A)-3),"")</f>
        <v>6.74683544303798</v>
      </c>
      <c r="AA148" s="144" t="n">
        <f aca="false">IFERROR('Price History'!F3+(INDEX('Price History'!F:F,MATCH(9.99E+307,'Price History'!$A:$A))-'Price History'!F3)*(ROW()-3)/(MATCH(9.99E+307,'Returns (Calc)'!$A:$A)-3),"")</f>
        <v>6.19639240506329</v>
      </c>
      <c r="AB148" s="144" t="n">
        <f aca="false">IFERROR('Price History'!G3+(INDEX('Price History'!G:G,MATCH(9.99E+307,'Price History'!$A:$A))-'Price History'!G3)*(ROW()-3)/(MATCH(9.99E+307,'Returns (Calc)'!$A:$A)-3),"")</f>
        <v>3.40303797468354</v>
      </c>
      <c r="AC148" s="144" t="n">
        <f aca="false">IFERROR('Price History'!H3+(INDEX('Price History'!H:H,MATCH(9.99E+307,'Price History'!$A:$A))-'Price History'!H3)*(ROW()-3)/(MATCH(9.99E+307,'Returns (Calc)'!$A:$A)-3),"")</f>
        <v>8.27639240506329</v>
      </c>
      <c r="AD148" s="144" t="n">
        <f aca="false">IFERROR('Price History'!I3+(INDEX('Price History'!I:I,MATCH(9.99E+307,'Price History'!$A:$A))-'Price History'!I3)*(ROW()-3)/(MATCH(9.99E+307,'Returns (Calc)'!$A:$A)-3),"")</f>
        <v>3.6490506329114</v>
      </c>
      <c r="AE148" s="144" t="n">
        <f aca="false">IFERROR('Price History'!J3+(INDEX('Price History'!J:J,MATCH(9.99E+307,'Price History'!$A:$A))-'Price History'!J3)*(ROW()-3)/(MATCH(9.99E+307,'Returns (Calc)'!$A:$A)-3),"")</f>
        <v>5.6862658227848</v>
      </c>
      <c r="AF148" s="144" t="n">
        <f aca="false">IFERROR('Price History'!K3+(INDEX('Price History'!K:K,MATCH(9.99E+307,'Price History'!$A:$A))-'Price History'!K3)*(ROW()-3)/(MATCH(9.99E+307,'Returns (Calc)'!$A:$A)-3),"")</f>
        <v>3.60132911392405</v>
      </c>
      <c r="AG148" s="144" t="n">
        <f aca="false">IFERROR('Price History'!L3+(INDEX('Price History'!L:L,MATCH(9.99E+307,'Price History'!$A:$A))-'Price History'!L3)*(ROW()-3)/(MATCH(9.99E+307,'Returns (Calc)'!$A:$A)-3),"")</f>
        <v>9.20202531645569</v>
      </c>
      <c r="AH148" s="144" t="n">
        <f aca="false">IFERROR('Price History'!M3+(INDEX('Price History'!M:M,MATCH(9.99E+307,'Price History'!$A:$A))-'Price History'!M3)*(ROW()-3)/(MATCH(9.99E+307,'Returns (Calc)'!$A:$A)-3),"")</f>
        <v>1.26132911392405</v>
      </c>
      <c r="AI148" s="144" t="n">
        <f aca="false">IFERROR('Price History'!N3+(INDEX('Price History'!N:N,MATCH(9.99E+307,'Price History'!$A:$A))-'Price History'!N3)*(ROW()-3)/(MATCH(9.99E+307,'Returns (Calc)'!$A:$A)-3),"")</f>
        <v>1.79367088607595</v>
      </c>
      <c r="AJ148" s="144" t="n">
        <f aca="false">IFERROR('Price History'!O3+(INDEX('Price History'!O:O,MATCH(9.99E+307,'Price History'!$A:$A))-'Price History'!O3)*(ROW()-3)/(MATCH(9.99E+307,'Returns (Calc)'!$A:$A)-3),"")</f>
        <v>4.7417088607595</v>
      </c>
      <c r="AK148" s="144" t="n">
        <f aca="false">IFERROR('Price History'!Q3+(INDEX('Price History'!Q:Q,MATCH(9.99E+307,'Price History'!$A:$A))-'Price History'!Q3)*(ROW()-3)/(MATCH(9.99E+307,'Returns (Calc)'!$A:$A)-3),"")</f>
        <v>19.3872784810127</v>
      </c>
      <c r="AL148" s="144" t="n">
        <f aca="false">IFERROR('Price History'!R3+(INDEX('Price History'!R:R,MATCH(9.99E+307,'Price History'!$A:$A))-'Price History'!R3)*(ROW()-3)/(MATCH(9.99E+307,'Returns (Calc)'!$A:$A)-3),"")</f>
        <v>3.93455696202532</v>
      </c>
      <c r="AM148" s="144" t="n">
        <f aca="false">IFERROR('Price History'!S3+(INDEX('Price History'!S:S,MATCH(9.99E+307,'Price History'!$A:$A))-'Price History'!S3)*(ROW()-3)/(MATCH(9.99E+307,'Returns (Calc)'!$A:$A)-3),"")</f>
        <v>4.81658227848102</v>
      </c>
      <c r="AN148" s="144" t="n">
        <f aca="false">IFERROR('Price History'!T3+(INDEX('Price History'!T:T,MATCH(9.99E+307,'Price History'!$A:$A))-'Price History'!T3)*(ROW()-3)/(MATCH(9.99E+307,'Returns (Calc)'!$A:$A)-3),"")</f>
        <v>2.21411392405063</v>
      </c>
      <c r="AO148" s="145" t="n">
        <f aca="false">IFERROR('Price History'!V3+(INDEX('Price History'!V:V,MATCH(9.99E+307,'Price History'!$A:$A))-'Price History'!V3)*(ROW()-3)/(MATCH(9.99E+307,'Returns (Calc)'!$A:$A)-3),"")</f>
        <v>0</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0.00357403947689061</v>
      </c>
      <c r="G149" s="142" t="n">
        <f aca="false">IFERROR(IF(OR(NOT(ISNUMBER('Price History'!G150)),NOT(ISNUMBER('Price History'!G149)),'Price History'!G149=0),"",'Price History'!G150/'Price History'!G149-1),"")</f>
        <v>-0.0350551603258067</v>
      </c>
      <c r="H149" s="142" t="n">
        <f aca="false">IFERROR(IF(OR(NOT(ISNUMBER('Price History'!H150)),NOT(ISNUMBER('Price History'!H149)),'Price History'!H149=0),"",'Price History'!H150/'Price History'!H149-1),"")</f>
        <v>0.00234503739383962</v>
      </c>
      <c r="I149" s="142" t="n">
        <f aca="false">IFERROR(IF(OR(NOT(ISNUMBER('Price History'!I150)),NOT(ISNUMBER('Price History'!I149)),'Price History'!I149=0),"",'Price History'!I150/'Price History'!I149-1),"")</f>
        <v>-0.0170860251615097</v>
      </c>
      <c r="J149" s="142" t="n">
        <f aca="false">IFERROR(IF(OR(NOT(ISNUMBER('Price History'!J150)),NOT(ISNUMBER('Price History'!J149)),'Price History'!J149=0),"",'Price History'!J150/'Price History'!J149-1),"")</f>
        <v>0.00398806655662742</v>
      </c>
      <c r="K149" s="142" t="n">
        <f aca="false">IFERROR(IF(OR(NOT(ISNUMBER('Price History'!K150)),NOT(ISNUMBER('Price History'!K149)),'Price History'!K149=0),"",'Price History'!K150/'Price History'!K149-1),"")</f>
        <v>0.0827809465084013</v>
      </c>
      <c r="L149" s="142" t="n">
        <f aca="false">IFERROR(IF(OR(NOT(ISNUMBER('Price History'!L150)),NOT(ISNUMBER('Price History'!L149)),'Price History'!L149=0),"",'Price History'!L150/'Price History'!L149-1),"")</f>
        <v>0.0103375984963492</v>
      </c>
      <c r="M149" s="142" t="n">
        <f aca="false">IFERROR(IF(OR(NOT(ISNUMBER('Price History'!M150)),NOT(ISNUMBER('Price History'!M149)),'Price History'!M149=0),"",'Price History'!M150/'Price History'!M149-1),"")</f>
        <v>-0.0194122196442382</v>
      </c>
      <c r="N149" s="142" t="n">
        <f aca="false">IFERROR(IF(OR(NOT(ISNUMBER('Price History'!N150)),NOT(ISNUMBER('Price History'!N149)),'Price History'!N149=0),"",'Price History'!N150/'Price History'!N149-1),"")</f>
        <v>0.000311235605353177</v>
      </c>
      <c r="O149" s="142" t="n">
        <f aca="false">IFERROR(IF(OR(NOT(ISNUMBER('Price History'!O150)),NOT(ISNUMBER('Price History'!O149)),'Price History'!O149=0),"",'Price History'!O150/'Price History'!O149-1),"")</f>
        <v>0.0193916854827998</v>
      </c>
      <c r="P149" s="142" t="n">
        <f aca="false">IFERROR(IF(OR(NOT(ISNUMBER('Price History'!P150)),NOT(ISNUMBER('Price History'!P149)),'Price History'!P149=0),"",'Price History'!P150/'Price History'!P149-1),"")</f>
        <v>-0.000115473441108627</v>
      </c>
      <c r="Q149" s="142" t="n">
        <f aca="false">IFERROR(IF(OR(NOT(ISNUMBER('Price History'!Q150)),NOT(ISNUMBER('Price History'!Q149)),'Price History'!Q149=0),"",'Price History'!Q150/'Price History'!Q149-1),"")</f>
        <v>-0.0363525701322415</v>
      </c>
      <c r="R149" s="142" t="n">
        <f aca="false">IFERROR(IF(OR(NOT(ISNUMBER('Price History'!R150)),NOT(ISNUMBER('Price History'!R149)),'Price History'!R149=0),"",'Price History'!R150/'Price History'!R149-1),"")</f>
        <v>-0.0367947669664759</v>
      </c>
      <c r="S149" s="142" t="n">
        <f aca="false">IFERROR(IF(OR(NOT(ISNUMBER('Price History'!S150)),NOT(ISNUMBER('Price History'!S149)),'Price History'!S149=0),"",'Price History'!S150/'Price History'!S149-1),"")</f>
        <v>-0.0419018527126636</v>
      </c>
      <c r="T149" s="142" t="n">
        <f aca="false">IFERROR(IF(OR(NOT(ISNUMBER('Price History'!T150)),NOT(ISNUMBER('Price History'!T149)),'Price History'!T149=0),"",'Price History'!T150/'Price History'!T149-1),"")</f>
        <v>-0.0111659866867082</v>
      </c>
      <c r="U149" s="142" t="str">
        <f aca="false">IFERROR(IF(OR(NOT(ISNUMBER('Price History'!U150)),NOT(ISNUMBER('Price History'!U149)),'Price History'!U149=0),"",'Price History'!U150/'Price History'!U149-1),"")</f>
        <v/>
      </c>
      <c r="V149" s="143" t="n">
        <f aca="false">IFERROR(IF(OR(NOT(ISNUMBER('Price History'!V150)),NOT(ISNUMBER('Price History'!V149)),'Price History'!V149=0),"",'Price History'!V150/'Price History'!V149-1),"")</f>
        <v>-0.00853415195702212</v>
      </c>
      <c r="W149" s="144" t="str">
        <f aca="false">IFERROR('Price History'!B3+(INDEX('Price History'!B:B,MATCH(9.99E+307,'Price History'!$A:$A))-'Price History'!B3)*(ROW()-3)/(MATCH(9.99E+307,'Returns (Calc)'!$A:$A)-3),"")</f>
        <v/>
      </c>
      <c r="X149" s="144" t="n">
        <f aca="false">IFERROR('Price History'!C3+(INDEX('Price History'!C:C,MATCH(9.99E+307,'Price History'!$A:$A))-'Price History'!C3)*(ROW()-3)/(MATCH(9.99E+307,'Returns (Calc)'!$A:$A)-3),"")</f>
        <v>3.5073417721519</v>
      </c>
      <c r="Y149" s="144" t="n">
        <f aca="false">IFERROR('Price History'!D3+(INDEX('Price History'!D:D,MATCH(9.99E+307,'Price History'!$A:$A))-'Price History'!D3)*(ROW()-3)/(MATCH(9.99E+307,'Returns (Calc)'!$A:$A)-3),"")</f>
        <v>44.2032911392406</v>
      </c>
      <c r="Z149" s="144" t="n">
        <f aca="false">IFERROR('Price History'!E3+(INDEX('Price History'!E:E,MATCH(9.99E+307,'Price History'!$A:$A))-'Price History'!E3)*(ROW()-3)/(MATCH(9.99E+307,'Returns (Calc)'!$A:$A)-3),"")</f>
        <v>6.22784810126582</v>
      </c>
      <c r="AA149" s="144" t="n">
        <f aca="false">IFERROR('Price History'!F3+(INDEX('Price History'!F:F,MATCH(9.99E+307,'Price History'!$A:$A))-'Price History'!F3)*(ROW()-3)/(MATCH(9.99E+307,'Returns (Calc)'!$A:$A)-3),"")</f>
        <v>5.71974683544303</v>
      </c>
      <c r="AB149" s="144" t="n">
        <f aca="false">IFERROR('Price History'!G3+(INDEX('Price History'!G:G,MATCH(9.99E+307,'Price History'!$A:$A))-'Price History'!G3)*(ROW()-3)/(MATCH(9.99E+307,'Returns (Calc)'!$A:$A)-3),"")</f>
        <v>3.14126582278481</v>
      </c>
      <c r="AC149" s="144" t="n">
        <f aca="false">IFERROR('Price History'!H3+(INDEX('Price History'!H:H,MATCH(9.99E+307,'Price History'!$A:$A))-'Price History'!H3)*(ROW()-3)/(MATCH(9.99E+307,'Returns (Calc)'!$A:$A)-3),"")</f>
        <v>7.63974683544303</v>
      </c>
      <c r="AD149" s="144" t="n">
        <f aca="false">IFERROR('Price History'!I3+(INDEX('Price History'!I:I,MATCH(9.99E+307,'Price History'!$A:$A))-'Price History'!I3)*(ROW()-3)/(MATCH(9.99E+307,'Returns (Calc)'!$A:$A)-3),"")</f>
        <v>3.36835443037975</v>
      </c>
      <c r="AE149" s="144" t="n">
        <f aca="false">IFERROR('Price History'!J3+(INDEX('Price History'!J:J,MATCH(9.99E+307,'Price History'!$A:$A))-'Price History'!J3)*(ROW()-3)/(MATCH(9.99E+307,'Returns (Calc)'!$A:$A)-3),"")</f>
        <v>5.24886075949367</v>
      </c>
      <c r="AF149" s="144" t="n">
        <f aca="false">IFERROR('Price History'!K3+(INDEX('Price History'!K:K,MATCH(9.99E+307,'Price History'!$A:$A))-'Price History'!K3)*(ROW()-3)/(MATCH(9.99E+307,'Returns (Calc)'!$A:$A)-3),"")</f>
        <v>3.32430379746836</v>
      </c>
      <c r="AG149" s="144" t="n">
        <f aca="false">IFERROR('Price History'!L3+(INDEX('Price History'!L:L,MATCH(9.99E+307,'Price History'!$A:$A))-'Price History'!L3)*(ROW()-3)/(MATCH(9.99E+307,'Returns (Calc)'!$A:$A)-3),"")</f>
        <v>8.49417721518987</v>
      </c>
      <c r="AH149" s="144" t="n">
        <f aca="false">IFERROR('Price History'!M3+(INDEX('Price History'!M:M,MATCH(9.99E+307,'Price History'!$A:$A))-'Price History'!M3)*(ROW()-3)/(MATCH(9.99E+307,'Returns (Calc)'!$A:$A)-3),"")</f>
        <v>1.16430379746835</v>
      </c>
      <c r="AI149" s="144" t="n">
        <f aca="false">IFERROR('Price History'!N3+(INDEX('Price History'!N:N,MATCH(9.99E+307,'Price History'!$A:$A))-'Price History'!N3)*(ROW()-3)/(MATCH(9.99E+307,'Returns (Calc)'!$A:$A)-3),"")</f>
        <v>1.65569620253164</v>
      </c>
      <c r="AJ149" s="144" t="n">
        <f aca="false">IFERROR('Price History'!O3+(INDEX('Price History'!O:O,MATCH(9.99E+307,'Price History'!$A:$A))-'Price History'!O3)*(ROW()-3)/(MATCH(9.99E+307,'Returns (Calc)'!$A:$A)-3),"")</f>
        <v>4.37696202531646</v>
      </c>
      <c r="AK149" s="144" t="n">
        <f aca="false">IFERROR('Price History'!Q3+(INDEX('Price History'!Q:Q,MATCH(9.99E+307,'Price History'!$A:$A))-'Price History'!Q3)*(ROW()-3)/(MATCH(9.99E+307,'Returns (Calc)'!$A:$A)-3),"")</f>
        <v>17.8959493670886</v>
      </c>
      <c r="AL149" s="144" t="n">
        <f aca="false">IFERROR('Price History'!R3+(INDEX('Price History'!R:R,MATCH(9.99E+307,'Price History'!$A:$A))-'Price History'!R3)*(ROW()-3)/(MATCH(9.99E+307,'Returns (Calc)'!$A:$A)-3),"")</f>
        <v>3.63189873417721</v>
      </c>
      <c r="AM149" s="144" t="n">
        <f aca="false">IFERROR('Price History'!S3+(INDEX('Price History'!S:S,MATCH(9.99E+307,'Price History'!$A:$A))-'Price History'!S3)*(ROW()-3)/(MATCH(9.99E+307,'Returns (Calc)'!$A:$A)-3),"")</f>
        <v>4.44607594936709</v>
      </c>
      <c r="AN149" s="144" t="n">
        <f aca="false">IFERROR('Price History'!T3+(INDEX('Price History'!T:T,MATCH(9.99E+307,'Price History'!$A:$A))-'Price History'!T3)*(ROW()-3)/(MATCH(9.99E+307,'Returns (Calc)'!$A:$A)-3),"")</f>
        <v>2.04379746835443</v>
      </c>
      <c r="AO149" s="145" t="n">
        <f aca="false">IFERROR('Price History'!V3+(INDEX('Price History'!V:V,MATCH(9.99E+307,'Price History'!$A:$A))-'Price History'!V3)*(ROW()-3)/(MATCH(9.99E+307,'Returns (Calc)'!$A:$A)-3),"")</f>
        <v>0</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0.0112505058680696</v>
      </c>
      <c r="G150" s="142" t="n">
        <f aca="false">IFERROR(IF(OR(NOT(ISNUMBER('Price History'!G151)),NOT(ISNUMBER('Price History'!G150)),'Price History'!G150=0),"",'Price History'!G151/'Price History'!G150-1),"")</f>
        <v>0.0849449727534994</v>
      </c>
      <c r="H150" s="142" t="n">
        <f aca="false">IFERROR(IF(OR(NOT(ISNUMBER('Price History'!H151)),NOT(ISNUMBER('Price History'!H150)),'Price History'!H150=0),"",'Price History'!H151/'Price History'!H150-1),"")</f>
        <v>0.01492254189061</v>
      </c>
      <c r="I150" s="142" t="n">
        <f aca="false">IFERROR(IF(OR(NOT(ISNUMBER('Price History'!I151)),NOT(ISNUMBER('Price History'!I150)),'Price History'!I150=0),"",'Price History'!I151/'Price History'!I150-1),"")</f>
        <v>-0.0810775750237828</v>
      </c>
      <c r="J150" s="142" t="n">
        <f aca="false">IFERROR(IF(OR(NOT(ISNUMBER('Price History'!J151)),NOT(ISNUMBER('Price History'!J150)),'Price History'!J150=0),"",'Price History'!J151/'Price History'!J150-1),"")</f>
        <v>-0.133105279281119</v>
      </c>
      <c r="K150" s="142" t="n">
        <f aca="false">IFERROR(IF(OR(NOT(ISNUMBER('Price History'!K151)),NOT(ISNUMBER('Price History'!K150)),'Price History'!K150=0),"",'Price History'!K151/'Price History'!K150-1),"")</f>
        <v>-0.0386294608959756</v>
      </c>
      <c r="L150" s="142" t="n">
        <f aca="false">IFERROR(IF(OR(NOT(ISNUMBER('Price History'!L151)),NOT(ISNUMBER('Price History'!L150)),'Price History'!L150=0),"",'Price History'!L151/'Price History'!L150-1),"")</f>
        <v>0.0633228391528335</v>
      </c>
      <c r="M150" s="142" t="n">
        <f aca="false">IFERROR(IF(OR(NOT(ISNUMBER('Price History'!M151)),NOT(ISNUMBER('Price History'!M150)),'Price History'!M150=0),"",'Price History'!M151/'Price History'!M150-1),"")</f>
        <v>0.0440886505244893</v>
      </c>
      <c r="N150" s="142" t="n">
        <f aca="false">IFERROR(IF(OR(NOT(ISNUMBER('Price History'!N151)),NOT(ISNUMBER('Price History'!N150)),'Price History'!N150=0),"",'Price History'!N151/'Price History'!N150-1),"")</f>
        <v>0.0158680771624145</v>
      </c>
      <c r="O150" s="142" t="n">
        <f aca="false">IFERROR(IF(OR(NOT(ISNUMBER('Price History'!O151)),NOT(ISNUMBER('Price History'!O150)),'Price History'!O150=0),"",'Price History'!O151/'Price History'!O150-1),"")</f>
        <v>-0.0641042345276873</v>
      </c>
      <c r="P150" s="142" t="n">
        <f aca="false">IFERROR(IF(OR(NOT(ISNUMBER('Price History'!P151)),NOT(ISNUMBER('Price History'!P150)),'Price History'!P150=0),"",'Price History'!P151/'Price History'!P150-1),"")</f>
        <v>-0.0823420718327751</v>
      </c>
      <c r="Q150" s="142" t="n">
        <f aca="false">IFERROR(IF(OR(NOT(ISNUMBER('Price History'!Q151)),NOT(ISNUMBER('Price History'!Q150)),'Price History'!Q150=0),"",'Price History'!Q151/'Price History'!Q150-1),"")</f>
        <v>0.0275034451079468</v>
      </c>
      <c r="R150" s="142" t="n">
        <f aca="false">IFERROR(IF(OR(NOT(ISNUMBER('Price History'!R151)),NOT(ISNUMBER('Price History'!R150)),'Price History'!R150=0),"",'Price History'!R151/'Price History'!R150-1),"")</f>
        <v>0.0162988115449916</v>
      </c>
      <c r="S150" s="142" t="n">
        <f aca="false">IFERROR(IF(OR(NOT(ISNUMBER('Price History'!S151)),NOT(ISNUMBER('Price History'!S150)),'Price History'!S150=0),"",'Price History'!S151/'Price History'!S150-1),"")</f>
        <v>0.0568339340171886</v>
      </c>
      <c r="T150" s="142" t="n">
        <f aca="false">IFERROR(IF(OR(NOT(ISNUMBER('Price History'!T151)),NOT(ISNUMBER('Price History'!T150)),'Price History'!T150=0),"",'Price History'!T151/'Price History'!T150-1),"")</f>
        <v>0.00521172638436496</v>
      </c>
      <c r="U150" s="142" t="str">
        <f aca="false">IFERROR(IF(OR(NOT(ISNUMBER('Price History'!U151)),NOT(ISNUMBER('Price History'!U150)),'Price History'!U150=0),"",'Price History'!U151/'Price History'!U150-1),"")</f>
        <v/>
      </c>
      <c r="V150" s="143" t="n">
        <f aca="false">IFERROR(IF(OR(NOT(ISNUMBER('Price History'!V151)),NOT(ISNUMBER('Price History'!V150)),'Price History'!V150=0),"",'Price History'!V151/'Price History'!V150-1),"")</f>
        <v>-0.00365359011672917</v>
      </c>
      <c r="W150" s="144" t="str">
        <f aca="false">IFERROR('Price History'!B3+(INDEX('Price History'!B:B,MATCH(9.99E+307,'Price History'!$A:$A))-'Price History'!B3)*(ROW()-3)/(MATCH(9.99E+307,'Returns (Calc)'!$A:$A)-3),"")</f>
        <v/>
      </c>
      <c r="X150" s="144" t="n">
        <f aca="false">IFERROR('Price History'!C3+(INDEX('Price History'!C:C,MATCH(9.99E+307,'Price History'!$A:$A))-'Price History'!C3)*(ROW()-3)/(MATCH(9.99E+307,'Returns (Calc)'!$A:$A)-3),"")</f>
        <v>3.21506329113924</v>
      </c>
      <c r="Y150" s="144" t="n">
        <f aca="false">IFERROR('Price History'!D3+(INDEX('Price History'!D:D,MATCH(9.99E+307,'Price History'!$A:$A))-'Price History'!D3)*(ROW()-3)/(MATCH(9.99E+307,'Returns (Calc)'!$A:$A)-3),"")</f>
        <v>40.5196835443038</v>
      </c>
      <c r="Z150" s="144" t="n">
        <f aca="false">IFERROR('Price History'!E3+(INDEX('Price History'!E:E,MATCH(9.99E+307,'Price History'!$A:$A))-'Price History'!E3)*(ROW()-3)/(MATCH(9.99E+307,'Returns (Calc)'!$A:$A)-3),"")</f>
        <v>5.70886075949368</v>
      </c>
      <c r="AA150" s="144" t="n">
        <f aca="false">IFERROR('Price History'!F3+(INDEX('Price History'!F:F,MATCH(9.99E+307,'Price History'!$A:$A))-'Price History'!F3)*(ROW()-3)/(MATCH(9.99E+307,'Returns (Calc)'!$A:$A)-3),"")</f>
        <v>5.24310126582279</v>
      </c>
      <c r="AB150" s="144" t="n">
        <f aca="false">IFERROR('Price History'!G3+(INDEX('Price History'!G:G,MATCH(9.99E+307,'Price History'!$A:$A))-'Price History'!G3)*(ROW()-3)/(MATCH(9.99E+307,'Returns (Calc)'!$A:$A)-3),"")</f>
        <v>2.87949367088608</v>
      </c>
      <c r="AC150" s="144" t="n">
        <f aca="false">IFERROR('Price History'!H3+(INDEX('Price History'!H:H,MATCH(9.99E+307,'Price History'!$A:$A))-'Price History'!H3)*(ROW()-3)/(MATCH(9.99E+307,'Returns (Calc)'!$A:$A)-3),"")</f>
        <v>7.00310126582278</v>
      </c>
      <c r="AD150" s="144" t="n">
        <f aca="false">IFERROR('Price History'!I3+(INDEX('Price History'!I:I,MATCH(9.99E+307,'Price History'!$A:$A))-'Price History'!I3)*(ROW()-3)/(MATCH(9.99E+307,'Returns (Calc)'!$A:$A)-3),"")</f>
        <v>3.0876582278481</v>
      </c>
      <c r="AE150" s="144" t="n">
        <f aca="false">IFERROR('Price History'!J3+(INDEX('Price History'!J:J,MATCH(9.99E+307,'Price History'!$A:$A))-'Price History'!J3)*(ROW()-3)/(MATCH(9.99E+307,'Returns (Calc)'!$A:$A)-3),"")</f>
        <v>4.81145569620253</v>
      </c>
      <c r="AF150" s="144" t="n">
        <f aca="false">IFERROR('Price History'!K3+(INDEX('Price History'!K:K,MATCH(9.99E+307,'Price History'!$A:$A))-'Price History'!K3)*(ROW()-3)/(MATCH(9.99E+307,'Returns (Calc)'!$A:$A)-3),"")</f>
        <v>3.04727848101266</v>
      </c>
      <c r="AG150" s="144" t="n">
        <f aca="false">IFERROR('Price History'!L3+(INDEX('Price History'!L:L,MATCH(9.99E+307,'Price History'!$A:$A))-'Price History'!L3)*(ROW()-3)/(MATCH(9.99E+307,'Returns (Calc)'!$A:$A)-3),"")</f>
        <v>7.78632911392405</v>
      </c>
      <c r="AH150" s="144" t="n">
        <f aca="false">IFERROR('Price History'!M3+(INDEX('Price History'!M:M,MATCH(9.99E+307,'Price History'!$A:$A))-'Price History'!M3)*(ROW()-3)/(MATCH(9.99E+307,'Returns (Calc)'!$A:$A)-3),"")</f>
        <v>1.06727848101266</v>
      </c>
      <c r="AI150" s="144" t="n">
        <f aca="false">IFERROR('Price History'!N3+(INDEX('Price History'!N:N,MATCH(9.99E+307,'Price History'!$A:$A))-'Price History'!N3)*(ROW()-3)/(MATCH(9.99E+307,'Returns (Calc)'!$A:$A)-3),"")</f>
        <v>1.51772151898734</v>
      </c>
      <c r="AJ150" s="144" t="n">
        <f aca="false">IFERROR('Price History'!O3+(INDEX('Price History'!O:O,MATCH(9.99E+307,'Price History'!$A:$A))-'Price History'!O3)*(ROW()-3)/(MATCH(9.99E+307,'Returns (Calc)'!$A:$A)-3),"")</f>
        <v>4.01221518987342</v>
      </c>
      <c r="AK150" s="144" t="n">
        <f aca="false">IFERROR('Price History'!Q3+(INDEX('Price History'!Q:Q,MATCH(9.99E+307,'Price History'!$A:$A))-'Price History'!Q3)*(ROW()-3)/(MATCH(9.99E+307,'Returns (Calc)'!$A:$A)-3),"")</f>
        <v>16.4046202531646</v>
      </c>
      <c r="AL150" s="144" t="n">
        <f aca="false">IFERROR('Price History'!R3+(INDEX('Price History'!R:R,MATCH(9.99E+307,'Price History'!$A:$A))-'Price History'!R3)*(ROW()-3)/(MATCH(9.99E+307,'Returns (Calc)'!$A:$A)-3),"")</f>
        <v>3.32924050632911</v>
      </c>
      <c r="AM150" s="144" t="n">
        <f aca="false">IFERROR('Price History'!S3+(INDEX('Price History'!S:S,MATCH(9.99E+307,'Price History'!$A:$A))-'Price History'!S3)*(ROW()-3)/(MATCH(9.99E+307,'Returns (Calc)'!$A:$A)-3),"")</f>
        <v>4.07556962025317</v>
      </c>
      <c r="AN150" s="144" t="n">
        <f aca="false">IFERROR('Price History'!T3+(INDEX('Price History'!T:T,MATCH(9.99E+307,'Price History'!$A:$A))-'Price History'!T3)*(ROW()-3)/(MATCH(9.99E+307,'Returns (Calc)'!$A:$A)-3),"")</f>
        <v>1.87348101265823</v>
      </c>
      <c r="AO150" s="145" t="n">
        <f aca="false">IFERROR('Price History'!V3+(INDEX('Price History'!V:V,MATCH(9.99E+307,'Price History'!$A:$A))-'Price History'!V3)*(ROW()-3)/(MATCH(9.99E+307,'Returns (Calc)'!$A:$A)-3),"")</f>
        <v>0</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-0.000560268929085894</v>
      </c>
      <c r="G151" s="142" t="n">
        <f aca="false">IFERROR(IF(OR(NOT(ISNUMBER('Price History'!G152)),NOT(ISNUMBER('Price History'!G151)),'Price History'!G151=0),"",'Price History'!G152/'Price History'!G151-1),"")</f>
        <v>-0.0974985227496553</v>
      </c>
      <c r="H151" s="142" t="n">
        <f aca="false">IFERROR(IF(OR(NOT(ISNUMBER('Price History'!H152)),NOT(ISNUMBER('Price History'!H151)),'Price History'!H151=0),"",'Price History'!H152/'Price History'!H151-1),"")</f>
        <v>0.00716466263784188</v>
      </c>
      <c r="I151" s="142" t="n">
        <f aca="false">IFERROR(IF(OR(NOT(ISNUMBER('Price History'!I152)),NOT(ISNUMBER('Price History'!I151)),'Price History'!I151=0),"",'Price History'!I152/'Price History'!I151-1),"")</f>
        <v>-0.0104936238294668</v>
      </c>
      <c r="J151" s="142" t="n">
        <f aca="false">IFERROR(IF(OR(NOT(ISNUMBER('Price History'!J152)),NOT(ISNUMBER('Price History'!J151)),'Price History'!J151=0),"",'Price History'!J152/'Price History'!J151-1),"")</f>
        <v>0.0848106484480828</v>
      </c>
      <c r="K151" s="142" t="n">
        <f aca="false">IFERROR(IF(OR(NOT(ISNUMBER('Price History'!K152)),NOT(ISNUMBER('Price History'!K151)),'Price History'!K151=0),"",'Price History'!K152/'Price History'!K151-1),"")</f>
        <v>0.0198933754566097</v>
      </c>
      <c r="L151" s="142" t="n">
        <f aca="false">IFERROR(IF(OR(NOT(ISNUMBER('Price History'!L152)),NOT(ISNUMBER('Price History'!L151)),'Price History'!L151=0),"",'Price History'!L152/'Price History'!L151-1),"")</f>
        <v>-0.0144001076643565</v>
      </c>
      <c r="M151" s="142" t="n">
        <f aca="false">IFERROR(IF(OR(NOT(ISNUMBER('Price History'!M152)),NOT(ISNUMBER('Price History'!M151)),'Price History'!M151=0),"",'Price History'!M152/'Price History'!M151-1),"")</f>
        <v>-0.0714609457621996</v>
      </c>
      <c r="N151" s="142" t="n">
        <f aca="false">IFERROR(IF(OR(NOT(ISNUMBER('Price History'!N152)),NOT(ISNUMBER('Price History'!N151)),'Price History'!N151=0),"",'Price History'!N152/'Price History'!N151-1),"")</f>
        <v>0.0116385911179173</v>
      </c>
      <c r="O151" s="142" t="n">
        <f aca="false">IFERROR(IF(OR(NOT(ISNUMBER('Price History'!O152)),NOT(ISNUMBER('Price History'!O151)),'Price History'!O151=0),"",'Price History'!O152/'Price History'!O151-1),"")</f>
        <v>0.0181678964221079</v>
      </c>
      <c r="P151" s="142" t="n">
        <f aca="false">IFERROR(IF(OR(NOT(ISNUMBER('Price History'!P152)),NOT(ISNUMBER('Price History'!P151)),'Price History'!P151=0),"",'Price History'!P152/'Price History'!P151-1),"")</f>
        <v>0.0126604580921217</v>
      </c>
      <c r="Q151" s="142" t="n">
        <f aca="false">IFERROR(IF(OR(NOT(ISNUMBER('Price History'!Q152)),NOT(ISNUMBER('Price History'!Q151)),'Price History'!Q151=0),"",'Price History'!Q152/'Price History'!Q151-1),"")</f>
        <v>-0.00787929589270742</v>
      </c>
      <c r="R151" s="142" t="n">
        <f aca="false">IFERROR(IF(OR(NOT(ISNUMBER('Price History'!R152)),NOT(ISNUMBER('Price History'!R151)),'Price History'!R151=0),"",'Price History'!R152/'Price History'!R151-1),"")</f>
        <v>0.0247243568326094</v>
      </c>
      <c r="S151" s="142" t="n">
        <f aca="false">IFERROR(IF(OR(NOT(ISNUMBER('Price History'!S152)),NOT(ISNUMBER('Price History'!S151)),'Price History'!S151=0),"",'Price History'!S152/'Price History'!S151-1),"")</f>
        <v>0.0486621196222457</v>
      </c>
      <c r="T151" s="142" t="n">
        <f aca="false">IFERROR(IF(OR(NOT(ISNUMBER('Price History'!T152)),NOT(ISNUMBER('Price History'!T151)),'Price History'!T151=0),"",'Price History'!T152/'Price History'!T151-1),"")</f>
        <v>-0.0224670555195506</v>
      </c>
      <c r="U151" s="142" t="str">
        <f aca="false">IFERROR(IF(OR(NOT(ISNUMBER('Price History'!U152)),NOT(ISNUMBER('Price History'!U151)),'Price History'!U151=0),"",'Price History'!U152/'Price History'!U151-1),"")</f>
        <v/>
      </c>
      <c r="V151" s="143" t="str">
        <f aca="false">IFERROR(IF(OR(NOT(ISNUMBER('Price History'!V152)),NOT(ISNUMBER('Price History'!V151)),'Price History'!V151=0),"",'Price History'!V152/'Price History'!V151-1),"")</f>
        <v/>
      </c>
      <c r="W151" s="144" t="str">
        <f aca="false">IFERROR('Price History'!B3+(INDEX('Price History'!B:B,MATCH(9.99E+307,'Price History'!$A:$A))-'Price History'!B3)*(ROW()-3)/(MATCH(9.99E+307,'Returns (Calc)'!$A:$A)-3),"")</f>
        <v/>
      </c>
      <c r="X151" s="144" t="n">
        <f aca="false">IFERROR('Price History'!C3+(INDEX('Price History'!C:C,MATCH(9.99E+307,'Price History'!$A:$A))-'Price History'!C3)*(ROW()-3)/(MATCH(9.99E+307,'Returns (Calc)'!$A:$A)-3),"")</f>
        <v>2.92278481012658</v>
      </c>
      <c r="Y151" s="144" t="n">
        <f aca="false">IFERROR('Price History'!D3+(INDEX('Price History'!D:D,MATCH(9.99E+307,'Price History'!$A:$A))-'Price History'!D3)*(ROW()-3)/(MATCH(9.99E+307,'Returns (Calc)'!$A:$A)-3),"")</f>
        <v>36.8360759493671</v>
      </c>
      <c r="Z151" s="144" t="n">
        <f aca="false">IFERROR('Price History'!E3+(INDEX('Price History'!E:E,MATCH(9.99E+307,'Price History'!$A:$A))-'Price History'!E3)*(ROW()-3)/(MATCH(9.99E+307,'Returns (Calc)'!$A:$A)-3),"")</f>
        <v>5.18987341772152</v>
      </c>
      <c r="AA151" s="144" t="n">
        <f aca="false">IFERROR('Price History'!F3+(INDEX('Price History'!F:F,MATCH(9.99E+307,'Price History'!$A:$A))-'Price History'!F3)*(ROW()-3)/(MATCH(9.99E+307,'Returns (Calc)'!$A:$A)-3),"")</f>
        <v>4.76645569620253</v>
      </c>
      <c r="AB151" s="144" t="n">
        <f aca="false">IFERROR('Price History'!G3+(INDEX('Price History'!G:G,MATCH(9.99E+307,'Price History'!$A:$A))-'Price History'!G3)*(ROW()-3)/(MATCH(9.99E+307,'Returns (Calc)'!$A:$A)-3),"")</f>
        <v>2.61772151898735</v>
      </c>
      <c r="AC151" s="144" t="n">
        <f aca="false">IFERROR('Price History'!H3+(INDEX('Price History'!H:H,MATCH(9.99E+307,'Price History'!$A:$A))-'Price History'!H3)*(ROW()-3)/(MATCH(9.99E+307,'Returns (Calc)'!$A:$A)-3),"")</f>
        <v>6.36645569620254</v>
      </c>
      <c r="AD151" s="144" t="n">
        <f aca="false">IFERROR('Price History'!I3+(INDEX('Price History'!I:I,MATCH(9.99E+307,'Price History'!$A:$A))-'Price History'!I3)*(ROW()-3)/(MATCH(9.99E+307,'Returns (Calc)'!$A:$A)-3),"")</f>
        <v>2.80696202531646</v>
      </c>
      <c r="AE151" s="144" t="n">
        <f aca="false">IFERROR('Price History'!J3+(INDEX('Price History'!J:J,MATCH(9.99E+307,'Price History'!$A:$A))-'Price History'!J3)*(ROW()-3)/(MATCH(9.99E+307,'Returns (Calc)'!$A:$A)-3),"")</f>
        <v>4.37405063291139</v>
      </c>
      <c r="AF151" s="144" t="n">
        <f aca="false">IFERROR('Price History'!K3+(INDEX('Price History'!K:K,MATCH(9.99E+307,'Price History'!$A:$A))-'Price History'!K3)*(ROW()-3)/(MATCH(9.99E+307,'Returns (Calc)'!$A:$A)-3),"")</f>
        <v>2.77025316455696</v>
      </c>
      <c r="AG151" s="144" t="n">
        <f aca="false">IFERROR('Price History'!L3+(INDEX('Price History'!L:L,MATCH(9.99E+307,'Price History'!$A:$A))-'Price History'!L3)*(ROW()-3)/(MATCH(9.99E+307,'Returns (Calc)'!$A:$A)-3),"")</f>
        <v>7.07848101265823</v>
      </c>
      <c r="AH151" s="144" t="n">
        <f aca="false">IFERROR('Price History'!M3+(INDEX('Price History'!M:M,MATCH(9.99E+307,'Price History'!$A:$A))-'Price History'!M3)*(ROW()-3)/(MATCH(9.99E+307,'Returns (Calc)'!$A:$A)-3),"")</f>
        <v>0.970253164556961</v>
      </c>
      <c r="AI151" s="144" t="n">
        <f aca="false">IFERROR('Price History'!N3+(INDEX('Price History'!N:N,MATCH(9.99E+307,'Price History'!$A:$A))-'Price History'!N3)*(ROW()-3)/(MATCH(9.99E+307,'Returns (Calc)'!$A:$A)-3),"")</f>
        <v>1.37974683544304</v>
      </c>
      <c r="AJ151" s="144" t="n">
        <f aca="false">IFERROR('Price History'!O3+(INDEX('Price History'!O:O,MATCH(9.99E+307,'Price History'!$A:$A))-'Price History'!O3)*(ROW()-3)/(MATCH(9.99E+307,'Returns (Calc)'!$A:$A)-3),"")</f>
        <v>3.64746835443039</v>
      </c>
      <c r="AK151" s="144" t="n">
        <f aca="false">IFERROR('Price History'!Q3+(INDEX('Price History'!Q:Q,MATCH(9.99E+307,'Price History'!$A:$A))-'Price History'!Q3)*(ROW()-3)/(MATCH(9.99E+307,'Returns (Calc)'!$A:$A)-3),"")</f>
        <v>14.9132911392405</v>
      </c>
      <c r="AL151" s="144" t="n">
        <f aca="false">IFERROR('Price History'!R3+(INDEX('Price History'!R:R,MATCH(9.99E+307,'Price History'!$A:$A))-'Price History'!R3)*(ROW()-3)/(MATCH(9.99E+307,'Returns (Calc)'!$A:$A)-3),"")</f>
        <v>3.02658227848102</v>
      </c>
      <c r="AM151" s="144" t="n">
        <f aca="false">IFERROR('Price History'!S3+(INDEX('Price History'!S:S,MATCH(9.99E+307,'Price History'!$A:$A))-'Price History'!S3)*(ROW()-3)/(MATCH(9.99E+307,'Returns (Calc)'!$A:$A)-3),"")</f>
        <v>3.70506329113924</v>
      </c>
      <c r="AN151" s="144" t="n">
        <f aca="false">IFERROR('Price History'!T3+(INDEX('Price History'!T:T,MATCH(9.99E+307,'Price History'!$A:$A))-'Price History'!T3)*(ROW()-3)/(MATCH(9.99E+307,'Returns (Calc)'!$A:$A)-3),"")</f>
        <v>1.70316455696203</v>
      </c>
      <c r="AO151" s="145" t="n">
        <f aca="false">IFERROR('Price History'!V3+(INDEX('Price History'!V:V,MATCH(9.99E+307,'Price History'!$A:$A))-'Price History'!V3)*(ROW()-3)/(MATCH(9.99E+307,'Returns (Calc)'!$A:$A)-3),"")</f>
        <v>0</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v>
      </c>
      <c r="G152" s="142" t="n">
        <f aca="false">IFERROR(IF(OR(NOT(ISNUMBER('Price History'!G153)),NOT(ISNUMBER('Price History'!G152)),'Price History'!G152=0),"",'Price History'!G153/'Price History'!G152-1),"")</f>
        <v>0.0413574858140551</v>
      </c>
      <c r="H152" s="142" t="n">
        <f aca="false">IFERROR(IF(OR(NOT(ISNUMBER('Price History'!H153)),NOT(ISNUMBER('Price History'!H152)),'Price History'!H152=0),"",'Price History'!H153/'Price History'!H152-1),"")</f>
        <v>-0.0109489051094891</v>
      </c>
      <c r="I152" s="142" t="n">
        <f aca="false">IFERROR(IF(OR(NOT(ISNUMBER('Price History'!I153)),NOT(ISNUMBER('Price History'!I152)),'Price History'!I152=0),"",'Price History'!I153/'Price History'!I152-1),"")</f>
        <v>-0.1315864561537</v>
      </c>
      <c r="J152" s="142" t="n">
        <f aca="false">IFERROR(IF(OR(NOT(ISNUMBER('Price History'!J153)),NOT(ISNUMBER('Price History'!J152)),'Price History'!J152=0),"",'Price History'!J153/'Price History'!J152-1),"")</f>
        <v>-0.106324990498941</v>
      </c>
      <c r="K152" s="142" t="n">
        <f aca="false">IFERROR(IF(OR(NOT(ISNUMBER('Price History'!K153)),NOT(ISNUMBER('Price History'!K152)),'Price History'!K152=0),"",'Price History'!K153/'Price History'!K152-1),"")</f>
        <v>-0.0294274236484198</v>
      </c>
      <c r="L152" s="142" t="n">
        <f aca="false">IFERROR(IF(OR(NOT(ISNUMBER('Price History'!L153)),NOT(ISNUMBER('Price History'!L152)),'Price History'!L152=0),"",'Price History'!L153/'Price History'!L152-1),"")</f>
        <v>-0.0204820099679115</v>
      </c>
      <c r="M152" s="142" t="n">
        <f aca="false">IFERROR(IF(OR(NOT(ISNUMBER('Price History'!M153)),NOT(ISNUMBER('Price History'!M152)),'Price History'!M152=0),"",'Price History'!M153/'Price History'!M152-1),"")</f>
        <v>0.00113895216400906</v>
      </c>
      <c r="N152" s="142" t="n">
        <f aca="false">IFERROR(IF(OR(NOT(ISNUMBER('Price History'!N153)),NOT(ISNUMBER('Price History'!N152)),'Price History'!N152=0),"",'Price History'!N153/'Price History'!N152-1),"")</f>
        <v>0.00544959128065403</v>
      </c>
      <c r="O152" s="142" t="n">
        <f aca="false">IFERROR(IF(OR(NOT(ISNUMBER('Price History'!O153)),NOT(ISNUMBER('Price History'!O152)),'Price History'!O152=0),"",'Price History'!O153/'Price History'!O152-1),"")</f>
        <v>-0.0182539139946675</v>
      </c>
      <c r="P152" s="142" t="n">
        <f aca="false">IFERROR(IF(OR(NOT(ISNUMBER('Price History'!P153)),NOT(ISNUMBER('Price History'!P152)),'Price History'!P152=0),"",'Price History'!P153/'Price History'!P152-1),"")</f>
        <v>0.00208783834165982</v>
      </c>
      <c r="Q152" s="142" t="n">
        <f aca="false">IFERROR(IF(OR(NOT(ISNUMBER('Price History'!Q153)),NOT(ISNUMBER('Price History'!Q152)),'Price History'!Q152=0),"",'Price History'!Q153/'Price History'!Q152-1),"")</f>
        <v>0.0292046862678834</v>
      </c>
      <c r="R152" s="142" t="n">
        <f aca="false">IFERROR(IF(OR(NOT(ISNUMBER('Price History'!R153)),NOT(ISNUMBER('Price History'!R152)),'Price History'!R152=0),"",'Price History'!R153/'Price History'!R152-1),"")</f>
        <v>-0.0313009455493969</v>
      </c>
      <c r="S152" s="142" t="n">
        <f aca="false">IFERROR(IF(OR(NOT(ISNUMBER('Price History'!S153)),NOT(ISNUMBER('Price History'!S152)),'Price History'!S152=0),"",'Price History'!S153/'Price History'!S152-1),"")</f>
        <v>-0.0356472795497187</v>
      </c>
      <c r="T152" s="142" t="n">
        <f aca="false">IFERROR(IF(OR(NOT(ISNUMBER('Price History'!T153)),NOT(ISNUMBER('Price History'!T152)),'Price History'!T152=0),"",'Price History'!T153/'Price History'!T152-1),"")</f>
        <v>0.0207734806629833</v>
      </c>
      <c r="U152" s="142" t="str">
        <f aca="false">IFERROR(IF(OR(NOT(ISNUMBER('Price History'!U153)),NOT(ISNUMBER('Price History'!U152)),'Price History'!U152=0),"",'Price History'!U153/'Price History'!U152-1),"")</f>
        <v/>
      </c>
      <c r="V152" s="143" t="str">
        <f aca="false">IFERROR(IF(OR(NOT(ISNUMBER('Price History'!V153)),NOT(ISNUMBER('Price History'!V152)),'Price History'!V152=0),"",'Price History'!V153/'Price History'!V152-1),"")</f>
        <v/>
      </c>
      <c r="W152" s="144" t="str">
        <f aca="false">IFERROR('Price History'!B3+(INDEX('Price History'!B:B,MATCH(9.99E+307,'Price History'!$A:$A))-'Price History'!B3)*(ROW()-3)/(MATCH(9.99E+307,'Returns (Calc)'!$A:$A)-3),"")</f>
        <v/>
      </c>
      <c r="X152" s="144" t="n">
        <f aca="false">IFERROR('Price History'!C3+(INDEX('Price History'!C:C,MATCH(9.99E+307,'Price History'!$A:$A))-'Price History'!C3)*(ROW()-3)/(MATCH(9.99E+307,'Returns (Calc)'!$A:$A)-3),"")</f>
        <v>2.63050632911393</v>
      </c>
      <c r="Y152" s="144" t="n">
        <f aca="false">IFERROR('Price History'!D3+(INDEX('Price History'!D:D,MATCH(9.99E+307,'Price History'!$A:$A))-'Price History'!D3)*(ROW()-3)/(MATCH(9.99E+307,'Returns (Calc)'!$A:$A)-3),"")</f>
        <v>33.1524683544303</v>
      </c>
      <c r="Z152" s="144" t="n">
        <f aca="false">IFERROR('Price History'!E3+(INDEX('Price History'!E:E,MATCH(9.99E+307,'Price History'!$A:$A))-'Price History'!E3)*(ROW()-3)/(MATCH(9.99E+307,'Returns (Calc)'!$A:$A)-3),"")</f>
        <v>4.67088607594937</v>
      </c>
      <c r="AA152" s="144" t="n">
        <f aca="false">IFERROR('Price History'!F3+(INDEX('Price History'!F:F,MATCH(9.99E+307,'Price History'!$A:$A))-'Price History'!F3)*(ROW()-3)/(MATCH(9.99E+307,'Returns (Calc)'!$A:$A)-3),"")</f>
        <v>4.28981012658228</v>
      </c>
      <c r="AB152" s="144" t="n">
        <f aca="false">IFERROR('Price History'!G3+(INDEX('Price History'!G:G,MATCH(9.99E+307,'Price History'!$A:$A))-'Price History'!G3)*(ROW()-3)/(MATCH(9.99E+307,'Returns (Calc)'!$A:$A)-3),"")</f>
        <v>2.35594936708861</v>
      </c>
      <c r="AC152" s="144" t="n">
        <f aca="false">IFERROR('Price History'!H3+(INDEX('Price History'!H:H,MATCH(9.99E+307,'Price History'!$A:$A))-'Price History'!H3)*(ROW()-3)/(MATCH(9.99E+307,'Returns (Calc)'!$A:$A)-3),"")</f>
        <v>5.72981012658228</v>
      </c>
      <c r="AD152" s="144" t="n">
        <f aca="false">IFERROR('Price History'!I3+(INDEX('Price History'!I:I,MATCH(9.99E+307,'Price History'!$A:$A))-'Price History'!I3)*(ROW()-3)/(MATCH(9.99E+307,'Returns (Calc)'!$A:$A)-3),"")</f>
        <v>2.52626582278481</v>
      </c>
      <c r="AE152" s="144" t="n">
        <f aca="false">IFERROR('Price History'!J3+(INDEX('Price History'!J:J,MATCH(9.99E+307,'Price History'!$A:$A))-'Price History'!J3)*(ROW()-3)/(MATCH(9.99E+307,'Returns (Calc)'!$A:$A)-3),"")</f>
        <v>3.93664556962025</v>
      </c>
      <c r="AF152" s="144" t="n">
        <f aca="false">IFERROR('Price History'!K3+(INDEX('Price History'!K:K,MATCH(9.99E+307,'Price History'!$A:$A))-'Price History'!K3)*(ROW()-3)/(MATCH(9.99E+307,'Returns (Calc)'!$A:$A)-3),"")</f>
        <v>2.49322784810126</v>
      </c>
      <c r="AG152" s="144" t="n">
        <f aca="false">IFERROR('Price History'!L3+(INDEX('Price History'!L:L,MATCH(9.99E+307,'Price History'!$A:$A))-'Price History'!L3)*(ROW()-3)/(MATCH(9.99E+307,'Returns (Calc)'!$A:$A)-3),"")</f>
        <v>6.37063291139241</v>
      </c>
      <c r="AH152" s="144" t="n">
        <f aca="false">IFERROR('Price History'!M3+(INDEX('Price History'!M:M,MATCH(9.99E+307,'Price History'!$A:$A))-'Price History'!M3)*(ROW()-3)/(MATCH(9.99E+307,'Returns (Calc)'!$A:$A)-3),"")</f>
        <v>0.873227848101266</v>
      </c>
      <c r="AI152" s="144" t="n">
        <f aca="false">IFERROR('Price History'!N3+(INDEX('Price History'!N:N,MATCH(9.99E+307,'Price History'!$A:$A))-'Price History'!N3)*(ROW()-3)/(MATCH(9.99E+307,'Returns (Calc)'!$A:$A)-3),"")</f>
        <v>1.24177215189873</v>
      </c>
      <c r="AJ152" s="144" t="n">
        <f aca="false">IFERROR('Price History'!O3+(INDEX('Price History'!O:O,MATCH(9.99E+307,'Price History'!$A:$A))-'Price History'!O3)*(ROW()-3)/(MATCH(9.99E+307,'Returns (Calc)'!$A:$A)-3),"")</f>
        <v>3.28272151898734</v>
      </c>
      <c r="AK152" s="144" t="n">
        <f aca="false">IFERROR('Price History'!Q3+(INDEX('Price History'!Q:Q,MATCH(9.99E+307,'Price History'!$A:$A))-'Price History'!Q3)*(ROW()-3)/(MATCH(9.99E+307,'Returns (Calc)'!$A:$A)-3),"")</f>
        <v>13.4219620253164</v>
      </c>
      <c r="AL152" s="144" t="n">
        <f aca="false">IFERROR('Price History'!R3+(INDEX('Price History'!R:R,MATCH(9.99E+307,'Price History'!$A:$A))-'Price History'!R3)*(ROW()-3)/(MATCH(9.99E+307,'Returns (Calc)'!$A:$A)-3),"")</f>
        <v>2.72392405063291</v>
      </c>
      <c r="AM152" s="144" t="n">
        <f aca="false">IFERROR('Price History'!S3+(INDEX('Price History'!S:S,MATCH(9.99E+307,'Price History'!$A:$A))-'Price History'!S3)*(ROW()-3)/(MATCH(9.99E+307,'Returns (Calc)'!$A:$A)-3),"")</f>
        <v>3.33455696202532</v>
      </c>
      <c r="AN152" s="144" t="n">
        <f aca="false">IFERROR('Price History'!T3+(INDEX('Price History'!T:T,MATCH(9.99E+307,'Price History'!$A:$A))-'Price History'!T3)*(ROW()-3)/(MATCH(9.99E+307,'Returns (Calc)'!$A:$A)-3),"")</f>
        <v>1.53284810126582</v>
      </c>
      <c r="AO152" s="145" t="n">
        <f aca="false">IFERROR('Price History'!V3+(INDEX('Price History'!V:V,MATCH(9.99E+307,'Price History'!$A:$A))-'Price History'!V3)*(ROW()-3)/(MATCH(9.99E+307,'Returns (Calc)'!$A:$A)-3),"")</f>
        <v>0</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0.0128133258588932</v>
      </c>
      <c r="G153" s="142" t="n">
        <f aca="false">IFERROR(IF(OR(NOT(ISNUMBER('Price History'!G154)),NOT(ISNUMBER('Price History'!G153)),'Price History'!G153=0),"",'Price History'!G154/'Price History'!G153-1),"")</f>
        <v>0.123441265849314</v>
      </c>
      <c r="H153" s="142" t="n">
        <f aca="false">IFERROR(IF(OR(NOT(ISNUMBER('Price History'!H154)),NOT(ISNUMBER('Price History'!H153)),'Price History'!H153=0),"",'Price History'!H154/'Price History'!H153-1),"")</f>
        <v>0.00431546688348261</v>
      </c>
      <c r="I153" s="142" t="n">
        <f aca="false">IFERROR(IF(OR(NOT(ISNUMBER('Price History'!I154)),NOT(ISNUMBER('Price History'!I153)),'Price History'!I153=0),"",'Price History'!I154/'Price History'!I153-1),"")</f>
        <v>0.0836755927933846</v>
      </c>
      <c r="J153" s="142" t="n">
        <f aca="false">IFERROR(IF(OR(NOT(ISNUMBER('Price History'!J154)),NOT(ISNUMBER('Price History'!J153)),'Price History'!J153=0),"",'Price History'!J154/'Price History'!J153-1),"")</f>
        <v>0.066267329258958</v>
      </c>
      <c r="K153" s="142" t="n">
        <f aca="false">IFERROR(IF(OR(NOT(ISNUMBER('Price History'!K154)),NOT(ISNUMBER('Price History'!K153)),'Price History'!K153=0),"",'Price History'!K154/'Price History'!K153-1),"")</f>
        <v>0.115593676756595</v>
      </c>
      <c r="L153" s="142" t="n">
        <f aca="false">IFERROR(IF(OR(NOT(ISNUMBER('Price History'!L154)),NOT(ISNUMBER('Price History'!L153)),'Price History'!L153=0),"",'Price History'!L154/'Price History'!L153-1),"")</f>
        <v>-0.0307381334076811</v>
      </c>
      <c r="M153" s="142" t="n">
        <f aca="false">IFERROR(IF(OR(NOT(ISNUMBER('Price History'!M154)),NOT(ISNUMBER('Price History'!M153)),'Price History'!M153=0),"",'Price History'!M154/'Price History'!M153-1),"")</f>
        <v>0.397773443848529</v>
      </c>
      <c r="N153" s="142" t="n">
        <f aca="false">IFERROR(IF(OR(NOT(ISNUMBER('Price History'!N154)),NOT(ISNUMBER('Price History'!N153)),'Price History'!N153=0),"",'Price History'!N154/'Price History'!N153-1),"")</f>
        <v>0.0126467931345982</v>
      </c>
      <c r="O153" s="142" t="n">
        <f aca="false">IFERROR(IF(OR(NOT(ISNUMBER('Price History'!O154)),NOT(ISNUMBER('Price History'!O153)),'Price History'!O153=0),"",'Price History'!O154/'Price History'!O153-1),"")</f>
        <v>0.0407381615598885</v>
      </c>
      <c r="P153" s="142" t="n">
        <f aca="false">IFERROR(IF(OR(NOT(ISNUMBER('Price History'!P154)),NOT(ISNUMBER('Price History'!P153)),'Price History'!P153=0),"",'Price History'!P154/'Price History'!P153-1),"")</f>
        <v>0.0390654066522806</v>
      </c>
      <c r="Q153" s="142" t="n">
        <f aca="false">IFERROR(IF(OR(NOT(ISNUMBER('Price History'!Q154)),NOT(ISNUMBER('Price History'!Q153)),'Price History'!Q153=0),"",'Price History'!Q154/'Price History'!Q153-1),"")</f>
        <v>-0.00990559584074435</v>
      </c>
      <c r="R153" s="142" t="n">
        <f aca="false">IFERROR(IF(OR(NOT(ISNUMBER('Price History'!R154)),NOT(ISNUMBER('Price History'!R153)),'Price History'!R153=0),"",'Price History'!R154/'Price History'!R153-1),"")</f>
        <v>-0.000504880511612238</v>
      </c>
      <c r="S153" s="142" t="n">
        <f aca="false">IFERROR(IF(OR(NOT(ISNUMBER('Price History'!S154)),NOT(ISNUMBER('Price History'!S153)),'Price History'!S153=0),"",'Price History'!S154/'Price History'!S153-1),"")</f>
        <v>-0.0218547341115433</v>
      </c>
      <c r="T153" s="142" t="n">
        <f aca="false">IFERROR(IF(OR(NOT(ISNUMBER('Price History'!T154)),NOT(ISNUMBER('Price History'!T153)),'Price History'!T153=0),"",'Price History'!T154/'Price History'!T153-1),"")</f>
        <v>0.0175362632604461</v>
      </c>
      <c r="U153" s="142" t="str">
        <f aca="false">IFERROR(IF(OR(NOT(ISNUMBER('Price History'!U154)),NOT(ISNUMBER('Price History'!U153)),'Price History'!U153=0),"",'Price History'!U154/'Price History'!U153-1),"")</f>
        <v/>
      </c>
      <c r="V153" s="143" t="str">
        <f aca="false">IFERROR(IF(OR(NOT(ISNUMBER('Price History'!V154)),NOT(ISNUMBER('Price History'!V153)),'Price History'!V153=0),"",'Price History'!V154/'Price History'!V153-1),"")</f>
        <v/>
      </c>
      <c r="W153" s="144" t="str">
        <f aca="false">IFERROR('Price History'!B3+(INDEX('Price History'!B:B,MATCH(9.99E+307,'Price History'!$A:$A))-'Price History'!B3)*(ROW()-3)/(MATCH(9.99E+307,'Returns (Calc)'!$A:$A)-3),"")</f>
        <v/>
      </c>
      <c r="X153" s="144" t="n">
        <f aca="false">IFERROR('Price History'!C3+(INDEX('Price History'!C:C,MATCH(9.99E+307,'Price History'!$A:$A))-'Price History'!C3)*(ROW()-3)/(MATCH(9.99E+307,'Returns (Calc)'!$A:$A)-3),"")</f>
        <v>2.33822784810127</v>
      </c>
      <c r="Y153" s="144" t="n">
        <f aca="false">IFERROR('Price History'!D3+(INDEX('Price History'!D:D,MATCH(9.99E+307,'Price History'!$A:$A))-'Price History'!D3)*(ROW()-3)/(MATCH(9.99E+307,'Returns (Calc)'!$A:$A)-3),"")</f>
        <v>29.4688607594936</v>
      </c>
      <c r="Z153" s="144" t="n">
        <f aca="false">IFERROR('Price History'!E3+(INDEX('Price History'!E:E,MATCH(9.99E+307,'Price History'!$A:$A))-'Price History'!E3)*(ROW()-3)/(MATCH(9.99E+307,'Returns (Calc)'!$A:$A)-3),"")</f>
        <v>4.15189873417721</v>
      </c>
      <c r="AA153" s="144" t="n">
        <f aca="false">IFERROR('Price History'!F3+(INDEX('Price History'!F:F,MATCH(9.99E+307,'Price History'!$A:$A))-'Price History'!F3)*(ROW()-3)/(MATCH(9.99E+307,'Returns (Calc)'!$A:$A)-3),"")</f>
        <v>3.81316455696202</v>
      </c>
      <c r="AB153" s="144" t="n">
        <f aca="false">IFERROR('Price History'!G3+(INDEX('Price History'!G:G,MATCH(9.99E+307,'Price History'!$A:$A))-'Price History'!G3)*(ROW()-3)/(MATCH(9.99E+307,'Returns (Calc)'!$A:$A)-3),"")</f>
        <v>2.09417721518987</v>
      </c>
      <c r="AC153" s="144" t="n">
        <f aca="false">IFERROR('Price History'!H3+(INDEX('Price History'!H:H,MATCH(9.99E+307,'Price History'!$A:$A))-'Price History'!H3)*(ROW()-3)/(MATCH(9.99E+307,'Returns (Calc)'!$A:$A)-3),"")</f>
        <v>5.09316455696202</v>
      </c>
      <c r="AD153" s="144" t="n">
        <f aca="false">IFERROR('Price History'!I3+(INDEX('Price History'!I:I,MATCH(9.99E+307,'Price History'!$A:$A))-'Price History'!I3)*(ROW()-3)/(MATCH(9.99E+307,'Returns (Calc)'!$A:$A)-3),"")</f>
        <v>2.24556962025316</v>
      </c>
      <c r="AE153" s="144" t="n">
        <f aca="false">IFERROR('Price History'!J3+(INDEX('Price History'!J:J,MATCH(9.99E+307,'Price History'!$A:$A))-'Price History'!J3)*(ROW()-3)/(MATCH(9.99E+307,'Returns (Calc)'!$A:$A)-3),"")</f>
        <v>3.49924050632912</v>
      </c>
      <c r="AF153" s="144" t="n">
        <f aca="false">IFERROR('Price History'!K3+(INDEX('Price History'!K:K,MATCH(9.99E+307,'Price History'!$A:$A))-'Price History'!K3)*(ROW()-3)/(MATCH(9.99E+307,'Returns (Calc)'!$A:$A)-3),"")</f>
        <v>2.21620253164556</v>
      </c>
      <c r="AG153" s="144" t="n">
        <f aca="false">IFERROR('Price History'!L3+(INDEX('Price History'!L:L,MATCH(9.99E+307,'Price History'!$A:$A))-'Price History'!L3)*(ROW()-3)/(MATCH(9.99E+307,'Returns (Calc)'!$A:$A)-3),"")</f>
        <v>5.66278481012658</v>
      </c>
      <c r="AH153" s="144" t="n">
        <f aca="false">IFERROR('Price History'!M3+(INDEX('Price History'!M:M,MATCH(9.99E+307,'Price History'!$A:$A))-'Price History'!M3)*(ROW()-3)/(MATCH(9.99E+307,'Returns (Calc)'!$A:$A)-3),"")</f>
        <v>0.77620253164557</v>
      </c>
      <c r="AI153" s="144" t="n">
        <f aca="false">IFERROR('Price History'!N3+(INDEX('Price History'!N:N,MATCH(9.99E+307,'Price History'!$A:$A))-'Price History'!N3)*(ROW()-3)/(MATCH(9.99E+307,'Returns (Calc)'!$A:$A)-3),"")</f>
        <v>1.10379746835443</v>
      </c>
      <c r="AJ153" s="144" t="n">
        <f aca="false">IFERROR('Price History'!O3+(INDEX('Price History'!O:O,MATCH(9.99E+307,'Price History'!$A:$A))-'Price History'!O3)*(ROW()-3)/(MATCH(9.99E+307,'Returns (Calc)'!$A:$A)-3),"")</f>
        <v>2.91797468354431</v>
      </c>
      <c r="AK153" s="144" t="n">
        <f aca="false">IFERROR('Price History'!Q3+(INDEX('Price History'!Q:Q,MATCH(9.99E+307,'Price History'!$A:$A))-'Price History'!Q3)*(ROW()-3)/(MATCH(9.99E+307,'Returns (Calc)'!$A:$A)-3),"")</f>
        <v>11.9306329113924</v>
      </c>
      <c r="AL153" s="144" t="n">
        <f aca="false">IFERROR('Price History'!R3+(INDEX('Price History'!R:R,MATCH(9.99E+307,'Price History'!$A:$A))-'Price History'!R3)*(ROW()-3)/(MATCH(9.99E+307,'Returns (Calc)'!$A:$A)-3),"")</f>
        <v>2.42126582278481</v>
      </c>
      <c r="AM153" s="144" t="n">
        <f aca="false">IFERROR('Price History'!S3+(INDEX('Price History'!S:S,MATCH(9.99E+307,'Price History'!$A:$A))-'Price History'!S3)*(ROW()-3)/(MATCH(9.99E+307,'Returns (Calc)'!$A:$A)-3),"")</f>
        <v>2.96405063291139</v>
      </c>
      <c r="AN153" s="144" t="n">
        <f aca="false">IFERROR('Price History'!T3+(INDEX('Price History'!T:T,MATCH(9.99E+307,'Price History'!$A:$A))-'Price History'!T3)*(ROW()-3)/(MATCH(9.99E+307,'Returns (Calc)'!$A:$A)-3),"")</f>
        <v>1.36253164556962</v>
      </c>
      <c r="AO153" s="145" t="n">
        <f aca="false">IFERROR('Price History'!V3+(INDEX('Price History'!V:V,MATCH(9.99E+307,'Price History'!$A:$A))-'Price History'!V3)*(ROW()-3)/(MATCH(9.99E+307,'Returns (Calc)'!$A:$A)-3),"")</f>
        <v>0</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0.0145489048786274</v>
      </c>
      <c r="G154" s="142" t="n">
        <f aca="false">IFERROR(IF(OR(NOT(ISNUMBER('Price History'!G155)),NOT(ISNUMBER('Price History'!G154)),'Price History'!G154=0),"",'Price History'!G155/'Price History'!G154-1),"")</f>
        <v>0.0117992724559277</v>
      </c>
      <c r="H154" s="142" t="n">
        <f aca="false">IFERROR(IF(OR(NOT(ISNUMBER('Price History'!H155)),NOT(ISNUMBER('Price History'!H154)),'Price History'!H154=0),"",'Price History'!H155/'Price History'!H154-1),"")</f>
        <v>0.0222319093286836</v>
      </c>
      <c r="I154" s="142" t="n">
        <f aca="false">IFERROR(IF(OR(NOT(ISNUMBER('Price History'!I155)),NOT(ISNUMBER('Price History'!I154)),'Price History'!I154=0),"",'Price History'!I155/'Price History'!I154-1),"")</f>
        <v>0.028298549699328</v>
      </c>
      <c r="J154" s="142" t="n">
        <f aca="false">IFERROR(IF(OR(NOT(ISNUMBER('Price History'!J155)),NOT(ISNUMBER('Price History'!J154)),'Price History'!J154=0),"",'Price History'!J155/'Price History'!J154-1),"")</f>
        <v>0.107216518340417</v>
      </c>
      <c r="K154" s="142" t="n">
        <f aca="false">IFERROR(IF(OR(NOT(ISNUMBER('Price History'!K155)),NOT(ISNUMBER('Price History'!K154)),'Price History'!K154=0),"",'Price History'!K155/'Price History'!K154-1),"")</f>
        <v>0.00536408743462524</v>
      </c>
      <c r="L154" s="142" t="n">
        <f aca="false">IFERROR(IF(OR(NOT(ISNUMBER('Price History'!L155)),NOT(ISNUMBER('Price History'!L154)),'Price History'!L154=0),"",'Price History'!L155/'Price History'!L154-1),"")</f>
        <v>0.00618438084280149</v>
      </c>
      <c r="M154" s="142" t="n">
        <f aca="false">IFERROR(IF(OR(NOT(ISNUMBER('Price History'!M155)),NOT(ISNUMBER('Price History'!M154)),'Price History'!M154=0),"",'Price History'!M155/'Price History'!M154-1),"")</f>
        <v>0.0118016394395675</v>
      </c>
      <c r="N154" s="142" t="n">
        <f aca="false">IFERROR(IF(OR(NOT(ISNUMBER('Price History'!N155)),NOT(ISNUMBER('Price History'!N154)),'Price History'!N154=0),"",'Price History'!N155/'Price History'!N154-1),"")</f>
        <v>0.0184359203092477</v>
      </c>
      <c r="O154" s="142" t="n">
        <f aca="false">IFERROR(IF(OR(NOT(ISNUMBER('Price History'!O155)),NOT(ISNUMBER('Price History'!O154)),'Price History'!O154=0),"",'Price History'!O155/'Price History'!O154-1),"")</f>
        <v>0.0241552358648378</v>
      </c>
      <c r="P154" s="142" t="n">
        <f aca="false">IFERROR(IF(OR(NOT(ISNUMBER('Price History'!P155)),NOT(ISNUMBER('Price History'!P154)),'Price History'!P154=0),"",'Price History'!P155/'Price History'!P154-1),"")</f>
        <v>0.0150147999618064</v>
      </c>
      <c r="Q154" s="142" t="n">
        <f aca="false">IFERROR(IF(OR(NOT(ISNUMBER('Price History'!Q155)),NOT(ISNUMBER('Price History'!Q154)),'Price History'!Q154=0),"",'Price History'!Q155/'Price History'!Q154-1),"")</f>
        <v>0.0064118508691926</v>
      </c>
      <c r="R154" s="142" t="n">
        <f aca="false">IFERROR(IF(OR(NOT(ISNUMBER('Price History'!R155)),NOT(ISNUMBER('Price History'!R154)),'Price History'!R154=0),"",'Price History'!R155/'Price History'!R154-1),"")</f>
        <v>0.0188583936689677</v>
      </c>
      <c r="S154" s="142" t="n">
        <f aca="false">IFERROR(IF(OR(NOT(ISNUMBER('Price History'!S155)),NOT(ISNUMBER('Price History'!S154)),'Price History'!S154=0),"",'Price History'!S155/'Price History'!S154-1),"")</f>
        <v>0.0193595438573226</v>
      </c>
      <c r="T154" s="142" t="n">
        <f aca="false">IFERROR(IF(OR(NOT(ISNUMBER('Price History'!T155)),NOT(ISNUMBER('Price History'!T154)),'Price History'!T154=0),"",'Price History'!T155/'Price History'!T154-1),"")</f>
        <v>0.00829787234042545</v>
      </c>
      <c r="U154" s="142" t="str">
        <f aca="false">IFERROR(IF(OR(NOT(ISNUMBER('Price History'!U155)),NOT(ISNUMBER('Price History'!U154)),'Price History'!U154=0),"",'Price History'!U155/'Price History'!U154-1),"")</f>
        <v/>
      </c>
      <c r="V154" s="143" t="str">
        <f aca="false">IFERROR(IF(OR(NOT(ISNUMBER('Price History'!V155)),NOT(ISNUMBER('Price History'!V154)),'Price History'!V154=0),"",'Price History'!V155/'Price History'!V154-1),"")</f>
        <v/>
      </c>
      <c r="W154" s="144" t="str">
        <f aca="false">IFERROR('Price History'!B3+(INDEX('Price History'!B:B,MATCH(9.99E+307,'Price History'!$A:$A))-'Price History'!B3)*(ROW()-3)/(MATCH(9.99E+307,'Returns (Calc)'!$A:$A)-3),"")</f>
        <v/>
      </c>
      <c r="X154" s="144" t="n">
        <f aca="false">IFERROR('Price History'!C3+(INDEX('Price History'!C:C,MATCH(9.99E+307,'Price History'!$A:$A))-'Price History'!C3)*(ROW()-3)/(MATCH(9.99E+307,'Returns (Calc)'!$A:$A)-3),"")</f>
        <v>2.0459493670886</v>
      </c>
      <c r="Y154" s="144" t="n">
        <f aca="false">IFERROR('Price History'!D3+(INDEX('Price History'!D:D,MATCH(9.99E+307,'Price History'!$A:$A))-'Price History'!D3)*(ROW()-3)/(MATCH(9.99E+307,'Returns (Calc)'!$A:$A)-3),"")</f>
        <v>25.7852531645569</v>
      </c>
      <c r="Z154" s="144" t="n">
        <f aca="false">IFERROR('Price History'!E3+(INDEX('Price History'!E:E,MATCH(9.99E+307,'Price History'!$A:$A))-'Price History'!E3)*(ROW()-3)/(MATCH(9.99E+307,'Returns (Calc)'!$A:$A)-3),"")</f>
        <v>3.63291139240506</v>
      </c>
      <c r="AA154" s="144" t="n">
        <f aca="false">IFERROR('Price History'!F3+(INDEX('Price History'!F:F,MATCH(9.99E+307,'Price History'!$A:$A))-'Price History'!F3)*(ROW()-3)/(MATCH(9.99E+307,'Returns (Calc)'!$A:$A)-3),"")</f>
        <v>3.33651898734178</v>
      </c>
      <c r="AB154" s="144" t="n">
        <f aca="false">IFERROR('Price History'!G3+(INDEX('Price History'!G:G,MATCH(9.99E+307,'Price History'!$A:$A))-'Price History'!G3)*(ROW()-3)/(MATCH(9.99E+307,'Returns (Calc)'!$A:$A)-3),"")</f>
        <v>1.83240506329114</v>
      </c>
      <c r="AC154" s="144" t="n">
        <f aca="false">IFERROR('Price History'!H3+(INDEX('Price History'!H:H,MATCH(9.99E+307,'Price History'!$A:$A))-'Price History'!H3)*(ROW()-3)/(MATCH(9.99E+307,'Returns (Calc)'!$A:$A)-3),"")</f>
        <v>4.45651898734178</v>
      </c>
      <c r="AD154" s="144" t="n">
        <f aca="false">IFERROR('Price History'!I3+(INDEX('Price History'!I:I,MATCH(9.99E+307,'Price History'!$A:$A))-'Price History'!I3)*(ROW()-3)/(MATCH(9.99E+307,'Returns (Calc)'!$A:$A)-3),"")</f>
        <v>1.96487341772152</v>
      </c>
      <c r="AE154" s="144" t="n">
        <f aca="false">IFERROR('Price History'!J3+(INDEX('Price History'!J:J,MATCH(9.99E+307,'Price History'!$A:$A))-'Price History'!J3)*(ROW()-3)/(MATCH(9.99E+307,'Returns (Calc)'!$A:$A)-3),"")</f>
        <v>3.06183544303796</v>
      </c>
      <c r="AF154" s="144" t="n">
        <f aca="false">IFERROR('Price History'!K3+(INDEX('Price History'!K:K,MATCH(9.99E+307,'Price History'!$A:$A))-'Price History'!K3)*(ROW()-3)/(MATCH(9.99E+307,'Returns (Calc)'!$A:$A)-3),"")</f>
        <v>1.93917721518987</v>
      </c>
      <c r="AG154" s="144" t="n">
        <f aca="false">IFERROR('Price History'!L3+(INDEX('Price History'!L:L,MATCH(9.99E+307,'Price History'!$A:$A))-'Price History'!L3)*(ROW()-3)/(MATCH(9.99E+307,'Returns (Calc)'!$A:$A)-3),"")</f>
        <v>4.95493670886076</v>
      </c>
      <c r="AH154" s="144" t="n">
        <f aca="false">IFERROR('Price History'!M3+(INDEX('Price History'!M:M,MATCH(9.99E+307,'Price History'!$A:$A))-'Price History'!M3)*(ROW()-3)/(MATCH(9.99E+307,'Returns (Calc)'!$A:$A)-3),"")</f>
        <v>0.679177215189874</v>
      </c>
      <c r="AI154" s="144" t="n">
        <f aca="false">IFERROR('Price History'!N3+(INDEX('Price History'!N:N,MATCH(9.99E+307,'Price History'!$A:$A))-'Price History'!N3)*(ROW()-3)/(MATCH(9.99E+307,'Returns (Calc)'!$A:$A)-3),"")</f>
        <v>0.965822784810126</v>
      </c>
      <c r="AJ154" s="144" t="n">
        <f aca="false">IFERROR('Price History'!O3+(INDEX('Price History'!O:O,MATCH(9.99E+307,'Price History'!$A:$A))-'Price History'!O3)*(ROW()-3)/(MATCH(9.99E+307,'Returns (Calc)'!$A:$A)-3),"")</f>
        <v>2.55322784810127</v>
      </c>
      <c r="AK154" s="144" t="n">
        <f aca="false">IFERROR('Price History'!Q3+(INDEX('Price History'!Q:Q,MATCH(9.99E+307,'Price History'!$A:$A))-'Price History'!Q3)*(ROW()-3)/(MATCH(9.99E+307,'Returns (Calc)'!$A:$A)-3),"")</f>
        <v>10.4393037974684</v>
      </c>
      <c r="AL154" s="144" t="n">
        <f aca="false">IFERROR('Price History'!R3+(INDEX('Price History'!R:R,MATCH(9.99E+307,'Price History'!$A:$A))-'Price History'!R3)*(ROW()-3)/(MATCH(9.99E+307,'Returns (Calc)'!$A:$A)-3),"")</f>
        <v>2.11860759493671</v>
      </c>
      <c r="AM154" s="144" t="n">
        <f aca="false">IFERROR('Price History'!S3+(INDEX('Price History'!S:S,MATCH(9.99E+307,'Price History'!$A:$A))-'Price History'!S3)*(ROW()-3)/(MATCH(9.99E+307,'Returns (Calc)'!$A:$A)-3),"")</f>
        <v>2.59354430379747</v>
      </c>
      <c r="AN154" s="144" t="n">
        <f aca="false">IFERROR('Price History'!T3+(INDEX('Price History'!T:T,MATCH(9.99E+307,'Price History'!$A:$A))-'Price History'!T3)*(ROW()-3)/(MATCH(9.99E+307,'Returns (Calc)'!$A:$A)-3),"")</f>
        <v>1.19221518987342</v>
      </c>
      <c r="AO154" s="145" t="n">
        <f aca="false">IFERROR('Price History'!V3+(INDEX('Price History'!V:V,MATCH(9.99E+307,'Price History'!$A:$A))-'Price History'!V3)*(ROW()-3)/(MATCH(9.99E+307,'Returns (Calc)'!$A:$A)-3),"")</f>
        <v>0</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-0.0176915283298261</v>
      </c>
      <c r="G155" s="142" t="n">
        <f aca="false">IFERROR(IF(OR(NOT(ISNUMBER('Price History'!G156)),NOT(ISNUMBER('Price History'!G155)),'Price History'!G155=0),"",'Price History'!G156/'Price History'!G155-1),"")</f>
        <v>-0.115233924867481</v>
      </c>
      <c r="H155" s="142" t="n">
        <f aca="false">IFERROR(IF(OR(NOT(ISNUMBER('Price History'!H156)),NOT(ISNUMBER('Price History'!H155)),'Price History'!H155=0),"",'Price History'!H156/'Price History'!H155-1),"")</f>
        <v>-0.00852878464818763</v>
      </c>
      <c r="I155" s="142" t="n">
        <f aca="false">IFERROR(IF(OR(NOT(ISNUMBER('Price History'!I156)),NOT(ISNUMBER('Price History'!I155)),'Price History'!I155=0),"",'Price History'!I156/'Price History'!I155-1),"")</f>
        <v>-0.095827804806133</v>
      </c>
      <c r="J155" s="142" t="n">
        <f aca="false">IFERROR(IF(OR(NOT(ISNUMBER('Price History'!J156)),NOT(ISNUMBER('Price History'!J155)),'Price History'!J155=0),"",'Price History'!J156/'Price History'!J155-1),"")</f>
        <v>-0.00502233291480558</v>
      </c>
      <c r="K155" s="142" t="n">
        <f aca="false">IFERROR(IF(OR(NOT(ISNUMBER('Price History'!K156)),NOT(ISNUMBER('Price History'!K155)),'Price History'!K155=0),"",'Price History'!K156/'Price History'!K155-1),"")</f>
        <v>-0.0463741051976346</v>
      </c>
      <c r="L155" s="142" t="n">
        <f aca="false">IFERROR(IF(OR(NOT(ISNUMBER('Price History'!L156)),NOT(ISNUMBER('Price History'!L155)),'Price History'!L155=0),"",'Price History'!L156/'Price History'!L155-1),"")</f>
        <v>0.00543167524299615</v>
      </c>
      <c r="M155" s="142" t="n">
        <f aca="false">IFERROR(IF(OR(NOT(ISNUMBER('Price History'!M156)),NOT(ISNUMBER('Price History'!M155)),'Price History'!M155=0),"",'Price History'!M156/'Price History'!M155-1),"")</f>
        <v>0.0339002528154448</v>
      </c>
      <c r="N155" s="142" t="n">
        <f aca="false">IFERROR(IF(OR(NOT(ISNUMBER('Price History'!N156)),NOT(ISNUMBER('Price History'!N155)),'Price History'!N155=0),"",'Price History'!N156/'Price History'!N155-1),"")</f>
        <v>0.016934306569343</v>
      </c>
      <c r="O155" s="142" t="n">
        <f aca="false">IFERROR(IF(OR(NOT(ISNUMBER('Price History'!O156)),NOT(ISNUMBER('Price History'!O155)),'Price History'!O155=0),"",'Price History'!O156/'Price History'!O155-1),"")</f>
        <v>-0.0298575721939108</v>
      </c>
      <c r="P155" s="142" t="n">
        <f aca="false">IFERROR(IF(OR(NOT(ISNUMBER('Price History'!P156)),NOT(ISNUMBER('Price History'!P155)),'Price History'!P155=0),"",'Price History'!P156/'Price History'!P155-1),"")</f>
        <v>-0.0173561299122786</v>
      </c>
      <c r="Q155" s="142" t="n">
        <f aca="false">IFERROR(IF(OR(NOT(ISNUMBER('Price History'!Q156)),NOT(ISNUMBER('Price History'!Q155)),'Price History'!Q155=0),"",'Price History'!Q156/'Price History'!Q155-1),"")</f>
        <v>0.0189207744061515</v>
      </c>
      <c r="R155" s="142" t="n">
        <f aca="false">IFERROR(IF(OR(NOT(ISNUMBER('Price History'!R156)),NOT(ISNUMBER('Price History'!R155)),'Price History'!R155=0),"",'Price History'!R156/'Price History'!R155-1),"")</f>
        <v>-0.0330523880350355</v>
      </c>
      <c r="S155" s="142" t="n">
        <f aca="false">IFERROR(IF(OR(NOT(ISNUMBER('Price History'!S156)),NOT(ISNUMBER('Price History'!S155)),'Price History'!S155=0),"",'Price History'!S156/'Price History'!S155-1),"")</f>
        <v>-0.0641300813008131</v>
      </c>
      <c r="T155" s="142" t="n">
        <f aca="false">IFERROR(IF(OR(NOT(ISNUMBER('Price History'!T156)),NOT(ISNUMBER('Price History'!T155)),'Price History'!T155=0),"",'Price History'!T156/'Price History'!T155-1),"")</f>
        <v>0.0086516142646127</v>
      </c>
      <c r="U155" s="142" t="str">
        <f aca="false">IFERROR(IF(OR(NOT(ISNUMBER('Price History'!U156)),NOT(ISNUMBER('Price History'!U155)),'Price History'!U155=0),"",'Price History'!U156/'Price History'!U155-1),"")</f>
        <v/>
      </c>
      <c r="V155" s="143" t="n">
        <f aca="false">IFERROR(IF(OR(NOT(ISNUMBER('Price History'!V156)),NOT(ISNUMBER('Price History'!V155)),'Price History'!V155=0),"",'Price History'!V156/'Price History'!V155-1),"")</f>
        <v>0.0275034451079468</v>
      </c>
      <c r="W155" s="144" t="str">
        <f aca="false">IFERROR('Price History'!B3+(INDEX('Price History'!B:B,MATCH(9.99E+307,'Price History'!$A:$A))-'Price History'!B3)*(ROW()-3)/(MATCH(9.99E+307,'Returns (Calc)'!$A:$A)-3),"")</f>
        <v/>
      </c>
      <c r="X155" s="144" t="n">
        <f aca="false">IFERROR('Price History'!C3+(INDEX('Price History'!C:C,MATCH(9.99E+307,'Price History'!$A:$A))-'Price History'!C3)*(ROW()-3)/(MATCH(9.99E+307,'Returns (Calc)'!$A:$A)-3),"")</f>
        <v>1.75367088607595</v>
      </c>
      <c r="Y155" s="144" t="n">
        <f aca="false">IFERROR('Price History'!D3+(INDEX('Price History'!D:D,MATCH(9.99E+307,'Price History'!$A:$A))-'Price History'!D3)*(ROW()-3)/(MATCH(9.99E+307,'Returns (Calc)'!$A:$A)-3),"")</f>
        <v>22.1016455696202</v>
      </c>
      <c r="Z155" s="144" t="n">
        <f aca="false">IFERROR('Price History'!E3+(INDEX('Price History'!E:E,MATCH(9.99E+307,'Price History'!$A:$A))-'Price History'!E3)*(ROW()-3)/(MATCH(9.99E+307,'Returns (Calc)'!$A:$A)-3),"")</f>
        <v>3.11392405063292</v>
      </c>
      <c r="AA155" s="144" t="n">
        <f aca="false">IFERROR('Price History'!F3+(INDEX('Price History'!F:F,MATCH(9.99E+307,'Price History'!$A:$A))-'Price History'!F3)*(ROW()-3)/(MATCH(9.99E+307,'Returns (Calc)'!$A:$A)-3),"")</f>
        <v>2.85987341772152</v>
      </c>
      <c r="AB155" s="144" t="n">
        <f aca="false">IFERROR('Price History'!G3+(INDEX('Price History'!G:G,MATCH(9.99E+307,'Price History'!$A:$A))-'Price History'!G3)*(ROW()-3)/(MATCH(9.99E+307,'Returns (Calc)'!$A:$A)-3),"")</f>
        <v>1.5706329113924</v>
      </c>
      <c r="AC155" s="144" t="n">
        <f aca="false">IFERROR('Price History'!H3+(INDEX('Price History'!H:H,MATCH(9.99E+307,'Price History'!$A:$A))-'Price History'!H3)*(ROW()-3)/(MATCH(9.99E+307,'Returns (Calc)'!$A:$A)-3),"")</f>
        <v>3.81987341772152</v>
      </c>
      <c r="AD155" s="144" t="n">
        <f aca="false">IFERROR('Price History'!I3+(INDEX('Price History'!I:I,MATCH(9.99E+307,'Price History'!$A:$A))-'Price History'!I3)*(ROW()-3)/(MATCH(9.99E+307,'Returns (Calc)'!$A:$A)-3),"")</f>
        <v>1.68417721518988</v>
      </c>
      <c r="AE155" s="144" t="n">
        <f aca="false">IFERROR('Price History'!J3+(INDEX('Price History'!J:J,MATCH(9.99E+307,'Price History'!$A:$A))-'Price History'!J3)*(ROW()-3)/(MATCH(9.99E+307,'Returns (Calc)'!$A:$A)-3),"")</f>
        <v>2.62443037974684</v>
      </c>
      <c r="AF155" s="144" t="n">
        <f aca="false">IFERROR('Price History'!K3+(INDEX('Price History'!K:K,MATCH(9.99E+307,'Price History'!$A:$A))-'Price History'!K3)*(ROW()-3)/(MATCH(9.99E+307,'Returns (Calc)'!$A:$A)-3),"")</f>
        <v>1.66215189873417</v>
      </c>
      <c r="AG155" s="144" t="n">
        <f aca="false">IFERROR('Price History'!L3+(INDEX('Price History'!L:L,MATCH(9.99E+307,'Price History'!$A:$A))-'Price History'!L3)*(ROW()-3)/(MATCH(9.99E+307,'Returns (Calc)'!$A:$A)-3),"")</f>
        <v>4.24708860759493</v>
      </c>
      <c r="AH155" s="144" t="n">
        <f aca="false">IFERROR('Price History'!M3+(INDEX('Price History'!M:M,MATCH(9.99E+307,'Price History'!$A:$A))-'Price History'!M3)*(ROW()-3)/(MATCH(9.99E+307,'Returns (Calc)'!$A:$A)-3),"")</f>
        <v>0.582151898734178</v>
      </c>
      <c r="AI155" s="144" t="n">
        <f aca="false">IFERROR('Price History'!N3+(INDEX('Price History'!N:N,MATCH(9.99E+307,'Price History'!$A:$A))-'Price History'!N3)*(ROW()-3)/(MATCH(9.99E+307,'Returns (Calc)'!$A:$A)-3),"")</f>
        <v>0.827848101265825</v>
      </c>
      <c r="AJ155" s="144" t="n">
        <f aca="false">IFERROR('Price History'!O3+(INDEX('Price History'!O:O,MATCH(9.99E+307,'Price History'!$A:$A))-'Price History'!O3)*(ROW()-3)/(MATCH(9.99E+307,'Returns (Calc)'!$A:$A)-3),"")</f>
        <v>2.18848101265823</v>
      </c>
      <c r="AK155" s="144" t="n">
        <f aca="false">IFERROR('Price History'!Q3+(INDEX('Price History'!Q:Q,MATCH(9.99E+307,'Price History'!$A:$A))-'Price History'!Q3)*(ROW()-3)/(MATCH(9.99E+307,'Returns (Calc)'!$A:$A)-3),"")</f>
        <v>8.94797468354429</v>
      </c>
      <c r="AL155" s="144" t="n">
        <f aca="false">IFERROR('Price History'!R3+(INDEX('Price History'!R:R,MATCH(9.99E+307,'Price History'!$A:$A))-'Price History'!R3)*(ROW()-3)/(MATCH(9.99E+307,'Returns (Calc)'!$A:$A)-3),"")</f>
        <v>1.81594936708861</v>
      </c>
      <c r="AM155" s="144" t="n">
        <f aca="false">IFERROR('Price History'!S3+(INDEX('Price History'!S:S,MATCH(9.99E+307,'Price History'!$A:$A))-'Price History'!S3)*(ROW()-3)/(MATCH(9.99E+307,'Returns (Calc)'!$A:$A)-3),"")</f>
        <v>2.22303797468354</v>
      </c>
      <c r="AN155" s="144" t="n">
        <f aca="false">IFERROR('Price History'!T3+(INDEX('Price History'!T:T,MATCH(9.99E+307,'Price History'!$A:$A))-'Price History'!T3)*(ROW()-3)/(MATCH(9.99E+307,'Returns (Calc)'!$A:$A)-3),"")</f>
        <v>1.02189873417721</v>
      </c>
      <c r="AO155" s="145" t="n">
        <f aca="false">IFERROR('Price History'!V3+(INDEX('Price History'!V:V,MATCH(9.99E+307,'Price History'!$A:$A))-'Price History'!V3)*(ROW()-3)/(MATCH(9.99E+307,'Returns (Calc)'!$A:$A)-3),"")</f>
        <v>0</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-0.00698191050460184</v>
      </c>
      <c r="G156" s="142" t="n">
        <f aca="false">IFERROR(IF(OR(NOT(ISNUMBER('Price History'!G157)),NOT(ISNUMBER('Price History'!G156)),'Price History'!G156=0),"",'Price History'!G157/'Price History'!G156-1),"")</f>
        <v>0.137796301120083</v>
      </c>
      <c r="H156" s="142" t="n">
        <f aca="false">IFERROR(IF(OR(NOT(ISNUMBER('Price History'!H157)),NOT(ISNUMBER('Price History'!H156)),'Price History'!H156=0),"",'Price History'!H157/'Price History'!H156-1),"")</f>
        <v>-0.00178187403993846</v>
      </c>
      <c r="I156" s="142" t="n">
        <f aca="false">IFERROR(IF(OR(NOT(ISNUMBER('Price History'!I157)),NOT(ISNUMBER('Price History'!I156)),'Price History'!I156=0),"",'Price History'!I157/'Price History'!I156-1),"")</f>
        <v>-0.0459264090439698</v>
      </c>
      <c r="J156" s="142" t="n">
        <f aca="false">IFERROR(IF(OR(NOT(ISNUMBER('Price History'!J157)),NOT(ISNUMBER('Price History'!J156)),'Price History'!J156=0),"",'Price History'!J157/'Price History'!J156-1),"")</f>
        <v>-0.0350855416951116</v>
      </c>
      <c r="K156" s="142" t="n">
        <f aca="false">IFERROR(IF(OR(NOT(ISNUMBER('Price History'!K157)),NOT(ISNUMBER('Price History'!K156)),'Price History'!K156=0),"",'Price History'!K157/'Price History'!K156-1),"")</f>
        <v>0.0131947034688549</v>
      </c>
      <c r="L156" s="142" t="n">
        <f aca="false">IFERROR(IF(OR(NOT(ISNUMBER('Price History'!L157)),NOT(ISNUMBER('Price History'!L156)),'Price History'!L156=0),"",'Price History'!L157/'Price History'!L156-1),"")</f>
        <v>-0.00774808075063982</v>
      </c>
      <c r="M156" s="142" t="n">
        <f aca="false">IFERROR(IF(OR(NOT(ISNUMBER('Price History'!M157)),NOT(ISNUMBER('Price History'!M156)),'Price History'!M156=0),"",'Price History'!M157/'Price History'!M156-1),"")</f>
        <v>0.0352895409580971</v>
      </c>
      <c r="N156" s="142" t="n">
        <f aca="false">IFERROR(IF(OR(NOT(ISNUMBER('Price History'!N157)),NOT(ISNUMBER('Price History'!N156)),'Price History'!N156=0),"",'Price History'!N157/'Price History'!N156-1),"")</f>
        <v>-0.00602928509905254</v>
      </c>
      <c r="O156" s="142" t="n">
        <f aca="false">IFERROR(IF(OR(NOT(ISNUMBER('Price History'!O157)),NOT(ISNUMBER('Price History'!O156)),'Price History'!O156=0),"",'Price History'!O157/'Price History'!O156-1),"")</f>
        <v>-0.0131321974543741</v>
      </c>
      <c r="P156" s="142" t="n">
        <f aca="false">IFERROR(IF(OR(NOT(ISNUMBER('Price History'!P157)),NOT(ISNUMBER('Price History'!P156)),'Price History'!P156=0),"",'Price History'!P157/'Price History'!P156-1),"")</f>
        <v>-0.00342244453485874</v>
      </c>
      <c r="Q156" s="142" t="n">
        <f aca="false">IFERROR(IF(OR(NOT(ISNUMBER('Price History'!Q157)),NOT(ISNUMBER('Price History'!Q156)),'Price History'!Q156=0),"",'Price History'!Q157/'Price History'!Q156-1),"")</f>
        <v>0.0284605433376455</v>
      </c>
      <c r="R156" s="142" t="n">
        <f aca="false">IFERROR(IF(OR(NOT(ISNUMBER('Price History'!R157)),NOT(ISNUMBER('Price History'!R156)),'Price History'!R156=0),"",'Price History'!R157/'Price History'!R156-1),"")</f>
        <v>-0.0094001025465732</v>
      </c>
      <c r="S156" s="142" t="n">
        <f aca="false">IFERROR(IF(OR(NOT(ISNUMBER('Price History'!S157)),NOT(ISNUMBER('Price History'!S156)),'Price History'!S156=0),"",'Price History'!S157/'Price History'!S156-1),"")</f>
        <v>0.0182083536034472</v>
      </c>
      <c r="T156" s="142" t="n">
        <f aca="false">IFERROR(IF(OR(NOT(ISNUMBER('Price History'!T157)),NOT(ISNUMBER('Price History'!T156)),'Price History'!T156=0),"",'Price History'!T157/'Price History'!T156-1),"")</f>
        <v>0.00711297071129713</v>
      </c>
      <c r="U156" s="142" t="str">
        <f aca="false">IFERROR(IF(OR(NOT(ISNUMBER('Price History'!U157)),NOT(ISNUMBER('Price History'!U156)),'Price History'!U156=0),"",'Price History'!U157/'Price History'!U156-1),"")</f>
        <v/>
      </c>
      <c r="V156" s="143" t="n">
        <f aca="false">IFERROR(IF(OR(NOT(ISNUMBER('Price History'!V157)),NOT(ISNUMBER('Price History'!V156)),'Price History'!V156=0),"",'Price History'!V157/'Price History'!V156-1),"")</f>
        <v>-0.00787929589270742</v>
      </c>
      <c r="W156" s="144" t="str">
        <f aca="false">IFERROR('Price History'!B3+(INDEX('Price History'!B:B,MATCH(9.99E+307,'Price History'!$A:$A))-'Price History'!B3)*(ROW()-3)/(MATCH(9.99E+307,'Returns (Calc)'!$A:$A)-3),"")</f>
        <v/>
      </c>
      <c r="X156" s="144" t="n">
        <f aca="false">IFERROR('Price History'!C3+(INDEX('Price History'!C:C,MATCH(9.99E+307,'Price History'!$A:$A))-'Price History'!C3)*(ROW()-3)/(MATCH(9.99E+307,'Returns (Calc)'!$A:$A)-3),"")</f>
        <v>1.46139240506329</v>
      </c>
      <c r="Y156" s="144" t="n">
        <f aca="false">IFERROR('Price History'!D3+(INDEX('Price History'!D:D,MATCH(9.99E+307,'Price History'!$A:$A))-'Price History'!D3)*(ROW()-3)/(MATCH(9.99E+307,'Returns (Calc)'!$A:$A)-3),"")</f>
        <v>18.4180379746836</v>
      </c>
      <c r="Z156" s="144" t="n">
        <f aca="false">IFERROR('Price History'!E3+(INDEX('Price History'!E:E,MATCH(9.99E+307,'Price History'!$A:$A))-'Price History'!E3)*(ROW()-3)/(MATCH(9.99E+307,'Returns (Calc)'!$A:$A)-3),"")</f>
        <v>2.59493670886076</v>
      </c>
      <c r="AA156" s="144" t="n">
        <f aca="false">IFERROR('Price History'!F3+(INDEX('Price History'!F:F,MATCH(9.99E+307,'Price History'!$A:$A))-'Price History'!F3)*(ROW()-3)/(MATCH(9.99E+307,'Returns (Calc)'!$A:$A)-3),"")</f>
        <v>2.38322784810127</v>
      </c>
      <c r="AB156" s="144" t="n">
        <f aca="false">IFERROR('Price History'!G3+(INDEX('Price History'!G:G,MATCH(9.99E+307,'Price History'!$A:$A))-'Price History'!G3)*(ROW()-3)/(MATCH(9.99E+307,'Returns (Calc)'!$A:$A)-3),"")</f>
        <v>1.30886075949367</v>
      </c>
      <c r="AC156" s="144" t="n">
        <f aca="false">IFERROR('Price History'!H3+(INDEX('Price History'!H:H,MATCH(9.99E+307,'Price History'!$A:$A))-'Price History'!H3)*(ROW()-3)/(MATCH(9.99E+307,'Returns (Calc)'!$A:$A)-3),"")</f>
        <v>3.18322784810127</v>
      </c>
      <c r="AD156" s="144" t="n">
        <f aca="false">IFERROR('Price History'!I3+(INDEX('Price History'!I:I,MATCH(9.99E+307,'Price History'!$A:$A))-'Price History'!I3)*(ROW()-3)/(MATCH(9.99E+307,'Returns (Calc)'!$A:$A)-3),"")</f>
        <v>1.40348101265823</v>
      </c>
      <c r="AE156" s="144" t="n">
        <f aca="false">IFERROR('Price History'!J3+(INDEX('Price History'!J:J,MATCH(9.99E+307,'Price History'!$A:$A))-'Price History'!J3)*(ROW()-3)/(MATCH(9.99E+307,'Returns (Calc)'!$A:$A)-3),"")</f>
        <v>2.1870253164557</v>
      </c>
      <c r="AF156" s="144" t="n">
        <f aca="false">IFERROR('Price History'!K3+(INDEX('Price History'!K:K,MATCH(9.99E+307,'Price History'!$A:$A))-'Price History'!K3)*(ROW()-3)/(MATCH(9.99E+307,'Returns (Calc)'!$A:$A)-3),"")</f>
        <v>1.38512658227848</v>
      </c>
      <c r="AG156" s="144" t="n">
        <f aca="false">IFERROR('Price History'!L3+(INDEX('Price History'!L:L,MATCH(9.99E+307,'Price History'!$A:$A))-'Price History'!L3)*(ROW()-3)/(MATCH(9.99E+307,'Returns (Calc)'!$A:$A)-3),"")</f>
        <v>3.53924050632911</v>
      </c>
      <c r="AH156" s="144" t="n">
        <f aca="false">IFERROR('Price History'!M3+(INDEX('Price History'!M:M,MATCH(9.99E+307,'Price History'!$A:$A))-'Price History'!M3)*(ROW()-3)/(MATCH(9.99E+307,'Returns (Calc)'!$A:$A)-3),"")</f>
        <v>0.485126582278479</v>
      </c>
      <c r="AI156" s="144" t="n">
        <f aca="false">IFERROR('Price History'!N3+(INDEX('Price History'!N:N,MATCH(9.99E+307,'Price History'!$A:$A))-'Price History'!N3)*(ROW()-3)/(MATCH(9.99E+307,'Returns (Calc)'!$A:$A)-3),"")</f>
        <v>0.689873417721518</v>
      </c>
      <c r="AJ156" s="144" t="n">
        <f aca="false">IFERROR('Price History'!O3+(INDEX('Price History'!O:O,MATCH(9.99E+307,'Price History'!$A:$A))-'Price History'!O3)*(ROW()-3)/(MATCH(9.99E+307,'Returns (Calc)'!$A:$A)-3),"")</f>
        <v>1.82373417721519</v>
      </c>
      <c r="AK156" s="144" t="n">
        <f aca="false">IFERROR('Price History'!Q3+(INDEX('Price History'!Q:Q,MATCH(9.99E+307,'Price History'!$A:$A))-'Price History'!Q3)*(ROW()-3)/(MATCH(9.99E+307,'Returns (Calc)'!$A:$A)-3),"")</f>
        <v>7.45664556962026</v>
      </c>
      <c r="AL156" s="144" t="n">
        <f aca="false">IFERROR('Price History'!R3+(INDEX('Price History'!R:R,MATCH(9.99E+307,'Price History'!$A:$A))-'Price History'!R3)*(ROW()-3)/(MATCH(9.99E+307,'Returns (Calc)'!$A:$A)-3),"")</f>
        <v>1.51329113924051</v>
      </c>
      <c r="AM156" s="144" t="n">
        <f aca="false">IFERROR('Price History'!S3+(INDEX('Price History'!S:S,MATCH(9.99E+307,'Price History'!$A:$A))-'Price History'!S3)*(ROW()-3)/(MATCH(9.99E+307,'Returns (Calc)'!$A:$A)-3),"")</f>
        <v>1.85253164556963</v>
      </c>
      <c r="AN156" s="144" t="n">
        <f aca="false">IFERROR('Price History'!T3+(INDEX('Price History'!T:T,MATCH(9.99E+307,'Price History'!$A:$A))-'Price History'!T3)*(ROW()-3)/(MATCH(9.99E+307,'Returns (Calc)'!$A:$A)-3),"")</f>
        <v>0.851582278481011</v>
      </c>
      <c r="AO156" s="145" t="n">
        <f aca="false">IFERROR('Price History'!V3+(INDEX('Price History'!V:V,MATCH(9.99E+307,'Price History'!$A:$A))-'Price History'!V3)*(ROW()-3)/(MATCH(9.99E+307,'Returns (Calc)'!$A:$A)-3),"")</f>
        <v>0</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0.0108660914030041</v>
      </c>
      <c r="G157" s="142" t="n">
        <f aca="false">IFERROR(IF(OR(NOT(ISNUMBER('Price History'!G158)),NOT(ISNUMBER('Price History'!G157)),'Price History'!G157=0),"",'Price History'!G158/'Price History'!G157-1),"")</f>
        <v>-0.0242673992673993</v>
      </c>
      <c r="H157" s="142" t="n">
        <f aca="false">IFERROR(IF(OR(NOT(ISNUMBER('Price History'!H158)),NOT(ISNUMBER('Price History'!H157)),'Price History'!H157=0),"",'Price History'!H158/'Price History'!H157-1),"")</f>
        <v>0.00276991259386916</v>
      </c>
      <c r="I157" s="142" t="n">
        <f aca="false">IFERROR(IF(OR(NOT(ISNUMBER('Price History'!I158)),NOT(ISNUMBER('Price History'!I157)),'Price History'!I157=0),"",'Price History'!I158/'Price History'!I157-1),"")</f>
        <v>0.0573088754699784</v>
      </c>
      <c r="J157" s="142" t="n">
        <f aca="false">IFERROR(IF(OR(NOT(ISNUMBER('Price History'!J158)),NOT(ISNUMBER('Price History'!J157)),'Price History'!J157=0),"",'Price History'!J158/'Price History'!J157-1),"")</f>
        <v>0.0897562335184272</v>
      </c>
      <c r="K157" s="142" t="n">
        <f aca="false">IFERROR(IF(OR(NOT(ISNUMBER('Price History'!K158)),NOT(ISNUMBER('Price History'!K157)),'Price History'!K157=0),"",'Price History'!K158/'Price History'!K157-1),"")</f>
        <v>0.0588560121485435</v>
      </c>
      <c r="L157" s="142" t="n">
        <f aca="false">IFERROR(IF(OR(NOT(ISNUMBER('Price History'!L158)),NOT(ISNUMBER('Price History'!L157)),'Price History'!L157=0),"",'Price History'!L158/'Price History'!L157-1),"")</f>
        <v>-0.0238555770470665</v>
      </c>
      <c r="M157" s="142" t="n">
        <f aca="false">IFERROR(IF(OR(NOT(ISNUMBER('Price History'!M158)),NOT(ISNUMBER('Price History'!M157)),'Price History'!M157=0),"",'Price History'!M158/'Price History'!M157-1),"")</f>
        <v>-0.0642009769713886</v>
      </c>
      <c r="N157" s="142" t="n">
        <f aca="false">IFERROR(IF(OR(NOT(ISNUMBER('Price History'!N158)),NOT(ISNUMBER('Price History'!N157)),'Price History'!N157=0),"",'Price History'!N158/'Price History'!N157-1),"")</f>
        <v>-0.00288850375505467</v>
      </c>
      <c r="O157" s="142" t="n">
        <f aca="false">IFERROR(IF(OR(NOT(ISNUMBER('Price History'!O158)),NOT(ISNUMBER('Price History'!O157)),'Price History'!O157=0),"",'Price History'!O158/'Price History'!O157-1),"")</f>
        <v>0.0200627814931076</v>
      </c>
      <c r="P157" s="142" t="n">
        <f aca="false">IFERROR(IF(OR(NOT(ISNUMBER('Price History'!P158)),NOT(ISNUMBER('Price History'!P157)),'Price History'!P157=0),"",'Price History'!P158/'Price History'!P157-1),"")</f>
        <v>0.0272814601344862</v>
      </c>
      <c r="Q157" s="142" t="n">
        <f aca="false">IFERROR(IF(OR(NOT(ISNUMBER('Price History'!Q158)),NOT(ISNUMBER('Price History'!Q157)),'Price History'!Q157=0),"",'Price History'!Q158/'Price History'!Q157-1),"")</f>
        <v>-0.0171121593291406</v>
      </c>
      <c r="R157" s="142" t="n">
        <f aca="false">IFERROR(IF(OR(NOT(ISNUMBER('Price History'!R158)),NOT(ISNUMBER('Price History'!R157)),'Price History'!R157=0),"",'Price History'!R158/'Price History'!R157-1),"")</f>
        <v>0.00500345065562446</v>
      </c>
      <c r="S157" s="142" t="n">
        <f aca="false">IFERROR(IF(OR(NOT(ISNUMBER('Price History'!S158)),NOT(ISNUMBER('Price History'!S157)),'Price History'!S157=0),"",'Price History'!S158/'Price History'!S157-1),"")</f>
        <v>-0.0182922667394716</v>
      </c>
      <c r="T157" s="142" t="n">
        <f aca="false">IFERROR(IF(OR(NOT(ISNUMBER('Price History'!T158)),NOT(ISNUMBER('Price History'!T157)),'Price History'!T157=0),"",'Price History'!T158/'Price History'!T157-1),"")</f>
        <v>0.0332363938512672</v>
      </c>
      <c r="U157" s="142" t="str">
        <f aca="false">IFERROR(IF(OR(NOT(ISNUMBER('Price History'!U158)),NOT(ISNUMBER('Price History'!U157)),'Price History'!U157=0),"",'Price History'!U158/'Price History'!U157-1),"")</f>
        <v/>
      </c>
      <c r="V157" s="143" t="n">
        <f aca="false">IFERROR(IF(OR(NOT(ISNUMBER('Price History'!V158)),NOT(ISNUMBER('Price History'!V157)),'Price History'!V157=0),"",'Price History'!V158/'Price History'!V157-1),"")</f>
        <v>0.0292046862678834</v>
      </c>
      <c r="W157" s="144" t="str">
        <f aca="false">IFERROR('Price History'!B3+(INDEX('Price History'!B:B,MATCH(9.99E+307,'Price History'!$A:$A))-'Price History'!B3)*(ROW()-3)/(MATCH(9.99E+307,'Returns (Calc)'!$A:$A)-3),"")</f>
        <v/>
      </c>
      <c r="X157" s="144" t="n">
        <f aca="false">IFERROR('Price History'!C3+(INDEX('Price History'!C:C,MATCH(9.99E+307,'Price History'!$A:$A))-'Price History'!C3)*(ROW()-3)/(MATCH(9.99E+307,'Returns (Calc)'!$A:$A)-3),"")</f>
        <v>1.16911392405063</v>
      </c>
      <c r="Y157" s="144" t="n">
        <f aca="false">IFERROR('Price History'!D3+(INDEX('Price History'!D:D,MATCH(9.99E+307,'Price History'!$A:$A))-'Price History'!D3)*(ROW()-3)/(MATCH(9.99E+307,'Returns (Calc)'!$A:$A)-3),"")</f>
        <v>14.7344303797469</v>
      </c>
      <c r="Z157" s="144" t="n">
        <f aca="false">IFERROR('Price History'!E3+(INDEX('Price History'!E:E,MATCH(9.99E+307,'Price History'!$A:$A))-'Price History'!E3)*(ROW()-3)/(MATCH(9.99E+307,'Returns (Calc)'!$A:$A)-3),"")</f>
        <v>2.07594936708861</v>
      </c>
      <c r="AA157" s="144" t="n">
        <f aca="false">IFERROR('Price History'!F3+(INDEX('Price History'!F:F,MATCH(9.99E+307,'Price History'!$A:$A))-'Price History'!F3)*(ROW()-3)/(MATCH(9.99E+307,'Returns (Calc)'!$A:$A)-3),"")</f>
        <v>1.90658227848101</v>
      </c>
      <c r="AB157" s="144" t="n">
        <f aca="false">IFERROR('Price History'!G3+(INDEX('Price History'!G:G,MATCH(9.99E+307,'Price History'!$A:$A))-'Price History'!G3)*(ROW()-3)/(MATCH(9.99E+307,'Returns (Calc)'!$A:$A)-3),"")</f>
        <v>1.04708860759494</v>
      </c>
      <c r="AC157" s="144" t="n">
        <f aca="false">IFERROR('Price History'!H3+(INDEX('Price History'!H:H,MATCH(9.99E+307,'Price History'!$A:$A))-'Price History'!H3)*(ROW()-3)/(MATCH(9.99E+307,'Returns (Calc)'!$A:$A)-3),"")</f>
        <v>2.54658227848101</v>
      </c>
      <c r="AD157" s="144" t="n">
        <f aca="false">IFERROR('Price History'!I3+(INDEX('Price History'!I:I,MATCH(9.99E+307,'Price History'!$A:$A))-'Price History'!I3)*(ROW()-3)/(MATCH(9.99E+307,'Returns (Calc)'!$A:$A)-3),"")</f>
        <v>1.12278481012658</v>
      </c>
      <c r="AE157" s="144" t="n">
        <f aca="false">IFERROR('Price History'!J3+(INDEX('Price History'!J:J,MATCH(9.99E+307,'Price History'!$A:$A))-'Price History'!J3)*(ROW()-3)/(MATCH(9.99E+307,'Returns (Calc)'!$A:$A)-3),"")</f>
        <v>1.74962025316455</v>
      </c>
      <c r="AF157" s="144" t="n">
        <f aca="false">IFERROR('Price History'!K3+(INDEX('Price History'!K:K,MATCH(9.99E+307,'Price History'!$A:$A))-'Price History'!K3)*(ROW()-3)/(MATCH(9.99E+307,'Returns (Calc)'!$A:$A)-3),"")</f>
        <v>1.10810126582278</v>
      </c>
      <c r="AG157" s="144" t="n">
        <f aca="false">IFERROR('Price History'!L3+(INDEX('Price History'!L:L,MATCH(9.99E+307,'Price History'!$A:$A))-'Price History'!L3)*(ROW()-3)/(MATCH(9.99E+307,'Returns (Calc)'!$A:$A)-3),"")</f>
        <v>2.8313924050633</v>
      </c>
      <c r="AH157" s="144" t="n">
        <f aca="false">IFERROR('Price History'!M3+(INDEX('Price History'!M:M,MATCH(9.99E+307,'Price History'!$A:$A))-'Price History'!M3)*(ROW()-3)/(MATCH(9.99E+307,'Returns (Calc)'!$A:$A)-3),"")</f>
        <v>0.388101265822783</v>
      </c>
      <c r="AI157" s="144" t="n">
        <f aca="false">IFERROR('Price History'!N3+(INDEX('Price History'!N:N,MATCH(9.99E+307,'Price History'!$A:$A))-'Price History'!N3)*(ROW()-3)/(MATCH(9.99E+307,'Returns (Calc)'!$A:$A)-3),"")</f>
        <v>0.551898734177215</v>
      </c>
      <c r="AJ157" s="144" t="n">
        <f aca="false">IFERROR('Price History'!O3+(INDEX('Price History'!O:O,MATCH(9.99E+307,'Price History'!$A:$A))-'Price History'!O3)*(ROW()-3)/(MATCH(9.99E+307,'Returns (Calc)'!$A:$A)-3),"")</f>
        <v>1.45898734177215</v>
      </c>
      <c r="AK157" s="144" t="n">
        <f aca="false">IFERROR('Price History'!Q3+(INDEX('Price History'!Q:Q,MATCH(9.99E+307,'Price History'!$A:$A))-'Price History'!Q3)*(ROW()-3)/(MATCH(9.99E+307,'Returns (Calc)'!$A:$A)-3),"")</f>
        <v>5.96531645569621</v>
      </c>
      <c r="AL157" s="144" t="n">
        <f aca="false">IFERROR('Price History'!R3+(INDEX('Price History'!R:R,MATCH(9.99E+307,'Price History'!$A:$A))-'Price History'!R3)*(ROW()-3)/(MATCH(9.99E+307,'Returns (Calc)'!$A:$A)-3),"")</f>
        <v>1.21063291139241</v>
      </c>
      <c r="AM157" s="144" t="n">
        <f aca="false">IFERROR('Price History'!S3+(INDEX('Price History'!S:S,MATCH(9.99E+307,'Price History'!$A:$A))-'Price History'!S3)*(ROW()-3)/(MATCH(9.99E+307,'Returns (Calc)'!$A:$A)-3),"")</f>
        <v>1.4820253164557</v>
      </c>
      <c r="AN157" s="144" t="n">
        <f aca="false">IFERROR('Price History'!T3+(INDEX('Price History'!T:T,MATCH(9.99E+307,'Price History'!$A:$A))-'Price History'!T3)*(ROW()-3)/(MATCH(9.99E+307,'Returns (Calc)'!$A:$A)-3),"")</f>
        <v>0.681265822784809</v>
      </c>
      <c r="AO157" s="145" t="n">
        <f aca="false">IFERROR('Price History'!V3+(INDEX('Price History'!V:V,MATCH(9.99E+307,'Price History'!$A:$A))-'Price History'!V3)*(ROW()-3)/(MATCH(9.99E+307,'Returns (Calc)'!$A:$A)-3),"")</f>
        <v>0</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-0.0159658552007588</v>
      </c>
      <c r="G158" s="142" t="n">
        <f aca="false">IFERROR(IF(OR(NOT(ISNUMBER('Price History'!G159)),NOT(ISNUMBER('Price History'!G158)),'Price History'!G158=0),"",'Price History'!G159/'Price History'!G158-1),"")</f>
        <v>-0.0298451431252932</v>
      </c>
      <c r="H158" s="142" t="n">
        <f aca="false">IFERROR(IF(OR(NOT(ISNUMBER('Price History'!H159)),NOT(ISNUMBER('Price History'!H158)),'Price History'!H158=0),"",'Price History'!H159/'Price History'!H158-1),"")</f>
        <v>-0.01154011417347</v>
      </c>
      <c r="I158" s="142" t="n">
        <f aca="false">IFERROR(IF(OR(NOT(ISNUMBER('Price History'!I159)),NOT(ISNUMBER('Price History'!I158)),'Price History'!I158=0),"",'Price History'!I159/'Price History'!I158-1),"")</f>
        <v>-0.0267241379310346</v>
      </c>
      <c r="J158" s="142" t="n">
        <f aca="false">IFERROR(IF(OR(NOT(ISNUMBER('Price History'!J159)),NOT(ISNUMBER('Price History'!J158)),'Price History'!J158=0),"",'Price History'!J159/'Price History'!J158-1),"")</f>
        <v>-0.0406555248428571</v>
      </c>
      <c r="K158" s="142" t="n">
        <f aca="false">IFERROR(IF(OR(NOT(ISNUMBER('Price History'!K159)),NOT(ISNUMBER('Price History'!K158)),'Price History'!K158=0),"",'Price History'!K159/'Price History'!K158-1),"")</f>
        <v>-0.0513255106475445</v>
      </c>
      <c r="L158" s="142" t="n">
        <f aca="false">IFERROR(IF(OR(NOT(ISNUMBER('Price History'!L159)),NOT(ISNUMBER('Price History'!L158)),'Price History'!L158=0),"",'Price History'!L159/'Price History'!L158-1),"")</f>
        <v>-0.011595479230882</v>
      </c>
      <c r="M158" s="142" t="n">
        <f aca="false">IFERROR(IF(OR(NOT(ISNUMBER('Price History'!M159)),NOT(ISNUMBER('Price History'!M158)),'Price History'!M158=0),"",'Price History'!M159/'Price History'!M158-1),"")</f>
        <v>-0.0407273561635979</v>
      </c>
      <c r="N158" s="142" t="n">
        <f aca="false">IFERROR(IF(OR(NOT(ISNUMBER('Price History'!N159)),NOT(ISNUMBER('Price History'!N158)),'Price History'!N158=0),"",'Price History'!N159/'Price History'!N158-1),"")</f>
        <v>-0.0194090382387022</v>
      </c>
      <c r="O158" s="142" t="n">
        <f aca="false">IFERROR(IF(OR(NOT(ISNUMBER('Price History'!O159)),NOT(ISNUMBER('Price History'!O158)),'Price History'!O158=0),"",'Price History'!O159/'Price History'!O158-1),"")</f>
        <v>-0.00943270002675944</v>
      </c>
      <c r="P158" s="142" t="n">
        <f aca="false">IFERROR(IF(OR(NOT(ISNUMBER('Price History'!P159)),NOT(ISNUMBER('Price History'!P158)),'Price History'!P158=0),"",'Price History'!P159/'Price History'!P158-1),"")</f>
        <v>0.0100991210024313</v>
      </c>
      <c r="Q158" s="142" t="n">
        <f aca="false">IFERROR(IF(OR(NOT(ISNUMBER('Price History'!Q159)),NOT(ISNUMBER('Price History'!Q158)),'Price History'!Q158=0),"",'Price History'!Q159/'Price History'!Q158-1),"")</f>
        <v>-0.0123177006958701</v>
      </c>
      <c r="R158" s="142" t="n">
        <f aca="false">IFERROR(IF(OR(NOT(ISNUMBER('Price History'!R159)),NOT(ISNUMBER('Price History'!R158)),'Price History'!R158=0),"",'Price History'!R159/'Price History'!R158-1),"")</f>
        <v>0.0255793991416309</v>
      </c>
      <c r="S158" s="142" t="n">
        <f aca="false">IFERROR(IF(OR(NOT(ISNUMBER('Price History'!S159)),NOT(ISNUMBER('Price History'!S158)),'Price History'!S158=0),"",'Price History'!S159/'Price History'!S158-1),"")</f>
        <v>0.0407425432802613</v>
      </c>
      <c r="T158" s="142" t="n">
        <f aca="false">IFERROR(IF(OR(NOT(ISNUMBER('Price History'!T159)),NOT(ISNUMBER('Price History'!T158)),'Price History'!T158=0),"",'Price History'!T159/'Price History'!T158-1),"")</f>
        <v>0.0345798150381986</v>
      </c>
      <c r="U158" s="142" t="str">
        <f aca="false">IFERROR(IF(OR(NOT(ISNUMBER('Price History'!U159)),NOT(ISNUMBER('Price History'!U158)),'Price History'!U158=0),"",'Price History'!U159/'Price History'!U158-1),"")</f>
        <v/>
      </c>
      <c r="V158" s="143" t="n">
        <f aca="false">IFERROR(IF(OR(NOT(ISNUMBER('Price History'!V159)),NOT(ISNUMBER('Price History'!V158)),'Price History'!V158=0),"",'Price History'!V159/'Price History'!V158-1),"")</f>
        <v>-0.00990559584074435</v>
      </c>
      <c r="W158" s="145" t="str">
        <f aca="false">IFERROR('Price History'!B3+(INDEX('Price History'!B:B,MATCH(9.99E+307,'Price History'!$A:$A))-'Price History'!B3)*(ROW()-3)/(MATCH(9.99E+307,'Returns (Calc)'!$A:$A)-3),"")</f>
        <v/>
      </c>
      <c r="X158" s="145" t="n">
        <f aca="false">IFERROR('Price History'!C3+(INDEX('Price History'!C:C,MATCH(9.99E+307,'Price History'!$A:$A))-'Price History'!C3)*(ROW()-3)/(MATCH(9.99E+307,'Returns (Calc)'!$A:$A)-3),"")</f>
        <v>0.876835443037976</v>
      </c>
      <c r="Y158" s="145" t="n">
        <f aca="false">IFERROR('Price History'!D3+(INDEX('Price History'!D:D,MATCH(9.99E+307,'Price History'!$A:$A))-'Price History'!D3)*(ROW()-3)/(MATCH(9.99E+307,'Returns (Calc)'!$A:$A)-3),"")</f>
        <v>11.0508227848101</v>
      </c>
      <c r="Z158" s="145" t="n">
        <f aca="false">IFERROR('Price History'!E3+(INDEX('Price History'!E:E,MATCH(9.99E+307,'Price History'!$A:$A))-'Price History'!E3)*(ROW()-3)/(MATCH(9.99E+307,'Returns (Calc)'!$A:$A)-3),"")</f>
        <v>1.55696202531645</v>
      </c>
      <c r="AA158" s="145" t="n">
        <f aca="false">IFERROR('Price History'!F3+(INDEX('Price History'!F:F,MATCH(9.99E+307,'Price History'!$A:$A))-'Price History'!F3)*(ROW()-3)/(MATCH(9.99E+307,'Returns (Calc)'!$A:$A)-3),"")</f>
        <v>1.42993670886075</v>
      </c>
      <c r="AB158" s="145" t="n">
        <f aca="false">IFERROR('Price History'!G3+(INDEX('Price History'!G:G,MATCH(9.99E+307,'Price History'!$A:$A))-'Price History'!G3)*(ROW()-3)/(MATCH(9.99E+307,'Returns (Calc)'!$A:$A)-3),"")</f>
        <v>0.785316455696204</v>
      </c>
      <c r="AC158" s="145" t="n">
        <f aca="false">IFERROR('Price History'!H3+(INDEX('Price History'!H:H,MATCH(9.99E+307,'Price History'!$A:$A))-'Price History'!H3)*(ROW()-3)/(MATCH(9.99E+307,'Returns (Calc)'!$A:$A)-3),"")</f>
        <v>1.90993670886076</v>
      </c>
      <c r="AD158" s="145" t="n">
        <f aca="false">IFERROR('Price History'!I3+(INDEX('Price History'!I:I,MATCH(9.99E+307,'Price History'!$A:$A))-'Price History'!I3)*(ROW()-3)/(MATCH(9.99E+307,'Returns (Calc)'!$A:$A)-3),"")</f>
        <v>0.842088607594938</v>
      </c>
      <c r="AE158" s="145" t="n">
        <f aca="false">IFERROR('Price History'!J3+(INDEX('Price History'!J:J,MATCH(9.99E+307,'Price History'!$A:$A))-'Price History'!J3)*(ROW()-3)/(MATCH(9.99E+307,'Returns (Calc)'!$A:$A)-3),"")</f>
        <v>1.31221518987343</v>
      </c>
      <c r="AF158" s="145" t="n">
        <f aca="false">IFERROR('Price History'!K3+(INDEX('Price History'!K:K,MATCH(9.99E+307,'Price History'!$A:$A))-'Price History'!K3)*(ROW()-3)/(MATCH(9.99E+307,'Returns (Calc)'!$A:$A)-3),"")</f>
        <v>0.83107594936709</v>
      </c>
      <c r="AG158" s="145" t="n">
        <f aca="false">IFERROR('Price History'!L3+(INDEX('Price History'!L:L,MATCH(9.99E+307,'Price History'!$A:$A))-'Price History'!L3)*(ROW()-3)/(MATCH(9.99E+307,'Returns (Calc)'!$A:$A)-3),"")</f>
        <v>2.12354430379747</v>
      </c>
      <c r="AH158" s="145" t="n">
        <f aca="false">IFERROR('Price History'!M3+(INDEX('Price History'!M:M,MATCH(9.99E+307,'Price History'!$A:$A))-'Price History'!M3)*(ROW()-3)/(MATCH(9.99E+307,'Returns (Calc)'!$A:$A)-3),"")</f>
        <v>0.291075949367087</v>
      </c>
      <c r="AI158" s="145" t="n">
        <f aca="false">IFERROR('Price History'!N3+(INDEX('Price History'!N:N,MATCH(9.99E+307,'Price History'!$A:$A))-'Price History'!N3)*(ROW()-3)/(MATCH(9.99E+307,'Returns (Calc)'!$A:$A)-3),"")</f>
        <v>0.413924050632911</v>
      </c>
      <c r="AJ158" s="145" t="n">
        <f aca="false">IFERROR('Price History'!O3+(INDEX('Price History'!O:O,MATCH(9.99E+307,'Price History'!$A:$A))-'Price History'!O3)*(ROW()-3)/(MATCH(9.99E+307,'Returns (Calc)'!$A:$A)-3),"")</f>
        <v>1.09424050632912</v>
      </c>
      <c r="AK158" s="145" t="n">
        <f aca="false">IFERROR('Price History'!Q3+(INDEX('Price History'!Q:Q,MATCH(9.99E+307,'Price History'!$A:$A))-'Price History'!Q3)*(ROW()-3)/(MATCH(9.99E+307,'Returns (Calc)'!$A:$A)-3),"")</f>
        <v>4.47398734177213</v>
      </c>
      <c r="AL158" s="145" t="n">
        <f aca="false">IFERROR('Price History'!R3+(INDEX('Price History'!R:R,MATCH(9.99E+307,'Price History'!$A:$A))-'Price History'!R3)*(ROW()-3)/(MATCH(9.99E+307,'Returns (Calc)'!$A:$A)-3),"")</f>
        <v>0.907974683544303</v>
      </c>
      <c r="AM158" s="145" t="n">
        <f aca="false">IFERROR('Price History'!S3+(INDEX('Price History'!S:S,MATCH(9.99E+307,'Price History'!$A:$A))-'Price History'!S3)*(ROW()-3)/(MATCH(9.99E+307,'Returns (Calc)'!$A:$A)-3),"")</f>
        <v>1.11151898734177</v>
      </c>
      <c r="AN158" s="145" t="n">
        <f aca="false">IFERROR('Price History'!T3+(INDEX('Price History'!T:T,MATCH(9.99E+307,'Price History'!$A:$A))-'Price History'!T3)*(ROW()-3)/(MATCH(9.99E+307,'Returns (Calc)'!$A:$A)-3),"")</f>
        <v>0.510949367088607</v>
      </c>
      <c r="AO158" s="145" t="n">
        <f aca="false">IFERROR('Price History'!V3+(INDEX('Price History'!V:V,MATCH(9.99E+307,'Price History'!$A:$A))-'Price History'!V3)*(ROW()-3)/(MATCH(9.99E+307,'Returns (Calc)'!$A:$A)-3),"")</f>
        <v>0</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-0.0204016064257029</v>
      </c>
      <c r="G159" s="142" t="n">
        <f aca="false">IFERROR(IF(OR(NOT(ISNUMBER('Price History'!G160)),NOT(ISNUMBER('Price History'!G159)),'Price History'!G159=0),"",'Price History'!G160/'Price History'!G159-1),"")</f>
        <v>0.14951146367418</v>
      </c>
      <c r="H159" s="142" t="n">
        <f aca="false">IFERROR(IF(OR(NOT(ISNUMBER('Price History'!H160)),NOT(ISNUMBER('Price History'!H159)),'Price History'!H159=0),"",'Price History'!H160/'Price History'!H159-1),"")</f>
        <v>-0.0173259641060671</v>
      </c>
      <c r="I159" s="142" t="n">
        <f aca="false">IFERROR(IF(OR(NOT(ISNUMBER('Price History'!I160)),NOT(ISNUMBER('Price History'!I159)),'Price History'!I159=0),"",'Price History'!I160/'Price History'!I159-1),"")</f>
        <v>-0.0202059344552701</v>
      </c>
      <c r="J159" s="142" t="n">
        <f aca="false">IFERROR(IF(OR(NOT(ISNUMBER('Price History'!J160)),NOT(ISNUMBER('Price History'!J159)),'Price History'!J159=0),"",'Price History'!J160/'Price History'!J159-1),"")</f>
        <v>0.0415684022722145</v>
      </c>
      <c r="K159" s="142" t="n">
        <f aca="false">IFERROR(IF(OR(NOT(ISNUMBER('Price History'!K160)),NOT(ISNUMBER('Price History'!K159)),'Price History'!K159=0),"",'Price History'!K160/'Price History'!K159-1),"")</f>
        <v>0.0182326263227817</v>
      </c>
      <c r="L159" s="142" t="n">
        <f aca="false">IFERROR(IF(OR(NOT(ISNUMBER('Price History'!L160)),NOT(ISNUMBER('Price History'!L159)),'Price History'!L159=0),"",'Price History'!L160/'Price History'!L159-1),"")</f>
        <v>0.00118800118800122</v>
      </c>
      <c r="M159" s="142" t="n">
        <f aca="false">IFERROR(IF(OR(NOT(ISNUMBER('Price History'!M160)),NOT(ISNUMBER('Price History'!M159)),'Price History'!M159=0),"",'Price History'!M160/'Price History'!M159-1),"")</f>
        <v>0.0622495963642886</v>
      </c>
      <c r="N159" s="142" t="n">
        <f aca="false">IFERROR(IF(OR(NOT(ISNUMBER('Price History'!N160)),NOT(ISNUMBER('Price History'!N159)),'Price History'!N159=0),"",'Price History'!N160/'Price History'!N159-1),"")</f>
        <v>-0.0129985228951257</v>
      </c>
      <c r="O159" s="142" t="n">
        <f aca="false">IFERROR(IF(OR(NOT(ISNUMBER('Price History'!O160)),NOT(ISNUMBER('Price History'!O159)),'Price History'!O159=0),"",'Price History'!O160/'Price History'!O159-1),"")</f>
        <v>0.00607820625379896</v>
      </c>
      <c r="P159" s="142" t="n">
        <f aca="false">IFERROR(IF(OR(NOT(ISNUMBER('Price History'!P160)),NOT(ISNUMBER('Price History'!P159)),'Price History'!P159=0),"",'Price History'!P160/'Price History'!P159-1),"")</f>
        <v>0.00599426032216255</v>
      </c>
      <c r="Q159" s="142" t="n">
        <f aca="false">IFERROR(IF(OR(NOT(ISNUMBER('Price History'!Q160)),NOT(ISNUMBER('Price History'!Q159)),'Price History'!Q159=0),"",'Price History'!Q160/'Price History'!Q159-1),"")</f>
        <v>-0.00583074638952619</v>
      </c>
      <c r="R159" s="142" t="n">
        <f aca="false">IFERROR(IF(OR(NOT(ISNUMBER('Price History'!R160)),NOT(ISNUMBER('Price History'!R159)),'Price History'!R159=0),"",'Price History'!R160/'Price History'!R159-1),"")</f>
        <v>0.0132239705390023</v>
      </c>
      <c r="S159" s="142" t="n">
        <f aca="false">IFERROR(IF(OR(NOT(ISNUMBER('Price History'!S160)),NOT(ISNUMBER('Price History'!S159)),'Price History'!S159=0),"",'Price History'!S160/'Price History'!S159-1),"")</f>
        <v>0.0241833121785022</v>
      </c>
      <c r="T159" s="142" t="n">
        <f aca="false">IFERROR(IF(OR(NOT(ISNUMBER('Price History'!T160)),NOT(ISNUMBER('Price History'!T159)),'Price History'!T159=0),"",'Price History'!T160/'Price History'!T159-1),"")</f>
        <v>0.0437232802176448</v>
      </c>
      <c r="U159" s="142" t="str">
        <f aca="false">IFERROR(IF(OR(NOT(ISNUMBER('Price History'!U160)),NOT(ISNUMBER('Price History'!U159)),'Price History'!U159=0),"",'Price History'!U160/'Price History'!U159-1),"")</f>
        <v/>
      </c>
      <c r="V159" s="143" t="n">
        <f aca="false">IFERROR(IF(OR(NOT(ISNUMBER('Price History'!V160)),NOT(ISNUMBER('Price History'!V159)),'Price History'!V159=0),"",'Price History'!V160/'Price History'!V159-1),"")</f>
        <v>0.0064118508691926</v>
      </c>
      <c r="W159" s="145" t="str">
        <f aca="false">IFERROR('Price History'!B3+(INDEX('Price History'!B:B,MATCH(9.99E+307,'Price History'!$A:$A))-'Price History'!B3)*(ROW()-3)/(MATCH(9.99E+307,'Returns (Calc)'!$A:$A)-3),"")</f>
        <v/>
      </c>
      <c r="X159" s="145" t="n">
        <f aca="false">IFERROR('Price History'!C3+(INDEX('Price History'!C:C,MATCH(9.99E+307,'Price History'!$A:$A))-'Price History'!C3)*(ROW()-3)/(MATCH(9.99E+307,'Returns (Calc)'!$A:$A)-3),"")</f>
        <v>0.584556962025317</v>
      </c>
      <c r="Y159" s="145" t="n">
        <f aca="false">IFERROR('Price History'!D3+(INDEX('Price History'!D:D,MATCH(9.99E+307,'Price History'!$A:$A))-'Price History'!D3)*(ROW()-3)/(MATCH(9.99E+307,'Returns (Calc)'!$A:$A)-3),"")</f>
        <v>7.36721518987338</v>
      </c>
      <c r="Z159" s="145" t="n">
        <f aca="false">IFERROR('Price History'!E3+(INDEX('Price History'!E:E,MATCH(9.99E+307,'Price History'!$A:$A))-'Price History'!E3)*(ROW()-3)/(MATCH(9.99E+307,'Returns (Calc)'!$A:$A)-3),"")</f>
        <v>1.03797468354431</v>
      </c>
      <c r="AA159" s="145" t="n">
        <f aca="false">IFERROR('Price History'!F3+(INDEX('Price History'!F:F,MATCH(9.99E+307,'Price History'!$A:$A))-'Price History'!F3)*(ROW()-3)/(MATCH(9.99E+307,'Returns (Calc)'!$A:$A)-3),"")</f>
        <v>0.953291139240506</v>
      </c>
      <c r="AB159" s="145" t="n">
        <f aca="false">IFERROR('Price History'!G3+(INDEX('Price History'!G:G,MATCH(9.99E+307,'Price History'!$A:$A))-'Price History'!G3)*(ROW()-3)/(MATCH(9.99E+307,'Returns (Calc)'!$A:$A)-3),"")</f>
        <v>0.523544303797472</v>
      </c>
      <c r="AC159" s="145" t="n">
        <f aca="false">IFERROR('Price History'!H3+(INDEX('Price History'!H:H,MATCH(9.99E+307,'Price History'!$A:$A))-'Price History'!H3)*(ROW()-3)/(MATCH(9.99E+307,'Returns (Calc)'!$A:$A)-3),"")</f>
        <v>1.2732911392405</v>
      </c>
      <c r="AD159" s="145" t="n">
        <f aca="false">IFERROR('Price History'!I3+(INDEX('Price History'!I:I,MATCH(9.99E+307,'Price History'!$A:$A))-'Price History'!I3)*(ROW()-3)/(MATCH(9.99E+307,'Returns (Calc)'!$A:$A)-3),"")</f>
        <v>0.561392405063288</v>
      </c>
      <c r="AE159" s="145" t="n">
        <f aca="false">IFERROR('Price History'!J3+(INDEX('Price History'!J:J,MATCH(9.99E+307,'Price History'!$A:$A))-'Price History'!J3)*(ROW()-3)/(MATCH(9.99E+307,'Returns (Calc)'!$A:$A)-3),"")</f>
        <v>0.874810126582275</v>
      </c>
      <c r="AF159" s="145" t="n">
        <f aca="false">IFERROR('Price History'!K3+(INDEX('Price History'!K:K,MATCH(9.99E+307,'Price History'!$A:$A))-'Price History'!K3)*(ROW()-3)/(MATCH(9.99E+307,'Returns (Calc)'!$A:$A)-3),"")</f>
        <v>0.554050632911391</v>
      </c>
      <c r="AG159" s="145" t="n">
        <f aca="false">IFERROR('Price History'!L3+(INDEX('Price History'!L:L,MATCH(9.99E+307,'Price History'!$A:$A))-'Price History'!L3)*(ROW()-3)/(MATCH(9.99E+307,'Returns (Calc)'!$A:$A)-3),"")</f>
        <v>1.41569620253165</v>
      </c>
      <c r="AH159" s="145" t="n">
        <f aca="false">IFERROR('Price History'!M3+(INDEX('Price History'!M:M,MATCH(9.99E+307,'Price History'!$A:$A))-'Price History'!M3)*(ROW()-3)/(MATCH(9.99E+307,'Returns (Calc)'!$A:$A)-3),"")</f>
        <v>0.194050632911392</v>
      </c>
      <c r="AI159" s="145" t="n">
        <f aca="false">IFERROR('Price History'!N3+(INDEX('Price History'!N:N,MATCH(9.99E+307,'Price History'!$A:$A))-'Price History'!N3)*(ROW()-3)/(MATCH(9.99E+307,'Returns (Calc)'!$A:$A)-3),"")</f>
        <v>0.275949367088607</v>
      </c>
      <c r="AJ159" s="145" t="n">
        <f aca="false">IFERROR('Price History'!O3+(INDEX('Price History'!O:O,MATCH(9.99E+307,'Price History'!$A:$A))-'Price History'!O3)*(ROW()-3)/(MATCH(9.99E+307,'Returns (Calc)'!$A:$A)-3),"")</f>
        <v>0.729493670886072</v>
      </c>
      <c r="AK159" s="145" t="n">
        <f aca="false">IFERROR('Price History'!Q3+(INDEX('Price History'!Q:Q,MATCH(9.99E+307,'Price History'!$A:$A))-'Price History'!Q3)*(ROW()-3)/(MATCH(9.99E+307,'Returns (Calc)'!$A:$A)-3),"")</f>
        <v>2.98265822784811</v>
      </c>
      <c r="AL159" s="145" t="n">
        <f aca="false">IFERROR('Price History'!R3+(INDEX('Price History'!R:R,MATCH(9.99E+307,'Price History'!$A:$A))-'Price History'!R3)*(ROW()-3)/(MATCH(9.99E+307,'Returns (Calc)'!$A:$A)-3),"")</f>
        <v>0.605316455696205</v>
      </c>
      <c r="AM159" s="145" t="n">
        <f aca="false">IFERROR('Price History'!S3+(INDEX('Price History'!S:S,MATCH(9.99E+307,'Price History'!$A:$A))-'Price History'!S3)*(ROW()-3)/(MATCH(9.99E+307,'Returns (Calc)'!$A:$A)-3),"")</f>
        <v>0.741012658227845</v>
      </c>
      <c r="AN159" s="145" t="n">
        <f aca="false">IFERROR('Price History'!T3+(INDEX('Price History'!T:T,MATCH(9.99E+307,'Price History'!$A:$A))-'Price History'!T3)*(ROW()-3)/(MATCH(9.99E+307,'Returns (Calc)'!$A:$A)-3),"")</f>
        <v>0.340632911392405</v>
      </c>
      <c r="AO159" s="145" t="n">
        <f aca="false">IFERROR('Price History'!V3+(INDEX('Price History'!V:V,MATCH(9.99E+307,'Price History'!$A:$A))-'Price History'!V3)*(ROW()-3)/(MATCH(9.99E+307,'Returns (Calc)'!$A:$A)-3),"")</f>
        <v>0</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-0.0127090849458839</v>
      </c>
      <c r="G160" s="142" t="n">
        <f aca="false">IFERROR(IF(OR(NOT(ISNUMBER('Price History'!G161)),NOT(ISNUMBER('Price History'!G160)),'Price History'!G160=0),"",'Price History'!G161/'Price History'!G160-1),"")</f>
        <v>0.0609299389859035</v>
      </c>
      <c r="H160" s="142" t="n">
        <f aca="false">IFERROR(IF(OR(NOT(ISNUMBER('Price History'!H161)),NOT(ISNUMBER('Price History'!H160)),'Price History'!H160=0),"",'Price History'!H161/'Price History'!H160-1),"")</f>
        <v>-0.0221814964610719</v>
      </c>
      <c r="I160" s="142" t="n">
        <f aca="false">IFERROR(IF(OR(NOT(ISNUMBER('Price History'!I161)),NOT(ISNUMBER('Price History'!I160)),'Price History'!I160=0),"",'Price History'!I161/'Price History'!I160-1),"")</f>
        <v>0.061754901406859</v>
      </c>
      <c r="J160" s="142" t="n">
        <f aca="false">IFERROR(IF(OR(NOT(ISNUMBER('Price History'!J161)),NOT(ISNUMBER('Price History'!J160)),'Price History'!J160=0),"",'Price History'!J161/'Price History'!J160-1),"")</f>
        <v>0.0654459539279386</v>
      </c>
      <c r="K160" s="142" t="n">
        <f aca="false">IFERROR(IF(OR(NOT(ISNUMBER('Price History'!K161)),NOT(ISNUMBER('Price History'!K160)),'Price History'!K160=0),"",'Price History'!K161/'Price History'!K160-1),"")</f>
        <v>0.0125972915823098</v>
      </c>
      <c r="L160" s="142" t="n">
        <f aca="false">IFERROR(IF(OR(NOT(ISNUMBER('Price History'!L161)),NOT(ISNUMBER('Price History'!L160)),'Price History'!L160=0),"",'Price History'!L161/'Price History'!L160-1),"")</f>
        <v>-0.0132749925838029</v>
      </c>
      <c r="M160" s="142" t="n">
        <f aca="false">IFERROR(IF(OR(NOT(ISNUMBER('Price History'!M161)),NOT(ISNUMBER('Price History'!M160)),'Price History'!M160=0),"",'Price History'!M161/'Price History'!M160-1),"")</f>
        <v>0.0677212339563162</v>
      </c>
      <c r="N160" s="142" t="n">
        <f aca="false">IFERROR(IF(OR(NOT(ISNUMBER('Price History'!N161)),NOT(ISNUMBER('Price History'!N160)),'Price History'!N160=0),"",'Price History'!N161/'Price History'!N160-1),"")</f>
        <v>-0.00598623166716539</v>
      </c>
      <c r="O160" s="142" t="n">
        <f aca="false">IFERROR(IF(OR(NOT(ISNUMBER('Price History'!O161)),NOT(ISNUMBER('Price History'!O160)),'Price History'!O160=0),"",'Price History'!O161/'Price History'!O160-1),"")</f>
        <v>0.0265154057863999</v>
      </c>
      <c r="P160" s="142" t="n">
        <f aca="false">IFERROR(IF(OR(NOT(ISNUMBER('Price History'!P161)),NOT(ISNUMBER('Price History'!P160)),'Price History'!P160=0),"",'Price History'!P161/'Price History'!P160-1),"")</f>
        <v>0.0366714979179608</v>
      </c>
      <c r="Q160" s="142" t="n">
        <f aca="false">IFERROR(IF(OR(NOT(ISNUMBER('Price History'!Q161)),NOT(ISNUMBER('Price History'!Q160)),'Price History'!Q160=0),"",'Price History'!Q161/'Price History'!Q160-1),"")</f>
        <v>-0.00247087892693265</v>
      </c>
      <c r="R160" s="142" t="n">
        <f aca="false">IFERROR(IF(OR(NOT(ISNUMBER('Price History'!R161)),NOT(ISNUMBER('Price History'!R160)),'Price History'!R160=0),"",'Price History'!R161/'Price History'!R160-1),"")</f>
        <v>-0.011399306129192</v>
      </c>
      <c r="S160" s="142" t="n">
        <f aca="false">IFERROR(IF(OR(NOT(ISNUMBER('Price History'!S161)),NOT(ISNUMBER('Price History'!S160)),'Price History'!S160=0),"",'Price History'!S161/'Price History'!S160-1),"")</f>
        <v>-0.0298741112778033</v>
      </c>
      <c r="T160" s="142" t="n">
        <f aca="false">IFERROR(IF(OR(NOT(ISNUMBER('Price History'!T161)),NOT(ISNUMBER('Price History'!T160)),'Price History'!T160=0),"",'Price History'!T161/'Price History'!T160-1),"")</f>
        <v>0.0323962018246138</v>
      </c>
      <c r="U160" s="142" t="str">
        <f aca="false">IFERROR(IF(OR(NOT(ISNUMBER('Price History'!U161)),NOT(ISNUMBER('Price History'!U160)),'Price History'!U160=0),"",'Price History'!U161/'Price History'!U160-1),"")</f>
        <v/>
      </c>
      <c r="V160" s="143" t="n">
        <f aca="false">IFERROR(IF(OR(NOT(ISNUMBER('Price History'!V161)),NOT(ISNUMBER('Price History'!V160)),'Price History'!V160=0),"",'Price History'!V161/'Price History'!V160-1),"")</f>
        <v>0.0189207744061515</v>
      </c>
      <c r="W160" s="145" t="str">
        <f aca="false">IFERROR('Price History'!B3+(INDEX('Price History'!B:B,MATCH(9.99E+307,'Price History'!$A:$A))-'Price History'!B3)*(ROW()-3)/(MATCH(9.99E+307,'Returns (Calc)'!$A:$A)-3),"")</f>
        <v/>
      </c>
      <c r="X160" s="145" t="n">
        <f aca="false">IFERROR('Price History'!C3+(INDEX('Price History'!C:C,MATCH(9.99E+307,'Price History'!$A:$A))-'Price History'!C3)*(ROW()-3)/(MATCH(9.99E+307,'Returns (Calc)'!$A:$A)-3),"")</f>
        <v>0.292278481012659</v>
      </c>
      <c r="Y160" s="145" t="n">
        <f aca="false">IFERROR('Price History'!D3+(INDEX('Price History'!D:D,MATCH(9.99E+307,'Price History'!$A:$A))-'Price History'!D3)*(ROW()-3)/(MATCH(9.99E+307,'Returns (Calc)'!$A:$A)-3),"")</f>
        <v>3.6836075949368</v>
      </c>
      <c r="Z160" s="145" t="n">
        <f aca="false">IFERROR('Price History'!E3+(INDEX('Price History'!E:E,MATCH(9.99E+307,'Price History'!$A:$A))-'Price History'!E3)*(ROW()-3)/(MATCH(9.99E+307,'Returns (Calc)'!$A:$A)-3),"")</f>
        <v>0.518987341772146</v>
      </c>
      <c r="AA160" s="145" t="n">
        <f aca="false">IFERROR('Price History'!F3+(INDEX('Price History'!F:F,MATCH(9.99E+307,'Price History'!$A:$A))-'Price History'!F3)*(ROW()-3)/(MATCH(9.99E+307,'Returns (Calc)'!$A:$A)-3),"")</f>
        <v>0.47664556962026</v>
      </c>
      <c r="AB160" s="145" t="n">
        <f aca="false">IFERROR('Price History'!G3+(INDEX('Price History'!G:G,MATCH(9.99E+307,'Price History'!$A:$A))-'Price History'!G3)*(ROW()-3)/(MATCH(9.99E+307,'Returns (Calc)'!$A:$A)-3),"")</f>
        <v>0.26177215189874</v>
      </c>
      <c r="AC160" s="145" t="n">
        <f aca="false">IFERROR('Price History'!H3+(INDEX('Price History'!H:H,MATCH(9.99E+307,'Price History'!$A:$A))-'Price History'!H3)*(ROW()-3)/(MATCH(9.99E+307,'Returns (Calc)'!$A:$A)-3),"")</f>
        <v>0.636645569620256</v>
      </c>
      <c r="AD160" s="145" t="n">
        <f aca="false">IFERROR('Price History'!I3+(INDEX('Price History'!I:I,MATCH(9.99E+307,'Price History'!$A:$A))-'Price History'!I3)*(ROW()-3)/(MATCH(9.99E+307,'Returns (Calc)'!$A:$A)-3),"")</f>
        <v>0.280696202531651</v>
      </c>
      <c r="AE160" s="145" t="n">
        <f aca="false">IFERROR('Price History'!J3+(INDEX('Price History'!J:J,MATCH(9.99E+307,'Price History'!$A:$A))-'Price History'!J3)*(ROW()-3)/(MATCH(9.99E+307,'Returns (Calc)'!$A:$A)-3),"")</f>
        <v>0.437405063291138</v>
      </c>
      <c r="AF160" s="145" t="n">
        <f aca="false">IFERROR('Price History'!K3+(INDEX('Price History'!K:K,MATCH(9.99E+307,'Price History'!$A:$A))-'Price History'!K3)*(ROW()-3)/(MATCH(9.99E+307,'Returns (Calc)'!$A:$A)-3),"")</f>
        <v>0.277025316455699</v>
      </c>
      <c r="AG160" s="145" t="n">
        <f aca="false">IFERROR('Price History'!L3+(INDEX('Price History'!L:L,MATCH(9.99E+307,'Price History'!$A:$A))-'Price History'!L3)*(ROW()-3)/(MATCH(9.99E+307,'Returns (Calc)'!$A:$A)-3),"")</f>
        <v>0.707848101265824</v>
      </c>
      <c r="AH160" s="145" t="n">
        <f aca="false">IFERROR('Price History'!M3+(INDEX('Price History'!M:M,MATCH(9.99E+307,'Price History'!$A:$A))-'Price History'!M3)*(ROW()-3)/(MATCH(9.99E+307,'Returns (Calc)'!$A:$A)-3),"")</f>
        <v>0.0970253164556958</v>
      </c>
      <c r="AI160" s="145" t="n">
        <f aca="false">IFERROR('Price History'!N3+(INDEX('Price History'!N:N,MATCH(9.99E+307,'Price History'!$A:$A))-'Price History'!N3)*(ROW()-3)/(MATCH(9.99E+307,'Returns (Calc)'!$A:$A)-3),"")</f>
        <v>0.137974683544304</v>
      </c>
      <c r="AJ160" s="145" t="n">
        <f aca="false">IFERROR('Price History'!O3+(INDEX('Price History'!O:O,MATCH(9.99E+307,'Price History'!$A:$A))-'Price History'!O3)*(ROW()-3)/(MATCH(9.99E+307,'Returns (Calc)'!$A:$A)-3),"")</f>
        <v>0.364746835443043</v>
      </c>
      <c r="AK160" s="145" t="n">
        <f aca="false">IFERROR('Price History'!Q3+(INDEX('Price History'!Q:Q,MATCH(9.99E+307,'Price History'!$A:$A))-'Price History'!Q3)*(ROW()-3)/(MATCH(9.99E+307,'Returns (Calc)'!$A:$A)-3),"")</f>
        <v>1.49132911392408</v>
      </c>
      <c r="AL160" s="145" t="n">
        <f aca="false">IFERROR('Price History'!R3+(INDEX('Price History'!R:R,MATCH(9.99E+307,'Price History'!$A:$A))-'Price History'!R3)*(ROW()-3)/(MATCH(9.99E+307,'Returns (Calc)'!$A:$A)-3),"")</f>
        <v>0.302658227848106</v>
      </c>
      <c r="AM160" s="145" t="n">
        <f aca="false">IFERROR('Price History'!S3+(INDEX('Price History'!S:S,MATCH(9.99E+307,'Price History'!$A:$A))-'Price History'!S3)*(ROW()-3)/(MATCH(9.99E+307,'Returns (Calc)'!$A:$A)-3),"")</f>
        <v>0.370506329113923</v>
      </c>
      <c r="AN160" s="145" t="n">
        <f aca="false">IFERROR('Price History'!T3+(INDEX('Price History'!T:T,MATCH(9.99E+307,'Price History'!$A:$A))-'Price History'!T3)*(ROW()-3)/(MATCH(9.99E+307,'Returns (Calc)'!$A:$A)-3),"")</f>
        <v>0.170316455696202</v>
      </c>
      <c r="AO160" s="145" t="n">
        <f aca="false">IFERROR('Price History'!V3+(INDEX('Price History'!V:V,MATCH(9.99E+307,'Price History'!$A:$A))-'Price History'!V3)*(ROW()-3)/(MATCH(9.99E+307,'Returns (Calc)'!$A:$A)-3),"")</f>
        <v>0</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-0.0189408417208137</v>
      </c>
      <c r="C161" s="142" t="n">
        <f aca="false">IFERROR(IF(OR(NOT(ISNUMBER('Price History'!C162)),NOT(ISNUMBER('Price History'!C161)),'Price History'!C161=0),"",'Price History'!C162/'Price History'!C161-1),"")</f>
        <v>-0.00789155168240152</v>
      </c>
      <c r="D161" s="142" t="n">
        <f aca="false">IFERROR(IF(OR(NOT(ISNUMBER('Price History'!D162)),NOT(ISNUMBER('Price History'!D161)),'Price History'!D161=0),"",'Price History'!D162/'Price History'!D161-1),"")</f>
        <v>0.0157516887048867</v>
      </c>
      <c r="E161" s="142" t="n">
        <f aca="false">IFERROR(IF(OR(NOT(ISNUMBER('Price History'!E162)),NOT(ISNUMBER('Price History'!E161)),'Price History'!E161=0),"",'Price History'!E162/'Price History'!E161-1),"")</f>
        <v>-0.00918341316856097</v>
      </c>
      <c r="F161" s="142" t="n">
        <f aca="false">IFERROR(IF(OR(NOT(ISNUMBER('Price History'!F162)),NOT(ISNUMBER('Price History'!F161)),'Price History'!F161=0),"",'Price History'!F162/'Price History'!F161-1),"")</f>
        <v>-0.00714226393156714</v>
      </c>
      <c r="G161" s="142" t="n">
        <f aca="false">IFERROR(IF(OR(NOT(ISNUMBER('Price History'!G162)),NOT(ISNUMBER('Price History'!G161)),'Price History'!G161=0),"",'Price History'!G162/'Price History'!G161-1),"")</f>
        <v>0.0282394003093642</v>
      </c>
      <c r="H161" s="142" t="n">
        <f aca="false">IFERROR(IF(OR(NOT(ISNUMBER('Price History'!H162)),NOT(ISNUMBER('Price History'!H161)),'Price History'!H161=0),"",'Price History'!H162/'Price History'!H161-1),"")</f>
        <v>-0.00697990047178942</v>
      </c>
      <c r="I161" s="142" t="n">
        <f aca="false">IFERROR(IF(OR(NOT(ISNUMBER('Price History'!I162)),NOT(ISNUMBER('Price History'!I161)),'Price History'!I161=0),"",'Price History'!I162/'Price History'!I161-1),"")</f>
        <v>0.00665176670923806</v>
      </c>
      <c r="J161" s="142" t="n">
        <f aca="false">IFERROR(IF(OR(NOT(ISNUMBER('Price History'!J162)),NOT(ISNUMBER('Price History'!J161)),'Price History'!J161=0),"",'Price History'!J162/'Price History'!J161-1),"")</f>
        <v>-0.0261485013120449</v>
      </c>
      <c r="K161" s="142" t="n">
        <f aca="false">IFERROR(IF(OR(NOT(ISNUMBER('Price History'!K162)),NOT(ISNUMBER('Price History'!K161)),'Price History'!K161=0),"",'Price History'!K162/'Price History'!K161-1),"")</f>
        <v>0.0168392055804862</v>
      </c>
      <c r="L161" s="142" t="n">
        <f aca="false">IFERROR(IF(OR(NOT(ISNUMBER('Price History'!L162)),NOT(ISNUMBER('Price History'!L161)),'Price History'!L161=0),"",'Price History'!L162/'Price History'!L161-1),"")</f>
        <v>-0.00458474257797825</v>
      </c>
      <c r="M161" s="142" t="n">
        <f aca="false">IFERROR(IF(OR(NOT(ISNUMBER('Price History'!M162)),NOT(ISNUMBER('Price History'!M161)),'Price History'!M161=0),"",'Price History'!M162/'Price History'!M161-1),"")</f>
        <v>-0.0115463700110718</v>
      </c>
      <c r="N161" s="142" t="n">
        <f aca="false">IFERROR(IF(OR(NOT(ISNUMBER('Price History'!N162)),NOT(ISNUMBER('Price History'!N161)),'Price History'!N161=0),"",'Price History'!N162/'Price History'!N161-1),"")</f>
        <v>-0.00602228244504677</v>
      </c>
      <c r="O161" s="142" t="n">
        <f aca="false">IFERROR(IF(OR(NOT(ISNUMBER('Price History'!O162)),NOT(ISNUMBER('Price History'!O161)),'Price History'!O161=0),"",'Price History'!O162/'Price History'!O161-1),"")</f>
        <v>-0.0113784985613391</v>
      </c>
      <c r="P161" s="142" t="n">
        <f aca="false">IFERROR(IF(OR(NOT(ISNUMBER('Price History'!P162)),NOT(ISNUMBER('Price History'!P161)),'Price History'!P161=0),"",'Price History'!P162/'Price History'!P161-1),"")</f>
        <v>0.00503761567652727</v>
      </c>
      <c r="Q161" s="142" t="n">
        <f aca="false">IFERROR(IF(OR(NOT(ISNUMBER('Price History'!Q162)),NOT(ISNUMBER('Price History'!Q161)),'Price History'!Q161=0),"",'Price History'!Q162/'Price History'!Q161-1),"")</f>
        <v>0.000979911807937217</v>
      </c>
      <c r="R161" s="142" t="n">
        <f aca="false">IFERROR(IF(OR(NOT(ISNUMBER('Price History'!R162)),NOT(ISNUMBER('Price History'!R161)),'Price History'!R161=0),"",'Price History'!R162/'Price History'!R161-1),"")</f>
        <v>-0.00618315508021394</v>
      </c>
      <c r="S161" s="142" t="n">
        <f aca="false">IFERROR(IF(OR(NOT(ISNUMBER('Price History'!S162)),NOT(ISNUMBER('Price History'!S161)),'Price History'!S161=0),"",'Price History'!S162/'Price History'!S161-1),"")</f>
        <v>-0.0131110065218852</v>
      </c>
      <c r="T161" s="142" t="n">
        <f aca="false">IFERROR(IF(OR(NOT(ISNUMBER('Price History'!T162)),NOT(ISNUMBER('Price History'!T161)),'Price History'!T161=0),"",'Price History'!T162/'Price History'!T161-1),"")</f>
        <v>0.00378719567177632</v>
      </c>
      <c r="U161" s="142" t="str">
        <f aca="false">IFERROR(IF(OR(NOT(ISNUMBER('Price History'!U162)),NOT(ISNUMBER('Price History'!U161)),'Price History'!U161=0),"",'Price History'!U162/'Price History'!U161-1),"")</f>
        <v/>
      </c>
      <c r="V161" s="143" t="n">
        <f aca="false">IFERROR(IF(OR(NOT(ISNUMBER('Price History'!V162)),NOT(ISNUMBER('Price History'!V161)),'Price History'!V161=0),"",'Price History'!V162/'Price History'!V161-1),"")</f>
        <v>0.0284605433376455</v>
      </c>
      <c r="W161" s="145" t="str">
        <f aca="false">IFERROR('Price History'!B3+(INDEX('Price History'!B:B,MATCH(9.99E+307,'Price History'!$A:$A))-'Price History'!B3)*(ROW()-3)/(MATCH(9.99E+307,'Returns (Calc)'!$A:$A)-3),"")</f>
        <v/>
      </c>
      <c r="X161" s="145" t="n">
        <f aca="false">IFERROR('Price History'!C3+(INDEX('Price History'!C:C,MATCH(9.99E+307,'Price History'!$A:$A))-'Price History'!C3)*(ROW()-3)/(MATCH(9.99E+307,'Returns (Calc)'!$A:$A)-3),"")</f>
        <v>0</v>
      </c>
      <c r="Y161" s="145" t="n">
        <f aca="false">IFERROR('Price History'!D3+(INDEX('Price History'!D:D,MATCH(9.99E+307,'Price History'!$A:$A))-'Price History'!D3)*(ROW()-3)/(MATCH(9.99E+307,'Returns (Calc)'!$A:$A)-3),"")</f>
        <v>0</v>
      </c>
      <c r="Z161" s="145" t="n">
        <f aca="false">IFERROR('Price History'!E3+(INDEX('Price History'!E:E,MATCH(9.99E+307,'Price History'!$A:$A))-'Price History'!E3)*(ROW()-3)/(MATCH(9.99E+307,'Returns (Calc)'!$A:$A)-3),"")</f>
        <v>0</v>
      </c>
      <c r="AA161" s="145" t="n">
        <f aca="false">IFERROR('Price History'!F3+(INDEX('Price History'!F:F,MATCH(9.99E+307,'Price History'!$A:$A))-'Price History'!F3)*(ROW()-3)/(MATCH(9.99E+307,'Returns (Calc)'!$A:$A)-3),"")</f>
        <v>0</v>
      </c>
      <c r="AB161" s="145" t="n">
        <f aca="false">IFERROR('Price History'!G3+(INDEX('Price History'!G:G,MATCH(9.99E+307,'Price History'!$A:$A))-'Price History'!G3)*(ROW()-3)/(MATCH(9.99E+307,'Returns (Calc)'!$A:$A)-3),"")</f>
        <v>0</v>
      </c>
      <c r="AC161" s="145" t="n">
        <f aca="false">IFERROR('Price History'!H3+(INDEX('Price History'!H:H,MATCH(9.99E+307,'Price History'!$A:$A))-'Price History'!H3)*(ROW()-3)/(MATCH(9.99E+307,'Returns (Calc)'!$A:$A)-3),"")</f>
        <v>0</v>
      </c>
      <c r="AD161" s="145" t="n">
        <f aca="false">IFERROR('Price History'!I3+(INDEX('Price History'!I:I,MATCH(9.99E+307,'Price History'!$A:$A))-'Price History'!I3)*(ROW()-3)/(MATCH(9.99E+307,'Returns (Calc)'!$A:$A)-3),"")</f>
        <v>0</v>
      </c>
      <c r="AE161" s="145" t="n">
        <f aca="false">IFERROR('Price History'!J3+(INDEX('Price History'!J:J,MATCH(9.99E+307,'Price History'!$A:$A))-'Price History'!J3)*(ROW()-3)/(MATCH(9.99E+307,'Returns (Calc)'!$A:$A)-3),"")</f>
        <v>0</v>
      </c>
      <c r="AF161" s="145" t="n">
        <f aca="false">IFERROR('Price History'!K3+(INDEX('Price History'!K:K,MATCH(9.99E+307,'Price History'!$A:$A))-'Price History'!K3)*(ROW()-3)/(MATCH(9.99E+307,'Returns (Calc)'!$A:$A)-3),"")</f>
        <v>0</v>
      </c>
      <c r="AG161" s="145" t="n">
        <f aca="false">IFERROR('Price History'!L3+(INDEX('Price History'!L:L,MATCH(9.99E+307,'Price History'!$A:$A))-'Price History'!L3)*(ROW()-3)/(MATCH(9.99E+307,'Returns (Calc)'!$A:$A)-3),"")</f>
        <v>0</v>
      </c>
      <c r="AH161" s="145" t="n">
        <f aca="false">IFERROR('Price History'!M3+(INDEX('Price History'!M:M,MATCH(9.99E+307,'Price History'!$A:$A))-'Price History'!M3)*(ROW()-3)/(MATCH(9.99E+307,'Returns (Calc)'!$A:$A)-3),"")</f>
        <v>0</v>
      </c>
      <c r="AI161" s="145" t="n">
        <f aca="false">IFERROR('Price History'!N3+(INDEX('Price History'!N:N,MATCH(9.99E+307,'Price History'!$A:$A))-'Price History'!N3)*(ROW()-3)/(MATCH(9.99E+307,'Returns (Calc)'!$A:$A)-3),"")</f>
        <v>0</v>
      </c>
      <c r="AJ161" s="145" t="n">
        <f aca="false">IFERROR('Price History'!O3+(INDEX('Price History'!O:O,MATCH(9.99E+307,'Price History'!$A:$A))-'Price History'!O3)*(ROW()-3)/(MATCH(9.99E+307,'Returns (Calc)'!$A:$A)-3),"")</f>
        <v>0</v>
      </c>
      <c r="AK161" s="145" t="n">
        <f aca="false">IFERROR('Price History'!Q3+(INDEX('Price History'!Q:Q,MATCH(9.99E+307,'Price History'!$A:$A))-'Price History'!Q3)*(ROW()-3)/(MATCH(9.99E+307,'Returns (Calc)'!$A:$A)-3),"")</f>
        <v>0</v>
      </c>
      <c r="AL161" s="145" t="n">
        <f aca="false">IFERROR('Price History'!R3+(INDEX('Price History'!R:R,MATCH(9.99E+307,'Price History'!$A:$A))-'Price History'!R3)*(ROW()-3)/(MATCH(9.99E+307,'Returns (Calc)'!$A:$A)-3),"")</f>
        <v>0</v>
      </c>
      <c r="AM161" s="145" t="n">
        <f aca="false">IFERROR('Price History'!S3+(INDEX('Price History'!S:S,MATCH(9.99E+307,'Price History'!$A:$A))-'Price History'!S3)*(ROW()-3)/(MATCH(9.99E+307,'Returns (Calc)'!$A:$A)-3),"")</f>
        <v>0</v>
      </c>
      <c r="AN161" s="145" t="n">
        <f aca="false">IFERROR('Price History'!T3+(INDEX('Price History'!T:T,MATCH(9.99E+307,'Price History'!$A:$A))-'Price History'!T3)*(ROW()-3)/(MATCH(9.99E+307,'Returns (Calc)'!$A:$A)-3),"")</f>
        <v>0</v>
      </c>
      <c r="AO161" s="145" t="n">
        <f aca="false">IFERROR('Price History'!V3+(INDEX('Price History'!V:V,MATCH(9.99E+307,'Price History'!$A:$A))-'Price History'!V3)*(ROW()-3)/(MATCH(9.99E+307,'Returns (Calc)'!$A:$A)-3),"")</f>
        <v>0</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str">
        <f aca="false">IFERROR('Price History'!B3+(INDEX('Price History'!B:B,MATCH(9.99E+307,'Price History'!$A:$A))-'Price History'!B3)*(ROW()-3)/(MATCH(9.99E+307,'Returns (Calc)'!$A:$A)-3),"")</f>
        <v/>
      </c>
      <c r="X162" s="145" t="n">
        <f aca="false">IFERROR('Price History'!C3+(INDEX('Price History'!C:C,MATCH(9.99E+307,'Price History'!$A:$A))-'Price History'!C3)*(ROW()-3)/(MATCH(9.99E+307,'Returns (Calc)'!$A:$A)-3),"")</f>
        <v>-0.292278481012659</v>
      </c>
      <c r="Y162" s="145" t="n">
        <f aca="false">IFERROR('Price History'!D3+(INDEX('Price History'!D:D,MATCH(9.99E+307,'Price History'!$A:$A))-'Price History'!D3)*(ROW()-3)/(MATCH(9.99E+307,'Returns (Calc)'!$A:$A)-3),"")</f>
        <v>-3.68360759493669</v>
      </c>
      <c r="Z162" s="145" t="n">
        <f aca="false">IFERROR('Price History'!E3+(INDEX('Price History'!E:E,MATCH(9.99E+307,'Price History'!$A:$A))-'Price History'!E3)*(ROW()-3)/(MATCH(9.99E+307,'Returns (Calc)'!$A:$A)-3),"")</f>
        <v>-0.518987341772146</v>
      </c>
      <c r="AA162" s="145" t="n">
        <f aca="false">IFERROR('Price History'!F3+(INDEX('Price History'!F:F,MATCH(9.99E+307,'Price History'!$A:$A))-'Price History'!F3)*(ROW()-3)/(MATCH(9.99E+307,'Returns (Calc)'!$A:$A)-3),"")</f>
        <v>-0.47664556962026</v>
      </c>
      <c r="AB162" s="145" t="n">
        <f aca="false">IFERROR('Price History'!G3+(INDEX('Price History'!G:G,MATCH(9.99E+307,'Price History'!$A:$A))-'Price History'!G3)*(ROW()-3)/(MATCH(9.99E+307,'Returns (Calc)'!$A:$A)-3),"")</f>
        <v>-0.261772151898732</v>
      </c>
      <c r="AC162" s="145" t="n">
        <f aca="false">IFERROR('Price History'!H3+(INDEX('Price History'!H:H,MATCH(9.99E+307,'Price History'!$A:$A))-'Price History'!H3)*(ROW()-3)/(MATCH(9.99E+307,'Returns (Calc)'!$A:$A)-3),"")</f>
        <v>-0.636645569620256</v>
      </c>
      <c r="AD162" s="145" t="n">
        <f aca="false">IFERROR('Price History'!I3+(INDEX('Price History'!I:I,MATCH(9.99E+307,'Price History'!$A:$A))-'Price History'!I3)*(ROW()-3)/(MATCH(9.99E+307,'Returns (Calc)'!$A:$A)-3),"")</f>
        <v>-0.280696202531651</v>
      </c>
      <c r="AE162" s="145" t="n">
        <f aca="false">IFERROR('Price History'!J3+(INDEX('Price History'!J:J,MATCH(9.99E+307,'Price History'!$A:$A))-'Price History'!J3)*(ROW()-3)/(MATCH(9.99E+307,'Returns (Calc)'!$A:$A)-3),"")</f>
        <v>-0.437405063291138</v>
      </c>
      <c r="AF162" s="145" t="n">
        <f aca="false">IFERROR('Price History'!K3+(INDEX('Price History'!K:K,MATCH(9.99E+307,'Price History'!$A:$A))-'Price History'!K3)*(ROW()-3)/(MATCH(9.99E+307,'Returns (Calc)'!$A:$A)-3),"")</f>
        <v>-0.277025316455692</v>
      </c>
      <c r="AG162" s="145" t="n">
        <f aca="false">IFERROR('Price History'!L3+(INDEX('Price History'!L:L,MATCH(9.99E+307,'Price History'!$A:$A))-'Price History'!L3)*(ROW()-3)/(MATCH(9.99E+307,'Returns (Calc)'!$A:$A)-3),"")</f>
        <v>-0.707848101265824</v>
      </c>
      <c r="AH162" s="145" t="n">
        <f aca="false">IFERROR('Price History'!M3+(INDEX('Price History'!M:M,MATCH(9.99E+307,'Price History'!$A:$A))-'Price History'!M3)*(ROW()-3)/(MATCH(9.99E+307,'Returns (Calc)'!$A:$A)-3),"")</f>
        <v>-0.097025316455694</v>
      </c>
      <c r="AI162" s="145" t="n">
        <f aca="false">IFERROR('Price History'!N3+(INDEX('Price History'!N:N,MATCH(9.99E+307,'Price History'!$A:$A))-'Price History'!N3)*(ROW()-3)/(MATCH(9.99E+307,'Returns (Calc)'!$A:$A)-3),"")</f>
        <v>-0.137974683544304</v>
      </c>
      <c r="AJ162" s="145" t="n">
        <f aca="false">IFERROR('Price History'!O3+(INDEX('Price History'!O:O,MATCH(9.99E+307,'Price History'!$A:$A))-'Price History'!O3)*(ROW()-3)/(MATCH(9.99E+307,'Returns (Calc)'!$A:$A)-3),"")</f>
        <v>-0.364746835443036</v>
      </c>
      <c r="AK162" s="145" t="n">
        <f aca="false">IFERROR('Price History'!Q3+(INDEX('Price History'!Q:Q,MATCH(9.99E+307,'Price History'!$A:$A))-'Price History'!Q3)*(ROW()-3)/(MATCH(9.99E+307,'Returns (Calc)'!$A:$A)-3),"")</f>
        <v>-1.49132911392405</v>
      </c>
      <c r="AL162" s="145" t="n">
        <f aca="false">IFERROR('Price History'!R3+(INDEX('Price History'!R:R,MATCH(9.99E+307,'Price History'!$A:$A))-'Price History'!R3)*(ROW()-3)/(MATCH(9.99E+307,'Returns (Calc)'!$A:$A)-3),"")</f>
        <v>-0.302658227848099</v>
      </c>
      <c r="AM162" s="145" t="n">
        <f aca="false">IFERROR('Price History'!S3+(INDEX('Price History'!S:S,MATCH(9.99E+307,'Price History'!$A:$A))-'Price History'!S3)*(ROW()-3)/(MATCH(9.99E+307,'Returns (Calc)'!$A:$A)-3),"")</f>
        <v>-0.37050632911393</v>
      </c>
      <c r="AN162" s="145" t="n">
        <f aca="false">IFERROR('Price History'!T3+(INDEX('Price History'!T:T,MATCH(9.99E+307,'Price History'!$A:$A))-'Price History'!T3)*(ROW()-3)/(MATCH(9.99E+307,'Returns (Calc)'!$A:$A)-3),"")</f>
        <v>-0.170316455696199</v>
      </c>
      <c r="AO162" s="145"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COUNTIF(AG6:AG26,"&gt;1")</f>
        <v>4</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AVUV</v>
      </c>
      <c r="G5" s="149" t="str">
        <f aca="false">'Returns (Calc)'!G2</f>
        <v>CRWD</v>
      </c>
      <c r="H5" s="149" t="str">
        <f aca="false">'Returns (Calc)'!H2</f>
        <v>DVY</v>
      </c>
      <c r="I5" s="149" t="str">
        <f aca="false">'Returns (Calc)'!I2</f>
        <v>KLAC</v>
      </c>
      <c r="J5" s="149" t="str">
        <f aca="false">'Returns (Calc)'!J2</f>
        <v>MU</v>
      </c>
      <c r="K5" s="149" t="str">
        <f aca="false">'Returns (Calc)'!K2</f>
        <v>NVDA</v>
      </c>
      <c r="L5" s="149" t="str">
        <f aca="false">'Returns (Calc)'!L2</f>
        <v>PLD</v>
      </c>
      <c r="M5" s="149" t="str">
        <f aca="false">'Returns (Calc)'!M2</f>
        <v>PLTR</v>
      </c>
      <c r="N5" s="149" t="str">
        <f aca="false">'Returns (Calc)'!N2</f>
        <v>SCHD</v>
      </c>
      <c r="O5" s="149" t="str">
        <f aca="false">'Returns (Calc)'!O2</f>
        <v>SPMO</v>
      </c>
      <c r="P5" s="149" t="str">
        <f aca="false">'Returns (Calc)'!P2</f>
        <v>TSM</v>
      </c>
      <c r="Q5" s="149" t="str">
        <f aca="false">'Returns (Calc)'!Q2</f>
        <v>V</v>
      </c>
      <c r="R5" s="149" t="str">
        <f aca="false">'Returns (Calc)'!R2</f>
        <v>JEPQ</v>
      </c>
      <c r="S5" s="149" t="str">
        <f aca="false">'Returns (Calc)'!S2</f>
        <v>SPMO</v>
      </c>
      <c r="T5" s="149" t="str">
        <f aca="false">'Returns (Calc)'!T2</f>
        <v>VFLO</v>
      </c>
      <c r="U5" s="149" t="n">
        <f aca="false">'Returns (Calc)'!U2</f>
        <v>0</v>
      </c>
      <c r="V5" s="149" t="str">
        <f aca="false">'Returns (Calc)'!V2</f>
        <v>V</v>
      </c>
      <c r="W5" s="150"/>
      <c r="X5" s="150"/>
      <c r="Y5" s="150"/>
      <c r="Z5" s="150"/>
      <c r="AA5" s="150"/>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0.17</v>
      </c>
      <c r="F6" s="152" t="n">
        <f aca="false">IFERROR(ROUND(CORREL('Returns (Calc)'!$B$3:$B$500,'Returns (Calc)'!$F$3:$F$500),2),"")</f>
        <v>0.16</v>
      </c>
      <c r="G6" s="152" t="n">
        <f aca="false">IFERROR(ROUND(CORREL('Returns (Calc)'!$B$3:$B$500,'Returns (Calc)'!$G$3:$G$500),2),"")</f>
        <v>0.4</v>
      </c>
      <c r="H6" s="152" t="n">
        <f aca="false">IFERROR(ROUND(CORREL('Returns (Calc)'!$B$3:$B$500,'Returns (Calc)'!$H$3:$H$500),2),"")</f>
        <v>0.14</v>
      </c>
      <c r="I6" s="152" t="n">
        <f aca="false">IFERROR(ROUND(CORREL('Returns (Calc)'!$B$3:$B$500,'Returns (Calc)'!$I$3:$I$500),2),"")</f>
        <v>-0.06</v>
      </c>
      <c r="J6" s="152" t="n">
        <f aca="false">IFERROR(ROUND(CORREL('Returns (Calc)'!$B$3:$B$500,'Returns (Calc)'!$J$3:$J$500),2),"")</f>
        <v>0.05</v>
      </c>
      <c r="K6" s="152" t="n">
        <f aca="false">IFERROR(ROUND(CORREL('Returns (Calc)'!$B$3:$B$500,'Returns (Calc)'!$K$3:$K$500),2),"")</f>
        <v>0.21</v>
      </c>
      <c r="L6" s="152" t="n">
        <f aca="false">IFERROR(ROUND(CORREL('Returns (Calc)'!$B$3:$B$500,'Returns (Calc)'!$L$3:$L$500),2),"")</f>
        <v>0.18</v>
      </c>
      <c r="M6" s="152" t="n">
        <f aca="false">IFERROR(ROUND(CORREL('Returns (Calc)'!$B$3:$B$500,'Returns (Calc)'!$M$3:$M$500),2),"")</f>
        <v>0.37</v>
      </c>
      <c r="N6" s="152" t="n">
        <f aca="false">IFERROR(ROUND(CORREL('Returns (Calc)'!$B$3:$B$500,'Returns (Calc)'!$N$3:$N$500),2),"")</f>
        <v>0.22</v>
      </c>
      <c r="O6" s="152" t="n">
        <f aca="false">IFERROR(ROUND(CORREL('Returns (Calc)'!$B$3:$B$500,'Returns (Calc)'!$O$3:$O$500),2),"")</f>
        <v>0.23</v>
      </c>
      <c r="P6" s="152" t="n">
        <f aca="false">IFERROR(ROUND(CORREL('Returns (Calc)'!$B$3:$B$500,'Returns (Calc)'!$P$3:$P$500),2),"")</f>
        <v>0.15</v>
      </c>
      <c r="Q6" s="152" t="n">
        <f aca="false">IFERROR(ROUND(CORREL('Returns (Calc)'!$B$3:$B$500,'Returns (Calc)'!$Q$3:$Q$500),2),"")</f>
        <v>0.4</v>
      </c>
      <c r="R6" s="152" t="n">
        <f aca="false">IFERROR(ROUND(CORREL('Returns (Calc)'!$B$3:$B$500,'Returns (Calc)'!$R$3:$R$500),2),"")</f>
        <v>-0.06</v>
      </c>
      <c r="S6" s="152" t="n">
        <f aca="false">IFERROR(ROUND(CORREL('Returns (Calc)'!$B$3:$B$500,'Returns (Calc)'!$S$3:$S$500),2),"")</f>
        <v>-0.15</v>
      </c>
      <c r="T6" s="152" t="n">
        <f aca="false">IFERROR(ROUND(CORREL('Returns (Calc)'!$B$3:$B$500,'Returns (Calc)'!$T$3:$T$500),2),"")</f>
        <v>-0.09</v>
      </c>
      <c r="U6" s="152" t="str">
        <f aca="false">IFERROR(ROUND(CORREL('Returns (Calc)'!$B$3:$B$500,'Returns (Calc)'!$U$3:$U$500),2),"")</f>
        <v/>
      </c>
      <c r="V6" s="152" t="n">
        <f aca="false">IFERROR(ROUND(CORREL('Returns (Calc)'!$B$3:$B$500,'Returns (Calc)'!$V$3:$V$500),2),"")</f>
        <v>-0.15</v>
      </c>
      <c r="AG6" s="153" t="n">
        <f aca="false">COUNTIF(B6:V6,"&gt;0.7")-1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0.35</v>
      </c>
      <c r="G7" s="152" t="n">
        <f aca="false">IFERROR(ROUND(CORREL('Returns (Calc)'!$C$3:$C$500,'Returns (Calc)'!$G$3:$G$500),2),"")</f>
        <v>0.37</v>
      </c>
      <c r="H7" s="152" t="n">
        <f aca="false">IFERROR(ROUND(CORREL('Returns (Calc)'!$C$3:$C$500,'Returns (Calc)'!$H$3:$H$500),2),"")</f>
        <v>0.24</v>
      </c>
      <c r="I7" s="152" t="n">
        <f aca="false">IFERROR(ROUND(CORREL('Returns (Calc)'!$C$3:$C$500,'Returns (Calc)'!$I$3:$I$500),2),"")</f>
        <v>0.44</v>
      </c>
      <c r="J7" s="152" t="n">
        <f aca="false">IFERROR(ROUND(CORREL('Returns (Calc)'!$C$3:$C$500,'Returns (Calc)'!$J$3:$J$500),2),"")</f>
        <v>0.34</v>
      </c>
      <c r="K7" s="152" t="n">
        <f aca="false">IFERROR(ROUND(CORREL('Returns (Calc)'!$C$3:$C$500,'Returns (Calc)'!$K$3:$K$500),2),"")</f>
        <v>0.52</v>
      </c>
      <c r="L7" s="152" t="n">
        <f aca="false">IFERROR(ROUND(CORREL('Returns (Calc)'!$C$3:$C$500,'Returns (Calc)'!$L$3:$L$500),2),"")</f>
        <v>0.18</v>
      </c>
      <c r="M7" s="152" t="n">
        <f aca="false">IFERROR(ROUND(CORREL('Returns (Calc)'!$C$3:$C$500,'Returns (Calc)'!$M$3:$M$500),2),"")</f>
        <v>0.34</v>
      </c>
      <c r="N7" s="152" t="n">
        <f aca="false">IFERROR(ROUND(CORREL('Returns (Calc)'!$C$3:$C$500,'Returns (Calc)'!$N$3:$N$500),2),"")</f>
        <v>0.27</v>
      </c>
      <c r="O7" s="152" t="n">
        <f aca="false">IFERROR(ROUND(CORREL('Returns (Calc)'!$C$3:$C$500,'Returns (Calc)'!$O$3:$O$500),2),"")</f>
        <v>0.64</v>
      </c>
      <c r="P7" s="152" t="n">
        <f aca="false">IFERROR(ROUND(CORREL('Returns (Calc)'!$C$3:$C$500,'Returns (Calc)'!$P$3:$P$500),2),"")</f>
        <v>0.55</v>
      </c>
      <c r="Q7" s="152" t="n">
        <f aca="false">IFERROR(ROUND(CORREL('Returns (Calc)'!$C$3:$C$500,'Returns (Calc)'!$Q$3:$Q$500),2),"")</f>
        <v>0.25</v>
      </c>
      <c r="R7" s="152" t="n">
        <f aca="false">IFERROR(ROUND(CORREL('Returns (Calc)'!$C$3:$C$500,'Returns (Calc)'!$R$3:$R$500),2),"")</f>
        <v>0.01</v>
      </c>
      <c r="S7" s="152" t="n">
        <f aca="false">IFERROR(ROUND(CORREL('Returns (Calc)'!$C$3:$C$500,'Returns (Calc)'!$S$3:$S$500),2),"")</f>
        <v>-0.04</v>
      </c>
      <c r="T7" s="152" t="n">
        <f aca="false">IFERROR(ROUND(CORREL('Returns (Calc)'!$C$3:$C$500,'Returns (Calc)'!$T$3:$T$500),2),"")</f>
        <v>0</v>
      </c>
      <c r="U7" s="152" t="str">
        <f aca="false">IFERROR(ROUND(CORREL('Returns (Calc)'!$C$3:$C$500,'Returns (Calc)'!$U$3:$U$500),2),"")</f>
        <v/>
      </c>
      <c r="V7" s="152" t="n">
        <f aca="false">IFERROR(ROUND(CORREL('Returns (Calc)'!$C$3:$C$500,'Returns (Calc)'!$V$3:$V$500),2),"")</f>
        <v>-0.02</v>
      </c>
      <c r="AG7" s="153" t="n">
        <f aca="false">COUNTIF(B7:V7,"&gt;0.7")-1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0.38</v>
      </c>
      <c r="G8" s="152" t="n">
        <f aca="false">IFERROR(ROUND(CORREL('Returns (Calc)'!$D$3:$D$500,'Returns (Calc)'!$G$3:$G$500),2),"")</f>
        <v>0.32</v>
      </c>
      <c r="H8" s="152" t="n">
        <f aca="false">IFERROR(ROUND(CORREL('Returns (Calc)'!$D$3:$D$500,'Returns (Calc)'!$H$3:$H$500),2),"")</f>
        <v>0.24</v>
      </c>
      <c r="I8" s="152" t="n">
        <f aca="false">IFERROR(ROUND(CORREL('Returns (Calc)'!$D$3:$D$500,'Returns (Calc)'!$I$3:$I$500),2),"")</f>
        <v>0.77</v>
      </c>
      <c r="J8" s="152" t="n">
        <f aca="false">IFERROR(ROUND(CORREL('Returns (Calc)'!$D$3:$D$500,'Returns (Calc)'!$J$3:$J$500),2),"")</f>
        <v>0.6</v>
      </c>
      <c r="K8" s="152" t="n">
        <f aca="false">IFERROR(ROUND(CORREL('Returns (Calc)'!$D$3:$D$500,'Returns (Calc)'!$K$3:$K$500),2),"")</f>
        <v>0.49</v>
      </c>
      <c r="L8" s="152" t="n">
        <f aca="false">IFERROR(ROUND(CORREL('Returns (Calc)'!$D$3:$D$500,'Returns (Calc)'!$L$3:$L$500),2),"")</f>
        <v>0.28</v>
      </c>
      <c r="M8" s="152" t="n">
        <f aca="false">IFERROR(ROUND(CORREL('Returns (Calc)'!$D$3:$D$500,'Returns (Calc)'!$M$3:$M$500),2),"")</f>
        <v>0.21</v>
      </c>
      <c r="N8" s="152" t="n">
        <f aca="false">IFERROR(ROUND(CORREL('Returns (Calc)'!$D$3:$D$500,'Returns (Calc)'!$N$3:$N$500),2),"")</f>
        <v>0.27</v>
      </c>
      <c r="O8" s="152" t="n">
        <f aca="false">IFERROR(ROUND(CORREL('Returns (Calc)'!$D$3:$D$500,'Returns (Calc)'!$O$3:$O$500),2),"")</f>
        <v>0.61</v>
      </c>
      <c r="P8" s="152" t="n">
        <f aca="false">IFERROR(ROUND(CORREL('Returns (Calc)'!$D$3:$D$500,'Returns (Calc)'!$P$3:$P$500),2),"")</f>
        <v>0.63</v>
      </c>
      <c r="Q8" s="152" t="n">
        <f aca="false">IFERROR(ROUND(CORREL('Returns (Calc)'!$D$3:$D$500,'Returns (Calc)'!$Q$3:$Q$500),2),"")</f>
        <v>0.05</v>
      </c>
      <c r="R8" s="152" t="n">
        <f aca="false">IFERROR(ROUND(CORREL('Returns (Calc)'!$D$3:$D$500,'Returns (Calc)'!$R$3:$R$500),2),"")</f>
        <v>0.05</v>
      </c>
      <c r="S8" s="152" t="n">
        <f aca="false">IFERROR(ROUND(CORREL('Returns (Calc)'!$D$3:$D$500,'Returns (Calc)'!$S$3:$S$500),2),"")</f>
        <v>0.03</v>
      </c>
      <c r="T8" s="152" t="n">
        <f aca="false">IFERROR(ROUND(CORREL('Returns (Calc)'!$D$3:$D$500,'Returns (Calc)'!$T$3:$T$500),2),"")</f>
        <v>0.09</v>
      </c>
      <c r="U8" s="152" t="str">
        <f aca="false">IFERROR(ROUND(CORREL('Returns (Calc)'!$D$3:$D$500,'Returns (Calc)'!$U$3:$U$500),2),"")</f>
        <v/>
      </c>
      <c r="V8" s="152" t="n">
        <f aca="false">IFERROR(ROUND(CORREL('Returns (Calc)'!$D$3:$D$500,'Returns (Calc)'!$V$3:$V$500),2),"")</f>
        <v>0.02</v>
      </c>
      <c r="AG8" s="153" t="n">
        <f aca="false">COUNTIF(B8:V8,"&gt;0.7")-1</f>
        <v>1</v>
      </c>
    </row>
    <row r="9" customFormat="false" ht="15" hidden="false" customHeight="true" outlineLevel="0" collapsed="false">
      <c r="A9" s="151" t="str">
        <f aca="false">'Returns (Calc)'!E2</f>
        <v>AVGO</v>
      </c>
      <c r="B9" s="152" t="n">
        <f aca="false">IFERROR(ROUND(CORREL('Returns (Calc)'!$E$3:$E$500,'Returns (Calc)'!$B$3:$B$500),2),"")</f>
        <v>0.17</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0.29</v>
      </c>
      <c r="G9" s="152" t="n">
        <f aca="false">IFERROR(ROUND(CORREL('Returns (Calc)'!$E$3:$E$500,'Returns (Calc)'!$G$3:$G$500),2),"")</f>
        <v>0.4</v>
      </c>
      <c r="H9" s="152" t="n">
        <f aca="false">IFERROR(ROUND(CORREL('Returns (Calc)'!$E$3:$E$500,'Returns (Calc)'!$H$3:$H$500),2),"")</f>
        <v>0.11</v>
      </c>
      <c r="I9" s="152" t="n">
        <f aca="false">IFERROR(ROUND(CORREL('Returns (Calc)'!$E$3:$E$500,'Returns (Calc)'!$I$3:$I$500),2),"")</f>
        <v>0.53</v>
      </c>
      <c r="J9" s="152" t="n">
        <f aca="false">IFERROR(ROUND(CORREL('Returns (Calc)'!$E$3:$E$500,'Returns (Calc)'!$J$3:$J$500),2),"")</f>
        <v>0.48</v>
      </c>
      <c r="K9" s="152" t="n">
        <f aca="false">IFERROR(ROUND(CORREL('Returns (Calc)'!$E$3:$E$500,'Returns (Calc)'!$K$3:$K$500),2),"")</f>
        <v>0.62</v>
      </c>
      <c r="L9" s="152" t="n">
        <f aca="false">IFERROR(ROUND(CORREL('Returns (Calc)'!$E$3:$E$500,'Returns (Calc)'!$L$3:$L$500),2),"")</f>
        <v>0.22</v>
      </c>
      <c r="M9" s="152" t="n">
        <f aca="false">IFERROR(ROUND(CORREL('Returns (Calc)'!$E$3:$E$500,'Returns (Calc)'!$M$3:$M$500),2),"")</f>
        <v>0.38</v>
      </c>
      <c r="N9" s="152" t="n">
        <f aca="false">IFERROR(ROUND(CORREL('Returns (Calc)'!$E$3:$E$500,'Returns (Calc)'!$N$3:$N$500),2),"")</f>
        <v>0.16</v>
      </c>
      <c r="O9" s="152" t="n">
        <f aca="false">IFERROR(ROUND(CORREL('Returns (Calc)'!$E$3:$E$500,'Returns (Calc)'!$O$3:$O$500),2),"")</f>
        <v>0.73</v>
      </c>
      <c r="P9" s="152" t="n">
        <f aca="false">IFERROR(ROUND(CORREL('Returns (Calc)'!$E$3:$E$500,'Returns (Calc)'!$P$3:$P$500),2),"")</f>
        <v>0.63</v>
      </c>
      <c r="Q9" s="152" t="n">
        <f aca="false">IFERROR(ROUND(CORREL('Returns (Calc)'!$E$3:$E$500,'Returns (Calc)'!$Q$3:$Q$500),2),"")</f>
        <v>0.2</v>
      </c>
      <c r="R9" s="152" t="n">
        <f aca="false">IFERROR(ROUND(CORREL('Returns (Calc)'!$E$3:$E$500,'Returns (Calc)'!$R$3:$R$500),2),"")</f>
        <v>0.04</v>
      </c>
      <c r="S9" s="152" t="n">
        <f aca="false">IFERROR(ROUND(CORREL('Returns (Calc)'!$E$3:$E$500,'Returns (Calc)'!$S$3:$S$500),2),"")</f>
        <v>0.03</v>
      </c>
      <c r="T9" s="152" t="n">
        <f aca="false">IFERROR(ROUND(CORREL('Returns (Calc)'!$E$3:$E$500,'Returns (Calc)'!$T$3:$T$500),2),"")</f>
        <v>0.01</v>
      </c>
      <c r="U9" s="152" t="str">
        <f aca="false">IFERROR(ROUND(CORREL('Returns (Calc)'!$E$3:$E$500,'Returns (Calc)'!$U$3:$U$500),2),"")</f>
        <v/>
      </c>
      <c r="V9" s="152" t="n">
        <f aca="false">IFERROR(ROUND(CORREL('Returns (Calc)'!$E$3:$E$500,'Returns (Calc)'!$V$3:$V$500),2),"")</f>
        <v>-0.07</v>
      </c>
      <c r="AG9" s="153" t="n">
        <f aca="false">COUNTIF(B9:V9,"&gt;0.7")-1</f>
        <v>1</v>
      </c>
    </row>
    <row r="10" customFormat="false" ht="15" hidden="false" customHeight="true" outlineLevel="0" collapsed="false">
      <c r="A10" s="151" t="str">
        <f aca="false">'Returns (Calc)'!F2</f>
        <v>AVUV</v>
      </c>
      <c r="B10" s="152" t="n">
        <f aca="false">IFERROR(ROUND(CORREL('Returns (Calc)'!$F$3:$F$500,'Returns (Calc)'!$B$3:$B$500),2),"")</f>
        <v>0.16</v>
      </c>
      <c r="C10" s="152" t="n">
        <f aca="false">IFERROR(ROUND(CORREL('Returns (Calc)'!$F$3:$F$500,'Returns (Calc)'!$C$3:$C$500),2),"")</f>
        <v>0.35</v>
      </c>
      <c r="D10" s="152" t="n">
        <f aca="false">IFERROR(ROUND(CORREL('Returns (Calc)'!$F$3:$F$500,'Returns (Calc)'!$D$3:$D$500),2),"")</f>
        <v>0.38</v>
      </c>
      <c r="E10" s="152" t="n">
        <f aca="false">IFERROR(ROUND(CORREL('Returns (Calc)'!$F$3:$F$500,'Returns (Calc)'!$E$3:$E$500),2),"")</f>
        <v>0.29</v>
      </c>
      <c r="F10" s="152" t="n">
        <v>1</v>
      </c>
      <c r="G10" s="152" t="n">
        <f aca="false">IFERROR(ROUND(CORREL('Returns (Calc)'!$F$3:$F$500,'Returns (Calc)'!$G$3:$G$500),2),"")</f>
        <v>0.19</v>
      </c>
      <c r="H10" s="152" t="n">
        <f aca="false">IFERROR(ROUND(CORREL('Returns (Calc)'!$F$3:$F$500,'Returns (Calc)'!$H$3:$H$500),2),"")</f>
        <v>0.86</v>
      </c>
      <c r="I10" s="152" t="n">
        <f aca="false">IFERROR(ROUND(CORREL('Returns (Calc)'!$F$3:$F$500,'Returns (Calc)'!$I$3:$I$500),2),"")</f>
        <v>0.44</v>
      </c>
      <c r="J10" s="152" t="n">
        <f aca="false">IFERROR(ROUND(CORREL('Returns (Calc)'!$F$3:$F$500,'Returns (Calc)'!$J$3:$J$500),2),"")</f>
        <v>0.35</v>
      </c>
      <c r="K10" s="152" t="n">
        <f aca="false">IFERROR(ROUND(CORREL('Returns (Calc)'!$F$3:$F$500,'Returns (Calc)'!$K$3:$K$500),2),"")</f>
        <v>0.28</v>
      </c>
      <c r="L10" s="152" t="n">
        <f aca="false">IFERROR(ROUND(CORREL('Returns (Calc)'!$F$3:$F$500,'Returns (Calc)'!$L$3:$L$500),2),"")</f>
        <v>0.62</v>
      </c>
      <c r="M10" s="152" t="n">
        <f aca="false">IFERROR(ROUND(CORREL('Returns (Calc)'!$F$3:$F$500,'Returns (Calc)'!$M$3:$M$500),2),"")</f>
        <v>0.23</v>
      </c>
      <c r="N10" s="152" t="n">
        <f aca="false">IFERROR(ROUND(CORREL('Returns (Calc)'!$F$3:$F$500,'Returns (Calc)'!$N$3:$N$500),2),"")</f>
        <v>0.83</v>
      </c>
      <c r="O10" s="152" t="n">
        <f aca="false">IFERROR(ROUND(CORREL('Returns (Calc)'!$F$3:$F$500,'Returns (Calc)'!$O$3:$O$500),2),"")</f>
        <v>0.5</v>
      </c>
      <c r="P10" s="152" t="n">
        <f aca="false">IFERROR(ROUND(CORREL('Returns (Calc)'!$F$3:$F$500,'Returns (Calc)'!$P$3:$P$500),2),"")</f>
        <v>0.33</v>
      </c>
      <c r="Q10" s="152" t="n">
        <f aca="false">IFERROR(ROUND(CORREL('Returns (Calc)'!$F$3:$F$500,'Returns (Calc)'!$Q$3:$Q$500),2),"")</f>
        <v>0.36</v>
      </c>
      <c r="R10" s="152" t="n">
        <f aca="false">IFERROR(ROUND(CORREL('Returns (Calc)'!$F$3:$F$500,'Returns (Calc)'!$R$3:$R$500),2),"")</f>
        <v>0.09</v>
      </c>
      <c r="S10" s="152" t="n">
        <f aca="false">IFERROR(ROUND(CORREL('Returns (Calc)'!$F$3:$F$500,'Returns (Calc)'!$S$3:$S$500),2),"")</f>
        <v>0.08</v>
      </c>
      <c r="T10" s="152" t="n">
        <f aca="false">IFERROR(ROUND(CORREL('Returns (Calc)'!$F$3:$F$500,'Returns (Calc)'!$T$3:$T$500),2),"")</f>
        <v>-0.01</v>
      </c>
      <c r="U10" s="152" t="str">
        <f aca="false">IFERROR(ROUND(CORREL('Returns (Calc)'!$F$3:$F$500,'Returns (Calc)'!$U$3:$U$500),2),"")</f>
        <v/>
      </c>
      <c r="V10" s="152" t="n">
        <f aca="false">IFERROR(ROUND(CORREL('Returns (Calc)'!$F$3:$F$500,'Returns (Calc)'!$V$3:$V$500),2),"")</f>
        <v>-0.04</v>
      </c>
      <c r="AG10" s="153" t="n">
        <f aca="false">COUNTIF(B10:V10,"&gt;0.7")-1</f>
        <v>2</v>
      </c>
    </row>
    <row r="11" customFormat="false" ht="15" hidden="false" customHeight="true" outlineLevel="0" collapsed="false">
      <c r="A11" s="151" t="str">
        <f aca="false">'Returns (Calc)'!G2</f>
        <v>CRWD</v>
      </c>
      <c r="B11" s="152" t="n">
        <f aca="false">IFERROR(ROUND(CORREL('Returns (Calc)'!$G$3:$G$500,'Returns (Calc)'!$B$3:$B$500),2),"")</f>
        <v>0.4</v>
      </c>
      <c r="C11" s="152" t="n">
        <f aca="false">IFERROR(ROUND(CORREL('Returns (Calc)'!$G$3:$G$500,'Returns (Calc)'!$C$3:$C$500),2),"")</f>
        <v>0.37</v>
      </c>
      <c r="D11" s="152" t="n">
        <f aca="false">IFERROR(ROUND(CORREL('Returns (Calc)'!$G$3:$G$500,'Returns (Calc)'!$D$3:$D$500),2),"")</f>
        <v>0.32</v>
      </c>
      <c r="E11" s="152" t="n">
        <f aca="false">IFERROR(ROUND(CORREL('Returns (Calc)'!$G$3:$G$500,'Returns (Calc)'!$E$3:$E$500),2),"")</f>
        <v>0.4</v>
      </c>
      <c r="F11" s="152" t="n">
        <f aca="false">IFERROR(ROUND(CORREL('Returns (Calc)'!$G$3:$G$500,'Returns (Calc)'!$F$3:$F$500),2),"")</f>
        <v>0.19</v>
      </c>
      <c r="G11" s="152" t="n">
        <v>1</v>
      </c>
      <c r="H11" s="152" t="n">
        <f aca="false">IFERROR(ROUND(CORREL('Returns (Calc)'!$G$3:$G$500,'Returns (Calc)'!$H$3:$H$500),2),"")</f>
        <v>0.1</v>
      </c>
      <c r="I11" s="152" t="n">
        <f aca="false">IFERROR(ROUND(CORREL('Returns (Calc)'!$G$3:$G$500,'Returns (Calc)'!$I$3:$I$500),2),"")</f>
        <v>0.33</v>
      </c>
      <c r="J11" s="152" t="n">
        <f aca="false">IFERROR(ROUND(CORREL('Returns (Calc)'!$G$3:$G$500,'Returns (Calc)'!$J$3:$J$500),2),"")</f>
        <v>0.32</v>
      </c>
      <c r="K11" s="152" t="n">
        <f aca="false">IFERROR(ROUND(CORREL('Returns (Calc)'!$G$3:$G$500,'Returns (Calc)'!$K$3:$K$500),2),"")</f>
        <v>0.46</v>
      </c>
      <c r="L11" s="152" t="n">
        <f aca="false">IFERROR(ROUND(CORREL('Returns (Calc)'!$G$3:$G$500,'Returns (Calc)'!$L$3:$L$500),2),"")</f>
        <v>0.1</v>
      </c>
      <c r="M11" s="152" t="n">
        <f aca="false">IFERROR(ROUND(CORREL('Returns (Calc)'!$G$3:$G$500,'Returns (Calc)'!$M$3:$M$500),2),"")</f>
        <v>0.5</v>
      </c>
      <c r="N11" s="152" t="n">
        <f aca="false">IFERROR(ROUND(CORREL('Returns (Calc)'!$G$3:$G$500,'Returns (Calc)'!$N$3:$N$500),2),"")</f>
        <v>0.11</v>
      </c>
      <c r="O11" s="152" t="n">
        <f aca="false">IFERROR(ROUND(CORREL('Returns (Calc)'!$G$3:$G$500,'Returns (Calc)'!$O$3:$O$500),2),"")</f>
        <v>0.52</v>
      </c>
      <c r="P11" s="152" t="n">
        <f aca="false">IFERROR(ROUND(CORREL('Returns (Calc)'!$G$3:$G$500,'Returns (Calc)'!$P$3:$P$500),2),"")</f>
        <v>0.38</v>
      </c>
      <c r="Q11" s="152" t="n">
        <f aca="false">IFERROR(ROUND(CORREL('Returns (Calc)'!$G$3:$G$500,'Returns (Calc)'!$Q$3:$Q$500),2),"")</f>
        <v>0.28</v>
      </c>
      <c r="R11" s="152" t="n">
        <f aca="false">IFERROR(ROUND(CORREL('Returns (Calc)'!$G$3:$G$500,'Returns (Calc)'!$R$3:$R$500),2),"")</f>
        <v>0.08</v>
      </c>
      <c r="S11" s="152" t="n">
        <f aca="false">IFERROR(ROUND(CORREL('Returns (Calc)'!$G$3:$G$500,'Returns (Calc)'!$S$3:$S$500),2),"")</f>
        <v>0.08</v>
      </c>
      <c r="T11" s="152" t="n">
        <f aca="false">IFERROR(ROUND(CORREL('Returns (Calc)'!$G$3:$G$500,'Returns (Calc)'!$T$3:$T$500),2),"")</f>
        <v>0.11</v>
      </c>
      <c r="U11" s="152" t="str">
        <f aca="false">IFERROR(ROUND(CORREL('Returns (Calc)'!$G$3:$G$500,'Returns (Calc)'!$U$3:$U$500),2),"")</f>
        <v/>
      </c>
      <c r="V11" s="152" t="n">
        <f aca="false">IFERROR(ROUND(CORREL('Returns (Calc)'!$G$3:$G$500,'Returns (Calc)'!$V$3:$V$500),2),"")</f>
        <v>0.02</v>
      </c>
      <c r="AG11" s="153" t="n">
        <f aca="false">COUNTIF(B11:V11,"&gt;0.7")-1</f>
        <v>0</v>
      </c>
    </row>
    <row r="12" customFormat="false" ht="15" hidden="false" customHeight="true" outlineLevel="0" collapsed="false">
      <c r="A12" s="151" t="str">
        <f aca="false">'Returns (Calc)'!H2</f>
        <v>DVY</v>
      </c>
      <c r="B12" s="152" t="n">
        <f aca="false">IFERROR(ROUND(CORREL('Returns (Calc)'!$H$3:$H$500,'Returns (Calc)'!$B$3:$B$500),2),"")</f>
        <v>0.14</v>
      </c>
      <c r="C12" s="152" t="n">
        <f aca="false">IFERROR(ROUND(CORREL('Returns (Calc)'!$H$3:$H$500,'Returns (Calc)'!$C$3:$C$500),2),"")</f>
        <v>0.24</v>
      </c>
      <c r="D12" s="152" t="n">
        <f aca="false">IFERROR(ROUND(CORREL('Returns (Calc)'!$H$3:$H$500,'Returns (Calc)'!$D$3:$D$500),2),"")</f>
        <v>0.24</v>
      </c>
      <c r="E12" s="152" t="n">
        <f aca="false">IFERROR(ROUND(CORREL('Returns (Calc)'!$H$3:$H$500,'Returns (Calc)'!$E$3:$E$500),2),"")</f>
        <v>0.11</v>
      </c>
      <c r="F12" s="152" t="n">
        <f aca="false">IFERROR(ROUND(CORREL('Returns (Calc)'!$H$3:$H$500,'Returns (Calc)'!$F$3:$F$500),2),"")</f>
        <v>0.86</v>
      </c>
      <c r="G12" s="152" t="n">
        <f aca="false">IFERROR(ROUND(CORREL('Returns (Calc)'!$H$3:$H$500,'Returns (Calc)'!$G$3:$G$500),2),"")</f>
        <v>0.1</v>
      </c>
      <c r="H12" s="152" t="n">
        <v>1</v>
      </c>
      <c r="I12" s="152" t="n">
        <f aca="false">IFERROR(ROUND(CORREL('Returns (Calc)'!$H$3:$H$500,'Returns (Calc)'!$I$3:$I$500),2),"")</f>
        <v>0.26</v>
      </c>
      <c r="J12" s="152" t="n">
        <f aca="false">IFERROR(ROUND(CORREL('Returns (Calc)'!$H$3:$H$500,'Returns (Calc)'!$J$3:$J$500),2),"")</f>
        <v>0.23</v>
      </c>
      <c r="K12" s="152" t="n">
        <f aca="false">IFERROR(ROUND(CORREL('Returns (Calc)'!$H$3:$H$500,'Returns (Calc)'!$K$3:$K$500),2),"")</f>
        <v>0.15</v>
      </c>
      <c r="L12" s="152" t="n">
        <f aca="false">IFERROR(ROUND(CORREL('Returns (Calc)'!$H$3:$H$500,'Returns (Calc)'!$L$3:$L$500),2),"")</f>
        <v>0.65</v>
      </c>
      <c r="M12" s="152" t="n">
        <f aca="false">IFERROR(ROUND(CORREL('Returns (Calc)'!$H$3:$H$500,'Returns (Calc)'!$M$3:$M$500),2),"")</f>
        <v>0.1</v>
      </c>
      <c r="N12" s="152" t="n">
        <f aca="false">IFERROR(ROUND(CORREL('Returns (Calc)'!$H$3:$H$500,'Returns (Calc)'!$N$3:$N$500),2),"")</f>
        <v>0.89</v>
      </c>
      <c r="O12" s="152" t="n">
        <f aca="false">IFERROR(ROUND(CORREL('Returns (Calc)'!$H$3:$H$500,'Returns (Calc)'!$O$3:$O$500),2),"")</f>
        <v>0.34</v>
      </c>
      <c r="P12" s="152" t="n">
        <f aca="false">IFERROR(ROUND(CORREL('Returns (Calc)'!$H$3:$H$500,'Returns (Calc)'!$P$3:$P$500),2),"")</f>
        <v>0.16</v>
      </c>
      <c r="Q12" s="152" t="n">
        <f aca="false">IFERROR(ROUND(CORREL('Returns (Calc)'!$H$3:$H$500,'Returns (Calc)'!$Q$3:$Q$500),2),"")</f>
        <v>0.43</v>
      </c>
      <c r="R12" s="152" t="n">
        <f aca="false">IFERROR(ROUND(CORREL('Returns (Calc)'!$H$3:$H$500,'Returns (Calc)'!$R$3:$R$500),2),"")</f>
        <v>0.13</v>
      </c>
      <c r="S12" s="152" t="n">
        <f aca="false">IFERROR(ROUND(CORREL('Returns (Calc)'!$H$3:$H$500,'Returns (Calc)'!$S$3:$S$500),2),"")</f>
        <v>0.13</v>
      </c>
      <c r="T12" s="152" t="n">
        <f aca="false">IFERROR(ROUND(CORREL('Returns (Calc)'!$H$3:$H$500,'Returns (Calc)'!$T$3:$T$500),2),"")</f>
        <v>0.02</v>
      </c>
      <c r="U12" s="152" t="str">
        <f aca="false">IFERROR(ROUND(CORREL('Returns (Calc)'!$H$3:$H$500,'Returns (Calc)'!$U$3:$U$500),2),"")</f>
        <v/>
      </c>
      <c r="V12" s="152" t="n">
        <f aca="false">IFERROR(ROUND(CORREL('Returns (Calc)'!$H$3:$H$500,'Returns (Calc)'!$V$3:$V$500),2),"")</f>
        <v>0.02</v>
      </c>
      <c r="AG12" s="153" t="n">
        <f aca="false">COUNTIF(B12:V12,"&gt;0.7")-1</f>
        <v>2</v>
      </c>
    </row>
    <row r="13" customFormat="false" ht="15" hidden="false" customHeight="true" outlineLevel="0" collapsed="false">
      <c r="A13" s="151" t="str">
        <f aca="false">'Returns (Calc)'!I2</f>
        <v>KLAC</v>
      </c>
      <c r="B13" s="152" t="n">
        <f aca="false">IFERROR(ROUND(CORREL('Returns (Calc)'!$I$3:$I$500,'Returns (Calc)'!$B$3:$B$500),2),"")</f>
        <v>-0.06</v>
      </c>
      <c r="C13" s="152" t="n">
        <f aca="false">IFERROR(ROUND(CORREL('Returns (Calc)'!$I$3:$I$500,'Returns (Calc)'!$C$3:$C$500),2),"")</f>
        <v>0.44</v>
      </c>
      <c r="D13" s="152" t="n">
        <f aca="false">IFERROR(ROUND(CORREL('Returns (Calc)'!$I$3:$I$500,'Returns (Calc)'!$D$3:$D$500),2),"")</f>
        <v>0.77</v>
      </c>
      <c r="E13" s="152" t="n">
        <f aca="false">IFERROR(ROUND(CORREL('Returns (Calc)'!$I$3:$I$500,'Returns (Calc)'!$E$3:$E$500),2),"")</f>
        <v>0.53</v>
      </c>
      <c r="F13" s="152" t="n">
        <f aca="false">IFERROR(ROUND(CORREL('Returns (Calc)'!$I$3:$I$500,'Returns (Calc)'!$F$3:$F$500),2),"")</f>
        <v>0.44</v>
      </c>
      <c r="G13" s="152" t="n">
        <f aca="false">IFERROR(ROUND(CORREL('Returns (Calc)'!$I$3:$I$500,'Returns (Calc)'!$G$3:$G$500),2),"")</f>
        <v>0.33</v>
      </c>
      <c r="H13" s="152" t="n">
        <f aca="false">IFERROR(ROUND(CORREL('Returns (Calc)'!$I$3:$I$500,'Returns (Calc)'!$H$3:$H$500),2),"")</f>
        <v>0.26</v>
      </c>
      <c r="I13" s="152" t="n">
        <v>1</v>
      </c>
      <c r="J13" s="152" t="n">
        <f aca="false">IFERROR(ROUND(CORREL('Returns (Calc)'!$I$3:$I$500,'Returns (Calc)'!$J$3:$J$500),2),"")</f>
        <v>0.6</v>
      </c>
      <c r="K13" s="152" t="n">
        <f aca="false">IFERROR(ROUND(CORREL('Returns (Calc)'!$I$3:$I$500,'Returns (Calc)'!$K$3:$K$500),2),"")</f>
        <v>0.52</v>
      </c>
      <c r="L13" s="152" t="n">
        <f aca="false">IFERROR(ROUND(CORREL('Returns (Calc)'!$I$3:$I$500,'Returns (Calc)'!$L$3:$L$500),2),"")</f>
        <v>0.28</v>
      </c>
      <c r="M13" s="152" t="n">
        <f aca="false">IFERROR(ROUND(CORREL('Returns (Calc)'!$I$3:$I$500,'Returns (Calc)'!$M$3:$M$500),2),"")</f>
        <v>0.25</v>
      </c>
      <c r="N13" s="152" t="n">
        <f aca="false">IFERROR(ROUND(CORREL('Returns (Calc)'!$I$3:$I$500,'Returns (Calc)'!$N$3:$N$500),2),"")</f>
        <v>0.29</v>
      </c>
      <c r="O13" s="152" t="n">
        <f aca="false">IFERROR(ROUND(CORREL('Returns (Calc)'!$I$3:$I$500,'Returns (Calc)'!$O$3:$O$500),2),"")</f>
        <v>0.67</v>
      </c>
      <c r="P13" s="152" t="n">
        <f aca="false">IFERROR(ROUND(CORREL('Returns (Calc)'!$I$3:$I$500,'Returns (Calc)'!$P$3:$P$500),2),"")</f>
        <v>0.62</v>
      </c>
      <c r="Q13" s="152" t="n">
        <f aca="false">IFERROR(ROUND(CORREL('Returns (Calc)'!$I$3:$I$500,'Returns (Calc)'!$Q$3:$Q$500),2),"")</f>
        <v>0.03</v>
      </c>
      <c r="R13" s="152" t="n">
        <f aca="false">IFERROR(ROUND(CORREL('Returns (Calc)'!$I$3:$I$500,'Returns (Calc)'!$R$3:$R$500),2),"")</f>
        <v>0.07</v>
      </c>
      <c r="S13" s="152" t="n">
        <f aca="false">IFERROR(ROUND(CORREL('Returns (Calc)'!$I$3:$I$500,'Returns (Calc)'!$S$3:$S$500),2),"")</f>
        <v>0.05</v>
      </c>
      <c r="T13" s="152" t="n">
        <f aca="false">IFERROR(ROUND(CORREL('Returns (Calc)'!$I$3:$I$500,'Returns (Calc)'!$T$3:$T$500),2),"")</f>
        <v>0.05</v>
      </c>
      <c r="U13" s="152" t="str">
        <f aca="false">IFERROR(ROUND(CORREL('Returns (Calc)'!$I$3:$I$500,'Returns (Calc)'!$U$3:$U$500),2),"")</f>
        <v/>
      </c>
      <c r="V13" s="152" t="n">
        <f aca="false">IFERROR(ROUND(CORREL('Returns (Calc)'!$I$3:$I$500,'Returns (Calc)'!$V$3:$V$500),2),"")</f>
        <v>-0.02</v>
      </c>
      <c r="AG13" s="153" t="n">
        <f aca="false">COUNTIF(B13:V13,"&gt;0.7")-1</f>
        <v>1</v>
      </c>
    </row>
    <row r="14" customFormat="false" ht="15" hidden="false" customHeight="true" outlineLevel="0" collapsed="false">
      <c r="A14" s="151" t="str">
        <f aca="false">'Returns (Calc)'!J2</f>
        <v>MU</v>
      </c>
      <c r="B14" s="152" t="n">
        <f aca="false">IFERROR(ROUND(CORREL('Returns (Calc)'!$J$3:$J$500,'Returns (Calc)'!$B$3:$B$500),2),"")</f>
        <v>0.05</v>
      </c>
      <c r="C14" s="152" t="n">
        <f aca="false">IFERROR(ROUND(CORREL('Returns (Calc)'!$J$3:$J$500,'Returns (Calc)'!$C$3:$C$500),2),"")</f>
        <v>0.34</v>
      </c>
      <c r="D14" s="152" t="n">
        <f aca="false">IFERROR(ROUND(CORREL('Returns (Calc)'!$J$3:$J$500,'Returns (Calc)'!$D$3:$D$500),2),"")</f>
        <v>0.6</v>
      </c>
      <c r="E14" s="152" t="n">
        <f aca="false">IFERROR(ROUND(CORREL('Returns (Calc)'!$J$3:$J$500,'Returns (Calc)'!$E$3:$E$500),2),"")</f>
        <v>0.48</v>
      </c>
      <c r="F14" s="152" t="n">
        <f aca="false">IFERROR(ROUND(CORREL('Returns (Calc)'!$J$3:$J$500,'Returns (Calc)'!$F$3:$F$500),2),"")</f>
        <v>0.35</v>
      </c>
      <c r="G14" s="152" t="n">
        <f aca="false">IFERROR(ROUND(CORREL('Returns (Calc)'!$J$3:$J$500,'Returns (Calc)'!$G$3:$G$500),2),"")</f>
        <v>0.32</v>
      </c>
      <c r="H14" s="152" t="n">
        <f aca="false">IFERROR(ROUND(CORREL('Returns (Calc)'!$J$3:$J$500,'Returns (Calc)'!$H$3:$H$500),2),"")</f>
        <v>0.23</v>
      </c>
      <c r="I14" s="152" t="n">
        <f aca="false">IFERROR(ROUND(CORREL('Returns (Calc)'!$J$3:$J$500,'Returns (Calc)'!$I$3:$I$500),2),"")</f>
        <v>0.6</v>
      </c>
      <c r="J14" s="152" t="n">
        <v>1</v>
      </c>
      <c r="K14" s="152" t="n">
        <f aca="false">IFERROR(ROUND(CORREL('Returns (Calc)'!$J$3:$J$500,'Returns (Calc)'!$K$3:$K$500),2),"")</f>
        <v>0.5</v>
      </c>
      <c r="L14" s="152" t="n">
        <f aca="false">IFERROR(ROUND(CORREL('Returns (Calc)'!$J$3:$J$500,'Returns (Calc)'!$L$3:$L$500),2),"")</f>
        <v>0.2</v>
      </c>
      <c r="M14" s="152" t="n">
        <f aca="false">IFERROR(ROUND(CORREL('Returns (Calc)'!$J$3:$J$500,'Returns (Calc)'!$M$3:$M$500),2),"")</f>
        <v>0.17</v>
      </c>
      <c r="N14" s="152" t="n">
        <f aca="false">IFERROR(ROUND(CORREL('Returns (Calc)'!$J$3:$J$500,'Returns (Calc)'!$N$3:$N$500),2),"")</f>
        <v>0.26</v>
      </c>
      <c r="O14" s="152" t="n">
        <f aca="false">IFERROR(ROUND(CORREL('Returns (Calc)'!$J$3:$J$500,'Returns (Calc)'!$O$3:$O$500),2),"")</f>
        <v>0.66</v>
      </c>
      <c r="P14" s="152" t="n">
        <f aca="false">IFERROR(ROUND(CORREL('Returns (Calc)'!$J$3:$J$500,'Returns (Calc)'!$P$3:$P$500),2),"")</f>
        <v>0.56</v>
      </c>
      <c r="Q14" s="152" t="n">
        <f aca="false">IFERROR(ROUND(CORREL('Returns (Calc)'!$J$3:$J$500,'Returns (Calc)'!$Q$3:$Q$500),2),"")</f>
        <v>0.02</v>
      </c>
      <c r="R14" s="152" t="n">
        <f aca="false">IFERROR(ROUND(CORREL('Returns (Calc)'!$J$3:$J$500,'Returns (Calc)'!$R$3:$R$500),2),"")</f>
        <v>0.08</v>
      </c>
      <c r="S14" s="152" t="n">
        <f aca="false">IFERROR(ROUND(CORREL('Returns (Calc)'!$J$3:$J$500,'Returns (Calc)'!$S$3:$S$500),2),"")</f>
        <v>0.09</v>
      </c>
      <c r="T14" s="152" t="n">
        <f aca="false">IFERROR(ROUND(CORREL('Returns (Calc)'!$J$3:$J$500,'Returns (Calc)'!$T$3:$T$500),2),"")</f>
        <v>0.06</v>
      </c>
      <c r="U14" s="152" t="str">
        <f aca="false">IFERROR(ROUND(CORREL('Returns (Calc)'!$J$3:$J$500,'Returns (Calc)'!$U$3:$U$500),2),"")</f>
        <v/>
      </c>
      <c r="V14" s="152" t="n">
        <f aca="false">IFERROR(ROUND(CORREL('Returns (Calc)'!$J$3:$J$500,'Returns (Calc)'!$V$3:$V$500),2),"")</f>
        <v>0.01</v>
      </c>
      <c r="AG14" s="153" t="n">
        <f aca="false">COUNTIF(B14:V14,"&gt;0.7")-1</f>
        <v>0</v>
      </c>
    </row>
    <row r="15" customFormat="false" ht="15" hidden="false" customHeight="true" outlineLevel="0" collapsed="false">
      <c r="A15" s="151" t="str">
        <f aca="false">'Returns (Calc)'!K2</f>
        <v>NVDA</v>
      </c>
      <c r="B15" s="152" t="n">
        <f aca="false">IFERROR(ROUND(CORREL('Returns (Calc)'!$K$3:$K$500,'Returns (Calc)'!$B$3:$B$500),2),"")</f>
        <v>0.21</v>
      </c>
      <c r="C15" s="152" t="n">
        <f aca="false">IFERROR(ROUND(CORREL('Returns (Calc)'!$K$3:$K$500,'Returns (Calc)'!$C$3:$C$500),2),"")</f>
        <v>0.52</v>
      </c>
      <c r="D15" s="152" t="n">
        <f aca="false">IFERROR(ROUND(CORREL('Returns (Calc)'!$K$3:$K$500,'Returns (Calc)'!$D$3:$D$500),2),"")</f>
        <v>0.49</v>
      </c>
      <c r="E15" s="152" t="n">
        <f aca="false">IFERROR(ROUND(CORREL('Returns (Calc)'!$K$3:$K$500,'Returns (Calc)'!$E$3:$E$500),2),"")</f>
        <v>0.62</v>
      </c>
      <c r="F15" s="152" t="n">
        <f aca="false">IFERROR(ROUND(CORREL('Returns (Calc)'!$K$3:$K$500,'Returns (Calc)'!$F$3:$F$500),2),"")</f>
        <v>0.28</v>
      </c>
      <c r="G15" s="152" t="n">
        <f aca="false">IFERROR(ROUND(CORREL('Returns (Calc)'!$K$3:$K$500,'Returns (Calc)'!$G$3:$G$500),2),"")</f>
        <v>0.46</v>
      </c>
      <c r="H15" s="152" t="n">
        <f aca="false">IFERROR(ROUND(CORREL('Returns (Calc)'!$K$3:$K$500,'Returns (Calc)'!$H$3:$H$500),2),"")</f>
        <v>0.15</v>
      </c>
      <c r="I15" s="152" t="n">
        <f aca="false">IFERROR(ROUND(CORREL('Returns (Calc)'!$K$3:$K$500,'Returns (Calc)'!$I$3:$I$500),2),"")</f>
        <v>0.52</v>
      </c>
      <c r="J15" s="152" t="n">
        <f aca="false">IFERROR(ROUND(CORREL('Returns (Calc)'!$K$3:$K$500,'Returns (Calc)'!$J$3:$J$500),2),"")</f>
        <v>0.5</v>
      </c>
      <c r="K15" s="152" t="n">
        <v>1</v>
      </c>
      <c r="L15" s="152" t="n">
        <f aca="false">IFERROR(ROUND(CORREL('Returns (Calc)'!$K$3:$K$500,'Returns (Calc)'!$L$3:$L$500),2),"")</f>
        <v>0.17</v>
      </c>
      <c r="M15" s="152" t="n">
        <f aca="false">IFERROR(ROUND(CORREL('Returns (Calc)'!$K$3:$K$500,'Returns (Calc)'!$M$3:$M$500),2),"")</f>
        <v>0.46</v>
      </c>
      <c r="N15" s="152" t="n">
        <f aca="false">IFERROR(ROUND(CORREL('Returns (Calc)'!$K$3:$K$500,'Returns (Calc)'!$N$3:$N$500),2),"")</f>
        <v>0.18</v>
      </c>
      <c r="O15" s="152" t="n">
        <f aca="false">IFERROR(ROUND(CORREL('Returns (Calc)'!$K$3:$K$500,'Returns (Calc)'!$O$3:$O$500),2),"")</f>
        <v>0.75</v>
      </c>
      <c r="P15" s="152" t="n">
        <f aca="false">IFERROR(ROUND(CORREL('Returns (Calc)'!$K$3:$K$500,'Returns (Calc)'!$P$3:$P$500),2),"")</f>
        <v>0.64</v>
      </c>
      <c r="Q15" s="152" t="n">
        <f aca="false">IFERROR(ROUND(CORREL('Returns (Calc)'!$K$3:$K$500,'Returns (Calc)'!$Q$3:$Q$500),2),"")</f>
        <v>0.2</v>
      </c>
      <c r="R15" s="152" t="n">
        <f aca="false">IFERROR(ROUND(CORREL('Returns (Calc)'!$K$3:$K$500,'Returns (Calc)'!$R$3:$R$500),2),"")</f>
        <v>0.02</v>
      </c>
      <c r="S15" s="152" t="n">
        <f aca="false">IFERROR(ROUND(CORREL('Returns (Calc)'!$K$3:$K$500,'Returns (Calc)'!$S$3:$S$500),2),"")</f>
        <v>-0</v>
      </c>
      <c r="T15" s="152" t="n">
        <f aca="false">IFERROR(ROUND(CORREL('Returns (Calc)'!$K$3:$K$500,'Returns (Calc)'!$T$3:$T$500),2),"")</f>
        <v>-0</v>
      </c>
      <c r="U15" s="152" t="str">
        <f aca="false">IFERROR(ROUND(CORREL('Returns (Calc)'!$K$3:$K$500,'Returns (Calc)'!$U$3:$U$500),2),"")</f>
        <v/>
      </c>
      <c r="V15" s="152" t="n">
        <f aca="false">IFERROR(ROUND(CORREL('Returns (Calc)'!$K$3:$K$500,'Returns (Calc)'!$V$3:$V$500),2),"")</f>
        <v>-0.06</v>
      </c>
      <c r="AG15" s="153" t="n">
        <f aca="false">COUNTIF(B15:V15,"&gt;0.7")-1</f>
        <v>1</v>
      </c>
    </row>
    <row r="16" customFormat="false" ht="15" hidden="false" customHeight="true" outlineLevel="0" collapsed="false">
      <c r="A16" s="151" t="str">
        <f aca="false">'Returns (Calc)'!L2</f>
        <v>PLD</v>
      </c>
      <c r="B16" s="152" t="n">
        <f aca="false">IFERROR(ROUND(CORREL('Returns (Calc)'!$L$3:$L$500,'Returns (Calc)'!$B$3:$B$500),2),"")</f>
        <v>0.18</v>
      </c>
      <c r="C16" s="152" t="n">
        <f aca="false">IFERROR(ROUND(CORREL('Returns (Calc)'!$L$3:$L$500,'Returns (Calc)'!$C$3:$C$500),2),"")</f>
        <v>0.18</v>
      </c>
      <c r="D16" s="152" t="n">
        <f aca="false">IFERROR(ROUND(CORREL('Returns (Calc)'!$L$3:$L$500,'Returns (Calc)'!$D$3:$D$500),2),"")</f>
        <v>0.28</v>
      </c>
      <c r="E16" s="152" t="n">
        <f aca="false">IFERROR(ROUND(CORREL('Returns (Calc)'!$L$3:$L$500,'Returns (Calc)'!$E$3:$E$500),2),"")</f>
        <v>0.22</v>
      </c>
      <c r="F16" s="152" t="n">
        <f aca="false">IFERROR(ROUND(CORREL('Returns (Calc)'!$L$3:$L$500,'Returns (Calc)'!$F$3:$F$500),2),"")</f>
        <v>0.62</v>
      </c>
      <c r="G16" s="152" t="n">
        <f aca="false">IFERROR(ROUND(CORREL('Returns (Calc)'!$L$3:$L$500,'Returns (Calc)'!$G$3:$G$500),2),"")</f>
        <v>0.1</v>
      </c>
      <c r="H16" s="152" t="n">
        <f aca="false">IFERROR(ROUND(CORREL('Returns (Calc)'!$L$3:$L$500,'Returns (Calc)'!$H$3:$H$500),2),"")</f>
        <v>0.65</v>
      </c>
      <c r="I16" s="152" t="n">
        <f aca="false">IFERROR(ROUND(CORREL('Returns (Calc)'!$L$3:$L$500,'Returns (Calc)'!$I$3:$I$500),2),"")</f>
        <v>0.28</v>
      </c>
      <c r="J16" s="152" t="n">
        <f aca="false">IFERROR(ROUND(CORREL('Returns (Calc)'!$L$3:$L$500,'Returns (Calc)'!$J$3:$J$500),2),"")</f>
        <v>0.2</v>
      </c>
      <c r="K16" s="152" t="n">
        <f aca="false">IFERROR(ROUND(CORREL('Returns (Calc)'!$L$3:$L$500,'Returns (Calc)'!$K$3:$K$500),2),"")</f>
        <v>0.17</v>
      </c>
      <c r="L16" s="152" t="n">
        <v>1</v>
      </c>
      <c r="M16" s="152" t="n">
        <f aca="false">IFERROR(ROUND(CORREL('Returns (Calc)'!$L$3:$L$500,'Returns (Calc)'!$M$3:$M$500),2),"")</f>
        <v>0.13</v>
      </c>
      <c r="N16" s="152" t="n">
        <f aca="false">IFERROR(ROUND(CORREL('Returns (Calc)'!$L$3:$L$500,'Returns (Calc)'!$N$3:$N$500),2),"")</f>
        <v>0.66</v>
      </c>
      <c r="O16" s="152" t="n">
        <f aca="false">IFERROR(ROUND(CORREL('Returns (Calc)'!$L$3:$L$500,'Returns (Calc)'!$O$3:$O$500),2),"")</f>
        <v>0.34</v>
      </c>
      <c r="P16" s="152" t="n">
        <f aca="false">IFERROR(ROUND(CORREL('Returns (Calc)'!$L$3:$L$500,'Returns (Calc)'!$P$3:$P$500),2),"")</f>
        <v>0.21</v>
      </c>
      <c r="Q16" s="152" t="n">
        <f aca="false">IFERROR(ROUND(CORREL('Returns (Calc)'!$L$3:$L$500,'Returns (Calc)'!$Q$3:$Q$500),2),"")</f>
        <v>0.37</v>
      </c>
      <c r="R16" s="152" t="n">
        <f aca="false">IFERROR(ROUND(CORREL('Returns (Calc)'!$L$3:$L$500,'Returns (Calc)'!$R$3:$R$500),2),"")</f>
        <v>0.14</v>
      </c>
      <c r="S16" s="152" t="n">
        <f aca="false">IFERROR(ROUND(CORREL('Returns (Calc)'!$L$3:$L$500,'Returns (Calc)'!$S$3:$S$500),2),"")</f>
        <v>0.11</v>
      </c>
      <c r="T16" s="152" t="n">
        <f aca="false">IFERROR(ROUND(CORREL('Returns (Calc)'!$L$3:$L$500,'Returns (Calc)'!$T$3:$T$500),2),"")</f>
        <v>-0.05</v>
      </c>
      <c r="U16" s="152" t="str">
        <f aca="false">IFERROR(ROUND(CORREL('Returns (Calc)'!$L$3:$L$500,'Returns (Calc)'!$U$3:$U$500),2),"")</f>
        <v/>
      </c>
      <c r="V16" s="152" t="n">
        <f aca="false">IFERROR(ROUND(CORREL('Returns (Calc)'!$L$3:$L$500,'Returns (Calc)'!$V$3:$V$500),2),"")</f>
        <v>-0.05</v>
      </c>
      <c r="AG16" s="153" t="n">
        <f aca="false">COUNTIF(B16:V16,"&gt;0.7")-1</f>
        <v>0</v>
      </c>
    </row>
    <row r="17" customFormat="false" ht="15" hidden="false" customHeight="true" outlineLevel="0" collapsed="false">
      <c r="A17" s="151" t="str">
        <f aca="false">'Returns (Calc)'!M2</f>
        <v>PLTR</v>
      </c>
      <c r="B17" s="152" t="n">
        <f aca="false">IFERROR(ROUND(CORREL('Returns (Calc)'!$M$3:$M$500,'Returns (Calc)'!$B$3:$B$500),2),"")</f>
        <v>0.37</v>
      </c>
      <c r="C17" s="152" t="n">
        <f aca="false">IFERROR(ROUND(CORREL('Returns (Calc)'!$M$3:$M$500,'Returns (Calc)'!$C$3:$C$500),2),"")</f>
        <v>0.34</v>
      </c>
      <c r="D17" s="152" t="n">
        <f aca="false">IFERROR(ROUND(CORREL('Returns (Calc)'!$M$3:$M$500,'Returns (Calc)'!$D$3:$D$500),2),"")</f>
        <v>0.21</v>
      </c>
      <c r="E17" s="152" t="n">
        <f aca="false">IFERROR(ROUND(CORREL('Returns (Calc)'!$M$3:$M$500,'Returns (Calc)'!$E$3:$E$500),2),"")</f>
        <v>0.38</v>
      </c>
      <c r="F17" s="152" t="n">
        <f aca="false">IFERROR(ROUND(CORREL('Returns (Calc)'!$M$3:$M$500,'Returns (Calc)'!$F$3:$F$500),2),"")</f>
        <v>0.23</v>
      </c>
      <c r="G17" s="152" t="n">
        <f aca="false">IFERROR(ROUND(CORREL('Returns (Calc)'!$M$3:$M$500,'Returns (Calc)'!$G$3:$G$500),2),"")</f>
        <v>0.5</v>
      </c>
      <c r="H17" s="152" t="n">
        <f aca="false">IFERROR(ROUND(CORREL('Returns (Calc)'!$M$3:$M$500,'Returns (Calc)'!$H$3:$H$500),2),"")</f>
        <v>0.1</v>
      </c>
      <c r="I17" s="152" t="n">
        <f aca="false">IFERROR(ROUND(CORREL('Returns (Calc)'!$M$3:$M$500,'Returns (Calc)'!$I$3:$I$500),2),"")</f>
        <v>0.25</v>
      </c>
      <c r="J17" s="152" t="n">
        <f aca="false">IFERROR(ROUND(CORREL('Returns (Calc)'!$M$3:$M$500,'Returns (Calc)'!$J$3:$J$500),2),"")</f>
        <v>0.17</v>
      </c>
      <c r="K17" s="152" t="n">
        <f aca="false">IFERROR(ROUND(CORREL('Returns (Calc)'!$M$3:$M$500,'Returns (Calc)'!$K$3:$K$500),2),"")</f>
        <v>0.46</v>
      </c>
      <c r="L17" s="152" t="n">
        <f aca="false">IFERROR(ROUND(CORREL('Returns (Calc)'!$M$3:$M$500,'Returns (Calc)'!$L$3:$L$500),2),"")</f>
        <v>0.13</v>
      </c>
      <c r="M17" s="152" t="n">
        <v>1</v>
      </c>
      <c r="N17" s="152" t="n">
        <f aca="false">IFERROR(ROUND(CORREL('Returns (Calc)'!$M$3:$M$500,'Returns (Calc)'!$N$3:$N$500),2),"")</f>
        <v>0.14</v>
      </c>
      <c r="O17" s="152" t="n">
        <f aca="false">IFERROR(ROUND(CORREL('Returns (Calc)'!$M$3:$M$500,'Returns (Calc)'!$O$3:$O$500),2),"")</f>
        <v>0.44</v>
      </c>
      <c r="P17" s="152" t="n">
        <f aca="false">IFERROR(ROUND(CORREL('Returns (Calc)'!$M$3:$M$500,'Returns (Calc)'!$P$3:$P$500),2),"")</f>
        <v>0.38</v>
      </c>
      <c r="Q17" s="152" t="n">
        <f aca="false">IFERROR(ROUND(CORREL('Returns (Calc)'!$M$3:$M$500,'Returns (Calc)'!$Q$3:$Q$500),2),"")</f>
        <v>0.24</v>
      </c>
      <c r="R17" s="152" t="n">
        <f aca="false">IFERROR(ROUND(CORREL('Returns (Calc)'!$M$3:$M$500,'Returns (Calc)'!$R$3:$R$500),2),"")</f>
        <v>-0.04</v>
      </c>
      <c r="S17" s="152" t="n">
        <f aca="false">IFERROR(ROUND(CORREL('Returns (Calc)'!$M$3:$M$500,'Returns (Calc)'!$S$3:$S$500),2),"")</f>
        <v>-0.06</v>
      </c>
      <c r="T17" s="152" t="n">
        <f aca="false">IFERROR(ROUND(CORREL('Returns (Calc)'!$M$3:$M$500,'Returns (Calc)'!$T$3:$T$500),2),"")</f>
        <v>-0.02</v>
      </c>
      <c r="U17" s="152" t="str">
        <f aca="false">IFERROR(ROUND(CORREL('Returns (Calc)'!$M$3:$M$500,'Returns (Calc)'!$U$3:$U$500),2),"")</f>
        <v/>
      </c>
      <c r="V17" s="152" t="n">
        <f aca="false">IFERROR(ROUND(CORREL('Returns (Calc)'!$M$3:$M$500,'Returns (Calc)'!$V$3:$V$500),2),"")</f>
        <v>-0.14</v>
      </c>
      <c r="AG17" s="153" t="n">
        <f aca="false">COUNTIF(B17:V17,"&gt;0.7")-1</f>
        <v>0</v>
      </c>
    </row>
    <row r="18" customFormat="false" ht="15" hidden="false" customHeight="true" outlineLevel="0" collapsed="false">
      <c r="A18" s="151" t="str">
        <f aca="false">'Returns (Calc)'!N2</f>
        <v>SCHD</v>
      </c>
      <c r="B18" s="152" t="n">
        <f aca="false">IFERROR(ROUND(CORREL('Returns (Calc)'!$N$3:$N$500,'Returns (Calc)'!$B$3:$B$500),2),"")</f>
        <v>0.22</v>
      </c>
      <c r="C18" s="152" t="n">
        <f aca="false">IFERROR(ROUND(CORREL('Returns (Calc)'!$N$3:$N$500,'Returns (Calc)'!$C$3:$C$500),2),"")</f>
        <v>0.27</v>
      </c>
      <c r="D18" s="152" t="n">
        <f aca="false">IFERROR(ROUND(CORREL('Returns (Calc)'!$N$3:$N$500,'Returns (Calc)'!$D$3:$D$500),2),"")</f>
        <v>0.27</v>
      </c>
      <c r="E18" s="152" t="n">
        <f aca="false">IFERROR(ROUND(CORREL('Returns (Calc)'!$N$3:$N$500,'Returns (Calc)'!$E$3:$E$500),2),"")</f>
        <v>0.16</v>
      </c>
      <c r="F18" s="152" t="n">
        <f aca="false">IFERROR(ROUND(CORREL('Returns (Calc)'!$N$3:$N$500,'Returns (Calc)'!$F$3:$F$500),2),"")</f>
        <v>0.83</v>
      </c>
      <c r="G18" s="152" t="n">
        <f aca="false">IFERROR(ROUND(CORREL('Returns (Calc)'!$N$3:$N$500,'Returns (Calc)'!$G$3:$G$500),2),"")</f>
        <v>0.11</v>
      </c>
      <c r="H18" s="152" t="n">
        <f aca="false">IFERROR(ROUND(CORREL('Returns (Calc)'!$N$3:$N$500,'Returns (Calc)'!$H$3:$H$500),2),"")</f>
        <v>0.89</v>
      </c>
      <c r="I18" s="152" t="n">
        <f aca="false">IFERROR(ROUND(CORREL('Returns (Calc)'!$N$3:$N$500,'Returns (Calc)'!$I$3:$I$500),2),"")</f>
        <v>0.29</v>
      </c>
      <c r="J18" s="152" t="n">
        <f aca="false">IFERROR(ROUND(CORREL('Returns (Calc)'!$N$3:$N$500,'Returns (Calc)'!$J$3:$J$500),2),"")</f>
        <v>0.26</v>
      </c>
      <c r="K18" s="152" t="n">
        <f aca="false">IFERROR(ROUND(CORREL('Returns (Calc)'!$N$3:$N$500,'Returns (Calc)'!$K$3:$K$500),2),"")</f>
        <v>0.18</v>
      </c>
      <c r="L18" s="152" t="n">
        <f aca="false">IFERROR(ROUND(CORREL('Returns (Calc)'!$N$3:$N$500,'Returns (Calc)'!$L$3:$L$500),2),"")</f>
        <v>0.66</v>
      </c>
      <c r="M18" s="152" t="n">
        <f aca="false">IFERROR(ROUND(CORREL('Returns (Calc)'!$N$3:$N$500,'Returns (Calc)'!$M$3:$M$500),2),"")</f>
        <v>0.14</v>
      </c>
      <c r="N18" s="152" t="n">
        <v>1</v>
      </c>
      <c r="O18" s="152" t="n">
        <f aca="false">IFERROR(ROUND(CORREL('Returns (Calc)'!$N$3:$N$500,'Returns (Calc)'!$O$3:$O$500),2),"")</f>
        <v>0.36</v>
      </c>
      <c r="P18" s="152" t="n">
        <f aca="false">IFERROR(ROUND(CORREL('Returns (Calc)'!$N$3:$N$500,'Returns (Calc)'!$P$3:$P$500),2),"")</f>
        <v>0.22</v>
      </c>
      <c r="Q18" s="152" t="n">
        <f aca="false">IFERROR(ROUND(CORREL('Returns (Calc)'!$N$3:$N$500,'Returns (Calc)'!$Q$3:$Q$500),2),"")</f>
        <v>0.44</v>
      </c>
      <c r="R18" s="152" t="n">
        <f aca="false">IFERROR(ROUND(CORREL('Returns (Calc)'!$N$3:$N$500,'Returns (Calc)'!$R$3:$R$500),2),"")</f>
        <v>0.16</v>
      </c>
      <c r="S18" s="152" t="n">
        <f aca="false">IFERROR(ROUND(CORREL('Returns (Calc)'!$N$3:$N$500,'Returns (Calc)'!$S$3:$S$500),2),"")</f>
        <v>0.11</v>
      </c>
      <c r="T18" s="152" t="n">
        <f aca="false">IFERROR(ROUND(CORREL('Returns (Calc)'!$N$3:$N$500,'Returns (Calc)'!$T$3:$T$500),2),"")</f>
        <v>0.05</v>
      </c>
      <c r="U18" s="152" t="str">
        <f aca="false">IFERROR(ROUND(CORREL('Returns (Calc)'!$N$3:$N$500,'Returns (Calc)'!$U$3:$U$500),2),"")</f>
        <v/>
      </c>
      <c r="V18" s="152" t="n">
        <f aca="false">IFERROR(ROUND(CORREL('Returns (Calc)'!$N$3:$N$500,'Returns (Calc)'!$V$3:$V$500),2),"")</f>
        <v>0.05</v>
      </c>
      <c r="AG18" s="153" t="n">
        <f aca="false">COUNTIF(B18:V18,"&gt;0.7")-1</f>
        <v>2</v>
      </c>
    </row>
    <row r="19" customFormat="false" ht="15" hidden="false" customHeight="true" outlineLevel="0" collapsed="false">
      <c r="A19" s="151" t="str">
        <f aca="false">'Returns (Calc)'!O2</f>
        <v>SPMO</v>
      </c>
      <c r="B19" s="152" t="n">
        <f aca="false">IFERROR(ROUND(CORREL('Returns (Calc)'!$O$3:$O$500,'Returns (Calc)'!$B$3:$B$500),2),"")</f>
        <v>0.23</v>
      </c>
      <c r="C19" s="152" t="n">
        <f aca="false">IFERROR(ROUND(CORREL('Returns (Calc)'!$O$3:$O$500,'Returns (Calc)'!$C$3:$C$500),2),"")</f>
        <v>0.64</v>
      </c>
      <c r="D19" s="152" t="n">
        <f aca="false">IFERROR(ROUND(CORREL('Returns (Calc)'!$O$3:$O$500,'Returns (Calc)'!$D$3:$D$500),2),"")</f>
        <v>0.61</v>
      </c>
      <c r="E19" s="152" t="n">
        <f aca="false">IFERROR(ROUND(CORREL('Returns (Calc)'!$O$3:$O$500,'Returns (Calc)'!$E$3:$E$500),2),"")</f>
        <v>0.73</v>
      </c>
      <c r="F19" s="152" t="n">
        <f aca="false">IFERROR(ROUND(CORREL('Returns (Calc)'!$O$3:$O$500,'Returns (Calc)'!$F$3:$F$500),2),"")</f>
        <v>0.5</v>
      </c>
      <c r="G19" s="152" t="n">
        <f aca="false">IFERROR(ROUND(CORREL('Returns (Calc)'!$O$3:$O$500,'Returns (Calc)'!$G$3:$G$500),2),"")</f>
        <v>0.52</v>
      </c>
      <c r="H19" s="152" t="n">
        <f aca="false">IFERROR(ROUND(CORREL('Returns (Calc)'!$O$3:$O$500,'Returns (Calc)'!$H$3:$H$500),2),"")</f>
        <v>0.34</v>
      </c>
      <c r="I19" s="152" t="n">
        <f aca="false">IFERROR(ROUND(CORREL('Returns (Calc)'!$O$3:$O$500,'Returns (Calc)'!$I$3:$I$500),2),"")</f>
        <v>0.67</v>
      </c>
      <c r="J19" s="152" t="n">
        <f aca="false">IFERROR(ROUND(CORREL('Returns (Calc)'!$O$3:$O$500,'Returns (Calc)'!$J$3:$J$500),2),"")</f>
        <v>0.66</v>
      </c>
      <c r="K19" s="152" t="n">
        <f aca="false">IFERROR(ROUND(CORREL('Returns (Calc)'!$O$3:$O$500,'Returns (Calc)'!$K$3:$K$500),2),"")</f>
        <v>0.75</v>
      </c>
      <c r="L19" s="152" t="n">
        <f aca="false">IFERROR(ROUND(CORREL('Returns (Calc)'!$O$3:$O$500,'Returns (Calc)'!$L$3:$L$500),2),"")</f>
        <v>0.34</v>
      </c>
      <c r="M19" s="152" t="n">
        <f aca="false">IFERROR(ROUND(CORREL('Returns (Calc)'!$O$3:$O$500,'Returns (Calc)'!$M$3:$M$500),2),"")</f>
        <v>0.44</v>
      </c>
      <c r="N19" s="152" t="n">
        <f aca="false">IFERROR(ROUND(CORREL('Returns (Calc)'!$O$3:$O$500,'Returns (Calc)'!$N$3:$N$500),2),"")</f>
        <v>0.36</v>
      </c>
      <c r="O19" s="152" t="n">
        <v>1</v>
      </c>
      <c r="P19" s="152" t="n">
        <f aca="false">IFERROR(ROUND(CORREL('Returns (Calc)'!$O$3:$O$500,'Returns (Calc)'!$P$3:$P$500),2),"")</f>
        <v>0.7</v>
      </c>
      <c r="Q19" s="152" t="n">
        <f aca="false">IFERROR(ROUND(CORREL('Returns (Calc)'!$O$3:$O$500,'Returns (Calc)'!$Q$3:$Q$500),2),"")</f>
        <v>0.37</v>
      </c>
      <c r="R19" s="152" t="n">
        <f aca="false">IFERROR(ROUND(CORREL('Returns (Calc)'!$O$3:$O$500,'Returns (Calc)'!$R$3:$R$500),2),"")</f>
        <v>0.06</v>
      </c>
      <c r="S19" s="152" t="n">
        <f aca="false">IFERROR(ROUND(CORREL('Returns (Calc)'!$O$3:$O$500,'Returns (Calc)'!$S$3:$S$500),2),"")</f>
        <v>0.01</v>
      </c>
      <c r="T19" s="152" t="n">
        <f aca="false">IFERROR(ROUND(CORREL('Returns (Calc)'!$O$3:$O$500,'Returns (Calc)'!$T$3:$T$500),2),"")</f>
        <v>-0.03</v>
      </c>
      <c r="U19" s="152" t="str">
        <f aca="false">IFERROR(ROUND(CORREL('Returns (Calc)'!$O$3:$O$500,'Returns (Calc)'!$U$3:$U$500),2),"")</f>
        <v/>
      </c>
      <c r="V19" s="152" t="n">
        <f aca="false">IFERROR(ROUND(CORREL('Returns (Calc)'!$O$3:$O$500,'Returns (Calc)'!$V$3:$V$500),2),"")</f>
        <v>-0.12</v>
      </c>
      <c r="AG19" s="153" t="n">
        <f aca="false">COUNTIF(B19:V19,"&gt;0.7")-1</f>
        <v>2</v>
      </c>
    </row>
    <row r="20" customFormat="false" ht="15" hidden="false" customHeight="true" outlineLevel="0" collapsed="false">
      <c r="A20" s="151" t="str">
        <f aca="false">'Returns (Calc)'!P2</f>
        <v>TSM</v>
      </c>
      <c r="B20" s="152" t="n">
        <f aca="false">IFERROR(ROUND(CORREL('Returns (Calc)'!$P$3:$P$500,'Returns (Calc)'!$B$3:$B$500),2),"")</f>
        <v>0.15</v>
      </c>
      <c r="C20" s="152" t="n">
        <f aca="false">IFERROR(ROUND(CORREL('Returns (Calc)'!$P$3:$P$500,'Returns (Calc)'!$C$3:$C$500),2),"")</f>
        <v>0.55</v>
      </c>
      <c r="D20" s="152" t="n">
        <f aca="false">IFERROR(ROUND(CORREL('Returns (Calc)'!$P$3:$P$500,'Returns (Calc)'!$D$3:$D$500),2),"")</f>
        <v>0.63</v>
      </c>
      <c r="E20" s="152" t="n">
        <f aca="false">IFERROR(ROUND(CORREL('Returns (Calc)'!$P$3:$P$500,'Returns (Calc)'!$E$3:$E$500),2),"")</f>
        <v>0.63</v>
      </c>
      <c r="F20" s="152" t="n">
        <f aca="false">IFERROR(ROUND(CORREL('Returns (Calc)'!$P$3:$P$500,'Returns (Calc)'!$F$3:$F$500),2),"")</f>
        <v>0.33</v>
      </c>
      <c r="G20" s="152" t="n">
        <f aca="false">IFERROR(ROUND(CORREL('Returns (Calc)'!$P$3:$P$500,'Returns (Calc)'!$G$3:$G$500),2),"")</f>
        <v>0.38</v>
      </c>
      <c r="H20" s="152" t="n">
        <f aca="false">IFERROR(ROUND(CORREL('Returns (Calc)'!$P$3:$P$500,'Returns (Calc)'!$H$3:$H$500),2),"")</f>
        <v>0.16</v>
      </c>
      <c r="I20" s="152" t="n">
        <f aca="false">IFERROR(ROUND(CORREL('Returns (Calc)'!$P$3:$P$500,'Returns (Calc)'!$I$3:$I$500),2),"")</f>
        <v>0.62</v>
      </c>
      <c r="J20" s="152" t="n">
        <f aca="false">IFERROR(ROUND(CORREL('Returns (Calc)'!$P$3:$P$500,'Returns (Calc)'!$J$3:$J$500),2),"")</f>
        <v>0.56</v>
      </c>
      <c r="K20" s="152" t="n">
        <f aca="false">IFERROR(ROUND(CORREL('Returns (Calc)'!$P$3:$P$500,'Returns (Calc)'!$K$3:$K$500),2),"")</f>
        <v>0.64</v>
      </c>
      <c r="L20" s="152" t="n">
        <f aca="false">IFERROR(ROUND(CORREL('Returns (Calc)'!$P$3:$P$500,'Returns (Calc)'!$L$3:$L$500),2),"")</f>
        <v>0.21</v>
      </c>
      <c r="M20" s="152" t="n">
        <f aca="false">IFERROR(ROUND(CORREL('Returns (Calc)'!$P$3:$P$500,'Returns (Calc)'!$M$3:$M$500),2),"")</f>
        <v>0.38</v>
      </c>
      <c r="N20" s="152" t="n">
        <f aca="false">IFERROR(ROUND(CORREL('Returns (Calc)'!$P$3:$P$500,'Returns (Calc)'!$N$3:$N$500),2),"")</f>
        <v>0.22</v>
      </c>
      <c r="O20" s="152" t="n">
        <f aca="false">IFERROR(ROUND(CORREL('Returns (Calc)'!$P$3:$P$500,'Returns (Calc)'!$O$3:$O$500),2),"")</f>
        <v>0.7</v>
      </c>
      <c r="P20" s="152" t="n">
        <v>1</v>
      </c>
      <c r="Q20" s="152" t="n">
        <f aca="false">IFERROR(ROUND(CORREL('Returns (Calc)'!$P$3:$P$500,'Returns (Calc)'!$Q$3:$Q$500),2),"")</f>
        <v>0.14</v>
      </c>
      <c r="R20" s="152" t="n">
        <f aca="false">IFERROR(ROUND(CORREL('Returns (Calc)'!$P$3:$P$500,'Returns (Calc)'!$R$3:$R$500),2),"")</f>
        <v>0.03</v>
      </c>
      <c r="S20" s="152" t="n">
        <f aca="false">IFERROR(ROUND(CORREL('Returns (Calc)'!$P$3:$P$500,'Returns (Calc)'!$S$3:$S$500),2),"")</f>
        <v>0.01</v>
      </c>
      <c r="T20" s="152" t="n">
        <f aca="false">IFERROR(ROUND(CORREL('Returns (Calc)'!$P$3:$P$500,'Returns (Calc)'!$T$3:$T$500),2),"")</f>
        <v>0.02</v>
      </c>
      <c r="U20" s="152" t="str">
        <f aca="false">IFERROR(ROUND(CORREL('Returns (Calc)'!$P$3:$P$500,'Returns (Calc)'!$U$3:$U$500),2),"")</f>
        <v/>
      </c>
      <c r="V20" s="152" t="n">
        <f aca="false">IFERROR(ROUND(CORREL('Returns (Calc)'!$P$3:$P$500,'Returns (Calc)'!$V$3:$V$500),2),"")</f>
        <v>0.05</v>
      </c>
      <c r="AG20" s="153" t="n">
        <f aca="false">COUNTIF(B20:V20,"&gt;0.7")-1</f>
        <v>0</v>
      </c>
    </row>
    <row r="21" customFormat="false" ht="15" hidden="false" customHeight="true" outlineLevel="0" collapsed="false">
      <c r="A21" s="151" t="str">
        <f aca="false">'Returns (Calc)'!Q2</f>
        <v>V</v>
      </c>
      <c r="B21" s="152" t="n">
        <f aca="false">IFERROR(ROUND(CORREL('Returns (Calc)'!$Q$3:$Q$500,'Returns (Calc)'!$B$3:$B$500),2),"")</f>
        <v>0.4</v>
      </c>
      <c r="C21" s="152" t="n">
        <f aca="false">IFERROR(ROUND(CORREL('Returns (Calc)'!$Q$3:$Q$500,'Returns (Calc)'!$C$3:$C$500),2),"")</f>
        <v>0.25</v>
      </c>
      <c r="D21" s="152" t="n">
        <f aca="false">IFERROR(ROUND(CORREL('Returns (Calc)'!$Q$3:$Q$500,'Returns (Calc)'!$D$3:$D$500),2),"")</f>
        <v>0.05</v>
      </c>
      <c r="E21" s="152" t="n">
        <f aca="false">IFERROR(ROUND(CORREL('Returns (Calc)'!$Q$3:$Q$500,'Returns (Calc)'!$E$3:$E$500),2),"")</f>
        <v>0.2</v>
      </c>
      <c r="F21" s="152" t="n">
        <f aca="false">IFERROR(ROUND(CORREL('Returns (Calc)'!$Q$3:$Q$500,'Returns (Calc)'!$F$3:$F$500),2),"")</f>
        <v>0.36</v>
      </c>
      <c r="G21" s="152" t="n">
        <f aca="false">IFERROR(ROUND(CORREL('Returns (Calc)'!$Q$3:$Q$500,'Returns (Calc)'!$G$3:$G$500),2),"")</f>
        <v>0.28</v>
      </c>
      <c r="H21" s="152" t="n">
        <f aca="false">IFERROR(ROUND(CORREL('Returns (Calc)'!$Q$3:$Q$500,'Returns (Calc)'!$H$3:$H$500),2),"")</f>
        <v>0.43</v>
      </c>
      <c r="I21" s="152" t="n">
        <f aca="false">IFERROR(ROUND(CORREL('Returns (Calc)'!$Q$3:$Q$500,'Returns (Calc)'!$I$3:$I$500),2),"")</f>
        <v>0.03</v>
      </c>
      <c r="J21" s="152" t="n">
        <f aca="false">IFERROR(ROUND(CORREL('Returns (Calc)'!$Q$3:$Q$500,'Returns (Calc)'!$J$3:$J$500),2),"")</f>
        <v>0.02</v>
      </c>
      <c r="K21" s="152" t="n">
        <f aca="false">IFERROR(ROUND(CORREL('Returns (Calc)'!$Q$3:$Q$500,'Returns (Calc)'!$K$3:$K$500),2),"")</f>
        <v>0.2</v>
      </c>
      <c r="L21" s="152" t="n">
        <f aca="false">IFERROR(ROUND(CORREL('Returns (Calc)'!$Q$3:$Q$500,'Returns (Calc)'!$L$3:$L$500),2),"")</f>
        <v>0.37</v>
      </c>
      <c r="M21" s="152" t="n">
        <f aca="false">IFERROR(ROUND(CORREL('Returns (Calc)'!$Q$3:$Q$500,'Returns (Calc)'!$M$3:$M$500),2),"")</f>
        <v>0.24</v>
      </c>
      <c r="N21" s="152" t="n">
        <f aca="false">IFERROR(ROUND(CORREL('Returns (Calc)'!$Q$3:$Q$500,'Returns (Calc)'!$N$3:$N$500),2),"")</f>
        <v>0.44</v>
      </c>
      <c r="O21" s="152" t="n">
        <f aca="false">IFERROR(ROUND(CORREL('Returns (Calc)'!$Q$3:$Q$500,'Returns (Calc)'!$O$3:$O$500),2),"")</f>
        <v>0.37</v>
      </c>
      <c r="P21" s="152" t="n">
        <f aca="false">IFERROR(ROUND(CORREL('Returns (Calc)'!$Q$3:$Q$500,'Returns (Calc)'!$P$3:$P$500),2),"")</f>
        <v>0.14</v>
      </c>
      <c r="Q21" s="152" t="n">
        <v>1</v>
      </c>
      <c r="R21" s="152" t="n">
        <f aca="false">IFERROR(ROUND(CORREL('Returns (Calc)'!$Q$3:$Q$500,'Returns (Calc)'!$R$3:$R$500),2),"")</f>
        <v>-0.02</v>
      </c>
      <c r="S21" s="152" t="n">
        <f aca="false">IFERROR(ROUND(CORREL('Returns (Calc)'!$Q$3:$Q$500,'Returns (Calc)'!$S$3:$S$500),2),"")</f>
        <v>-0.05</v>
      </c>
      <c r="T21" s="152" t="n">
        <f aca="false">IFERROR(ROUND(CORREL('Returns (Calc)'!$Q$3:$Q$500,'Returns (Calc)'!$T$3:$T$500),2),"")</f>
        <v>-0.04</v>
      </c>
      <c r="U21" s="152" t="str">
        <f aca="false">IFERROR(ROUND(CORREL('Returns (Calc)'!$Q$3:$Q$500,'Returns (Calc)'!$U$3:$U$500),2),"")</f>
        <v/>
      </c>
      <c r="V21" s="152" t="n">
        <f aca="false">IFERROR(ROUND(CORREL('Returns (Calc)'!$Q$3:$Q$500,'Returns (Calc)'!$V$3:$V$500),2),"")</f>
        <v>-0.23</v>
      </c>
      <c r="AG21" s="153" t="n">
        <f aca="false">COUNTIF(B21:V21,"&gt;0.7")-1</f>
        <v>0</v>
      </c>
    </row>
    <row r="22" customFormat="false" ht="15" hidden="false" customHeight="true" outlineLevel="0" collapsed="false">
      <c r="A22" s="151" t="str">
        <f aca="false">'Returns (Calc)'!R2</f>
        <v>JEPQ</v>
      </c>
      <c r="B22" s="152" t="n">
        <f aca="false">IFERROR(ROUND(CORREL('Returns (Calc)'!$R$3:$R$500,'Returns (Calc)'!$B$3:$B$500),2),"")</f>
        <v>-0.06</v>
      </c>
      <c r="C22" s="152" t="n">
        <f aca="false">IFERROR(ROUND(CORREL('Returns (Calc)'!$R$3:$R$500,'Returns (Calc)'!$C$3:$C$500),2),"")</f>
        <v>0.01</v>
      </c>
      <c r="D22" s="152" t="n">
        <f aca="false">IFERROR(ROUND(CORREL('Returns (Calc)'!$R$3:$R$500,'Returns (Calc)'!$D$3:$D$500),2),"")</f>
        <v>0.05</v>
      </c>
      <c r="E22" s="152" t="n">
        <f aca="false">IFERROR(ROUND(CORREL('Returns (Calc)'!$R$3:$R$500,'Returns (Calc)'!$E$3:$E$500),2),"")</f>
        <v>0.04</v>
      </c>
      <c r="F22" s="152" t="n">
        <f aca="false">IFERROR(ROUND(CORREL('Returns (Calc)'!$R$3:$R$500,'Returns (Calc)'!$F$3:$F$500),2),"")</f>
        <v>0.09</v>
      </c>
      <c r="G22" s="152" t="n">
        <f aca="false">IFERROR(ROUND(CORREL('Returns (Calc)'!$R$3:$R$500,'Returns (Calc)'!$G$3:$G$500),2),"")</f>
        <v>0.08</v>
      </c>
      <c r="H22" s="152" t="n">
        <f aca="false">IFERROR(ROUND(CORREL('Returns (Calc)'!$R$3:$R$500,'Returns (Calc)'!$H$3:$H$500),2),"")</f>
        <v>0.13</v>
      </c>
      <c r="I22" s="152" t="n">
        <f aca="false">IFERROR(ROUND(CORREL('Returns (Calc)'!$R$3:$R$500,'Returns (Calc)'!$I$3:$I$500),2),"")</f>
        <v>0.07</v>
      </c>
      <c r="J22" s="152" t="n">
        <f aca="false">IFERROR(ROUND(CORREL('Returns (Calc)'!$R$3:$R$500,'Returns (Calc)'!$J$3:$J$500),2),"")</f>
        <v>0.08</v>
      </c>
      <c r="K22" s="152" t="n">
        <f aca="false">IFERROR(ROUND(CORREL('Returns (Calc)'!$R$3:$R$500,'Returns (Calc)'!$K$3:$K$500),2),"")</f>
        <v>0.02</v>
      </c>
      <c r="L22" s="152" t="n">
        <f aca="false">IFERROR(ROUND(CORREL('Returns (Calc)'!$R$3:$R$500,'Returns (Calc)'!$L$3:$L$500),2),"")</f>
        <v>0.14</v>
      </c>
      <c r="M22" s="152" t="n">
        <f aca="false">IFERROR(ROUND(CORREL('Returns (Calc)'!$R$3:$R$500,'Returns (Calc)'!$M$3:$M$500),2),"")</f>
        <v>-0.04</v>
      </c>
      <c r="N22" s="152" t="n">
        <f aca="false">IFERROR(ROUND(CORREL('Returns (Calc)'!$R$3:$R$500,'Returns (Calc)'!$N$3:$N$500),2),"")</f>
        <v>0.16</v>
      </c>
      <c r="O22" s="152" t="n">
        <f aca="false">IFERROR(ROUND(CORREL('Returns (Calc)'!$R$3:$R$500,'Returns (Calc)'!$O$3:$O$500),2),"")</f>
        <v>0.06</v>
      </c>
      <c r="P22" s="152" t="n">
        <f aca="false">IFERROR(ROUND(CORREL('Returns (Calc)'!$R$3:$R$500,'Returns (Calc)'!$P$3:$P$500),2),"")</f>
        <v>0.03</v>
      </c>
      <c r="Q22" s="152" t="n">
        <f aca="false">IFERROR(ROUND(CORREL('Returns (Calc)'!$R$3:$R$500,'Returns (Calc)'!$Q$3:$Q$500),2),"")</f>
        <v>-0.02</v>
      </c>
      <c r="R22" s="152" t="n">
        <v>1</v>
      </c>
      <c r="S22" s="152" t="n">
        <f aca="false">IFERROR(ROUND(CORREL('Returns (Calc)'!$R$3:$R$500,'Returns (Calc)'!$S$3:$S$500),2),"")</f>
        <v>0.88</v>
      </c>
      <c r="T22" s="152" t="n">
        <f aca="false">IFERROR(ROUND(CORREL('Returns (Calc)'!$R$3:$R$500,'Returns (Calc)'!$T$3:$T$500),2),"")</f>
        <v>0.57</v>
      </c>
      <c r="U22" s="152" t="str">
        <f aca="false">IFERROR(ROUND(CORREL('Returns (Calc)'!$R$3:$R$500,'Returns (Calc)'!$U$3:$U$500),2),"")</f>
        <v/>
      </c>
      <c r="V22" s="152" t="n">
        <f aca="false">IFERROR(ROUND(CORREL('Returns (Calc)'!$R$3:$R$500,'Returns (Calc)'!$V$3:$V$500),2),"")</f>
        <v>0.44</v>
      </c>
      <c r="AG22" s="153" t="n">
        <f aca="false">COUNTIF(B22:V22,"&gt;0.7")-1</f>
        <v>1</v>
      </c>
    </row>
    <row r="23" customFormat="false" ht="15" hidden="false" customHeight="true" outlineLevel="0" collapsed="false">
      <c r="A23" s="151" t="str">
        <f aca="false">'Returns (Calc)'!S2</f>
        <v>SPMO</v>
      </c>
      <c r="B23" s="152" t="n">
        <f aca="false">IFERROR(ROUND(CORREL('Returns (Calc)'!$S$3:$S$500,'Returns (Calc)'!$B$3:$B$500),2),"")</f>
        <v>-0.15</v>
      </c>
      <c r="C23" s="152" t="n">
        <f aca="false">IFERROR(ROUND(CORREL('Returns (Calc)'!$S$3:$S$500,'Returns (Calc)'!$C$3:$C$500),2),"")</f>
        <v>-0.04</v>
      </c>
      <c r="D23" s="152" t="n">
        <f aca="false">IFERROR(ROUND(CORREL('Returns (Calc)'!$S$3:$S$500,'Returns (Calc)'!$D$3:$D$500),2),"")</f>
        <v>0.03</v>
      </c>
      <c r="E23" s="152" t="n">
        <f aca="false">IFERROR(ROUND(CORREL('Returns (Calc)'!$S$3:$S$500,'Returns (Calc)'!$E$3:$E$500),2),"")</f>
        <v>0.03</v>
      </c>
      <c r="F23" s="152" t="n">
        <f aca="false">IFERROR(ROUND(CORREL('Returns (Calc)'!$S$3:$S$500,'Returns (Calc)'!$F$3:$F$500),2),"")</f>
        <v>0.08</v>
      </c>
      <c r="G23" s="152" t="n">
        <f aca="false">IFERROR(ROUND(CORREL('Returns (Calc)'!$S$3:$S$500,'Returns (Calc)'!$G$3:$G$500),2),"")</f>
        <v>0.08</v>
      </c>
      <c r="H23" s="152" t="n">
        <f aca="false">IFERROR(ROUND(CORREL('Returns (Calc)'!$S$3:$S$500,'Returns (Calc)'!$H$3:$H$500),2),"")</f>
        <v>0.13</v>
      </c>
      <c r="I23" s="152" t="n">
        <f aca="false">IFERROR(ROUND(CORREL('Returns (Calc)'!$S$3:$S$500,'Returns (Calc)'!$I$3:$I$500),2),"")</f>
        <v>0.05</v>
      </c>
      <c r="J23" s="152" t="n">
        <f aca="false">IFERROR(ROUND(CORREL('Returns (Calc)'!$S$3:$S$500,'Returns (Calc)'!$J$3:$J$500),2),"")</f>
        <v>0.09</v>
      </c>
      <c r="K23" s="152" t="n">
        <f aca="false">IFERROR(ROUND(CORREL('Returns (Calc)'!$S$3:$S$500,'Returns (Calc)'!$K$3:$K$500),2),"")</f>
        <v>-0</v>
      </c>
      <c r="L23" s="152" t="n">
        <f aca="false">IFERROR(ROUND(CORREL('Returns (Calc)'!$S$3:$S$500,'Returns (Calc)'!$L$3:$L$500),2),"")</f>
        <v>0.11</v>
      </c>
      <c r="M23" s="152" t="n">
        <f aca="false">IFERROR(ROUND(CORREL('Returns (Calc)'!$S$3:$S$500,'Returns (Calc)'!$M$3:$M$500),2),"")</f>
        <v>-0.06</v>
      </c>
      <c r="N23" s="152" t="n">
        <f aca="false">IFERROR(ROUND(CORREL('Returns (Calc)'!$S$3:$S$500,'Returns (Calc)'!$N$3:$N$500),2),"")</f>
        <v>0.11</v>
      </c>
      <c r="O23" s="152" t="n">
        <f aca="false">IFERROR(ROUND(CORREL('Returns (Calc)'!$S$3:$S$500,'Returns (Calc)'!$O$3:$O$500),2),"")</f>
        <v>0.01</v>
      </c>
      <c r="P23" s="152" t="n">
        <f aca="false">IFERROR(ROUND(CORREL('Returns (Calc)'!$S$3:$S$500,'Returns (Calc)'!$P$3:$P$500),2),"")</f>
        <v>0.01</v>
      </c>
      <c r="Q23" s="152" t="n">
        <f aca="false">IFERROR(ROUND(CORREL('Returns (Calc)'!$S$3:$S$500,'Returns (Calc)'!$Q$3:$Q$500),2),"")</f>
        <v>-0.05</v>
      </c>
      <c r="R23" s="152" t="n">
        <f aca="false">IFERROR(ROUND(CORREL('Returns (Calc)'!$S$3:$S$500,'Returns (Calc)'!$R$3:$R$500),2),"")</f>
        <v>0.88</v>
      </c>
      <c r="S23" s="152" t="n">
        <v>1</v>
      </c>
      <c r="T23" s="152" t="n">
        <f aca="false">IFERROR(ROUND(CORREL('Returns (Calc)'!$S$3:$S$500,'Returns (Calc)'!$T$3:$T$500),2),"")</f>
        <v>0.52</v>
      </c>
      <c r="U23" s="152" t="str">
        <f aca="false">IFERROR(ROUND(CORREL('Returns (Calc)'!$S$3:$S$500,'Returns (Calc)'!$U$3:$U$500),2),"")</f>
        <v/>
      </c>
      <c r="V23" s="152" t="n">
        <f aca="false">IFERROR(ROUND(CORREL('Returns (Calc)'!$S$3:$S$500,'Returns (Calc)'!$V$3:$V$500),2),"")</f>
        <v>0.42</v>
      </c>
      <c r="AG23" s="153" t="n">
        <f aca="false">COUNTIF(B23:V23,"&gt;0.7")-1</f>
        <v>1</v>
      </c>
    </row>
    <row r="24" customFormat="false" ht="15" hidden="false" customHeight="true" outlineLevel="0" collapsed="false">
      <c r="A24" s="151" t="str">
        <f aca="false">'Returns (Calc)'!T2</f>
        <v>VFLO</v>
      </c>
      <c r="B24" s="152" t="n">
        <f aca="false">IFERROR(ROUND(CORREL('Returns (Calc)'!$T$3:$T$500,'Returns (Calc)'!$B$3:$B$500),2),"")</f>
        <v>-0.09</v>
      </c>
      <c r="C24" s="152" t="n">
        <f aca="false">IFERROR(ROUND(CORREL('Returns (Calc)'!$T$3:$T$500,'Returns (Calc)'!$C$3:$C$500),2),"")</f>
        <v>0</v>
      </c>
      <c r="D24" s="152" t="n">
        <f aca="false">IFERROR(ROUND(CORREL('Returns (Calc)'!$T$3:$T$500,'Returns (Calc)'!$D$3:$D$500),2),"")</f>
        <v>0.09</v>
      </c>
      <c r="E24" s="152" t="n">
        <f aca="false">IFERROR(ROUND(CORREL('Returns (Calc)'!$T$3:$T$500,'Returns (Calc)'!$E$3:$E$500),2),"")</f>
        <v>0.01</v>
      </c>
      <c r="F24" s="152" t="n">
        <f aca="false">IFERROR(ROUND(CORREL('Returns (Calc)'!$T$3:$T$500,'Returns (Calc)'!$F$3:$F$500),2),"")</f>
        <v>-0.01</v>
      </c>
      <c r="G24" s="152" t="n">
        <f aca="false">IFERROR(ROUND(CORREL('Returns (Calc)'!$T$3:$T$500,'Returns (Calc)'!$G$3:$G$500),2),"")</f>
        <v>0.11</v>
      </c>
      <c r="H24" s="152" t="n">
        <f aca="false">IFERROR(ROUND(CORREL('Returns (Calc)'!$T$3:$T$500,'Returns (Calc)'!$H$3:$H$500),2),"")</f>
        <v>0.02</v>
      </c>
      <c r="I24" s="152" t="n">
        <f aca="false">IFERROR(ROUND(CORREL('Returns (Calc)'!$T$3:$T$500,'Returns (Calc)'!$I$3:$I$500),2),"")</f>
        <v>0.05</v>
      </c>
      <c r="J24" s="152" t="n">
        <f aca="false">IFERROR(ROUND(CORREL('Returns (Calc)'!$T$3:$T$500,'Returns (Calc)'!$J$3:$J$500),2),"")</f>
        <v>0.06</v>
      </c>
      <c r="K24" s="152" t="n">
        <f aca="false">IFERROR(ROUND(CORREL('Returns (Calc)'!$T$3:$T$500,'Returns (Calc)'!$K$3:$K$500),2),"")</f>
        <v>-0</v>
      </c>
      <c r="L24" s="152" t="n">
        <f aca="false">IFERROR(ROUND(CORREL('Returns (Calc)'!$T$3:$T$500,'Returns (Calc)'!$L$3:$L$500),2),"")</f>
        <v>-0.05</v>
      </c>
      <c r="M24" s="152" t="n">
        <f aca="false">IFERROR(ROUND(CORREL('Returns (Calc)'!$T$3:$T$500,'Returns (Calc)'!$M$3:$M$500),2),"")</f>
        <v>-0.02</v>
      </c>
      <c r="N24" s="152" t="n">
        <f aca="false">IFERROR(ROUND(CORREL('Returns (Calc)'!$T$3:$T$500,'Returns (Calc)'!$N$3:$N$500),2),"")</f>
        <v>0.05</v>
      </c>
      <c r="O24" s="152" t="n">
        <f aca="false">IFERROR(ROUND(CORREL('Returns (Calc)'!$T$3:$T$500,'Returns (Calc)'!$O$3:$O$500),2),"")</f>
        <v>-0.03</v>
      </c>
      <c r="P24" s="152" t="n">
        <f aca="false">IFERROR(ROUND(CORREL('Returns (Calc)'!$T$3:$T$500,'Returns (Calc)'!$P$3:$P$500),2),"")</f>
        <v>0.02</v>
      </c>
      <c r="Q24" s="152" t="n">
        <f aca="false">IFERROR(ROUND(CORREL('Returns (Calc)'!$T$3:$T$500,'Returns (Calc)'!$Q$3:$Q$500),2),"")</f>
        <v>-0.04</v>
      </c>
      <c r="R24" s="152" t="n">
        <f aca="false">IFERROR(ROUND(CORREL('Returns (Calc)'!$T$3:$T$500,'Returns (Calc)'!$R$3:$R$500),2),"")</f>
        <v>0.57</v>
      </c>
      <c r="S24" s="152" t="n">
        <f aca="false">IFERROR(ROUND(CORREL('Returns (Calc)'!$T$3:$T$500,'Returns (Calc)'!$S$3:$S$500),2),"")</f>
        <v>0.52</v>
      </c>
      <c r="T24" s="152" t="n">
        <v>1</v>
      </c>
      <c r="U24" s="152" t="str">
        <f aca="false">IFERROR(ROUND(CORREL('Returns (Calc)'!$T$3:$T$500,'Returns (Calc)'!$U$3:$U$500),2),"")</f>
        <v/>
      </c>
      <c r="V24" s="152" t="n">
        <f aca="false">IFERROR(ROUND(CORREL('Returns (Calc)'!$T$3:$T$500,'Returns (Calc)'!$V$3:$V$500),2),"")</f>
        <v>0.46</v>
      </c>
      <c r="AG24" s="153" t="n">
        <f aca="false">COUNTIF(B24:V24,"&gt;0.7")-1</f>
        <v>0</v>
      </c>
    </row>
    <row r="25" customFormat="false" ht="15" hidden="false" customHeight="true" outlineLevel="0" collapsed="false">
      <c r="A25" s="151" t="n">
        <f aca="false">'Returns (Calc)'!U2</f>
        <v>0</v>
      </c>
      <c r="B25" s="152" t="str">
        <f aca="false">IFERROR(ROUND(CORREL('Returns (Calc)'!$U$3:$U$500,'Returns (Calc)'!$B$3:$B$500),2),"")</f>
        <v/>
      </c>
      <c r="C25" s="152" t="str">
        <f aca="false">IFERROR(ROUND(CORREL('Returns (Calc)'!$U$3:$U$500,'Returns (Calc)'!$C$3:$C$500),2),"")</f>
        <v/>
      </c>
      <c r="D25" s="152" t="str">
        <f aca="false">IFERROR(ROUND(CORREL('Returns (Calc)'!$U$3:$U$500,'Returns (Calc)'!$D$3:$D$500),2),"")</f>
        <v/>
      </c>
      <c r="E25" s="152" t="str">
        <f aca="false">IFERROR(ROUND(CORREL('Returns (Calc)'!$U$3:$U$500,'Returns (Calc)'!$E$3:$E$500),2),"")</f>
        <v/>
      </c>
      <c r="F25" s="152" t="str">
        <f aca="false">IFERROR(ROUND(CORREL('Returns (Calc)'!$U$3:$U$500,'Returns (Calc)'!$F$3:$F$500),2),"")</f>
        <v/>
      </c>
      <c r="G25" s="152" t="str">
        <f aca="false">IFERROR(ROUND(CORREL('Returns (Calc)'!$U$3:$U$500,'Returns (Calc)'!$G$3:$G$500),2),"")</f>
        <v/>
      </c>
      <c r="H25" s="152" t="str">
        <f aca="false">IFERROR(ROUND(CORREL('Returns (Calc)'!$U$3:$U$500,'Returns (Calc)'!$H$3:$H$500),2),"")</f>
        <v/>
      </c>
      <c r="I25" s="152" t="str">
        <f aca="false">IFERROR(ROUND(CORREL('Returns (Calc)'!$U$3:$U$500,'Returns (Calc)'!$I$3:$I$500),2),"")</f>
        <v/>
      </c>
      <c r="J25" s="152" t="str">
        <f aca="false">IFERROR(ROUND(CORREL('Returns (Calc)'!$U$3:$U$500,'Returns (Calc)'!$J$3:$J$500),2),"")</f>
        <v/>
      </c>
      <c r="K25" s="152" t="str">
        <f aca="false">IFERROR(ROUND(CORREL('Returns (Calc)'!$U$3:$U$500,'Returns (Calc)'!$K$3:$K$500),2),"")</f>
        <v/>
      </c>
      <c r="L25" s="152" t="str">
        <f aca="false">IFERROR(ROUND(CORREL('Returns (Calc)'!$U$3:$U$500,'Returns (Calc)'!$L$3:$L$500),2),"")</f>
        <v/>
      </c>
      <c r="M25" s="152" t="str">
        <f aca="false">IFERROR(ROUND(CORREL('Returns (Calc)'!$U$3:$U$500,'Returns (Calc)'!$M$3:$M$500),2),"")</f>
        <v/>
      </c>
      <c r="N25" s="152" t="str">
        <f aca="false">IFERROR(ROUND(CORREL('Returns (Calc)'!$U$3:$U$500,'Returns (Calc)'!$N$3:$N$500),2),"")</f>
        <v/>
      </c>
      <c r="O25" s="152" t="str">
        <f aca="false">IFERROR(ROUND(CORREL('Returns (Calc)'!$U$3:$U$500,'Returns (Calc)'!$O$3:$O$500),2),"")</f>
        <v/>
      </c>
      <c r="P25" s="152" t="str">
        <f aca="false">IFERROR(ROUND(CORREL('Returns (Calc)'!$U$3:$U$500,'Returns (Calc)'!$P$3:$P$500),2),"")</f>
        <v/>
      </c>
      <c r="Q25" s="152" t="str">
        <f aca="false">IFERROR(ROUND(CORREL('Returns (Calc)'!$U$3:$U$500,'Returns (Calc)'!$Q$3:$Q$500),2),"")</f>
        <v/>
      </c>
      <c r="R25" s="152" t="str">
        <f aca="false">IFERROR(ROUND(CORREL('Returns (Calc)'!$U$3:$U$500,'Returns (Calc)'!$R$3:$R$500),2),"")</f>
        <v/>
      </c>
      <c r="S25" s="152" t="str">
        <f aca="false">IFERROR(ROUND(CORREL('Returns (Calc)'!$U$3:$U$500,'Returns (Calc)'!$S$3:$S$500),2),"")</f>
        <v/>
      </c>
      <c r="T25" s="152" t="str">
        <f aca="false">IFERROR(ROUND(CORREL('Returns (Calc)'!$U$3:$U$500,'Returns (Calc)'!$T$3:$T$500),2),"")</f>
        <v/>
      </c>
      <c r="U25" s="152" t="n">
        <v>1</v>
      </c>
      <c r="V25" s="152" t="str">
        <f aca="false">IFERROR(ROUND(CORREL('Returns (Calc)'!$U$3:$U$500,'Returns (Calc)'!$V$3:$V$500),2),"")</f>
        <v/>
      </c>
      <c r="AG25" s="153" t="n">
        <f aca="false">COUNTIF(B25:V25,"&gt;0.7")-1</f>
        <v>0</v>
      </c>
    </row>
    <row r="26" customFormat="false" ht="15" hidden="false" customHeight="true" outlineLevel="0" collapsed="false">
      <c r="A26" s="151" t="str">
        <f aca="false">'Returns (Calc)'!V2</f>
        <v>V</v>
      </c>
      <c r="B26" s="152" t="n">
        <f aca="false">IFERROR(ROUND(CORREL('Returns (Calc)'!$V$3:$V$500,'Returns (Calc)'!$B$3:$B$500),2),"")</f>
        <v>-0.15</v>
      </c>
      <c r="C26" s="152" t="n">
        <f aca="false">IFERROR(ROUND(CORREL('Returns (Calc)'!$V$3:$V$500,'Returns (Calc)'!$C$3:$C$500),2),"")</f>
        <v>-0.02</v>
      </c>
      <c r="D26" s="152" t="n">
        <f aca="false">IFERROR(ROUND(CORREL('Returns (Calc)'!$V$3:$V$500,'Returns (Calc)'!$D$3:$D$500),2),"")</f>
        <v>0.02</v>
      </c>
      <c r="E26" s="152" t="n">
        <f aca="false">IFERROR(ROUND(CORREL('Returns (Calc)'!$V$3:$V$500,'Returns (Calc)'!$E$3:$E$500),2),"")</f>
        <v>-0.07</v>
      </c>
      <c r="F26" s="152" t="n">
        <f aca="false">IFERROR(ROUND(CORREL('Returns (Calc)'!$V$3:$V$500,'Returns (Calc)'!$F$3:$F$500),2),"")</f>
        <v>-0.04</v>
      </c>
      <c r="G26" s="152" t="n">
        <f aca="false">IFERROR(ROUND(CORREL('Returns (Calc)'!$V$3:$V$500,'Returns (Calc)'!$G$3:$G$500),2),"")</f>
        <v>0.02</v>
      </c>
      <c r="H26" s="152" t="n">
        <f aca="false">IFERROR(ROUND(CORREL('Returns (Calc)'!$V$3:$V$500,'Returns (Calc)'!$H$3:$H$500),2),"")</f>
        <v>0.02</v>
      </c>
      <c r="I26" s="152" t="n">
        <f aca="false">IFERROR(ROUND(CORREL('Returns (Calc)'!$V$3:$V$500,'Returns (Calc)'!$I$3:$I$500),2),"")</f>
        <v>-0.02</v>
      </c>
      <c r="J26" s="152" t="n">
        <f aca="false">IFERROR(ROUND(CORREL('Returns (Calc)'!$V$3:$V$500,'Returns (Calc)'!$J$3:$J$500),2),"")</f>
        <v>0.01</v>
      </c>
      <c r="K26" s="152" t="n">
        <f aca="false">IFERROR(ROUND(CORREL('Returns (Calc)'!$V$3:$V$500,'Returns (Calc)'!$K$3:$K$500),2),"")</f>
        <v>-0.06</v>
      </c>
      <c r="L26" s="152" t="n">
        <f aca="false">IFERROR(ROUND(CORREL('Returns (Calc)'!$V$3:$V$500,'Returns (Calc)'!$L$3:$L$500),2),"")</f>
        <v>-0.05</v>
      </c>
      <c r="M26" s="152" t="n">
        <f aca="false">IFERROR(ROUND(CORREL('Returns (Calc)'!$V$3:$V$500,'Returns (Calc)'!$M$3:$M$500),2),"")</f>
        <v>-0.14</v>
      </c>
      <c r="N26" s="152" t="n">
        <f aca="false">IFERROR(ROUND(CORREL('Returns (Calc)'!$V$3:$V$500,'Returns (Calc)'!$N$3:$N$500),2),"")</f>
        <v>0.05</v>
      </c>
      <c r="O26" s="152" t="n">
        <f aca="false">IFERROR(ROUND(CORREL('Returns (Calc)'!$V$3:$V$500,'Returns (Calc)'!$O$3:$O$500),2),"")</f>
        <v>-0.12</v>
      </c>
      <c r="P26" s="152" t="n">
        <f aca="false">IFERROR(ROUND(CORREL('Returns (Calc)'!$V$3:$V$500,'Returns (Calc)'!$P$3:$P$500),2),"")</f>
        <v>0.05</v>
      </c>
      <c r="Q26" s="152" t="n">
        <f aca="false">IFERROR(ROUND(CORREL('Returns (Calc)'!$V$3:$V$500,'Returns (Calc)'!$Q$3:$Q$500),2),"")</f>
        <v>-0.23</v>
      </c>
      <c r="R26" s="152" t="n">
        <f aca="false">IFERROR(ROUND(CORREL('Returns (Calc)'!$V$3:$V$500,'Returns (Calc)'!$R$3:$R$500),2),"")</f>
        <v>0.44</v>
      </c>
      <c r="S26" s="152" t="n">
        <f aca="false">IFERROR(ROUND(CORREL('Returns (Calc)'!$V$3:$V$500,'Returns (Calc)'!$S$3:$S$500),2),"")</f>
        <v>0.42</v>
      </c>
      <c r="T26" s="152" t="n">
        <f aca="false">IFERROR(ROUND(CORREL('Returns (Calc)'!$V$3:$V$500,'Returns (Calc)'!$T$3:$T$500),2),"")</f>
        <v>0.46</v>
      </c>
      <c r="U26" s="152" t="str">
        <f aca="false">IFERROR(ROUND(CORREL('Returns (Calc)'!$V$3:$V$500,'Returns (Calc)'!$U$3:$U$500),2),"")</f>
        <v/>
      </c>
      <c r="V26" s="152" t="n">
        <v>1</v>
      </c>
      <c r="AG26" s="153"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776662.72</v>
      </c>
      <c r="C5" s="157" t="n">
        <f aca="false">IF(B5="","",MAX(C4,B5))</f>
        <v>776662.72</v>
      </c>
      <c r="D5" s="158" t="n">
        <f aca="false">IF(OR(B5="",C5=""),"",B5/C5-1)</f>
        <v>0</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469</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470</v>
      </c>
      <c r="D2" s="58" t="s">
        <v>471</v>
      </c>
      <c r="E2" s="58" t="s">
        <v>472</v>
      </c>
      <c r="F2" s="58" t="s">
        <v>473</v>
      </c>
      <c r="G2" s="58" t="s">
        <v>474</v>
      </c>
      <c r="H2" s="58" t="s">
        <v>475</v>
      </c>
      <c r="I2" s="58" t="s">
        <v>476</v>
      </c>
      <c r="J2" s="58" t="s">
        <v>477</v>
      </c>
      <c r="K2" s="58" t="s">
        <v>478</v>
      </c>
      <c r="L2" s="58" t="s">
        <v>479</v>
      </c>
      <c r="M2" s="27" t="s">
        <v>480</v>
      </c>
    </row>
    <row r="3" customFormat="false" ht="15" hidden="false" customHeight="true" outlineLevel="0" collapsed="false">
      <c r="A3" s="118" t="s">
        <v>104</v>
      </c>
      <c r="B3" s="118" t="s">
        <v>105</v>
      </c>
      <c r="C3" s="118" t="s">
        <v>481</v>
      </c>
      <c r="D3" s="163" t="n">
        <v>46278</v>
      </c>
      <c r="E3" s="118" t="n">
        <v>63.4</v>
      </c>
      <c r="F3" s="118" t="n">
        <v>63.4</v>
      </c>
      <c r="G3" s="163" t="n">
        <v>46278</v>
      </c>
      <c r="H3" s="118"/>
      <c r="I3" s="141" t="n">
        <f aca="false">IF(D3="","",D3+90)</f>
        <v>46368</v>
      </c>
      <c r="J3" s="164" t="n">
        <f aca="true">IF(I3="","",I3-TODAY())</f>
        <v>71</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482</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483</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484</v>
      </c>
      <c r="E2" s="168"/>
      <c r="F2" s="168"/>
      <c r="G2" s="168"/>
      <c r="H2" s="168"/>
      <c r="I2" s="169" t="s">
        <v>485</v>
      </c>
      <c r="J2" s="169"/>
      <c r="K2" s="169"/>
      <c r="L2" s="169"/>
      <c r="M2" s="169"/>
      <c r="N2" s="170" t="s">
        <v>486</v>
      </c>
      <c r="O2" s="170"/>
      <c r="P2" s="170"/>
      <c r="Q2" s="170"/>
      <c r="R2" s="170"/>
      <c r="S2" s="171" t="s">
        <v>487</v>
      </c>
      <c r="T2" s="171"/>
      <c r="U2" s="171"/>
    </row>
    <row r="3" customFormat="false" ht="42.75" hidden="false" customHeight="true" outlineLevel="0" collapsed="false">
      <c r="A3" s="110" t="s">
        <v>81</v>
      </c>
      <c r="B3" s="110" t="s">
        <v>280</v>
      </c>
      <c r="C3" s="110" t="s">
        <v>488</v>
      </c>
      <c r="D3" s="110" t="s">
        <v>489</v>
      </c>
      <c r="E3" s="110" t="s">
        <v>490</v>
      </c>
      <c r="F3" s="110" t="s">
        <v>491</v>
      </c>
      <c r="G3" s="110" t="s">
        <v>492</v>
      </c>
      <c r="H3" s="110" t="s">
        <v>493</v>
      </c>
      <c r="I3" s="110" t="s">
        <v>489</v>
      </c>
      <c r="J3" s="110" t="s">
        <v>490</v>
      </c>
      <c r="K3" s="110" t="s">
        <v>491</v>
      </c>
      <c r="L3" s="110" t="s">
        <v>492</v>
      </c>
      <c r="M3" s="110" t="s">
        <v>493</v>
      </c>
      <c r="N3" s="110" t="s">
        <v>489</v>
      </c>
      <c r="O3" s="110" t="s">
        <v>490</v>
      </c>
      <c r="P3" s="110" t="s">
        <v>491</v>
      </c>
      <c r="Q3" s="110" t="s">
        <v>492</v>
      </c>
      <c r="R3" s="110" t="s">
        <v>493</v>
      </c>
      <c r="S3" s="110" t="s">
        <v>494</v>
      </c>
      <c r="T3" s="110" t="s">
        <v>495</v>
      </c>
      <c r="U3" s="110" t="s">
        <v>496</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497</v>
      </c>
      <c r="C20" s="66" t="n">
        <v>967.17</v>
      </c>
      <c r="D20" s="66" t="n">
        <v>23.11</v>
      </c>
      <c r="E20" s="172" t="n">
        <v>61.48</v>
      </c>
      <c r="F20" s="66" t="n">
        <v>32</v>
      </c>
      <c r="G20" s="67" t="n">
        <f aca="false">IF(OR(C20="",D20="",E20="",F20=""),"",IFERROR(((D20*E20+F20)/C20)^(1/5)-1,"n/a"))</f>
        <v>0.0847777537329333</v>
      </c>
      <c r="H20" s="62" t="s">
        <v>498</v>
      </c>
      <c r="I20" s="66" t="n">
        <v>19.14</v>
      </c>
      <c r="J20" s="172" t="n">
        <v>50</v>
      </c>
      <c r="K20" s="66" t="n">
        <v>28</v>
      </c>
      <c r="L20" s="67" t="n">
        <f aca="false">IF(OR(C20="",I20="",J20="",K20=""),"",IFERROR(((I20*J20+K20)/C20)^(1/5)-1,"n/a"))</f>
        <v>0.00366015400817998</v>
      </c>
      <c r="M20" s="62" t="s">
        <v>498</v>
      </c>
      <c r="N20" s="66" t="n">
        <v>26.51</v>
      </c>
      <c r="O20" s="172" t="n">
        <v>61.48</v>
      </c>
      <c r="P20" s="66" t="n">
        <v>35</v>
      </c>
      <c r="Q20" s="67" t="n">
        <f aca="false">IF(OR(C20="",N20="",O20="",P20=""),"",IFERROR(((N20*O20+P20)/C20)^(1/5)-1,"n/a"))</f>
        <v>0.114740206784953</v>
      </c>
      <c r="R20" s="62" t="s">
        <v>499</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499</v>
      </c>
      <c r="I21" s="66" t="n">
        <v>14.14</v>
      </c>
      <c r="J21" s="172" t="n">
        <v>28</v>
      </c>
      <c r="K21" s="66" t="n">
        <v>14</v>
      </c>
      <c r="L21" s="67" t="n">
        <f aca="false">IF(OR(C21="",I21="",J21="",K21=""),"",IFERROR(((I21*J21+K21)/C21)^(1/5)-1,"n/a"))</f>
        <v>0.0149373117952127</v>
      </c>
      <c r="M21" s="62" t="s">
        <v>498</v>
      </c>
      <c r="N21" s="66" t="n">
        <v>21.33</v>
      </c>
      <c r="O21" s="172" t="n">
        <v>38</v>
      </c>
      <c r="P21" s="66" t="n">
        <v>18</v>
      </c>
      <c r="Q21" s="67" t="n">
        <f aca="false">IF(OR(C21="",N21="",O21="",P21=""),"",IFERROR(((N21*O21+P21)/C21)^(1/5)-1,"n/a"))</f>
        <v>0.168320757920451</v>
      </c>
      <c r="R21" s="62" t="s">
        <v>498</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500</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501</v>
      </c>
      <c r="F2" s="106"/>
      <c r="G2" s="106"/>
      <c r="H2" s="106"/>
      <c r="I2" s="106"/>
      <c r="J2" s="106"/>
      <c r="K2" s="106"/>
      <c r="L2" s="106"/>
      <c r="M2" s="106"/>
      <c r="N2" s="106"/>
      <c r="O2" s="106"/>
      <c r="P2" s="106"/>
      <c r="Q2" s="106"/>
      <c r="R2" s="106"/>
      <c r="S2" s="106"/>
      <c r="T2" s="181" t="s">
        <v>502</v>
      </c>
      <c r="U2" s="181"/>
      <c r="V2" s="181"/>
      <c r="W2" s="181"/>
      <c r="X2" s="181"/>
      <c r="Y2" s="181"/>
      <c r="Z2" s="181"/>
    </row>
    <row r="3" customFormat="false" ht="54" hidden="false" customHeight="true" outlineLevel="0" collapsed="false">
      <c r="A3" s="108" t="s">
        <v>81</v>
      </c>
      <c r="B3" s="108" t="s">
        <v>280</v>
      </c>
      <c r="C3" s="108" t="s">
        <v>503</v>
      </c>
      <c r="D3" s="108" t="s">
        <v>504</v>
      </c>
      <c r="E3" s="108" t="s">
        <v>505</v>
      </c>
      <c r="F3" s="108" t="s">
        <v>506</v>
      </c>
      <c r="G3" s="108" t="s">
        <v>507</v>
      </c>
      <c r="H3" s="108" t="s">
        <v>508</v>
      </c>
      <c r="I3" s="108" t="s">
        <v>509</v>
      </c>
      <c r="J3" s="108" t="s">
        <v>507</v>
      </c>
      <c r="K3" s="108" t="s">
        <v>510</v>
      </c>
      <c r="L3" s="108" t="s">
        <v>511</v>
      </c>
      <c r="M3" s="108" t="s">
        <v>507</v>
      </c>
      <c r="N3" s="108" t="s">
        <v>512</v>
      </c>
      <c r="O3" s="108" t="s">
        <v>513</v>
      </c>
      <c r="P3" s="108" t="s">
        <v>507</v>
      </c>
      <c r="Q3" s="108" t="s">
        <v>514</v>
      </c>
      <c r="R3" s="108" t="s">
        <v>515</v>
      </c>
      <c r="S3" s="108" t="s">
        <v>507</v>
      </c>
      <c r="T3" s="108" t="s">
        <v>516</v>
      </c>
      <c r="U3" s="108" t="s">
        <v>517</v>
      </c>
      <c r="V3" s="108" t="s">
        <v>518</v>
      </c>
      <c r="W3" s="108" t="s">
        <v>519</v>
      </c>
      <c r="X3" s="108" t="s">
        <v>520</v>
      </c>
      <c r="Y3" s="108" t="s">
        <v>521</v>
      </c>
      <c r="Z3" s="108" t="s">
        <v>522</v>
      </c>
      <c r="AA3" s="108" t="s">
        <v>523</v>
      </c>
      <c r="AB3" s="108" t="s">
        <v>478</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524</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525</v>
      </c>
      <c r="D2" s="58" t="s">
        <v>526</v>
      </c>
      <c r="E2" s="58" t="s">
        <v>472</v>
      </c>
      <c r="F2" s="58" t="s">
        <v>527</v>
      </c>
      <c r="G2" s="58" t="s">
        <v>528</v>
      </c>
      <c r="H2" s="58" t="s">
        <v>529</v>
      </c>
      <c r="I2" s="58" t="s">
        <v>530</v>
      </c>
      <c r="J2" s="58" t="s">
        <v>531</v>
      </c>
      <c r="K2" s="58" t="s">
        <v>532</v>
      </c>
      <c r="L2" s="58" t="s">
        <v>533</v>
      </c>
      <c r="M2" s="58" t="s">
        <v>534</v>
      </c>
      <c r="N2" s="58" t="s">
        <v>535</v>
      </c>
      <c r="O2" s="58" t="s">
        <v>536</v>
      </c>
      <c r="P2" s="58" t="s">
        <v>537</v>
      </c>
      <c r="Q2" s="58" t="s">
        <v>538</v>
      </c>
    </row>
    <row r="3" customFormat="false" ht="15" hidden="false" customHeight="true" outlineLevel="0" collapsed="false">
      <c r="A3" s="182" t="s">
        <v>95</v>
      </c>
      <c r="B3" s="117" t="s">
        <v>96</v>
      </c>
      <c r="C3" s="187" t="n">
        <v>46241</v>
      </c>
      <c r="D3" s="188" t="n">
        <v>266.38</v>
      </c>
      <c r="E3" s="117" t="n">
        <v>85.8</v>
      </c>
      <c r="F3" s="117" t="s">
        <v>331</v>
      </c>
      <c r="G3" s="117" t="s">
        <v>539</v>
      </c>
      <c r="H3" s="188" t="n">
        <v>773.26</v>
      </c>
      <c r="I3" s="117" t="s">
        <v>540</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541</v>
      </c>
      <c r="H4" s="188" t="n">
        <v>773.26</v>
      </c>
      <c r="I4" s="117" t="s">
        <v>540</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539</v>
      </c>
      <c r="H5" s="188" t="n">
        <v>773.26</v>
      </c>
      <c r="I5" s="117" t="s">
        <v>540</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539</v>
      </c>
      <c r="H6" s="188" t="n">
        <v>767.53</v>
      </c>
      <c r="I6" s="117" t="s">
        <v>540</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539</v>
      </c>
      <c r="H7" s="188" t="n">
        <v>766.29</v>
      </c>
      <c r="I7" s="117" t="s">
        <v>540</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539</v>
      </c>
      <c r="H8" s="188" t="n">
        <v>766.29</v>
      </c>
      <c r="I8" s="117" t="s">
        <v>540</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542</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543</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544</v>
      </c>
    </row>
    <row r="4" customFormat="false" ht="27.75" hidden="false" customHeight="true" outlineLevel="0" collapsed="false">
      <c r="A4" s="194" t="n">
        <v>46241</v>
      </c>
      <c r="B4" s="195" t="s">
        <v>176</v>
      </c>
      <c r="C4" s="196" t="s">
        <v>545</v>
      </c>
    </row>
    <row r="5" customFormat="false" ht="15" hidden="false" customHeight="true" outlineLevel="0" collapsed="false">
      <c r="A5" s="194" t="n">
        <v>46241</v>
      </c>
      <c r="B5" s="195" t="s">
        <v>184</v>
      </c>
      <c r="C5" s="196" t="s">
        <v>546</v>
      </c>
    </row>
    <row r="6" customFormat="false" ht="40.5" hidden="false" customHeight="true" outlineLevel="0" collapsed="false">
      <c r="A6" s="194" t="n">
        <v>46241</v>
      </c>
      <c r="B6" s="195" t="s">
        <v>167</v>
      </c>
      <c r="C6" s="196" t="s">
        <v>547</v>
      </c>
    </row>
    <row r="7" customFormat="false" ht="27.75" hidden="false" customHeight="true" outlineLevel="0" collapsed="false">
      <c r="A7" s="194" t="n">
        <v>46241</v>
      </c>
      <c r="B7" s="195" t="s">
        <v>548</v>
      </c>
      <c r="C7" s="196" t="s">
        <v>549</v>
      </c>
    </row>
    <row r="8" customFormat="false" ht="27.75" hidden="false" customHeight="true" outlineLevel="0" collapsed="false">
      <c r="A8" s="194" t="n">
        <v>46241</v>
      </c>
      <c r="B8" s="195" t="s">
        <v>548</v>
      </c>
      <c r="C8" s="196" t="s">
        <v>550</v>
      </c>
    </row>
    <row r="9" customFormat="false" ht="27.75" hidden="false" customHeight="true" outlineLevel="0" collapsed="false">
      <c r="A9" s="194" t="n">
        <v>46241</v>
      </c>
      <c r="B9" s="195" t="s">
        <v>551</v>
      </c>
      <c r="C9" s="196" t="s">
        <v>552</v>
      </c>
    </row>
    <row r="10" customFormat="false" ht="27.75" hidden="false" customHeight="true" outlineLevel="0" collapsed="false">
      <c r="A10" s="194" t="n">
        <v>46241</v>
      </c>
      <c r="B10" s="195" t="s">
        <v>553</v>
      </c>
      <c r="C10" s="196" t="s">
        <v>554</v>
      </c>
    </row>
    <row r="11" customFormat="false" ht="27.75" hidden="false" customHeight="true" outlineLevel="0" collapsed="false">
      <c r="A11" s="194" t="n">
        <v>46241</v>
      </c>
      <c r="B11" s="195" t="s">
        <v>129</v>
      </c>
      <c r="C11" s="196" t="s">
        <v>555</v>
      </c>
    </row>
    <row r="12" customFormat="false" ht="78.75" hidden="false" customHeight="true" outlineLevel="0" collapsed="false">
      <c r="A12" s="194" t="n">
        <v>46273</v>
      </c>
      <c r="B12" s="195" t="s">
        <v>556</v>
      </c>
      <c r="C12" s="196" t="s">
        <v>557</v>
      </c>
    </row>
    <row r="13" customFormat="false" ht="53.25" hidden="false" customHeight="true" outlineLevel="0" collapsed="false">
      <c r="A13" s="194" t="n">
        <v>46295</v>
      </c>
      <c r="B13" s="195" t="s">
        <v>558</v>
      </c>
      <c r="C13" s="196" t="s">
        <v>559</v>
      </c>
    </row>
    <row r="14" customFormat="false" ht="66" hidden="false" customHeight="true" outlineLevel="0" collapsed="false">
      <c r="A14" s="194" t="n">
        <v>46302</v>
      </c>
      <c r="B14" s="195" t="s">
        <v>560</v>
      </c>
      <c r="C14" s="196" t="s">
        <v>561</v>
      </c>
    </row>
    <row r="15" customFormat="false" ht="91.5" hidden="false" customHeight="true" outlineLevel="0" collapsed="false">
      <c r="A15" s="194" t="n">
        <v>46320</v>
      </c>
      <c r="B15" s="195" t="s">
        <v>562</v>
      </c>
      <c r="C15" s="196" t="s">
        <v>563</v>
      </c>
    </row>
    <row r="16" customFormat="false" ht="53.25" hidden="false" customHeight="true" outlineLevel="0" collapsed="false">
      <c r="A16" s="194" t="n">
        <v>46335</v>
      </c>
      <c r="B16" s="195" t="s">
        <v>564</v>
      </c>
      <c r="C16" s="196" t="s">
        <v>565</v>
      </c>
    </row>
    <row r="17" customFormat="false" ht="27.75" hidden="false" customHeight="true" outlineLevel="0" collapsed="false">
      <c r="A17" s="194" t="n">
        <v>46387</v>
      </c>
      <c r="B17" s="195" t="s">
        <v>566</v>
      </c>
      <c r="C17" s="196" t="s">
        <v>567</v>
      </c>
    </row>
    <row r="18" customFormat="false" ht="66" hidden="false" customHeight="true" outlineLevel="0" collapsed="false">
      <c r="A18" s="194" t="n">
        <v>46412</v>
      </c>
      <c r="B18" s="195" t="s">
        <v>568</v>
      </c>
      <c r="C18" s="196" t="s">
        <v>569</v>
      </c>
    </row>
    <row r="19" customFormat="false" ht="91.5" hidden="false" customHeight="true" outlineLevel="0" collapsed="false">
      <c r="A19" s="194" t="n">
        <v>46252</v>
      </c>
      <c r="B19" s="195" t="s">
        <v>570</v>
      </c>
      <c r="C19" s="196" t="s">
        <v>571</v>
      </c>
    </row>
    <row r="20" customFormat="false" ht="66" hidden="false" customHeight="true" outlineLevel="0" collapsed="false">
      <c r="A20" s="194" t="n">
        <v>46258</v>
      </c>
      <c r="B20" s="195" t="s">
        <v>572</v>
      </c>
      <c r="C20" s="196" t="s">
        <v>573</v>
      </c>
    </row>
    <row r="21" customFormat="false" ht="104.25" hidden="false" customHeight="true" outlineLevel="0" collapsed="false">
      <c r="A21" s="194" t="n">
        <v>46260</v>
      </c>
      <c r="B21" s="195" t="s">
        <v>574</v>
      </c>
      <c r="C21" s="196" t="s">
        <v>575</v>
      </c>
    </row>
    <row r="22" customFormat="false" ht="155.25" hidden="false" customHeight="true" outlineLevel="0" collapsed="false">
      <c r="A22" s="194" t="n">
        <v>46272</v>
      </c>
      <c r="B22" s="195" t="s">
        <v>576</v>
      </c>
      <c r="C22" s="196" t="s">
        <v>577</v>
      </c>
    </row>
    <row r="23" customFormat="false" ht="53.25" hidden="false" customHeight="true" outlineLevel="0" collapsed="false">
      <c r="A23" s="194" t="n">
        <v>46302</v>
      </c>
      <c r="B23" s="195" t="s">
        <v>578</v>
      </c>
      <c r="C23" s="196" t="s">
        <v>579</v>
      </c>
    </row>
    <row r="24" customFormat="false" ht="53.25" hidden="false" customHeight="true" outlineLevel="0" collapsed="false">
      <c r="A24" s="194" t="n">
        <v>46310</v>
      </c>
      <c r="B24" s="195" t="s">
        <v>580</v>
      </c>
      <c r="C24" s="196" t="s">
        <v>579</v>
      </c>
    </row>
    <row r="25" customFormat="false" ht="53.25" hidden="false" customHeight="true" outlineLevel="0" collapsed="false">
      <c r="A25" s="194" t="n">
        <v>46335</v>
      </c>
      <c r="B25" s="195" t="s">
        <v>581</v>
      </c>
      <c r="C25" s="196" t="s">
        <v>579</v>
      </c>
    </row>
    <row r="26" customFormat="false" ht="53.25" hidden="false" customHeight="true" outlineLevel="0" collapsed="false">
      <c r="A26" s="194" t="n">
        <v>46342</v>
      </c>
      <c r="B26" s="195" t="s">
        <v>582</v>
      </c>
      <c r="C26" s="196" t="s">
        <v>579</v>
      </c>
    </row>
    <row r="27" customFormat="false" ht="53.25" hidden="false" customHeight="true" outlineLevel="0" collapsed="false">
      <c r="A27" s="194" t="n">
        <v>46363</v>
      </c>
      <c r="B27" s="195" t="s">
        <v>583</v>
      </c>
      <c r="C27" s="196" t="s">
        <v>579</v>
      </c>
    </row>
    <row r="28" customFormat="false" ht="53.25" hidden="false" customHeight="true" outlineLevel="0" collapsed="false">
      <c r="A28" s="194" t="n">
        <v>46371</v>
      </c>
      <c r="B28" s="195" t="s">
        <v>584</v>
      </c>
      <c r="C28" s="196" t="s">
        <v>579</v>
      </c>
    </row>
    <row r="29" customFormat="false" ht="53.25" hidden="false" customHeight="true" outlineLevel="0" collapsed="false">
      <c r="A29" s="194" t="n">
        <v>46394</v>
      </c>
      <c r="B29" s="195" t="s">
        <v>585</v>
      </c>
      <c r="C29" s="196" t="s">
        <v>579</v>
      </c>
    </row>
    <row r="30" customFormat="false" ht="53.25" hidden="false" customHeight="true" outlineLevel="0" collapsed="false">
      <c r="A30" s="194" t="n">
        <v>46402</v>
      </c>
      <c r="B30" s="195" t="s">
        <v>586</v>
      </c>
      <c r="C30" s="196" t="s">
        <v>579</v>
      </c>
    </row>
    <row r="31" customFormat="false" ht="53.25" hidden="false" customHeight="true" outlineLevel="0" collapsed="false">
      <c r="A31" s="194" t="n">
        <v>46426</v>
      </c>
      <c r="B31" s="195" t="s">
        <v>587</v>
      </c>
      <c r="C31" s="196" t="s">
        <v>579</v>
      </c>
    </row>
    <row r="32" customFormat="false" ht="53.25" hidden="false" customHeight="true" outlineLevel="0" collapsed="false">
      <c r="A32" s="194" t="n">
        <v>46434</v>
      </c>
      <c r="B32" s="195" t="s">
        <v>588</v>
      </c>
      <c r="C32" s="196" t="s">
        <v>579</v>
      </c>
    </row>
    <row r="33" customFormat="false" ht="53.25" hidden="false" customHeight="true" outlineLevel="0" collapsed="false">
      <c r="A33" s="194" t="n">
        <v>46454</v>
      </c>
      <c r="B33" s="195" t="s">
        <v>589</v>
      </c>
      <c r="C33" s="196" t="s">
        <v>579</v>
      </c>
    </row>
    <row r="34" customFormat="false" ht="53.25" hidden="false" customHeight="true" outlineLevel="0" collapsed="false">
      <c r="A34" s="194" t="n">
        <v>46461</v>
      </c>
      <c r="B34" s="195" t="s">
        <v>590</v>
      </c>
      <c r="C34" s="196" t="s">
        <v>591</v>
      </c>
    </row>
    <row r="35" customFormat="false" ht="117" hidden="false" customHeight="true" outlineLevel="0" collapsed="false">
      <c r="A35" s="194" t="n">
        <v>46273</v>
      </c>
      <c r="B35" s="195" t="s">
        <v>592</v>
      </c>
      <c r="C35" s="196" t="s">
        <v>593</v>
      </c>
    </row>
    <row r="36" customFormat="false" ht="155.25" hidden="false" customHeight="true" outlineLevel="0" collapsed="false">
      <c r="A36" s="194" t="n">
        <v>46276</v>
      </c>
      <c r="B36" s="195" t="s">
        <v>594</v>
      </c>
      <c r="C36" s="196" t="s">
        <v>595</v>
      </c>
    </row>
    <row r="37" customFormat="false" ht="91.5" hidden="false" customHeight="true" outlineLevel="0" collapsed="false">
      <c r="A37" s="194" t="n">
        <v>46276</v>
      </c>
      <c r="B37" s="195" t="s">
        <v>596</v>
      </c>
      <c r="C37" s="196" t="s">
        <v>597</v>
      </c>
    </row>
    <row r="38" customFormat="false" ht="78.75" hidden="false" customHeight="true" outlineLevel="0" collapsed="false">
      <c r="A38" s="194" t="n">
        <v>46276</v>
      </c>
      <c r="B38" s="195" t="s">
        <v>598</v>
      </c>
      <c r="C38" s="196" t="s">
        <v>599</v>
      </c>
    </row>
    <row r="39" customFormat="false" ht="168" hidden="false" customHeight="true" outlineLevel="0" collapsed="false">
      <c r="A39" s="194" t="n">
        <v>46276</v>
      </c>
      <c r="B39" s="195" t="s">
        <v>600</v>
      </c>
      <c r="C39" s="196" t="s">
        <v>601</v>
      </c>
    </row>
    <row r="40" customFormat="false" ht="129.75" hidden="false" customHeight="true" outlineLevel="0" collapsed="false">
      <c r="A40" s="194" t="n">
        <v>46276</v>
      </c>
      <c r="B40" s="195" t="s">
        <v>600</v>
      </c>
      <c r="C40" s="196" t="s">
        <v>602</v>
      </c>
    </row>
    <row r="41" customFormat="false" ht="129.75" hidden="false" customHeight="true" outlineLevel="0" collapsed="false">
      <c r="A41" s="194" t="n">
        <v>46276</v>
      </c>
      <c r="B41" s="195" t="s">
        <v>167</v>
      </c>
      <c r="C41" s="196" t="s">
        <v>603</v>
      </c>
    </row>
    <row r="42" customFormat="false" ht="155.25" hidden="false" customHeight="true" outlineLevel="0" collapsed="false">
      <c r="A42" s="194" t="n">
        <v>46276</v>
      </c>
      <c r="B42" s="195" t="s">
        <v>600</v>
      </c>
      <c r="C42" s="196" t="s">
        <v>604</v>
      </c>
    </row>
    <row r="43" customFormat="false" ht="168" hidden="false" customHeight="true" outlineLevel="0" collapsed="false">
      <c r="A43" s="194" t="n">
        <v>46276</v>
      </c>
      <c r="B43" s="195" t="s">
        <v>605</v>
      </c>
      <c r="C43" s="196" t="s">
        <v>606</v>
      </c>
    </row>
    <row r="44" customFormat="false" ht="155.25" hidden="false" customHeight="true" outlineLevel="0" collapsed="false">
      <c r="A44" s="194" t="n">
        <v>46276</v>
      </c>
      <c r="B44" s="195" t="s">
        <v>607</v>
      </c>
      <c r="C44" s="196" t="s">
        <v>608</v>
      </c>
    </row>
    <row r="45" customFormat="false" ht="27.75" hidden="false" customHeight="true" outlineLevel="0" collapsed="false">
      <c r="A45" s="194" t="n">
        <v>46295</v>
      </c>
      <c r="B45" s="195" t="s">
        <v>609</v>
      </c>
      <c r="C45" s="196" t="s">
        <v>610</v>
      </c>
    </row>
    <row r="46" customFormat="false" ht="40.5" hidden="false" customHeight="true" outlineLevel="0" collapsed="false">
      <c r="A46" s="194" t="n">
        <v>46302</v>
      </c>
      <c r="B46" s="195" t="s">
        <v>611</v>
      </c>
      <c r="C46" s="196" t="s">
        <v>612</v>
      </c>
    </row>
    <row r="47" customFormat="false" ht="15" hidden="false" customHeight="true" outlineLevel="0" collapsed="false">
      <c r="A47" s="194" t="n">
        <v>46317</v>
      </c>
      <c r="B47" s="195" t="s">
        <v>613</v>
      </c>
      <c r="C47" s="196" t="s">
        <v>614</v>
      </c>
    </row>
    <row r="48" customFormat="false" ht="27.75" hidden="false" customHeight="true" outlineLevel="0" collapsed="false">
      <c r="A48" s="194" t="n">
        <v>46335</v>
      </c>
      <c r="B48" s="195" t="s">
        <v>615</v>
      </c>
      <c r="C48" s="196" t="s">
        <v>616</v>
      </c>
    </row>
    <row r="49" customFormat="false" ht="27.75" hidden="false" customHeight="true" outlineLevel="0" collapsed="false">
      <c r="A49" s="194" t="n">
        <v>46349</v>
      </c>
      <c r="B49" s="195" t="s">
        <v>617</v>
      </c>
      <c r="C49" s="196" t="s">
        <v>618</v>
      </c>
    </row>
    <row r="50" customFormat="false" ht="15" hidden="false" customHeight="true" outlineLevel="0" collapsed="false">
      <c r="A50" s="194" t="n">
        <v>46363</v>
      </c>
      <c r="B50" s="195" t="s">
        <v>619</v>
      </c>
      <c r="C50" s="196" t="s">
        <v>614</v>
      </c>
    </row>
    <row r="51" customFormat="false" ht="15" hidden="false" customHeight="true" outlineLevel="0" collapsed="false">
      <c r="A51" s="194" t="n">
        <v>46378</v>
      </c>
      <c r="B51" s="195" t="s">
        <v>620</v>
      </c>
      <c r="C51" s="196" t="s">
        <v>614</v>
      </c>
    </row>
    <row r="52" customFormat="false" ht="27.75" hidden="false" customHeight="true" outlineLevel="0" collapsed="false">
      <c r="A52" s="194" t="n">
        <v>46394</v>
      </c>
      <c r="B52" s="195" t="s">
        <v>621</v>
      </c>
      <c r="C52" s="196" t="s">
        <v>622</v>
      </c>
    </row>
    <row r="53" customFormat="false" ht="295.5" hidden="false" customHeight="true" outlineLevel="0" collapsed="false">
      <c r="A53" s="194" t="n">
        <v>46276</v>
      </c>
      <c r="B53" s="195" t="s">
        <v>623</v>
      </c>
      <c r="C53" s="196" t="s">
        <v>624</v>
      </c>
    </row>
    <row r="54" customFormat="false" ht="359.25" hidden="false" customHeight="true" outlineLevel="0" collapsed="false">
      <c r="A54" s="194" t="n">
        <v>46278</v>
      </c>
      <c r="B54" s="195" t="s">
        <v>625</v>
      </c>
      <c r="C54" s="196" t="s">
        <v>626</v>
      </c>
    </row>
    <row r="55" customFormat="false" ht="270" hidden="false" customHeight="true" outlineLevel="0" collapsed="false">
      <c r="A55" s="194" t="n">
        <v>46278</v>
      </c>
      <c r="B55" s="195" t="s">
        <v>627</v>
      </c>
      <c r="C55" s="196" t="s">
        <v>628</v>
      </c>
    </row>
    <row r="56" customFormat="false" ht="409.5" hidden="false" customHeight="true" outlineLevel="0" collapsed="false">
      <c r="A56" s="194" t="n">
        <v>46278</v>
      </c>
      <c r="B56" s="195" t="s">
        <v>629</v>
      </c>
      <c r="C56" s="196" t="s">
        <v>630</v>
      </c>
    </row>
    <row r="57" customFormat="false" ht="193.5" hidden="false" customHeight="true" outlineLevel="0" collapsed="false">
      <c r="A57" s="194" t="n">
        <v>46278</v>
      </c>
      <c r="B57" s="195" t="s">
        <v>631</v>
      </c>
      <c r="C57" s="196" t="s">
        <v>632</v>
      </c>
    </row>
    <row r="58" customFormat="false" ht="384.75" hidden="false" customHeight="true" outlineLevel="0" collapsed="false">
      <c r="A58" s="194" t="n">
        <v>46278</v>
      </c>
      <c r="B58" s="195" t="s">
        <v>633</v>
      </c>
      <c r="C58" s="196" t="s">
        <v>634</v>
      </c>
    </row>
    <row r="59" customFormat="false" ht="409.5" hidden="false" customHeight="true" outlineLevel="0" collapsed="false">
      <c r="A59" s="194" t="n">
        <v>46278</v>
      </c>
      <c r="B59" s="195" t="s">
        <v>635</v>
      </c>
      <c r="C59" s="196" t="s">
        <v>636</v>
      </c>
    </row>
    <row r="60" customFormat="false" ht="397.5" hidden="false" customHeight="true" outlineLevel="0" collapsed="false">
      <c r="A60" s="194" t="n">
        <v>46278</v>
      </c>
      <c r="B60" s="195" t="s">
        <v>637</v>
      </c>
      <c r="C60" s="196" t="s">
        <v>638</v>
      </c>
    </row>
    <row r="61" customFormat="false" ht="409.5" hidden="false" customHeight="true" outlineLevel="0" collapsed="false">
      <c r="A61" s="194" t="n">
        <v>46278</v>
      </c>
      <c r="B61" s="195" t="s">
        <v>639</v>
      </c>
      <c r="C61" s="196" t="s">
        <v>640</v>
      </c>
    </row>
    <row r="62" customFormat="false" ht="409.5" hidden="false" customHeight="true" outlineLevel="0" collapsed="false">
      <c r="A62" s="194" t="n">
        <v>46294</v>
      </c>
      <c r="B62" s="195" t="s">
        <v>641</v>
      </c>
      <c r="C62" s="196" t="s">
        <v>642</v>
      </c>
    </row>
    <row r="63" customFormat="false" ht="129.75" hidden="false" customHeight="true" outlineLevel="0" collapsed="false">
      <c r="A63" s="194" t="n">
        <v>46294</v>
      </c>
      <c r="B63" s="195" t="s">
        <v>643</v>
      </c>
      <c r="C63" s="196" t="s">
        <v>644</v>
      </c>
    </row>
    <row r="64" customFormat="false" ht="155.25" hidden="false" customHeight="true" outlineLevel="0" collapsed="false">
      <c r="A64" s="194" t="n">
        <v>46295</v>
      </c>
      <c r="B64" s="195" t="s">
        <v>609</v>
      </c>
      <c r="C64" s="196" t="s">
        <v>645</v>
      </c>
    </row>
    <row r="65" customFormat="false" ht="104.25" hidden="false" customHeight="true" outlineLevel="0" collapsed="false">
      <c r="A65" s="194" t="n">
        <v>46295</v>
      </c>
      <c r="B65" s="195" t="s">
        <v>646</v>
      </c>
      <c r="C65" s="196" t="s">
        <v>647</v>
      </c>
    </row>
    <row r="66" customFormat="false" ht="282.75" hidden="false" customHeight="true" outlineLevel="0" collapsed="false">
      <c r="A66" s="194" t="n">
        <v>46295</v>
      </c>
      <c r="B66" s="195" t="s">
        <v>95</v>
      </c>
      <c r="C66" s="196" t="s">
        <v>648</v>
      </c>
    </row>
    <row r="67" customFormat="false" ht="155.25" hidden="false" customHeight="true" outlineLevel="0" collapsed="false">
      <c r="A67" s="194" t="n">
        <v>46295</v>
      </c>
      <c r="B67" s="195"/>
      <c r="C67" s="196" t="s">
        <v>649</v>
      </c>
    </row>
    <row r="68" customFormat="false" ht="155.25" hidden="false" customHeight="true" outlineLevel="0" collapsed="false">
      <c r="A68" s="194" t="n">
        <v>46295</v>
      </c>
      <c r="B68" s="195"/>
      <c r="C68" s="196" t="s">
        <v>650</v>
      </c>
    </row>
    <row r="69" customFormat="false" ht="219" hidden="false" customHeight="true" outlineLevel="0" collapsed="false">
      <c r="A69" s="194" t="n">
        <v>46295</v>
      </c>
      <c r="B69" s="195" t="s">
        <v>651</v>
      </c>
      <c r="C69" s="196" t="s">
        <v>652</v>
      </c>
    </row>
    <row r="70" customFormat="false" ht="206.25" hidden="false" customHeight="true" outlineLevel="0" collapsed="false">
      <c r="A70" s="194" t="n">
        <v>46295</v>
      </c>
      <c r="B70" s="195" t="s">
        <v>653</v>
      </c>
      <c r="C70" s="196" t="s">
        <v>654</v>
      </c>
    </row>
    <row r="71" customFormat="false" ht="409.5" hidden="false" customHeight="true" outlineLevel="0" collapsed="false">
      <c r="A71" s="194" t="n">
        <v>46296</v>
      </c>
      <c r="B71" s="195" t="s">
        <v>143</v>
      </c>
      <c r="C71" s="196" t="s">
        <v>655</v>
      </c>
    </row>
    <row r="72" customFormat="false" ht="295.5" hidden="false" customHeight="true" outlineLevel="0" collapsed="false">
      <c r="A72" s="194" t="n">
        <v>46296</v>
      </c>
      <c r="B72" s="195"/>
      <c r="C72" s="196" t="s">
        <v>656</v>
      </c>
    </row>
    <row r="73" customFormat="false" ht="282.75" hidden="false" customHeight="true" outlineLevel="0" collapsed="false">
      <c r="A73" s="194" t="n">
        <v>46296</v>
      </c>
      <c r="B73" s="195" t="s">
        <v>657</v>
      </c>
      <c r="C73" s="196" t="s">
        <v>658</v>
      </c>
    </row>
    <row r="74" customFormat="false" ht="142.5" hidden="false" customHeight="true" outlineLevel="0" collapsed="false">
      <c r="A74" s="194" t="n">
        <v>46296</v>
      </c>
      <c r="B74" s="195" t="s">
        <v>659</v>
      </c>
      <c r="C74" s="196" t="s">
        <v>660</v>
      </c>
    </row>
    <row r="75" customFormat="false" ht="117" hidden="false" customHeight="true" outlineLevel="0" collapsed="false">
      <c r="A75" s="194" t="n">
        <v>46297</v>
      </c>
      <c r="B75" s="195" t="s">
        <v>661</v>
      </c>
      <c r="C75" s="196" t="s">
        <v>662</v>
      </c>
    </row>
    <row r="76" customFormat="false" ht="53.25" hidden="false" customHeight="true" outlineLevel="0" collapsed="false">
      <c r="A76" s="194" t="n">
        <v>46297</v>
      </c>
      <c r="B76" s="195" t="s">
        <v>143</v>
      </c>
      <c r="C76" s="196" t="s">
        <v>663</v>
      </c>
    </row>
    <row r="77" customFormat="false" ht="155.25" hidden="false" customHeight="true" outlineLevel="0" collapsed="false">
      <c r="A77" s="194" t="n">
        <v>46297</v>
      </c>
      <c r="B77" s="195" t="s">
        <v>664</v>
      </c>
      <c r="C77" s="196" t="s">
        <v>665</v>
      </c>
    </row>
    <row r="78" customFormat="false" ht="295.5" hidden="false" customHeight="true" outlineLevel="0" collapsed="false">
      <c r="A78" s="194" t="n">
        <v>46297</v>
      </c>
      <c r="B78" s="195" t="s">
        <v>666</v>
      </c>
      <c r="C78" s="196" t="s">
        <v>667</v>
      </c>
    </row>
    <row r="79" customFormat="false" ht="282.75" hidden="false" customHeight="true" outlineLevel="0" collapsed="false">
      <c r="A79" s="194" t="n">
        <v>46297</v>
      </c>
      <c r="B79" s="195" t="s">
        <v>668</v>
      </c>
      <c r="C79" s="196" t="s">
        <v>669</v>
      </c>
    </row>
    <row r="80" customFormat="false" ht="257.25" hidden="false" customHeight="true" outlineLevel="0" collapsed="false">
      <c r="A80" s="194" t="n">
        <v>46297</v>
      </c>
      <c r="B80" s="195" t="s">
        <v>407</v>
      </c>
      <c r="C80" s="196" t="s">
        <v>670</v>
      </c>
    </row>
    <row r="81" customFormat="false" ht="14.25" hidden="false" customHeight="true" outlineLevel="0" collapsed="false">
      <c r="A81" s="194"/>
      <c r="B81" s="195"/>
      <c r="C81" s="196"/>
    </row>
    <row r="82" customFormat="false" ht="14.25" hidden="false" customHeight="true" outlineLevel="0" collapsed="false">
      <c r="A82" s="194"/>
      <c r="B82" s="195"/>
      <c r="C82" s="196"/>
    </row>
    <row r="83" customFormat="false" ht="14.25" hidden="false" customHeight="true" outlineLevel="0" collapsed="false">
      <c r="A83" s="194"/>
      <c r="B83" s="195"/>
      <c r="C83" s="196"/>
    </row>
    <row r="84" customFormat="false" ht="14.25" hidden="false" customHeight="true" outlineLevel="0" collapsed="false">
      <c r="A84" s="194"/>
      <c r="B84" s="195"/>
      <c r="C84" s="196"/>
    </row>
    <row r="85" customFormat="false" ht="14.25" hidden="false" customHeight="true" outlineLevel="0" collapsed="false">
      <c r="A85" s="194"/>
      <c r="B85" s="195"/>
      <c r="C85" s="196"/>
    </row>
    <row r="86" customFormat="false" ht="14.25" hidden="false" customHeight="true" outlineLevel="0" collapsed="false">
      <c r="A86" s="194"/>
      <c r="B86" s="195"/>
      <c r="C86" s="196"/>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671</v>
      </c>
      <c r="B1" s="197"/>
      <c r="C1" s="197"/>
      <c r="D1" s="197"/>
      <c r="E1" s="197"/>
      <c r="F1" s="197"/>
    </row>
    <row r="2" customFormat="false" ht="15" hidden="false" customHeight="true" outlineLevel="0" collapsed="false">
      <c r="A2" s="147" t="s">
        <v>672</v>
      </c>
      <c r="C2" s="198" t="n">
        <f aca="false">COUNTIF(F5:F500,"OVERDUE")</f>
        <v>7</v>
      </c>
    </row>
    <row r="4" customFormat="false" ht="27.75" hidden="false" customHeight="true" outlineLevel="0" collapsed="false">
      <c r="A4" s="149" t="s">
        <v>673</v>
      </c>
      <c r="B4" s="149" t="s">
        <v>674</v>
      </c>
      <c r="C4" s="149" t="s">
        <v>675</v>
      </c>
      <c r="D4" s="149" t="s">
        <v>676</v>
      </c>
      <c r="E4" s="149" t="s">
        <v>677</v>
      </c>
      <c r="F4" s="149" t="s">
        <v>465</v>
      </c>
    </row>
    <row r="5" customFormat="false" ht="15" hidden="false" customHeight="true" outlineLevel="0" collapsed="false">
      <c r="A5" s="153" t="s">
        <v>558</v>
      </c>
      <c r="B5" s="199" t="s">
        <v>678</v>
      </c>
      <c r="C5" s="153"/>
      <c r="D5" s="153"/>
      <c r="E5" s="200" t="n">
        <f aca="false">IFERROR(INDEX(Journal!$A:$A,MATCH($A5,Journal!$B:$B,0)),"")</f>
        <v>46295</v>
      </c>
      <c r="F5" s="153" t="str">
        <f aca="true">IF(C5="Y","Done",IF(AND(E5&lt;&gt;"",TODAY()&gt;E5),"OVERDUE","Pending"))</f>
        <v>OVERDUE</v>
      </c>
    </row>
    <row r="6" customFormat="false" ht="15" hidden="false" customHeight="true" outlineLevel="0" collapsed="false">
      <c r="A6" s="153" t="s">
        <v>558</v>
      </c>
      <c r="B6" s="199" t="s">
        <v>679</v>
      </c>
      <c r="C6" s="153"/>
      <c r="D6" s="153"/>
      <c r="E6" s="200" t="n">
        <f aca="false">IFERROR(INDEX(Journal!$A:$A,MATCH($A6,Journal!$B:$B,0)),"")</f>
        <v>46295</v>
      </c>
      <c r="F6" s="153" t="str">
        <f aca="true">IF(C6="Y","Done",IF(AND(E6&lt;&gt;"",TODAY()&gt;E6),"OVERDUE","Pending"))</f>
        <v>OVERDUE</v>
      </c>
    </row>
    <row r="7" customFormat="false" ht="15" hidden="false" customHeight="true" outlineLevel="0" collapsed="false">
      <c r="A7" s="153" t="s">
        <v>558</v>
      </c>
      <c r="B7" s="199" t="s">
        <v>680</v>
      </c>
      <c r="C7" s="153"/>
      <c r="D7" s="153"/>
      <c r="E7" s="200" t="n">
        <f aca="false">IFERROR(INDEX(Journal!$A:$A,MATCH($A7,Journal!$B:$B,0)),"")</f>
        <v>46295</v>
      </c>
      <c r="F7" s="153" t="str">
        <f aca="true">IF(C7="Y","Done",IF(AND(E7&lt;&gt;"",TODAY()&gt;E7),"OVERDUE","Pending"))</f>
        <v>OVERDUE</v>
      </c>
    </row>
    <row r="8" customFormat="false" ht="34.5" hidden="false" customHeight="true" outlineLevel="0" collapsed="false">
      <c r="A8" s="153" t="s">
        <v>558</v>
      </c>
      <c r="B8" s="199" t="s">
        <v>681</v>
      </c>
      <c r="C8" s="153"/>
      <c r="D8" s="153"/>
      <c r="E8" s="200" t="n">
        <f aca="false">IFERROR(INDEX(Journal!$A:$A,MATCH($A8,Journal!$B:$B,0)),"")</f>
        <v>46295</v>
      </c>
      <c r="F8" s="153" t="str">
        <f aca="true">IF(C8="Y","Done",IF(AND(E8&lt;&gt;"",TODAY()&gt;E8),"OVERDUE","Pending"))</f>
        <v>OVERDUE</v>
      </c>
    </row>
    <row r="9" customFormat="false" ht="15" hidden="false" customHeight="true" outlineLevel="0" collapsed="false">
      <c r="A9" s="153" t="s">
        <v>558</v>
      </c>
      <c r="B9" s="199" t="s">
        <v>682</v>
      </c>
      <c r="C9" s="153"/>
      <c r="D9" s="153"/>
      <c r="E9" s="200" t="n">
        <f aca="false">IFERROR(INDEX(Journal!$A:$A,MATCH($A9,Journal!$B:$B,0)),"")</f>
        <v>46295</v>
      </c>
      <c r="F9" s="153" t="str">
        <f aca="true">IF(C9="Y","Done",IF(AND(E9&lt;&gt;"",TODAY()&gt;E9),"OVERDUE","Pending"))</f>
        <v>OVERDUE</v>
      </c>
    </row>
    <row r="10" customFormat="false" ht="15" hidden="false" customHeight="true" outlineLevel="0" collapsed="false">
      <c r="A10" s="153" t="s">
        <v>558</v>
      </c>
      <c r="B10" s="199" t="s">
        <v>683</v>
      </c>
      <c r="C10" s="153"/>
      <c r="D10" s="153"/>
      <c r="E10" s="200" t="n">
        <f aca="false">IFERROR(INDEX(Journal!$A:$A,MATCH($A10,Journal!$B:$B,0)),"")</f>
        <v>46295</v>
      </c>
      <c r="F10" s="153" t="str">
        <f aca="true">IF(C10="Y","Done",IF(AND(E10&lt;&gt;"",TODAY()&gt;E10),"OVERDUE","Pending"))</f>
        <v>OVERDUE</v>
      </c>
    </row>
    <row r="11" customFormat="false" ht="15" hidden="false" customHeight="true" outlineLevel="0" collapsed="false">
      <c r="A11" s="153" t="s">
        <v>558</v>
      </c>
      <c r="B11" s="199" t="s">
        <v>684</v>
      </c>
      <c r="C11" s="153"/>
      <c r="D11" s="153"/>
      <c r="E11" s="200" t="n">
        <f aca="false">IFERROR(INDEX(Journal!$A:$A,MATCH($A11,Journal!$B:$B,0)),"")</f>
        <v>46295</v>
      </c>
      <c r="F11" s="153" t="str">
        <f aca="true">IF(C11="Y","Done",IF(AND(E11&lt;&gt;"",TODAY()&gt;E11),"OVERDUE","Pending"))</f>
        <v>OVERDUE</v>
      </c>
    </row>
    <row r="12" customFormat="false" ht="23.25" hidden="false" customHeight="true" outlineLevel="0" collapsed="false">
      <c r="A12" s="153" t="s">
        <v>562</v>
      </c>
      <c r="B12" s="199" t="s">
        <v>685</v>
      </c>
      <c r="C12" s="153"/>
      <c r="D12" s="153"/>
      <c r="E12" s="200" t="n">
        <f aca="false">IFERROR(INDEX(Journal!$A:$A,MATCH($A12,Journal!$B:$B,0)),"")</f>
        <v>46320</v>
      </c>
      <c r="F12" s="153" t="str">
        <f aca="true">IF(C12="Y","Done",IF(AND(E12&lt;&gt;"",TODAY()&gt;E12),"OVERDUE","Pending"))</f>
        <v>Pending</v>
      </c>
    </row>
    <row r="13" customFormat="false" ht="15" hidden="false" customHeight="true" outlineLevel="0" collapsed="false">
      <c r="A13" s="153" t="s">
        <v>562</v>
      </c>
      <c r="B13" s="199" t="s">
        <v>686</v>
      </c>
      <c r="C13" s="153"/>
      <c r="D13" s="153"/>
      <c r="E13" s="200" t="n">
        <f aca="false">IFERROR(INDEX(Journal!$A:$A,MATCH($A13,Journal!$B:$B,0)),"")</f>
        <v>46320</v>
      </c>
      <c r="F13" s="153" t="str">
        <f aca="true">IF(C13="Y","Done",IF(AND(E13&lt;&gt;"",TODAY()&gt;E13),"OVERDUE","Pending"))</f>
        <v>Pending</v>
      </c>
    </row>
    <row r="14" customFormat="false" ht="23.25" hidden="false" customHeight="true" outlineLevel="0" collapsed="false">
      <c r="A14" s="153" t="s">
        <v>562</v>
      </c>
      <c r="B14" s="199" t="s">
        <v>687</v>
      </c>
      <c r="C14" s="153"/>
      <c r="D14" s="153"/>
      <c r="E14" s="200" t="n">
        <f aca="false">IFERROR(INDEX(Journal!$A:$A,MATCH($A14,Journal!$B:$B,0)),"")</f>
        <v>46320</v>
      </c>
      <c r="F14" s="153" t="str">
        <f aca="true">IF(C14="Y","Done",IF(AND(E14&lt;&gt;"",TODAY()&gt;E14),"OVERDUE","Pending"))</f>
        <v>Pending</v>
      </c>
    </row>
    <row r="15" customFormat="false" ht="34.5" hidden="false" customHeight="true" outlineLevel="0" collapsed="false">
      <c r="A15" s="153" t="s">
        <v>562</v>
      </c>
      <c r="B15" s="199" t="s">
        <v>681</v>
      </c>
      <c r="C15" s="153"/>
      <c r="D15" s="153"/>
      <c r="E15" s="200" t="n">
        <f aca="false">IFERROR(INDEX(Journal!$A:$A,MATCH($A15,Journal!$B:$B,0)),"")</f>
        <v>46320</v>
      </c>
      <c r="F15" s="153" t="str">
        <f aca="true">IF(C15="Y","Done",IF(AND(E15&lt;&gt;"",TODAY()&gt;E15),"OVERDUE","Pending"))</f>
        <v>Pending</v>
      </c>
    </row>
    <row r="16" customFormat="false" ht="15" hidden="false" customHeight="true" outlineLevel="0" collapsed="false">
      <c r="A16" s="153" t="s">
        <v>562</v>
      </c>
      <c r="B16" s="199" t="s">
        <v>682</v>
      </c>
      <c r="C16" s="153"/>
      <c r="D16" s="153"/>
      <c r="E16" s="200" t="n">
        <f aca="false">IFERROR(INDEX(Journal!$A:$A,MATCH($A16,Journal!$B:$B,0)),"")</f>
        <v>46320</v>
      </c>
      <c r="F16" s="153" t="str">
        <f aca="true">IF(C16="Y","Done",IF(AND(E16&lt;&gt;"",TODAY()&gt;E16),"OVERDUE","Pending"))</f>
        <v>Pending</v>
      </c>
    </row>
    <row r="17" customFormat="false" ht="15" hidden="false" customHeight="true" outlineLevel="0" collapsed="false">
      <c r="A17" s="153" t="s">
        <v>562</v>
      </c>
      <c r="B17" s="199" t="s">
        <v>683</v>
      </c>
      <c r="C17" s="153"/>
      <c r="D17" s="153"/>
      <c r="E17" s="200" t="n">
        <f aca="false">IFERROR(INDEX(Journal!$A:$A,MATCH($A17,Journal!$B:$B,0)),"")</f>
        <v>46320</v>
      </c>
      <c r="F17" s="153" t="str">
        <f aca="true">IF(C17="Y","Done",IF(AND(E17&lt;&gt;"",TODAY()&gt;E17),"OVERDUE","Pending"))</f>
        <v>Pending</v>
      </c>
    </row>
    <row r="18" customFormat="false" ht="15" hidden="false" customHeight="true" outlineLevel="0" collapsed="false">
      <c r="A18" s="153" t="s">
        <v>562</v>
      </c>
      <c r="B18" s="199" t="s">
        <v>684</v>
      </c>
      <c r="C18" s="153"/>
      <c r="D18" s="153"/>
      <c r="E18" s="200" t="n">
        <f aca="false">IFERROR(INDEX(Journal!$A:$A,MATCH($A18,Journal!$B:$B,0)),"")</f>
        <v>46320</v>
      </c>
      <c r="F18" s="153" t="str">
        <f aca="true">IF(C18="Y","Done",IF(AND(E18&lt;&gt;"",TODAY()&gt;E18),"OVERDUE","Pending"))</f>
        <v>Pending</v>
      </c>
    </row>
    <row r="19" customFormat="false" ht="15" hidden="false" customHeight="true" outlineLevel="0" collapsed="false">
      <c r="A19" s="153" t="s">
        <v>566</v>
      </c>
      <c r="B19" s="199" t="s">
        <v>678</v>
      </c>
      <c r="C19" s="153"/>
      <c r="D19" s="153"/>
      <c r="E19" s="200" t="n">
        <f aca="false">IFERROR(INDEX(Journal!$A:$A,MATCH($A19,Journal!$B:$B,0)),"")</f>
        <v>46387</v>
      </c>
      <c r="F19" s="153" t="str">
        <f aca="true">IF(C19="Y","Done",IF(AND(E19&lt;&gt;"",TODAY()&gt;E19),"OVERDUE","Pending"))</f>
        <v>Pending</v>
      </c>
    </row>
    <row r="20" customFormat="false" ht="15" hidden="false" customHeight="true" outlineLevel="0" collapsed="false">
      <c r="A20" s="153" t="s">
        <v>566</v>
      </c>
      <c r="B20" s="199" t="s">
        <v>679</v>
      </c>
      <c r="C20" s="153"/>
      <c r="D20" s="153"/>
      <c r="E20" s="200" t="n">
        <f aca="false">IFERROR(INDEX(Journal!$A:$A,MATCH($A20,Journal!$B:$B,0)),"")</f>
        <v>46387</v>
      </c>
      <c r="F20" s="153" t="str">
        <f aca="true">IF(C20="Y","Done",IF(AND(E20&lt;&gt;"",TODAY()&gt;E20),"OVERDUE","Pending"))</f>
        <v>Pending</v>
      </c>
    </row>
    <row r="21" customFormat="false" ht="15" hidden="false" customHeight="true" outlineLevel="0" collapsed="false">
      <c r="A21" s="153" t="s">
        <v>566</v>
      </c>
      <c r="B21" s="199" t="s">
        <v>680</v>
      </c>
      <c r="C21" s="153"/>
      <c r="D21" s="153"/>
      <c r="E21" s="200" t="n">
        <f aca="false">IFERROR(INDEX(Journal!$A:$A,MATCH($A21,Journal!$B:$B,0)),"")</f>
        <v>46387</v>
      </c>
      <c r="F21" s="153" t="str">
        <f aca="true">IF(C21="Y","Done",IF(AND(E21&lt;&gt;"",TODAY()&gt;E21),"OVERDUE","Pending"))</f>
        <v>Pending</v>
      </c>
    </row>
    <row r="22" customFormat="false" ht="34.5" hidden="false" customHeight="true" outlineLevel="0" collapsed="false">
      <c r="A22" s="153" t="s">
        <v>566</v>
      </c>
      <c r="B22" s="199" t="s">
        <v>681</v>
      </c>
      <c r="C22" s="153"/>
      <c r="D22" s="153"/>
      <c r="E22" s="200" t="n">
        <f aca="false">IFERROR(INDEX(Journal!$A:$A,MATCH($A22,Journal!$B:$B,0)),"")</f>
        <v>46387</v>
      </c>
      <c r="F22" s="153" t="str">
        <f aca="true">IF(C22="Y","Done",IF(AND(E22&lt;&gt;"",TODAY()&gt;E22),"OVERDUE","Pending"))</f>
        <v>Pending</v>
      </c>
    </row>
    <row r="23" customFormat="false" ht="15" hidden="false" customHeight="true" outlineLevel="0" collapsed="false">
      <c r="A23" s="153" t="s">
        <v>566</v>
      </c>
      <c r="B23" s="199" t="s">
        <v>682</v>
      </c>
      <c r="C23" s="153"/>
      <c r="D23" s="153"/>
      <c r="E23" s="200" t="n">
        <f aca="false">IFERROR(INDEX(Journal!$A:$A,MATCH($A23,Journal!$B:$B,0)),"")</f>
        <v>46387</v>
      </c>
      <c r="F23" s="153" t="str">
        <f aca="true">IF(C23="Y","Done",IF(AND(E23&lt;&gt;"",TODAY()&gt;E23),"OVERDUE","Pending"))</f>
        <v>Pending</v>
      </c>
    </row>
    <row r="24" customFormat="false" ht="15" hidden="false" customHeight="true" outlineLevel="0" collapsed="false">
      <c r="A24" s="153" t="s">
        <v>566</v>
      </c>
      <c r="B24" s="199" t="s">
        <v>683</v>
      </c>
      <c r="C24" s="153"/>
      <c r="D24" s="153"/>
      <c r="E24" s="200" t="n">
        <f aca="false">IFERROR(INDEX(Journal!$A:$A,MATCH($A24,Journal!$B:$B,0)),"")</f>
        <v>46387</v>
      </c>
      <c r="F24" s="153" t="str">
        <f aca="true">IF(C24="Y","Done",IF(AND(E24&lt;&gt;"",TODAY()&gt;E24),"OVERDUE","Pending"))</f>
        <v>Pending</v>
      </c>
    </row>
    <row r="25" customFormat="false" ht="15" hidden="false" customHeight="true" outlineLevel="0" collapsed="false">
      <c r="A25" s="153" t="s">
        <v>566</v>
      </c>
      <c r="B25" s="199" t="s">
        <v>684</v>
      </c>
      <c r="C25" s="153"/>
      <c r="D25" s="153"/>
      <c r="E25" s="200" t="n">
        <f aca="false">IFERROR(INDEX(Journal!$A:$A,MATCH($A25,Journal!$B:$B,0)),"")</f>
        <v>46387</v>
      </c>
      <c r="F25" s="153" t="str">
        <f aca="true">IF(C25="Y","Done",IF(AND(E25&lt;&gt;"",TODAY()&gt;E25),"OVERDUE","Pending"))</f>
        <v>Pending</v>
      </c>
    </row>
    <row r="26" customFormat="false" ht="15" hidden="false" customHeight="true" outlineLevel="0" collapsed="false">
      <c r="A26" s="153" t="s">
        <v>568</v>
      </c>
      <c r="B26" s="199" t="s">
        <v>688</v>
      </c>
      <c r="C26" s="153"/>
      <c r="D26" s="153"/>
      <c r="E26" s="200" t="n">
        <f aca="false">IFERROR(INDEX(Journal!$A:$A,MATCH($A26,Journal!$B:$B,0)),"")</f>
        <v>46412</v>
      </c>
      <c r="F26" s="153" t="str">
        <f aca="true">IF(C26="Y","Done",IF(AND(E26&lt;&gt;"",TODAY()&gt;E26),"OVERDUE","Pending"))</f>
        <v>Pending</v>
      </c>
    </row>
    <row r="27" customFormat="false" ht="23.25" hidden="false" customHeight="true" outlineLevel="0" collapsed="false">
      <c r="A27" s="153" t="s">
        <v>568</v>
      </c>
      <c r="B27" s="199" t="s">
        <v>689</v>
      </c>
      <c r="C27" s="153"/>
      <c r="D27" s="153"/>
      <c r="E27" s="200" t="n">
        <f aca="false">IFERROR(INDEX(Journal!$A:$A,MATCH($A27,Journal!$B:$B,0)),"")</f>
        <v>46412</v>
      </c>
      <c r="F27" s="153" t="str">
        <f aca="true">IF(C27="Y","Done",IF(AND(E27&lt;&gt;"",TODAY()&gt;E27),"OVERDUE","Pending"))</f>
        <v>Pending</v>
      </c>
    </row>
    <row r="28" customFormat="false" ht="34.5" hidden="false" customHeight="true" outlineLevel="0" collapsed="false">
      <c r="A28" s="153" t="s">
        <v>568</v>
      </c>
      <c r="B28" s="199" t="s">
        <v>681</v>
      </c>
      <c r="C28" s="153"/>
      <c r="D28" s="153"/>
      <c r="E28" s="200" t="n">
        <f aca="false">IFERROR(INDEX(Journal!$A:$A,MATCH($A28,Journal!$B:$B,0)),"")</f>
        <v>46412</v>
      </c>
      <c r="F28" s="153" t="str">
        <f aca="true">IF(C28="Y","Done",IF(AND(E28&lt;&gt;"",TODAY()&gt;E28),"OVERDUE","Pending"))</f>
        <v>Pending</v>
      </c>
    </row>
    <row r="29" customFormat="false" ht="15" hidden="false" customHeight="true" outlineLevel="0" collapsed="false">
      <c r="A29" s="153" t="s">
        <v>568</v>
      </c>
      <c r="B29" s="199" t="s">
        <v>682</v>
      </c>
      <c r="C29" s="153"/>
      <c r="D29" s="153"/>
      <c r="E29" s="200" t="n">
        <f aca="false">IFERROR(INDEX(Journal!$A:$A,MATCH($A29,Journal!$B:$B,0)),"")</f>
        <v>46412</v>
      </c>
      <c r="F29" s="153" t="str">
        <f aca="true">IF(C29="Y","Done",IF(AND(E29&lt;&gt;"",TODAY()&gt;E29),"OVERDUE","Pending"))</f>
        <v>Pending</v>
      </c>
    </row>
    <row r="30" customFormat="false" ht="15" hidden="false" customHeight="true" outlineLevel="0" collapsed="false">
      <c r="A30" s="153" t="s">
        <v>568</v>
      </c>
      <c r="B30" s="199" t="s">
        <v>683</v>
      </c>
      <c r="C30" s="153"/>
      <c r="D30" s="153"/>
      <c r="E30" s="200" t="n">
        <f aca="false">IFERROR(INDEX(Journal!$A:$A,MATCH($A30,Journal!$B:$B,0)),"")</f>
        <v>46412</v>
      </c>
      <c r="F30" s="153" t="str">
        <f aca="true">IF(C30="Y","Done",IF(AND(E30&lt;&gt;"",TODAY()&gt;E30),"OVERDUE","Pending"))</f>
        <v>Pending</v>
      </c>
    </row>
    <row r="31" customFormat="false" ht="15" hidden="false" customHeight="true" outlineLevel="0" collapsed="false">
      <c r="A31" s="153" t="s">
        <v>568</v>
      </c>
      <c r="B31" s="199" t="s">
        <v>684</v>
      </c>
      <c r="C31" s="153"/>
      <c r="D31" s="153"/>
      <c r="E31" s="200" t="n">
        <f aca="false">IFERROR(INDEX(Journal!$A:$A,MATCH($A31,Journal!$B:$B,0)),"")</f>
        <v>46412</v>
      </c>
      <c r="F31" s="153" t="str">
        <f aca="true">IF(C31="Y","Done",IF(AND(E31&lt;&gt;"",TODAY()&gt;E31),"OVERDUE","Pending"))</f>
        <v>Pending</v>
      </c>
    </row>
    <row r="32" customFormat="false" ht="15" hidden="false" customHeight="true" outlineLevel="0" collapsed="false">
      <c r="A32" s="153" t="s">
        <v>609</v>
      </c>
      <c r="B32" s="199" t="s">
        <v>690</v>
      </c>
      <c r="C32" s="153" t="s">
        <v>214</v>
      </c>
      <c r="D32" s="201" t="n">
        <v>46295</v>
      </c>
      <c r="E32" s="200" t="n">
        <f aca="false">IFERROR(INDEX(Journal!$A:$A,MATCH($A32,Journal!$B:$B,0)),"")</f>
        <v>46295</v>
      </c>
      <c r="F32" s="153" t="str">
        <f aca="true">IF(C32="Y","Done",IF(AND(E32&lt;&gt;"",TODAY()&gt;E32),"OVERDUE","Pending"))</f>
        <v>Done</v>
      </c>
    </row>
    <row r="33" customFormat="false" ht="15" hidden="false" customHeight="true" outlineLevel="0" collapsed="false">
      <c r="A33" s="153" t="s">
        <v>609</v>
      </c>
      <c r="B33" s="199" t="s">
        <v>691</v>
      </c>
      <c r="C33" s="153" t="s">
        <v>214</v>
      </c>
      <c r="D33" s="201" t="n">
        <v>46295</v>
      </c>
      <c r="E33" s="200" t="n">
        <f aca="false">IFERROR(INDEX(Journal!$A:$A,MATCH($A33,Journal!$B:$B,0)),"")</f>
        <v>46295</v>
      </c>
      <c r="F33" s="153" t="str">
        <f aca="true">IF(C33="Y","Done",IF(AND(E33&lt;&gt;"",TODAY()&gt;E33),"OVERDUE","Pending"))</f>
        <v>Done</v>
      </c>
    </row>
    <row r="34" customFormat="false" ht="45.75" hidden="false" customHeight="true" outlineLevel="0" collapsed="false">
      <c r="A34" s="153" t="s">
        <v>609</v>
      </c>
      <c r="B34" s="199" t="s">
        <v>692</v>
      </c>
      <c r="C34" s="153" t="s">
        <v>214</v>
      </c>
      <c r="D34" s="201" t="n">
        <v>46295</v>
      </c>
      <c r="E34" s="200" t="n">
        <f aca="false">IFERROR(INDEX(Journal!$A:$A,MATCH($A34,Journal!$B:$B,0)),"")</f>
        <v>46295</v>
      </c>
      <c r="F34" s="153" t="str">
        <f aca="true">IF(C34="Y","Done",IF(AND(E34&lt;&gt;"",TODAY()&gt;E34),"OVERDUE","Pending"))</f>
        <v>Done</v>
      </c>
    </row>
    <row r="35" customFormat="false" ht="15" hidden="false" customHeight="true" outlineLevel="0" collapsed="false">
      <c r="A35" s="153" t="s">
        <v>609</v>
      </c>
      <c r="B35" s="199" t="s">
        <v>693</v>
      </c>
      <c r="C35" s="153" t="s">
        <v>214</v>
      </c>
      <c r="D35" s="201" t="n">
        <v>46295</v>
      </c>
      <c r="E35" s="200" t="n">
        <f aca="false">IFERROR(INDEX(Journal!$A:$A,MATCH($A35,Journal!$B:$B,0)),"")</f>
        <v>46295</v>
      </c>
      <c r="F35" s="153" t="str">
        <f aca="true">IF(C35="Y","Done",IF(AND(E35&lt;&gt;"",TODAY()&gt;E35),"OVERDUE","Pending"))</f>
        <v>Done</v>
      </c>
    </row>
    <row r="36" customFormat="false" ht="34.5" hidden="false" customHeight="true" outlineLevel="0" collapsed="false">
      <c r="A36" s="153" t="s">
        <v>609</v>
      </c>
      <c r="B36" s="199" t="s">
        <v>694</v>
      </c>
      <c r="C36" s="153" t="s">
        <v>214</v>
      </c>
      <c r="D36" s="201" t="n">
        <v>46295</v>
      </c>
      <c r="E36" s="200" t="n">
        <f aca="false">IFERROR(INDEX(Journal!$A:$A,MATCH($A36,Journal!$B:$B,0)),"")</f>
        <v>46295</v>
      </c>
      <c r="F36" s="153" t="str">
        <f aca="true">IF(C36="Y","Done",IF(AND(E36&lt;&gt;"",TODAY()&gt;E36),"OVERDUE","Pending"))</f>
        <v>Done</v>
      </c>
    </row>
    <row r="37" customFormat="false" ht="15" hidden="false" customHeight="true" outlineLevel="0" collapsed="false">
      <c r="A37" s="153" t="s">
        <v>609</v>
      </c>
      <c r="B37" s="199" t="s">
        <v>695</v>
      </c>
      <c r="C37" s="153" t="s">
        <v>214</v>
      </c>
      <c r="D37" s="201" t="n">
        <v>46295</v>
      </c>
      <c r="E37" s="200" t="n">
        <f aca="false">IFERROR(INDEX(Journal!$A:$A,MATCH($A37,Journal!$B:$B,0)),"")</f>
        <v>46295</v>
      </c>
      <c r="F37" s="153" t="str">
        <f aca="true">IF(C37="Y","Done",IF(AND(E37&lt;&gt;"",TODAY()&gt;E37),"OVERDUE","Pending"))</f>
        <v>Done</v>
      </c>
    </row>
    <row r="38" customFormat="false" ht="15" hidden="false" customHeight="true" outlineLevel="0" collapsed="false">
      <c r="A38" s="153" t="s">
        <v>609</v>
      </c>
      <c r="B38" s="199" t="s">
        <v>682</v>
      </c>
      <c r="C38" s="153" t="s">
        <v>214</v>
      </c>
      <c r="D38" s="201" t="n">
        <v>46295</v>
      </c>
      <c r="E38" s="200" t="n">
        <f aca="false">IFERROR(INDEX(Journal!$A:$A,MATCH($A38,Journal!$B:$B,0)),"")</f>
        <v>46295</v>
      </c>
      <c r="F38" s="153" t="str">
        <f aca="true">IF(C38="Y","Done",IF(AND(E38&lt;&gt;"",TODAY()&gt;E38),"OVERDUE","Pending"))</f>
        <v>Done</v>
      </c>
    </row>
    <row r="39" customFormat="false" ht="15" hidden="false" customHeight="true" outlineLevel="0" collapsed="false">
      <c r="A39" s="153" t="s">
        <v>609</v>
      </c>
      <c r="B39" s="199" t="s">
        <v>683</v>
      </c>
      <c r="C39" s="153" t="s">
        <v>214</v>
      </c>
      <c r="D39" s="201" t="n">
        <v>46295</v>
      </c>
      <c r="E39" s="200" t="n">
        <f aca="false">IFERROR(INDEX(Journal!$A:$A,MATCH($A39,Journal!$B:$B,0)),"")</f>
        <v>46295</v>
      </c>
      <c r="F39" s="153" t="str">
        <f aca="true">IF(C39="Y","Done",IF(AND(E39&lt;&gt;"",TODAY()&gt;E39),"OVERDUE","Pending"))</f>
        <v>Done</v>
      </c>
    </row>
    <row r="40" customFormat="false" ht="15" hidden="false" customHeight="true" outlineLevel="0" collapsed="false">
      <c r="A40" s="153" t="s">
        <v>609</v>
      </c>
      <c r="B40" s="199" t="s">
        <v>684</v>
      </c>
      <c r="C40" s="153" t="s">
        <v>214</v>
      </c>
      <c r="D40" s="201" t="n">
        <v>46295</v>
      </c>
      <c r="E40" s="200" t="n">
        <f aca="false">IFERROR(INDEX(Journal!$A:$A,MATCH($A40,Journal!$B:$B,0)),"")</f>
        <v>46295</v>
      </c>
      <c r="F40" s="153" t="str">
        <f aca="true">IF(C40="Y","Done",IF(AND(E40&lt;&gt;"",TODAY()&gt;E40),"OVERDUE","Pending"))</f>
        <v>Done</v>
      </c>
    </row>
    <row r="41" customFormat="false" ht="15" hidden="false" customHeight="true" outlineLevel="0" collapsed="false">
      <c r="A41" s="153" t="s">
        <v>611</v>
      </c>
      <c r="B41" s="199" t="s">
        <v>690</v>
      </c>
      <c r="C41" s="153"/>
      <c r="D41" s="153"/>
      <c r="E41" s="200" t="n">
        <f aca="false">IFERROR(INDEX(Journal!$A:$A,MATCH($A41,Journal!$B:$B,0)),"")</f>
        <v>46302</v>
      </c>
      <c r="F41" s="153" t="str">
        <f aca="true">IF(C41="Y","Done",IF(AND(E41&lt;&gt;"",TODAY()&gt;E41),"OVERDUE","Pending"))</f>
        <v>Pending</v>
      </c>
    </row>
    <row r="42" customFormat="false" ht="15" hidden="false" customHeight="true" outlineLevel="0" collapsed="false">
      <c r="A42" s="153" t="s">
        <v>611</v>
      </c>
      <c r="B42" s="199" t="s">
        <v>691</v>
      </c>
      <c r="C42" s="153"/>
      <c r="D42" s="153"/>
      <c r="E42" s="200" t="n">
        <f aca="false">IFERROR(INDEX(Journal!$A:$A,MATCH($A42,Journal!$B:$B,0)),"")</f>
        <v>46302</v>
      </c>
      <c r="F42" s="153" t="str">
        <f aca="true">IF(C42="Y","Done",IF(AND(E42&lt;&gt;"",TODAY()&gt;E42),"OVERDUE","Pending"))</f>
        <v>Pending</v>
      </c>
    </row>
    <row r="43" customFormat="false" ht="45.75" hidden="false" customHeight="true" outlineLevel="0" collapsed="false">
      <c r="A43" s="153" t="s">
        <v>611</v>
      </c>
      <c r="B43" s="199" t="s">
        <v>692</v>
      </c>
      <c r="C43" s="153"/>
      <c r="D43" s="153"/>
      <c r="E43" s="200" t="n">
        <f aca="false">IFERROR(INDEX(Journal!$A:$A,MATCH($A43,Journal!$B:$B,0)),"")</f>
        <v>46302</v>
      </c>
      <c r="F43" s="153" t="str">
        <f aca="true">IF(C43="Y","Done",IF(AND(E43&lt;&gt;"",TODAY()&gt;E43),"OVERDUE","Pending"))</f>
        <v>Pending</v>
      </c>
    </row>
    <row r="44" customFormat="false" ht="15" hidden="false" customHeight="true" outlineLevel="0" collapsed="false">
      <c r="A44" s="153" t="s">
        <v>611</v>
      </c>
      <c r="B44" s="199" t="s">
        <v>693</v>
      </c>
      <c r="C44" s="153"/>
      <c r="D44" s="153"/>
      <c r="E44" s="200" t="n">
        <f aca="false">IFERROR(INDEX(Journal!$A:$A,MATCH($A44,Journal!$B:$B,0)),"")</f>
        <v>46302</v>
      </c>
      <c r="F44" s="153" t="str">
        <f aca="true">IF(C44="Y","Done",IF(AND(E44&lt;&gt;"",TODAY()&gt;E44),"OVERDUE","Pending"))</f>
        <v>Pending</v>
      </c>
    </row>
    <row r="45" customFormat="false" ht="34.5" hidden="false" customHeight="true" outlineLevel="0" collapsed="false">
      <c r="A45" s="153" t="s">
        <v>611</v>
      </c>
      <c r="B45" s="199" t="s">
        <v>694</v>
      </c>
      <c r="C45" s="153"/>
      <c r="D45" s="153"/>
      <c r="E45" s="200" t="n">
        <f aca="false">IFERROR(INDEX(Journal!$A:$A,MATCH($A45,Journal!$B:$B,0)),"")</f>
        <v>46302</v>
      </c>
      <c r="F45" s="153" t="str">
        <f aca="true">IF(C45="Y","Done",IF(AND(E45&lt;&gt;"",TODAY()&gt;E45),"OVERDUE","Pending"))</f>
        <v>Pending</v>
      </c>
    </row>
    <row r="46" customFormat="false" ht="34.5" hidden="false" customHeight="true" outlineLevel="0" collapsed="false">
      <c r="A46" s="153" t="s">
        <v>611</v>
      </c>
      <c r="B46" s="199" t="s">
        <v>696</v>
      </c>
      <c r="C46" s="153"/>
      <c r="D46" s="153"/>
      <c r="E46" s="200" t="n">
        <f aca="false">IFERROR(INDEX(Journal!$A:$A,MATCH($A46,Journal!$B:$B,0)),"")</f>
        <v>46302</v>
      </c>
      <c r="F46" s="153" t="str">
        <f aca="true">IF(C46="Y","Done",IF(AND(E46&lt;&gt;"",TODAY()&gt;E46),"OVERDUE","Pending"))</f>
        <v>Pending</v>
      </c>
    </row>
    <row r="47" customFormat="false" ht="34.5" hidden="false" customHeight="true" outlineLevel="0" collapsed="false">
      <c r="A47" s="153" t="s">
        <v>611</v>
      </c>
      <c r="B47" s="199" t="s">
        <v>697</v>
      </c>
      <c r="C47" s="153"/>
      <c r="D47" s="153"/>
      <c r="E47" s="200" t="n">
        <f aca="false">IFERROR(INDEX(Journal!$A:$A,MATCH($A47,Journal!$B:$B,0)),"")</f>
        <v>46302</v>
      </c>
      <c r="F47" s="153" t="str">
        <f aca="true">IF(C47="Y","Done",IF(AND(E47&lt;&gt;"",TODAY()&gt;E47),"OVERDUE","Pending"))</f>
        <v>Pending</v>
      </c>
    </row>
    <row r="48" customFormat="false" ht="15" hidden="false" customHeight="true" outlineLevel="0" collapsed="false">
      <c r="A48" s="153" t="s">
        <v>611</v>
      </c>
      <c r="B48" s="199" t="s">
        <v>695</v>
      </c>
      <c r="C48" s="153"/>
      <c r="D48" s="153"/>
      <c r="E48" s="200" t="n">
        <f aca="false">IFERROR(INDEX(Journal!$A:$A,MATCH($A48,Journal!$B:$B,0)),"")</f>
        <v>46302</v>
      </c>
      <c r="F48" s="153" t="str">
        <f aca="true">IF(C48="Y","Done",IF(AND(E48&lt;&gt;"",TODAY()&gt;E48),"OVERDUE","Pending"))</f>
        <v>Pending</v>
      </c>
    </row>
    <row r="49" customFormat="false" ht="15" hidden="false" customHeight="true" outlineLevel="0" collapsed="false">
      <c r="A49" s="153" t="s">
        <v>611</v>
      </c>
      <c r="B49" s="199" t="s">
        <v>682</v>
      </c>
      <c r="C49" s="153"/>
      <c r="D49" s="153"/>
      <c r="E49" s="200" t="n">
        <f aca="false">IFERROR(INDEX(Journal!$A:$A,MATCH($A49,Journal!$B:$B,0)),"")</f>
        <v>46302</v>
      </c>
      <c r="F49" s="153" t="str">
        <f aca="true">IF(C49="Y","Done",IF(AND(E49&lt;&gt;"",TODAY()&gt;E49),"OVERDUE","Pending"))</f>
        <v>Pending</v>
      </c>
    </row>
    <row r="50" customFormat="false" ht="15" hidden="false" customHeight="true" outlineLevel="0" collapsed="false">
      <c r="A50" s="153" t="s">
        <v>611</v>
      </c>
      <c r="B50" s="199" t="s">
        <v>683</v>
      </c>
      <c r="C50" s="153"/>
      <c r="D50" s="153"/>
      <c r="E50" s="200" t="n">
        <f aca="false">IFERROR(INDEX(Journal!$A:$A,MATCH($A50,Journal!$B:$B,0)),"")</f>
        <v>46302</v>
      </c>
      <c r="F50" s="153" t="str">
        <f aca="true">IF(C50="Y","Done",IF(AND(E50&lt;&gt;"",TODAY()&gt;E50),"OVERDUE","Pending"))</f>
        <v>Pending</v>
      </c>
    </row>
    <row r="51" customFormat="false" ht="15" hidden="false" customHeight="true" outlineLevel="0" collapsed="false">
      <c r="A51" s="153" t="s">
        <v>611</v>
      </c>
      <c r="B51" s="199" t="s">
        <v>684</v>
      </c>
      <c r="C51" s="153"/>
      <c r="D51" s="153"/>
      <c r="E51" s="200" t="n">
        <f aca="false">IFERROR(INDEX(Journal!$A:$A,MATCH($A51,Journal!$B:$B,0)),"")</f>
        <v>46302</v>
      </c>
      <c r="F51" s="153" t="str">
        <f aca="true">IF(C51="Y","Done",IF(AND(E51&lt;&gt;"",TODAY()&gt;E51),"OVERDUE","Pending"))</f>
        <v>Pending</v>
      </c>
    </row>
    <row r="52" customFormat="false" ht="15" hidden="false" customHeight="true" outlineLevel="0" collapsed="false">
      <c r="A52" s="153" t="s">
        <v>613</v>
      </c>
      <c r="B52" s="199" t="s">
        <v>690</v>
      </c>
      <c r="C52" s="153"/>
      <c r="D52" s="153"/>
      <c r="E52" s="200" t="n">
        <f aca="false">IFERROR(INDEX(Journal!$A:$A,MATCH($A52,Journal!$B:$B,0)),"")</f>
        <v>46317</v>
      </c>
      <c r="F52" s="153" t="str">
        <f aca="true">IF(C52="Y","Done",IF(AND(E52&lt;&gt;"",TODAY()&gt;E52),"OVERDUE","Pending"))</f>
        <v>Pending</v>
      </c>
    </row>
    <row r="53" customFormat="false" ht="15" hidden="false" customHeight="true" outlineLevel="0" collapsed="false">
      <c r="A53" s="153" t="s">
        <v>613</v>
      </c>
      <c r="B53" s="199" t="s">
        <v>691</v>
      </c>
      <c r="C53" s="153"/>
      <c r="D53" s="153"/>
      <c r="E53" s="200" t="n">
        <f aca="false">IFERROR(INDEX(Journal!$A:$A,MATCH($A53,Journal!$B:$B,0)),"")</f>
        <v>46317</v>
      </c>
      <c r="F53" s="153" t="str">
        <f aca="true">IF(C53="Y","Done",IF(AND(E53&lt;&gt;"",TODAY()&gt;E53),"OVERDUE","Pending"))</f>
        <v>Pending</v>
      </c>
    </row>
    <row r="54" customFormat="false" ht="45.75" hidden="false" customHeight="true" outlineLevel="0" collapsed="false">
      <c r="A54" s="153" t="s">
        <v>613</v>
      </c>
      <c r="B54" s="199" t="s">
        <v>692</v>
      </c>
      <c r="C54" s="153"/>
      <c r="D54" s="153"/>
      <c r="E54" s="200" t="n">
        <f aca="false">IFERROR(INDEX(Journal!$A:$A,MATCH($A54,Journal!$B:$B,0)),"")</f>
        <v>46317</v>
      </c>
      <c r="F54" s="153" t="str">
        <f aca="true">IF(C54="Y","Done",IF(AND(E54&lt;&gt;"",TODAY()&gt;E54),"OVERDUE","Pending"))</f>
        <v>Pending</v>
      </c>
    </row>
    <row r="55" customFormat="false" ht="15" hidden="false" customHeight="true" outlineLevel="0" collapsed="false">
      <c r="A55" s="153" t="s">
        <v>613</v>
      </c>
      <c r="B55" s="199" t="s">
        <v>693</v>
      </c>
      <c r="C55" s="153"/>
      <c r="D55" s="153"/>
      <c r="E55" s="200" t="n">
        <f aca="false">IFERROR(INDEX(Journal!$A:$A,MATCH($A55,Journal!$B:$B,0)),"")</f>
        <v>46317</v>
      </c>
      <c r="F55" s="153" t="str">
        <f aca="true">IF(C55="Y","Done",IF(AND(E55&lt;&gt;"",TODAY()&gt;E55),"OVERDUE","Pending"))</f>
        <v>Pending</v>
      </c>
    </row>
    <row r="56" customFormat="false" ht="34.5" hidden="false" customHeight="true" outlineLevel="0" collapsed="false">
      <c r="A56" s="153" t="s">
        <v>613</v>
      </c>
      <c r="B56" s="199" t="s">
        <v>694</v>
      </c>
      <c r="C56" s="153"/>
      <c r="D56" s="153"/>
      <c r="E56" s="200" t="n">
        <f aca="false">IFERROR(INDEX(Journal!$A:$A,MATCH($A56,Journal!$B:$B,0)),"")</f>
        <v>46317</v>
      </c>
      <c r="F56" s="153" t="str">
        <f aca="true">IF(C56="Y","Done",IF(AND(E56&lt;&gt;"",TODAY()&gt;E56),"OVERDUE","Pending"))</f>
        <v>Pending</v>
      </c>
    </row>
    <row r="57" customFormat="false" ht="34.5" hidden="false" customHeight="true" outlineLevel="0" collapsed="false">
      <c r="A57" s="153" t="s">
        <v>613</v>
      </c>
      <c r="B57" s="199" t="s">
        <v>696</v>
      </c>
      <c r="C57" s="153"/>
      <c r="D57" s="153"/>
      <c r="E57" s="200" t="n">
        <f aca="false">IFERROR(INDEX(Journal!$A:$A,MATCH($A57,Journal!$B:$B,0)),"")</f>
        <v>46317</v>
      </c>
      <c r="F57" s="153" t="str">
        <f aca="true">IF(C57="Y","Done",IF(AND(E57&lt;&gt;"",TODAY()&gt;E57),"OVERDUE","Pending"))</f>
        <v>Pending</v>
      </c>
    </row>
    <row r="58" customFormat="false" ht="34.5" hidden="false" customHeight="true" outlineLevel="0" collapsed="false">
      <c r="A58" s="153" t="s">
        <v>613</v>
      </c>
      <c r="B58" s="199" t="s">
        <v>697</v>
      </c>
      <c r="C58" s="153"/>
      <c r="D58" s="153"/>
      <c r="E58" s="200" t="n">
        <f aca="false">IFERROR(INDEX(Journal!$A:$A,MATCH($A58,Journal!$B:$B,0)),"")</f>
        <v>46317</v>
      </c>
      <c r="F58" s="153" t="str">
        <f aca="true">IF(C58="Y","Done",IF(AND(E58&lt;&gt;"",TODAY()&gt;E58),"OVERDUE","Pending"))</f>
        <v>Pending</v>
      </c>
    </row>
    <row r="59" customFormat="false" ht="15" hidden="false" customHeight="true" outlineLevel="0" collapsed="false">
      <c r="A59" s="153" t="s">
        <v>613</v>
      </c>
      <c r="B59" s="199" t="s">
        <v>695</v>
      </c>
      <c r="C59" s="153"/>
      <c r="D59" s="153"/>
      <c r="E59" s="200" t="n">
        <f aca="false">IFERROR(INDEX(Journal!$A:$A,MATCH($A59,Journal!$B:$B,0)),"")</f>
        <v>46317</v>
      </c>
      <c r="F59" s="153" t="str">
        <f aca="true">IF(C59="Y","Done",IF(AND(E59&lt;&gt;"",TODAY()&gt;E59),"OVERDUE","Pending"))</f>
        <v>Pending</v>
      </c>
    </row>
    <row r="60" customFormat="false" ht="15" hidden="false" customHeight="true" outlineLevel="0" collapsed="false">
      <c r="A60" s="153" t="s">
        <v>613</v>
      </c>
      <c r="B60" s="199" t="s">
        <v>682</v>
      </c>
      <c r="C60" s="153"/>
      <c r="D60" s="153"/>
      <c r="E60" s="200" t="n">
        <f aca="false">IFERROR(INDEX(Journal!$A:$A,MATCH($A60,Journal!$B:$B,0)),"")</f>
        <v>46317</v>
      </c>
      <c r="F60" s="153" t="str">
        <f aca="true">IF(C60="Y","Done",IF(AND(E60&lt;&gt;"",TODAY()&gt;E60),"OVERDUE","Pending"))</f>
        <v>Pending</v>
      </c>
    </row>
    <row r="61" customFormat="false" ht="15" hidden="false" customHeight="true" outlineLevel="0" collapsed="false">
      <c r="A61" s="153" t="s">
        <v>613</v>
      </c>
      <c r="B61" s="199" t="s">
        <v>683</v>
      </c>
      <c r="C61" s="153"/>
      <c r="D61" s="153"/>
      <c r="E61" s="200" t="n">
        <f aca="false">IFERROR(INDEX(Journal!$A:$A,MATCH($A61,Journal!$B:$B,0)),"")</f>
        <v>46317</v>
      </c>
      <c r="F61" s="153" t="str">
        <f aca="true">IF(C61="Y","Done",IF(AND(E61&lt;&gt;"",TODAY()&gt;E61),"OVERDUE","Pending"))</f>
        <v>Pending</v>
      </c>
    </row>
    <row r="62" customFormat="false" ht="15" hidden="false" customHeight="true" outlineLevel="0" collapsed="false">
      <c r="A62" s="153" t="s">
        <v>613</v>
      </c>
      <c r="B62" s="199" t="s">
        <v>684</v>
      </c>
      <c r="C62" s="153"/>
      <c r="D62" s="153"/>
      <c r="E62" s="200" t="n">
        <f aca="false">IFERROR(INDEX(Journal!$A:$A,MATCH($A62,Journal!$B:$B,0)),"")</f>
        <v>46317</v>
      </c>
      <c r="F62" s="153" t="str">
        <f aca="true">IF(C62="Y","Done",IF(AND(E62&lt;&gt;"",TODAY()&gt;E62),"OVERDUE","Pending"))</f>
        <v>Pending</v>
      </c>
    </row>
    <row r="63" customFormat="false" ht="15" hidden="false" customHeight="true" outlineLevel="0" collapsed="false">
      <c r="A63" s="153" t="s">
        <v>615</v>
      </c>
      <c r="B63" s="199" t="s">
        <v>690</v>
      </c>
      <c r="C63" s="153"/>
      <c r="D63" s="153"/>
      <c r="E63" s="200" t="n">
        <f aca="false">IFERROR(INDEX(Journal!$A:$A,MATCH($A63,Journal!$B:$B,0)),"")</f>
        <v>46335</v>
      </c>
      <c r="F63" s="153" t="str">
        <f aca="true">IF(C63="Y","Done",IF(AND(E63&lt;&gt;"",TODAY()&gt;E63),"OVERDUE","Pending"))</f>
        <v>Pending</v>
      </c>
    </row>
    <row r="64" customFormat="false" ht="15" hidden="false" customHeight="true" outlineLevel="0" collapsed="false">
      <c r="A64" s="153" t="s">
        <v>615</v>
      </c>
      <c r="B64" s="199" t="s">
        <v>691</v>
      </c>
      <c r="C64" s="153"/>
      <c r="D64" s="153"/>
      <c r="E64" s="200" t="n">
        <f aca="false">IFERROR(INDEX(Journal!$A:$A,MATCH($A64,Journal!$B:$B,0)),"")</f>
        <v>46335</v>
      </c>
      <c r="F64" s="153" t="str">
        <f aca="true">IF(C64="Y","Done",IF(AND(E64&lt;&gt;"",TODAY()&gt;E64),"OVERDUE","Pending"))</f>
        <v>Pending</v>
      </c>
    </row>
    <row r="65" customFormat="false" ht="45.75" hidden="false" customHeight="true" outlineLevel="0" collapsed="false">
      <c r="A65" s="153" t="s">
        <v>615</v>
      </c>
      <c r="B65" s="199" t="s">
        <v>692</v>
      </c>
      <c r="C65" s="153"/>
      <c r="D65" s="153"/>
      <c r="E65" s="200" t="n">
        <f aca="false">IFERROR(INDEX(Journal!$A:$A,MATCH($A65,Journal!$B:$B,0)),"")</f>
        <v>46335</v>
      </c>
      <c r="F65" s="153" t="str">
        <f aca="true">IF(C65="Y","Done",IF(AND(E65&lt;&gt;"",TODAY()&gt;E65),"OVERDUE","Pending"))</f>
        <v>Pending</v>
      </c>
    </row>
    <row r="66" customFormat="false" ht="15" hidden="false" customHeight="true" outlineLevel="0" collapsed="false">
      <c r="A66" s="153" t="s">
        <v>615</v>
      </c>
      <c r="B66" s="199" t="s">
        <v>693</v>
      </c>
      <c r="C66" s="153"/>
      <c r="D66" s="153"/>
      <c r="E66" s="200" t="n">
        <f aca="false">IFERROR(INDEX(Journal!$A:$A,MATCH($A66,Journal!$B:$B,0)),"")</f>
        <v>46335</v>
      </c>
      <c r="F66" s="153" t="str">
        <f aca="true">IF(C66="Y","Done",IF(AND(E66&lt;&gt;"",TODAY()&gt;E66),"OVERDUE","Pending"))</f>
        <v>Pending</v>
      </c>
    </row>
    <row r="67" customFormat="false" ht="34.5" hidden="false" customHeight="true" outlineLevel="0" collapsed="false">
      <c r="A67" s="153" t="s">
        <v>615</v>
      </c>
      <c r="B67" s="199" t="s">
        <v>694</v>
      </c>
      <c r="C67" s="153"/>
      <c r="D67" s="153"/>
      <c r="E67" s="200" t="n">
        <f aca="false">IFERROR(INDEX(Journal!$A:$A,MATCH($A67,Journal!$B:$B,0)),"")</f>
        <v>46335</v>
      </c>
      <c r="F67" s="153" t="str">
        <f aca="true">IF(C67="Y","Done",IF(AND(E67&lt;&gt;"",TODAY()&gt;E67),"OVERDUE","Pending"))</f>
        <v>Pending</v>
      </c>
    </row>
    <row r="68" customFormat="false" ht="34.5" hidden="false" customHeight="true" outlineLevel="0" collapsed="false">
      <c r="A68" s="153" t="s">
        <v>615</v>
      </c>
      <c r="B68" s="199" t="s">
        <v>696</v>
      </c>
      <c r="C68" s="153"/>
      <c r="D68" s="153"/>
      <c r="E68" s="200" t="n">
        <f aca="false">IFERROR(INDEX(Journal!$A:$A,MATCH($A68,Journal!$B:$B,0)),"")</f>
        <v>46335</v>
      </c>
      <c r="F68" s="153" t="str">
        <f aca="true">IF(C68="Y","Done",IF(AND(E68&lt;&gt;"",TODAY()&gt;E68),"OVERDUE","Pending"))</f>
        <v>Pending</v>
      </c>
    </row>
    <row r="69" customFormat="false" ht="34.5" hidden="false" customHeight="true" outlineLevel="0" collapsed="false">
      <c r="A69" s="153" t="s">
        <v>615</v>
      </c>
      <c r="B69" s="199" t="s">
        <v>697</v>
      </c>
      <c r="C69" s="153"/>
      <c r="D69" s="153"/>
      <c r="E69" s="200" t="n">
        <f aca="false">IFERROR(INDEX(Journal!$A:$A,MATCH($A69,Journal!$B:$B,0)),"")</f>
        <v>46335</v>
      </c>
      <c r="F69" s="153" t="str">
        <f aca="true">IF(C69="Y","Done",IF(AND(E69&lt;&gt;"",TODAY()&gt;E69),"OVERDUE","Pending"))</f>
        <v>Pending</v>
      </c>
    </row>
    <row r="70" customFormat="false" ht="15" hidden="false" customHeight="true" outlineLevel="0" collapsed="false">
      <c r="A70" s="153" t="s">
        <v>615</v>
      </c>
      <c r="B70" s="199" t="s">
        <v>695</v>
      </c>
      <c r="C70" s="153"/>
      <c r="D70" s="153"/>
      <c r="E70" s="200" t="n">
        <f aca="false">IFERROR(INDEX(Journal!$A:$A,MATCH($A70,Journal!$B:$B,0)),"")</f>
        <v>46335</v>
      </c>
      <c r="F70" s="153" t="str">
        <f aca="true">IF(C70="Y","Done",IF(AND(E70&lt;&gt;"",TODAY()&gt;E70),"OVERDUE","Pending"))</f>
        <v>Pending</v>
      </c>
    </row>
    <row r="71" customFormat="false" ht="15" hidden="false" customHeight="true" outlineLevel="0" collapsed="false">
      <c r="A71" s="153" t="s">
        <v>615</v>
      </c>
      <c r="B71" s="199" t="s">
        <v>682</v>
      </c>
      <c r="C71" s="153"/>
      <c r="D71" s="153"/>
      <c r="E71" s="200" t="n">
        <f aca="false">IFERROR(INDEX(Journal!$A:$A,MATCH($A71,Journal!$B:$B,0)),"")</f>
        <v>46335</v>
      </c>
      <c r="F71" s="153" t="str">
        <f aca="true">IF(C71="Y","Done",IF(AND(E71&lt;&gt;"",TODAY()&gt;E71),"OVERDUE","Pending"))</f>
        <v>Pending</v>
      </c>
    </row>
    <row r="72" customFormat="false" ht="15" hidden="false" customHeight="true" outlineLevel="0" collapsed="false">
      <c r="A72" s="153" t="s">
        <v>615</v>
      </c>
      <c r="B72" s="199" t="s">
        <v>683</v>
      </c>
      <c r="C72" s="153"/>
      <c r="D72" s="153"/>
      <c r="E72" s="200" t="n">
        <f aca="false">IFERROR(INDEX(Journal!$A:$A,MATCH($A72,Journal!$B:$B,0)),"")</f>
        <v>46335</v>
      </c>
      <c r="F72" s="153" t="str">
        <f aca="true">IF(C72="Y","Done",IF(AND(E72&lt;&gt;"",TODAY()&gt;E72),"OVERDUE","Pending"))</f>
        <v>Pending</v>
      </c>
    </row>
    <row r="73" customFormat="false" ht="15" hidden="false" customHeight="true" outlineLevel="0" collapsed="false">
      <c r="A73" s="153" t="s">
        <v>615</v>
      </c>
      <c r="B73" s="199" t="s">
        <v>684</v>
      </c>
      <c r="C73" s="153"/>
      <c r="D73" s="153"/>
      <c r="E73" s="200" t="n">
        <f aca="false">IFERROR(INDEX(Journal!$A:$A,MATCH($A73,Journal!$B:$B,0)),"")</f>
        <v>46335</v>
      </c>
      <c r="F73" s="153" t="str">
        <f aca="true">IF(C73="Y","Done",IF(AND(E73&lt;&gt;"",TODAY()&gt;E73),"OVERDUE","Pending"))</f>
        <v>Pending</v>
      </c>
    </row>
    <row r="74" customFormat="false" ht="15" hidden="false" customHeight="true" outlineLevel="0" collapsed="false">
      <c r="A74" s="153" t="s">
        <v>617</v>
      </c>
      <c r="B74" s="199" t="s">
        <v>690</v>
      </c>
      <c r="C74" s="153"/>
      <c r="D74" s="153"/>
      <c r="E74" s="200" t="n">
        <f aca="false">IFERROR(INDEX(Journal!$A:$A,MATCH($A74,Journal!$B:$B,0)),"")</f>
        <v>46349</v>
      </c>
      <c r="F74" s="153" t="str">
        <f aca="true">IF(C74="Y","Done",IF(AND(E74&lt;&gt;"",TODAY()&gt;E74),"OVERDUE","Pending"))</f>
        <v>Pending</v>
      </c>
    </row>
    <row r="75" customFormat="false" ht="15" hidden="false" customHeight="true" outlineLevel="0" collapsed="false">
      <c r="A75" s="153" t="s">
        <v>617</v>
      </c>
      <c r="B75" s="199" t="s">
        <v>691</v>
      </c>
      <c r="C75" s="153"/>
      <c r="D75" s="153"/>
      <c r="E75" s="200" t="n">
        <f aca="false">IFERROR(INDEX(Journal!$A:$A,MATCH($A75,Journal!$B:$B,0)),"")</f>
        <v>46349</v>
      </c>
      <c r="F75" s="153" t="str">
        <f aca="true">IF(C75="Y","Done",IF(AND(E75&lt;&gt;"",TODAY()&gt;E75),"OVERDUE","Pending"))</f>
        <v>Pending</v>
      </c>
    </row>
    <row r="76" customFormat="false" ht="45.75" hidden="false" customHeight="true" outlineLevel="0" collapsed="false">
      <c r="A76" s="153" t="s">
        <v>617</v>
      </c>
      <c r="B76" s="199" t="s">
        <v>692</v>
      </c>
      <c r="C76" s="153"/>
      <c r="D76" s="153"/>
      <c r="E76" s="200" t="n">
        <f aca="false">IFERROR(INDEX(Journal!$A:$A,MATCH($A76,Journal!$B:$B,0)),"")</f>
        <v>46349</v>
      </c>
      <c r="F76" s="153" t="str">
        <f aca="true">IF(C76="Y","Done",IF(AND(E76&lt;&gt;"",TODAY()&gt;E76),"OVERDUE","Pending"))</f>
        <v>Pending</v>
      </c>
    </row>
    <row r="77" customFormat="false" ht="15" hidden="false" customHeight="true" outlineLevel="0" collapsed="false">
      <c r="A77" s="153" t="s">
        <v>617</v>
      </c>
      <c r="B77" s="199" t="s">
        <v>693</v>
      </c>
      <c r="C77" s="153"/>
      <c r="D77" s="153"/>
      <c r="E77" s="200" t="n">
        <f aca="false">IFERROR(INDEX(Journal!$A:$A,MATCH($A77,Journal!$B:$B,0)),"")</f>
        <v>46349</v>
      </c>
      <c r="F77" s="153" t="str">
        <f aca="true">IF(C77="Y","Done",IF(AND(E77&lt;&gt;"",TODAY()&gt;E77),"OVERDUE","Pending"))</f>
        <v>Pending</v>
      </c>
    </row>
    <row r="78" customFormat="false" ht="34.5" hidden="false" customHeight="true" outlineLevel="0" collapsed="false">
      <c r="A78" s="153" t="s">
        <v>617</v>
      </c>
      <c r="B78" s="199" t="s">
        <v>694</v>
      </c>
      <c r="C78" s="153"/>
      <c r="D78" s="153"/>
      <c r="E78" s="200" t="n">
        <f aca="false">IFERROR(INDEX(Journal!$A:$A,MATCH($A78,Journal!$B:$B,0)),"")</f>
        <v>46349</v>
      </c>
      <c r="F78" s="153" t="str">
        <f aca="true">IF(C78="Y","Done",IF(AND(E78&lt;&gt;"",TODAY()&gt;E78),"OVERDUE","Pending"))</f>
        <v>Pending</v>
      </c>
    </row>
    <row r="79" customFormat="false" ht="34.5" hidden="false" customHeight="true" outlineLevel="0" collapsed="false">
      <c r="A79" s="153" t="s">
        <v>617</v>
      </c>
      <c r="B79" s="199" t="s">
        <v>696</v>
      </c>
      <c r="C79" s="153"/>
      <c r="D79" s="153"/>
      <c r="E79" s="200" t="n">
        <f aca="false">IFERROR(INDEX(Journal!$A:$A,MATCH($A79,Journal!$B:$B,0)),"")</f>
        <v>46349</v>
      </c>
      <c r="F79" s="153" t="str">
        <f aca="true">IF(C79="Y","Done",IF(AND(E79&lt;&gt;"",TODAY()&gt;E79),"OVERDUE","Pending"))</f>
        <v>Pending</v>
      </c>
    </row>
    <row r="80" customFormat="false" ht="34.5" hidden="false" customHeight="true" outlineLevel="0" collapsed="false">
      <c r="A80" s="153" t="s">
        <v>617</v>
      </c>
      <c r="B80" s="199" t="s">
        <v>697</v>
      </c>
      <c r="C80" s="153"/>
      <c r="D80" s="153"/>
      <c r="E80" s="200" t="n">
        <f aca="false">IFERROR(INDEX(Journal!$A:$A,MATCH($A80,Journal!$B:$B,0)),"")</f>
        <v>46349</v>
      </c>
      <c r="F80" s="153" t="str">
        <f aca="true">IF(C80="Y","Done",IF(AND(E80&lt;&gt;"",TODAY()&gt;E80),"OVERDUE","Pending"))</f>
        <v>Pending</v>
      </c>
    </row>
    <row r="81" customFormat="false" ht="15" hidden="false" customHeight="true" outlineLevel="0" collapsed="false">
      <c r="A81" s="153" t="s">
        <v>617</v>
      </c>
      <c r="B81" s="199" t="s">
        <v>695</v>
      </c>
      <c r="C81" s="153"/>
      <c r="D81" s="153"/>
      <c r="E81" s="200" t="n">
        <f aca="false">IFERROR(INDEX(Journal!$A:$A,MATCH($A81,Journal!$B:$B,0)),"")</f>
        <v>46349</v>
      </c>
      <c r="F81" s="153" t="str">
        <f aca="true">IF(C81="Y","Done",IF(AND(E81&lt;&gt;"",TODAY()&gt;E81),"OVERDUE","Pending"))</f>
        <v>Pending</v>
      </c>
    </row>
    <row r="82" customFormat="false" ht="15" hidden="false" customHeight="true" outlineLevel="0" collapsed="false">
      <c r="A82" s="153" t="s">
        <v>617</v>
      </c>
      <c r="B82" s="199" t="s">
        <v>682</v>
      </c>
      <c r="C82" s="153"/>
      <c r="D82" s="153"/>
      <c r="E82" s="200" t="n">
        <f aca="false">IFERROR(INDEX(Journal!$A:$A,MATCH($A82,Journal!$B:$B,0)),"")</f>
        <v>46349</v>
      </c>
      <c r="F82" s="153" t="str">
        <f aca="true">IF(C82="Y","Done",IF(AND(E82&lt;&gt;"",TODAY()&gt;E82),"OVERDUE","Pending"))</f>
        <v>Pending</v>
      </c>
    </row>
    <row r="83" customFormat="false" ht="15" hidden="false" customHeight="true" outlineLevel="0" collapsed="false">
      <c r="A83" s="153" t="s">
        <v>617</v>
      </c>
      <c r="B83" s="199" t="s">
        <v>683</v>
      </c>
      <c r="C83" s="153"/>
      <c r="D83" s="153"/>
      <c r="E83" s="200" t="n">
        <f aca="false">IFERROR(INDEX(Journal!$A:$A,MATCH($A83,Journal!$B:$B,0)),"")</f>
        <v>46349</v>
      </c>
      <c r="F83" s="153" t="str">
        <f aca="true">IF(C83="Y","Done",IF(AND(E83&lt;&gt;"",TODAY()&gt;E83),"OVERDUE","Pending"))</f>
        <v>Pending</v>
      </c>
    </row>
    <row r="84" customFormat="false" ht="15" hidden="false" customHeight="true" outlineLevel="0" collapsed="false">
      <c r="A84" s="153" t="s">
        <v>617</v>
      </c>
      <c r="B84" s="199" t="s">
        <v>684</v>
      </c>
      <c r="C84" s="153"/>
      <c r="D84" s="153"/>
      <c r="E84" s="200" t="n">
        <f aca="false">IFERROR(INDEX(Journal!$A:$A,MATCH($A84,Journal!$B:$B,0)),"")</f>
        <v>46349</v>
      </c>
      <c r="F84" s="153" t="str">
        <f aca="true">IF(C84="Y","Done",IF(AND(E84&lt;&gt;"",TODAY()&gt;E84),"OVERDUE","Pending"))</f>
        <v>Pending</v>
      </c>
    </row>
    <row r="85" customFormat="false" ht="15" hidden="false" customHeight="true" outlineLevel="0" collapsed="false">
      <c r="A85" s="153" t="s">
        <v>619</v>
      </c>
      <c r="B85" s="199" t="s">
        <v>690</v>
      </c>
      <c r="C85" s="153"/>
      <c r="D85" s="153"/>
      <c r="E85" s="200" t="n">
        <f aca="false">IFERROR(INDEX(Journal!$A:$A,MATCH($A85,Journal!$B:$B,0)),"")</f>
        <v>46363</v>
      </c>
      <c r="F85" s="153" t="str">
        <f aca="true">IF(C85="Y","Done",IF(AND(E85&lt;&gt;"",TODAY()&gt;E85),"OVERDUE","Pending"))</f>
        <v>Pending</v>
      </c>
    </row>
    <row r="86" customFormat="false" ht="15" hidden="false" customHeight="true" outlineLevel="0" collapsed="false">
      <c r="A86" s="153" t="s">
        <v>619</v>
      </c>
      <c r="B86" s="199" t="s">
        <v>691</v>
      </c>
      <c r="C86" s="153"/>
      <c r="D86" s="153"/>
      <c r="E86" s="200" t="n">
        <f aca="false">IFERROR(INDEX(Journal!$A:$A,MATCH($A86,Journal!$B:$B,0)),"")</f>
        <v>46363</v>
      </c>
      <c r="F86" s="153" t="str">
        <f aca="true">IF(C86="Y","Done",IF(AND(E86&lt;&gt;"",TODAY()&gt;E86),"OVERDUE","Pending"))</f>
        <v>Pending</v>
      </c>
    </row>
    <row r="87" customFormat="false" ht="45.75" hidden="false" customHeight="true" outlineLevel="0" collapsed="false">
      <c r="A87" s="153" t="s">
        <v>619</v>
      </c>
      <c r="B87" s="199" t="s">
        <v>692</v>
      </c>
      <c r="C87" s="153"/>
      <c r="D87" s="153"/>
      <c r="E87" s="200" t="n">
        <f aca="false">IFERROR(INDEX(Journal!$A:$A,MATCH($A87,Journal!$B:$B,0)),"")</f>
        <v>46363</v>
      </c>
      <c r="F87" s="153" t="str">
        <f aca="true">IF(C87="Y","Done",IF(AND(E87&lt;&gt;"",TODAY()&gt;E87),"OVERDUE","Pending"))</f>
        <v>Pending</v>
      </c>
    </row>
    <row r="88" customFormat="false" ht="15" hidden="false" customHeight="true" outlineLevel="0" collapsed="false">
      <c r="A88" s="153" t="s">
        <v>619</v>
      </c>
      <c r="B88" s="199" t="s">
        <v>693</v>
      </c>
      <c r="C88" s="153"/>
      <c r="D88" s="153"/>
      <c r="E88" s="200" t="n">
        <f aca="false">IFERROR(INDEX(Journal!$A:$A,MATCH($A88,Journal!$B:$B,0)),"")</f>
        <v>46363</v>
      </c>
      <c r="F88" s="153" t="str">
        <f aca="true">IF(C88="Y","Done",IF(AND(E88&lt;&gt;"",TODAY()&gt;E88),"OVERDUE","Pending"))</f>
        <v>Pending</v>
      </c>
    </row>
    <row r="89" customFormat="false" ht="34.5" hidden="false" customHeight="true" outlineLevel="0" collapsed="false">
      <c r="A89" s="153" t="s">
        <v>619</v>
      </c>
      <c r="B89" s="199" t="s">
        <v>694</v>
      </c>
      <c r="C89" s="153"/>
      <c r="D89" s="153"/>
      <c r="E89" s="200" t="n">
        <f aca="false">IFERROR(INDEX(Journal!$A:$A,MATCH($A89,Journal!$B:$B,0)),"")</f>
        <v>46363</v>
      </c>
      <c r="F89" s="153" t="str">
        <f aca="true">IF(C89="Y","Done",IF(AND(E89&lt;&gt;"",TODAY()&gt;E89),"OVERDUE","Pending"))</f>
        <v>Pending</v>
      </c>
    </row>
    <row r="90" customFormat="false" ht="34.5" hidden="false" customHeight="true" outlineLevel="0" collapsed="false">
      <c r="A90" s="153" t="s">
        <v>619</v>
      </c>
      <c r="B90" s="199" t="s">
        <v>696</v>
      </c>
      <c r="C90" s="153"/>
      <c r="D90" s="153"/>
      <c r="E90" s="200" t="n">
        <f aca="false">IFERROR(INDEX(Journal!$A:$A,MATCH($A90,Journal!$B:$B,0)),"")</f>
        <v>46363</v>
      </c>
      <c r="F90" s="153" t="str">
        <f aca="true">IF(C90="Y","Done",IF(AND(E90&lt;&gt;"",TODAY()&gt;E90),"OVERDUE","Pending"))</f>
        <v>Pending</v>
      </c>
    </row>
    <row r="91" customFormat="false" ht="34.5" hidden="false" customHeight="true" outlineLevel="0" collapsed="false">
      <c r="A91" s="153" t="s">
        <v>619</v>
      </c>
      <c r="B91" s="199" t="s">
        <v>697</v>
      </c>
      <c r="C91" s="153"/>
      <c r="D91" s="153"/>
      <c r="E91" s="200" t="n">
        <f aca="false">IFERROR(INDEX(Journal!$A:$A,MATCH($A91,Journal!$B:$B,0)),"")</f>
        <v>46363</v>
      </c>
      <c r="F91" s="153" t="str">
        <f aca="true">IF(C91="Y","Done",IF(AND(E91&lt;&gt;"",TODAY()&gt;E91),"OVERDUE","Pending"))</f>
        <v>Pending</v>
      </c>
    </row>
    <row r="92" customFormat="false" ht="15" hidden="false" customHeight="true" outlineLevel="0" collapsed="false">
      <c r="A92" s="153" t="s">
        <v>619</v>
      </c>
      <c r="B92" s="199" t="s">
        <v>695</v>
      </c>
      <c r="C92" s="153"/>
      <c r="D92" s="153"/>
      <c r="E92" s="200" t="n">
        <f aca="false">IFERROR(INDEX(Journal!$A:$A,MATCH($A92,Journal!$B:$B,0)),"")</f>
        <v>46363</v>
      </c>
      <c r="F92" s="153" t="str">
        <f aca="true">IF(C92="Y","Done",IF(AND(E92&lt;&gt;"",TODAY()&gt;E92),"OVERDUE","Pending"))</f>
        <v>Pending</v>
      </c>
    </row>
    <row r="93" customFormat="false" ht="15" hidden="false" customHeight="true" outlineLevel="0" collapsed="false">
      <c r="A93" s="153" t="s">
        <v>619</v>
      </c>
      <c r="B93" s="199" t="s">
        <v>682</v>
      </c>
      <c r="C93" s="153"/>
      <c r="D93" s="153"/>
      <c r="E93" s="200" t="n">
        <f aca="false">IFERROR(INDEX(Journal!$A:$A,MATCH($A93,Journal!$B:$B,0)),"")</f>
        <v>46363</v>
      </c>
      <c r="F93" s="153" t="str">
        <f aca="true">IF(C93="Y","Done",IF(AND(E93&lt;&gt;"",TODAY()&gt;E93),"OVERDUE","Pending"))</f>
        <v>Pending</v>
      </c>
    </row>
    <row r="94" customFormat="false" ht="15" hidden="false" customHeight="true" outlineLevel="0" collapsed="false">
      <c r="A94" s="153" t="s">
        <v>619</v>
      </c>
      <c r="B94" s="199" t="s">
        <v>683</v>
      </c>
      <c r="C94" s="153"/>
      <c r="D94" s="153"/>
      <c r="E94" s="200" t="n">
        <f aca="false">IFERROR(INDEX(Journal!$A:$A,MATCH($A94,Journal!$B:$B,0)),"")</f>
        <v>46363</v>
      </c>
      <c r="F94" s="153" t="str">
        <f aca="true">IF(C94="Y","Done",IF(AND(E94&lt;&gt;"",TODAY()&gt;E94),"OVERDUE","Pending"))</f>
        <v>Pending</v>
      </c>
    </row>
    <row r="95" customFormat="false" ht="15" hidden="false" customHeight="true" outlineLevel="0" collapsed="false">
      <c r="A95" s="153" t="s">
        <v>619</v>
      </c>
      <c r="B95" s="199" t="s">
        <v>684</v>
      </c>
      <c r="C95" s="153"/>
      <c r="D95" s="153"/>
      <c r="E95" s="200" t="n">
        <f aca="false">IFERROR(INDEX(Journal!$A:$A,MATCH($A95,Journal!$B:$B,0)),"")</f>
        <v>46363</v>
      </c>
      <c r="F95" s="153" t="str">
        <f aca="true">IF(C95="Y","Done",IF(AND(E95&lt;&gt;"",TODAY()&gt;E95),"OVERDUE","Pending"))</f>
        <v>Pending</v>
      </c>
    </row>
    <row r="96" customFormat="false" ht="15" hidden="false" customHeight="true" outlineLevel="0" collapsed="false">
      <c r="A96" s="153" t="s">
        <v>620</v>
      </c>
      <c r="B96" s="199" t="s">
        <v>690</v>
      </c>
      <c r="C96" s="153"/>
      <c r="D96" s="153"/>
      <c r="E96" s="200" t="n">
        <f aca="false">IFERROR(INDEX(Journal!$A:$A,MATCH($A96,Journal!$B:$B,0)),"")</f>
        <v>46378</v>
      </c>
      <c r="F96" s="153" t="str">
        <f aca="true">IF(C96="Y","Done",IF(AND(E96&lt;&gt;"",TODAY()&gt;E96),"OVERDUE","Pending"))</f>
        <v>Pending</v>
      </c>
    </row>
    <row r="97" customFormat="false" ht="15" hidden="false" customHeight="true" outlineLevel="0" collapsed="false">
      <c r="A97" s="153" t="s">
        <v>620</v>
      </c>
      <c r="B97" s="199" t="s">
        <v>691</v>
      </c>
      <c r="C97" s="153"/>
      <c r="D97" s="153"/>
      <c r="E97" s="200" t="n">
        <f aca="false">IFERROR(INDEX(Journal!$A:$A,MATCH($A97,Journal!$B:$B,0)),"")</f>
        <v>46378</v>
      </c>
      <c r="F97" s="153" t="str">
        <f aca="true">IF(C97="Y","Done",IF(AND(E97&lt;&gt;"",TODAY()&gt;E97),"OVERDUE","Pending"))</f>
        <v>Pending</v>
      </c>
    </row>
    <row r="98" customFormat="false" ht="45.75" hidden="false" customHeight="true" outlineLevel="0" collapsed="false">
      <c r="A98" s="153" t="s">
        <v>620</v>
      </c>
      <c r="B98" s="199" t="s">
        <v>692</v>
      </c>
      <c r="C98" s="153"/>
      <c r="D98" s="153"/>
      <c r="E98" s="200" t="n">
        <f aca="false">IFERROR(INDEX(Journal!$A:$A,MATCH($A98,Journal!$B:$B,0)),"")</f>
        <v>46378</v>
      </c>
      <c r="F98" s="153" t="str">
        <f aca="true">IF(C98="Y","Done",IF(AND(E98&lt;&gt;"",TODAY()&gt;E98),"OVERDUE","Pending"))</f>
        <v>Pending</v>
      </c>
    </row>
    <row r="99" customFormat="false" ht="15" hidden="false" customHeight="true" outlineLevel="0" collapsed="false">
      <c r="A99" s="153" t="s">
        <v>620</v>
      </c>
      <c r="B99" s="199" t="s">
        <v>693</v>
      </c>
      <c r="C99" s="153"/>
      <c r="D99" s="153"/>
      <c r="E99" s="200" t="n">
        <f aca="false">IFERROR(INDEX(Journal!$A:$A,MATCH($A99,Journal!$B:$B,0)),"")</f>
        <v>46378</v>
      </c>
      <c r="F99" s="153" t="str">
        <f aca="true">IF(C99="Y","Done",IF(AND(E99&lt;&gt;"",TODAY()&gt;E99),"OVERDUE","Pending"))</f>
        <v>Pending</v>
      </c>
    </row>
    <row r="100" customFormat="false" ht="34.5" hidden="false" customHeight="true" outlineLevel="0" collapsed="false">
      <c r="A100" s="153" t="s">
        <v>620</v>
      </c>
      <c r="B100" s="199" t="s">
        <v>694</v>
      </c>
      <c r="C100" s="153"/>
      <c r="D100" s="153"/>
      <c r="E100" s="200" t="n">
        <f aca="false">IFERROR(INDEX(Journal!$A:$A,MATCH($A100,Journal!$B:$B,0)),"")</f>
        <v>46378</v>
      </c>
      <c r="F100" s="153" t="str">
        <f aca="true">IF(C100="Y","Done",IF(AND(E100&lt;&gt;"",TODAY()&gt;E100),"OVERDUE","Pending"))</f>
        <v>Pending</v>
      </c>
    </row>
    <row r="101" customFormat="false" ht="34.5" hidden="false" customHeight="true" outlineLevel="0" collapsed="false">
      <c r="A101" s="153" t="s">
        <v>620</v>
      </c>
      <c r="B101" s="199" t="s">
        <v>696</v>
      </c>
      <c r="C101" s="153"/>
      <c r="D101" s="153"/>
      <c r="E101" s="200" t="n">
        <f aca="false">IFERROR(INDEX(Journal!$A:$A,MATCH($A101,Journal!$B:$B,0)),"")</f>
        <v>46378</v>
      </c>
      <c r="F101" s="153" t="str">
        <f aca="true">IF(C101="Y","Done",IF(AND(E101&lt;&gt;"",TODAY()&gt;E101),"OVERDUE","Pending"))</f>
        <v>Pending</v>
      </c>
    </row>
    <row r="102" customFormat="false" ht="34.5" hidden="false" customHeight="true" outlineLevel="0" collapsed="false">
      <c r="A102" s="153" t="s">
        <v>620</v>
      </c>
      <c r="B102" s="199" t="s">
        <v>697</v>
      </c>
      <c r="C102" s="153"/>
      <c r="D102" s="153"/>
      <c r="E102" s="200" t="n">
        <f aca="false">IFERROR(INDEX(Journal!$A:$A,MATCH($A102,Journal!$B:$B,0)),"")</f>
        <v>46378</v>
      </c>
      <c r="F102" s="153" t="str">
        <f aca="true">IF(C102="Y","Done",IF(AND(E102&lt;&gt;"",TODAY()&gt;E102),"OVERDUE","Pending"))</f>
        <v>Pending</v>
      </c>
    </row>
    <row r="103" customFormat="false" ht="15" hidden="false" customHeight="true" outlineLevel="0" collapsed="false">
      <c r="A103" s="153" t="s">
        <v>620</v>
      </c>
      <c r="B103" s="199" t="s">
        <v>695</v>
      </c>
      <c r="C103" s="153"/>
      <c r="D103" s="153"/>
      <c r="E103" s="200" t="n">
        <f aca="false">IFERROR(INDEX(Journal!$A:$A,MATCH($A103,Journal!$B:$B,0)),"")</f>
        <v>46378</v>
      </c>
      <c r="F103" s="153" t="str">
        <f aca="true">IF(C103="Y","Done",IF(AND(E103&lt;&gt;"",TODAY()&gt;E103),"OVERDUE","Pending"))</f>
        <v>Pending</v>
      </c>
    </row>
    <row r="104" customFormat="false" ht="15" hidden="false" customHeight="true" outlineLevel="0" collapsed="false">
      <c r="A104" s="153" t="s">
        <v>620</v>
      </c>
      <c r="B104" s="199" t="s">
        <v>682</v>
      </c>
      <c r="C104" s="153"/>
      <c r="D104" s="153"/>
      <c r="E104" s="200" t="n">
        <f aca="false">IFERROR(INDEX(Journal!$A:$A,MATCH($A104,Journal!$B:$B,0)),"")</f>
        <v>46378</v>
      </c>
      <c r="F104" s="153" t="str">
        <f aca="true">IF(C104="Y","Done",IF(AND(E104&lt;&gt;"",TODAY()&gt;E104),"OVERDUE","Pending"))</f>
        <v>Pending</v>
      </c>
    </row>
    <row r="105" customFormat="false" ht="15" hidden="false" customHeight="true" outlineLevel="0" collapsed="false">
      <c r="A105" s="153" t="s">
        <v>620</v>
      </c>
      <c r="B105" s="199" t="s">
        <v>683</v>
      </c>
      <c r="C105" s="153"/>
      <c r="D105" s="153"/>
      <c r="E105" s="200" t="n">
        <f aca="false">IFERROR(INDEX(Journal!$A:$A,MATCH($A105,Journal!$B:$B,0)),"")</f>
        <v>46378</v>
      </c>
      <c r="F105" s="153" t="str">
        <f aca="true">IF(C105="Y","Done",IF(AND(E105&lt;&gt;"",TODAY()&gt;E105),"OVERDUE","Pending"))</f>
        <v>Pending</v>
      </c>
    </row>
    <row r="106" customFormat="false" ht="15" hidden="false" customHeight="true" outlineLevel="0" collapsed="false">
      <c r="A106" s="153" t="s">
        <v>620</v>
      </c>
      <c r="B106" s="199" t="s">
        <v>684</v>
      </c>
      <c r="C106" s="153"/>
      <c r="D106" s="153"/>
      <c r="E106" s="200" t="n">
        <f aca="false">IFERROR(INDEX(Journal!$A:$A,MATCH($A106,Journal!$B:$B,0)),"")</f>
        <v>46378</v>
      </c>
      <c r="F106" s="153" t="str">
        <f aca="true">IF(C106="Y","Done",IF(AND(E106&lt;&gt;"",TODAY()&gt;E106),"OVERDUE","Pending"))</f>
        <v>Pending</v>
      </c>
    </row>
    <row r="107" customFormat="false" ht="15" hidden="false" customHeight="true" outlineLevel="0" collapsed="false">
      <c r="A107" s="153" t="s">
        <v>621</v>
      </c>
      <c r="B107" s="199" t="s">
        <v>690</v>
      </c>
      <c r="C107" s="153"/>
      <c r="D107" s="153"/>
      <c r="E107" s="200" t="n">
        <f aca="false">IFERROR(INDEX(Journal!$A:$A,MATCH($A107,Journal!$B:$B,0)),"")</f>
        <v>46394</v>
      </c>
      <c r="F107" s="153" t="str">
        <f aca="true">IF(C107="Y","Done",IF(AND(E107&lt;&gt;"",TODAY()&gt;E107),"OVERDUE","Pending"))</f>
        <v>Pending</v>
      </c>
    </row>
    <row r="108" customFormat="false" ht="15" hidden="false" customHeight="true" outlineLevel="0" collapsed="false">
      <c r="A108" s="153" t="s">
        <v>621</v>
      </c>
      <c r="B108" s="199" t="s">
        <v>691</v>
      </c>
      <c r="C108" s="153"/>
      <c r="D108" s="153"/>
      <c r="E108" s="200" t="n">
        <f aca="false">IFERROR(INDEX(Journal!$A:$A,MATCH($A108,Journal!$B:$B,0)),"")</f>
        <v>46394</v>
      </c>
      <c r="F108" s="153" t="str">
        <f aca="true">IF(C108="Y","Done",IF(AND(E108&lt;&gt;"",TODAY()&gt;E108),"OVERDUE","Pending"))</f>
        <v>Pending</v>
      </c>
    </row>
    <row r="109" customFormat="false" ht="45.75" hidden="false" customHeight="true" outlineLevel="0" collapsed="false">
      <c r="A109" s="153" t="s">
        <v>621</v>
      </c>
      <c r="B109" s="199" t="s">
        <v>692</v>
      </c>
      <c r="C109" s="153"/>
      <c r="D109" s="153"/>
      <c r="E109" s="200" t="n">
        <f aca="false">IFERROR(INDEX(Journal!$A:$A,MATCH($A109,Journal!$B:$B,0)),"")</f>
        <v>46394</v>
      </c>
      <c r="F109" s="153" t="str">
        <f aca="true">IF(C109="Y","Done",IF(AND(E109&lt;&gt;"",TODAY()&gt;E109),"OVERDUE","Pending"))</f>
        <v>Pending</v>
      </c>
    </row>
    <row r="110" customFormat="false" ht="15" hidden="false" customHeight="true" outlineLevel="0" collapsed="false">
      <c r="A110" s="153" t="s">
        <v>621</v>
      </c>
      <c r="B110" s="199" t="s">
        <v>693</v>
      </c>
      <c r="C110" s="153"/>
      <c r="D110" s="153"/>
      <c r="E110" s="200" t="n">
        <f aca="false">IFERROR(INDEX(Journal!$A:$A,MATCH($A110,Journal!$B:$B,0)),"")</f>
        <v>46394</v>
      </c>
      <c r="F110" s="153" t="str">
        <f aca="true">IF(C110="Y","Done",IF(AND(E110&lt;&gt;"",TODAY()&gt;E110),"OVERDUE","Pending"))</f>
        <v>Pending</v>
      </c>
    </row>
    <row r="111" customFormat="false" ht="34.5" hidden="false" customHeight="true" outlineLevel="0" collapsed="false">
      <c r="A111" s="153" t="s">
        <v>621</v>
      </c>
      <c r="B111" s="199" t="s">
        <v>694</v>
      </c>
      <c r="C111" s="153"/>
      <c r="D111" s="153"/>
      <c r="E111" s="200" t="n">
        <f aca="false">IFERROR(INDEX(Journal!$A:$A,MATCH($A111,Journal!$B:$B,0)),"")</f>
        <v>46394</v>
      </c>
      <c r="F111" s="153" t="str">
        <f aca="true">IF(C111="Y","Done",IF(AND(E111&lt;&gt;"",TODAY()&gt;E111),"OVERDUE","Pending"))</f>
        <v>Pending</v>
      </c>
    </row>
    <row r="112" customFormat="false" ht="34.5" hidden="false" customHeight="true" outlineLevel="0" collapsed="false">
      <c r="A112" s="153" t="s">
        <v>621</v>
      </c>
      <c r="B112" s="199" t="s">
        <v>696</v>
      </c>
      <c r="C112" s="153"/>
      <c r="D112" s="153"/>
      <c r="E112" s="200" t="n">
        <f aca="false">IFERROR(INDEX(Journal!$A:$A,MATCH($A112,Journal!$B:$B,0)),"")</f>
        <v>46394</v>
      </c>
      <c r="F112" s="153" t="str">
        <f aca="true">IF(C112="Y","Done",IF(AND(E112&lt;&gt;"",TODAY()&gt;E112),"OVERDUE","Pending"))</f>
        <v>Pending</v>
      </c>
    </row>
    <row r="113" customFormat="false" ht="34.5" hidden="false" customHeight="true" outlineLevel="0" collapsed="false">
      <c r="A113" s="153" t="s">
        <v>621</v>
      </c>
      <c r="B113" s="199" t="s">
        <v>697</v>
      </c>
      <c r="C113" s="153"/>
      <c r="D113" s="153"/>
      <c r="E113" s="200" t="n">
        <f aca="false">IFERROR(INDEX(Journal!$A:$A,MATCH($A113,Journal!$B:$B,0)),"")</f>
        <v>46394</v>
      </c>
      <c r="F113" s="153" t="str">
        <f aca="true">IF(C113="Y","Done",IF(AND(E113&lt;&gt;"",TODAY()&gt;E113),"OVERDUE","Pending"))</f>
        <v>Pending</v>
      </c>
    </row>
    <row r="114" customFormat="false" ht="15" hidden="false" customHeight="true" outlineLevel="0" collapsed="false">
      <c r="A114" s="153" t="s">
        <v>621</v>
      </c>
      <c r="B114" s="199" t="s">
        <v>695</v>
      </c>
      <c r="C114" s="153"/>
      <c r="D114" s="153"/>
      <c r="E114" s="200" t="n">
        <f aca="false">IFERROR(INDEX(Journal!$A:$A,MATCH($A114,Journal!$B:$B,0)),"")</f>
        <v>46394</v>
      </c>
      <c r="F114" s="153" t="str">
        <f aca="true">IF(C114="Y","Done",IF(AND(E114&lt;&gt;"",TODAY()&gt;E114),"OVERDUE","Pending"))</f>
        <v>Pending</v>
      </c>
    </row>
    <row r="115" customFormat="false" ht="15" hidden="false" customHeight="true" outlineLevel="0" collapsed="false">
      <c r="A115" s="153" t="s">
        <v>621</v>
      </c>
      <c r="B115" s="199" t="s">
        <v>682</v>
      </c>
      <c r="C115" s="153"/>
      <c r="D115" s="153"/>
      <c r="E115" s="200" t="n">
        <f aca="false">IFERROR(INDEX(Journal!$A:$A,MATCH($A115,Journal!$B:$B,0)),"")</f>
        <v>46394</v>
      </c>
      <c r="F115" s="153" t="str">
        <f aca="true">IF(C115="Y","Done",IF(AND(E115&lt;&gt;"",TODAY()&gt;E115),"OVERDUE","Pending"))</f>
        <v>Pending</v>
      </c>
    </row>
    <row r="116" customFormat="false" ht="15" hidden="false" customHeight="true" outlineLevel="0" collapsed="false">
      <c r="A116" s="153" t="s">
        <v>621</v>
      </c>
      <c r="B116" s="199" t="s">
        <v>683</v>
      </c>
      <c r="C116" s="153"/>
      <c r="D116" s="153"/>
      <c r="E116" s="200" t="n">
        <f aca="false">IFERROR(INDEX(Journal!$A:$A,MATCH($A116,Journal!$B:$B,0)),"")</f>
        <v>46394</v>
      </c>
      <c r="F116" s="153" t="str">
        <f aca="true">IF(C116="Y","Done",IF(AND(E116&lt;&gt;"",TODAY()&gt;E116),"OVERDUE","Pending"))</f>
        <v>Pending</v>
      </c>
    </row>
    <row r="117" customFormat="false" ht="15" hidden="false" customHeight="true" outlineLevel="0" collapsed="false">
      <c r="A117" s="153" t="s">
        <v>621</v>
      </c>
      <c r="B117" s="199" t="s">
        <v>684</v>
      </c>
      <c r="C117" s="153"/>
      <c r="D117" s="153"/>
      <c r="E117" s="200"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698</v>
      </c>
      <c r="B1" s="197"/>
      <c r="C1" s="197"/>
      <c r="D1" s="197"/>
      <c r="E1" s="197"/>
      <c r="F1" s="197"/>
    </row>
    <row r="2" customFormat="false" ht="14.25" hidden="false" customHeight="true" outlineLevel="0" collapsed="false">
      <c r="A2" s="147" t="s">
        <v>699</v>
      </c>
      <c r="C2" s="198" t="n">
        <f aca="false">SUMPRODUCT(($A$5:$A$200&lt;&gt;"")*($C$5:$C$200&lt;&gt;"Y"))</f>
        <v>19</v>
      </c>
    </row>
    <row r="3" customFormat="false" ht="4.5" hidden="false" customHeight="true" outlineLevel="0" collapsed="false"/>
    <row r="4" customFormat="false" ht="27.75" hidden="false" customHeight="true" outlineLevel="0" collapsed="false">
      <c r="A4" s="149" t="s">
        <v>700</v>
      </c>
      <c r="B4" s="149" t="s">
        <v>701</v>
      </c>
      <c r="C4" s="149" t="s">
        <v>675</v>
      </c>
      <c r="D4" s="149" t="s">
        <v>702</v>
      </c>
      <c r="E4" s="149" t="s">
        <v>703</v>
      </c>
      <c r="F4" s="149" t="s">
        <v>210</v>
      </c>
    </row>
    <row r="5" customFormat="false" ht="34.5" hidden="false" customHeight="true" outlineLevel="0" collapsed="false">
      <c r="A5" s="202" t="n">
        <v>1</v>
      </c>
      <c r="B5" s="203" t="s">
        <v>704</v>
      </c>
      <c r="C5" s="202" t="s">
        <v>214</v>
      </c>
      <c r="D5" s="204" t="n">
        <v>46276</v>
      </c>
      <c r="E5" s="204" t="n">
        <v>46276</v>
      </c>
      <c r="F5" s="203" t="s">
        <v>705</v>
      </c>
    </row>
    <row r="6" customFormat="false" ht="34.5" hidden="false" customHeight="true" outlineLevel="0" collapsed="false">
      <c r="A6" s="202" t="n">
        <v>2</v>
      </c>
      <c r="B6" s="203" t="s">
        <v>706</v>
      </c>
      <c r="C6" s="202" t="s">
        <v>214</v>
      </c>
      <c r="D6" s="204" t="n">
        <v>46276</v>
      </c>
      <c r="E6" s="204" t="n">
        <v>46276</v>
      </c>
      <c r="F6" s="203" t="s">
        <v>707</v>
      </c>
    </row>
    <row r="7" customFormat="false" ht="23.25" hidden="false" customHeight="true" outlineLevel="0" collapsed="false">
      <c r="A7" s="202" t="n">
        <v>3</v>
      </c>
      <c r="B7" s="203" t="s">
        <v>708</v>
      </c>
      <c r="C7" s="202" t="s">
        <v>214</v>
      </c>
      <c r="D7" s="204" t="n">
        <v>46260</v>
      </c>
      <c r="E7" s="204" t="n">
        <v>46278</v>
      </c>
      <c r="F7" s="203" t="s">
        <v>709</v>
      </c>
    </row>
    <row r="8" customFormat="false" ht="23.25" hidden="false" customHeight="true" outlineLevel="0" collapsed="false">
      <c r="A8" s="202" t="n">
        <v>4</v>
      </c>
      <c r="B8" s="203" t="s">
        <v>710</v>
      </c>
      <c r="C8" s="202"/>
      <c r="D8" s="204" t="n">
        <v>46273</v>
      </c>
      <c r="E8" s="204"/>
      <c r="F8" s="203"/>
    </row>
    <row r="9" customFormat="false" ht="23.25" hidden="false" customHeight="true" outlineLevel="0" collapsed="false">
      <c r="A9" s="202" t="n">
        <v>5</v>
      </c>
      <c r="B9" s="203" t="s">
        <v>711</v>
      </c>
      <c r="C9" s="202"/>
      <c r="D9" s="204" t="n">
        <v>46273</v>
      </c>
      <c r="E9" s="204"/>
      <c r="F9" s="203"/>
    </row>
    <row r="10" customFormat="false" ht="23.25" hidden="false" customHeight="true" outlineLevel="0" collapsed="false">
      <c r="A10" s="202" t="n">
        <v>6</v>
      </c>
      <c r="B10" s="203" t="s">
        <v>712</v>
      </c>
      <c r="C10" s="202"/>
      <c r="D10" s="204" t="n">
        <v>46273</v>
      </c>
      <c r="E10" s="204"/>
      <c r="F10" s="203"/>
    </row>
    <row r="11" customFormat="false" ht="23.25" hidden="false" customHeight="true" outlineLevel="0" collapsed="false">
      <c r="A11" s="202" t="n">
        <v>7</v>
      </c>
      <c r="B11" s="203" t="s">
        <v>713</v>
      </c>
      <c r="C11" s="202" t="s">
        <v>214</v>
      </c>
      <c r="D11" s="204" t="n">
        <v>46258</v>
      </c>
      <c r="E11" s="204" t="n">
        <v>46278</v>
      </c>
      <c r="F11" s="203" t="s">
        <v>714</v>
      </c>
    </row>
    <row r="12" customFormat="false" ht="23.25" hidden="false" customHeight="true" outlineLevel="0" collapsed="false">
      <c r="A12" s="202" t="n">
        <v>8</v>
      </c>
      <c r="B12" s="203" t="s">
        <v>715</v>
      </c>
      <c r="C12" s="202"/>
      <c r="D12" s="204" t="n">
        <v>46252</v>
      </c>
      <c r="E12" s="204"/>
      <c r="F12" s="203"/>
    </row>
    <row r="13" customFormat="false" ht="34.5" hidden="false" customHeight="true" outlineLevel="0" collapsed="false">
      <c r="A13" s="202" t="n">
        <v>9</v>
      </c>
      <c r="B13" s="203" t="s">
        <v>716</v>
      </c>
      <c r="C13" s="202"/>
      <c r="D13" s="204" t="n">
        <v>46276</v>
      </c>
      <c r="E13" s="204"/>
      <c r="F13" s="203" t="s">
        <v>717</v>
      </c>
    </row>
    <row r="14" customFormat="false" ht="23.25" hidden="false" customHeight="true" outlineLevel="0" collapsed="false">
      <c r="A14" s="202" t="n">
        <v>10</v>
      </c>
      <c r="B14" s="203" t="s">
        <v>718</v>
      </c>
      <c r="C14" s="202"/>
      <c r="D14" s="204" t="n">
        <v>46260</v>
      </c>
      <c r="E14" s="204"/>
      <c r="F14" s="203"/>
    </row>
    <row r="15" customFormat="false" ht="45.75" hidden="false" customHeight="true" outlineLevel="0" collapsed="false">
      <c r="A15" s="202" t="n">
        <v>11</v>
      </c>
      <c r="B15" s="203" t="s">
        <v>719</v>
      </c>
      <c r="C15" s="202"/>
      <c r="D15" s="204" t="n">
        <v>46276</v>
      </c>
      <c r="E15" s="202"/>
      <c r="F15" s="203" t="s">
        <v>720</v>
      </c>
    </row>
    <row r="16" customFormat="false" ht="14.25" hidden="false" customHeight="true" outlineLevel="0" collapsed="false">
      <c r="A16" s="205" t="n">
        <v>12</v>
      </c>
      <c r="B16" s="203" t="s">
        <v>721</v>
      </c>
      <c r="C16" s="206" t="s">
        <v>214</v>
      </c>
      <c r="D16" s="207" t="n">
        <v>46278</v>
      </c>
      <c r="E16" s="208" t="n">
        <v>46278</v>
      </c>
      <c r="F16" s="206" t="s">
        <v>722</v>
      </c>
    </row>
    <row r="17" customFormat="false" ht="14.25" hidden="false" customHeight="true" outlineLevel="0" collapsed="false">
      <c r="A17" s="205" t="n">
        <v>13</v>
      </c>
      <c r="B17" s="203" t="s">
        <v>723</v>
      </c>
      <c r="C17" s="206"/>
      <c r="D17" s="207" t="n">
        <v>46294</v>
      </c>
      <c r="E17" s="209"/>
      <c r="F17" s="206"/>
    </row>
    <row r="18" customFormat="false" ht="14.25" hidden="false" customHeight="true" outlineLevel="0" collapsed="false">
      <c r="A18" s="205" t="n">
        <v>14</v>
      </c>
      <c r="B18" s="203" t="s">
        <v>724</v>
      </c>
      <c r="C18" s="206"/>
      <c r="D18" s="207" t="n">
        <v>46295</v>
      </c>
      <c r="E18" s="209"/>
      <c r="F18" s="206" t="s">
        <v>725</v>
      </c>
    </row>
    <row r="19" customFormat="false" ht="14.25" hidden="false" customHeight="true" outlineLevel="0" collapsed="false">
      <c r="A19" s="205" t="n">
        <v>15</v>
      </c>
      <c r="B19" s="203" t="s">
        <v>726</v>
      </c>
      <c r="C19" s="206"/>
      <c r="D19" s="207" t="n">
        <v>46295</v>
      </c>
      <c r="E19" s="209"/>
      <c r="F19" s="206" t="s">
        <v>727</v>
      </c>
    </row>
    <row r="20" customFormat="false" ht="14.25" hidden="false" customHeight="true" outlineLevel="0" collapsed="false">
      <c r="A20" s="205" t="n">
        <v>16</v>
      </c>
      <c r="B20" s="203" t="s">
        <v>728</v>
      </c>
      <c r="C20" s="206"/>
      <c r="D20" s="207" t="n">
        <v>46295</v>
      </c>
      <c r="E20" s="209"/>
      <c r="F20" s="206" t="s">
        <v>729</v>
      </c>
    </row>
    <row r="21" customFormat="false" ht="14.25" hidden="false" customHeight="true" outlineLevel="0" collapsed="false">
      <c r="A21" s="205" t="n">
        <v>17</v>
      </c>
      <c r="B21" s="203" t="s">
        <v>730</v>
      </c>
      <c r="C21" s="206"/>
      <c r="D21" s="207" t="n">
        <v>46296</v>
      </c>
      <c r="E21" s="209"/>
      <c r="F21" s="206" t="s">
        <v>731</v>
      </c>
    </row>
    <row r="22" customFormat="false" ht="14.25" hidden="false" customHeight="true" outlineLevel="0" collapsed="false">
      <c r="A22" s="205" t="n">
        <v>18</v>
      </c>
      <c r="B22" s="203" t="s">
        <v>732</v>
      </c>
      <c r="C22" s="206"/>
      <c r="D22" s="207" t="n">
        <v>46296</v>
      </c>
      <c r="E22" s="209"/>
      <c r="F22" s="206" t="s">
        <v>733</v>
      </c>
    </row>
    <row r="23" customFormat="false" ht="14.25" hidden="false" customHeight="true" outlineLevel="0" collapsed="false">
      <c r="A23" s="205" t="n">
        <v>19</v>
      </c>
      <c r="B23" s="203" t="s">
        <v>734</v>
      </c>
      <c r="C23" s="206"/>
      <c r="D23" s="207" t="n">
        <v>46297</v>
      </c>
      <c r="E23" s="209"/>
      <c r="F23" s="206" t="s">
        <v>735</v>
      </c>
    </row>
    <row r="24" customFormat="false" ht="14.25" hidden="false" customHeight="true" outlineLevel="0" collapsed="false">
      <c r="A24" s="205" t="n">
        <v>20</v>
      </c>
      <c r="B24" s="203" t="s">
        <v>736</v>
      </c>
      <c r="C24" s="206"/>
      <c r="D24" s="207" t="n">
        <v>46297</v>
      </c>
      <c r="E24" s="209"/>
      <c r="F24" s="206" t="s">
        <v>737</v>
      </c>
    </row>
    <row r="25" customFormat="false" ht="14.25" hidden="false" customHeight="true" outlineLevel="0" collapsed="false">
      <c r="A25" s="205" t="n">
        <v>21</v>
      </c>
      <c r="B25" s="203" t="s">
        <v>738</v>
      </c>
      <c r="C25" s="206"/>
      <c r="D25" s="207" t="n">
        <v>46297</v>
      </c>
      <c r="E25" s="209"/>
      <c r="F25" s="206" t="s">
        <v>739</v>
      </c>
    </row>
    <row r="26" customFormat="false" ht="14.25" hidden="false" customHeight="true" outlineLevel="0" collapsed="false">
      <c r="A26" s="205" t="n">
        <v>22</v>
      </c>
      <c r="B26" s="203" t="s">
        <v>740</v>
      </c>
      <c r="C26" s="206"/>
      <c r="D26" s="207" t="n">
        <v>46297</v>
      </c>
      <c r="E26" s="209"/>
      <c r="F26" s="206" t="s">
        <v>741</v>
      </c>
    </row>
    <row r="27" customFormat="false" ht="14.25" hidden="false" customHeight="true" outlineLevel="0" collapsed="false">
      <c r="A27" s="205" t="n">
        <v>23</v>
      </c>
      <c r="B27" s="203" t="s">
        <v>742</v>
      </c>
      <c r="C27" s="206"/>
      <c r="D27" s="207" t="n">
        <v>46297</v>
      </c>
      <c r="E27" s="209"/>
      <c r="F27" s="206" t="s">
        <v>743</v>
      </c>
    </row>
    <row r="28" customFormat="false" ht="14.25" hidden="false" customHeight="true" outlineLevel="0" collapsed="false">
      <c r="A28" s="205" t="n">
        <v>24</v>
      </c>
      <c r="B28" s="203" t="s">
        <v>744</v>
      </c>
      <c r="C28" s="206"/>
      <c r="D28" s="207" t="n">
        <v>46297</v>
      </c>
      <c r="E28" s="209"/>
      <c r="F28" s="206" t="s">
        <v>745</v>
      </c>
    </row>
    <row r="29" customFormat="false" ht="14.25" hidden="false" customHeight="true" outlineLevel="0" collapsed="false">
      <c r="A29" s="206"/>
      <c r="B29" s="206"/>
      <c r="C29" s="206"/>
      <c r="D29" s="206"/>
      <c r="E29" s="209"/>
      <c r="F29" s="206"/>
    </row>
    <row r="30" customFormat="false" ht="14.25" hidden="false" customHeight="true" outlineLevel="0" collapsed="false">
      <c r="A30" s="206"/>
      <c r="B30" s="206"/>
      <c r="C30" s="206"/>
      <c r="D30" s="206"/>
      <c r="E30" s="209"/>
      <c r="F30" s="206"/>
    </row>
    <row r="31" customFormat="false" ht="14.25" hidden="false" customHeight="true" outlineLevel="0" collapsed="false">
      <c r="A31" s="206"/>
      <c r="B31" s="206"/>
      <c r="C31" s="206"/>
      <c r="D31" s="206"/>
      <c r="E31" s="209"/>
      <c r="F31" s="206"/>
    </row>
    <row r="32" customFormat="false" ht="14.25" hidden="false" customHeight="true" outlineLevel="0" collapsed="false">
      <c r="A32" s="206"/>
      <c r="B32" s="206"/>
      <c r="C32" s="206"/>
      <c r="D32" s="206"/>
      <c r="E32" s="209"/>
      <c r="F32" s="206"/>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746</v>
      </c>
      <c r="B1" s="210"/>
      <c r="C1" s="210"/>
      <c r="D1" s="210"/>
      <c r="E1" s="210"/>
      <c r="F1" s="210"/>
    </row>
    <row r="2" customFormat="false" ht="15" hidden="false" customHeight="true" outlineLevel="0" collapsed="false">
      <c r="A2" s="211" t="s">
        <v>747</v>
      </c>
      <c r="B2" s="211"/>
      <c r="C2" s="211"/>
      <c r="D2" s="211"/>
      <c r="E2" s="211"/>
      <c r="F2" s="211"/>
    </row>
    <row r="4" customFormat="false" ht="15" hidden="false" customHeight="true" outlineLevel="0" collapsed="false">
      <c r="A4" s="212" t="s">
        <v>748</v>
      </c>
      <c r="B4" s="212"/>
      <c r="C4" s="212"/>
      <c r="D4" s="212"/>
      <c r="E4" s="212"/>
      <c r="F4" s="212"/>
    </row>
    <row r="5" customFormat="false" ht="15" hidden="false" customHeight="true" outlineLevel="0" collapsed="false">
      <c r="A5" s="213" t="s">
        <v>749</v>
      </c>
      <c r="B5" s="213" t="s">
        <v>750</v>
      </c>
      <c r="C5" s="213" t="s">
        <v>751</v>
      </c>
      <c r="D5" s="213" t="s">
        <v>752</v>
      </c>
    </row>
    <row r="6" customFormat="false" ht="15" hidden="false" customHeight="true" outlineLevel="0" collapsed="false">
      <c r="A6" s="214" t="s">
        <v>753</v>
      </c>
      <c r="B6" s="214" t="s">
        <v>754</v>
      </c>
      <c r="C6" s="214" t="s">
        <v>754</v>
      </c>
      <c r="D6" s="215" t="s">
        <v>755</v>
      </c>
      <c r="E6" s="215"/>
      <c r="F6" s="215"/>
    </row>
    <row r="8" customFormat="false" ht="15" hidden="false" customHeight="true" outlineLevel="0" collapsed="false">
      <c r="A8" s="212" t="s">
        <v>756</v>
      </c>
      <c r="B8" s="212"/>
      <c r="C8" s="212"/>
      <c r="D8" s="212"/>
      <c r="E8" s="212"/>
      <c r="F8" s="212"/>
    </row>
    <row r="9" customFormat="false" ht="15" hidden="false" customHeight="true" outlineLevel="0" collapsed="false">
      <c r="A9" s="213" t="s">
        <v>749</v>
      </c>
      <c r="B9" s="213" t="s">
        <v>750</v>
      </c>
      <c r="C9" s="213" t="s">
        <v>751</v>
      </c>
      <c r="D9" s="213" t="s">
        <v>752</v>
      </c>
    </row>
    <row r="10" customFormat="false" ht="27.75" hidden="false" customHeight="true" outlineLevel="0" collapsed="false">
      <c r="A10" s="214" t="s">
        <v>757</v>
      </c>
      <c r="B10" s="214" t="s">
        <v>754</v>
      </c>
      <c r="C10" s="214" t="s">
        <v>758</v>
      </c>
      <c r="D10" s="215" t="s">
        <v>759</v>
      </c>
      <c r="E10" s="215"/>
      <c r="F10" s="215"/>
    </row>
    <row r="12" customFormat="false" ht="15" hidden="false" customHeight="true" outlineLevel="0" collapsed="false">
      <c r="A12" s="212" t="s">
        <v>760</v>
      </c>
      <c r="B12" s="212"/>
      <c r="C12" s="212"/>
      <c r="D12" s="212"/>
      <c r="E12" s="212"/>
      <c r="F12" s="212"/>
    </row>
    <row r="13" customFormat="false" ht="15" hidden="false" customHeight="true" outlineLevel="0" collapsed="false">
      <c r="A13" s="213" t="s">
        <v>749</v>
      </c>
      <c r="B13" s="213" t="s">
        <v>750</v>
      </c>
      <c r="C13" s="213" t="s">
        <v>751</v>
      </c>
      <c r="D13" s="213" t="s">
        <v>752</v>
      </c>
    </row>
    <row r="14" customFormat="false" ht="369" hidden="false" customHeight="true" outlineLevel="0" collapsed="false">
      <c r="A14" s="214" t="s">
        <v>761</v>
      </c>
      <c r="B14" s="214" t="s">
        <v>762</v>
      </c>
      <c r="C14" s="214" t="s">
        <v>763</v>
      </c>
      <c r="D14" s="215" t="s">
        <v>764</v>
      </c>
      <c r="E14" s="215"/>
      <c r="F14" s="215"/>
    </row>
    <row r="16" customFormat="false" ht="15" hidden="false" customHeight="true" outlineLevel="0" collapsed="false">
      <c r="A16" s="212" t="s">
        <v>765</v>
      </c>
      <c r="B16" s="212"/>
      <c r="C16" s="212"/>
      <c r="D16" s="212"/>
      <c r="E16" s="212"/>
      <c r="F16" s="212"/>
    </row>
    <row r="17" customFormat="false" ht="15" hidden="false" customHeight="true" outlineLevel="0" collapsed="false">
      <c r="A17" s="213" t="s">
        <v>749</v>
      </c>
      <c r="B17" s="213" t="s">
        <v>750</v>
      </c>
      <c r="C17" s="213" t="s">
        <v>751</v>
      </c>
      <c r="D17" s="213" t="s">
        <v>752</v>
      </c>
    </row>
    <row r="18" customFormat="false" ht="45.75" hidden="false" customHeight="true" outlineLevel="0" collapsed="false">
      <c r="A18" s="214" t="s">
        <v>761</v>
      </c>
      <c r="B18" s="214" t="s">
        <v>766</v>
      </c>
      <c r="C18" s="214" t="s">
        <v>767</v>
      </c>
      <c r="D18" s="215" t="s">
        <v>768</v>
      </c>
      <c r="E18" s="215"/>
      <c r="F18" s="215"/>
    </row>
    <row r="20" customFormat="false" ht="15" hidden="false" customHeight="true" outlineLevel="0" collapsed="false">
      <c r="A20" s="212" t="s">
        <v>769</v>
      </c>
      <c r="B20" s="212"/>
      <c r="C20" s="212"/>
      <c r="D20" s="212"/>
      <c r="E20" s="212"/>
      <c r="F20" s="212"/>
    </row>
    <row r="21" customFormat="false" ht="15" hidden="false" customHeight="true" outlineLevel="0" collapsed="false">
      <c r="A21" s="213" t="s">
        <v>749</v>
      </c>
      <c r="B21" s="213" t="s">
        <v>750</v>
      </c>
      <c r="C21" s="213" t="s">
        <v>751</v>
      </c>
      <c r="D21" s="213" t="s">
        <v>752</v>
      </c>
    </row>
    <row r="22" customFormat="false" ht="351" hidden="false" customHeight="true" outlineLevel="0" collapsed="false">
      <c r="A22" s="214" t="s">
        <v>770</v>
      </c>
      <c r="B22" s="214" t="s">
        <v>754</v>
      </c>
      <c r="C22" s="214" t="s">
        <v>771</v>
      </c>
      <c r="D22" s="215" t="s">
        <v>772</v>
      </c>
      <c r="E22" s="215"/>
      <c r="F22" s="215"/>
    </row>
    <row r="24" customFormat="false" ht="15" hidden="false" customHeight="true" outlineLevel="0" collapsed="false">
      <c r="A24" s="212" t="s">
        <v>773</v>
      </c>
      <c r="B24" s="212"/>
      <c r="C24" s="212"/>
      <c r="D24" s="212"/>
      <c r="E24" s="212"/>
      <c r="F24" s="212"/>
    </row>
    <row r="25" customFormat="false" ht="15" hidden="false" customHeight="true" outlineLevel="0" collapsed="false">
      <c r="A25" s="213" t="s">
        <v>749</v>
      </c>
      <c r="B25" s="213" t="s">
        <v>750</v>
      </c>
      <c r="C25" s="213" t="s">
        <v>751</v>
      </c>
      <c r="D25" s="213" t="s">
        <v>752</v>
      </c>
    </row>
    <row r="26" customFormat="false" ht="54.75" hidden="false" customHeight="true" outlineLevel="0" collapsed="false">
      <c r="A26" s="214" t="s">
        <v>761</v>
      </c>
      <c r="B26" s="214" t="s">
        <v>774</v>
      </c>
      <c r="C26" s="214" t="s">
        <v>775</v>
      </c>
      <c r="D26" s="215" t="s">
        <v>776</v>
      </c>
      <c r="E26" s="215"/>
      <c r="F26" s="215"/>
    </row>
    <row r="28" customFormat="false" ht="15" hidden="false" customHeight="true" outlineLevel="0" collapsed="false">
      <c r="A28" s="212" t="s">
        <v>777</v>
      </c>
      <c r="B28" s="212"/>
      <c r="C28" s="212"/>
      <c r="D28" s="212"/>
      <c r="E28" s="212"/>
      <c r="F28" s="212"/>
    </row>
    <row r="29" customFormat="false" ht="15" hidden="false" customHeight="true" outlineLevel="0" collapsed="false">
      <c r="A29" s="213" t="s">
        <v>749</v>
      </c>
      <c r="B29" s="213" t="s">
        <v>750</v>
      </c>
      <c r="C29" s="213" t="s">
        <v>751</v>
      </c>
      <c r="D29" s="213" t="s">
        <v>752</v>
      </c>
    </row>
    <row r="30" customFormat="false" ht="144.75" hidden="false" customHeight="true" outlineLevel="0" collapsed="false">
      <c r="A30" s="214" t="s">
        <v>778</v>
      </c>
      <c r="B30" s="214" t="s">
        <v>779</v>
      </c>
      <c r="C30" s="214" t="s">
        <v>780</v>
      </c>
      <c r="D30" s="215" t="s">
        <v>781</v>
      </c>
      <c r="E30" s="215"/>
      <c r="F30" s="215"/>
    </row>
    <row r="32" customFormat="false" ht="15" hidden="false" customHeight="true" outlineLevel="0" collapsed="false">
      <c r="A32" s="212" t="s">
        <v>782</v>
      </c>
      <c r="B32" s="212"/>
      <c r="C32" s="212"/>
      <c r="D32" s="212"/>
      <c r="E32" s="212"/>
      <c r="F32" s="212"/>
    </row>
    <row r="33" customFormat="false" ht="15" hidden="false" customHeight="true" outlineLevel="0" collapsed="false">
      <c r="A33" s="213" t="s">
        <v>749</v>
      </c>
      <c r="B33" s="213" t="s">
        <v>750</v>
      </c>
      <c r="C33" s="213" t="s">
        <v>751</v>
      </c>
      <c r="D33" s="213" t="s">
        <v>752</v>
      </c>
    </row>
    <row r="34" customFormat="false" ht="99.75" hidden="false" customHeight="true" outlineLevel="0" collapsed="false">
      <c r="A34" s="214" t="s">
        <v>761</v>
      </c>
      <c r="B34" s="214" t="s">
        <v>783</v>
      </c>
      <c r="C34" s="214" t="s">
        <v>784</v>
      </c>
      <c r="D34" s="215" t="s">
        <v>785</v>
      </c>
      <c r="E34" s="215"/>
      <c r="F34" s="215"/>
    </row>
    <row r="36" customFormat="false" ht="15" hidden="false" customHeight="true" outlineLevel="0" collapsed="false">
      <c r="A36" s="212" t="s">
        <v>786</v>
      </c>
      <c r="B36" s="212"/>
      <c r="C36" s="212"/>
      <c r="D36" s="212"/>
      <c r="E36" s="212"/>
      <c r="F36" s="212"/>
    </row>
    <row r="37" customFormat="false" ht="15" hidden="false" customHeight="true" outlineLevel="0" collapsed="false">
      <c r="A37" s="213" t="s">
        <v>749</v>
      </c>
      <c r="B37" s="213" t="s">
        <v>750</v>
      </c>
      <c r="C37" s="213" t="s">
        <v>751</v>
      </c>
      <c r="D37" s="213" t="s">
        <v>752</v>
      </c>
    </row>
    <row r="38" customFormat="false" ht="162" hidden="false" customHeight="true" outlineLevel="0" collapsed="false">
      <c r="A38" s="214" t="s">
        <v>770</v>
      </c>
      <c r="B38" s="214" t="s">
        <v>754</v>
      </c>
      <c r="C38" s="214" t="s">
        <v>787</v>
      </c>
      <c r="D38" s="215" t="s">
        <v>788</v>
      </c>
      <c r="E38" s="215"/>
      <c r="F38" s="215"/>
    </row>
    <row r="40" customFormat="false" ht="15" hidden="false" customHeight="true" outlineLevel="0" collapsed="false">
      <c r="A40" s="212" t="s">
        <v>789</v>
      </c>
      <c r="B40" s="212"/>
      <c r="C40" s="212"/>
      <c r="D40" s="212"/>
      <c r="E40" s="212"/>
      <c r="F40" s="212"/>
    </row>
    <row r="41" customFormat="false" ht="15" hidden="false" customHeight="true" outlineLevel="0" collapsed="false">
      <c r="A41" s="213" t="s">
        <v>749</v>
      </c>
      <c r="B41" s="213" t="s">
        <v>750</v>
      </c>
      <c r="C41" s="213" t="s">
        <v>751</v>
      </c>
      <c r="D41" s="213" t="s">
        <v>752</v>
      </c>
    </row>
    <row r="42" customFormat="false" ht="90.75" hidden="false" customHeight="true" outlineLevel="0" collapsed="false">
      <c r="A42" s="214" t="s">
        <v>790</v>
      </c>
      <c r="B42" s="214" t="s">
        <v>754</v>
      </c>
      <c r="C42" s="214" t="s">
        <v>791</v>
      </c>
      <c r="D42" s="215" t="s">
        <v>792</v>
      </c>
      <c r="E42" s="215"/>
      <c r="F42" s="215"/>
    </row>
    <row r="44" customFormat="false" ht="15" hidden="false" customHeight="true" outlineLevel="0" collapsed="false">
      <c r="A44" s="212" t="s">
        <v>793</v>
      </c>
      <c r="B44" s="212"/>
      <c r="C44" s="212"/>
      <c r="D44" s="212"/>
      <c r="E44" s="212"/>
      <c r="F44" s="212"/>
    </row>
    <row r="45" customFormat="false" ht="15" hidden="false" customHeight="true" outlineLevel="0" collapsed="false">
      <c r="A45" s="213" t="s">
        <v>749</v>
      </c>
      <c r="B45" s="213" t="s">
        <v>750</v>
      </c>
      <c r="C45" s="213" t="s">
        <v>751</v>
      </c>
      <c r="D45" s="213" t="s">
        <v>752</v>
      </c>
    </row>
    <row r="46" customFormat="false" ht="90.75" hidden="false" customHeight="true" outlineLevel="0" collapsed="false">
      <c r="A46" s="214" t="s">
        <v>794</v>
      </c>
      <c r="B46" s="214" t="s">
        <v>754</v>
      </c>
      <c r="C46" s="214" t="s">
        <v>795</v>
      </c>
      <c r="D46" s="215" t="s">
        <v>796</v>
      </c>
      <c r="E46" s="215"/>
      <c r="F46" s="215"/>
    </row>
    <row r="48" customFormat="false" ht="15" hidden="false" customHeight="true" outlineLevel="0" collapsed="false">
      <c r="A48" s="212" t="s">
        <v>797</v>
      </c>
      <c r="B48" s="212"/>
      <c r="C48" s="212"/>
      <c r="D48" s="212"/>
      <c r="E48" s="212"/>
      <c r="F48" s="212"/>
    </row>
    <row r="49" customFormat="false" ht="15" hidden="false" customHeight="true" outlineLevel="0" collapsed="false">
      <c r="A49" s="213" t="s">
        <v>749</v>
      </c>
      <c r="B49" s="213" t="s">
        <v>750</v>
      </c>
      <c r="C49" s="213" t="s">
        <v>751</v>
      </c>
      <c r="D49" s="213" t="s">
        <v>752</v>
      </c>
    </row>
    <row r="50" customFormat="false" ht="81.75" hidden="false" customHeight="true" outlineLevel="0" collapsed="false">
      <c r="A50" s="214" t="s">
        <v>761</v>
      </c>
      <c r="B50" s="214" t="s">
        <v>798</v>
      </c>
      <c r="C50" s="214" t="s">
        <v>799</v>
      </c>
      <c r="D50" s="215" t="s">
        <v>800</v>
      </c>
      <c r="E50" s="215"/>
      <c r="F50" s="215"/>
    </row>
    <row r="52" customFormat="false" ht="15" hidden="false" customHeight="true" outlineLevel="0" collapsed="false">
      <c r="A52" s="212" t="s">
        <v>801</v>
      </c>
      <c r="B52" s="212"/>
      <c r="C52" s="212"/>
      <c r="D52" s="212"/>
      <c r="E52" s="212"/>
      <c r="F52" s="212"/>
    </row>
    <row r="53" customFormat="false" ht="15" hidden="false" customHeight="true" outlineLevel="0" collapsed="false">
      <c r="A53" s="213" t="s">
        <v>749</v>
      </c>
      <c r="B53" s="213" t="s">
        <v>750</v>
      </c>
      <c r="C53" s="213" t="s">
        <v>751</v>
      </c>
      <c r="D53" s="213" t="s">
        <v>752</v>
      </c>
    </row>
    <row r="54" customFormat="false" ht="27.75" hidden="false" customHeight="true" outlineLevel="0" collapsed="false">
      <c r="A54" s="214" t="s">
        <v>761</v>
      </c>
      <c r="B54" s="214" t="s">
        <v>802</v>
      </c>
      <c r="C54" s="214" t="s">
        <v>803</v>
      </c>
      <c r="D54" s="215" t="s">
        <v>804</v>
      </c>
      <c r="E54" s="215"/>
      <c r="F54" s="215"/>
    </row>
    <row r="56" customFormat="false" ht="15" hidden="false" customHeight="true" outlineLevel="0" collapsed="false">
      <c r="A56" s="212" t="s">
        <v>805</v>
      </c>
      <c r="B56" s="212"/>
      <c r="C56" s="212"/>
      <c r="D56" s="212"/>
      <c r="E56" s="212"/>
      <c r="F56" s="212"/>
    </row>
    <row r="57" customFormat="false" ht="15" hidden="false" customHeight="true" outlineLevel="0" collapsed="false">
      <c r="A57" s="213" t="s">
        <v>749</v>
      </c>
      <c r="B57" s="213" t="s">
        <v>750</v>
      </c>
      <c r="C57" s="213" t="s">
        <v>751</v>
      </c>
      <c r="D57" s="213" t="s">
        <v>752</v>
      </c>
    </row>
    <row r="58" customFormat="false" ht="333" hidden="false" customHeight="true" outlineLevel="0" collapsed="false">
      <c r="A58" s="214" t="s">
        <v>778</v>
      </c>
      <c r="B58" s="214" t="s">
        <v>806</v>
      </c>
      <c r="C58" s="214" t="s">
        <v>807</v>
      </c>
      <c r="D58" s="215" t="s">
        <v>808</v>
      </c>
      <c r="E58" s="215"/>
      <c r="F58" s="215"/>
    </row>
    <row r="60" customFormat="false" ht="15" hidden="false" customHeight="true" outlineLevel="0" collapsed="false">
      <c r="A60" s="212" t="s">
        <v>809</v>
      </c>
      <c r="B60" s="212"/>
      <c r="C60" s="212"/>
      <c r="D60" s="212"/>
      <c r="E60" s="212"/>
      <c r="F60" s="212"/>
    </row>
    <row r="61" customFormat="false" ht="15" hidden="false" customHeight="true" outlineLevel="0" collapsed="false">
      <c r="A61" s="213" t="s">
        <v>749</v>
      </c>
      <c r="B61" s="213" t="s">
        <v>750</v>
      </c>
      <c r="C61" s="213" t="s">
        <v>751</v>
      </c>
      <c r="D61" s="213" t="s">
        <v>752</v>
      </c>
    </row>
    <row r="62" customFormat="false" ht="409.5" hidden="false" customHeight="true" outlineLevel="0" collapsed="false">
      <c r="A62" s="214" t="s">
        <v>778</v>
      </c>
      <c r="B62" s="214" t="s">
        <v>810</v>
      </c>
      <c r="C62" s="214" t="s">
        <v>811</v>
      </c>
      <c r="D62" s="215" t="s">
        <v>812</v>
      </c>
      <c r="E62" s="215"/>
      <c r="F62" s="215"/>
    </row>
    <row r="64" customFormat="false" ht="15" hidden="false" customHeight="true" outlineLevel="0" collapsed="false">
      <c r="A64" s="212" t="s">
        <v>813</v>
      </c>
      <c r="B64" s="212"/>
      <c r="C64" s="212"/>
      <c r="D64" s="212"/>
      <c r="E64" s="212"/>
      <c r="F64" s="212"/>
    </row>
    <row r="65" customFormat="false" ht="15" hidden="false" customHeight="true" outlineLevel="0" collapsed="false">
      <c r="A65" s="213" t="s">
        <v>749</v>
      </c>
      <c r="B65" s="213" t="s">
        <v>750</v>
      </c>
      <c r="C65" s="213" t="s">
        <v>751</v>
      </c>
      <c r="D65" s="213" t="s">
        <v>752</v>
      </c>
    </row>
    <row r="66" customFormat="false" ht="45.75" hidden="false" customHeight="true" outlineLevel="0" collapsed="false">
      <c r="A66" s="214" t="s">
        <v>761</v>
      </c>
      <c r="B66" s="214" t="s">
        <v>814</v>
      </c>
      <c r="C66" s="214" t="s">
        <v>815</v>
      </c>
      <c r="D66" s="215" t="s">
        <v>816</v>
      </c>
      <c r="E66" s="215"/>
      <c r="F66" s="215"/>
    </row>
    <row r="68" customFormat="false" ht="15" hidden="false" customHeight="true" outlineLevel="0" collapsed="false">
      <c r="A68" s="212" t="s">
        <v>817</v>
      </c>
      <c r="B68" s="212"/>
      <c r="C68" s="212"/>
      <c r="D68" s="212"/>
      <c r="E68" s="212"/>
      <c r="F68" s="212"/>
    </row>
    <row r="69" customFormat="false" ht="15" hidden="false" customHeight="true" outlineLevel="0" collapsed="false">
      <c r="A69" s="213" t="s">
        <v>749</v>
      </c>
      <c r="B69" s="213" t="s">
        <v>750</v>
      </c>
      <c r="C69" s="213" t="s">
        <v>751</v>
      </c>
      <c r="D69" s="213" t="s">
        <v>752</v>
      </c>
    </row>
    <row r="70" customFormat="false" ht="15" hidden="false" customHeight="true" outlineLevel="0" collapsed="false">
      <c r="A70" s="214" t="s">
        <v>761</v>
      </c>
      <c r="B70" s="214" t="s">
        <v>818</v>
      </c>
      <c r="C70" s="214" t="s">
        <v>819</v>
      </c>
      <c r="D70" s="215" t="s">
        <v>820</v>
      </c>
      <c r="E70" s="215"/>
      <c r="F70" s="215"/>
    </row>
    <row r="72" customFormat="false" ht="15" hidden="false" customHeight="true" outlineLevel="0" collapsed="false">
      <c r="A72" s="212" t="s">
        <v>821</v>
      </c>
      <c r="B72" s="212"/>
      <c r="C72" s="212"/>
      <c r="D72" s="212"/>
      <c r="E72" s="212"/>
      <c r="F72" s="212"/>
    </row>
    <row r="73" customFormat="false" ht="15" hidden="false" customHeight="true" outlineLevel="0" collapsed="false">
      <c r="A73" s="213" t="s">
        <v>749</v>
      </c>
      <c r="B73" s="213" t="s">
        <v>750</v>
      </c>
      <c r="C73" s="213" t="s">
        <v>751</v>
      </c>
      <c r="D73" s="213" t="s">
        <v>752</v>
      </c>
    </row>
    <row r="74" customFormat="false" ht="117.75" hidden="false" customHeight="true" outlineLevel="0" collapsed="false">
      <c r="A74" s="214" t="s">
        <v>761</v>
      </c>
      <c r="B74" s="214" t="s">
        <v>822</v>
      </c>
      <c r="C74" s="214" t="s">
        <v>823</v>
      </c>
      <c r="D74" s="215" t="s">
        <v>824</v>
      </c>
      <c r="E74" s="215"/>
      <c r="F74" s="215"/>
    </row>
    <row r="76" customFormat="false" ht="15" hidden="false" customHeight="true" outlineLevel="0" collapsed="false">
      <c r="A76" s="212" t="s">
        <v>825</v>
      </c>
      <c r="B76" s="212"/>
      <c r="C76" s="212"/>
      <c r="D76" s="212"/>
      <c r="E76" s="212"/>
      <c r="F76" s="212"/>
    </row>
    <row r="77" customFormat="false" ht="15" hidden="false" customHeight="true" outlineLevel="0" collapsed="false">
      <c r="A77" s="213" t="s">
        <v>749</v>
      </c>
      <c r="B77" s="213" t="s">
        <v>750</v>
      </c>
      <c r="C77" s="213" t="s">
        <v>751</v>
      </c>
      <c r="D77" s="213" t="s">
        <v>752</v>
      </c>
    </row>
    <row r="78" customFormat="false" ht="135.75" hidden="false" customHeight="true" outlineLevel="0" collapsed="false">
      <c r="A78" s="214" t="s">
        <v>761</v>
      </c>
      <c r="B78" s="214" t="s">
        <v>826</v>
      </c>
      <c r="C78" s="214" t="s">
        <v>827</v>
      </c>
      <c r="D78" s="215" t="s">
        <v>828</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2026-10-02T16:34:12Z</dcterms:modified>
  <cp:revision>201</cp:revision>
  <dc:subject/>
  <dc:title/>
</cp:coreProperties>
</file>

<file path=docProps/custom.xml><?xml version="1.0" encoding="utf-8"?>
<Properties xmlns="http://schemas.openxmlformats.org/officeDocument/2006/custom-properties" xmlns:vt="http://schemas.openxmlformats.org/officeDocument/2006/docPropsVTypes"/>
</file>